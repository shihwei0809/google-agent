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O:\01.產銷會議\"/>
    </mc:Choice>
  </mc:AlternateContent>
  <bookViews>
    <workbookView xWindow="0" yWindow="0" windowWidth="28800" windowHeight="11490" activeTab="1"/>
  </bookViews>
  <sheets>
    <sheet name="產銷總表 " sheetId="1" r:id="rId1"/>
    <sheet name="精餾產銷" sheetId="2" r:id="rId2"/>
    <sheet name="初餾產銷" sheetId="3" r:id="rId3"/>
    <sheet name="調配產銷" sheetId="4" r:id="rId4"/>
    <sheet name="秏料" sheetId="5" r:id="rId5"/>
    <sheet name="生產線別參照" sheetId="6" r:id="rId6"/>
  </sheets>
  <externalReferences>
    <externalReference r:id="rId7"/>
  </externalReferences>
  <definedNames>
    <definedName name="_xlnm._FilterDatabase" localSheetId="2" hidden="1">初餾產銷!$AJ$4:$AJ$78</definedName>
    <definedName name="_xlnm._FilterDatabase" localSheetId="4" hidden="1">秏料!$A$2:$L$134</definedName>
    <definedName name="_xlnm._FilterDatabase" localSheetId="0" hidden="1">'產銷總表 '!$AF$5:$AG$241</definedName>
    <definedName name="_xlnm._FilterDatabase" localSheetId="1" hidden="1">精餾產銷!$A$4:$AP$103</definedName>
    <definedName name="_xlnm._FilterDatabase" localSheetId="3" hidden="1">調配產銷!$AF$4:$AF$81</definedName>
    <definedName name="_xlnm.Print_Area" localSheetId="2">初餾產銷!$A$1:$AI$78</definedName>
    <definedName name="_xlnm.Print_Area" localSheetId="4">秏料!$A$1:$L$134</definedName>
    <definedName name="_xlnm.Print_Area" localSheetId="0">'產銷總表 '!$A$1:$AE$241</definedName>
    <definedName name="_xlnm.Print_Area" localSheetId="1">精餾產銷!$A$1:$AE$113</definedName>
    <definedName name="_xlnm.Print_Area" localSheetId="3">調配產銷!$A$1:$AE$83</definedName>
    <definedName name="_xlnm.Print_Titles" localSheetId="2">初餾產銷!$1:$2</definedName>
    <definedName name="_xlnm.Print_Titles" localSheetId="1">精餾產銷!$1:$2</definedName>
    <definedName name="_xlnm.Print_Titles" localSheetId="3">調配產銷!#REF!</definedName>
    <definedName name="Z_000EC4A3_447D_44F1_9E86_93DE1583195D_.wvu.FilterData" localSheetId="1" hidden="1">精餾產銷!$AK$4:$AL$107</definedName>
    <definedName name="Z_000EC4A3_447D_44F1_9E86_93DE1583195D_.wvu.FilterData" localSheetId="3" hidden="1">調配產銷!$AF$4:$AF$81</definedName>
    <definedName name="Z_00332C89_EAA2_47A7_ACA8_8A1D9619ACBF_.wvu.FilterData" localSheetId="1" hidden="1">精餾產銷!$AK$4:$AL$107</definedName>
    <definedName name="Z_00332C89_EAA2_47A7_ACA8_8A1D9619ACBF_.wvu.FilterData" localSheetId="3" hidden="1">調配產銷!$AF$4:$AF$81</definedName>
    <definedName name="Z_0038D04A_BC45_4A46_811F_7DB66E845C11_.wvu.FilterData" localSheetId="2" hidden="1">初餾產銷!$A$4:$AJ$53</definedName>
    <definedName name="Z_0038D04A_BC45_4A46_811F_7DB66E845C11_.wvu.FilterData" localSheetId="1" hidden="1">精餾產銷!$AK$4:$AL$102</definedName>
    <definedName name="Z_0038D04A_BC45_4A46_811F_7DB66E845C11_.wvu.FilterData" localSheetId="3" hidden="1">調配產銷!#REF!</definedName>
    <definedName name="Z_011122DB_6AC8_4F15_B4C3_E829841AD04D_.wvu.FilterData" localSheetId="1" hidden="1">精餾產銷!$AK$4:$AL$102</definedName>
    <definedName name="Z_01414F4A_587A_4F1F_897E_B055FE114488_.wvu.FilterData" localSheetId="2" hidden="1">初餾產銷!$A$4:$AK$53</definedName>
    <definedName name="Z_0146970A_5633_426B_ABF7_9FBCFC920C6F_.wvu.FilterData" localSheetId="2" hidden="1">初餾產銷!$AJ$4:$AJ$78</definedName>
    <definedName name="Z_0146970A_5633_426B_ABF7_9FBCFC920C6F_.wvu.FilterData" localSheetId="1" hidden="1">精餾產銷!$AK$4:$AL$107</definedName>
    <definedName name="Z_0146970A_5633_426B_ABF7_9FBCFC920C6F_.wvu.FilterData" localSheetId="3" hidden="1">調配產銷!$AF$4:$AF$81</definedName>
    <definedName name="Z_016C8FFE_B221_4048_9E96_E9FC5FA4B4CA_.wvu.FilterData" localSheetId="2" hidden="1">初餾產銷!$AJ$4:$AJ$78</definedName>
    <definedName name="Z_016C8FFE_B221_4048_9E96_E9FC5FA4B4CA_.wvu.FilterData" localSheetId="1" hidden="1">精餾產銷!$AK$4:$AL$107</definedName>
    <definedName name="Z_01A01E31_291C_4F64_9C51_0AF56BA6E39C_.wvu.FilterData" localSheetId="2" hidden="1">初餾產銷!$AJ$4:$AJ$78</definedName>
    <definedName name="Z_01A01E31_291C_4F64_9C51_0AF56BA6E39C_.wvu.FilterData" localSheetId="1" hidden="1">精餾產銷!$AK$4:$AL$107</definedName>
    <definedName name="Z_01A01E31_291C_4F64_9C51_0AF56BA6E39C_.wvu.FilterData" localSheetId="3" hidden="1">調配產銷!$AF$4:$AF$81</definedName>
    <definedName name="Z_01A793D1_0629_4311_A37B_AF0E687DDB2F_.wvu.FilterData" localSheetId="2" hidden="1">初餾產銷!$AJ$4:$AJ$78</definedName>
    <definedName name="Z_01A793D1_0629_4311_A37B_AF0E687DDB2F_.wvu.FilterData" localSheetId="1" hidden="1">精餾產銷!$AK$4:$AL$107</definedName>
    <definedName name="Z_01B03A1F_E154_4F84_B75A_F4FD2C5192F3_.wvu.FilterData" localSheetId="3" hidden="1">調配產銷!$AF$4:$AF$81</definedName>
    <definedName name="Z_01D458E5_DE14_48A4_BCAC_C8C6F6D3F5FE_.wvu.FilterData" localSheetId="2" hidden="1">初餾產銷!$AJ$4:$AJ$78</definedName>
    <definedName name="Z_021234A2_5752_4AAE_8DD3_7EE8714A90A1_.wvu.FilterData" localSheetId="2" hidden="1">初餾產銷!$AJ$4:$AJ$78</definedName>
    <definedName name="Z_021234A2_5752_4AAE_8DD3_7EE8714A90A1_.wvu.FilterData" localSheetId="1" hidden="1">精餾產銷!$AK$4:$AL$107</definedName>
    <definedName name="Z_021234A2_5752_4AAE_8DD3_7EE8714A90A1_.wvu.FilterData" localSheetId="3" hidden="1">調配產銷!$AF$4:$AF$81</definedName>
    <definedName name="Z_02C06760_4CCF_49FF_82D1_F8F159E3E349_.wvu.FilterData" localSheetId="3" hidden="1">調配產銷!$AF$4:$AF$81</definedName>
    <definedName name="Z_02DDFD93_EECE_4E57_9F28_5E567AF182A6_.wvu.FilterData" localSheetId="2" hidden="1">初餾產銷!$AF$4:$AF$53</definedName>
    <definedName name="Z_02DDFD93_EECE_4E57_9F28_5E567AF182A6_.wvu.FilterData" localSheetId="1" hidden="1">精餾產銷!$AF$4:$AF$105</definedName>
    <definedName name="Z_02DDFD93_EECE_4E57_9F28_5E567AF182A6_.wvu.FilterData" localSheetId="3" hidden="1">調配產銷!#REF!</definedName>
    <definedName name="Z_02E0ED5F_E85F_4237_80BF_4F9C557A12B3_.wvu.FilterData" localSheetId="2" hidden="1">初餾產銷!$AJ$4:$AJ$78</definedName>
    <definedName name="Z_02E0ED5F_E85F_4237_80BF_4F9C557A12B3_.wvu.FilterData" localSheetId="1" hidden="1">精餾產銷!$AK$4:$AL$107</definedName>
    <definedName name="Z_02E0ED5F_E85F_4237_80BF_4F9C557A12B3_.wvu.FilterData" localSheetId="3" hidden="1">調配產銷!$AF$4:$AF$81</definedName>
    <definedName name="Z_030569A7_9C43_4A7A_B247_39023F1E597A_.wvu.FilterData" localSheetId="2" hidden="1">初餾產銷!$A$4:$AJ$53</definedName>
    <definedName name="Z_030569A7_9C43_4A7A_B247_39023F1E597A_.wvu.FilterData" localSheetId="1" hidden="1">精餾產銷!$AK$4:$AL$107</definedName>
    <definedName name="Z_030569A7_9C43_4A7A_B247_39023F1E597A_.wvu.FilterData" localSheetId="3" hidden="1">調配產銷!#REF!</definedName>
    <definedName name="Z_030B2591_9118_4B6A_A05B_A5A315AD3C0E_.wvu.FilterData" localSheetId="1" hidden="1">精餾產銷!$AK$4:$AL$102</definedName>
    <definedName name="Z_030B2591_9118_4B6A_A05B_A5A315AD3C0E_.wvu.FilterData" localSheetId="3" hidden="1">調配產銷!#REF!</definedName>
    <definedName name="Z_03169297_2E2A_4AA3_B9BC_0A390BF28FE6_.wvu.FilterData" localSheetId="2" hidden="1">初餾產銷!$AJ$4:$AJ$78</definedName>
    <definedName name="Z_03169297_2E2A_4AA3_B9BC_0A390BF28FE6_.wvu.FilterData" localSheetId="1" hidden="1">精餾產銷!$AK$4:$AL$107</definedName>
    <definedName name="Z_03169297_2E2A_4AA3_B9BC_0A390BF28FE6_.wvu.FilterData" localSheetId="3" hidden="1">調配產銷!$AF$4:$AF$81</definedName>
    <definedName name="Z_03286019_F3C8_4017_B71E_61FCF78BA513_.wvu.Cols" localSheetId="2" hidden="1">初餾產銷!$B:$B,初餾產銷!$D:$F</definedName>
    <definedName name="Z_03286019_F3C8_4017_B71E_61FCF78BA513_.wvu.Cols" localSheetId="0" hidden="1">'產銷總表 '!$B:$B,'產銷總表 '!$D:$F</definedName>
    <definedName name="Z_03286019_F3C8_4017_B71E_61FCF78BA513_.wvu.Cols" localSheetId="1" hidden="1">精餾產銷!$B:$B,精餾產銷!$D:$F</definedName>
    <definedName name="Z_03286019_F3C8_4017_B71E_61FCF78BA513_.wvu.Cols" localSheetId="3" hidden="1">調配產銷!$B:$B</definedName>
    <definedName name="Z_03286019_F3C8_4017_B71E_61FCF78BA513_.wvu.FilterData" localSheetId="2" hidden="1">初餾產銷!$AJ$4:$AJ$78</definedName>
    <definedName name="Z_03286019_F3C8_4017_B71E_61FCF78BA513_.wvu.FilterData" localSheetId="4" hidden="1">秏料!$A$2:$L$134</definedName>
    <definedName name="Z_03286019_F3C8_4017_B71E_61FCF78BA513_.wvu.FilterData" localSheetId="0" hidden="1">'產銷總表 '!$AF$5:$AG$241</definedName>
    <definedName name="Z_03286019_F3C8_4017_B71E_61FCF78BA513_.wvu.FilterData" localSheetId="1" hidden="1">精餾產銷!$A$4:$AP$105</definedName>
    <definedName name="Z_03286019_F3C8_4017_B71E_61FCF78BA513_.wvu.FilterData" localSheetId="3" hidden="1">調配產銷!$AF$4:$AF$81</definedName>
    <definedName name="Z_03286019_F3C8_4017_B71E_61FCF78BA513_.wvu.PrintArea" localSheetId="2" hidden="1">初餾產銷!$A$1:$AI$78</definedName>
    <definedName name="Z_03286019_F3C8_4017_B71E_61FCF78BA513_.wvu.PrintArea" localSheetId="4" hidden="1">秏料!$A$1:$L$134</definedName>
    <definedName name="Z_03286019_F3C8_4017_B71E_61FCF78BA513_.wvu.PrintArea" localSheetId="0" hidden="1">'產銷總表 '!$A$2:$AE$241</definedName>
    <definedName name="Z_03286019_F3C8_4017_B71E_61FCF78BA513_.wvu.PrintArea" localSheetId="1" hidden="1">精餾產銷!$A$1:$AE$109</definedName>
    <definedName name="Z_03286019_F3C8_4017_B71E_61FCF78BA513_.wvu.PrintArea" localSheetId="3" hidden="1">調配產銷!$A$1:$AE$83</definedName>
    <definedName name="Z_03286019_F3C8_4017_B71E_61FCF78BA513_.wvu.PrintTitles" localSheetId="2" hidden="1">初餾產銷!$1:$2</definedName>
    <definedName name="Z_03286019_F3C8_4017_B71E_61FCF78BA513_.wvu.PrintTitles" localSheetId="1" hidden="1">精餾產銷!$1:$2</definedName>
    <definedName name="Z_03487587_0CD0_4CD7_BBA2_4DC890C6A0EE_.wvu.FilterData" localSheetId="2" hidden="1">初餾產銷!$A$4:$AJ$48</definedName>
    <definedName name="Z_03487587_0CD0_4CD7_BBA2_4DC890C6A0EE_.wvu.FilterData" localSheetId="0" hidden="1">'產銷總表 '!$A$5:$F$118</definedName>
    <definedName name="Z_03487587_0CD0_4CD7_BBA2_4DC890C6A0EE_.wvu.FilterData" localSheetId="1" hidden="1">精餾產銷!$A$4:$AJ$99</definedName>
    <definedName name="Z_03487587_0CD0_4CD7_BBA2_4DC890C6A0EE_.wvu.FilterData" localSheetId="3" hidden="1">調配產銷!#REF!</definedName>
    <definedName name="Z_03D69611_50B4_40FF_A997_7A8864745BE8_.wvu.FilterData" localSheetId="1" hidden="1">精餾產銷!$AF$4:$AF$105</definedName>
    <definedName name="Z_04722801_65AB_48F0_8938_7701874DDC0A_.wvu.FilterData" localSheetId="2" hidden="1">初餾產銷!$AJ$4:$AJ$78</definedName>
    <definedName name="Z_04722801_65AB_48F0_8938_7701874DDC0A_.wvu.FilterData" localSheetId="1" hidden="1">精餾產銷!$AK$4:$AL$107</definedName>
    <definedName name="Z_04722801_65AB_48F0_8938_7701874DDC0A_.wvu.FilterData" localSheetId="3" hidden="1">調配產銷!$AF$4:$AF$81</definedName>
    <definedName name="Z_04965AFF_489F_4DC9_AA15_AF7A2FED2069_.wvu.FilterData" localSheetId="1" hidden="1">精餾產銷!$AK$4:$AL$107</definedName>
    <definedName name="Z_04AAB546_6A5E_4F5D_B5D2_B3B3C0BED508_.wvu.FilterData" localSheetId="1" hidden="1">精餾產銷!$AF$4:$AF$105</definedName>
    <definedName name="Z_04AAB546_6A5E_4F5D_B5D2_B3B3C0BED508_.wvu.FilterData" localSheetId="3" hidden="1">調配產銷!#REF!</definedName>
    <definedName name="Z_052CA5F1_E807_4D42_A905_57DEC5D1C67C_.wvu.FilterData" localSheetId="1" hidden="1">精餾產銷!$AF$4:$AF$105</definedName>
    <definedName name="Z_052CA5F1_E807_4D42_A905_57DEC5D1C67C_.wvu.FilterData" localSheetId="3" hidden="1">調配產銷!#REF!</definedName>
    <definedName name="Z_056B2D8B_DA78_453C_AD1A_E37465958C47_.wvu.FilterData" localSheetId="2" hidden="1">初餾產銷!$AJ$4:$AJ$78</definedName>
    <definedName name="Z_057C3F28_A2A5_47C5_86B9_013906901DD5_.wvu.FilterData" localSheetId="2" hidden="1">初餾產銷!$AJ$4:$AJ$78</definedName>
    <definedName name="Z_057C3F28_A2A5_47C5_86B9_013906901DD5_.wvu.FilterData" localSheetId="1" hidden="1">精餾產銷!$AK$4:$AL$107</definedName>
    <definedName name="Z_057C3F28_A2A5_47C5_86B9_013906901DD5_.wvu.FilterData" localSheetId="3" hidden="1">調配產銷!$AF$4:$AF$81</definedName>
    <definedName name="Z_05F05870_F90D_43C6_813F_B8EEB5F03DD8_.wvu.FilterData" localSheetId="2" hidden="1">初餾產銷!$AJ$4:$AJ$78</definedName>
    <definedName name="Z_05F05870_F90D_43C6_813F_B8EEB5F03DD8_.wvu.FilterData" localSheetId="1" hidden="1">精餾產銷!$AK$4:$AL$107</definedName>
    <definedName name="Z_05F05870_F90D_43C6_813F_B8EEB5F03DD8_.wvu.FilterData" localSheetId="3" hidden="1">調配產銷!$AF$4:$AF$81</definedName>
    <definedName name="Z_062A4ECE_6190_47E1_B745_0F39D741B46E_.wvu.FilterData" localSheetId="2" hidden="1">初餾產銷!$AF$4:$AF$53</definedName>
    <definedName name="Z_062A4ECE_6190_47E1_B745_0F39D741B46E_.wvu.FilterData" localSheetId="1" hidden="1">精餾產銷!$AF$4:$AF$105</definedName>
    <definedName name="Z_062A4ECE_6190_47E1_B745_0F39D741B46E_.wvu.FilterData" localSheetId="3" hidden="1">調配產銷!#REF!</definedName>
    <definedName name="Z_066C5C0B_D0FD_41D7_AAE1_C07E966DB610_.wvu.FilterData" localSheetId="1" hidden="1">精餾產銷!$AK$4:$AL$107</definedName>
    <definedName name="Z_066C5C0B_D0FD_41D7_AAE1_C07E966DB610_.wvu.FilterData" localSheetId="3" hidden="1">調配產銷!#REF!</definedName>
    <definedName name="Z_06B2CC4C_225F_4696_8692_51D35A892CBD_.wvu.FilterData" localSheetId="1" hidden="1">精餾產銷!$AK$4:$AL$107</definedName>
    <definedName name="Z_06B2CC4C_225F_4696_8692_51D35A892CBD_.wvu.FilterData" localSheetId="3" hidden="1">調配產銷!$AF$4:$AF$81</definedName>
    <definedName name="Z_06EFA162_2EDF_44EC_AB8A_95A7AE45C7FB_.wvu.FilterData" localSheetId="3" hidden="1">調配產銷!#REF!</definedName>
    <definedName name="Z_06F8CEC5_5FD4_4052_B3AE_FD6651732D1E_.wvu.FilterData" localSheetId="2" hidden="1">初餾產銷!$AJ$4:$AJ$78</definedName>
    <definedName name="Z_06F8CEC5_5FD4_4052_B3AE_FD6651732D1E_.wvu.FilterData" localSheetId="0" hidden="1">'產銷總表 '!$AF$5:$AG$241</definedName>
    <definedName name="Z_06F8CEC5_5FD4_4052_B3AE_FD6651732D1E_.wvu.FilterData" localSheetId="1" hidden="1">精餾產銷!$AK$4:$AL$107</definedName>
    <definedName name="Z_06F8CEC5_5FD4_4052_B3AE_FD6651732D1E_.wvu.FilterData" localSheetId="3" hidden="1">調配產銷!$AF$4:$AF$81</definedName>
    <definedName name="Z_0750E6EA_8995_4FBA_AAA4_757533A0C2ED_.wvu.FilterData" localSheetId="2" hidden="1">初餾產銷!$AF$4:$AF$53</definedName>
    <definedName name="Z_0750E6EA_8995_4FBA_AAA4_757533A0C2ED_.wvu.FilterData" localSheetId="1" hidden="1">精餾產銷!$AF$4:$AF$105</definedName>
    <definedName name="Z_0750E6EA_8995_4FBA_AAA4_757533A0C2ED_.wvu.FilterData" localSheetId="3" hidden="1">調配產銷!#REF!</definedName>
    <definedName name="Z_07803B9F_32E8_4D71_A3D4_BEB261E1B4E8_.wvu.FilterData" localSheetId="1" hidden="1">精餾產銷!$AK$4:$AL$107</definedName>
    <definedName name="Z_0788EEF9_7CC1_48BE_B237_3B19ECC3EAEF_.wvu.FilterData" localSheetId="1" hidden="1">精餾產銷!$AK$4:$AL$107</definedName>
    <definedName name="Z_07AFBA14_00DE_4F2A_A4A8_8E062DA7E9C6_.wvu.FilterData" localSheetId="1" hidden="1">精餾產銷!$AK$4:$AL$102</definedName>
    <definedName name="Z_07F708A2_AC4D_4AD6_AFED_2E9D60636F66_.wvu.FilterData" localSheetId="1" hidden="1">精餾產銷!$AK$4:$AL$107</definedName>
    <definedName name="Z_07F708A2_AC4D_4AD6_AFED_2E9D60636F66_.wvu.FilterData" localSheetId="3" hidden="1">調配產銷!$AF$4:$AF$81</definedName>
    <definedName name="Z_082A1640_E0BE_4B0B_A736_492390A13316_.wvu.FilterData" localSheetId="1" hidden="1">精餾產銷!$AK$4:$AL$107</definedName>
    <definedName name="Z_087507BF_FE11_43B1_A63D_33524253EC12_.wvu.FilterData" localSheetId="2" hidden="1">初餾產銷!$AJ$4:$AJ$78</definedName>
    <definedName name="Z_087507BF_FE11_43B1_A63D_33524253EC12_.wvu.FilterData" localSheetId="1" hidden="1">精餾產銷!$AK$4:$AL$107</definedName>
    <definedName name="Z_087507BF_FE11_43B1_A63D_33524253EC12_.wvu.FilterData" localSheetId="3" hidden="1">調配產銷!$AF$4:$AF$81</definedName>
    <definedName name="Z_0922E064_2929_4F6F_B485_5E7F1C5E61E7_.wvu.FilterData" localSheetId="1" hidden="1">精餾產銷!$AK$4:$AL$107</definedName>
    <definedName name="Z_092CB45E_7156_47E2_81D6_74E02058F445_.wvu.FilterData" localSheetId="1" hidden="1">精餾產銷!$AK$4:$AL$107</definedName>
    <definedName name="Z_092FA43E_8FCC_454A_8D45_30C1BEFD5644_.wvu.FilterData" localSheetId="1" hidden="1">精餾產銷!$AK$4:$AL$107</definedName>
    <definedName name="Z_094EBF65_E302_42E8_A33B_F53F581BB136_.wvu.FilterData" localSheetId="2" hidden="1">初餾產銷!$AJ$4:$AJ$78</definedName>
    <definedName name="Z_0963F9DC_6FFA_469F_B242_17A0417FE8F9_.wvu.FilterData" localSheetId="1" hidden="1">精餾產銷!$AK$4:$AL$107</definedName>
    <definedName name="Z_097B7907_BE8C_4F43_83E5_8D2C01C0DAB0_.wvu.FilterData" localSheetId="3" hidden="1">調配產銷!#REF!</definedName>
    <definedName name="Z_09A1090B_5C67_4B72_AE96_499241E3C3AE_.wvu.FilterData" localSheetId="3" hidden="1">調配產銷!#REF!</definedName>
    <definedName name="Z_09C67B98_645E_4D0F_B17F_54D281F08458_.wvu.FilterData" localSheetId="2" hidden="1">初餾產銷!$A$4:$AJ$53</definedName>
    <definedName name="Z_09C67B98_645E_4D0F_B17F_54D281F08458_.wvu.FilterData" localSheetId="1" hidden="1">精餾產銷!$AK$4:$AL$107</definedName>
    <definedName name="Z_09C67B98_645E_4D0F_B17F_54D281F08458_.wvu.FilterData" localSheetId="3" hidden="1">調配產銷!#REF!</definedName>
    <definedName name="Z_09D632C9_7433_478F_A052_B3C5711A8C2F_.wvu.FilterData" localSheetId="2" hidden="1">初餾產銷!$AF$4:$AF$53</definedName>
    <definedName name="Z_09D632C9_7433_478F_A052_B3C5711A8C2F_.wvu.FilterData" localSheetId="3" hidden="1">調配產銷!#REF!</definedName>
    <definedName name="Z_0A19EF14_D800_42E4_9FE8_561C293BC1AA_.wvu.FilterData" localSheetId="1" hidden="1">精餾產銷!$AF$4:$AF$105</definedName>
    <definedName name="Z_0A19EF14_D800_42E4_9FE8_561C293BC1AA_.wvu.FilterData" localSheetId="3" hidden="1">調配產銷!#REF!</definedName>
    <definedName name="Z_0AA2B248_1E20_4593_A450_B453A057DB74_.wvu.FilterData" localSheetId="2" hidden="1">初餾產銷!$AJ$4:$AJ$78</definedName>
    <definedName name="Z_0AA2B248_1E20_4593_A450_B453A057DB74_.wvu.FilterData" localSheetId="1" hidden="1">精餾產銷!$AK$4:$AL$107</definedName>
    <definedName name="Z_0AFF53B0_B6E3_4B55_946D_11F993353F04_.wvu.FilterData" localSheetId="1" hidden="1">精餾產銷!$AK$4:$AL$107</definedName>
    <definedName name="Z_0B03F384_C244_4060_9374_81EECD981095_.wvu.FilterData" localSheetId="2" hidden="1">初餾產銷!$AJ$4:$AJ$78</definedName>
    <definedName name="Z_0B03F384_C244_4060_9374_81EECD981095_.wvu.FilterData" localSheetId="1" hidden="1">精餾產銷!$AK$4:$AL$107</definedName>
    <definedName name="Z_0B03F384_C244_4060_9374_81EECD981095_.wvu.FilterData" localSheetId="3" hidden="1">調配產銷!$AF$4:$AF$81</definedName>
    <definedName name="Z_0B26984F_F415_4C20_9DCD_7D2E3260BD36_.wvu.FilterData" localSheetId="2" hidden="1">初餾產銷!$AJ$4:$AJ$78</definedName>
    <definedName name="Z_0B26984F_F415_4C20_9DCD_7D2E3260BD36_.wvu.FilterData" localSheetId="1" hidden="1">精餾產銷!$AK$4:$AL$107</definedName>
    <definedName name="Z_0BCD7CD6_B164_4A26_8A2C_57D57465AEF5_.wvu.FilterData" localSheetId="3" hidden="1">調配產銷!$AF$4:$AF$81</definedName>
    <definedName name="Z_0BF804C9_51A0_4E06_8256_5D8C4B043A4A_.wvu.Cols" localSheetId="2" hidden="1">初餾產銷!$B:$B,初餾產銷!$D:$F</definedName>
    <definedName name="Z_0BF804C9_51A0_4E06_8256_5D8C4B043A4A_.wvu.Cols" localSheetId="0" hidden="1">'產銷總表 '!$B:$B,'產銷總表 '!$D:$F</definedName>
    <definedName name="Z_0BF804C9_51A0_4E06_8256_5D8C4B043A4A_.wvu.Cols" localSheetId="1" hidden="1">精餾產銷!$B:$B</definedName>
    <definedName name="Z_0BF804C9_51A0_4E06_8256_5D8C4B043A4A_.wvu.FilterData" localSheetId="2" hidden="1">初餾產銷!$AJ$4:$AJ$78</definedName>
    <definedName name="Z_0BF804C9_51A0_4E06_8256_5D8C4B043A4A_.wvu.FilterData" localSheetId="4" hidden="1">秏料!$A$2:$L$134</definedName>
    <definedName name="Z_0BF804C9_51A0_4E06_8256_5D8C4B043A4A_.wvu.FilterData" localSheetId="0" hidden="1">'產銷總表 '!$AF$5:$AG$241</definedName>
    <definedName name="Z_0BF804C9_51A0_4E06_8256_5D8C4B043A4A_.wvu.FilterData" localSheetId="1" hidden="1">精餾產銷!$AK$4:$AL$107</definedName>
    <definedName name="Z_0BF804C9_51A0_4E06_8256_5D8C4B043A4A_.wvu.FilterData" localSheetId="3" hidden="1">調配產銷!$AF$4:$AF$81</definedName>
    <definedName name="Z_0BF804C9_51A0_4E06_8256_5D8C4B043A4A_.wvu.PrintArea" localSheetId="2" hidden="1">初餾產銷!$A$1:$AI$78</definedName>
    <definedName name="Z_0BF804C9_51A0_4E06_8256_5D8C4B043A4A_.wvu.PrintArea" localSheetId="4" hidden="1">秏料!$A$1:$L$134</definedName>
    <definedName name="Z_0BF804C9_51A0_4E06_8256_5D8C4B043A4A_.wvu.PrintArea" localSheetId="0" hidden="1">'產銷總表 '!$A$2:$AE$241</definedName>
    <definedName name="Z_0BF804C9_51A0_4E06_8256_5D8C4B043A4A_.wvu.PrintArea" localSheetId="1" hidden="1">精餾產銷!$A$1:$AE$107</definedName>
    <definedName name="Z_0BF804C9_51A0_4E06_8256_5D8C4B043A4A_.wvu.PrintArea" localSheetId="3" hidden="1">調配產銷!$A$1:$AE$83</definedName>
    <definedName name="Z_0BF804C9_51A0_4E06_8256_5D8C4B043A4A_.wvu.PrintTitles" localSheetId="2" hidden="1">初餾產銷!$1:$2</definedName>
    <definedName name="Z_0BF804C9_51A0_4E06_8256_5D8C4B043A4A_.wvu.PrintTitles" localSheetId="1" hidden="1">精餾產銷!$1:$2</definedName>
    <definedName name="Z_0C637E54_696F_4798_840A_80624E417422_.wvu.FilterData" localSheetId="1" hidden="1">精餾產銷!$AK$4:$AL$107</definedName>
    <definedName name="Z_0C879071_6BBA_4FC1_8706_829CD144BE4C_.wvu.FilterData" localSheetId="2" hidden="1">初餾產銷!$AJ$4:$AJ$78</definedName>
    <definedName name="Z_0CB64B4D_FD65_47DD_AE6E_73EE19B49353_.wvu.FilterData" localSheetId="1" hidden="1">精餾產銷!$AF$4:$AF$105</definedName>
    <definedName name="Z_0CDAE24B_49E7_4C83_A16A_62A9D6BA3A36_.wvu.FilterData" localSheetId="2" hidden="1">初餾產銷!$AJ$4:$AJ$78</definedName>
    <definedName name="Z_0CDAE24B_49E7_4C83_A16A_62A9D6BA3A36_.wvu.FilterData" localSheetId="1" hidden="1">精餾產銷!$AK$4:$AL$107</definedName>
    <definedName name="Z_0CDAE24B_49E7_4C83_A16A_62A9D6BA3A36_.wvu.FilterData" localSheetId="3" hidden="1">調配產銷!$AF$4:$AF$81</definedName>
    <definedName name="Z_0CE62EBD_DC42_4278_91F1_93C04480E129_.wvu.FilterData" localSheetId="1" hidden="1">精餾產銷!$AK$4:$AL$102</definedName>
    <definedName name="Z_0D03B988_90ED_4539_89EF_2EF72E3E5499_.wvu.FilterData" localSheetId="1" hidden="1">精餾產銷!$AK$4:$AL$107</definedName>
    <definedName name="Z_0D053F18_B723_4AD3_8DC8_8A4391582B08_.wvu.FilterData" localSheetId="1" hidden="1">精餾產銷!$AK$4:$AL$107</definedName>
    <definedName name="Z_0D413E40_FDC0_4D0B_9393_80F8D5DE193F_.wvu.FilterData" localSheetId="2" hidden="1">初餾產銷!$AJ$4:$AJ$78</definedName>
    <definedName name="Z_0D413E40_FDC0_4D0B_9393_80F8D5DE193F_.wvu.FilterData" localSheetId="1" hidden="1">精餾產銷!$AK$4:$AL$107</definedName>
    <definedName name="Z_0D413E40_FDC0_4D0B_9393_80F8D5DE193F_.wvu.FilterData" localSheetId="3" hidden="1">調配產銷!$AF$4:$AF$81</definedName>
    <definedName name="Z_0D60E9DF_C6B4_49CC_B516_9A7EBBAC0D49_.wvu.FilterData" localSheetId="1" hidden="1">精餾產銷!$AF$4:$AF$105</definedName>
    <definedName name="Z_0DA641FF_4B94_4D5D_B15D_AC7D8AABAA61_.wvu.FilterData" localSheetId="1" hidden="1">精餾產銷!$AK$4:$AL$107</definedName>
    <definedName name="Z_0DCBFFE4_6110_413A_833C_AC1178D23D1C_.wvu.FilterData" localSheetId="2" hidden="1">初餾產銷!$AJ$4:$AJ$78</definedName>
    <definedName name="Z_0DCBFFE4_6110_413A_833C_AC1178D23D1C_.wvu.FilterData" localSheetId="1" hidden="1">精餾產銷!$AK$4:$AL$107</definedName>
    <definedName name="Z_0DCBFFE4_6110_413A_833C_AC1178D23D1C_.wvu.FilterData" localSheetId="3" hidden="1">調配產銷!$AF$4:$AF$81</definedName>
    <definedName name="Z_0E0E40A4_649B_4FCF_AC61_9F48040FFC7C_.wvu.FilterData" localSheetId="1" hidden="1">精餾產銷!$AK$4:$AL$102</definedName>
    <definedName name="Z_0E17E570_1244_4083_87B5_F9C5205EC154_.wvu.FilterData" localSheetId="3" hidden="1">調配產銷!#REF!</definedName>
    <definedName name="Z_0E560871_442C_4B4C_BC59_753E7CB4CAE3_.wvu.FilterData" localSheetId="1" hidden="1">精餾產銷!$AK$4:$AL$107</definedName>
    <definedName name="Z_0E7F6FB5_5CF8_479F_BE63_279FEE48D114_.wvu.FilterData" localSheetId="2" hidden="1">初餾產銷!$AJ$4:$AJ$78</definedName>
    <definedName name="Z_0E7F6FB5_5CF8_479F_BE63_279FEE48D114_.wvu.FilterData" localSheetId="1" hidden="1">精餾產銷!$AK$4:$AL$107</definedName>
    <definedName name="Z_0E84BF2F_D722_421A_8CC1_BE6310FE6A2F_.wvu.FilterData" localSheetId="2" hidden="1">初餾產銷!$A$4:$AJ$53</definedName>
    <definedName name="Z_0E84BF2F_D722_421A_8CC1_BE6310FE6A2F_.wvu.FilterData" localSheetId="1" hidden="1">精餾產銷!$AK$4:$AL$107</definedName>
    <definedName name="Z_0EC7F7F9_D649_48FD_9606_006AD0A31B99_.wvu.FilterData" localSheetId="1" hidden="1">精餾產銷!$AK$4:$AL$107</definedName>
    <definedName name="Z_0ECA3AD2_BC5D_42E7_B8E3_CA38B0668EE4_.wvu.FilterData" localSheetId="2" hidden="1">初餾產銷!$AJ$4:$AJ$78</definedName>
    <definedName name="Z_0ECA3AD2_BC5D_42E7_B8E3_CA38B0668EE4_.wvu.FilterData" localSheetId="1" hidden="1">精餾產銷!$AK$4:$AL$107</definedName>
    <definedName name="Z_0ECA3AD2_BC5D_42E7_B8E3_CA38B0668EE4_.wvu.FilterData" localSheetId="3" hidden="1">調配產銷!$AF$4:$AF$81</definedName>
    <definedName name="Z_0ECB9B97_2AD4_4FDE_AEC6_B72E0B531465_.wvu.FilterData" localSheetId="3" hidden="1">調配產銷!$AF$4:$AF$81</definedName>
    <definedName name="Z_0FAEEABA_678F_4C22_B1A9_0A65118C2960_.wvu.FilterData" localSheetId="2" hidden="1">初餾產銷!$AJ$4:$AJ$78</definedName>
    <definedName name="Z_0FC60F8C_F993_412E_817F_DC4728975455_.wvu.FilterData" localSheetId="2" hidden="1">初餾產銷!$AJ$4:$AJ$78</definedName>
    <definedName name="Z_0FC60F8C_F993_412E_817F_DC4728975455_.wvu.FilterData" localSheetId="1" hidden="1">精餾產銷!$AK$4:$AL$107</definedName>
    <definedName name="Z_0FC60F8C_F993_412E_817F_DC4728975455_.wvu.FilterData" localSheetId="3" hidden="1">調配產銷!$AF$4:$AF$81</definedName>
    <definedName name="Z_0FE1C308_26D9_4BE5_8A4F_A2BFF784841F_.wvu.FilterData" localSheetId="3" hidden="1">調配產銷!$AF$4:$AF$81</definedName>
    <definedName name="Z_105DA7B4_E00E_407B_896F_44690C31E3C9_.wvu.FilterData" localSheetId="1" hidden="1">精餾產銷!$AF$4:$AF$105</definedName>
    <definedName name="Z_109427CB_2BE5_44DE_993C_F7448ECB29B1_.wvu.FilterData" localSheetId="1" hidden="1">精餾產銷!$AF$4:$AF$105</definedName>
    <definedName name="Z_110F0940_3F0D_41D1_9B3C_BB828BE8E273_.wvu.FilterData" localSheetId="2" hidden="1">初餾產銷!$AJ$4:$AJ$78</definedName>
    <definedName name="Z_114D6E1D_D972_4506_87A1_DA610699DD0C_.wvu.FilterData" localSheetId="2" hidden="1">初餾產銷!$AJ$4:$AJ$78</definedName>
    <definedName name="Z_114D6E1D_D972_4506_87A1_DA610699DD0C_.wvu.FilterData" localSheetId="1" hidden="1">精餾產銷!$AK$4:$AL$107</definedName>
    <definedName name="Z_114D6E1D_D972_4506_87A1_DA610699DD0C_.wvu.FilterData" localSheetId="3" hidden="1">調配產銷!$AF$4:$AF$81</definedName>
    <definedName name="Z_1161945E_7CAF_496B_B12C_7FBE9F17DB82_.wvu.FilterData" localSheetId="1" hidden="1">精餾產銷!$AK$4:$AL$107</definedName>
    <definedName name="Z_116D4A27_DD32_43E1_A749_5185170EDF05_.wvu.FilterData" localSheetId="2" hidden="1">初餾產銷!$AJ$4:$AJ$78</definedName>
    <definedName name="Z_116D4A27_DD32_43E1_A749_5185170EDF05_.wvu.FilterData" localSheetId="1" hidden="1">精餾產銷!$AK$4:$AL$107</definedName>
    <definedName name="Z_116D4A27_DD32_43E1_A749_5185170EDF05_.wvu.FilterData" localSheetId="3" hidden="1">調配產銷!$AF$4:$AF$81</definedName>
    <definedName name="Z_116FE339_B1A3_4B4B_810B_EFA23759C0A8_.wvu.FilterData" localSheetId="1" hidden="1">精餾產銷!$AK$4:$AL$107</definedName>
    <definedName name="Z_116FE339_B1A3_4B4B_810B_EFA23759C0A8_.wvu.FilterData" localSheetId="3" hidden="1">調配產銷!#REF!</definedName>
    <definedName name="Z_118254E2_4643_4610_8496_3DD1DE0FD838_.wvu.FilterData" localSheetId="0" hidden="1">'產銷總表 '!$AF$5:$AG$241</definedName>
    <definedName name="Z_118254E2_4643_4610_8496_3DD1DE0FD838_.wvu.FilterData" localSheetId="1" hidden="1">精餾產銷!$AK$4:$AL$107</definedName>
    <definedName name="Z_118254E2_4643_4610_8496_3DD1DE0FD838_.wvu.FilterData" localSheetId="3" hidden="1">調配產銷!$AF$4:$AF$81</definedName>
    <definedName name="Z_11A19663_063F_4FC0_8E6F_AEEBCD14E25E_.wvu.FilterData" localSheetId="1" hidden="1">精餾產銷!$AK$4:$AL$107</definedName>
    <definedName name="Z_11A19663_063F_4FC0_8E6F_AEEBCD14E25E_.wvu.FilterData" localSheetId="3" hidden="1">調配產銷!$AF$4:$AF$81</definedName>
    <definedName name="Z_12083CD1_2ADF_4C12_A19E_F92E50CBA789_.wvu.FilterData" localSheetId="1" hidden="1">精餾產銷!$AK$4:$AL$107</definedName>
    <definedName name="Z_12399570_4146_41E9_B5F7_F7088647C229_.wvu.FilterData" localSheetId="1" hidden="1">精餾產銷!$AK$4:$AL$107</definedName>
    <definedName name="Z_127ED9EF_0B89_41DE_9975_212C0F287F78_.wvu.FilterData" localSheetId="1" hidden="1">精餾產銷!$AK$4:$AL$102</definedName>
    <definedName name="Z_1295009C_979C_4064_8E3F_E07A364553D1_.wvu.FilterData" localSheetId="1" hidden="1">精餾產銷!$AK$4:$AL$102</definedName>
    <definedName name="Z_1295009C_979C_4064_8E3F_E07A364553D1_.wvu.FilterData" localSheetId="3" hidden="1">調配產銷!#REF!</definedName>
    <definedName name="Z_12B14294_202D_49C5_96BC_7BAB7C4D4725_.wvu.FilterData" localSheetId="2" hidden="1">初餾產銷!$AJ$4:$AJ$78</definedName>
    <definedName name="Z_133CC793_370A_43E7_B073_C90BE7AB4620_.wvu.FilterData" localSheetId="1" hidden="1">精餾產銷!$AK$4:$AL$107</definedName>
    <definedName name="Z_133CC793_370A_43E7_B073_C90BE7AB4620_.wvu.FilterData" localSheetId="3" hidden="1">調配產銷!$AF$4:$AF$81</definedName>
    <definedName name="Z_13B17853_2F7C_4003_B2CE_F9B420C9ECC4_.wvu.Cols" localSheetId="2" hidden="1">初餾產銷!$B:$B,初餾產銷!$D:$F</definedName>
    <definedName name="Z_13B17853_2F7C_4003_B2CE_F9B420C9ECC4_.wvu.Cols" localSheetId="0" hidden="1">'產銷總表 '!$B:$B,'產銷總表 '!$D:$F</definedName>
    <definedName name="Z_13B17853_2F7C_4003_B2CE_F9B420C9ECC4_.wvu.Cols" localSheetId="1" hidden="1">精餾產銷!$B:$B,精餾產銷!$D:$F</definedName>
    <definedName name="Z_13B17853_2F7C_4003_B2CE_F9B420C9ECC4_.wvu.Cols" localSheetId="3" hidden="1">調配產銷!$B:$B,調配產銷!$D:$F</definedName>
    <definedName name="Z_13B17853_2F7C_4003_B2CE_F9B420C9ECC4_.wvu.FilterData" localSheetId="2" hidden="1">初餾產銷!$AJ$4:$AJ$78</definedName>
    <definedName name="Z_13B17853_2F7C_4003_B2CE_F9B420C9ECC4_.wvu.FilterData" localSheetId="4" hidden="1">秏料!$A$2:$L$134</definedName>
    <definedName name="Z_13B17853_2F7C_4003_B2CE_F9B420C9ECC4_.wvu.FilterData" localSheetId="0" hidden="1">'產銷總表 '!$AF$5:$AG$241</definedName>
    <definedName name="Z_13B17853_2F7C_4003_B2CE_F9B420C9ECC4_.wvu.FilterData" localSheetId="1" hidden="1">精餾產銷!$AK$4:$AL$107</definedName>
    <definedName name="Z_13B17853_2F7C_4003_B2CE_F9B420C9ECC4_.wvu.FilterData" localSheetId="3" hidden="1">調配產銷!$AF$4:$AF$81</definedName>
    <definedName name="Z_13B17853_2F7C_4003_B2CE_F9B420C9ECC4_.wvu.PrintArea" localSheetId="4" hidden="1">秏料!$A$1:$L$134</definedName>
    <definedName name="Z_13B17853_2F7C_4003_B2CE_F9B420C9ECC4_.wvu.PrintArea" localSheetId="0" hidden="1">'產銷總表 '!$A$2:$AE$241</definedName>
    <definedName name="Z_13B17853_2F7C_4003_B2CE_F9B420C9ECC4_.wvu.PrintArea" localSheetId="3" hidden="1">調配產銷!$A$1:$AE$83</definedName>
    <definedName name="Z_13B17853_2F7C_4003_B2CE_F9B420C9ECC4_.wvu.PrintTitles" localSheetId="2" hidden="1">初餾產銷!$1:$2</definedName>
    <definedName name="Z_13B17853_2F7C_4003_B2CE_F9B420C9ECC4_.wvu.PrintTitles" localSheetId="1" hidden="1">精餾產銷!$1:$2</definedName>
    <definedName name="Z_1408AA11_03F9_447F_B0E7_4F0138FFC802_.wvu.FilterData" localSheetId="2" hidden="1">初餾產銷!$A$4:$AJ$53</definedName>
    <definedName name="Z_1408AA11_03F9_447F_B0E7_4F0138FFC802_.wvu.FilterData" localSheetId="1" hidden="1">精餾產銷!$AK$4:$AL$102</definedName>
    <definedName name="Z_1413DEAE_C926_4749_9C8C_203A70E0410F_.wvu.FilterData" localSheetId="1" hidden="1">精餾產銷!$AK$4:$AL$107</definedName>
    <definedName name="Z_1413DEAE_C926_4749_9C8C_203A70E0410F_.wvu.FilterData" localSheetId="3" hidden="1">調配產銷!$AF$4:$AF$81</definedName>
    <definedName name="Z_14465140_C520_4382_93F2_EB7C538C2DFB_.wvu.FilterData" localSheetId="2" hidden="1">初餾產銷!$AJ$4:$AJ$78</definedName>
    <definedName name="Z_148A2366_27C7_42A4_AC2E_C13A453C96C0_.wvu.FilterData" localSheetId="2" hidden="1">初餾產銷!$AJ$4:$AJ$78</definedName>
    <definedName name="Z_148A2366_27C7_42A4_AC2E_C13A453C96C0_.wvu.FilterData" localSheetId="1" hidden="1">精餾產銷!$AK$4:$AL$107</definedName>
    <definedName name="Z_148A2366_27C7_42A4_AC2E_C13A453C96C0_.wvu.FilterData" localSheetId="3" hidden="1">調配產銷!$AF$4:$AF$81</definedName>
    <definedName name="Z_14937EAC_6316_4066_9AF7_0158AAC77AE2_.wvu.FilterData" localSheetId="3" hidden="1">調配產銷!$AF$4:$AF$81</definedName>
    <definedName name="Z_1497BC99_20E1_4A0D_9FE3_EB513865DC05_.wvu.FilterData" localSheetId="1" hidden="1">精餾產銷!$AK$4:$AL$107</definedName>
    <definedName name="Z_14BD2D38_E659_4FD9_BB15_CD4B4B7C6489_.wvu.FilterData" localSheetId="2" hidden="1">初餾產銷!$AJ$4:$AJ$78</definedName>
    <definedName name="Z_14BD2D38_E659_4FD9_BB15_CD4B4B7C6489_.wvu.FilterData" localSheetId="3" hidden="1">調配產銷!$AF$4:$AF$81</definedName>
    <definedName name="Z_14F07F7F_0087_4B63_BCD6_E3D61020A718_.wvu.FilterData" localSheetId="1" hidden="1">精餾產銷!$AK$4:$AL$107</definedName>
    <definedName name="Z_14FC577E_BDFE_4D39_AACA_4B23B225F354_.wvu.FilterData" localSheetId="2" hidden="1">初餾產銷!$A$4:$AJ$48</definedName>
    <definedName name="Z_14FC577E_BDFE_4D39_AACA_4B23B225F354_.wvu.FilterData" localSheetId="0" hidden="1">'產銷總表 '!$A$5:$F$118</definedName>
    <definedName name="Z_14FC577E_BDFE_4D39_AACA_4B23B225F354_.wvu.FilterData" localSheetId="1" hidden="1">精餾產銷!$A$4:$AJ$99</definedName>
    <definedName name="Z_14FC577E_BDFE_4D39_AACA_4B23B225F354_.wvu.FilterData" localSheetId="3" hidden="1">調配產銷!#REF!</definedName>
    <definedName name="Z_15DE5014_8AA5_4908_882F_1A2FBB857272_.wvu.FilterData" localSheetId="2" hidden="1">初餾產銷!$AJ$4:$AJ$78</definedName>
    <definedName name="Z_15DE5014_8AA5_4908_882F_1A2FBB857272_.wvu.FilterData" localSheetId="0" hidden="1">'產銷總表 '!$AF$5:$AG$241</definedName>
    <definedName name="Z_15DE5014_8AA5_4908_882F_1A2FBB857272_.wvu.FilterData" localSheetId="1" hidden="1">精餾產銷!$AK$4:$AL$107</definedName>
    <definedName name="Z_15FD8C0C_CDBC_4CD3_A78B_2C99A0B84B39_.wvu.FilterData" localSheetId="2" hidden="1">初餾產銷!$AF$4:$AF$78</definedName>
    <definedName name="Z_15FD8C0C_CDBC_4CD3_A78B_2C99A0B84B39_.wvu.FilterData" localSheetId="1" hidden="1">精餾產銷!$AK$4:$AL$107</definedName>
    <definedName name="Z_161F476D_9C03_4B81_A108_87F399C97B53_.wvu.FilterData" localSheetId="1" hidden="1">精餾產銷!$AK$4:$AL$102</definedName>
    <definedName name="Z_167A270A_D1AB_499C_AE3F_92B161FDDB2A_.wvu.FilterData" localSheetId="1" hidden="1">精餾產銷!$AK$4:$AL$107</definedName>
    <definedName name="Z_167A270A_D1AB_499C_AE3F_92B161FDDB2A_.wvu.FilterData" localSheetId="3" hidden="1">調配產銷!$AF$4:$AF$81</definedName>
    <definedName name="Z_16992832_3895_464D_86F8_C9749EA5F0DF_.wvu.FilterData" localSheetId="1" hidden="1">精餾產銷!$AK$4:$AL$107</definedName>
    <definedName name="Z_16D75BDF_937C_4FFE_AC5B_9610AC50609D_.wvu.FilterData" localSheetId="2" hidden="1">初餾產銷!$A$4:$AJ$53</definedName>
    <definedName name="Z_16D75BDF_937C_4FFE_AC5B_9610AC50609D_.wvu.FilterData" localSheetId="1" hidden="1">精餾產銷!$AK$4:$AL$102</definedName>
    <definedName name="Z_1716F7A7_7F29_44A2_85CD_EECFA6C8E865_.wvu.FilterData" localSheetId="1" hidden="1">精餾產銷!$AK$4:$AL$107</definedName>
    <definedName name="Z_173F84CF_9EE5_4693_9F18_A0544E920AC9_.wvu.Cols" localSheetId="2" hidden="1">初餾產銷!$B:$B,初餾產銷!$D:$F</definedName>
    <definedName name="Z_173F84CF_9EE5_4693_9F18_A0544E920AC9_.wvu.Cols" localSheetId="0" hidden="1">'產銷總表 '!$B:$B,'產銷總表 '!$D:$F</definedName>
    <definedName name="Z_173F84CF_9EE5_4693_9F18_A0544E920AC9_.wvu.Cols" localSheetId="1" hidden="1">精餾產銷!$B:$B,精餾產銷!$D:$F</definedName>
    <definedName name="Z_173F84CF_9EE5_4693_9F18_A0544E920AC9_.wvu.Cols" localSheetId="3" hidden="1">調配產銷!$B:$B,調配產銷!$D:$F</definedName>
    <definedName name="Z_173F84CF_9EE5_4693_9F18_A0544E920AC9_.wvu.FilterData" localSheetId="2" hidden="1">初餾產銷!$AJ$4:$AJ$78</definedName>
    <definedName name="Z_173F84CF_9EE5_4693_9F18_A0544E920AC9_.wvu.FilterData" localSheetId="4" hidden="1">秏料!$B$2:$G$134</definedName>
    <definedName name="Z_173F84CF_9EE5_4693_9F18_A0544E920AC9_.wvu.FilterData" localSheetId="0" hidden="1">'產銷總表 '!$AF$5:$AG$241</definedName>
    <definedName name="Z_173F84CF_9EE5_4693_9F18_A0544E920AC9_.wvu.FilterData" localSheetId="1" hidden="1">精餾產銷!$AK$4:$AL$107</definedName>
    <definedName name="Z_173F84CF_9EE5_4693_9F18_A0544E920AC9_.wvu.FilterData" localSheetId="3" hidden="1">調配產銷!$AF$4:$AF$81</definedName>
    <definedName name="Z_173F84CF_9EE5_4693_9F18_A0544E920AC9_.wvu.PrintArea" localSheetId="2" hidden="1">初餾產銷!$A$1:$AI$78</definedName>
    <definedName name="Z_173F84CF_9EE5_4693_9F18_A0544E920AC9_.wvu.PrintArea" localSheetId="4" hidden="1">秏料!$A$1:$L$134</definedName>
    <definedName name="Z_173F84CF_9EE5_4693_9F18_A0544E920AC9_.wvu.PrintArea" localSheetId="0" hidden="1">'產銷總表 '!$A$2:$AE$241</definedName>
    <definedName name="Z_173F84CF_9EE5_4693_9F18_A0544E920AC9_.wvu.PrintArea" localSheetId="1" hidden="1">精餾產銷!$A$1:$AE$107</definedName>
    <definedName name="Z_173F84CF_9EE5_4693_9F18_A0544E920AC9_.wvu.PrintArea" localSheetId="3" hidden="1">調配產銷!$A$1:$AE$83</definedName>
    <definedName name="Z_173F84CF_9EE5_4693_9F18_A0544E920AC9_.wvu.PrintTitles" localSheetId="2" hidden="1">初餾產銷!$1:$2</definedName>
    <definedName name="Z_173F84CF_9EE5_4693_9F18_A0544E920AC9_.wvu.PrintTitles" localSheetId="1" hidden="1">精餾產銷!$1:$2</definedName>
    <definedName name="Z_1740F199_DDD6_465D_B2D2_D78151B06F95_.wvu.FilterData" localSheetId="1" hidden="1">精餾產銷!$AK$4:$AL$107</definedName>
    <definedName name="Z_1758E7D4_8066_4A04_94BC_0AB1653FE68B_.wvu.FilterData" localSheetId="3" hidden="1">調配產銷!$AF$4:$AF$81</definedName>
    <definedName name="Z_1796D268_B25B_4B13_B212_FBDBC20CC55F_.wvu.FilterData" localSheetId="1" hidden="1">精餾產銷!$AK$4:$AL$107</definedName>
    <definedName name="Z_17DCC229_6563_4B81_9E5C_8FA408D97DDD_.wvu.FilterData" localSheetId="2" hidden="1">初餾產銷!$AJ$4:$AJ$78</definedName>
    <definedName name="Z_17DCC229_6563_4B81_9E5C_8FA408D97DDD_.wvu.FilterData" localSheetId="1" hidden="1">精餾產銷!$AK$4:$AL$107</definedName>
    <definedName name="Z_17DCC229_6563_4B81_9E5C_8FA408D97DDD_.wvu.FilterData" localSheetId="3" hidden="1">調配產銷!$AF$4:$AF$81</definedName>
    <definedName name="Z_18094D5A_A0D1_49A9_AE47_61CB93AEB936_.wvu.FilterData" localSheetId="2" hidden="1">初餾產銷!$AJ$4:$AJ$78</definedName>
    <definedName name="Z_186A1D7D_3C62_4645_887B_C349EA34DA50_.wvu.FilterData" localSheetId="2" hidden="1">初餾產銷!$AJ$4:$AJ$78</definedName>
    <definedName name="Z_1885105D_3C28_42E4_A31D_71DCE4A1E931_.wvu.FilterData" localSheetId="1" hidden="1">精餾產銷!$AF$4:$AF$105</definedName>
    <definedName name="Z_189F90EA_2DC7_480A_A2F3_AA51FA2375AC_.wvu.FilterData" localSheetId="2" hidden="1">初餾產銷!$AJ$4:$AJ$78</definedName>
    <definedName name="Z_189F90EA_2DC7_480A_A2F3_AA51FA2375AC_.wvu.FilterData" localSheetId="1" hidden="1">精餾產銷!$AK$4:$AL$107</definedName>
    <definedName name="Z_1928FB70_C366_4F4D_8D96_224CE37CC419_.wvu.FilterData" localSheetId="1" hidden="1">精餾產銷!$A$4:$AJ$105</definedName>
    <definedName name="Z_193F4CC7_E66F_4FD4_9826_9A1C3F42F141_.wvu.FilterData" localSheetId="1" hidden="1">精餾產銷!$AK$4:$AL$107</definedName>
    <definedName name="Z_199118FF_9E4B_47C4_A043_D1FDD1176D03_.wvu.FilterData" localSheetId="1" hidden="1">精餾產銷!$AK$4:$AL$107</definedName>
    <definedName name="Z_19A7EF86_6DFB_4F08_9515_067BE6FACEDD_.wvu.FilterData" localSheetId="2" hidden="1">初餾產銷!$AF$4:$AF$53</definedName>
    <definedName name="Z_19A7EF86_6DFB_4F08_9515_067BE6FACEDD_.wvu.FilterData" localSheetId="1" hidden="1">精餾產銷!$AF$4:$AF$105</definedName>
    <definedName name="Z_19A7EF86_6DFB_4F08_9515_067BE6FACEDD_.wvu.FilterData" localSheetId="3" hidden="1">調配產銷!#REF!</definedName>
    <definedName name="Z_19ABB01E_3741_4212_A21B_859D472BA6EF_.wvu.FilterData" localSheetId="2" hidden="1">初餾產銷!$AJ$4:$AJ$78</definedName>
    <definedName name="Z_19ABB01E_3741_4212_A21B_859D472BA6EF_.wvu.FilterData" localSheetId="1" hidden="1">精餾產銷!$AK$4:$AL$107</definedName>
    <definedName name="Z_19ABB01E_3741_4212_A21B_859D472BA6EF_.wvu.FilterData" localSheetId="3" hidden="1">調配產銷!$AF$4:$AF$81</definedName>
    <definedName name="Z_19AE675C_8A5A_4AC9_85AD_9EF53A6F5408_.wvu.FilterData" localSheetId="1" hidden="1">精餾產銷!$AK$4:$AL$107</definedName>
    <definedName name="Z_19AF1780_0E99_4FBD_B137_31C0B517B8B7_.wvu.FilterData" localSheetId="1" hidden="1">精餾產銷!$AK$4:$AL$107</definedName>
    <definedName name="Z_19BE452A_30A5_4814_9995_9BCB6AAD8E62_.wvu.FilterData" localSheetId="3" hidden="1">調配產銷!$AF$4:$AF$81</definedName>
    <definedName name="Z_19C16079_BBD0_47B5_B298_CEF292F785D8_.wvu.FilterData" localSheetId="1" hidden="1">精餾產銷!$AK$4:$AL$107</definedName>
    <definedName name="Z_19C16079_BBD0_47B5_B298_CEF292F785D8_.wvu.FilterData" localSheetId="3" hidden="1">調配產銷!$AF$4:$AF$81</definedName>
    <definedName name="Z_19E7A841_D0B6_4955_97BD_30C5AC5D7BB8_.wvu.FilterData" localSheetId="3" hidden="1">調配產銷!$AF$4:$AF$81</definedName>
    <definedName name="Z_19ED6D1B_CBDD_4524_9C3E_D49078A4383E_.wvu.FilterData" localSheetId="2" hidden="1">初餾產銷!$AJ$4:$AJ$78</definedName>
    <definedName name="Z_19F834D2_C7A5_44C0_9D87_7EF6453C4DC6_.wvu.FilterData" localSheetId="1" hidden="1">精餾產銷!$AK$4:$AL$107</definedName>
    <definedName name="Z_1A31CD10_AF57_457C_89C7_C539D75E5204_.wvu.FilterData" localSheetId="3" hidden="1">調配產銷!#REF!</definedName>
    <definedName name="Z_1AD0BD9F_FE17_4286_820F_5CE8365022A2_.wvu.FilterData" localSheetId="2" hidden="1">初餾產銷!$A$4:$AK$53</definedName>
    <definedName name="Z_1AFD1DDB_24AC_4DB8_8D00_78A2412B1E24_.wvu.FilterData" localSheetId="1" hidden="1">精餾產銷!$AK$4:$AL$107</definedName>
    <definedName name="Z_1AFD1DDB_24AC_4DB8_8D00_78A2412B1E24_.wvu.FilterData" localSheetId="3" hidden="1">調配產銷!#REF!</definedName>
    <definedName name="Z_1B579F26_3E59_44C6_B620_B53170D4CEAD_.wvu.FilterData" localSheetId="2" hidden="1">初餾產銷!$AJ$4:$AJ$78</definedName>
    <definedName name="Z_1B579F26_3E59_44C6_B620_B53170D4CEAD_.wvu.FilterData" localSheetId="1" hidden="1">精餾產銷!$AK$4:$AL$107</definedName>
    <definedName name="Z_1B5C9F28_C8E0_4E27_B1BB_9066451B298B_.wvu.FilterData" localSheetId="2" hidden="1">初餾產銷!$A$4:$AJ$53</definedName>
    <definedName name="Z_1B5C9F28_C8E0_4E27_B1BB_9066451B298B_.wvu.FilterData" localSheetId="1" hidden="1">精餾產銷!$AK$4:$AL$107</definedName>
    <definedName name="Z_1B5C9F28_C8E0_4E27_B1BB_9066451B298B_.wvu.FilterData" localSheetId="3" hidden="1">調配產銷!#REF!</definedName>
    <definedName name="Z_1BAB3D04_CEC6_4DFA_9D8F_4BEF90308AF4_.wvu.FilterData" localSheetId="1" hidden="1">精餾產銷!$AK$4:$AL$102</definedName>
    <definedName name="Z_1BC3F178_54C0_4A8C_A5C3_CF7D6D208825_.wvu.Cols" localSheetId="2" hidden="1">初餾產銷!$B:$B</definedName>
    <definedName name="Z_1BC3F178_54C0_4A8C_A5C3_CF7D6D208825_.wvu.Cols" localSheetId="0" hidden="1">'產銷總表 '!$B:$B</definedName>
    <definedName name="Z_1BC3F178_54C0_4A8C_A5C3_CF7D6D208825_.wvu.Cols" localSheetId="1" hidden="1">精餾產銷!$B:$B</definedName>
    <definedName name="Z_1BC3F178_54C0_4A8C_A5C3_CF7D6D208825_.wvu.Cols" localSheetId="3" hidden="1">調配產銷!#REF!</definedName>
    <definedName name="Z_1BC3F178_54C0_4A8C_A5C3_CF7D6D208825_.wvu.FilterData" localSheetId="2" hidden="1">初餾產銷!$AF$4:$AF$53</definedName>
    <definedName name="Z_1BC3F178_54C0_4A8C_A5C3_CF7D6D208825_.wvu.FilterData" localSheetId="0" hidden="1">'產銷總表 '!$A$5:$F$118</definedName>
    <definedName name="Z_1BC3F178_54C0_4A8C_A5C3_CF7D6D208825_.wvu.FilterData" localSheetId="1" hidden="1">精餾產銷!$AF$4:$AF$105</definedName>
    <definedName name="Z_1BC3F178_54C0_4A8C_A5C3_CF7D6D208825_.wvu.FilterData" localSheetId="3" hidden="1">調配產銷!#REF!</definedName>
    <definedName name="Z_1BC3F178_54C0_4A8C_A5C3_CF7D6D208825_.wvu.PrintArea" localSheetId="2" hidden="1">初餾產銷!$A$1:$AE$55</definedName>
    <definedName name="Z_1BC3F178_54C0_4A8C_A5C3_CF7D6D208825_.wvu.PrintArea" localSheetId="0" hidden="1">'產銷總表 '!$A$2:$F$118</definedName>
    <definedName name="Z_1BC3F178_54C0_4A8C_A5C3_CF7D6D208825_.wvu.PrintArea" localSheetId="1" hidden="1">精餾產銷!$A$1:$AE$113</definedName>
    <definedName name="Z_1BC3F178_54C0_4A8C_A5C3_CF7D6D208825_.wvu.PrintArea" localSheetId="3" hidden="1">調配產銷!#REF!</definedName>
    <definedName name="Z_1BC3F178_54C0_4A8C_A5C3_CF7D6D208825_.wvu.PrintTitles" localSheetId="2" hidden="1">初餾產銷!$1:$2</definedName>
    <definedName name="Z_1BC3F178_54C0_4A8C_A5C3_CF7D6D208825_.wvu.PrintTitles" localSheetId="1" hidden="1">精餾產銷!$1:$2</definedName>
    <definedName name="Z_1BC3F178_54C0_4A8C_A5C3_CF7D6D208825_.wvu.PrintTitles" localSheetId="3" hidden="1">調配產銷!#REF!</definedName>
    <definedName name="Z_1BC3F178_54C0_4A8C_A5C3_CF7D6D208825_.wvu.Rows" localSheetId="0" hidden="1">'產銷總表 '!#REF!</definedName>
    <definedName name="Z_1BC3F178_54C0_4A8C_A5C3_CF7D6D208825_.wvu.Rows" localSheetId="1" hidden="1">精餾產銷!$106:$106</definedName>
    <definedName name="Z_1C408AC2_E0B1_433E_8C1A_DA758B99B7C6_.wvu.FilterData" localSheetId="1" hidden="1">精餾產銷!$AK$4:$AL$107</definedName>
    <definedName name="Z_1C57A5A8_FED0_49CA_B5DE_6BA05988FD7C_.wvu.FilterData" localSheetId="2" hidden="1">初餾產銷!$AJ$4:$AJ$78</definedName>
    <definedName name="Z_1C57A5A8_FED0_49CA_B5DE_6BA05988FD7C_.wvu.FilterData" localSheetId="1" hidden="1">精餾產銷!$AK$4:$AL$107</definedName>
    <definedName name="Z_1C57A5A8_FED0_49CA_B5DE_6BA05988FD7C_.wvu.FilterData" localSheetId="3" hidden="1">調配產銷!$AF$4:$AF$81</definedName>
    <definedName name="Z_1C57FF31_2B99_4C69_846F_66A527616C75_.wvu.FilterData" localSheetId="1" hidden="1">精餾產銷!$AK$4:$AL$102</definedName>
    <definedName name="Z_1D753DBF_2C30_4410_A5C1_E25920023E26_.wvu.FilterData" localSheetId="3" hidden="1">調配產銷!#REF!</definedName>
    <definedName name="Z_1DBE6172_8AA9_4141_9811_534CF15DCDE3_.wvu.FilterData" localSheetId="1" hidden="1">精餾產銷!$AK$4:$AL$107</definedName>
    <definedName name="Z_1DE5EF27_D56E_4839_87A0_651EE77AB1CE_.wvu.FilterData" localSheetId="2" hidden="1">初餾產銷!$A$4:$AJ$53</definedName>
    <definedName name="Z_1E679F52_699D_40E2_8C96_88A7179E8935_.wvu.FilterData" localSheetId="2" hidden="1">初餾產銷!$AJ$4:$AJ$78</definedName>
    <definedName name="Z_1E82A24A_50A7_4FCA_AAE0_365594894958_.wvu.FilterData" localSheetId="2" hidden="1">初餾產銷!$A$4:$AJ$53</definedName>
    <definedName name="Z_1E82A24A_50A7_4FCA_AAE0_365594894958_.wvu.FilterData" localSheetId="1" hidden="1">精餾產銷!$AK$4:$AL$107</definedName>
    <definedName name="Z_1E82A24A_50A7_4FCA_AAE0_365594894958_.wvu.FilterData" localSheetId="3" hidden="1">調配產銷!#REF!</definedName>
    <definedName name="Z_1EAB0351_511A_45FF_A621_6523F86DA7EC_.wvu.FilterData" localSheetId="2" hidden="1">初餾產銷!$AF$4:$AF$53</definedName>
    <definedName name="Z_1F33DCB5_D70B_4277_B3ED_FFBCCA8D5824_.wvu.FilterData" localSheetId="2" hidden="1">初餾產銷!$AF$4:$AF$78</definedName>
    <definedName name="Z_1F33DCB5_D70B_4277_B3ED_FFBCCA8D5824_.wvu.FilterData" localSheetId="1" hidden="1">精餾產銷!$AK$4:$AL$107</definedName>
    <definedName name="Z_1F33DCB5_D70B_4277_B3ED_FFBCCA8D5824_.wvu.FilterData" localSheetId="3" hidden="1">調配產銷!$AF$4:$AF$81</definedName>
    <definedName name="Z_1F64DD49_0B81_4E6C_A93A_92A2B7B2CAFF_.wvu.FilterData" localSheetId="1" hidden="1">精餾產銷!$AK$4:$AL$102</definedName>
    <definedName name="Z_200775A2_CBC4_4916_8D6C_CEBA4BA60042_.wvu.FilterData" localSheetId="1" hidden="1">精餾產銷!$AK$4:$AL$107</definedName>
    <definedName name="Z_20229ECB_C586_4AB3_AAE1_6C8EF3C76D17_.wvu.FilterData" localSheetId="2" hidden="1">初餾產銷!$AJ$4:$AJ$78</definedName>
    <definedName name="Z_20229ECB_C586_4AB3_AAE1_6C8EF3C76D17_.wvu.FilterData" localSheetId="1" hidden="1">精餾產銷!$AK$4:$AL$107</definedName>
    <definedName name="Z_202932D4_06B8_4390_8C7E_084F0303C5E8_.wvu.FilterData" localSheetId="1" hidden="1">精餾產銷!$AK$4:$AL$107</definedName>
    <definedName name="Z_20D81CBA_E861_4BDB_B28B_0DD735F5ED90_.wvu.FilterData" localSheetId="2" hidden="1">初餾產銷!$AJ$4:$AJ$78</definedName>
    <definedName name="Z_20DA3DBD_DD86_486D_AA55_F88FB95CF31C_.wvu.FilterData" localSheetId="1" hidden="1">精餾產銷!$AK$4:$AL$107</definedName>
    <definedName name="Z_20DA3DBD_DD86_486D_AA55_F88FB95CF31C_.wvu.FilterData" localSheetId="3" hidden="1">調配產銷!$AF$4:$AF$81</definedName>
    <definedName name="Z_21AC0E20_7664_4B84_8B41_B7B859251F1B_.wvu.FilterData" localSheetId="1" hidden="1">精餾產銷!$AF$4:$AF$105</definedName>
    <definedName name="Z_21AC0E20_7664_4B84_8B41_B7B859251F1B_.wvu.FilterData" localSheetId="3" hidden="1">調配產銷!#REF!</definedName>
    <definedName name="Z_221554D5_8ADB_4A6F_A911_7A3966B58410_.wvu.FilterData" localSheetId="1" hidden="1">精餾產銷!$AF$4:$AF$105</definedName>
    <definedName name="Z_221554D5_8ADB_4A6F_A911_7A3966B58410_.wvu.FilterData" localSheetId="3" hidden="1">調配產銷!#REF!</definedName>
    <definedName name="Z_22350915_34F5_4BE1_9E2A_02351E8FD119_.wvu.FilterData" localSheetId="1" hidden="1">精餾產銷!$AK$4:$AL$107</definedName>
    <definedName name="Z_22638FF5_64F7_4E87_BC61_A2EC827EDE77_.wvu.FilterData" localSheetId="3" hidden="1">調配產銷!#REF!</definedName>
    <definedName name="Z_228B8652_BD62_481C_A1CC_C16E1B387087_.wvu.FilterData" localSheetId="3" hidden="1">調配產銷!$AF$4:$AF$81</definedName>
    <definedName name="Z_22DB92CD_808F_4FFC_9BCF_8ACD559667AC_.wvu.FilterData" localSheetId="2" hidden="1">初餾產銷!$AJ$4:$AJ$78</definedName>
    <definedName name="Z_22DB92CD_808F_4FFC_9BCF_8ACD559667AC_.wvu.FilterData" localSheetId="1" hidden="1">精餾產銷!$AK$4:$AL$107</definedName>
    <definedName name="Z_22DB92CD_808F_4FFC_9BCF_8ACD559667AC_.wvu.FilterData" localSheetId="3" hidden="1">調配產銷!$AF$4:$AF$81</definedName>
    <definedName name="Z_23122F12_D80F_4FED_BCB4_5933E2BEAC87_.wvu.FilterData" localSheetId="1" hidden="1">精餾產銷!$AF$4:$AF$105</definedName>
    <definedName name="Z_23CE836F_33C6_4C0B_95FB_A338423C0E3A_.wvu.FilterData" localSheetId="2" hidden="1">初餾產銷!$AJ$4:$AJ$78</definedName>
    <definedName name="Z_23CE8B0C_696B_4026_AC3A_CD92DDB8820D_.wvu.FilterData" localSheetId="2" hidden="1">初餾產銷!$AJ$4:$AJ$78</definedName>
    <definedName name="Z_23CE8B0C_696B_4026_AC3A_CD92DDB8820D_.wvu.FilterData" localSheetId="1" hidden="1">精餾產銷!$AK$4:$AL$107</definedName>
    <definedName name="Z_23CE8B0C_696B_4026_AC3A_CD92DDB8820D_.wvu.FilterData" localSheetId="3" hidden="1">調配產銷!$AF$4:$AF$81</definedName>
    <definedName name="Z_23F40F42_C974_45A1_90E0_9F12AA471860_.wvu.FilterData" localSheetId="2" hidden="1">初餾產銷!$AF$4:$AF$53</definedName>
    <definedName name="Z_23F40F42_C974_45A1_90E0_9F12AA471860_.wvu.FilterData" localSheetId="1" hidden="1">精餾產銷!$AF$4:$AF$105</definedName>
    <definedName name="Z_240B4B01_F851_47EB_A936_054EEE15C546_.wvu.FilterData" localSheetId="2" hidden="1">初餾產銷!$A$4:$AJ$48</definedName>
    <definedName name="Z_240B4B01_F851_47EB_A936_054EEE15C546_.wvu.FilterData" localSheetId="0" hidden="1">'產銷總表 '!$A$5:$F$118</definedName>
    <definedName name="Z_240B4B01_F851_47EB_A936_054EEE15C546_.wvu.FilterData" localSheetId="1" hidden="1">精餾產銷!$A$4:$AJ$99</definedName>
    <definedName name="Z_240B4B01_F851_47EB_A936_054EEE15C546_.wvu.FilterData" localSheetId="3" hidden="1">調配產銷!#REF!</definedName>
    <definedName name="Z_24D3382D_1B3E_40E9_9049_833E053474AF_.wvu.FilterData" localSheetId="1" hidden="1">精餾產銷!$AK$4:$AL$107</definedName>
    <definedName name="Z_2509BD15_FDA8_4086_BAD9_31E44970FE97_.wvu.FilterData" localSheetId="3" hidden="1">調配產銷!$AF$4:$AF$81</definedName>
    <definedName name="Z_2519D726_EE5B_4E4C_8BC9_9F4160741E40_.wvu.FilterData" localSheetId="3" hidden="1">調配產銷!$AF$4:$AF$81</definedName>
    <definedName name="Z_25221F18_4F52_48DC_94BD_6F9A105E121F_.wvu.FilterData" localSheetId="1" hidden="1">精餾產銷!$AK$4:$AL$107</definedName>
    <definedName name="Z_25455D71_D3FD_418D_91D2_51453D47D2AC_.wvu.FilterData" localSheetId="2" hidden="1">初餾產銷!$AJ$4:$AJ$78</definedName>
    <definedName name="Z_25455D71_D3FD_418D_91D2_51453D47D2AC_.wvu.FilterData" localSheetId="1" hidden="1">精餾產銷!$AK$4:$AL$107</definedName>
    <definedName name="Z_2564300F_4C27_4231_ADD5_96366AEBD111_.wvu.FilterData" localSheetId="2" hidden="1">初餾產銷!$AF$4:$AF$53</definedName>
    <definedName name="Z_257ABE0E_7046_43EB_A39A_49E825361C55_.wvu.FilterData" localSheetId="1" hidden="1">精餾產銷!$AF$4:$AF$105</definedName>
    <definedName name="Z_258E22C6_5B2A_4ECD_907B_1865A9F43F0D_.wvu.FilterData" localSheetId="1" hidden="1">精餾產銷!$A$4:$AJ$105</definedName>
    <definedName name="Z_25C83B08_CA67_47EE_B27A_9AA77F147B2E_.wvu.FilterData" localSheetId="1" hidden="1">精餾產銷!$AK$4:$AL$107</definedName>
    <definedName name="Z_25D373A3_08C6_46FC_9874_06E113FD51C2_.wvu.FilterData" localSheetId="1" hidden="1">精餾產銷!$A$4:$AJ$105</definedName>
    <definedName name="Z_2623E85B_2E4F_4810_817F_8398C7033FA6_.wvu.FilterData" localSheetId="2" hidden="1">初餾產銷!$A$4:$AJ$53</definedName>
    <definedName name="Z_269E73F7_C792_47D3_94D1_559EE87F440C_.wvu.FilterData" localSheetId="1" hidden="1">精餾產銷!$AF$4:$AF$105</definedName>
    <definedName name="Z_26D7CD85_321D_4633_94B4_E3C3D0AF0D76_.wvu.FilterData" localSheetId="2" hidden="1">初餾產銷!$AJ$4:$AJ$78</definedName>
    <definedName name="Z_2738A12F_8581_4E5B_A131_65572CEDC082_.wvu.FilterData" localSheetId="1" hidden="1">精餾產銷!$AK$4:$AL$102</definedName>
    <definedName name="Z_2738A12F_8581_4E5B_A131_65572CEDC082_.wvu.FilterData" localSheetId="3" hidden="1">調配產銷!#REF!</definedName>
    <definedName name="Z_27731573_93DE_4B67_96AC_A6679BDBA72B_.wvu.FilterData" localSheetId="2" hidden="1">初餾產銷!$A$4:$AJ$53</definedName>
    <definedName name="Z_27731573_93DE_4B67_96AC_A6679BDBA72B_.wvu.FilterData" localSheetId="1" hidden="1">精餾產銷!$AK$4:$AL$107</definedName>
    <definedName name="Z_279AAF39_1F8F_47B4_966D_9C065219B278_.wvu.FilterData" localSheetId="2" hidden="1">初餾產銷!$AJ$4:$AJ$78</definedName>
    <definedName name="Z_279AAF39_1F8F_47B4_966D_9C065219B278_.wvu.FilterData" localSheetId="1" hidden="1">精餾產銷!$AK$4:$AL$107</definedName>
    <definedName name="Z_279AAF39_1F8F_47B4_966D_9C065219B278_.wvu.FilterData" localSheetId="3" hidden="1">調配產銷!$AF$4:$AF$81</definedName>
    <definedName name="Z_2801AE93_69F0_4CB5_B2C3_88249526A923_.wvu.FilterData" localSheetId="1" hidden="1">精餾產銷!$AK$4:$AL$107</definedName>
    <definedName name="Z_280812E8_4760_4051_8D72_E80F8F370B05_.wvu.FilterData" localSheetId="2" hidden="1">初餾產銷!$AF$4:$AF$53</definedName>
    <definedName name="Z_280812E8_4760_4051_8D72_E80F8F370B05_.wvu.FilterData" localSheetId="1" hidden="1">精餾產銷!$AF$4:$AF$105</definedName>
    <definedName name="Z_280812E8_4760_4051_8D72_E80F8F370B05_.wvu.FilterData" localSheetId="3" hidden="1">調配產銷!#REF!</definedName>
    <definedName name="Z_281657BB_07F4_461D_9F87_DAFED1CE3C95_.wvu.FilterData" localSheetId="1" hidden="1">精餾產銷!$AK$4:$AL$107</definedName>
    <definedName name="Z_283A413A_504E_4A98_91EF_DFB92C9F1789_.wvu.FilterData" localSheetId="2" hidden="1">初餾產銷!$AJ$4:$AJ$78</definedName>
    <definedName name="Z_2857DD73_38DD_4C01_B65B_02F448A5D1F8_.wvu.FilterData" localSheetId="1" hidden="1">精餾產銷!$AK$4:$AL$107</definedName>
    <definedName name="Z_28A19FD1_A898_4903_AB4F_B95B2890C2D6_.wvu.FilterData" localSheetId="1" hidden="1">精餾產銷!$AK$4:$AL$107</definedName>
    <definedName name="Z_28A19FD1_A898_4903_AB4F_B95B2890C2D6_.wvu.FilterData" localSheetId="3" hidden="1">調配產銷!$AF$4:$AF$81</definedName>
    <definedName name="Z_28BCBDC8_639D_4DB2_8D85_85E6BDC2CA8F_.wvu.FilterData" localSheetId="1" hidden="1">精餾產銷!$AK$4:$AL$107</definedName>
    <definedName name="Z_29B139EE_7B2A_4812_A357_CF3547FAFFA3_.wvu.FilterData" localSheetId="1" hidden="1">精餾產銷!$AF$4:$AF$105</definedName>
    <definedName name="Z_29E183E7_CA24_4C2A_BB1C_52B1C760F3EB_.wvu.FilterData" localSheetId="2" hidden="1">初餾產銷!$AJ$4:$AJ$78</definedName>
    <definedName name="Z_29E183E7_CA24_4C2A_BB1C_52B1C760F3EB_.wvu.FilterData" localSheetId="1" hidden="1">精餾產銷!$AK$4:$AL$107</definedName>
    <definedName name="Z_2A3400EA_F9F3_437D_B536_244EEEA533BD_.wvu.FilterData" localSheetId="1" hidden="1">精餾產銷!$AK$4:$AL$107</definedName>
    <definedName name="Z_2A3400EA_F9F3_437D_B536_244EEEA533BD_.wvu.FilterData" localSheetId="3" hidden="1">調配產銷!$AF$4:$AF$81</definedName>
    <definedName name="Z_2A35C070_8BBE_4C10_9CF3_0CB7EB987B84_.wvu.FilterData" localSheetId="2" hidden="1">初餾產銷!$AJ$4:$AJ$78</definedName>
    <definedName name="Z_2A50DBC4_6A20_4A34_AE6D_89F11FFBA8E4_.wvu.FilterData" localSheetId="1" hidden="1">精餾產銷!$AK$4:$AL$107</definedName>
    <definedName name="Z_2A6947AF_4D71_4695_B232_31E217E3271C_.wvu.FilterData" localSheetId="1" hidden="1">精餾產銷!$AK$4:$AL$107</definedName>
    <definedName name="Z_2AA06E34_3449_44D7_A9D6_2BAEBFD25696_.wvu.FilterData" localSheetId="2" hidden="1">初餾產銷!$A$4:$AJ$48</definedName>
    <definedName name="Z_2AA06E34_3449_44D7_A9D6_2BAEBFD25696_.wvu.FilterData" localSheetId="0" hidden="1">'產銷總表 '!$A$5:$F$118</definedName>
    <definedName name="Z_2AA06E34_3449_44D7_A9D6_2BAEBFD25696_.wvu.FilterData" localSheetId="1" hidden="1">精餾產銷!$A$4:$AJ$99</definedName>
    <definedName name="Z_2AA06E34_3449_44D7_A9D6_2BAEBFD25696_.wvu.FilterData" localSheetId="3" hidden="1">調配產銷!#REF!</definedName>
    <definedName name="Z_2AADD4E1_4283_4765_ABD0_EEF0FB00708A_.wvu.FilterData" localSheetId="2" hidden="1">初餾產銷!$A$4:$AJ$53</definedName>
    <definedName name="Z_2AC00129_189E_4355_8B73_2226F7749CB6_.wvu.FilterData" localSheetId="3" hidden="1">調配產銷!#REF!</definedName>
    <definedName name="Z_2B1CAC0F_66A1_46C2_A446_A7CC39FBA97B_.wvu.FilterData" localSheetId="1" hidden="1">精餾產銷!$AK$4:$AL$107</definedName>
    <definedName name="Z_2B274D88_0CEB_4C65_A23E_5625181AC2D4_.wvu.FilterData" localSheetId="3" hidden="1">調配產銷!#REF!</definedName>
    <definedName name="Z_2B6C15DC_A051_4A60_9A7B_07ECD0FBABCA_.wvu.FilterData" localSheetId="1" hidden="1">精餾產銷!$AK$4:$AL$107</definedName>
    <definedName name="Z_2BC565EA_41E3_436D_85FF_6D17654C7BDB_.wvu.FilterData" localSheetId="1" hidden="1">精餾產銷!$AK$4:$AL$107</definedName>
    <definedName name="Z_2BD17F7F_7B38_43A8_82EE_7E78EC1C1462_.wvu.FilterData" localSheetId="1" hidden="1">精餾產銷!$AK$4:$AL$107</definedName>
    <definedName name="Z_2CCEEC39_60DA_49E9_8F16_877939177F7E_.wvu.FilterData" localSheetId="1" hidden="1">精餾產銷!$AF$4:$AF$105</definedName>
    <definedName name="Z_2DC5DBDA_712E_4D1F_A3E8_1DB5EE27796E_.wvu.FilterData" localSheetId="1" hidden="1">精餾產銷!$AF$4:$AF$105</definedName>
    <definedName name="Z_2DC5DBDA_712E_4D1F_A3E8_1DB5EE27796E_.wvu.FilterData" localSheetId="3" hidden="1">調配產銷!#REF!</definedName>
    <definedName name="Z_2DD0EE09_0AF8_434D_A0FF_62329B45FFFA_.wvu.FilterData" localSheetId="1" hidden="1">精餾產銷!$AK$4:$AL$107</definedName>
    <definedName name="Z_2DD0EE09_0AF8_434D_A0FF_62329B45FFFA_.wvu.FilterData" localSheetId="3" hidden="1">調配產銷!$AF$4:$AF$81</definedName>
    <definedName name="Z_2DD11D7F_17CF_4B82_9723_1E0F4FCC3742_.wvu.FilterData" localSheetId="2" hidden="1">初餾產銷!$AJ$4:$AJ$78</definedName>
    <definedName name="Z_2DD11D7F_17CF_4B82_9723_1E0F4FCC3742_.wvu.FilterData" localSheetId="1" hidden="1">精餾產銷!$AK$4:$AL$107</definedName>
    <definedName name="Z_2E221546_1461_474E_B466_0D118702DAFB_.wvu.FilterData" localSheetId="2" hidden="1">初餾產銷!$AF$4:$AF$53</definedName>
    <definedName name="Z_2E221546_1461_474E_B466_0D118702DAFB_.wvu.FilterData" localSheetId="1" hidden="1">精餾產銷!$AF$4:$AF$105</definedName>
    <definedName name="Z_2E221546_1461_474E_B466_0D118702DAFB_.wvu.FilterData" localSheetId="3" hidden="1">調配產銷!#REF!</definedName>
    <definedName name="Z_2E8BB6CE_3DD3_4AAE_9591_0F68A80C2BEB_.wvu.FilterData" localSheetId="2" hidden="1">初餾產銷!$A$4:$AJ$53</definedName>
    <definedName name="Z_2E8BB6CE_3DD3_4AAE_9591_0F68A80C2BEB_.wvu.FilterData" localSheetId="1" hidden="1">精餾產銷!$AK$4:$AL$107</definedName>
    <definedName name="Z_2E90E535_06CA_4D43_ADC3_E4323054748B_.wvu.FilterData" localSheetId="1" hidden="1">精餾產銷!$AK$4:$AL$107</definedName>
    <definedName name="Z_2E90E535_06CA_4D43_ADC3_E4323054748B_.wvu.FilterData" localSheetId="3" hidden="1">調配產銷!$AF$4:$AF$81</definedName>
    <definedName name="Z_2EAC8E3B_0EAA_4B39_918B_FCCAC84763E5_.wvu.FilterData" localSheetId="1" hidden="1">精餾產銷!$A$4:$AP$105</definedName>
    <definedName name="Z_2EC97B26_4C14_4786_942F_4155E322EE46_.wvu.FilterData" localSheetId="1" hidden="1">精餾產銷!$AK$4:$AL$107</definedName>
    <definedName name="Z_2EDEECA1_72A4_4418_9166_D3BBB0AACBF3_.wvu.FilterData" localSheetId="1" hidden="1">精餾產銷!$AK$4:$AL$102</definedName>
    <definedName name="Z_2EDEECA1_72A4_4418_9166_D3BBB0AACBF3_.wvu.FilterData" localSheetId="3" hidden="1">調配產銷!#REF!</definedName>
    <definedName name="Z_2F069995_24C8_454A_81FD_BBB76443CF49_.wvu.FilterData" localSheetId="2" hidden="1">初餾產銷!$A$4:$AJ$53</definedName>
    <definedName name="Z_2F069995_24C8_454A_81FD_BBB76443CF49_.wvu.FilterData" localSheetId="1" hidden="1">精餾產銷!$AK$4:$AL$107</definedName>
    <definedName name="Z_2F069995_24C8_454A_81FD_BBB76443CF49_.wvu.FilterData" localSheetId="3" hidden="1">調配產銷!#REF!</definedName>
    <definedName name="Z_2F30B90A_C968_4D51_A189_73931F8ACFA2_.wvu.FilterData" localSheetId="2" hidden="1">初餾產銷!$AF$4:$AF$78</definedName>
    <definedName name="Z_2F3824C7_EFC0_45FA_871B_70C9EBA5D400_.wvu.FilterData" localSheetId="1" hidden="1">精餾產銷!$AK$4:$AL$107</definedName>
    <definedName name="Z_2F3CFFAA_7120_4252_8577_52C623E6601C_.wvu.FilterData" localSheetId="2" hidden="1">初餾產銷!$AF$4:$AF$78</definedName>
    <definedName name="Z_2F3CFFAA_7120_4252_8577_52C623E6601C_.wvu.FilterData" localSheetId="1" hidden="1">精餾產銷!$AK$4:$AL$107</definedName>
    <definedName name="Z_2F3CFFAA_7120_4252_8577_52C623E6601C_.wvu.FilterData" localSheetId="3" hidden="1">調配產銷!$AF$4:$AF$81</definedName>
    <definedName name="Z_2F9E8DE5_8AE0_49D5_917E_DD9B13357D78_.wvu.FilterData" localSheetId="3" hidden="1">調配產銷!#REF!</definedName>
    <definedName name="Z_2FCFF146_695E_472B_87EE_A819FF25C884_.wvu.FilterData" localSheetId="2" hidden="1">初餾產銷!$AJ$4:$AJ$78</definedName>
    <definedName name="Z_2FCFF146_695E_472B_87EE_A819FF25C884_.wvu.FilterData" localSheetId="1" hidden="1">精餾產銷!$AK$4:$AL$107</definedName>
    <definedName name="Z_2FCFF146_695E_472B_87EE_A819FF25C884_.wvu.FilterData" localSheetId="3" hidden="1">調配產銷!$AF$4:$AF$81</definedName>
    <definedName name="Z_30092752_03BE_424F_8F53_AD40AE6F9675_.wvu.FilterData" localSheetId="1" hidden="1">精餾產銷!$AF$4:$AF$105</definedName>
    <definedName name="Z_30092752_03BE_424F_8F53_AD40AE6F9675_.wvu.FilterData" localSheetId="3" hidden="1">調配產銷!#REF!</definedName>
    <definedName name="Z_30A07A4B_C090_4365_977C_B5844952FA7A_.wvu.FilterData" localSheetId="2" hidden="1">初餾產銷!$AJ$4:$AJ$78</definedName>
    <definedName name="Z_30A07A4B_C090_4365_977C_B5844952FA7A_.wvu.FilterData" localSheetId="1" hidden="1">精餾產銷!$AK$4:$AL$107</definedName>
    <definedName name="Z_30A07A4B_C090_4365_977C_B5844952FA7A_.wvu.FilterData" localSheetId="3" hidden="1">調配產銷!$AF$4:$AF$81</definedName>
    <definedName name="Z_30B296E9_CED6_48F6_A4AF_871F61F1206B_.wvu.FilterData" localSheetId="1" hidden="1">精餾產銷!$AF$4:$AF$105</definedName>
    <definedName name="Z_310D1776_D652_419B_A138_4D2A0BCBDD65_.wvu.FilterData" localSheetId="2" hidden="1">初餾產銷!$A$4:$AJ$53</definedName>
    <definedName name="Z_310D1776_D652_419B_A138_4D2A0BCBDD65_.wvu.FilterData" localSheetId="1" hidden="1">精餾產銷!$AK$4:$AL$107</definedName>
    <definedName name="Z_312351A5_8F5B_4FAE_9A0B_B71A9EB501DF_.wvu.FilterData" localSheetId="2" hidden="1">初餾產銷!$AF$4:$AF$53</definedName>
    <definedName name="Z_312351A5_8F5B_4FAE_9A0B_B71A9EB501DF_.wvu.FilterData" localSheetId="1" hidden="1">精餾產銷!$AF$4:$AF$105</definedName>
    <definedName name="Z_312351A5_8F5B_4FAE_9A0B_B71A9EB501DF_.wvu.FilterData" localSheetId="3" hidden="1">調配產銷!#REF!</definedName>
    <definedName name="Z_313AEB20_5EF2_4B4C_AEF6_34A8038FF833_.wvu.FilterData" localSheetId="3" hidden="1">調配產銷!$AF$4:$AF$81</definedName>
    <definedName name="Z_314A0818_9B6D_49A5_9E01_FEC9D718E2D8_.wvu.FilterData" localSheetId="1" hidden="1">精餾產銷!$AK$4:$AL$107</definedName>
    <definedName name="Z_3175F1BD_DF80_46C4_AA50_A3D05A51D0E7_.wvu.FilterData" localSheetId="1" hidden="1">精餾產銷!$AK$4:$AL$107</definedName>
    <definedName name="Z_3199D624_3168_4159_BC9D_EB9F96F61902_.wvu.FilterData" localSheetId="2" hidden="1">初餾產銷!$AF$4:$AF$53</definedName>
    <definedName name="Z_3199D624_3168_4159_BC9D_EB9F96F61902_.wvu.FilterData" localSheetId="1" hidden="1">精餾產銷!$AF$4:$AF$105</definedName>
    <definedName name="Z_3199D624_3168_4159_BC9D_EB9F96F61902_.wvu.FilterData" localSheetId="3" hidden="1">調配產銷!#REF!</definedName>
    <definedName name="Z_31D6B3CD_199D_4059_BB3D_29CB5BC420E1_.wvu.FilterData" localSheetId="1" hidden="1">精餾產銷!$AK$4:$AL$107</definedName>
    <definedName name="Z_31E7E448_0A99_4795_9D7F_83886B6DF146_.wvu.FilterData" localSheetId="2" hidden="1">初餾產銷!$A$4:$AJ$53</definedName>
    <definedName name="Z_31E7E448_0A99_4795_9D7F_83886B6DF146_.wvu.FilterData" localSheetId="1" hidden="1">精餾產銷!$AK$4:$AL$102</definedName>
    <definedName name="Z_31E7E448_0A99_4795_9D7F_83886B6DF146_.wvu.FilterData" localSheetId="3" hidden="1">調配產銷!#REF!</definedName>
    <definedName name="Z_320E4F8A_75B7_4489_8159_74E0C48BC5F7_.wvu.FilterData" localSheetId="2" hidden="1">初餾產銷!$AJ$4:$AJ$78</definedName>
    <definedName name="Z_320E4F8A_75B7_4489_8159_74E0C48BC5F7_.wvu.FilterData" localSheetId="1" hidden="1">精餾產銷!$AK$4:$AL$107</definedName>
    <definedName name="Z_3231B799_51F1_4F32_AE0F_6531ADE813BA_.wvu.FilterData" localSheetId="1" hidden="1">精餾產銷!$AK$4:$AL$107</definedName>
    <definedName name="Z_3236AF2F_9ED8_4845_8115_4D1BE41091F5_.wvu.FilterData" localSheetId="1" hidden="1">精餾產銷!$AK$4:$AL$107</definedName>
    <definedName name="Z_326CC155_93DA_4269_A552_D000400252E8_.wvu.Cols" localSheetId="2" hidden="1">初餾產銷!$B:$B</definedName>
    <definedName name="Z_326CC155_93DA_4269_A552_D000400252E8_.wvu.Cols" localSheetId="3" hidden="1">調配產銷!#REF!</definedName>
    <definedName name="Z_326CC155_93DA_4269_A552_D000400252E8_.wvu.FilterData" localSheetId="2" hidden="1">初餾產銷!$AF$4:$AF$53</definedName>
    <definedName name="Z_326CC155_93DA_4269_A552_D000400252E8_.wvu.FilterData" localSheetId="0" hidden="1">'產銷總表 '!$A$5:$F$118</definedName>
    <definedName name="Z_326CC155_93DA_4269_A552_D000400252E8_.wvu.FilterData" localSheetId="1" hidden="1">精餾產銷!$AF$4:$AF$105</definedName>
    <definedName name="Z_326CC155_93DA_4269_A552_D000400252E8_.wvu.FilterData" localSheetId="3" hidden="1">調配產銷!#REF!</definedName>
    <definedName name="Z_326CC155_93DA_4269_A552_D000400252E8_.wvu.PrintArea" localSheetId="2" hidden="1">初餾產銷!$A$1:$AE$55</definedName>
    <definedName name="Z_326CC155_93DA_4269_A552_D000400252E8_.wvu.PrintArea" localSheetId="0" hidden="1">'產銷總表 '!$A$2:$F$241</definedName>
    <definedName name="Z_326CC155_93DA_4269_A552_D000400252E8_.wvu.PrintArea" localSheetId="1" hidden="1">精餾產銷!$A$1:$AE$107</definedName>
    <definedName name="Z_326CC155_93DA_4269_A552_D000400252E8_.wvu.PrintArea" localSheetId="3" hidden="1">調配產銷!#REF!</definedName>
    <definedName name="Z_326CC155_93DA_4269_A552_D000400252E8_.wvu.PrintTitles" localSheetId="2" hidden="1">初餾產銷!$1:$2</definedName>
    <definedName name="Z_326CC155_93DA_4269_A552_D000400252E8_.wvu.PrintTitles" localSheetId="0" hidden="1">'產銷總表 '!$2:$3</definedName>
    <definedName name="Z_326CC155_93DA_4269_A552_D000400252E8_.wvu.PrintTitles" localSheetId="1" hidden="1">精餾產銷!$1:$2</definedName>
    <definedName name="Z_326CC155_93DA_4269_A552_D000400252E8_.wvu.PrintTitles" localSheetId="3" hidden="1">調配產銷!#REF!</definedName>
    <definedName name="Z_326CC155_93DA_4269_A552_D000400252E8_.wvu.Rows" localSheetId="0" hidden="1">'產銷總表 '!#REF!</definedName>
    <definedName name="Z_326CC155_93DA_4269_A552_D000400252E8_.wvu.Rows" localSheetId="1" hidden="1">精餾產銷!$106:$106</definedName>
    <definedName name="Z_3290E69F_9360_41F9_9F15_B0EBD7443842_.wvu.FilterData" localSheetId="2" hidden="1">初餾產銷!$A$4:$AJ$53</definedName>
    <definedName name="Z_3290E69F_9360_41F9_9F15_B0EBD7443842_.wvu.FilterData" localSheetId="1" hidden="1">精餾產銷!$AK$4:$AL$107</definedName>
    <definedName name="Z_32AF4BF4_4A05_4FC0_92B0_FC0110C49439_.wvu.FilterData" localSheetId="3" hidden="1">調配產銷!$AF$4:$AF$81</definedName>
    <definedName name="Z_32D34176_3D28_482F_91F8_DC66F1A774E6_.wvu.FilterData" localSheetId="2" hidden="1">初餾產銷!$AF$4:$AF$53</definedName>
    <definedName name="Z_32D34176_3D28_482F_91F8_DC66F1A774E6_.wvu.FilterData" localSheetId="1" hidden="1">精餾產銷!$AF$4:$AF$105</definedName>
    <definedName name="Z_32D57A18_5443_493A_82FB_F7E16DD4935D_.wvu.FilterData" localSheetId="1" hidden="1">精餾產銷!$AK$4:$AL$107</definedName>
    <definedName name="Z_32F55EED_6834_4EDA_8A48_974306AD5651_.wvu.FilterData" localSheetId="2" hidden="1">初餾產銷!$AJ$4:$AJ$78</definedName>
    <definedName name="Z_32F55EED_6834_4EDA_8A48_974306AD5651_.wvu.FilterData" localSheetId="1" hidden="1">精餾產銷!$AK$4:$AL$107</definedName>
    <definedName name="Z_32F55EED_6834_4EDA_8A48_974306AD5651_.wvu.FilterData" localSheetId="3" hidden="1">調配產銷!$AF$4:$AF$81</definedName>
    <definedName name="Z_3375947C_DBC7_4D5B_8BB0_988194D6ACE4_.wvu.FilterData" localSheetId="3" hidden="1">調配產銷!$AF$4:$AF$81</definedName>
    <definedName name="Z_340DD52D_E2D7_4D6F_9152_627C2979A8D5_.wvu.FilterData" localSheetId="2" hidden="1">初餾產銷!$AJ$4:$AJ$78</definedName>
    <definedName name="Z_340DD52D_E2D7_4D6F_9152_627C2979A8D5_.wvu.FilterData" localSheetId="1" hidden="1">精餾產銷!$AK$4:$AL$107</definedName>
    <definedName name="Z_345CBB6D_B940_481C_99D4_D4851DE12BDF_.wvu.FilterData" localSheetId="2" hidden="1">初餾產銷!$AJ$4:$AJ$78</definedName>
    <definedName name="Z_346DCC42_7B8B_4D0F_8BCA_6EB3F9DD5B12_.wvu.Cols" localSheetId="2" hidden="1">初餾產銷!$B:$B,初餾產銷!$D:$F</definedName>
    <definedName name="Z_346DCC42_7B8B_4D0F_8BCA_6EB3F9DD5B12_.wvu.Cols" localSheetId="0" hidden="1">'產銷總表 '!$B:$B,'產銷總表 '!$D:$F</definedName>
    <definedName name="Z_346DCC42_7B8B_4D0F_8BCA_6EB3F9DD5B12_.wvu.Cols" localSheetId="1" hidden="1">精餾產銷!$B:$B,精餾產銷!$D:$F</definedName>
    <definedName name="Z_346DCC42_7B8B_4D0F_8BCA_6EB3F9DD5B12_.wvu.Cols" localSheetId="3" hidden="1">調配產銷!#REF!,調配產銷!#REF!</definedName>
    <definedName name="Z_346DCC42_7B8B_4D0F_8BCA_6EB3F9DD5B12_.wvu.FilterData" localSheetId="2" hidden="1">初餾產銷!$A$4:$AJ$53</definedName>
    <definedName name="Z_346DCC42_7B8B_4D0F_8BCA_6EB3F9DD5B12_.wvu.FilterData" localSheetId="0" hidden="1">'產銷總表 '!$A$5:$F$118</definedName>
    <definedName name="Z_346DCC42_7B8B_4D0F_8BCA_6EB3F9DD5B12_.wvu.FilterData" localSheetId="1" hidden="1">精餾產銷!$AK$4:$AL$102</definedName>
    <definedName name="Z_346DCC42_7B8B_4D0F_8BCA_6EB3F9DD5B12_.wvu.FilterData" localSheetId="3" hidden="1">調配產銷!#REF!</definedName>
    <definedName name="Z_346DCC42_7B8B_4D0F_8BCA_6EB3F9DD5B12_.wvu.PrintArea" localSheetId="2" hidden="1">初餾產銷!$A$1:$AE$55</definedName>
    <definedName name="Z_346DCC42_7B8B_4D0F_8BCA_6EB3F9DD5B12_.wvu.PrintArea" localSheetId="0" hidden="1">'產銷總表 '!$A$2:$F$241</definedName>
    <definedName name="Z_346DCC42_7B8B_4D0F_8BCA_6EB3F9DD5B12_.wvu.PrintArea" localSheetId="1" hidden="1">精餾產銷!$A$1:$AE$107</definedName>
    <definedName name="Z_346DCC42_7B8B_4D0F_8BCA_6EB3F9DD5B12_.wvu.PrintArea" localSheetId="3" hidden="1">調配產銷!#REF!</definedName>
    <definedName name="Z_346DCC42_7B8B_4D0F_8BCA_6EB3F9DD5B12_.wvu.PrintTitles" localSheetId="2" hidden="1">初餾產銷!$1:$2</definedName>
    <definedName name="Z_346DCC42_7B8B_4D0F_8BCA_6EB3F9DD5B12_.wvu.PrintTitles" localSheetId="1" hidden="1">精餾產銷!$1:$2</definedName>
    <definedName name="Z_346DCC42_7B8B_4D0F_8BCA_6EB3F9DD5B12_.wvu.PrintTitles" localSheetId="3" hidden="1">調配產銷!#REF!</definedName>
    <definedName name="Z_346DCC42_7B8B_4D0F_8BCA_6EB3F9DD5B12_.wvu.Rows" localSheetId="0" hidden="1">'產銷總表 '!#REF!</definedName>
    <definedName name="Z_346DCC42_7B8B_4D0F_8BCA_6EB3F9DD5B12_.wvu.Rows" localSheetId="1" hidden="1">精餾產銷!$103:$103,精餾產銷!$106:$106</definedName>
    <definedName name="Z_346EAB66_578A_4F64_B04C_F0974094E80D_.wvu.FilterData" localSheetId="1" hidden="1">精餾產銷!$AK$4:$AL$107</definedName>
    <definedName name="Z_34948572_ABB6_4E68_B90B_51F13F00FB5B_.wvu.FilterData" localSheetId="2" hidden="1">初餾產銷!$AJ$4:$AJ$78</definedName>
    <definedName name="Z_34948572_ABB6_4E68_B90B_51F13F00FB5B_.wvu.FilterData" localSheetId="1" hidden="1">精餾產銷!$AK$4:$AL$107</definedName>
    <definedName name="Z_34948572_ABB6_4E68_B90B_51F13F00FB5B_.wvu.FilterData" localSheetId="3" hidden="1">調配產銷!$AF$4:$AF$81</definedName>
    <definedName name="Z_351D1FAE_DED8_4227_B28D_8E49C8A3C633_.wvu.FilterData" localSheetId="2" hidden="1">初餾產銷!$A$4:$AK$53</definedName>
    <definedName name="Z_351D1FAE_DED8_4227_B28D_8E49C8A3C633_.wvu.FilterData" localSheetId="1" hidden="1">精餾產銷!$AK$4:$AL$102</definedName>
    <definedName name="Z_35E12C07_EEEA_4BFE_989D_B022A44F5BF7_.wvu.FilterData" localSheetId="2" hidden="1">初餾產銷!$AF$4:$AF$53</definedName>
    <definedName name="Z_35E12C07_EEEA_4BFE_989D_B022A44F5BF7_.wvu.FilterData" localSheetId="1" hidden="1">精餾產銷!$AF$4:$AF$105</definedName>
    <definedName name="Z_35E12C07_EEEA_4BFE_989D_B022A44F5BF7_.wvu.FilterData" localSheetId="3" hidden="1">調配產銷!#REF!</definedName>
    <definedName name="Z_363A5F02_838A_432C_9ED9_00D4670F65EB_.wvu.FilterData" localSheetId="2" hidden="1">初餾產銷!$AJ$4:$AJ$78</definedName>
    <definedName name="Z_3663236C_AFB0_419A_AC6A_E981D6F1A9BC_.wvu.Cols" localSheetId="2" hidden="1">初餾產銷!$B:$B,初餾產銷!$D:$F,初餾產銷!$I:$I,初餾產銷!$L:$L,初餾產銷!$O:$O</definedName>
    <definedName name="Z_3663236C_AFB0_419A_AC6A_E981D6F1A9BC_.wvu.Cols" localSheetId="0" hidden="1">'產銷總表 '!$B:$B,'產銷總表 '!$D:$F</definedName>
    <definedName name="Z_3663236C_AFB0_419A_AC6A_E981D6F1A9BC_.wvu.Cols" localSheetId="1" hidden="1">精餾產銷!$B:$B,精餾產銷!$D:$F</definedName>
    <definedName name="Z_3663236C_AFB0_419A_AC6A_E981D6F1A9BC_.wvu.Cols" localSheetId="3" hidden="1">調配產銷!$B:$B,調配產銷!$D:$F</definedName>
    <definedName name="Z_3663236C_AFB0_419A_AC6A_E981D6F1A9BC_.wvu.FilterData" localSheetId="2" hidden="1">初餾產銷!$AF$4:$AF$78</definedName>
    <definedName name="Z_3663236C_AFB0_419A_AC6A_E981D6F1A9BC_.wvu.FilterData" localSheetId="0" hidden="1">'產銷總表 '!$AF$5:$AI$241</definedName>
    <definedName name="Z_3663236C_AFB0_419A_AC6A_E981D6F1A9BC_.wvu.FilterData" localSheetId="1" hidden="1">精餾產銷!$AK$4:$AL$107</definedName>
    <definedName name="Z_3663236C_AFB0_419A_AC6A_E981D6F1A9BC_.wvu.FilterData" localSheetId="3" hidden="1">調配產銷!$AF$4:$AF$81</definedName>
    <definedName name="Z_3663236C_AFB0_419A_AC6A_E981D6F1A9BC_.wvu.PrintArea" localSheetId="2" hidden="1">初餾產銷!$A$1:$AI$78</definedName>
    <definedName name="Z_3663236C_AFB0_419A_AC6A_E981D6F1A9BC_.wvu.PrintArea" localSheetId="4" hidden="1">秏料!$A$1:$L$134</definedName>
    <definedName name="Z_3663236C_AFB0_419A_AC6A_E981D6F1A9BC_.wvu.PrintArea" localSheetId="0" hidden="1">'產銷總表 '!$A$2:$AE$241</definedName>
    <definedName name="Z_3663236C_AFB0_419A_AC6A_E981D6F1A9BC_.wvu.PrintArea" localSheetId="1" hidden="1">精餾產銷!$A$1:$AE$107</definedName>
    <definedName name="Z_3663236C_AFB0_419A_AC6A_E981D6F1A9BC_.wvu.PrintArea" localSheetId="3" hidden="1">調配產銷!$A$1:$AE$83</definedName>
    <definedName name="Z_3663236C_AFB0_419A_AC6A_E981D6F1A9BC_.wvu.PrintTitles" localSheetId="2" hidden="1">初餾產銷!$1:$2</definedName>
    <definedName name="Z_3663236C_AFB0_419A_AC6A_E981D6F1A9BC_.wvu.PrintTitles" localSheetId="1" hidden="1">精餾產銷!$1:$2</definedName>
    <definedName name="Z_36A0FCE4_1D80_4801_ACD1_55090DD5658C_.wvu.FilterData" localSheetId="1" hidden="1">精餾產銷!$AF$4:$AF$105</definedName>
    <definedName name="Z_36A517C2_CF51_4716_99FE_AF4F6E12BF6A_.wvu.FilterData" localSheetId="3" hidden="1">調配產銷!$AF$4:$AF$81</definedName>
    <definedName name="Z_36D03E15_10C4_4B3B_A640_B5A42E57DBE2_.wvu.FilterData" localSheetId="2" hidden="1">初餾產銷!$AJ$4:$AJ$78</definedName>
    <definedName name="Z_36D03E15_10C4_4B3B_A640_B5A42E57DBE2_.wvu.FilterData" localSheetId="1" hidden="1">精餾產銷!$AK$4:$AL$107</definedName>
    <definedName name="Z_36D062AD_5555_43FD_9362_1101770CA8D5_.wvu.FilterData" localSheetId="2" hidden="1">初餾產銷!$AJ$4:$AJ$78</definedName>
    <definedName name="Z_36D062AD_5555_43FD_9362_1101770CA8D5_.wvu.FilterData" localSheetId="1" hidden="1">精餾產銷!$AK$4:$AL$107</definedName>
    <definedName name="Z_36D062AD_5555_43FD_9362_1101770CA8D5_.wvu.FilterData" localSheetId="3" hidden="1">調配產銷!$AF$4:$AF$81</definedName>
    <definedName name="Z_36E0FA06_171C_4653_8DC4_B23CEC9E57BA_.wvu.FilterData" localSheetId="2" hidden="1">初餾產銷!$AJ$4:$AJ$78</definedName>
    <definedName name="Z_36E0FA06_171C_4653_8DC4_B23CEC9E57BA_.wvu.FilterData" localSheetId="1" hidden="1">精餾產銷!$AK$4:$AL$107</definedName>
    <definedName name="Z_36E0FA06_171C_4653_8DC4_B23CEC9E57BA_.wvu.FilterData" localSheetId="3" hidden="1">調配產銷!$AF$4:$AF$81</definedName>
    <definedName name="Z_3758E687_BB33_4667_9EB6_065EEF2D9650_.wvu.FilterData" localSheetId="3" hidden="1">調配產銷!$AF$4:$AF$81</definedName>
    <definedName name="Z_375AB8F4_F3CD_467B_B287_DF5654873748_.wvu.FilterData" localSheetId="3" hidden="1">調配產銷!#REF!</definedName>
    <definedName name="Z_375F57F9_C369_4A9A_A39D_D699B24C1E6A_.wvu.FilterData" localSheetId="1" hidden="1">精餾產銷!$AK$4:$AL$107</definedName>
    <definedName name="Z_375F57F9_C369_4A9A_A39D_D699B24C1E6A_.wvu.FilterData" localSheetId="3" hidden="1">調配產銷!$AF$4:$AF$81</definedName>
    <definedName name="Z_37912AFC_F2EB_4EC5_93FF_482FDEDBCA79_.wvu.FilterData" localSheetId="2" hidden="1">初餾產銷!$AJ$4:$AJ$78</definedName>
    <definedName name="Z_37912AFC_F2EB_4EC5_93FF_482FDEDBCA79_.wvu.FilterData" localSheetId="1" hidden="1">精餾產銷!$AK$4:$AL$107</definedName>
    <definedName name="Z_37912AFC_F2EB_4EC5_93FF_482FDEDBCA79_.wvu.FilterData" localSheetId="3" hidden="1">調配產銷!$AF$4:$AF$81</definedName>
    <definedName name="Z_37FD15C0_FBD9_4ABD_9311_B23615FCA3F5_.wvu.FilterData" localSheetId="1" hidden="1">精餾產銷!$AK$4:$AL$107</definedName>
    <definedName name="Z_38078408_6EFE_4052_8C51_50A488F2EA59_.wvu.Cols" localSheetId="2" hidden="1">初餾產銷!$B:$B,初餾產銷!$D:$F</definedName>
    <definedName name="Z_38078408_6EFE_4052_8C51_50A488F2EA59_.wvu.Cols" localSheetId="0" hidden="1">'產銷總表 '!$B:$B,'產銷總表 '!$D:$F</definedName>
    <definedName name="Z_38078408_6EFE_4052_8C51_50A488F2EA59_.wvu.Cols" localSheetId="1" hidden="1">精餾產銷!$B:$B,精餾產銷!$D:$F</definedName>
    <definedName name="Z_38078408_6EFE_4052_8C51_50A488F2EA59_.wvu.Cols" localSheetId="3" hidden="1">調配產銷!#REF!</definedName>
    <definedName name="Z_38078408_6EFE_4052_8C51_50A488F2EA59_.wvu.FilterData" localSheetId="2" hidden="1">初餾產銷!$A$4:$AJ$53</definedName>
    <definedName name="Z_38078408_6EFE_4052_8C51_50A488F2EA59_.wvu.FilterData" localSheetId="0" hidden="1">'產銷總表 '!#REF!</definedName>
    <definedName name="Z_38078408_6EFE_4052_8C51_50A488F2EA59_.wvu.FilterData" localSheetId="1" hidden="1">精餾產銷!$AF$4:$AG$102</definedName>
    <definedName name="Z_38078408_6EFE_4052_8C51_50A488F2EA59_.wvu.FilterData" localSheetId="3" hidden="1">調配產銷!#REF!</definedName>
    <definedName name="Z_38078408_6EFE_4052_8C51_50A488F2EA59_.wvu.PrintArea" localSheetId="2" hidden="1">初餾產銷!$A$1:$AE$55</definedName>
    <definedName name="Z_38078408_6EFE_4052_8C51_50A488F2EA59_.wvu.PrintArea" localSheetId="0" hidden="1">'產銷總表 '!$A$2:$F$243</definedName>
    <definedName name="Z_38078408_6EFE_4052_8C51_50A488F2EA59_.wvu.PrintArea" localSheetId="1" hidden="1">精餾產銷!$A$1:$AE$107</definedName>
    <definedName name="Z_38078408_6EFE_4052_8C51_50A488F2EA59_.wvu.PrintArea" localSheetId="3" hidden="1">調配產銷!#REF!</definedName>
    <definedName name="Z_38078408_6EFE_4052_8C51_50A488F2EA59_.wvu.PrintTitles" localSheetId="2" hidden="1">初餾產銷!$1:$2</definedName>
    <definedName name="Z_38078408_6EFE_4052_8C51_50A488F2EA59_.wvu.PrintTitles" localSheetId="1" hidden="1">精餾產銷!$1:$2</definedName>
    <definedName name="Z_38078408_6EFE_4052_8C51_50A488F2EA59_.wvu.PrintTitles" localSheetId="3" hidden="1">調配產銷!#REF!</definedName>
    <definedName name="Z_38078408_6EFE_4052_8C51_50A488F2EA59_.wvu.Rows" localSheetId="1" hidden="1">精餾產銷!$103:$103,精餾產銷!$106:$106</definedName>
    <definedName name="Z_3819C546_F4B7_4BD0_8385_1702EFEE3796_.wvu.FilterData" localSheetId="1" hidden="1">精餾產銷!$A$4:$AJ$105</definedName>
    <definedName name="Z_384135FD_B265_46F9_9CF0_FD6077602DDD_.wvu.FilterData" localSheetId="1" hidden="1">精餾產銷!$AK$4:$AL$107</definedName>
    <definedName name="Z_384135FD_B265_46F9_9CF0_FD6077602DDD_.wvu.FilterData" localSheetId="3" hidden="1">調配產銷!$AF$4:$AF$81</definedName>
    <definedName name="Z_386E8F6D_DB40_46E7_9F28_8446C5177773_.wvu.FilterData" localSheetId="1" hidden="1">精餾產銷!$AK$4:$AL$107</definedName>
    <definedName name="Z_3895885C_97F9_46C2_A922_BE5B2BD51240_.wvu.FilterData" localSheetId="1" hidden="1">精餾產銷!$AK$4:$AL$102</definedName>
    <definedName name="Z_38A56DC7_A9A6_46F1_B919_23E4351CDDA5_.wvu.FilterData" localSheetId="3" hidden="1">調配產銷!#REF!</definedName>
    <definedName name="Z_38B5AFE0_284D_49BA_9794_DE61B4D6B9FC_.wvu.FilterData" localSheetId="1" hidden="1">精餾產銷!$AK$4:$AL$107</definedName>
    <definedName name="Z_38D7871F_B371_437B_AC69_33F082C4CB63_.wvu.FilterData" localSheetId="3" hidden="1">調配產銷!#REF!</definedName>
    <definedName name="Z_39118618_2075_4030_AC24_F81AC3464C8B_.wvu.FilterData" localSheetId="3" hidden="1">調配產銷!$AF$4:$AF$81</definedName>
    <definedName name="Z_3930F3DD_74E9_4434_89C2_784528B404CA_.wvu.FilterData" localSheetId="1" hidden="1">精餾產銷!$AK$4:$AL$102</definedName>
    <definedName name="Z_3930F3DD_74E9_4434_89C2_784528B404CA_.wvu.FilterData" localSheetId="3" hidden="1">調配產銷!#REF!</definedName>
    <definedName name="Z_393BA439_7DC4_4DB4_B70A_03EB925F0282_.wvu.FilterData" localSheetId="1" hidden="1">精餾產銷!$AK$4:$AL$107</definedName>
    <definedName name="Z_39ACBDF9_6B96_472D_9AF0_50840896D267_.wvu.FilterData" localSheetId="2" hidden="1">初餾產銷!$AJ$4:$AJ$78</definedName>
    <definedName name="Z_39ACBDF9_6B96_472D_9AF0_50840896D267_.wvu.FilterData" localSheetId="1" hidden="1">精餾產銷!$AK$4:$AL$107</definedName>
    <definedName name="Z_39DC0096_762D_4FFC_B655_6CA9030784EA_.wvu.FilterData" localSheetId="1" hidden="1">精餾產銷!$AK$4:$AL$107</definedName>
    <definedName name="Z_3A195C15_FF80_4593_A95A_2EFFD64CDE02_.wvu.FilterData" localSheetId="1" hidden="1">精餾產銷!$AK$4:$AL$107</definedName>
    <definedName name="Z_3A195C15_FF80_4593_A95A_2EFFD64CDE02_.wvu.FilterData" localSheetId="3" hidden="1">調配產銷!$AF$4:$AF$81</definedName>
    <definedName name="Z_3A6B249F_39F5_4E65_B181_AEF2C3D3173B_.wvu.FilterData" localSheetId="1" hidden="1">精餾產銷!$AK$4:$AL$107</definedName>
    <definedName name="Z_3A6B249F_39F5_4E65_B181_AEF2C3D3173B_.wvu.FilterData" localSheetId="3" hidden="1">調配產銷!$AF$4:$AF$81</definedName>
    <definedName name="Z_3A7A6F39_91F9_4ABD_8357_F72551501CE0_.wvu.FilterData" localSheetId="2" hidden="1">初餾產銷!$AF$4:$AF$78</definedName>
    <definedName name="Z_3ACF9D15_FC09_47EA_AA19_0A37C4776CCF_.wvu.FilterData" localSheetId="1" hidden="1">精餾產銷!$AF$4:$AF$105</definedName>
    <definedName name="Z_3ADFB3B6_162A_4CDB_AB24_348E8A99991A_.wvu.Cols" localSheetId="2" hidden="1">初餾產銷!$B:$B,初餾產銷!$D:$F</definedName>
    <definedName name="Z_3ADFB3B6_162A_4CDB_AB24_348E8A99991A_.wvu.Cols" localSheetId="0" hidden="1">'產銷總表 '!$B:$B,'產銷總表 '!$D:$F</definedName>
    <definedName name="Z_3ADFB3B6_162A_4CDB_AB24_348E8A99991A_.wvu.Cols" localSheetId="3" hidden="1">調配產銷!$B:$B,調配產銷!$D:$F</definedName>
    <definedName name="Z_3ADFB3B6_162A_4CDB_AB24_348E8A99991A_.wvu.FilterData" localSheetId="2" hidden="1">初餾產銷!$AJ$4:$AJ$78</definedName>
    <definedName name="Z_3ADFB3B6_162A_4CDB_AB24_348E8A99991A_.wvu.FilterData" localSheetId="4" hidden="1">秏料!$A$2:$L$134</definedName>
    <definedName name="Z_3ADFB3B6_162A_4CDB_AB24_348E8A99991A_.wvu.FilterData" localSheetId="0" hidden="1">'產銷總表 '!$AF$5:$AG$241</definedName>
    <definedName name="Z_3ADFB3B6_162A_4CDB_AB24_348E8A99991A_.wvu.FilterData" localSheetId="1" hidden="1">精餾產銷!$AK$4:$AL$107</definedName>
    <definedName name="Z_3ADFB3B6_162A_4CDB_AB24_348E8A99991A_.wvu.FilterData" localSheetId="3" hidden="1">調配產銷!$AF$4:$AF$81</definedName>
    <definedName name="Z_3ADFB3B6_162A_4CDB_AB24_348E8A99991A_.wvu.PrintArea" localSheetId="2" hidden="1">初餾產銷!$A$1:$AI$78</definedName>
    <definedName name="Z_3ADFB3B6_162A_4CDB_AB24_348E8A99991A_.wvu.PrintArea" localSheetId="4" hidden="1">秏料!$A$1:$L$134</definedName>
    <definedName name="Z_3ADFB3B6_162A_4CDB_AB24_348E8A99991A_.wvu.PrintArea" localSheetId="0" hidden="1">'產銷總表 '!$A$2:$AE$241</definedName>
    <definedName name="Z_3ADFB3B6_162A_4CDB_AB24_348E8A99991A_.wvu.PrintArea" localSheetId="1" hidden="1">精餾產銷!$A$1:$AE$111</definedName>
    <definedName name="Z_3ADFB3B6_162A_4CDB_AB24_348E8A99991A_.wvu.PrintArea" localSheetId="3" hidden="1">調配產銷!$A$1:$AE$83</definedName>
    <definedName name="Z_3ADFB3B6_162A_4CDB_AB24_348E8A99991A_.wvu.PrintTitles" localSheetId="2" hidden="1">初餾產銷!$1:$2</definedName>
    <definedName name="Z_3ADFB3B6_162A_4CDB_AB24_348E8A99991A_.wvu.PrintTitles" localSheetId="1" hidden="1">精餾產銷!$1:$2</definedName>
    <definedName name="Z_3B2AF7AB_1546_4835_8735_E41C21C4684D_.wvu.FilterData" localSheetId="1" hidden="1">精餾產銷!$AK$4:$AL$107</definedName>
    <definedName name="Z_3B8D84A7_3495_4488_8D42_6EFF30C18699_.wvu.Cols" localSheetId="2" hidden="1">初餾產銷!$B:$B,初餾產銷!$D:$F</definedName>
    <definedName name="Z_3B8D84A7_3495_4488_8D42_6EFF30C18699_.wvu.Cols" localSheetId="0" hidden="1">'產銷總表 '!$B:$B,'產銷總表 '!$D:$F</definedName>
    <definedName name="Z_3B8D84A7_3495_4488_8D42_6EFF30C18699_.wvu.Cols" localSheetId="3" hidden="1">調配產銷!$B:$B,調配產銷!$D:$F</definedName>
    <definedName name="Z_3B8D84A7_3495_4488_8D42_6EFF30C18699_.wvu.FilterData" localSheetId="2" hidden="1">初餾產銷!$AJ$4:$AJ$78</definedName>
    <definedName name="Z_3B8D84A7_3495_4488_8D42_6EFF30C18699_.wvu.FilterData" localSheetId="0" hidden="1">'產銷總表 '!$AF$5:$AG$241</definedName>
    <definedName name="Z_3B8D84A7_3495_4488_8D42_6EFF30C18699_.wvu.FilterData" localSheetId="1" hidden="1">精餾產銷!$AK$4:$AL$107</definedName>
    <definedName name="Z_3B8D84A7_3495_4488_8D42_6EFF30C18699_.wvu.FilterData" localSheetId="3" hidden="1">調配產銷!$AF$4:$AF$81</definedName>
    <definedName name="Z_3B8D84A7_3495_4488_8D42_6EFF30C18699_.wvu.PrintArea" localSheetId="2" hidden="1">初餾產銷!$A$1:$AI$78</definedName>
    <definedName name="Z_3B8D84A7_3495_4488_8D42_6EFF30C18699_.wvu.PrintArea" localSheetId="4" hidden="1">秏料!$A$1:$L$134</definedName>
    <definedName name="Z_3B8D84A7_3495_4488_8D42_6EFF30C18699_.wvu.PrintArea" localSheetId="0" hidden="1">'產銷總表 '!$A$2:$AE$241</definedName>
    <definedName name="Z_3B8D84A7_3495_4488_8D42_6EFF30C18699_.wvu.PrintArea" localSheetId="1" hidden="1">精餾產銷!$A$1:$AE$107</definedName>
    <definedName name="Z_3B8D84A7_3495_4488_8D42_6EFF30C18699_.wvu.PrintArea" localSheetId="3" hidden="1">調配產銷!$A$1:$AE$83</definedName>
    <definedName name="Z_3B8D84A7_3495_4488_8D42_6EFF30C18699_.wvu.PrintTitles" localSheetId="2" hidden="1">初餾產銷!$1:$2</definedName>
    <definedName name="Z_3B8D84A7_3495_4488_8D42_6EFF30C18699_.wvu.PrintTitles" localSheetId="1" hidden="1">精餾產銷!$1:$2</definedName>
    <definedName name="Z_3BE3FB95_A202_47CA_867F_D560967A2DF9_.wvu.FilterData" localSheetId="2" hidden="1">初餾產銷!$AJ$4:$AJ$78</definedName>
    <definedName name="Z_3BE3FB95_A202_47CA_867F_D560967A2DF9_.wvu.FilterData" localSheetId="1" hidden="1">精餾產銷!$AK$4:$AL$107</definedName>
    <definedName name="Z_3BE48411_5F0D_463F_B356_ADFE6EA81684_.wvu.FilterData" localSheetId="2" hidden="1">初餾產銷!$AJ$4:$AJ$78</definedName>
    <definedName name="Z_3C683897_5601_4740_B1DC_BE34F68D55A9_.wvu.FilterData" localSheetId="2" hidden="1">初餾產銷!$A$4:$AJ$48</definedName>
    <definedName name="Z_3C683897_5601_4740_B1DC_BE34F68D55A9_.wvu.FilterData" localSheetId="0" hidden="1">'產銷總表 '!$A$5:$F$118</definedName>
    <definedName name="Z_3C683897_5601_4740_B1DC_BE34F68D55A9_.wvu.FilterData" localSheetId="1" hidden="1">精餾產銷!$A$4:$AJ$99</definedName>
    <definedName name="Z_3C683897_5601_4740_B1DC_BE34F68D55A9_.wvu.FilterData" localSheetId="3" hidden="1">調配產銷!#REF!</definedName>
    <definedName name="Z_3C887951_8ADD_4C01_BE15_18AF7769C71C_.wvu.FilterData" localSheetId="0" hidden="1">'產銷總表 '!$A$5:$F$118</definedName>
    <definedName name="Z_3C887951_8ADD_4C01_BE15_18AF7769C71C_.wvu.FilterData" localSheetId="3" hidden="1">調配產銷!#REF!</definedName>
    <definedName name="Z_3CAA6B2D_2708_4790_A6E1_CA56A3B0F4C6_.wvu.FilterData" localSheetId="2" hidden="1">初餾產銷!$AJ$4:$AJ$78</definedName>
    <definedName name="Z_3CAA6B2D_2708_4790_A6E1_CA56A3B0F4C6_.wvu.FilterData" localSheetId="1" hidden="1">精餾產銷!$AK$4:$AL$107</definedName>
    <definedName name="Z_3CAA6B2D_2708_4790_A6E1_CA56A3B0F4C6_.wvu.FilterData" localSheetId="3" hidden="1">調配產銷!$AF$4:$AF$81</definedName>
    <definedName name="Z_3D0E83CB_E7AF_429A_B0AD_CD8CA409E95C_.wvu.FilterData" localSheetId="1" hidden="1">精餾產銷!$AK$4:$AL$107</definedName>
    <definedName name="Z_3D131701_2D28_4A68_9929_459BED78BC83_.wvu.FilterData" localSheetId="2" hidden="1">初餾產銷!$AJ$4:$AJ$78</definedName>
    <definedName name="Z_3D131701_2D28_4A68_9929_459BED78BC83_.wvu.FilterData" localSheetId="1" hidden="1">精餾產銷!$AK$4:$AL$107</definedName>
    <definedName name="Z_3D131701_2D28_4A68_9929_459BED78BC83_.wvu.FilterData" localSheetId="3" hidden="1">調配產銷!$AF$4:$AF$81</definedName>
    <definedName name="Z_3DB4312A_1A8F_479A_8187_D42A773EC4A7_.wvu.FilterData" localSheetId="1" hidden="1">精餾產銷!$AK$4:$AL$107</definedName>
    <definedName name="Z_3DB4312A_1A8F_479A_8187_D42A773EC4A7_.wvu.FilterData" localSheetId="3" hidden="1">調配產銷!#REF!</definedName>
    <definedName name="Z_3DB7D241_947F_4488_88D4_89F0CDB0BAFC_.wvu.FilterData" localSheetId="1" hidden="1">精餾產銷!$AK$4:$AL$107</definedName>
    <definedName name="Z_3DDDCEE4_A014_485B_8EE1_87C08C292498_.wvu.FilterData" localSheetId="1" hidden="1">精餾產銷!$AK$4:$AL$107</definedName>
    <definedName name="Z_3DE06D8A_A92D_4EB6_8B3F_0CBF9153F1AA_.wvu.FilterData" localSheetId="1" hidden="1">精餾產銷!$AF$4:$AF$105</definedName>
    <definedName name="Z_3DF20EB9_4D6B_45B4_81BE_A39FA0B68DD1_.wvu.FilterData" localSheetId="1" hidden="1">精餾產銷!$AK$4:$AL$102</definedName>
    <definedName name="Z_3EAF1B58_839D_4756_AAF9_8C088F918973_.wvu.FilterData" localSheetId="1" hidden="1">精餾產銷!$AK$4:$AL$107</definedName>
    <definedName name="Z_3EAF1B58_839D_4756_AAF9_8C088F918973_.wvu.FilterData" localSheetId="3" hidden="1">調配產銷!#REF!</definedName>
    <definedName name="Z_3EC00C5E_0FB0_447F_B38A_B01C576FAADE_.wvu.FilterData" localSheetId="1" hidden="1">精餾產銷!$AF$4:$AF$105</definedName>
    <definedName name="Z_3EC00C5E_0FB0_447F_B38A_B01C576FAADE_.wvu.FilterData" localSheetId="3" hidden="1">調配產銷!#REF!</definedName>
    <definedName name="Z_3ED8614A_AF0E_4183_AFC3_26E7ED7F5429_.wvu.FilterData" localSheetId="2" hidden="1">初餾產銷!$AJ$4:$AJ$78</definedName>
    <definedName name="Z_3EF11E04_8C53_452F_B7B7_91DF23EF0562_.wvu.FilterData" localSheetId="3" hidden="1">調配產銷!$AF$4:$AF$81</definedName>
    <definedName name="Z_3F02A436_5429_477B_ACA5_FF3F753B3AF4_.wvu.FilterData" localSheetId="2" hidden="1">初餾產銷!$A$4:$AJ$53</definedName>
    <definedName name="Z_3F02A436_5429_477B_ACA5_FF3F753B3AF4_.wvu.FilterData" localSheetId="3" hidden="1">調配產銷!#REF!</definedName>
    <definedName name="Z_3F5A9008_096E_406F_90C5_936F8EFF1155_.wvu.FilterData" localSheetId="1" hidden="1">精餾產銷!$AK$4:$AL$102</definedName>
    <definedName name="Z_3FA67F63_C980_43C5_AA77_A8242FCCC842_.wvu.FilterData" localSheetId="2" hidden="1">初餾產銷!$AJ$4:$AJ$78</definedName>
    <definedName name="Z_3FB546AB_E230_49DE_B8A7_C2EBA7EF8B18_.wvu.FilterData" localSheetId="2" hidden="1">初餾產銷!$AF$4:$AF$78</definedName>
    <definedName name="Z_3FB546AB_E230_49DE_B8A7_C2EBA7EF8B18_.wvu.FilterData" localSheetId="1" hidden="1">精餾產銷!$AK$4:$AL$107</definedName>
    <definedName name="Z_3FB546AB_E230_49DE_B8A7_C2EBA7EF8B18_.wvu.FilterData" localSheetId="3" hidden="1">調配產銷!$AF$4:$AF$81</definedName>
    <definedName name="Z_3FC47BC5_19F3_4B54_A57B_3C7C0209BE32_.wvu.FilterData" localSheetId="2" hidden="1">初餾產銷!$A$4:$AJ$53</definedName>
    <definedName name="Z_3FC47BC5_19F3_4B54_A57B_3C7C0209BE32_.wvu.FilterData" localSheetId="1" hidden="1">精餾產銷!$AK$4:$AL$102</definedName>
    <definedName name="Z_3FC47BC5_19F3_4B54_A57B_3C7C0209BE32_.wvu.FilterData" localSheetId="3" hidden="1">調配產銷!#REF!</definedName>
    <definedName name="Z_3FFC1701_0409_4F2F_BF76_B802B8EC90AF_.wvu.FilterData" localSheetId="2" hidden="1">初餾產銷!$A$4:$AJ$53</definedName>
    <definedName name="Z_3FFC1701_0409_4F2F_BF76_B802B8EC90AF_.wvu.FilterData" localSheetId="1" hidden="1">精餾產銷!$AK$4:$AL$102</definedName>
    <definedName name="Z_3FFC1701_0409_4F2F_BF76_B802B8EC90AF_.wvu.FilterData" localSheetId="3" hidden="1">調配產銷!#REF!</definedName>
    <definedName name="Z_403FB0BC_D7C8_4A01_B646_22E0CEAC0DE4_.wvu.FilterData" localSheetId="2" hidden="1">初餾產銷!$AJ$4:$AJ$78</definedName>
    <definedName name="Z_403FB0BC_D7C8_4A01_B646_22E0CEAC0DE4_.wvu.FilterData" localSheetId="1" hidden="1">精餾產銷!$AK$4:$AL$107</definedName>
    <definedName name="Z_406058D8_347D_43F1_A3B9_A7D6E5B1DDA7_.wvu.FilterData" localSheetId="2" hidden="1">初餾產銷!$AJ$4:$AJ$78</definedName>
    <definedName name="Z_406058D8_347D_43F1_A3B9_A7D6E5B1DDA7_.wvu.FilterData" localSheetId="1" hidden="1">精餾產銷!$AK$4:$AL$107</definedName>
    <definedName name="Z_407882B5_9C4F_4203_89D8_1CB8F1B57FED_.wvu.FilterData" localSheetId="1" hidden="1">精餾產銷!$AK$4:$AL$107</definedName>
    <definedName name="Z_412210C7_1A11_4BD4_98F9_D1DCEE8D0A97_.wvu.FilterData" localSheetId="2" hidden="1">初餾產銷!$A$4:$AJ$53</definedName>
    <definedName name="Z_412210C7_1A11_4BD4_98F9_D1DCEE8D0A97_.wvu.FilterData" localSheetId="1" hidden="1">精餾產銷!$AK$4:$AL$107</definedName>
    <definedName name="Z_412210C7_1A11_4BD4_98F9_D1DCEE8D0A97_.wvu.FilterData" localSheetId="3" hidden="1">調配產銷!#REF!</definedName>
    <definedName name="Z_412D2424_9B9B_46B1_85AA_2F74625DA6C8_.wvu.FilterData" localSheetId="1" hidden="1">精餾產銷!$AF$4:$AF$105</definedName>
    <definedName name="Z_415A8652_C180_4CF0_9B6D_F66D8F2B533D_.wvu.FilterData" localSheetId="1" hidden="1">精餾產銷!$AK$4:$AL$102</definedName>
    <definedName name="Z_415A8652_C180_4CF0_9B6D_F66D8F2B533D_.wvu.FilterData" localSheetId="3" hidden="1">調配產銷!#REF!</definedName>
    <definedName name="Z_41AFAE8A_8E95_47C8_8DD5_653E063F36B5_.wvu.FilterData" localSheetId="1" hidden="1">精餾產銷!$AK$4:$AL$107</definedName>
    <definedName name="Z_41B51BDE_FA92_4409_909B_FAD08AF7E9F9_.wvu.FilterData" localSheetId="2" hidden="1">初餾產銷!$AF$4:$AF$53</definedName>
    <definedName name="Z_41B51BDE_FA92_4409_909B_FAD08AF7E9F9_.wvu.FilterData" localSheetId="1" hidden="1">精餾產銷!$AF$4:$AF$105</definedName>
    <definedName name="Z_41B51BDE_FA92_4409_909B_FAD08AF7E9F9_.wvu.FilterData" localSheetId="3" hidden="1">調配產銷!#REF!</definedName>
    <definedName name="Z_41E993B4_D7E9_4517_9FE1_B5A3BAD193FD_.wvu.FilterData" localSheetId="0" hidden="1">'產銷總表 '!$A$5:$F$118</definedName>
    <definedName name="Z_41E993B4_D7E9_4517_9FE1_B5A3BAD193FD_.wvu.FilterData" localSheetId="1" hidden="1">精餾產銷!$AK$4:$AL$107</definedName>
    <definedName name="Z_41E993B4_D7E9_4517_9FE1_B5A3BAD193FD_.wvu.FilterData" localSheetId="3" hidden="1">調配產銷!#REF!</definedName>
    <definedName name="Z_4208FC5C_63DF_4DC3_B54C_30A57DB96BF4_.wvu.FilterData" localSheetId="2" hidden="1">初餾產銷!$AJ$4:$AJ$78</definedName>
    <definedName name="Z_4208FC5C_63DF_4DC3_B54C_30A57DB96BF4_.wvu.FilterData" localSheetId="1" hidden="1">精餾產銷!$AK$4:$AL$107</definedName>
    <definedName name="Z_4208FC5C_63DF_4DC3_B54C_30A57DB96BF4_.wvu.FilterData" localSheetId="3" hidden="1">調配產銷!$AF$4:$AF$81</definedName>
    <definedName name="Z_4237D6F1_8069_488A_92B7_009E6FE07EA5_.wvu.FilterData" localSheetId="2" hidden="1">初餾產銷!$AJ$4:$AJ$78</definedName>
    <definedName name="Z_42664113_ECF4_47E5_842C_80381C74998A_.wvu.FilterData" localSheetId="2" hidden="1">初餾產銷!$AJ$4:$AJ$78</definedName>
    <definedName name="Z_42664113_ECF4_47E5_842C_80381C74998A_.wvu.FilterData" localSheetId="1" hidden="1">精餾產銷!$AK$4:$AL$107</definedName>
    <definedName name="Z_42664113_ECF4_47E5_842C_80381C74998A_.wvu.FilterData" localSheetId="3" hidden="1">調配產銷!$AF$4:$AF$81</definedName>
    <definedName name="Z_43089F9B_785E_4632_8B88_17CCE1FA61B8_.wvu.FilterData" localSheetId="0" hidden="1">'產銷總表 '!$AF$5:$AG$241</definedName>
    <definedName name="Z_43089F9B_785E_4632_8B88_17CCE1FA61B8_.wvu.FilterData" localSheetId="1" hidden="1">精餾產銷!$AK$4:$AL$107</definedName>
    <definedName name="Z_433A7F8D_E094_4121_9447_32334484A45C_.wvu.FilterData" localSheetId="3" hidden="1">調配產銷!#REF!</definedName>
    <definedName name="Z_43900E42_9E08_4E14_BD39_F8F24D4B41C2_.wvu.FilterData" localSheetId="2" hidden="1">初餾產銷!$A$4:$AJ$53</definedName>
    <definedName name="Z_43900E42_9E08_4E14_BD39_F8F24D4B41C2_.wvu.FilterData" localSheetId="1" hidden="1">精餾產銷!$AK$4:$AL$102</definedName>
    <definedName name="Z_43900E42_9E08_4E14_BD39_F8F24D4B41C2_.wvu.FilterData" localSheetId="3" hidden="1">調配產銷!#REF!</definedName>
    <definedName name="Z_43D28EDC_5816_4A04_A6F2_129DB29600F6_.wvu.FilterData" localSheetId="2" hidden="1">初餾產銷!$AJ$4:$AJ$78</definedName>
    <definedName name="Z_43D28EDC_5816_4A04_A6F2_129DB29600F6_.wvu.FilterData" localSheetId="1" hidden="1">精餾產銷!$AK$4:$AL$107</definedName>
    <definedName name="Z_43D28EDC_5816_4A04_A6F2_129DB29600F6_.wvu.FilterData" localSheetId="3" hidden="1">調配產銷!$AF$4:$AF$81</definedName>
    <definedName name="Z_43DF8FCE_CE9B_43A5_BBA6_DD2811DDA647_.wvu.FilterData" localSheetId="2" hidden="1">初餾產銷!$AJ$4:$AJ$78</definedName>
    <definedName name="Z_43DF8FCE_CE9B_43A5_BBA6_DD2811DDA647_.wvu.FilterData" localSheetId="1" hidden="1">精餾產銷!$AK$4:$AL$107</definedName>
    <definedName name="Z_43DF8FCE_CE9B_43A5_BBA6_DD2811DDA647_.wvu.FilterData" localSheetId="3" hidden="1">調配產銷!$AF$4:$AF$81</definedName>
    <definedName name="Z_43E65D49_05F7_46F6_85ED_97C88F881732_.wvu.FilterData" localSheetId="1" hidden="1">精餾產銷!$AK$4:$AL$102</definedName>
    <definedName name="Z_43ED515C_7C76_49E7_B217_82FFFA7A02C7_.wvu.FilterData" localSheetId="1" hidden="1">精餾產銷!$AF$4:$AF$105</definedName>
    <definedName name="Z_443E9AC4_47E1_41E2_ABD7_DC08E30B0959_.wvu.FilterData" localSheetId="1" hidden="1">精餾產銷!$AF$4:$AF$105</definedName>
    <definedName name="Z_443F1F4C_BCCF_46E1_87BE_4498688A603A_.wvu.FilterData" localSheetId="2" hidden="1">初餾產銷!$AJ$4:$AJ$78</definedName>
    <definedName name="Z_44BAA05A_9EE5_42BD_9FDF_66A183CD8EF9_.wvu.FilterData" localSheetId="2" hidden="1">初餾產銷!$AJ$4:$AJ$78</definedName>
    <definedName name="Z_44BAA05A_9EE5_42BD_9FDF_66A183CD8EF9_.wvu.FilterData" localSheetId="1" hidden="1">精餾產銷!$AK$4:$AL$107</definedName>
    <definedName name="Z_44BD4D22_58F7_4D63_A9A6_FF7FB053A8DD_.wvu.FilterData" localSheetId="2" hidden="1">初餾產銷!$A$4:$AJ$51</definedName>
    <definedName name="Z_44BD4D22_58F7_4D63_A9A6_FF7FB053A8DD_.wvu.FilterData" localSheetId="0" hidden="1">'產銷總表 '!$A$5:$F$118</definedName>
    <definedName name="Z_44BD4D22_58F7_4D63_A9A6_FF7FB053A8DD_.wvu.FilterData" localSheetId="1" hidden="1">精餾產銷!$A$4:$AJ$105</definedName>
    <definedName name="Z_4514543E_53A5_4727_93B6_2F4DB16329BC_.wvu.FilterData" localSheetId="1" hidden="1">精餾產銷!$A$4:$AJ$105</definedName>
    <definedName name="Z_4514543E_53A5_4727_93B6_2F4DB16329BC_.wvu.FilterData" localSheetId="3" hidden="1">調配產銷!#REF!</definedName>
    <definedName name="Z_4536696D_1AC4_4BB0_8094_C5CCF713B7A5_.wvu.FilterData" localSheetId="2" hidden="1">初餾產銷!$AF$4:$AF$53</definedName>
    <definedName name="Z_460D2725_5273_4D2D_9564_437713BDE9EA_.wvu.FilterData" localSheetId="1" hidden="1">精餾產銷!$AK$4:$AL$107</definedName>
    <definedName name="Z_462A8CD2_891B_4E30_8F39_4E621B5E77E5_.wvu.FilterData" localSheetId="1" hidden="1">精餾產銷!$AK$4:$AL$102</definedName>
    <definedName name="Z_462A8CD2_891B_4E30_8F39_4E621B5E77E5_.wvu.FilterData" localSheetId="3" hidden="1">調配產銷!#REF!</definedName>
    <definedName name="Z_463F7B2B_299F_4EA6_B797_3CAC5F2E33C7_.wvu.FilterData" localSheetId="2" hidden="1">初餾產銷!$AJ$4:$AJ$78</definedName>
    <definedName name="Z_46512CF8_7132_4993_92D9_DECCCB84CF5D_.wvu.FilterData" localSheetId="2" hidden="1">初餾產銷!$AF$4:$AF$78</definedName>
    <definedName name="Z_46512CF8_7132_4993_92D9_DECCCB84CF5D_.wvu.FilterData" localSheetId="1" hidden="1">精餾產銷!$AK$4:$AL$107</definedName>
    <definedName name="Z_46512CF8_7132_4993_92D9_DECCCB84CF5D_.wvu.FilterData" localSheetId="3" hidden="1">調配產銷!$AF$4:$AF$81</definedName>
    <definedName name="Z_465A6D20_229A_41E5_9A75_CFC3D0FBF7FC_.wvu.FilterData" localSheetId="1" hidden="1">精餾產銷!$AK$4:$AL$107</definedName>
    <definedName name="Z_465CD905_854A_4F4A_908D_83ABAB5FB252_.wvu.Cols" localSheetId="2" hidden="1">初餾產銷!$B:$B,初餾產銷!$D:$F</definedName>
    <definedName name="Z_465CD905_854A_4F4A_908D_83ABAB5FB252_.wvu.Cols" localSheetId="0" hidden="1">'產銷總表 '!$B:$B,'產銷總表 '!$D:$F</definedName>
    <definedName name="Z_465CD905_854A_4F4A_908D_83ABAB5FB252_.wvu.Cols" localSheetId="1" hidden="1">精餾產銷!$B:$B,精餾產銷!$D:$F</definedName>
    <definedName name="Z_465CD905_854A_4F4A_908D_83ABAB5FB252_.wvu.Cols" localSheetId="3" hidden="1">調配產銷!$B:$B,調配產銷!$D:$F</definedName>
    <definedName name="Z_465CD905_854A_4F4A_908D_83ABAB5FB252_.wvu.FilterData" localSheetId="2" hidden="1">初餾產銷!$AJ$4:$AJ$78</definedName>
    <definedName name="Z_465CD905_854A_4F4A_908D_83ABAB5FB252_.wvu.FilterData" localSheetId="0" hidden="1">'產銷總表 '!$AF$5:$AG$241</definedName>
    <definedName name="Z_465CD905_854A_4F4A_908D_83ABAB5FB252_.wvu.FilterData" localSheetId="1" hidden="1">精餾產銷!$AK$4:$AL$107</definedName>
    <definedName name="Z_465CD905_854A_4F4A_908D_83ABAB5FB252_.wvu.FilterData" localSheetId="3" hidden="1">調配產銷!$AF$4:$AF$81</definedName>
    <definedName name="Z_465CD905_854A_4F4A_908D_83ABAB5FB252_.wvu.PrintArea" localSheetId="2" hidden="1">初餾產銷!$A$1:$AI$78</definedName>
    <definedName name="Z_465CD905_854A_4F4A_908D_83ABAB5FB252_.wvu.PrintArea" localSheetId="4" hidden="1">秏料!$A$1:$L$134</definedName>
    <definedName name="Z_465CD905_854A_4F4A_908D_83ABAB5FB252_.wvu.PrintArea" localSheetId="0" hidden="1">'產銷總表 '!$A$2:$AE$241</definedName>
    <definedName name="Z_465CD905_854A_4F4A_908D_83ABAB5FB252_.wvu.PrintArea" localSheetId="1" hidden="1">精餾產銷!$A$1:$AE$107</definedName>
    <definedName name="Z_465CD905_854A_4F4A_908D_83ABAB5FB252_.wvu.PrintArea" localSheetId="3" hidden="1">調配產銷!$A$1:$AE$83</definedName>
    <definedName name="Z_465CD905_854A_4F4A_908D_83ABAB5FB252_.wvu.PrintTitles" localSheetId="2" hidden="1">初餾產銷!$1:$2</definedName>
    <definedName name="Z_465CD905_854A_4F4A_908D_83ABAB5FB252_.wvu.PrintTitles" localSheetId="1" hidden="1">精餾產銷!$1:$2</definedName>
    <definedName name="Z_46CBC32D_79D1_4D14_BB38_19DBC4D72723_.wvu.FilterData" localSheetId="3" hidden="1">調配產銷!$AF$4:$AF$81</definedName>
    <definedName name="Z_46DA55FB_AA2C_404B_875B_057CC52A337F_.wvu.FilterData" localSheetId="1" hidden="1">精餾產銷!$AK$4:$AL$107</definedName>
    <definedName name="Z_46EB5296_06CF_4518_B12C_8E2A1FAA9E52_.wvu.FilterData" localSheetId="2" hidden="1">初餾產銷!$AJ$4:$AJ$78</definedName>
    <definedName name="Z_475433B6_6FE9_4FD2_8787_735A8C1283DB_.wvu.FilterData" localSheetId="2" hidden="1">初餾產銷!$A$4:$AJ$53</definedName>
    <definedName name="Z_475433B6_6FE9_4FD2_8787_735A8C1283DB_.wvu.FilterData" localSheetId="1" hidden="1">精餾產銷!$AK$4:$AL$107</definedName>
    <definedName name="Z_475C679E_DCDD_49C3_8A0B_1575C3C8923E_.wvu.FilterData" localSheetId="2" hidden="1">初餾產銷!$AJ$4:$AJ$78</definedName>
    <definedName name="Z_47D75F30_6583_4D08_9EBA_DFFC160C5647_.wvu.FilterData" localSheetId="2" hidden="1">初餾產銷!$AF$4:$AF$53</definedName>
    <definedName name="Z_47D75F30_6583_4D08_9EBA_DFFC160C5647_.wvu.FilterData" localSheetId="1" hidden="1">精餾產銷!$AF$4:$AF$105</definedName>
    <definedName name="Z_47D75F30_6583_4D08_9EBA_DFFC160C5647_.wvu.FilterData" localSheetId="3" hidden="1">調配產銷!#REF!</definedName>
    <definedName name="Z_481E4BBE_E449_43C3_8B97_444C4ADFBCEA_.wvu.FilterData" localSheetId="3" hidden="1">調配產銷!$AF$4:$AF$81</definedName>
    <definedName name="Z_4821C7D4_881E_42D7_9B75_2A2148575066_.wvu.FilterData" localSheetId="2" hidden="1">初餾產銷!$AF$4:$AF$53</definedName>
    <definedName name="Z_4821C7D4_881E_42D7_9B75_2A2148575066_.wvu.FilterData" localSheetId="1" hidden="1">精餾產銷!$AF$4:$AF$105</definedName>
    <definedName name="Z_48B316B9_B8EA_41DD_9C2F_440A250FBABB_.wvu.FilterData" localSheetId="1" hidden="1">精餾產銷!$AK$4:$AL$107</definedName>
    <definedName name="Z_490BCDEF_2BAB_4E77_BB54_6603D1CDFF9F_.wvu.FilterData" localSheetId="2" hidden="1">初餾產銷!$AJ$4:$AJ$78</definedName>
    <definedName name="Z_490BCDEF_2BAB_4E77_BB54_6603D1CDFF9F_.wvu.FilterData" localSheetId="1" hidden="1">精餾產銷!$AK$4:$AL$107</definedName>
    <definedName name="Z_490BCDEF_2BAB_4E77_BB54_6603D1CDFF9F_.wvu.FilterData" localSheetId="3" hidden="1">調配產銷!$AF$4:$AF$81</definedName>
    <definedName name="Z_491CD5D0_25F7_4871_8680_49AE42E4CCFD_.wvu.FilterData" localSheetId="1" hidden="1">精餾產銷!$AK$4:$AL$102</definedName>
    <definedName name="Z_49383810_4F6C_4E68_A4D2_179B823494E5_.wvu.FilterData" localSheetId="2" hidden="1">初餾產銷!$A$4:$AJ$53</definedName>
    <definedName name="Z_49383810_4F6C_4E68_A4D2_179B823494E5_.wvu.FilterData" localSheetId="1" hidden="1">精餾產銷!$AK$4:$AL$102</definedName>
    <definedName name="Z_499E8EA6_DDD9_4DD4_B818_26317E66437B_.wvu.FilterData" localSheetId="1" hidden="1">精餾產銷!$AK$4:$AL$102</definedName>
    <definedName name="Z_499E8EA6_DDD9_4DD4_B818_26317E66437B_.wvu.FilterData" localSheetId="3" hidden="1">調配產銷!#REF!</definedName>
    <definedName name="Z_49B0C39E_948C_41B5_BA4E_AB49B1B60932_.wvu.FilterData" localSheetId="3" hidden="1">調配產銷!$AF$4:$AF$81</definedName>
    <definedName name="Z_49C44EDA_4AAB_422D_81EB_8A6B518A7E95_.wvu.FilterData" localSheetId="1" hidden="1">精餾產銷!$AK$4:$AL$107</definedName>
    <definedName name="Z_49C44EDA_4AAB_422D_81EB_8A6B518A7E95_.wvu.FilterData" localSheetId="3" hidden="1">調配產銷!$AF$4:$AF$81</definedName>
    <definedName name="Z_49DDD247_C139_4149_AB57_F4D21C7C867E_.wvu.FilterData" localSheetId="2" hidden="1">初餾產銷!$AJ$4:$AJ$78</definedName>
    <definedName name="Z_49DDD247_C139_4149_AB57_F4D21C7C867E_.wvu.FilterData" localSheetId="1" hidden="1">精餾產銷!$AK$4:$AL$107</definedName>
    <definedName name="Z_4A49B1DC_D6C8_41E9_8CB4_7F6695CD275B_.wvu.FilterData" localSheetId="1" hidden="1">精餾產銷!$AK$4:$AL$107</definedName>
    <definedName name="Z_4A68A625_9968_4781_A049_10C70B6C6A4D_.wvu.FilterData" localSheetId="3" hidden="1">調配產銷!$AF$4:$AF$81</definedName>
    <definedName name="Z_4B1A9605_A6C0_4CCA_905B_8B6CB391A9B7_.wvu.FilterData" localSheetId="2" hidden="1">初餾產銷!$AJ$4:$AJ$78</definedName>
    <definedName name="Z_4B1A9605_A6C0_4CCA_905B_8B6CB391A9B7_.wvu.FilterData" localSheetId="1" hidden="1">精餾產銷!$AK$4:$AL$107</definedName>
    <definedName name="Z_4B1A9605_A6C0_4CCA_905B_8B6CB391A9B7_.wvu.FilterData" localSheetId="3" hidden="1">調配產銷!$AF$4:$AF$81</definedName>
    <definedName name="Z_4B1FA1DD_6483_4CA9_9154_BD5BD3917C09_.wvu.FilterData" localSheetId="2" hidden="1">初餾產銷!$AJ$4:$AJ$78</definedName>
    <definedName name="Z_4B1FA1DD_6483_4CA9_9154_BD5BD3917C09_.wvu.FilterData" localSheetId="1" hidden="1">精餾產銷!$AK$4:$AL$107</definedName>
    <definedName name="Z_4B6E1B38_E439_406A_9E0D_5C2F40D928F2_.wvu.Cols" localSheetId="0" hidden="1">'產銷總表 '!$B:$B,'產銷總表 '!$D:$F</definedName>
    <definedName name="Z_4B6E1B38_E439_406A_9E0D_5C2F40D928F2_.wvu.FilterData" localSheetId="2" hidden="1">初餾產銷!$AJ$4:$AJ$78</definedName>
    <definedName name="Z_4B6E1B38_E439_406A_9E0D_5C2F40D928F2_.wvu.FilterData" localSheetId="4" hidden="1">秏料!$A$2:$L$134</definedName>
    <definedName name="Z_4B6E1B38_E439_406A_9E0D_5C2F40D928F2_.wvu.FilterData" localSheetId="0" hidden="1">'產銷總表 '!$AF$5:$AG$241</definedName>
    <definedName name="Z_4B6E1B38_E439_406A_9E0D_5C2F40D928F2_.wvu.FilterData" localSheetId="1" hidden="1">精餾產銷!$AK$4:$AL$107</definedName>
    <definedName name="Z_4B6E1B38_E439_406A_9E0D_5C2F40D928F2_.wvu.FilterData" localSheetId="3" hidden="1">調配產銷!$AF$4:$AF$81</definedName>
    <definedName name="Z_4B6E1B38_E439_406A_9E0D_5C2F40D928F2_.wvu.PrintArea" localSheetId="2" hidden="1">初餾產銷!$A$1:$AI$78</definedName>
    <definedName name="Z_4B6E1B38_E439_406A_9E0D_5C2F40D928F2_.wvu.PrintArea" localSheetId="4" hidden="1">秏料!$A$1:$L$134</definedName>
    <definedName name="Z_4B6E1B38_E439_406A_9E0D_5C2F40D928F2_.wvu.PrintArea" localSheetId="0" hidden="1">'產銷總表 '!$A$2:$AE$241</definedName>
    <definedName name="Z_4B6E1B38_E439_406A_9E0D_5C2F40D928F2_.wvu.PrintArea" localSheetId="1" hidden="1">精餾產銷!$A$1:$AE$107</definedName>
    <definedName name="Z_4B6E1B38_E439_406A_9E0D_5C2F40D928F2_.wvu.PrintArea" localSheetId="3" hidden="1">調配產銷!$A$1:$AE$83</definedName>
    <definedName name="Z_4B6E1B38_E439_406A_9E0D_5C2F40D928F2_.wvu.PrintTitles" localSheetId="2" hidden="1">初餾產銷!$1:$2</definedName>
    <definedName name="Z_4B6E1B38_E439_406A_9E0D_5C2F40D928F2_.wvu.PrintTitles" localSheetId="1" hidden="1">精餾產銷!$1:$2</definedName>
    <definedName name="Z_4B7FA7E2_7EE3_43CD_AC2A_9678C878C16B_.wvu.FilterData" localSheetId="3" hidden="1">調配產銷!#REF!</definedName>
    <definedName name="Z_4BA48AE4_0A10_4A2A_90F1_24CEDE05D931_.wvu.FilterData" localSheetId="3" hidden="1">調配產銷!#REF!</definedName>
    <definedName name="Z_4BB311A9_7440_4E0E_9539_6FF934C51090_.wvu.FilterData" localSheetId="2" hidden="1">初餾產銷!$A$4:$AJ$53</definedName>
    <definedName name="Z_4BB311A9_7440_4E0E_9539_6FF934C51090_.wvu.FilterData" localSheetId="1" hidden="1">精餾產銷!$AK$4:$AL$102</definedName>
    <definedName name="Z_4BB311A9_7440_4E0E_9539_6FF934C51090_.wvu.FilterData" localSheetId="3" hidden="1">調配產銷!#REF!</definedName>
    <definedName name="Z_4C1D45EA_3F57_4A9A_9969_DD66D11250B1_.wvu.FilterData" localSheetId="1" hidden="1">精餾產銷!$AF$4:$AF$105</definedName>
    <definedName name="Z_4C1D45EA_3F57_4A9A_9969_DD66D11250B1_.wvu.FilterData" localSheetId="3" hidden="1">調配產銷!#REF!</definedName>
    <definedName name="Z_4C4FE9BD_5CAC_4E03_BFCF_694699C05BF0_.wvu.FilterData" localSheetId="2" hidden="1">初餾產銷!$A$4:$AJ$53</definedName>
    <definedName name="Z_4D0EF1BC_09BC_4AEF_850E_BA11496BA025_.wvu.FilterData" localSheetId="1" hidden="1">精餾產銷!$AK$4:$AL$107</definedName>
    <definedName name="Z_4D0EF1BC_09BC_4AEF_850E_BA11496BA025_.wvu.FilterData" localSheetId="3" hidden="1">調配產銷!$AF$4:$AF$81</definedName>
    <definedName name="Z_4DEB073C_115D_44B7_B8F8_0448D96431DD_.wvu.FilterData" localSheetId="2" hidden="1">初餾產銷!$AJ$4:$AJ$78</definedName>
    <definedName name="Z_4DEB073C_115D_44B7_B8F8_0448D96431DD_.wvu.FilterData" localSheetId="1" hidden="1">精餾產銷!$AK$4:$AL$107</definedName>
    <definedName name="Z_4DEB073C_115D_44B7_B8F8_0448D96431DD_.wvu.FilterData" localSheetId="3" hidden="1">調配產銷!$AF$4:$AF$81</definedName>
    <definedName name="Z_4DF6A536_5B1F_492C_94C4_BDEE9304640A_.wvu.FilterData" localSheetId="3" hidden="1">調配產銷!$AF$4:$AF$81</definedName>
    <definedName name="Z_4E0FE746_0340_4188_BFCD_F1E832F06D96_.wvu.FilterData" localSheetId="2" hidden="1">初餾產銷!$AJ$4:$AJ$78</definedName>
    <definedName name="Z_4E172479_9B65_4686_ABF9_373D8F77A480_.wvu.FilterData" localSheetId="1" hidden="1">精餾產銷!$AF$4:$AF$105</definedName>
    <definedName name="Z_4E172479_9B65_4686_ABF9_373D8F77A480_.wvu.FilterData" localSheetId="3" hidden="1">調配產銷!#REF!</definedName>
    <definedName name="Z_4E56DA8A_D3AE_4A2A_9781_480DEFE85E43_.wvu.FilterData" localSheetId="1" hidden="1">精餾產銷!$AF$4:$AF$105</definedName>
    <definedName name="Z_4E639CCC_12BD_4FBC_AADB_957F986CB151_.wvu.FilterData" localSheetId="1" hidden="1">精餾產銷!$AK$4:$AL$107</definedName>
    <definedName name="Z_4E639CCC_12BD_4FBC_AADB_957F986CB151_.wvu.FilterData" localSheetId="3" hidden="1">調配產銷!$AF$4:$AF$81</definedName>
    <definedName name="Z_4E74532E_4C32_4203_BD0F_12523428B3CF_.wvu.FilterData" localSheetId="2" hidden="1">初餾產銷!$A$4:$AJ$53</definedName>
    <definedName name="Z_4E8C05EC_6BD8_4FA2_832A_7E6F0CF75E89_.wvu.FilterData" localSheetId="3" hidden="1">調配產銷!$AF$4:$AF$81</definedName>
    <definedName name="Z_4ED9B432_0D29_4002_9F73_055CDD6C10A8_.wvu.FilterData" localSheetId="1" hidden="1">精餾產銷!$AK$4:$AL$107</definedName>
    <definedName name="Z_4ED9B432_0D29_4002_9F73_055CDD6C10A8_.wvu.FilterData" localSheetId="3" hidden="1">調配產銷!$AF$4:$AF$81</definedName>
    <definedName name="Z_4EDF295C_A8AF_484A_85CF_E58E588A3069_.wvu.FilterData" localSheetId="1" hidden="1">精餾產銷!$AF$4:$AF$105</definedName>
    <definedName name="Z_4F1633D5_0756_43B3_A1A8_E647CD0ADFF1_.wvu.FilterData" localSheetId="2" hidden="1">初餾產銷!$AJ$4:$AJ$78</definedName>
    <definedName name="Z_4F1633D5_0756_43B3_A1A8_E647CD0ADFF1_.wvu.FilterData" localSheetId="1" hidden="1">精餾產銷!$AK$4:$AL$107</definedName>
    <definedName name="Z_4F48E4CF_BE7B_42CF_824C_7C98C9801707_.wvu.FilterData" localSheetId="3" hidden="1">調配產銷!$AF$4:$AF$81</definedName>
    <definedName name="Z_4F4A4D30_5E8A_4AF4_8152_51515566FAEA_.wvu.FilterData" localSheetId="2" hidden="1">初餾產銷!$AJ$4:$AJ$78</definedName>
    <definedName name="Z_4F4A4D30_5E8A_4AF4_8152_51515566FAEA_.wvu.FilterData" localSheetId="1" hidden="1">精餾產銷!$AK$4:$AL$107</definedName>
    <definedName name="Z_4F512C52_4B97_4B95_94C5_13FA83AAC5B6_.wvu.FilterData" localSheetId="2" hidden="1">初餾產銷!$AF$4:$AF$53</definedName>
    <definedName name="Z_4F512C52_4B97_4B95_94C5_13FA83AAC5B6_.wvu.FilterData" localSheetId="3" hidden="1">調配產銷!#REF!</definedName>
    <definedName name="Z_4F9916F7_7D3E_4DBC_BA1D_303402A3E826_.wvu.FilterData" localSheetId="2" hidden="1">初餾產銷!$AJ$4:$AJ$78</definedName>
    <definedName name="Z_4F9916F7_7D3E_4DBC_BA1D_303402A3E826_.wvu.FilterData" localSheetId="1" hidden="1">精餾產銷!$AK$4:$AL$107</definedName>
    <definedName name="Z_4FC155ED_0F56_406E_84A9_9B624A94D0DB_.wvu.Cols" localSheetId="2" hidden="1">初餾產銷!$B:$B</definedName>
    <definedName name="Z_4FC155ED_0F56_406E_84A9_9B624A94D0DB_.wvu.Cols" localSheetId="0" hidden="1">'產銷總表 '!$B:$B</definedName>
    <definedName name="Z_4FC155ED_0F56_406E_84A9_9B624A94D0DB_.wvu.Cols" localSheetId="1" hidden="1">精餾產銷!$B:$B</definedName>
    <definedName name="Z_4FC155ED_0F56_406E_84A9_9B624A94D0DB_.wvu.Cols" localSheetId="3" hidden="1">調配產銷!#REF!</definedName>
    <definedName name="Z_4FC155ED_0F56_406E_84A9_9B624A94D0DB_.wvu.FilterData" localSheetId="2" hidden="1">初餾產銷!$A$4:$AJ$48</definedName>
    <definedName name="Z_4FC155ED_0F56_406E_84A9_9B624A94D0DB_.wvu.FilterData" localSheetId="0" hidden="1">'產銷總表 '!$A$5:$F$118</definedName>
    <definedName name="Z_4FC155ED_0F56_406E_84A9_9B624A94D0DB_.wvu.FilterData" localSheetId="1" hidden="1">精餾產銷!$A$4:$AJ$99</definedName>
    <definedName name="Z_4FC155ED_0F56_406E_84A9_9B624A94D0DB_.wvu.FilterData" localSheetId="3" hidden="1">調配產銷!#REF!</definedName>
    <definedName name="Z_4FC155ED_0F56_406E_84A9_9B624A94D0DB_.wvu.PrintArea" localSheetId="2" hidden="1">初餾產銷!$A$1:$AE$53</definedName>
    <definedName name="Z_4FC155ED_0F56_406E_84A9_9B624A94D0DB_.wvu.PrintArea" localSheetId="0" hidden="1">'產銷總表 '!$A$2:$F$118</definedName>
    <definedName name="Z_4FC155ED_0F56_406E_84A9_9B624A94D0DB_.wvu.PrintArea" localSheetId="1" hidden="1">精餾產銷!$A$1:$AE$105</definedName>
    <definedName name="Z_4FC155ED_0F56_406E_84A9_9B624A94D0DB_.wvu.PrintArea" localSheetId="3" hidden="1">調配產銷!#REF!</definedName>
    <definedName name="Z_4FC155ED_0F56_406E_84A9_9B624A94D0DB_.wvu.Rows" localSheetId="2" hidden="1">初餾產銷!$52:$53</definedName>
    <definedName name="Z_4FC155ED_0F56_406E_84A9_9B624A94D0DB_.wvu.Rows" localSheetId="0" hidden="1">'產銷總表 '!#REF!</definedName>
    <definedName name="Z_4FC155ED_0F56_406E_84A9_9B624A94D0DB_.wvu.Rows" localSheetId="1" hidden="1">精餾產銷!#REF!</definedName>
    <definedName name="Z_4FC155ED_0F56_406E_84A9_9B624A94D0DB_.wvu.Rows" localSheetId="3" hidden="1">調配產銷!#REF!</definedName>
    <definedName name="Z_502F3196_9B33_4199_B129_D6F07DE04859_.wvu.Cols" localSheetId="2" hidden="1">初餾產銷!$B:$B</definedName>
    <definedName name="Z_502F3196_9B33_4199_B129_D6F07DE04859_.wvu.Cols" localSheetId="0" hidden="1">'產銷總表 '!$B:$B</definedName>
    <definedName name="Z_502F3196_9B33_4199_B129_D6F07DE04859_.wvu.Cols" localSheetId="1" hidden="1">精餾產銷!$B:$B</definedName>
    <definedName name="Z_502F3196_9B33_4199_B129_D6F07DE04859_.wvu.Cols" localSheetId="3" hidden="1">調配產銷!#REF!</definedName>
    <definedName name="Z_502F3196_9B33_4199_B129_D6F07DE04859_.wvu.FilterData" localSheetId="2" hidden="1">初餾產銷!$AF$4:$AF$53</definedName>
    <definedName name="Z_502F3196_9B33_4199_B129_D6F07DE04859_.wvu.FilterData" localSheetId="0" hidden="1">'產銷總表 '!$A$5:$F$118</definedName>
    <definedName name="Z_502F3196_9B33_4199_B129_D6F07DE04859_.wvu.FilterData" localSheetId="1" hidden="1">精餾產銷!$AF$4:$AF$105</definedName>
    <definedName name="Z_502F3196_9B33_4199_B129_D6F07DE04859_.wvu.FilterData" localSheetId="3" hidden="1">調配產銷!#REF!</definedName>
    <definedName name="Z_502F3196_9B33_4199_B129_D6F07DE04859_.wvu.PrintArea" localSheetId="2" hidden="1">初餾產銷!$A$1:$AE$55</definedName>
    <definedName name="Z_502F3196_9B33_4199_B129_D6F07DE04859_.wvu.PrintArea" localSheetId="0" hidden="1">'產銷總表 '!$A$2:$F$118</definedName>
    <definedName name="Z_502F3196_9B33_4199_B129_D6F07DE04859_.wvu.PrintArea" localSheetId="3" hidden="1">調配產銷!#REF!</definedName>
    <definedName name="Z_502F3196_9B33_4199_B129_D6F07DE04859_.wvu.PrintTitles" localSheetId="2" hidden="1">初餾產銷!$1:$2</definedName>
    <definedName name="Z_502F3196_9B33_4199_B129_D6F07DE04859_.wvu.PrintTitles" localSheetId="1" hidden="1">精餾產銷!$1:$2</definedName>
    <definedName name="Z_502F3196_9B33_4199_B129_D6F07DE04859_.wvu.PrintTitles" localSheetId="3" hidden="1">調配產銷!#REF!</definedName>
    <definedName name="Z_502F3196_9B33_4199_B129_D6F07DE04859_.wvu.Rows" localSheetId="0" hidden="1">'產銷總表 '!#REF!</definedName>
    <definedName name="Z_502F3196_9B33_4199_B129_D6F07DE04859_.wvu.Rows" localSheetId="1" hidden="1">精餾產銷!$106:$106</definedName>
    <definedName name="Z_5044C961_9FDF_4A1D_B9F9_4CD316234FDF_.wvu.FilterData" localSheetId="2" hidden="1">初餾產銷!$AF$4:$AF$53</definedName>
    <definedName name="Z_5044C961_9FDF_4A1D_B9F9_4CD316234FDF_.wvu.FilterData" localSheetId="1" hidden="1">精餾產銷!$AF$4:$AF$105</definedName>
    <definedName name="Z_5044C961_9FDF_4A1D_B9F9_4CD316234FDF_.wvu.FilterData" localSheetId="3" hidden="1">調配產銷!#REF!</definedName>
    <definedName name="Z_50A5D58E_63DB_4626_8180_9F38E4A9E86E_.wvu.FilterData" localSheetId="2" hidden="1">初餾產銷!$AJ$4:$AJ$78</definedName>
    <definedName name="Z_50A5D58E_63DB_4626_8180_9F38E4A9E86E_.wvu.FilterData" localSheetId="1" hidden="1">精餾產銷!$AK$4:$AL$107</definedName>
    <definedName name="Z_50FD8F5B_AD33_412B_899F_EA61D4B369A7_.wvu.FilterData" localSheetId="2" hidden="1">初餾產銷!$AJ$4:$AJ$78</definedName>
    <definedName name="Z_514A3684_F310_43B5_942F_BE5E7C8BC52E_.wvu.FilterData" localSheetId="2" hidden="1">初餾產銷!$AJ$4:$AJ$78</definedName>
    <definedName name="Z_514A3684_F310_43B5_942F_BE5E7C8BC52E_.wvu.FilterData" localSheetId="3" hidden="1">調配產銷!$AF$4:$AF$81</definedName>
    <definedName name="Z_51F0B48C_7233_41A1_8164_F7CFBD7FCB24_.wvu.FilterData" localSheetId="1" hidden="1">精餾產銷!$AK$4:$AL$107</definedName>
    <definedName name="Z_51F42B2F_DB3D_472B_B291_26AF7A354177_.wvu.FilterData" localSheetId="2" hidden="1">初餾產銷!$AF$4:$AF$53</definedName>
    <definedName name="Z_521A9FB2_EF2F_4E3B_9B31_DEE702682C78_.wvu.FilterData" localSheetId="1" hidden="1">精餾產銷!$AK$4:$AL$107</definedName>
    <definedName name="Z_521B205F_0553_4909_8F6F_66102FD9F7A6_.wvu.FilterData" localSheetId="2" hidden="1">初餾產銷!$AJ$4:$AJ$78</definedName>
    <definedName name="Z_521B205F_0553_4909_8F6F_66102FD9F7A6_.wvu.FilterData" localSheetId="1" hidden="1">精餾產銷!$AK$4:$AL$107</definedName>
    <definedName name="Z_521B205F_0553_4909_8F6F_66102FD9F7A6_.wvu.FilterData" localSheetId="3" hidden="1">調配產銷!$AF$4:$AF$81</definedName>
    <definedName name="Z_5226F59A_3D88_4089_978F_C54A17529E17_.wvu.FilterData" localSheetId="1" hidden="1">精餾產銷!$AF$4:$AF$105</definedName>
    <definedName name="Z_5226F59A_3D88_4089_978F_C54A17529E17_.wvu.FilterData" localSheetId="3" hidden="1">調配產銷!#REF!</definedName>
    <definedName name="Z_5266EA0E_68BE_4EF8_9625_35B8D389A641_.wvu.FilterData" localSheetId="1" hidden="1">精餾產銷!$AK$4:$AL$107</definedName>
    <definedName name="Z_5266EA0E_68BE_4EF8_9625_35B8D389A641_.wvu.FilterData" localSheetId="3" hidden="1">調配產銷!$AF$4:$AF$81</definedName>
    <definedName name="Z_52715D38_82D3_40E3_865E_02D81F863D67_.wvu.FilterData" localSheetId="1" hidden="1">精餾產銷!$AK$4:$AL$107</definedName>
    <definedName name="Z_5287B105_350B_4D01_8730_A22FD384002E_.wvu.FilterData" localSheetId="1" hidden="1">精餾產銷!$A$4:$AJ$105</definedName>
    <definedName name="Z_5287B105_350B_4D01_8730_A22FD384002E_.wvu.FilterData" localSheetId="3" hidden="1">調配產銷!#REF!</definedName>
    <definedName name="Z_52D8FAC5_84A9_4135_8216_DD60B258B112_.wvu.FilterData" localSheetId="2" hidden="1">初餾產銷!$A$4:$AJ$53</definedName>
    <definedName name="Z_52D8FAC5_84A9_4135_8216_DD60B258B112_.wvu.FilterData" localSheetId="1" hidden="1">精餾產銷!$AK$4:$AL$107</definedName>
    <definedName name="Z_5356526E_E3E0_46E1_84FE_5692F21ED15B_.wvu.FilterData" localSheetId="2" hidden="1">初餾產銷!$AJ$4:$AJ$78</definedName>
    <definedName name="Z_5356526E_E3E0_46E1_84FE_5692F21ED15B_.wvu.FilterData" localSheetId="1" hidden="1">精餾產銷!$AK$4:$AL$107</definedName>
    <definedName name="Z_53756779_2B78_41E9_9AE1_AA7327CD20B7_.wvu.FilterData" localSheetId="2" hidden="1">初餾產銷!$AJ$4:$AJ$78</definedName>
    <definedName name="Z_53F3019F_418E_46DA_B0B9_80D92D86A304_.wvu.FilterData" localSheetId="3" hidden="1">調配產銷!$AF$4:$AF$81</definedName>
    <definedName name="Z_5409AABF_AF58_4585_AE37_2AFC195A0B27_.wvu.FilterData" localSheetId="3" hidden="1">調配產銷!#REF!</definedName>
    <definedName name="Z_542FF906_E00A_4FA9_89E2_345A493AC746_.wvu.FilterData" localSheetId="2" hidden="1">初餾產銷!$AF$4:$AF$53</definedName>
    <definedName name="Z_542FF906_E00A_4FA9_89E2_345A493AC746_.wvu.FilterData" localSheetId="1" hidden="1">精餾產銷!$AF$4:$AF$105</definedName>
    <definedName name="Z_544BB93E_BA3F_4BB5_B1B8_5ED6837D0A2C_.wvu.FilterData" localSheetId="2" hidden="1">初餾產銷!$AF$4:$AF$53</definedName>
    <definedName name="Z_544BB93E_BA3F_4BB5_B1B8_5ED6837D0A2C_.wvu.FilterData" localSheetId="1" hidden="1">精餾產銷!$AF$4:$AF$105</definedName>
    <definedName name="Z_544BB93E_BA3F_4BB5_B1B8_5ED6837D0A2C_.wvu.FilterData" localSheetId="3" hidden="1">調配產銷!#REF!</definedName>
    <definedName name="Z_5499A205_30DD_4FC1_92F9_8EEB27319A81_.wvu.FilterData" localSheetId="2" hidden="1">初餾產銷!$AJ$4:$AJ$78</definedName>
    <definedName name="Z_5499A205_30DD_4FC1_92F9_8EEB27319A81_.wvu.FilterData" localSheetId="1" hidden="1">精餾產銷!$AK$4:$AL$107</definedName>
    <definedName name="Z_549BBA86_EA68_4B25_AE0B_02FB3C801594_.wvu.FilterData" localSheetId="1" hidden="1">精餾產銷!$AK$4:$AL$102</definedName>
    <definedName name="Z_54B3309A_ABD6_4E0E_8286_67DE7101C327_.wvu.FilterData" localSheetId="1" hidden="1">精餾產銷!$AK$4:$AL$107</definedName>
    <definedName name="Z_54B3309A_ABD6_4E0E_8286_67DE7101C327_.wvu.FilterData" localSheetId="3" hidden="1">調配產銷!$AF$4:$AF$81</definedName>
    <definedName name="Z_550CFB68_4B89_4B70_AE70_852D5ED92D84_.wvu.FilterData" localSheetId="2" hidden="1">初餾產銷!$A$4:$AJ$53</definedName>
    <definedName name="Z_550CFB68_4B89_4B70_AE70_852D5ED92D84_.wvu.FilterData" localSheetId="1" hidden="1">精餾產銷!$AK$4:$AL$102</definedName>
    <definedName name="Z_55290915_DF41_4A64_9EAF_D42A6E64D54F_.wvu.FilterData" localSheetId="2" hidden="1">初餾產銷!$AJ$4:$AJ$78</definedName>
    <definedName name="Z_55290915_DF41_4A64_9EAF_D42A6E64D54F_.wvu.FilterData" localSheetId="1" hidden="1">精餾產銷!$AK$4:$AL$107</definedName>
    <definedName name="Z_55290915_DF41_4A64_9EAF_D42A6E64D54F_.wvu.FilterData" localSheetId="3" hidden="1">調配產銷!$AF$4:$AF$81</definedName>
    <definedName name="Z_5546E59E_63E6_4C63_9ED4_EDB846E57646_.wvu.FilterData" localSheetId="2" hidden="1">初餾產銷!$AJ$4:$AJ$78</definedName>
    <definedName name="Z_5546E59E_63E6_4C63_9ED4_EDB846E57646_.wvu.FilterData" localSheetId="1" hidden="1">精餾產銷!$AK$4:$AL$107</definedName>
    <definedName name="Z_5546E59E_63E6_4C63_9ED4_EDB846E57646_.wvu.FilterData" localSheetId="3" hidden="1">調配產銷!$AF$4:$AF$81</definedName>
    <definedName name="Z_5595E847_B4DA_4753_9425_10CD4AEB414D_.wvu.FilterData" localSheetId="3" hidden="1">調配產銷!#REF!</definedName>
    <definedName name="Z_55A7AE90_68B0_4EF2_BD53_12D8A2D4438E_.wvu.FilterData" localSheetId="2" hidden="1">初餾產銷!$AJ$4:$AJ$78</definedName>
    <definedName name="Z_55A7AE90_68B0_4EF2_BD53_12D8A2D4438E_.wvu.FilterData" localSheetId="1" hidden="1">精餾產銷!$AK$4:$AL$107</definedName>
    <definedName name="Z_55D6D84A_82A1_46F3_978F_B041E29541F1_.wvu.FilterData" localSheetId="1" hidden="1">精餾產銷!$AK$4:$AL$107</definedName>
    <definedName name="Z_561D50EC_49E0_4B91_A8B6_69FA9D8F4AE0_.wvu.FilterData" localSheetId="2" hidden="1">初餾產銷!$AF$4:$AF$53</definedName>
    <definedName name="Z_561D50EC_49E0_4B91_A8B6_69FA9D8F4AE0_.wvu.FilterData" localSheetId="1" hidden="1">精餾產銷!$AF$4:$AF$105</definedName>
    <definedName name="Z_561D50EC_49E0_4B91_A8B6_69FA9D8F4AE0_.wvu.FilterData" localSheetId="3" hidden="1">調配產銷!#REF!</definedName>
    <definedName name="Z_563E492F_2377_4B08_9138_BA31C1BD0B62_.wvu.FilterData" localSheetId="2" hidden="1">初餾產銷!$AJ$4:$AJ$78</definedName>
    <definedName name="Z_563E492F_2377_4B08_9138_BA31C1BD0B62_.wvu.FilterData" localSheetId="1" hidden="1">精餾產銷!$AK$4:$AL$107</definedName>
    <definedName name="Z_563E492F_2377_4B08_9138_BA31C1BD0B62_.wvu.FilterData" localSheetId="3" hidden="1">調配產銷!$AF$4:$AF$81</definedName>
    <definedName name="Z_567F9186_E82C_4C14_A97C_26B136BE9333_.wvu.FilterData" localSheetId="2" hidden="1">初餾產銷!$AJ$4:$AJ$78</definedName>
    <definedName name="Z_567F9186_E82C_4C14_A97C_26B136BE9333_.wvu.FilterData" localSheetId="3" hidden="1">調配產銷!$AF$4:$AF$81</definedName>
    <definedName name="Z_56ABECDE_D473_48A4_ACEF_4DB7A4748531_.wvu.FilterData" localSheetId="2" hidden="1">初餾產銷!$AF$4:$AF$53</definedName>
    <definedName name="Z_56ABECDE_D473_48A4_ACEF_4DB7A4748531_.wvu.FilterData" localSheetId="1" hidden="1">精餾產銷!$AF$4:$AF$105</definedName>
    <definedName name="Z_56ABECDE_D473_48A4_ACEF_4DB7A4748531_.wvu.FilterData" localSheetId="3" hidden="1">調配產銷!#REF!</definedName>
    <definedName name="Z_5718F895_F246_4781_8884_D331703000F7_.wvu.FilterData" localSheetId="2" hidden="1">初餾產銷!$A$4:$AJ$53</definedName>
    <definedName name="Z_5718F895_F246_4781_8884_D331703000F7_.wvu.FilterData" localSheetId="1" hidden="1">精餾產銷!$AK$4:$AL$107</definedName>
    <definedName name="Z_5739C71F_C618_45AA_A690_C9A840C0C059_.wvu.FilterData" localSheetId="2" hidden="1">初餾產銷!$A$4:$AJ$53</definedName>
    <definedName name="Z_576F2049_2FC5_46E3_B23B_0B2760A29320_.wvu.FilterData" localSheetId="3" hidden="1">調配產銷!#REF!</definedName>
    <definedName name="Z_5772FEED_32C2_4177_A2C5_69936C982823_.wvu.FilterData" localSheetId="1" hidden="1">精餾產銷!$AK$4:$AL$107</definedName>
    <definedName name="Z_5796CA34_A24D_425B_B525_49326F3B231A_.wvu.FilterData" localSheetId="3" hidden="1">調配產銷!$AF$4:$AF$81</definedName>
    <definedName name="Z_57FF6DF4_2CCE_4CFF_A69F_517181B9E941_.wvu.FilterData" localSheetId="2" hidden="1">初餾產銷!$AJ$4:$AJ$78</definedName>
    <definedName name="Z_57FF6DF4_2CCE_4CFF_A69F_517181B9E941_.wvu.FilterData" localSheetId="1" hidden="1">精餾產銷!$AK$4:$AL$107</definedName>
    <definedName name="Z_57FF6DF4_2CCE_4CFF_A69F_517181B9E941_.wvu.FilterData" localSheetId="3" hidden="1">調配產銷!$AF$4:$AF$81</definedName>
    <definedName name="Z_58008EAC_5C48_4C73_83FA_68AF31391C8C_.wvu.FilterData" localSheetId="3" hidden="1">調配產銷!$AF$4:$AF$81</definedName>
    <definedName name="Z_58083E31_DB33_4503_8E13_89D9ED6A90AB_.wvu.FilterData" localSheetId="3" hidden="1">調配產銷!$AF$4:$AF$81</definedName>
    <definedName name="Z_587132ED_0D88_4A71_8D74_AB2057074CFB_.wvu.FilterData" localSheetId="2" hidden="1">初餾產銷!$A$4:$AJ$53</definedName>
    <definedName name="Z_5883AFF1_EFA8_4B07_9105_97D443252D3D_.wvu.FilterData" localSheetId="1" hidden="1">精餾產銷!$AK$4:$AL$107</definedName>
    <definedName name="Z_58BD097B_2156_422F_B37C_3CE1971BE142_.wvu.FilterData" localSheetId="1" hidden="1">精餾產銷!$AF$4:$AF$105</definedName>
    <definedName name="Z_58BD097B_2156_422F_B37C_3CE1971BE142_.wvu.FilterData" localSheetId="3" hidden="1">調配產銷!#REF!</definedName>
    <definedName name="Z_58E9946A_20CA_4661_B4DE_3742D62C6546_.wvu.FilterData" localSheetId="1" hidden="1">精餾產銷!$AK$4:$AL$107</definedName>
    <definedName name="Z_59428514_4D98_48CA_BEF8_3B2CD0C94EBF_.wvu.FilterData" localSheetId="3" hidden="1">調配產銷!$AF$4:$AF$81</definedName>
    <definedName name="Z_595F5EBE_5221_4610_A47C_373792C2A2E9_.wvu.FilterData" localSheetId="2" hidden="1">初餾產銷!$AJ$4:$AJ$78</definedName>
    <definedName name="Z_595F5EBE_5221_4610_A47C_373792C2A2E9_.wvu.FilterData" localSheetId="1" hidden="1">精餾產銷!$AK$4:$AL$107</definedName>
    <definedName name="Z_595F7F01_25E0_4668_8C81_3FD428068776_.wvu.FilterData" localSheetId="3" hidden="1">調配產銷!#REF!</definedName>
    <definedName name="Z_5986A276_3F88_4ADB_9E04_AC3A2E7DBB5A_.wvu.FilterData" localSheetId="2" hidden="1">初餾產銷!$A$4:$AJ$53</definedName>
    <definedName name="Z_598DDD9D_1404_4696_AFB0_19277D23EABF_.wvu.FilterData" localSheetId="2" hidden="1">初餾產銷!$A$4:$AJ$53</definedName>
    <definedName name="Z_598DDD9D_1404_4696_AFB0_19277D23EABF_.wvu.FilterData" localSheetId="1" hidden="1">精餾產銷!$AK$4:$AL$102</definedName>
    <definedName name="Z_598DDD9D_1404_4696_AFB0_19277D23EABF_.wvu.FilterData" localSheetId="3" hidden="1">調配產銷!#REF!</definedName>
    <definedName name="Z_599F275E_279E_4D2E_8E92_EDEEBE73D3A4_.wvu.FilterData" localSheetId="1" hidden="1">精餾產銷!$AF$4:$AF$105</definedName>
    <definedName name="Z_59A05416_DD26_4EFD_AA04_054D4DE97D89_.wvu.Cols" localSheetId="0" hidden="1">'產銷總表 '!$B:$B,'產銷總表 '!$D:$F</definedName>
    <definedName name="Z_59A05416_DD26_4EFD_AA04_054D4DE97D89_.wvu.FilterData" localSheetId="2" hidden="1">初餾產銷!$AJ$4:$AJ$78</definedName>
    <definedName name="Z_59A05416_DD26_4EFD_AA04_054D4DE97D89_.wvu.FilterData" localSheetId="4" hidden="1">秏料!$A$2:$L$134</definedName>
    <definedName name="Z_59A05416_DD26_4EFD_AA04_054D4DE97D89_.wvu.FilterData" localSheetId="0" hidden="1">'產銷總表 '!$AF$5:$AG$241</definedName>
    <definedName name="Z_59A05416_DD26_4EFD_AA04_054D4DE97D89_.wvu.FilterData" localSheetId="1" hidden="1">精餾產銷!$AK$4:$AL$107</definedName>
    <definedName name="Z_59A05416_DD26_4EFD_AA04_054D4DE97D89_.wvu.FilterData" localSheetId="3" hidden="1">調配產銷!$AF$4:$AF$81</definedName>
    <definedName name="Z_59A05416_DD26_4EFD_AA04_054D4DE97D89_.wvu.PrintArea" localSheetId="2" hidden="1">初餾產銷!$A$1:$AI$78</definedName>
    <definedName name="Z_59A05416_DD26_4EFD_AA04_054D4DE97D89_.wvu.PrintArea" localSheetId="4" hidden="1">秏料!$A$1:$L$134</definedName>
    <definedName name="Z_59A05416_DD26_4EFD_AA04_054D4DE97D89_.wvu.PrintArea" localSheetId="0" hidden="1">'產銷總表 '!$A$2:$AE$241</definedName>
    <definedName name="Z_59A05416_DD26_4EFD_AA04_054D4DE97D89_.wvu.PrintArea" localSheetId="1" hidden="1">精餾產銷!$A$1:$AE$111</definedName>
    <definedName name="Z_59A05416_DD26_4EFD_AA04_054D4DE97D89_.wvu.PrintArea" localSheetId="3" hidden="1">調配產銷!$A$1:$AE$83</definedName>
    <definedName name="Z_59A05416_DD26_4EFD_AA04_054D4DE97D89_.wvu.PrintTitles" localSheetId="2" hidden="1">初餾產銷!$1:$2</definedName>
    <definedName name="Z_59A05416_DD26_4EFD_AA04_054D4DE97D89_.wvu.PrintTitles" localSheetId="1" hidden="1">精餾產銷!$1:$2</definedName>
    <definedName name="Z_59CA03A0_2EB0_443F_8B06_18D4CA9B274B_.wvu.FilterData" localSheetId="2" hidden="1">初餾產銷!$A$4:$AJ$53</definedName>
    <definedName name="Z_59CA03A0_2EB0_443F_8B06_18D4CA9B274B_.wvu.FilterData" localSheetId="1" hidden="1">精餾產銷!$AK$4:$AL$102</definedName>
    <definedName name="Z_59CA03A0_2EB0_443F_8B06_18D4CA9B274B_.wvu.FilterData" localSheetId="3" hidden="1">調配產銷!#REF!</definedName>
    <definedName name="Z_59D529BD_0161_4F31_98F8_C8153F6D1C04_.wvu.FilterData" localSheetId="3" hidden="1">調配產銷!#REF!</definedName>
    <definedName name="Z_59D8D4F2_12A3_4D3E_A608_AF5C33D31F61_.wvu.FilterData" localSheetId="2" hidden="1">初餾產銷!$AJ$4:$AJ$78</definedName>
    <definedName name="Z_59E0B5E6_F239_4601_8398_E2588D5BA495_.wvu.FilterData" localSheetId="1" hidden="1">精餾產銷!$AF$4:$AF$105</definedName>
    <definedName name="Z_59E76169_070A_4EBE_A615_86F07F930312_.wvu.FilterData" localSheetId="1" hidden="1">精餾產銷!$AK$4:$AL$107</definedName>
    <definedName name="Z_5A1BCED0_9A75_47CF_9C1B_7DF1EEB792D1_.wvu.FilterData" localSheetId="1" hidden="1">精餾產銷!$AK$4:$AL$107</definedName>
    <definedName name="Z_5A252D37_5C93_4454_B02B_F93FD6CA916F_.wvu.FilterData" localSheetId="2" hidden="1">初餾產銷!$AJ$4:$AJ$78</definedName>
    <definedName name="Z_5A252D37_5C93_4454_B02B_F93FD6CA916F_.wvu.FilterData" localSheetId="1" hidden="1">精餾產銷!$AK$4:$AL$107</definedName>
    <definedName name="Z_5A4A90AD_7886_4D1C_A579_F2CAD31DDCE1_.wvu.FilterData" localSheetId="1" hidden="1">精餾產銷!$AK$4:$AL$107</definedName>
    <definedName name="Z_5A537E15_CC74_4928_A51A_F35D989C1562_.wvu.FilterData" localSheetId="2" hidden="1">初餾產銷!$A$4:$AJ$53</definedName>
    <definedName name="Z_5A537E15_CC74_4928_A51A_F35D989C1562_.wvu.FilterData" localSheetId="1" hidden="1">精餾產銷!$AK$4:$AL$102</definedName>
    <definedName name="Z_5A537E15_CC74_4928_A51A_F35D989C1562_.wvu.FilterData" localSheetId="3" hidden="1">調配產銷!#REF!</definedName>
    <definedName name="Z_5ABD4EB6_396E_4CA5_88D7_BF8AF7C96A78_.wvu.FilterData" localSheetId="1" hidden="1">精餾產銷!$AK$4:$AL$107</definedName>
    <definedName name="Z_5ABD4EB6_396E_4CA5_88D7_BF8AF7C96A78_.wvu.FilterData" localSheetId="3" hidden="1">調配產銷!$AF$4:$AF$81</definedName>
    <definedName name="Z_5BFBB4BC_26E3_4D9F_B9F0_21C4C240D016_.wvu.FilterData" localSheetId="1" hidden="1">精餾產銷!$AK$4:$AL$102</definedName>
    <definedName name="Z_5BFBB4BC_26E3_4D9F_B9F0_21C4C240D016_.wvu.FilterData" localSheetId="3" hidden="1">調配產銷!#REF!</definedName>
    <definedName name="Z_5C677B7A_D751_4583_B162_8980BBD17D00_.wvu.FilterData" localSheetId="2" hidden="1">初餾產銷!$AJ$4:$AJ$78</definedName>
    <definedName name="Z_5C677B7A_D751_4583_B162_8980BBD17D00_.wvu.FilterData" localSheetId="1" hidden="1">精餾產銷!$AK$4:$AL$107</definedName>
    <definedName name="Z_5C8C887D_79D3_4DF9_AA17_F60DB93136CF_.wvu.FilterData" localSheetId="1" hidden="1">精餾產銷!$AK$4:$AL$107</definedName>
    <definedName name="Z_5CBA6CCA_C5C4_4B12_9AC8_8CA50D79D8AD_.wvu.FilterData" localSheetId="1" hidden="1">精餾產銷!$AK$4:$AL$107</definedName>
    <definedName name="Z_5CC718FE_8BF8_44C0_A468_E1A274C375AA_.wvu.FilterData" localSheetId="2" hidden="1">初餾產銷!$A$4:$AJ$53</definedName>
    <definedName name="Z_5CC718FE_8BF8_44C0_A468_E1A274C375AA_.wvu.FilterData" localSheetId="1" hidden="1">精餾產銷!$AK$4:$AL$102</definedName>
    <definedName name="Z_5E627242_4B78_4159_8CA9_E10EB7A782CB_.wvu.FilterData" localSheetId="2" hidden="1">初餾產銷!$AJ$4:$AJ$78</definedName>
    <definedName name="Z_5E627242_4B78_4159_8CA9_E10EB7A782CB_.wvu.FilterData" localSheetId="1" hidden="1">精餾產銷!$AK$4:$AL$107</definedName>
    <definedName name="Z_5E627242_4B78_4159_8CA9_E10EB7A782CB_.wvu.FilterData" localSheetId="3" hidden="1">調配產銷!$AF$4:$AF$81</definedName>
    <definedName name="Z_5E8613FF_7533_4C55_8032_1919B3B43701_.wvu.FilterData" localSheetId="1" hidden="1">精餾產銷!$AF$4:$AF$105</definedName>
    <definedName name="Z_5E8A6509_CDA0_4DA7_9D6E_73F2E2C2B40E_.wvu.FilterData" localSheetId="2" hidden="1">初餾產銷!$AF$4:$AF$53</definedName>
    <definedName name="Z_5EC2CB0C_46FF_4AB2_88F8_7364899186C1_.wvu.FilterData" localSheetId="1" hidden="1">精餾產銷!$AK$4:$AL$107</definedName>
    <definedName name="Z_5EFF7F53_01FA_4CEE_ABA2_74F0A473D52B_.wvu.FilterData" localSheetId="1" hidden="1">精餾產銷!$AK$4:$AL$107</definedName>
    <definedName name="Z_5F2B8708_2AAB_4A0C_93F2_56EA6622A01A_.wvu.FilterData" localSheetId="3" hidden="1">調配產銷!$AF$4:$AF$81</definedName>
    <definedName name="Z_5F3DDB8A_3707_4092_A9C4_60B63E1E755D_.wvu.FilterData" localSheetId="1" hidden="1">精餾產銷!$AF$4:$AF$105</definedName>
    <definedName name="Z_5F51C4D5_A26F_4C63_A28B_009AB3B15E9C_.wvu.FilterData" localSheetId="1" hidden="1">精餾產銷!$AK$4:$AL$107</definedName>
    <definedName name="Z_5FA0CB08_4178_4F75_8786_9D71EED74904_.wvu.FilterData" localSheetId="2" hidden="1">初餾產銷!$AJ$4:$AJ$78</definedName>
    <definedName name="Z_5FB8D40F_C654_400A_8E3E_0186E2E7F4AA_.wvu.FilterData" localSheetId="3" hidden="1">調配產銷!$AF$4:$AF$81</definedName>
    <definedName name="Z_5FD3B981_A528_411A_BA6F_618455DFBDB5_.wvu.FilterData" localSheetId="1" hidden="1">精餾產銷!$AK$4:$AL$107</definedName>
    <definedName name="Z_5FDC4938_E332_49B4_B5A0_FDAA9FD23206_.wvu.FilterData" localSheetId="1" hidden="1">精餾產銷!$AK$4:$AL$107</definedName>
    <definedName name="Z_5FDCD66C_E197_4840_B5E1_AC1CD3416D26_.wvu.FilterData" localSheetId="2" hidden="1">初餾產銷!$AJ$4:$AJ$78</definedName>
    <definedName name="Z_5FDCD66C_E197_4840_B5E1_AC1CD3416D26_.wvu.FilterData" localSheetId="1" hidden="1">精餾產銷!$AK$4:$AL$107</definedName>
    <definedName name="Z_60283FB9_9F61_4151_BDC5_CB54A208BC94_.wvu.FilterData" localSheetId="3" hidden="1">調配產銷!$AF$4:$AF$81</definedName>
    <definedName name="Z_6038D960_B03F_40F3_9425_6B78F3615BD9_.wvu.FilterData" localSheetId="1" hidden="1">精餾產銷!$AK$4:$AL$107</definedName>
    <definedName name="Z_60473540_EEA4_4170_A7B3_8913C7CAD825_.wvu.FilterData" localSheetId="1" hidden="1">精餾產銷!$AK$4:$AL$107</definedName>
    <definedName name="Z_60678CED_46AB_4547_A64A_92C5AE688AC5_.wvu.FilterData" localSheetId="2" hidden="1">初餾產銷!$A$4:$AJ$53</definedName>
    <definedName name="Z_60B5400F_855D_408C_A6C5_3DEB0DF09BD7_.wvu.FilterData" localSheetId="2" hidden="1">初餾產銷!$AJ$4:$AJ$78</definedName>
    <definedName name="Z_60B5400F_855D_408C_A6C5_3DEB0DF09BD7_.wvu.FilterData" localSheetId="1" hidden="1">精餾產銷!$AK$4:$AL$107</definedName>
    <definedName name="Z_60B5400F_855D_408C_A6C5_3DEB0DF09BD7_.wvu.FilterData" localSheetId="3" hidden="1">調配產銷!$AF$4:$AF$81</definedName>
    <definedName name="Z_60EB2618_8B17_4738_A4E0_77C4AAA3FDB1_.wvu.FilterData" localSheetId="2" hidden="1">初餾產銷!$A$4:$AJ$53</definedName>
    <definedName name="Z_60EB2618_8B17_4738_A4E0_77C4AAA3FDB1_.wvu.FilterData" localSheetId="1" hidden="1">精餾產銷!$AK$4:$AL$102</definedName>
    <definedName name="Z_611D091A_CCB6_4151_BC97_C8CD639D759A_.wvu.FilterData" localSheetId="3" hidden="1">調配產銷!$AF$4:$AF$81</definedName>
    <definedName name="Z_611EA53A_23DE_4614_BC69_DFD1B11B9B18_.wvu.FilterData" localSheetId="2" hidden="1">初餾產銷!$AJ$4:$AJ$78</definedName>
    <definedName name="Z_611EA53A_23DE_4614_BC69_DFD1B11B9B18_.wvu.FilterData" localSheetId="1" hidden="1">精餾產銷!$AK$4:$AL$107</definedName>
    <definedName name="Z_611EA53A_23DE_4614_BC69_DFD1B11B9B18_.wvu.FilterData" localSheetId="3" hidden="1">調配產銷!$AF$4:$AF$81</definedName>
    <definedName name="Z_611FE801_0802_4C50_B373_BAD78F6D69D7_.wvu.FilterData" localSheetId="2" hidden="1">初餾產銷!$AF$4:$AF$53</definedName>
    <definedName name="Z_611FE801_0802_4C50_B373_BAD78F6D69D7_.wvu.FilterData" localSheetId="1" hidden="1">精餾產銷!$AF$4:$AF$105</definedName>
    <definedName name="Z_611FE801_0802_4C50_B373_BAD78F6D69D7_.wvu.FilterData" localSheetId="3" hidden="1">調配產銷!#REF!</definedName>
    <definedName name="Z_61745B23_D067_4F48_8B24_DA7EA9659F54_.wvu.FilterData" localSheetId="0" hidden="1">'產銷總表 '!$AF$5:$AG$241</definedName>
    <definedName name="Z_61745B23_D067_4F48_8B24_DA7EA9659F54_.wvu.FilterData" localSheetId="1" hidden="1">精餾產銷!$AK$4:$AL$107</definedName>
    <definedName name="Z_61745B23_D067_4F48_8B24_DA7EA9659F54_.wvu.FilterData" localSheetId="3" hidden="1">調配產銷!$AF$4:$AF$81</definedName>
    <definedName name="Z_61C4FEFF_4745_4266_9B90_C78993F99BB4_.wvu.FilterData" localSheetId="1" hidden="1">精餾產銷!$AK$4:$AL$102</definedName>
    <definedName name="Z_61C6E6E9_6F38_40DB_A0CC_4929DE53F444_.wvu.FilterData" localSheetId="1" hidden="1">精餾產銷!$AK$4:$AL$107</definedName>
    <definedName name="Z_61C6E6E9_6F38_40DB_A0CC_4929DE53F444_.wvu.FilterData" localSheetId="3" hidden="1">調配產銷!$AF$4:$AF$81</definedName>
    <definedName name="Z_6213D044_59DC_49AE_8CB0_21D873983922_.wvu.FilterData" localSheetId="1" hidden="1">精餾產銷!$AK$4:$AL$102</definedName>
    <definedName name="Z_62B85517_6190_427A_A0C8_469F398D9C36_.wvu.FilterData" localSheetId="3" hidden="1">調配產銷!$AF$4:$AF$81</definedName>
    <definedName name="Z_62E0A0A1_D3A2_4CDE_9C4E_2A0CE2A68F37_.wvu.FilterData" localSheetId="3" hidden="1">調配產銷!$AF$4:$AF$81</definedName>
    <definedName name="Z_6332C0FA_0256_4E50_BD47_004F20B89D5B_.wvu.FilterData" localSheetId="2" hidden="1">初餾產銷!$AJ$4:$AJ$78</definedName>
    <definedName name="Z_6332C0FA_0256_4E50_BD47_004F20B89D5B_.wvu.FilterData" localSheetId="1" hidden="1">精餾產銷!$AK$4:$AL$107</definedName>
    <definedName name="Z_6332C0FA_0256_4E50_BD47_004F20B89D5B_.wvu.FilterData" localSheetId="3" hidden="1">調配產銷!$AF$4:$AF$81</definedName>
    <definedName name="Z_634DF570_7236_4E45_9A9D_7569B8911695_.wvu.FilterData" localSheetId="3" hidden="1">調配產銷!$AF$4:$AF$81</definedName>
    <definedName name="Z_6393C3C0_2148_46C2_ACDA_E1E068884F8B_.wvu.FilterData" localSheetId="3" hidden="1">調配產銷!$AF$4:$AF$81</definedName>
    <definedName name="Z_63946B71_5815_4640_BA7E_27F4A5020B4B_.wvu.FilterData" localSheetId="2" hidden="1">初餾產銷!$AJ$4:$AJ$78</definedName>
    <definedName name="Z_63946B71_5815_4640_BA7E_27F4A5020B4B_.wvu.FilterData" localSheetId="1" hidden="1">精餾產銷!$AK$4:$AL$107</definedName>
    <definedName name="Z_63965B08_11C4_4BF3_8417_ECE863B7B5A5_.wvu.FilterData" localSheetId="2" hidden="1">初餾產銷!$AJ$4:$AJ$78</definedName>
    <definedName name="Z_63965B08_11C4_4BF3_8417_ECE863B7B5A5_.wvu.FilterData" localSheetId="1" hidden="1">精餾產銷!$AK$4:$AL$107</definedName>
    <definedName name="Z_63965B08_11C4_4BF3_8417_ECE863B7B5A5_.wvu.FilterData" localSheetId="3" hidden="1">調配產銷!$AF$4:$AF$81</definedName>
    <definedName name="Z_63B8B56F_A376_43FE_9871_EAA77DFEDAC7_.wvu.FilterData" localSheetId="1" hidden="1">精餾產銷!$AK$4:$AL$107</definedName>
    <definedName name="Z_64266256_C40E_4B5D_947A_FA7319347A16_.wvu.FilterData" localSheetId="1" hidden="1">精餾產銷!$AK$4:$AL$102</definedName>
    <definedName name="Z_64266256_C40E_4B5D_947A_FA7319347A16_.wvu.FilterData" localSheetId="3" hidden="1">調配產銷!#REF!</definedName>
    <definedName name="Z_64573501_9B62_42C1_8EE7_DBB98FF0DFCA_.wvu.FilterData" localSheetId="3" hidden="1">調配產銷!$AF$4:$AF$81</definedName>
    <definedName name="Z_6473A9EF_EE57_4F1C_987B_7DBF96638E39_.wvu.FilterData" localSheetId="2" hidden="1">初餾產銷!$AF$4:$AF$53</definedName>
    <definedName name="Z_648A40CC_D844_4E46_ADEF_55E1167308AE_.wvu.FilterData" localSheetId="2" hidden="1">初餾產銷!$AJ$4:$AJ$78</definedName>
    <definedName name="Z_64D5D33D_6419_4A8B_A3B3_237161841645_.wvu.Cols" localSheetId="0" hidden="1">'產銷總表 '!$B:$B</definedName>
    <definedName name="Z_64D5D33D_6419_4A8B_A3B3_237161841645_.wvu.FilterData" localSheetId="2" hidden="1">初餾產銷!$AJ$4:$AJ$78</definedName>
    <definedName name="Z_64D5D33D_6419_4A8B_A3B3_237161841645_.wvu.FilterData" localSheetId="4" hidden="1">秏料!$A$2:$L$134</definedName>
    <definedName name="Z_64D5D33D_6419_4A8B_A3B3_237161841645_.wvu.FilterData" localSheetId="0" hidden="1">'產銷總表 '!$AF$5:$AG$241</definedName>
    <definedName name="Z_64D5D33D_6419_4A8B_A3B3_237161841645_.wvu.FilterData" localSheetId="1" hidden="1">精餾產銷!$AK$4:$AL$107</definedName>
    <definedName name="Z_64D5D33D_6419_4A8B_A3B3_237161841645_.wvu.FilterData" localSheetId="3" hidden="1">調配產銷!$AF$4:$AF$81</definedName>
    <definedName name="Z_64D5D33D_6419_4A8B_A3B3_237161841645_.wvu.PrintArea" localSheetId="2" hidden="1">初餾產銷!$A$1:$AI$78</definedName>
    <definedName name="Z_64D5D33D_6419_4A8B_A3B3_237161841645_.wvu.PrintArea" localSheetId="4" hidden="1">秏料!$A$1:$L$134</definedName>
    <definedName name="Z_64D5D33D_6419_4A8B_A3B3_237161841645_.wvu.PrintArea" localSheetId="0" hidden="1">'產銷總表 '!$A$2:$AE$241</definedName>
    <definedName name="Z_64D5D33D_6419_4A8B_A3B3_237161841645_.wvu.PrintArea" localSheetId="1" hidden="1">精餾產銷!$A$1:$AE$111</definedName>
    <definedName name="Z_64D5D33D_6419_4A8B_A3B3_237161841645_.wvu.PrintArea" localSheetId="3" hidden="1">調配產銷!$A$1:$AE$83</definedName>
    <definedName name="Z_64D5D33D_6419_4A8B_A3B3_237161841645_.wvu.PrintTitles" localSheetId="2" hidden="1">初餾產銷!$1:$2</definedName>
    <definedName name="Z_64D5D33D_6419_4A8B_A3B3_237161841645_.wvu.PrintTitles" localSheetId="1" hidden="1">精餾產銷!$1:$2</definedName>
    <definedName name="Z_65442F2A_5CEF_4398_B6F6_12D2FE0E0CDA_.wvu.FilterData" localSheetId="2" hidden="1">初餾產銷!$AF$4:$AF$78</definedName>
    <definedName name="Z_657123C4_A546_4C9D_B0AE_3938A9DC41B8_.wvu.FilterData" localSheetId="1" hidden="1">精餾產銷!$AK$4:$AL$107</definedName>
    <definedName name="Z_657123C4_A546_4C9D_B0AE_3938A9DC41B8_.wvu.FilterData" localSheetId="3" hidden="1">調配產銷!$AF$4:$AF$81</definedName>
    <definedName name="Z_658E774B_0171_4003_AE1E_70B477FC5057_.wvu.FilterData" localSheetId="2" hidden="1">初餾產銷!$AJ$4:$AJ$78</definedName>
    <definedName name="Z_658E774B_0171_4003_AE1E_70B477FC5057_.wvu.FilterData" localSheetId="1" hidden="1">精餾產銷!$AK$4:$AL$107</definedName>
    <definedName name="Z_65B0FC18_8268_4F87_9514_089EAB885FEC_.wvu.FilterData" localSheetId="2" hidden="1">初餾產銷!$A$4:$AJ$53</definedName>
    <definedName name="Z_65B0FC18_8268_4F87_9514_089EAB885FEC_.wvu.FilterData" localSheetId="1" hidden="1">精餾產銷!$AK$4:$AL$107</definedName>
    <definedName name="Z_65B0FC18_8268_4F87_9514_089EAB885FEC_.wvu.FilterData" localSheetId="3" hidden="1">調配產銷!#REF!</definedName>
    <definedName name="Z_65D618D3_219A_4B1A_A5A3_5F9409D6F347_.wvu.FilterData" localSheetId="3" hidden="1">調配產銷!$AF$4:$AF$81</definedName>
    <definedName name="Z_65E80205_DAF3_47D2_8D00_9EAD83DCA177_.wvu.FilterData" localSheetId="3" hidden="1">調配產銷!$AF$4:$AF$81</definedName>
    <definedName name="Z_6618C703_712B_4C9F_B5C6_0B2FE7737DCA_.wvu.FilterData" localSheetId="1" hidden="1">精餾產銷!$AK$4:$AL$107</definedName>
    <definedName name="Z_6627F367_72F5_4511_BA4F_D3403C4303C4_.wvu.FilterData" localSheetId="2" hidden="1">初餾產銷!$AJ$4:$AJ$78</definedName>
    <definedName name="Z_6627F367_72F5_4511_BA4F_D3403C4303C4_.wvu.FilterData" localSheetId="1" hidden="1">精餾產銷!$AK$4:$AL$107</definedName>
    <definedName name="Z_665AD00A_8017_4853_B359_C2D66048ACE2_.wvu.FilterData" localSheetId="2" hidden="1">初餾產銷!$AJ$4:$AJ$78</definedName>
    <definedName name="Z_665AD00A_8017_4853_B359_C2D66048ACE2_.wvu.FilterData" localSheetId="1" hidden="1">精餾產銷!$AK$4:$AL$107</definedName>
    <definedName name="Z_665AD00A_8017_4853_B359_C2D66048ACE2_.wvu.FilterData" localSheetId="3" hidden="1">調配產銷!$AF$4:$AF$81</definedName>
    <definedName name="Z_666E9EB2_5EB8_4AEA_ACA3_2FA6E092DDE7_.wvu.FilterData" localSheetId="1" hidden="1">精餾產銷!$AK$4:$AL$107</definedName>
    <definedName name="Z_6695AF17_F8A1_4337_BBAB_2E1F2F415F8B_.wvu.FilterData" localSheetId="2" hidden="1">初餾產銷!$AJ$4:$AJ$78</definedName>
    <definedName name="Z_6695AF17_F8A1_4337_BBAB_2E1F2F415F8B_.wvu.FilterData" localSheetId="1" hidden="1">精餾產銷!$AK$4:$AL$107</definedName>
    <definedName name="Z_672F13EC_BC70_4C31_9752_1F17487C4884_.wvu.FilterData" localSheetId="2" hidden="1">初餾產銷!$AJ$4:$AJ$78</definedName>
    <definedName name="Z_672F13EC_BC70_4C31_9752_1F17487C4884_.wvu.FilterData" localSheetId="1" hidden="1">精餾產銷!$AK$4:$AL$107</definedName>
    <definedName name="Z_68490FB2_32D2_4740_92D1_148B72BFB80C_.wvu.FilterData" localSheetId="2" hidden="1">初餾產銷!$AJ$4:$AJ$78</definedName>
    <definedName name="Z_68490FB2_32D2_4740_92D1_148B72BFB80C_.wvu.FilterData" localSheetId="1" hidden="1">精餾產銷!$AK$4:$AL$107</definedName>
    <definedName name="Z_68490FB2_32D2_4740_92D1_148B72BFB80C_.wvu.FilterData" localSheetId="3" hidden="1">調配產銷!$AF$4:$AF$81</definedName>
    <definedName name="Z_684F2B1E_D083_4948_B786_CB6C402C3B69_.wvu.FilterData" localSheetId="2" hidden="1">初餾產銷!$AJ$4:$AJ$78</definedName>
    <definedName name="Z_684F2B1E_D083_4948_B786_CB6C402C3B69_.wvu.FilterData" localSheetId="1" hidden="1">精餾產銷!$AK$4:$AL$107</definedName>
    <definedName name="Z_684F2B1E_D083_4948_B786_CB6C402C3B69_.wvu.FilterData" localSheetId="3" hidden="1">調配產銷!$AF$4:$AF$81</definedName>
    <definedName name="Z_6860A247_A2F4_4945_945A_66FA08E15C50_.wvu.FilterData" localSheetId="2" hidden="1">初餾產銷!$AJ$4:$AJ$78</definedName>
    <definedName name="Z_6860A247_A2F4_4945_945A_66FA08E15C50_.wvu.FilterData" localSheetId="3" hidden="1">調配產銷!$AF$4:$AF$81</definedName>
    <definedName name="Z_68EF7964_F0C2_4FBD_8665_57D04B556E3D_.wvu.FilterData" localSheetId="1" hidden="1">精餾產銷!$AK$4:$AL$102</definedName>
    <definedName name="Z_68F77683_A545_4FEF_BD19_9BF7477391A5_.wvu.FilterData" localSheetId="1" hidden="1">精餾產銷!$AK$4:$AL$102</definedName>
    <definedName name="Z_68F77683_A545_4FEF_BD19_9BF7477391A5_.wvu.FilterData" localSheetId="3" hidden="1">調配產銷!#REF!</definedName>
    <definedName name="Z_691771E9_BA63_4ACF_B82F_A075F5C6CFA3_.wvu.FilterData" localSheetId="2" hidden="1">初餾產銷!$AJ$4:$AJ$78</definedName>
    <definedName name="Z_691771E9_BA63_4ACF_B82F_A075F5C6CFA3_.wvu.FilterData" localSheetId="1" hidden="1">精餾產銷!$AK$4:$AL$107</definedName>
    <definedName name="Z_691771E9_BA63_4ACF_B82F_A075F5C6CFA3_.wvu.FilterData" localSheetId="3" hidden="1">調配產銷!$AF$4:$AF$81</definedName>
    <definedName name="Z_697AB16A_F479_4FE5_9CEF_F1128EF9C806_.wvu.FilterData" localSheetId="2" hidden="1">初餾產銷!$A$4:$AJ$53</definedName>
    <definedName name="Z_697AB16A_F479_4FE5_9CEF_F1128EF9C806_.wvu.FilterData" localSheetId="1" hidden="1">精餾產銷!$AK$4:$AL$107</definedName>
    <definedName name="Z_697AB16A_F479_4FE5_9CEF_F1128EF9C806_.wvu.FilterData" localSheetId="3" hidden="1">調配產銷!#REF!</definedName>
    <definedName name="Z_69B90CB9_09BD_4760_B018_E23E48986FDF_.wvu.FilterData" localSheetId="2" hidden="1">初餾產銷!$AJ$4:$AJ$78</definedName>
    <definedName name="Z_69C70FC5_6B57_440C_88E1_CDD7DB9F0D51_.wvu.FilterData" localSheetId="2" hidden="1">初餾產銷!$A$4:$AJ$48</definedName>
    <definedName name="Z_69C70FC5_6B57_440C_88E1_CDD7DB9F0D51_.wvu.FilterData" localSheetId="0" hidden="1">'產銷總表 '!$A$5:$F$118</definedName>
    <definedName name="Z_69C70FC5_6B57_440C_88E1_CDD7DB9F0D51_.wvu.FilterData" localSheetId="1" hidden="1">精餾產銷!$A$4:$AJ$99</definedName>
    <definedName name="Z_69C70FC5_6B57_440C_88E1_CDD7DB9F0D51_.wvu.FilterData" localSheetId="3" hidden="1">調配產銷!#REF!</definedName>
    <definedName name="Z_69D99D07_FFAE_43FE_AAC0_4683C49DCAA9_.wvu.FilterData" localSheetId="1" hidden="1">精餾產銷!$AK$4:$AL$107</definedName>
    <definedName name="Z_69D99D07_FFAE_43FE_AAC0_4683C49DCAA9_.wvu.FilterData" localSheetId="3" hidden="1">調配產銷!#REF!</definedName>
    <definedName name="Z_6A0B8D07_084C_422E_A20A_42AA3DD16F37_.wvu.FilterData" localSheetId="3" hidden="1">調配產銷!#REF!</definedName>
    <definedName name="Z_6A49BCC3_CB5F_40F7_835F_8F4EBC3E8643_.wvu.Cols" localSheetId="2" hidden="1">初餾產銷!$B:$B,初餾產銷!$D:$F</definedName>
    <definedName name="Z_6A49BCC3_CB5F_40F7_835F_8F4EBC3E8643_.wvu.Cols" localSheetId="0" hidden="1">'產銷總表 '!$B:$B,'產銷總表 '!$D:$F</definedName>
    <definedName name="Z_6A49BCC3_CB5F_40F7_835F_8F4EBC3E8643_.wvu.Cols" localSheetId="1" hidden="1">精餾產銷!$B:$B,精餾產銷!$D:$F</definedName>
    <definedName name="Z_6A49BCC3_CB5F_40F7_835F_8F4EBC3E8643_.wvu.Cols" localSheetId="3" hidden="1">調配產銷!$B:$B,調配產銷!$D:$F</definedName>
    <definedName name="Z_6A49BCC3_CB5F_40F7_835F_8F4EBC3E8643_.wvu.FilterData" localSheetId="2" hidden="1">初餾產銷!$AJ$4:$AJ$78</definedName>
    <definedName name="Z_6A49BCC3_CB5F_40F7_835F_8F4EBC3E8643_.wvu.FilterData" localSheetId="4" hidden="1">秏料!$B$2:$G$134</definedName>
    <definedName name="Z_6A49BCC3_CB5F_40F7_835F_8F4EBC3E8643_.wvu.FilterData" localSheetId="0" hidden="1">'產銷總表 '!$AF$5:$AG$241</definedName>
    <definedName name="Z_6A49BCC3_CB5F_40F7_835F_8F4EBC3E8643_.wvu.FilterData" localSheetId="1" hidden="1">精餾產銷!$AK$4:$AL$107</definedName>
    <definedName name="Z_6A49BCC3_CB5F_40F7_835F_8F4EBC3E8643_.wvu.FilterData" localSheetId="3" hidden="1">調配產銷!$AF$4:$AF$81</definedName>
    <definedName name="Z_6A49BCC3_CB5F_40F7_835F_8F4EBC3E8643_.wvu.PrintArea" localSheetId="2" hidden="1">初餾產銷!$A$1:$AI$78</definedName>
    <definedName name="Z_6A49BCC3_CB5F_40F7_835F_8F4EBC3E8643_.wvu.PrintArea" localSheetId="4" hidden="1">秏料!$A$1:$L$134</definedName>
    <definedName name="Z_6A49BCC3_CB5F_40F7_835F_8F4EBC3E8643_.wvu.PrintArea" localSheetId="0" hidden="1">'產銷總表 '!$A$2:$AE$241</definedName>
    <definedName name="Z_6A49BCC3_CB5F_40F7_835F_8F4EBC3E8643_.wvu.PrintArea" localSheetId="1" hidden="1">精餾產銷!$A$1:$AE$111</definedName>
    <definedName name="Z_6A49BCC3_CB5F_40F7_835F_8F4EBC3E8643_.wvu.PrintArea" localSheetId="3" hidden="1">調配產銷!$A$1:$AE$83</definedName>
    <definedName name="Z_6A49BCC3_CB5F_40F7_835F_8F4EBC3E8643_.wvu.PrintTitles" localSheetId="2" hidden="1">初餾產銷!$1:$2</definedName>
    <definedName name="Z_6A49BCC3_CB5F_40F7_835F_8F4EBC3E8643_.wvu.PrintTitles" localSheetId="1" hidden="1">精餾產銷!$1:$2</definedName>
    <definedName name="Z_6AB372CE_15CB_4999_AA90_92E19137C9CE_.wvu.FilterData" localSheetId="1" hidden="1">精餾產銷!$AK$4:$AL$107</definedName>
    <definedName name="Z_6ACF6F22_F970_45C4_9BC5_E58EAA0E00BC_.wvu.FilterData" localSheetId="1" hidden="1">精餾產銷!$AK$4:$AL$107</definedName>
    <definedName name="Z_6ACF6F22_F970_45C4_9BC5_E58EAA0E00BC_.wvu.FilterData" localSheetId="3" hidden="1">調配產銷!$AF$4:$AF$81</definedName>
    <definedName name="Z_6AD19805_0A07_4161_8A1B_7F1DDC33BE93_.wvu.FilterData" localSheetId="2" hidden="1">初餾產銷!$AJ$4:$AJ$78</definedName>
    <definedName name="Z_6AD19805_0A07_4161_8A1B_7F1DDC33BE93_.wvu.FilterData" localSheetId="1" hidden="1">精餾產銷!$AK$4:$AL$107</definedName>
    <definedName name="Z_6AD19805_0A07_4161_8A1B_7F1DDC33BE93_.wvu.FilterData" localSheetId="3" hidden="1">調配產銷!$AF$4:$AF$81</definedName>
    <definedName name="Z_6B062FCC_5BB7_4821_9A86_727BBDBF0276_.wvu.FilterData" localSheetId="2" hidden="1">初餾產銷!$AJ$4:$AJ$78</definedName>
    <definedName name="Z_6B062FCC_5BB7_4821_9A86_727BBDBF0276_.wvu.FilterData" localSheetId="4" hidden="1">秏料!$B$2:$G$134</definedName>
    <definedName name="Z_6B062FCC_5BB7_4821_9A86_727BBDBF0276_.wvu.FilterData" localSheetId="1" hidden="1">精餾產銷!$AK$4:$AL$107</definedName>
    <definedName name="Z_6B062FCC_5BB7_4821_9A86_727BBDBF0276_.wvu.FilterData" localSheetId="3" hidden="1">調配產銷!$AF$4:$AF$81</definedName>
    <definedName name="Z_6B307944_1DE8_4E7A_8472_5E7284280688_.wvu.FilterData" localSheetId="1" hidden="1">精餾產銷!$AK$4:$AL$107</definedName>
    <definedName name="Z_6B307944_1DE8_4E7A_8472_5E7284280688_.wvu.FilterData" localSheetId="3" hidden="1">調配產銷!#REF!</definedName>
    <definedName name="Z_6B665604_FED1_47C4_B18B_934A743B9B54_.wvu.FilterData" localSheetId="2" hidden="1">初餾產銷!$AJ$4:$AJ$78</definedName>
    <definedName name="Z_6B665604_FED1_47C4_B18B_934A743B9B54_.wvu.FilterData" localSheetId="1" hidden="1">精餾產銷!$AK$4:$AL$107</definedName>
    <definedName name="Z_6B665604_FED1_47C4_B18B_934A743B9B54_.wvu.FilterData" localSheetId="3" hidden="1">調配產銷!$AF$4:$AF$81</definedName>
    <definedName name="Z_6B84BB73_297A_45DD_8D4A_07CFD7CAE007_.wvu.FilterData" localSheetId="1" hidden="1">精餾產銷!$AK$4:$AL$107</definedName>
    <definedName name="Z_6B84BB73_297A_45DD_8D4A_07CFD7CAE007_.wvu.FilterData" localSheetId="3" hidden="1">調配產銷!$AF$4:$AF$81</definedName>
    <definedName name="Z_6B8B3368_77BD_4A71_B993_26D74F6DD7CF_.wvu.FilterData" localSheetId="1" hidden="1">精餾產銷!$AK$4:$AL$102</definedName>
    <definedName name="Z_6BBA5691_66ED_4D94_807D_91A8D2D62F9C_.wvu.FilterData" localSheetId="1" hidden="1">精餾產銷!$AK$4:$AL$107</definedName>
    <definedName name="Z_6BDE50DE_6869_4F26_9D2A_FBF47BF27138_.wvu.FilterData" localSheetId="2" hidden="1">初餾產銷!$AJ$4:$AJ$78</definedName>
    <definedName name="Z_6C466EED_64D1_4003_B7D5_11B3A55D4EB1_.wvu.FilterData" localSheetId="2" hidden="1">初餾產銷!$AF$4:$AF$53</definedName>
    <definedName name="Z_6C466EED_64D1_4003_B7D5_11B3A55D4EB1_.wvu.FilterData" localSheetId="1" hidden="1">精餾產銷!$AF$4:$AF$105</definedName>
    <definedName name="Z_6C495E1D_99E1_4706_B31F_693330BDA87C_.wvu.FilterData" localSheetId="2" hidden="1">初餾產銷!$AJ$4:$AJ$78</definedName>
    <definedName name="Z_6C495E1D_99E1_4706_B31F_693330BDA87C_.wvu.FilterData" localSheetId="1" hidden="1">精餾產銷!$AK$4:$AL$107</definedName>
    <definedName name="Z_6C495E1D_99E1_4706_B31F_693330BDA87C_.wvu.FilterData" localSheetId="3" hidden="1">調配產銷!$AF$4:$AF$81</definedName>
    <definedName name="Z_6C67D0FB_3BDE_4AE2_9B5A_0CAF76C2CFE9_.wvu.FilterData" localSheetId="2" hidden="1">初餾產銷!$AJ$4:$AJ$78</definedName>
    <definedName name="Z_6C67D0FB_3BDE_4AE2_9B5A_0CAF76C2CFE9_.wvu.FilterData" localSheetId="1" hidden="1">精餾產銷!$AK$4:$AL$107</definedName>
    <definedName name="Z_6C67D0FB_3BDE_4AE2_9B5A_0CAF76C2CFE9_.wvu.FilterData" localSheetId="3" hidden="1">調配產銷!$AF$4:$AF$81</definedName>
    <definedName name="Z_6CA72700_4922_4C41_A307_AE9F30417FDA_.wvu.FilterData" localSheetId="3" hidden="1">調配產銷!$AF$4:$AF$81</definedName>
    <definedName name="Z_6CF38C64_FB6F_4A86_87D9_0D20D7F82CDA_.wvu.FilterData" localSheetId="1" hidden="1">精餾產銷!$AK$4:$AL$102</definedName>
    <definedName name="Z_6D24EB2D_BD82_47DA_9CC3_4F79A0D1BB58_.wvu.FilterData" localSheetId="1" hidden="1">精餾產銷!$AK$4:$AL$107</definedName>
    <definedName name="Z_6D564244_7DD9_4EE2_924A_464DE0F84FAD_.wvu.FilterData" localSheetId="1" hidden="1">精餾產銷!$AK$4:$AL$107</definedName>
    <definedName name="Z_6D564244_7DD9_4EE2_924A_464DE0F84FAD_.wvu.FilterData" localSheetId="3" hidden="1">調配產銷!$AF$4:$AF$81</definedName>
    <definedName name="Z_6D5B04FF_42F2_4386_966F_78C35A81B02D_.wvu.FilterData" localSheetId="2" hidden="1">初餾產銷!$AJ$4:$AJ$78</definedName>
    <definedName name="Z_6D5B04FF_42F2_4386_966F_78C35A81B02D_.wvu.FilterData" localSheetId="1" hidden="1">精餾產銷!$AK$4:$AL$107</definedName>
    <definedName name="Z_6D5B04FF_42F2_4386_966F_78C35A81B02D_.wvu.FilterData" localSheetId="3" hidden="1">調配產銷!$AF$4:$AF$81</definedName>
    <definedName name="Z_6D645FC4_4884_4F31_AF1D_CBC941ABCF84_.wvu.FilterData" localSheetId="1" hidden="1">精餾產銷!$AK$4:$AL$107</definedName>
    <definedName name="Z_6D645FC4_4884_4F31_AF1D_CBC941ABCF84_.wvu.FilterData" localSheetId="3" hidden="1">調配產銷!$AF$4:$AF$81</definedName>
    <definedName name="Z_6D8337FA_B3C8_4486_BAD4_8B0935652831_.wvu.FilterData" localSheetId="2" hidden="1">初餾產銷!$AJ$4:$AJ$78</definedName>
    <definedName name="Z_6D8337FA_B3C8_4486_BAD4_8B0935652831_.wvu.FilterData" localSheetId="1" hidden="1">精餾產銷!$AK$4:$AL$107</definedName>
    <definedName name="Z_6DB5274E_9211_4687_861A_90F1B8B8F503_.wvu.FilterData" localSheetId="1" hidden="1">精餾產銷!$AK$4:$AL$107</definedName>
    <definedName name="Z_6DB5274E_9211_4687_861A_90F1B8B8F503_.wvu.FilterData" localSheetId="3" hidden="1">調配產銷!$AF$4:$AF$81</definedName>
    <definedName name="Z_6DC58036_1AF4_4BBD_A933_7ED719076F4E_.wvu.FilterData" localSheetId="1" hidden="1">精餾產銷!$AK$4:$AL$107</definedName>
    <definedName name="Z_6DC87DBB_EAA4_4C74_8564_B6BAF0231FE0_.wvu.Cols" localSheetId="2" hidden="1">初餾產銷!$B:$B,初餾產銷!$D:$F</definedName>
    <definedName name="Z_6DC87DBB_EAA4_4C74_8564_B6BAF0231FE0_.wvu.Cols" localSheetId="0" hidden="1">'產銷總表 '!$B:$B,'產銷總表 '!$D:$F</definedName>
    <definedName name="Z_6DC87DBB_EAA4_4C74_8564_B6BAF0231FE0_.wvu.Cols" localSheetId="1" hidden="1">精餾產銷!$B:$B</definedName>
    <definedName name="Z_6DC87DBB_EAA4_4C74_8564_B6BAF0231FE0_.wvu.Cols" localSheetId="3" hidden="1">調配產銷!$B:$B,調配產銷!$D:$F</definedName>
    <definedName name="Z_6DC87DBB_EAA4_4C74_8564_B6BAF0231FE0_.wvu.FilterData" localSheetId="2" hidden="1">初餾產銷!$AJ$4:$AJ$78</definedName>
    <definedName name="Z_6DC87DBB_EAA4_4C74_8564_B6BAF0231FE0_.wvu.FilterData" localSheetId="0" hidden="1">'產銷總表 '!$AF$5:$AG$241</definedName>
    <definedName name="Z_6DC87DBB_EAA4_4C74_8564_B6BAF0231FE0_.wvu.FilterData" localSheetId="1" hidden="1">精餾產銷!$AK$4:$AL$107</definedName>
    <definedName name="Z_6DC87DBB_EAA4_4C74_8564_B6BAF0231FE0_.wvu.FilterData" localSheetId="3" hidden="1">調配產銷!$AF$4:$AF$81</definedName>
    <definedName name="Z_6DC87DBB_EAA4_4C74_8564_B6BAF0231FE0_.wvu.PrintArea" localSheetId="2" hidden="1">初餾產銷!$A$1:$AI$78</definedName>
    <definedName name="Z_6DC87DBB_EAA4_4C74_8564_B6BAF0231FE0_.wvu.PrintArea" localSheetId="4" hidden="1">秏料!$A$1:$L$134</definedName>
    <definedName name="Z_6DC87DBB_EAA4_4C74_8564_B6BAF0231FE0_.wvu.PrintArea" localSheetId="0" hidden="1">'產銷總表 '!$A$2:$AE$241</definedName>
    <definedName name="Z_6DC87DBB_EAA4_4C74_8564_B6BAF0231FE0_.wvu.PrintArea" localSheetId="1" hidden="1">精餾產銷!$A$1:$AE$107</definedName>
    <definedName name="Z_6DC87DBB_EAA4_4C74_8564_B6BAF0231FE0_.wvu.PrintArea" localSheetId="3" hidden="1">調配產銷!$A$1:$AE$83</definedName>
    <definedName name="Z_6DC87DBB_EAA4_4C74_8564_B6BAF0231FE0_.wvu.PrintTitles" localSheetId="2" hidden="1">初餾產銷!$1:$2</definedName>
    <definedName name="Z_6DC87DBB_EAA4_4C74_8564_B6BAF0231FE0_.wvu.PrintTitles" localSheetId="1" hidden="1">精餾產銷!$1:$2</definedName>
    <definedName name="Z_6DCA8B97_3DFE_4380_B446_C6359A978749_.wvu.FilterData" localSheetId="1" hidden="1">精餾產銷!$AF$4:$AF$105</definedName>
    <definedName name="Z_6DCC3744_CD45_4B2A_8BDC_F6AB382E86E7_.wvu.FilterData" localSheetId="3" hidden="1">調配產銷!$AF$4:$AF$81</definedName>
    <definedName name="Z_6E4C06E0_78D7_47E5_9960_328C160EDD5A_.wvu.FilterData" localSheetId="2" hidden="1">初餾產銷!$AJ$4:$AJ$78</definedName>
    <definedName name="Z_6E4C06E0_78D7_47E5_9960_328C160EDD5A_.wvu.FilterData" localSheetId="1" hidden="1">精餾產銷!$AK$4:$AL$107</definedName>
    <definedName name="Z_6E4C06E0_78D7_47E5_9960_328C160EDD5A_.wvu.FilterData" localSheetId="3" hidden="1">調配產銷!$AF$4:$AF$81</definedName>
    <definedName name="Z_6E87B7C7_38B1_43AC_AC2D_3C10D8D5F7F6_.wvu.FilterData" localSheetId="1" hidden="1">精餾產銷!$AK$4:$AL$107</definedName>
    <definedName name="Z_6E87B7C7_38B1_43AC_AC2D_3C10D8D5F7F6_.wvu.FilterData" localSheetId="3" hidden="1">調配產銷!$AF$4:$AF$81</definedName>
    <definedName name="Z_6EA81442_2E06_430D_B672_06ACFC26BB58_.wvu.FilterData" localSheetId="3" hidden="1">調配產銷!$AF$4:$AF$81</definedName>
    <definedName name="Z_6EBB6FEF_AF54_4D3E_9BEA_D98218F7D108_.wvu.FilterData" localSheetId="1" hidden="1">精餾產銷!$AK$4:$AL$107</definedName>
    <definedName name="Z_6F0865F1_C12B_4985_BDDF_04C5ECA83B72_.wvu.FilterData" localSheetId="3" hidden="1">調配產銷!#REF!</definedName>
    <definedName name="Z_6F178132_9523_43B6_8B8B_F864EE6EE27F_.wvu.FilterData" localSheetId="2" hidden="1">初餾產銷!$AJ$4:$AJ$78</definedName>
    <definedName name="Z_6F178132_9523_43B6_8B8B_F864EE6EE27F_.wvu.FilterData" localSheetId="1" hidden="1">精餾產銷!$AK$4:$AL$107</definedName>
    <definedName name="Z_6F178132_9523_43B6_8B8B_F864EE6EE27F_.wvu.FilterData" localSheetId="3" hidden="1">調配產銷!$AF$4:$AF$81</definedName>
    <definedName name="Z_6F25873B_BA07_4BED_994D_1353F4ACFBDC_.wvu.FilterData" localSheetId="1" hidden="1">精餾產銷!$AF$4:$AF$105</definedName>
    <definedName name="Z_6F645FF6_DD9B_448F_9306_749C4CC44578_.wvu.FilterData" localSheetId="1" hidden="1">精餾產銷!$AK$4:$AL$107</definedName>
    <definedName name="Z_6F645FF6_DD9B_448F_9306_749C4CC44578_.wvu.FilterData" localSheetId="3" hidden="1">調配產銷!$AF$4:$AF$81</definedName>
    <definedName name="Z_6F81C52D_E82F_4098_AD72_11F2AC61CCD5_.wvu.FilterData" localSheetId="1" hidden="1">精餾產銷!$AK$4:$AL$107</definedName>
    <definedName name="Z_6F9DB596_F53A_4715_AD95_3BD4B35318FB_.wvu.FilterData" localSheetId="2" hidden="1">初餾產銷!$A$4:$AJ$53</definedName>
    <definedName name="Z_6F9DB596_F53A_4715_AD95_3BD4B35318FB_.wvu.FilterData" localSheetId="1" hidden="1">精餾產銷!$AK$4:$AL$102</definedName>
    <definedName name="Z_6F9DB596_F53A_4715_AD95_3BD4B35318FB_.wvu.FilterData" localSheetId="3" hidden="1">調配產銷!#REF!</definedName>
    <definedName name="Z_6FDEBC84_F303_48D7_B803_9DE7FA7C0341_.wvu.FilterData" localSheetId="1" hidden="1">精餾產銷!$AK$4:$AL$102</definedName>
    <definedName name="Z_6FFA3116_AFB5_4FB8_9F10_A95DE9DCF4BC_.wvu.FilterData" localSheetId="1" hidden="1">精餾產銷!$AF$4:$AF$105</definedName>
    <definedName name="Z_705B17CB_AA9E_43CD_9C9A_C40661949A5F_.wvu.FilterData" localSheetId="2" hidden="1">初餾產銷!$A$4:$AJ$53</definedName>
    <definedName name="Z_705B17CB_AA9E_43CD_9C9A_C40661949A5F_.wvu.FilterData" localSheetId="1" hidden="1">精餾產銷!$AK$4:$AL$102</definedName>
    <definedName name="Z_7069AB98_1664_45E1_B167_A9A457914B38_.wvu.FilterData" localSheetId="3" hidden="1">調配產銷!#REF!</definedName>
    <definedName name="Z_715F195C_57E1_4ED3_8E02_21C4DD3FFCF6_.wvu.FilterData" localSheetId="1" hidden="1">精餾產銷!$AF$4:$AF$105</definedName>
    <definedName name="Z_71AB62EE_CE4A_473B_8695_A652FEEDF4B8_.wvu.FilterData" localSheetId="1" hidden="1">精餾產銷!$AK$4:$AL$107</definedName>
    <definedName name="Z_71D96221_2678_473A_A59A_8FB36BAF078F_.wvu.FilterData" localSheetId="1" hidden="1">精餾產銷!$AK$4:$AL$107</definedName>
    <definedName name="Z_7214D1B6_3B82_4741_856B_E77DC4491174_.wvu.FilterData" localSheetId="3" hidden="1">調配產銷!#REF!</definedName>
    <definedName name="Z_72435737_EE92_4151_968E_89D761552FC2_.wvu.FilterData" localSheetId="2" hidden="1">初餾產銷!$AJ$4:$AJ$78</definedName>
    <definedName name="Z_72435737_EE92_4151_968E_89D761552FC2_.wvu.FilterData" localSheetId="1" hidden="1">精餾產銷!$AK$4:$AL$107</definedName>
    <definedName name="Z_7276A77A_F23C_4CE1_9612_104802112B7A_.wvu.FilterData" localSheetId="2" hidden="1">初餾產銷!$AF$4:$AF$53</definedName>
    <definedName name="Z_728851F8_FB66_43BF_A95D_5148D7D9BE24_.wvu.FilterData" localSheetId="1" hidden="1">精餾產銷!$AK$4:$AL$107</definedName>
    <definedName name="Z_728FB6A7_3ECC_4D59_B5FC_6FEC08C95D1C_.wvu.FilterData" localSheetId="2" hidden="1">初餾產銷!$AJ$4:$AJ$78</definedName>
    <definedName name="Z_728FB6A7_3ECC_4D59_B5FC_6FEC08C95D1C_.wvu.FilterData" localSheetId="1" hidden="1">精餾產銷!$AK$4:$AL$107</definedName>
    <definedName name="Z_728FB6A7_3ECC_4D59_B5FC_6FEC08C95D1C_.wvu.FilterData" localSheetId="3" hidden="1">調配產銷!$AF$4:$AF$81</definedName>
    <definedName name="Z_72AF3FB8_19B6_41D0_992A_1664DC0262D9_.wvu.FilterData" localSheetId="2" hidden="1">初餾產銷!$AJ$4:$AJ$78</definedName>
    <definedName name="Z_72AF3FB8_19B6_41D0_992A_1664DC0262D9_.wvu.FilterData" localSheetId="1" hidden="1">精餾產銷!$AK$4:$AL$107</definedName>
    <definedName name="Z_72AF3FB8_19B6_41D0_992A_1664DC0262D9_.wvu.FilterData" localSheetId="3" hidden="1">調配產銷!$AF$4:$AF$81</definedName>
    <definedName name="Z_72CCF5AE_672A_4875_BDF8_96868ACDEED0_.wvu.FilterData" localSheetId="1" hidden="1">精餾產銷!$AK$4:$AL$102</definedName>
    <definedName name="Z_72CDE0A4_6192_4B44_A765_B4E68A2A61D5_.wvu.FilterData" localSheetId="3" hidden="1">調配產銷!$AF$4:$AF$81</definedName>
    <definedName name="Z_72E4419D_8726_4217_971C_E145F1B92037_.wvu.FilterData" localSheetId="3" hidden="1">調配產銷!$AF$4:$AF$81</definedName>
    <definedName name="Z_73A8EA8B_6A29_403A_93BF_9D51D4BB9D33_.wvu.FilterData" localSheetId="3" hidden="1">調配產銷!#REF!</definedName>
    <definedName name="Z_73CF22C4_5C68_4F47_82B9_22239B09FAE6_.wvu.FilterData" localSheetId="1" hidden="1">精餾產銷!$AF$4:$AF$105</definedName>
    <definedName name="Z_73CF22C4_5C68_4F47_82B9_22239B09FAE6_.wvu.FilterData" localSheetId="3" hidden="1">調配產銷!#REF!</definedName>
    <definedName name="Z_741FA656_CFEE_43F2_A59C_63199783617A_.wvu.FilterData" localSheetId="2" hidden="1">初餾產銷!$AF$4:$AF$53</definedName>
    <definedName name="Z_741FA656_CFEE_43F2_A59C_63199783617A_.wvu.FilterData" localSheetId="1" hidden="1">精餾產銷!$AF$4:$AF$105</definedName>
    <definedName name="Z_741FA656_CFEE_43F2_A59C_63199783617A_.wvu.FilterData" localSheetId="3" hidden="1">調配產銷!#REF!</definedName>
    <definedName name="Z_74DBDCEE_EFC2_4DD5_A172_C7A076F181A1_.wvu.FilterData" localSheetId="2" hidden="1">初餾產銷!$AJ$4:$AJ$78</definedName>
    <definedName name="Z_74ED6B0D_2FE2_4758_9590_11295DC074EA_.wvu.FilterData" localSheetId="1" hidden="1">精餾產銷!$AK$4:$AL$107</definedName>
    <definedName name="Z_74FB9D47_3B7D_462D_ACFC_CAB6D433B60B_.wvu.FilterData" localSheetId="1" hidden="1">精餾產銷!$AK$4:$AL$107</definedName>
    <definedName name="Z_752F84BD_8E17_4AFC_92F5_A91F48E442A7_.wvu.FilterData" localSheetId="2" hidden="1">初餾產銷!$A$4:$AJ$53</definedName>
    <definedName name="Z_752F84BD_8E17_4AFC_92F5_A91F48E442A7_.wvu.FilterData" localSheetId="1" hidden="1">精餾產銷!$AK$4:$AL$107</definedName>
    <definedName name="Z_752F84BD_8E17_4AFC_92F5_A91F48E442A7_.wvu.FilterData" localSheetId="3" hidden="1">調配產銷!#REF!</definedName>
    <definedName name="Z_75319DA6_7EBE_40E2_8E46_DEF3FF76B3A6_.wvu.FilterData" localSheetId="1" hidden="1">精餾產銷!$AK$4:$AL$102</definedName>
    <definedName name="Z_75786943_07BF_4491_92DA_60AF5982DDA5_.wvu.FilterData" localSheetId="3" hidden="1">調配產銷!#REF!</definedName>
    <definedName name="Z_757B8BC5_5F34_4CCC_8F6B_8B8FC80A9442_.wvu.FilterData" localSheetId="1" hidden="1">精餾產銷!$AK$4:$AL$107</definedName>
    <definedName name="Z_757B8BC5_5F34_4CCC_8F6B_8B8FC80A9442_.wvu.FilterData" localSheetId="3" hidden="1">調配產銷!$AF$4:$AF$81</definedName>
    <definedName name="Z_75EFA666_7758_4C78_8B5B_11F709DBABB0_.wvu.FilterData" localSheetId="2" hidden="1">初餾產銷!$AJ$4:$AJ$78</definedName>
    <definedName name="Z_76A5D12F_4CDB_441C_A322_6A73DFA7E921_.wvu.FilterData" localSheetId="2" hidden="1">初餾產銷!$AF$4:$AF$53</definedName>
    <definedName name="Z_76A5D12F_4CDB_441C_A322_6A73DFA7E921_.wvu.FilterData" localSheetId="1" hidden="1">精餾產銷!$AF$4:$AF$105</definedName>
    <definedName name="Z_76A5D12F_4CDB_441C_A322_6A73DFA7E921_.wvu.FilterData" localSheetId="3" hidden="1">調配產銷!#REF!</definedName>
    <definedName name="Z_76AA2C5D_60C1_4B16_AADD_E5FA784C4B11_.wvu.FilterData" localSheetId="2" hidden="1">初餾產銷!$AJ$4:$AJ$78</definedName>
    <definedName name="Z_76AA2C5D_60C1_4B16_AADD_E5FA784C4B11_.wvu.FilterData" localSheetId="1" hidden="1">精餾產銷!$AK$4:$AL$107</definedName>
    <definedName name="Z_76AA2C5D_60C1_4B16_AADD_E5FA784C4B11_.wvu.FilterData" localSheetId="3" hidden="1">調配產銷!$AF$4:$AF$81</definedName>
    <definedName name="Z_77074224_D4B7_4B7C_985D_E3F77A2D311E_.wvu.FilterData" localSheetId="2" hidden="1">初餾產銷!$A$4:$AJ$53</definedName>
    <definedName name="Z_77074224_D4B7_4B7C_985D_E3F77A2D311E_.wvu.FilterData" localSheetId="1" hidden="1">精餾產銷!$AK$4:$AL$102</definedName>
    <definedName name="Z_77074224_D4B7_4B7C_985D_E3F77A2D311E_.wvu.FilterData" localSheetId="3" hidden="1">調配產銷!#REF!</definedName>
    <definedName name="Z_770C6F0B_62B5_47CE_9898_FE3888228639_.wvu.FilterData" localSheetId="2" hidden="1">初餾產銷!$AJ$4:$AJ$78</definedName>
    <definedName name="Z_770D1AAB_FE70_439F_93A6_D3C548D69801_.wvu.FilterData" localSheetId="3" hidden="1">調配產銷!$AF$4:$AF$81</definedName>
    <definedName name="Z_776C6602_A54B_48BF_8E10_65DBBF215A6D_.wvu.FilterData" localSheetId="1" hidden="1">精餾產銷!$AK$4:$AL$107</definedName>
    <definedName name="Z_77AD3D17_AD21_4070_93C9_23AFEA189F06_.wvu.Cols" localSheetId="0" hidden="1">'產銷總表 '!$B:$B,'產銷總表 '!$D:$F</definedName>
    <definedName name="Z_77AD3D17_AD21_4070_93C9_23AFEA189F06_.wvu.FilterData" localSheetId="2" hidden="1">初餾產銷!$A$4:$AJ$53</definedName>
    <definedName name="Z_77AD3D17_AD21_4070_93C9_23AFEA189F06_.wvu.FilterData" localSheetId="0" hidden="1">'產銷總表 '!$A$5:$F$118</definedName>
    <definedName name="Z_77AD3D17_AD21_4070_93C9_23AFEA189F06_.wvu.FilterData" localSheetId="1" hidden="1">精餾產銷!$AK$4:$AL$102</definedName>
    <definedName name="Z_77AD3D17_AD21_4070_93C9_23AFEA189F06_.wvu.FilterData" localSheetId="3" hidden="1">調配產銷!#REF!</definedName>
    <definedName name="Z_77AD3D17_AD21_4070_93C9_23AFEA189F06_.wvu.PrintArea" localSheetId="2" hidden="1">初餾產銷!$A$1:$AE$55</definedName>
    <definedName name="Z_77AD3D17_AD21_4070_93C9_23AFEA189F06_.wvu.PrintArea" localSheetId="0" hidden="1">'產銷總表 '!$A$2:$F$243</definedName>
    <definedName name="Z_77AD3D17_AD21_4070_93C9_23AFEA189F06_.wvu.PrintArea" localSheetId="1" hidden="1">精餾產銷!$A$1:$AE$107</definedName>
    <definedName name="Z_77AD3D17_AD21_4070_93C9_23AFEA189F06_.wvu.PrintArea" localSheetId="3" hidden="1">調配產銷!#REF!</definedName>
    <definedName name="Z_77AD3D17_AD21_4070_93C9_23AFEA189F06_.wvu.PrintTitles" localSheetId="2" hidden="1">初餾產銷!$1:$2</definedName>
    <definedName name="Z_77AD3D17_AD21_4070_93C9_23AFEA189F06_.wvu.PrintTitles" localSheetId="1" hidden="1">精餾產銷!$1:$2</definedName>
    <definedName name="Z_77AD3D17_AD21_4070_93C9_23AFEA189F06_.wvu.PrintTitles" localSheetId="3" hidden="1">調配產銷!#REF!</definedName>
    <definedName name="Z_77AD3D17_AD21_4070_93C9_23AFEA189F06_.wvu.Rows" localSheetId="0" hidden="1">'產銷總表 '!#REF!</definedName>
    <definedName name="Z_77AD3D17_AD21_4070_93C9_23AFEA189F06_.wvu.Rows" localSheetId="1" hidden="1">精餾產銷!$103:$103,精餾產銷!$106:$106</definedName>
    <definedName name="Z_77B14F7C_DBD2_4BE8_8492_093BF9A7E4E6_.wvu.Cols" localSheetId="2" hidden="1">初餾產銷!$B:$B,初餾產銷!$D:$F</definedName>
    <definedName name="Z_77B14F7C_DBD2_4BE8_8492_093BF9A7E4E6_.wvu.Cols" localSheetId="0" hidden="1">'產銷總表 '!$B:$B,'產銷總表 '!$D:$F</definedName>
    <definedName name="Z_77B14F7C_DBD2_4BE8_8492_093BF9A7E4E6_.wvu.FilterData" localSheetId="2" hidden="1">初餾產銷!$AJ$4:$AJ$78</definedName>
    <definedName name="Z_77B14F7C_DBD2_4BE8_8492_093BF9A7E4E6_.wvu.FilterData" localSheetId="4" hidden="1">秏料!$A$2:$L$134</definedName>
    <definedName name="Z_77B14F7C_DBD2_4BE8_8492_093BF9A7E4E6_.wvu.FilterData" localSheetId="0" hidden="1">'產銷總表 '!$AF$5:$AG$241</definedName>
    <definedName name="Z_77B14F7C_DBD2_4BE8_8492_093BF9A7E4E6_.wvu.FilterData" localSheetId="1" hidden="1">精餾產銷!$AK$4:$AL$107</definedName>
    <definedName name="Z_77B14F7C_DBD2_4BE8_8492_093BF9A7E4E6_.wvu.FilterData" localSheetId="3" hidden="1">調配產銷!$AF$4:$AF$81</definedName>
    <definedName name="Z_77B14F7C_DBD2_4BE8_8492_093BF9A7E4E6_.wvu.PrintArea" localSheetId="2" hidden="1">初餾產銷!$A$1:$AI$78</definedName>
    <definedName name="Z_77B14F7C_DBD2_4BE8_8492_093BF9A7E4E6_.wvu.PrintArea" localSheetId="4" hidden="1">秏料!$A$1:$L$134</definedName>
    <definedName name="Z_77B14F7C_DBD2_4BE8_8492_093BF9A7E4E6_.wvu.PrintArea" localSheetId="0" hidden="1">'產銷總表 '!$A$2:$AE$241</definedName>
    <definedName name="Z_77B14F7C_DBD2_4BE8_8492_093BF9A7E4E6_.wvu.PrintArea" localSheetId="1" hidden="1">精餾產銷!$A$1:$AE$107</definedName>
    <definedName name="Z_77B14F7C_DBD2_4BE8_8492_093BF9A7E4E6_.wvu.PrintArea" localSheetId="3" hidden="1">調配產銷!$A$1:$AE$83</definedName>
    <definedName name="Z_77B14F7C_DBD2_4BE8_8492_093BF9A7E4E6_.wvu.PrintTitles" localSheetId="2" hidden="1">初餾產銷!$1:$2</definedName>
    <definedName name="Z_77B14F7C_DBD2_4BE8_8492_093BF9A7E4E6_.wvu.PrintTitles" localSheetId="1" hidden="1">精餾產銷!$1:$2</definedName>
    <definedName name="Z_7829582A_3CC5_4014_9197_FF9EBE1908BA_.wvu.FilterData" localSheetId="2" hidden="1">初餾產銷!$AJ$4:$AJ$78</definedName>
    <definedName name="Z_7829582A_3CC5_4014_9197_FF9EBE1908BA_.wvu.FilterData" localSheetId="1" hidden="1">精餾產銷!$AK$4:$AL$107</definedName>
    <definedName name="Z_7829582A_3CC5_4014_9197_FF9EBE1908BA_.wvu.FilterData" localSheetId="3" hidden="1">調配產銷!$AF$4:$AF$81</definedName>
    <definedName name="Z_789A466A_F5D2_4508_AF38_31AD2376FA97_.wvu.FilterData" localSheetId="1" hidden="1">精餾產銷!$AK$4:$AL$107</definedName>
    <definedName name="Z_78C446CB_7DB0_46C3_89EF_82033D45B2A6_.wvu.FilterData" localSheetId="1" hidden="1">精餾產銷!$AK$4:$AL$107</definedName>
    <definedName name="Z_790861A8_F35A_40F1_B38B_6567EC21316A_.wvu.FilterData" localSheetId="1" hidden="1">精餾產銷!$AK$4:$AL$107</definedName>
    <definedName name="Z_790861A8_F35A_40F1_B38B_6567EC21316A_.wvu.FilterData" localSheetId="3" hidden="1">調配產銷!#REF!</definedName>
    <definedName name="Z_793F5882_88FF_406D_BF72_B1B3B0AD0C57_.wvu.FilterData" localSheetId="1" hidden="1">精餾產銷!$AF$4:$AF$105</definedName>
    <definedName name="Z_796465BB_5CB8_4D88_BD7F_5215E940AB76_.wvu.FilterData" localSheetId="2" hidden="1">初餾產銷!$AF$4:$AF$53</definedName>
    <definedName name="Z_796DA2DC_1D4C_47FF_A03E_52B7849CE65E_.wvu.FilterData" localSheetId="2" hidden="1">初餾產銷!$AJ$4:$AJ$78</definedName>
    <definedName name="Z_796DA2DC_1D4C_47FF_A03E_52B7849CE65E_.wvu.FilterData" localSheetId="3" hidden="1">調配產銷!$AF$4:$AF$81</definedName>
    <definedName name="Z_79A7290A_C2CC_439F_9F4C_86F06B59FA6E_.wvu.FilterData" localSheetId="3" hidden="1">調配產銷!$AF$4:$AF$81</definedName>
    <definedName name="Z_79B3739F_CF00_4B7F_809C_AFED3976EA5C_.wvu.FilterData" localSheetId="1" hidden="1">精餾產銷!$AK$4:$AL$107</definedName>
    <definedName name="Z_79B3739F_CF00_4B7F_809C_AFED3976EA5C_.wvu.FilterData" localSheetId="3" hidden="1">調配產銷!$AF$4:$AF$81</definedName>
    <definedName name="Z_79C24319_ED99_42BD_9ADC_F278FE124FAF_.wvu.FilterData" localSheetId="1" hidden="1">精餾產銷!$AK$4:$AL$107</definedName>
    <definedName name="Z_79D38706_9FFA_4C9C_824E_0333B680A3DE_.wvu.FilterData" localSheetId="2" hidden="1">初餾產銷!$AJ$4:$AJ$78</definedName>
    <definedName name="Z_79D38706_9FFA_4C9C_824E_0333B680A3DE_.wvu.FilterData" localSheetId="1" hidden="1">精餾產銷!$AK$4:$AL$107</definedName>
    <definedName name="Z_79D38706_9FFA_4C9C_824E_0333B680A3DE_.wvu.FilterData" localSheetId="3" hidden="1">調配產銷!$AF$4:$AF$81</definedName>
    <definedName name="Z_79F26E0A_5E9E_4EF8_AE70_B7DA8FAE47AC_.wvu.Cols" localSheetId="2" hidden="1">初餾產銷!$B:$B</definedName>
    <definedName name="Z_79F26E0A_5E9E_4EF8_AE70_B7DA8FAE47AC_.wvu.Cols" localSheetId="1" hidden="1">精餾產銷!$B:$B</definedName>
    <definedName name="Z_79F26E0A_5E9E_4EF8_AE70_B7DA8FAE47AC_.wvu.Cols" localSheetId="3" hidden="1">調配產銷!#REF!</definedName>
    <definedName name="Z_79F26E0A_5E9E_4EF8_AE70_B7DA8FAE47AC_.wvu.FilterData" localSheetId="2" hidden="1">初餾產銷!$AF$4:$AF$53</definedName>
    <definedName name="Z_79F26E0A_5E9E_4EF8_AE70_B7DA8FAE47AC_.wvu.FilterData" localSheetId="0" hidden="1">'產銷總表 '!$A$5:$F$118</definedName>
    <definedName name="Z_79F26E0A_5E9E_4EF8_AE70_B7DA8FAE47AC_.wvu.FilterData" localSheetId="1" hidden="1">精餾產銷!$AF$4:$AF$105</definedName>
    <definedName name="Z_79F26E0A_5E9E_4EF8_AE70_B7DA8FAE47AC_.wvu.FilterData" localSheetId="3" hidden="1">調配產銷!#REF!</definedName>
    <definedName name="Z_79F26E0A_5E9E_4EF8_AE70_B7DA8FAE47AC_.wvu.PrintArea" localSheetId="2" hidden="1">初餾產銷!$A$1:$AE$55</definedName>
    <definedName name="Z_79F26E0A_5E9E_4EF8_AE70_B7DA8FAE47AC_.wvu.PrintArea" localSheetId="0" hidden="1">'產銷總表 '!$A$2:$F$243</definedName>
    <definedName name="Z_79F26E0A_5E9E_4EF8_AE70_B7DA8FAE47AC_.wvu.PrintArea" localSheetId="1" hidden="1">精餾產銷!$A$1:$AE$113</definedName>
    <definedName name="Z_79F26E0A_5E9E_4EF8_AE70_B7DA8FAE47AC_.wvu.PrintArea" localSheetId="3" hidden="1">調配產銷!#REF!</definedName>
    <definedName name="Z_79F26E0A_5E9E_4EF8_AE70_B7DA8FAE47AC_.wvu.PrintTitles" localSheetId="2" hidden="1">初餾產銷!$1:$2</definedName>
    <definedName name="Z_79F26E0A_5E9E_4EF8_AE70_B7DA8FAE47AC_.wvu.PrintTitles" localSheetId="1" hidden="1">精餾產銷!$1:$2</definedName>
    <definedName name="Z_79F26E0A_5E9E_4EF8_AE70_B7DA8FAE47AC_.wvu.PrintTitles" localSheetId="3" hidden="1">調配產銷!#REF!</definedName>
    <definedName name="Z_79F26E0A_5E9E_4EF8_AE70_B7DA8FAE47AC_.wvu.Rows" localSheetId="0" hidden="1">'產銷總表 '!#REF!</definedName>
    <definedName name="Z_79F26E0A_5E9E_4EF8_AE70_B7DA8FAE47AC_.wvu.Rows" localSheetId="1" hidden="1">精餾產銷!$106:$106</definedName>
    <definedName name="Z_79F5F4C1_29B5_46F6_BB5F_1BF5C334664F_.wvu.FilterData" localSheetId="2" hidden="1">初餾產銷!$A$4:$AJ$53</definedName>
    <definedName name="Z_7AE32BF5_A485_46CA_A781_F45AA4C9B6C5_.wvu.FilterData" localSheetId="3" hidden="1">調配產銷!$AF$4:$AF$81</definedName>
    <definedName name="Z_7B484A6A_6058_4FD8_BD10_65E9B23066E5_.wvu.FilterData" localSheetId="3" hidden="1">調配產銷!$AF$4:$AF$81</definedName>
    <definedName name="Z_7B90250F_6C77_4F16_BAAD_82EC380D0549_.wvu.Cols" localSheetId="2" hidden="1">初餾產銷!$B:$F</definedName>
    <definedName name="Z_7B90250F_6C77_4F16_BAAD_82EC380D0549_.wvu.Cols" localSheetId="3" hidden="1">調配產銷!#REF!,調配產銷!#REF!</definedName>
    <definedName name="Z_7B90250F_6C77_4F16_BAAD_82EC380D0549_.wvu.FilterData" localSheetId="2" hidden="1">初餾產銷!$A$4:$AJ$53</definedName>
    <definedName name="Z_7B90250F_6C77_4F16_BAAD_82EC380D0549_.wvu.FilterData" localSheetId="0" hidden="1">'產銷總表 '!$A$5:$F$118</definedName>
    <definedName name="Z_7B90250F_6C77_4F16_BAAD_82EC380D0549_.wvu.FilterData" localSheetId="1" hidden="1">精餾產銷!$AK$4:$AL$107</definedName>
    <definedName name="Z_7B90250F_6C77_4F16_BAAD_82EC380D0549_.wvu.FilterData" localSheetId="3" hidden="1">調配產銷!#REF!</definedName>
    <definedName name="Z_7B90250F_6C77_4F16_BAAD_82EC380D0549_.wvu.PrintArea" localSheetId="2" hidden="1">初餾產銷!$A$1:$AE$55</definedName>
    <definedName name="Z_7B90250F_6C77_4F16_BAAD_82EC380D0549_.wvu.PrintArea" localSheetId="1" hidden="1">精餾產銷!$A$1:$AE$107</definedName>
    <definedName name="Z_7B90250F_6C77_4F16_BAAD_82EC380D0549_.wvu.PrintArea" localSheetId="3" hidden="1">調配產銷!#REF!</definedName>
    <definedName name="Z_7B90250F_6C77_4F16_BAAD_82EC380D0549_.wvu.PrintTitles" localSheetId="2" hidden="1">初餾產銷!$1:$2</definedName>
    <definedName name="Z_7B90250F_6C77_4F16_BAAD_82EC380D0549_.wvu.PrintTitles" localSheetId="1" hidden="1">精餾產銷!$1:$2</definedName>
    <definedName name="Z_7B90250F_6C77_4F16_BAAD_82EC380D0549_.wvu.PrintTitles" localSheetId="3" hidden="1">調配產銷!#REF!</definedName>
    <definedName name="Z_7B90250F_6C77_4F16_BAAD_82EC380D0549_.wvu.Rows" localSheetId="0" hidden="1">'產銷總表 '!#REF!</definedName>
    <definedName name="Z_7B9926B1_E565_4E12_B5C9_3F99ED2C9292_.wvu.FilterData" localSheetId="2" hidden="1">初餾產銷!$A$4:$AJ$48</definedName>
    <definedName name="Z_7B9926B1_E565_4E12_B5C9_3F99ED2C9292_.wvu.FilterData" localSheetId="0" hidden="1">'產銷總表 '!$A$5:$F$118</definedName>
    <definedName name="Z_7B9926B1_E565_4E12_B5C9_3F99ED2C9292_.wvu.FilterData" localSheetId="1" hidden="1">精餾產銷!$A$4:$AJ$99</definedName>
    <definedName name="Z_7B9926B1_E565_4E12_B5C9_3F99ED2C9292_.wvu.FilterData" localSheetId="3" hidden="1">調配產銷!#REF!</definedName>
    <definedName name="Z_7BB2F13D_DDA9_4BC6_BD32_461FEA70F067_.wvu.FilterData" localSheetId="3" hidden="1">調配產銷!#REF!</definedName>
    <definedName name="Z_7BBBAFD8_A2D4_4FD2_94DC_D7F5B783EA40_.wvu.FilterData" localSheetId="2" hidden="1">初餾產銷!$AF$4:$AF$53</definedName>
    <definedName name="Z_7C113E44_9328_40FD_92FB_3EEA151842E7_.wvu.FilterData" localSheetId="3" hidden="1">調配產銷!$AF$4:$AF$81</definedName>
    <definedName name="Z_7C519000_528C_44EB_B370_3055AD4749EF_.wvu.FilterData" localSheetId="1" hidden="1">精餾產銷!$AK$4:$AL$107</definedName>
    <definedName name="Z_7C519000_528C_44EB_B370_3055AD4749EF_.wvu.FilterData" localSheetId="3" hidden="1">調配產銷!$AF$4:$AF$81</definedName>
    <definedName name="Z_7CA4123E_ACC0_4EF3_8641_64CBA0881116_.wvu.FilterData" localSheetId="2" hidden="1">初餾產銷!$AJ$4:$AJ$78</definedName>
    <definedName name="Z_7CA4123E_ACC0_4EF3_8641_64CBA0881116_.wvu.FilterData" localSheetId="1" hidden="1">精餾產銷!$AK$4:$AL$107</definedName>
    <definedName name="Z_7CA4123E_ACC0_4EF3_8641_64CBA0881116_.wvu.FilterData" localSheetId="3" hidden="1">調配產銷!$AF$4:$AF$81</definedName>
    <definedName name="Z_7CAAE3A6_35E3_4F53_8C2C_12B3B3C2953D_.wvu.FilterData" localSheetId="2" hidden="1">初餾產銷!$A$4:$AJ$53</definedName>
    <definedName name="Z_7CAAE3A6_35E3_4F53_8C2C_12B3B3C2953D_.wvu.FilterData" localSheetId="1" hidden="1">精餾產銷!$AK$4:$AL$102</definedName>
    <definedName name="Z_7D1C833C_7A20_41C5_A436_95A387CDDCC0_.wvu.FilterData" localSheetId="2" hidden="1">初餾產銷!$AJ$4:$AJ$78</definedName>
    <definedName name="Z_7D1C833C_7A20_41C5_A436_95A387CDDCC0_.wvu.FilterData" localSheetId="1" hidden="1">精餾產銷!$AK$4:$AL$107</definedName>
    <definedName name="Z_7D23425C_4F1A_40CA_8CFB_6F7A38DEE2FC_.wvu.FilterData" localSheetId="1" hidden="1">精餾產銷!$AK$4:$AL$107</definedName>
    <definedName name="Z_7D8AD864_EE84_427E_8394_B1A3BFAAD3DC_.wvu.FilterData" localSheetId="2" hidden="1">初餾產銷!$AJ$4:$AJ$78</definedName>
    <definedName name="Z_7D8AD864_EE84_427E_8394_B1A3BFAAD3DC_.wvu.FilterData" localSheetId="1" hidden="1">精餾產銷!$AK$4:$AL$107</definedName>
    <definedName name="Z_7DA21A86_3065_4332_ADB0_401B4C0580A1_.wvu.FilterData" localSheetId="2" hidden="1">初餾產銷!$AJ$4:$AJ$78</definedName>
    <definedName name="Z_7DA21A86_3065_4332_ADB0_401B4C0580A1_.wvu.FilterData" localSheetId="0" hidden="1">'產銷總表 '!$AF$5:$AG$241</definedName>
    <definedName name="Z_7DA21A86_3065_4332_ADB0_401B4C0580A1_.wvu.FilterData" localSheetId="1" hidden="1">精餾產銷!$AK$4:$AL$107</definedName>
    <definedName name="Z_7DA21A86_3065_4332_ADB0_401B4C0580A1_.wvu.FilterData" localSheetId="3" hidden="1">調配產銷!$AF$4:$AF$81</definedName>
    <definedName name="Z_7DB90158_593F_46F8_A4EE_A18C8F77224F_.wvu.FilterData" localSheetId="1" hidden="1">精餾產銷!$AK$4:$AL$107</definedName>
    <definedName name="Z_7DB90158_593F_46F8_A4EE_A18C8F77224F_.wvu.FilterData" localSheetId="3" hidden="1">調配產銷!$AF$4:$AF$81</definedName>
    <definedName name="Z_7DDE14DE_94FA_435B_A366_67267A4263F7_.wvu.FilterData" localSheetId="1" hidden="1">精餾產銷!$AK$4:$AL$107</definedName>
    <definedName name="Z_7E315625_A356_4DFF_8F62_EDFAC08CCA25_.wvu.FilterData" localSheetId="2" hidden="1">初餾產銷!$AJ$4:$AJ$78</definedName>
    <definedName name="Z_7E315625_A356_4DFF_8F62_EDFAC08CCA25_.wvu.FilterData" localSheetId="1" hidden="1">精餾產銷!$AK$4:$AL$107</definedName>
    <definedName name="Z_7E315625_A356_4DFF_8F62_EDFAC08CCA25_.wvu.FilterData" localSheetId="3" hidden="1">調配產銷!$AF$4:$AF$81</definedName>
    <definedName name="Z_7E55FCF7_D6AF_41EF_9314_DF3A364D0E33_.wvu.FilterData" localSheetId="1" hidden="1">精餾產銷!$AF$4:$AF$105</definedName>
    <definedName name="Z_7E5FDEA3_6C0A_40F3_B2D6_E4628D2FA089_.wvu.FilterData" localSheetId="1" hidden="1">精餾產銷!$AK$4:$AL$107</definedName>
    <definedName name="Z_7E6A4E35_81D5_4D37_B93D_C32DFC6E63C4_.wvu.FilterData" localSheetId="2" hidden="1">初餾產銷!$AJ$4:$AJ$78</definedName>
    <definedName name="Z_7E6A4E35_81D5_4D37_B93D_C32DFC6E63C4_.wvu.FilterData" localSheetId="1" hidden="1">精餾產銷!$AK$4:$AL$107</definedName>
    <definedName name="Z_7E87B8D8_E777_4503_B896_88BF783789AA_.wvu.FilterData" localSheetId="1" hidden="1">精餾產銷!$AK$4:$AL$107</definedName>
    <definedName name="Z_7E87B8D8_E777_4503_B896_88BF783789AA_.wvu.FilterData" localSheetId="3" hidden="1">調配產銷!$AF$4:$AF$81</definedName>
    <definedName name="Z_7E8DFB06_B402_410F_9C37_1F321A4C017C_.wvu.FilterData" localSheetId="1" hidden="1">精餾產銷!$AK$4:$AL$107</definedName>
    <definedName name="Z_7E8DFB06_B402_410F_9C37_1F321A4C017C_.wvu.FilterData" localSheetId="3" hidden="1">調配產銷!$AF$4:$AF$81</definedName>
    <definedName name="Z_7E972AB4_8883_43C1_A8AE_89F99F303EBC_.wvu.FilterData" localSheetId="2" hidden="1">初餾產銷!$AJ$4:$AJ$78</definedName>
    <definedName name="Z_7EBACBAD_8055_4DB3_A5C1_82FF0FBECBE6_.wvu.FilterData" localSheetId="2" hidden="1">初餾產銷!$AJ$4:$AJ$78</definedName>
    <definedName name="Z_7F0856C9_AEA9_4ACA_B8D1_CA582716CF2D_.wvu.FilterData" localSheetId="2" hidden="1">初餾產銷!$AJ$4:$AJ$78</definedName>
    <definedName name="Z_7F092557_228F_49E2_A8A2_D25D126E3A75_.wvu.FilterData" localSheetId="2" hidden="1">初餾產銷!$AJ$4:$AJ$78</definedName>
    <definedName name="Z_7F092557_228F_49E2_A8A2_D25D126E3A75_.wvu.FilterData" localSheetId="1" hidden="1">精餾產銷!$AK$4:$AL$107</definedName>
    <definedName name="Z_7F092557_228F_49E2_A8A2_D25D126E3A75_.wvu.FilterData" localSheetId="3" hidden="1">調配產銷!$AF$4:$AF$81</definedName>
    <definedName name="Z_7F6B22FC_D152_4958_983A_632E928B9C6F_.wvu.FilterData" localSheetId="2" hidden="1">初餾產銷!$AJ$4:$AJ$78</definedName>
    <definedName name="Z_7F6B22FC_D152_4958_983A_632E928B9C6F_.wvu.FilterData" localSheetId="3" hidden="1">調配產銷!$AF$4:$AF$81</definedName>
    <definedName name="Z_7F74F445_F044_4C87_A843_B18FB304D728_.wvu.FilterData" localSheetId="3" hidden="1">調配產銷!$AF$4:$AF$81</definedName>
    <definedName name="Z_7F833AAA_4938_49C4_B805_0F478DD50DC4_.wvu.FilterData" localSheetId="1" hidden="1">精餾產銷!$AK$4:$AL$107</definedName>
    <definedName name="Z_7FF2DE04_AA44_4166_B9CD_E6087D3C19FC_.wvu.FilterData" localSheetId="2" hidden="1">初餾產銷!$AJ$4:$AJ$78</definedName>
    <definedName name="Z_7FF2DE04_AA44_4166_B9CD_E6087D3C19FC_.wvu.FilterData" localSheetId="1" hidden="1">精餾產銷!$AK$4:$AL$107</definedName>
    <definedName name="Z_804CC44C_CD02_4684_9F49_D5FB32CDCD9C_.wvu.FilterData" localSheetId="2" hidden="1">初餾產銷!$A$4:$AJ$53</definedName>
    <definedName name="Z_804CC44C_CD02_4684_9F49_D5FB32CDCD9C_.wvu.FilterData" localSheetId="1" hidden="1">精餾產銷!$AK$4:$AL$102</definedName>
    <definedName name="Z_804CC44C_CD02_4684_9F49_D5FB32CDCD9C_.wvu.FilterData" localSheetId="3" hidden="1">調配產銷!#REF!</definedName>
    <definedName name="Z_813E4E08_6717_490B_89E6_F4F57398E2A1_.wvu.FilterData" localSheetId="2" hidden="1">初餾產銷!$AJ$4:$AJ$78</definedName>
    <definedName name="Z_813E4E08_6717_490B_89E6_F4F57398E2A1_.wvu.FilterData" localSheetId="1" hidden="1">精餾產銷!$AK$4:$AL$107</definedName>
    <definedName name="Z_8168C514_2AE6_4F99_A432_5C998E29B2C6_.wvu.FilterData" localSheetId="1" hidden="1">精餾產銷!$AK$4:$AL$107</definedName>
    <definedName name="Z_8168C514_2AE6_4F99_A432_5C998E29B2C6_.wvu.FilterData" localSheetId="3" hidden="1">調配產銷!$AF$4:$AF$81</definedName>
    <definedName name="Z_81BDBFBE_1F8E_4DDB_AA7B_8C263AB4B9A3_.wvu.FilterData" localSheetId="1" hidden="1">精餾產銷!$AK$4:$AL$107</definedName>
    <definedName name="Z_81C0C7F8_2D35_4947_9809_4FDB25D6DE5E_.wvu.FilterData" localSheetId="1" hidden="1">精餾產銷!$AK$4:$AL$107</definedName>
    <definedName name="Z_81CE5D4C_9C4A_4CD8_9C59_9AD221FB854A_.wvu.FilterData" localSheetId="2" hidden="1">初餾產銷!$AJ$4:$AJ$78</definedName>
    <definedName name="Z_81CE5D4C_9C4A_4CD8_9C59_9AD221FB854A_.wvu.FilterData" localSheetId="3" hidden="1">調配產銷!$AF$4:$AF$81</definedName>
    <definedName name="Z_81FF66DC_FCAE_4373_9B99_9BA28682E487_.wvu.FilterData" localSheetId="2" hidden="1">初餾產銷!$AJ$4:$AJ$78</definedName>
    <definedName name="Z_820FB685_BE84_440E_BAF2_77E6387500E3_.wvu.FilterData" localSheetId="1" hidden="1">精餾產銷!$AK$4:$AL$107</definedName>
    <definedName name="Z_820FB685_BE84_440E_BAF2_77E6387500E3_.wvu.FilterData" localSheetId="3" hidden="1">調配產銷!#REF!</definedName>
    <definedName name="Z_8228E33A_2BEE_4177_9E00_F2DCFA1CE7C3_.wvu.FilterData" localSheetId="3" hidden="1">調配產銷!#REF!</definedName>
    <definedName name="Z_82661784_C404_4649_9C6D_9399FDD312A4_.wvu.FilterData" localSheetId="1" hidden="1">精餾產銷!$AK$4:$AL$107</definedName>
    <definedName name="Z_828B5777_9704_4B44_9208_C623B1F97A60_.wvu.FilterData" localSheetId="2" hidden="1">初餾產銷!$AJ$4:$AJ$78</definedName>
    <definedName name="Z_82A57491_00B9_4355_A635_CDB74314CF23_.wvu.FilterData" localSheetId="3" hidden="1">調配產銷!$AF$4:$AF$81</definedName>
    <definedName name="Z_82FDBBAF_F42B_4EC8_8908_681F0ED94A94_.wvu.FilterData" localSheetId="2" hidden="1">初餾產銷!$AJ$4:$AJ$78</definedName>
    <definedName name="Z_82FDBBAF_F42B_4EC8_8908_681F0ED94A94_.wvu.FilterData" localSheetId="1" hidden="1">精餾產銷!$AK$4:$AL$107</definedName>
    <definedName name="Z_8300516A_0B68_4757_96C2_3796E2E8F57A_.wvu.FilterData" localSheetId="2" hidden="1">初餾產銷!$AJ$4:$AJ$78</definedName>
    <definedName name="Z_830C4248_8DD7_4B8F_BE3C_F0252F256B97_.wvu.FilterData" localSheetId="1" hidden="1">精餾產銷!$AK$4:$AL$107</definedName>
    <definedName name="Z_830C4248_8DD7_4B8F_BE3C_F0252F256B97_.wvu.FilterData" localSheetId="3" hidden="1">調配產銷!$AF$4:$AF$81</definedName>
    <definedName name="Z_832D7CA6_AF45_48D4_AE18_099332FC1EC9_.wvu.FilterData" localSheetId="1" hidden="1">精餾產銷!$AF$4:$AF$105</definedName>
    <definedName name="Z_83B3BC4F_78EE_4A15_89B0_51F9D7CE21C1_.wvu.Cols" localSheetId="2" hidden="1">初餾產銷!$B:$F</definedName>
    <definedName name="Z_83B3BC4F_78EE_4A15_89B0_51F9D7CE21C1_.wvu.Cols" localSheetId="0" hidden="1">'產銷總表 '!$B:$B,'產銷總表 '!$D:$F</definedName>
    <definedName name="Z_83B3BC4F_78EE_4A15_89B0_51F9D7CE21C1_.wvu.Cols" localSheetId="1" hidden="1">精餾產銷!$B:$B,精餾產銷!$D:$F</definedName>
    <definedName name="Z_83B3BC4F_78EE_4A15_89B0_51F9D7CE21C1_.wvu.Cols" localSheetId="3" hidden="1">調配產銷!#REF!,調配產銷!#REF!</definedName>
    <definedName name="Z_83B3BC4F_78EE_4A15_89B0_51F9D7CE21C1_.wvu.FilterData" localSheetId="2" hidden="1">初餾產銷!$A$4:$AJ$53</definedName>
    <definedName name="Z_83B3BC4F_78EE_4A15_89B0_51F9D7CE21C1_.wvu.FilterData" localSheetId="0" hidden="1">'產銷總表 '!$A$5:$F$118</definedName>
    <definedName name="Z_83B3BC4F_78EE_4A15_89B0_51F9D7CE21C1_.wvu.FilterData" localSheetId="1" hidden="1">精餾產銷!$AK$4:$AL$107</definedName>
    <definedName name="Z_83B3BC4F_78EE_4A15_89B0_51F9D7CE21C1_.wvu.FilterData" localSheetId="3" hidden="1">調配產銷!#REF!</definedName>
    <definedName name="Z_83B3BC4F_78EE_4A15_89B0_51F9D7CE21C1_.wvu.PrintArea" localSheetId="2" hidden="1">初餾產銷!$A$1:$AE$55</definedName>
    <definedName name="Z_83B3BC4F_78EE_4A15_89B0_51F9D7CE21C1_.wvu.PrintArea" localSheetId="0" hidden="1">'產銷總表 '!$A$2:$F$241</definedName>
    <definedName name="Z_83B3BC4F_78EE_4A15_89B0_51F9D7CE21C1_.wvu.PrintArea" localSheetId="1" hidden="1">精餾產銷!$A$1:$AE$107</definedName>
    <definedName name="Z_83B3BC4F_78EE_4A15_89B0_51F9D7CE21C1_.wvu.PrintArea" localSheetId="3" hidden="1">調配產銷!#REF!</definedName>
    <definedName name="Z_83B3BC4F_78EE_4A15_89B0_51F9D7CE21C1_.wvu.PrintTitles" localSheetId="2" hidden="1">初餾產銷!$1:$2</definedName>
    <definedName name="Z_83B3BC4F_78EE_4A15_89B0_51F9D7CE21C1_.wvu.PrintTitles" localSheetId="1" hidden="1">精餾產銷!$1:$2</definedName>
    <definedName name="Z_83B3BC4F_78EE_4A15_89B0_51F9D7CE21C1_.wvu.PrintTitles" localSheetId="3" hidden="1">調配產銷!#REF!</definedName>
    <definedName name="Z_83B3BC4F_78EE_4A15_89B0_51F9D7CE21C1_.wvu.Rows" localSheetId="0" hidden="1">'產銷總表 '!#REF!</definedName>
    <definedName name="Z_84065159_7770_47DC_BE3D_1A1791BED86E_.wvu.FilterData" localSheetId="2" hidden="1">初餾產銷!$A$4:$AJ$53</definedName>
    <definedName name="Z_84065159_7770_47DC_BE3D_1A1791BED86E_.wvu.FilterData" localSheetId="0" hidden="1">'產銷總表 '!$A$5:$F$118</definedName>
    <definedName name="Z_84065159_7770_47DC_BE3D_1A1791BED86E_.wvu.FilterData" localSheetId="1" hidden="1">精餾產銷!$AK$4:$AL$102</definedName>
    <definedName name="Z_84065159_7770_47DC_BE3D_1A1791BED86E_.wvu.FilterData" localSheetId="3" hidden="1">調配產銷!#REF!</definedName>
    <definedName name="Z_844F508B_8260_4EE3_BA91_57E9008D0692_.wvu.FilterData" localSheetId="3" hidden="1">調配產銷!$AF$4:$AF$81</definedName>
    <definedName name="Z_84E1E113_582D_4C7E_A581_E69D19F7E98D_.wvu.FilterData" localSheetId="2" hidden="1">初餾產銷!$A$4:$AJ$53</definedName>
    <definedName name="Z_84FA1913_E647_444F_B6D9_9055E73F7296_.wvu.FilterData" localSheetId="1" hidden="1">精餾產銷!$AK$4:$AL$102</definedName>
    <definedName name="Z_84FC19D5_D374_4975_A397_068138D624CD_.wvu.FilterData" localSheetId="2" hidden="1">初餾產銷!$AJ$4:$AJ$78</definedName>
    <definedName name="Z_850A4CC0_BF2D_4374_8AB4_94E84FDD92F5_.wvu.FilterData" localSheetId="1" hidden="1">精餾產銷!$A$4:$AJ$105</definedName>
    <definedName name="Z_852EB227_91E9_4A11_A2DC_A5E2570684EB_.wvu.FilterData" localSheetId="2" hidden="1">初餾產銷!$AF$4:$AF$53</definedName>
    <definedName name="Z_852EB227_91E9_4A11_A2DC_A5E2570684EB_.wvu.FilterData" localSheetId="1" hidden="1">精餾產銷!$AF$4:$AF$105</definedName>
    <definedName name="Z_854E2E97_05C4_420F_861D_26982494ABBF_.wvu.FilterData" localSheetId="2" hidden="1">初餾產銷!$A$4:$AJ$53</definedName>
    <definedName name="Z_85500C1C_541A_480A_A0F0_172B313CDEEB_.wvu.FilterData" localSheetId="1" hidden="1">精餾產銷!$AF$4:$AF$105</definedName>
    <definedName name="Z_85500C1C_541A_480A_A0F0_172B313CDEEB_.wvu.FilterData" localSheetId="3" hidden="1">調配產銷!#REF!</definedName>
    <definedName name="Z_859F0CB0_A2A3_4297_BAE9_28DA219B2DD0_.wvu.FilterData" localSheetId="2" hidden="1">初餾產銷!$AF$4:$AF$53</definedName>
    <definedName name="Z_85A33A51_EA09_4283_ACE1_920E6E03A073_.wvu.FilterData" localSheetId="1" hidden="1">精餾產銷!$AF$4:$AF$105</definedName>
    <definedName name="Z_85CE3ACC_D5A9_4DAE_B4DC_3870BF67DC63_.wvu.FilterData" localSheetId="1" hidden="1">精餾產銷!$AK$4:$AL$107</definedName>
    <definedName name="Z_85DC257C_91BF_4AB2_8C08_FCF4C49446B0_.wvu.FilterData" localSheetId="3" hidden="1">調配產銷!#REF!</definedName>
    <definedName name="Z_85FFF607_E5E5_4D02_B59C_7EA3EB5EDBCF_.wvu.FilterData" localSheetId="2" hidden="1">初餾產銷!$AJ$4:$AJ$78</definedName>
    <definedName name="Z_86C0018D_6D7B_4687_9DA0_6A116962C27E_.wvu.FilterData" localSheetId="3" hidden="1">調配產銷!$AF$4:$AF$81</definedName>
    <definedName name="Z_86ED8076_F038_44A8_A28E_26F003E787EB_.wvu.FilterData" localSheetId="1" hidden="1">精餾產銷!$AF$4:$AF$105</definedName>
    <definedName name="Z_874A221D_FF34_4C45_94D5_3E3FB850B3DB_.wvu.FilterData" localSheetId="2" hidden="1">初餾產銷!$AJ$4:$AJ$78</definedName>
    <definedName name="Z_8779C2DA_2815_4A65_9BCA_54E67D657ADC_.wvu.FilterData" localSheetId="1" hidden="1">精餾產銷!$AK$4:$AL$107</definedName>
    <definedName name="Z_8805E709_BEEB_427D_A918_12067679C27A_.wvu.FilterData" localSheetId="1" hidden="1">精餾產銷!$AK$4:$AL$107</definedName>
    <definedName name="Z_88276231_2302_4FDA_96F9_DE4ADF283F53_.wvu.FilterData" localSheetId="2" hidden="1">初餾產銷!$AJ$4:$AJ$78</definedName>
    <definedName name="Z_88276231_2302_4FDA_96F9_DE4ADF283F53_.wvu.FilterData" localSheetId="1" hidden="1">精餾產銷!$AK$4:$AL$107</definedName>
    <definedName name="Z_88276231_2302_4FDA_96F9_DE4ADF283F53_.wvu.FilterData" localSheetId="3" hidden="1">調配產銷!$AF$4:$AF$81</definedName>
    <definedName name="Z_886678CE_22C4_47D1_9776_D022A63484AA_.wvu.FilterData" localSheetId="2" hidden="1">初餾產銷!$A$4:$AJ$51</definedName>
    <definedName name="Z_886678CE_22C4_47D1_9776_D022A63484AA_.wvu.FilterData" localSheetId="1" hidden="1">精餾產銷!$A$4:$AJ$105</definedName>
    <definedName name="Z_89494C60_209C_4F58_A904_DF95C7B4F546_.wvu.FilterData" localSheetId="3" hidden="1">調配產銷!$AF$4:$AF$81</definedName>
    <definedName name="Z_89AE37B3_89B6_43A4_AD4C_11891D10A898_.wvu.FilterData" localSheetId="3" hidden="1">調配產銷!$AF$4:$AF$81</definedName>
    <definedName name="Z_89E13135_CE76_4F56_A872_2B39AF3AF787_.wvu.FilterData" localSheetId="1" hidden="1">精餾產銷!$AF$4:$AF$105</definedName>
    <definedName name="Z_8A019304_5A22_46AB_ABD2_0E3E4AC92F56_.wvu.FilterData" localSheetId="1" hidden="1">精餾產銷!$AK$4:$AL$107</definedName>
    <definedName name="Z_8A2C7116_57AB_4455_B934_DF0B50B96DD8_.wvu.FilterData" localSheetId="2" hidden="1">初餾產銷!$AJ$4:$AJ$78</definedName>
    <definedName name="Z_8A2C7116_57AB_4455_B934_DF0B50B96DD8_.wvu.FilterData" localSheetId="1" hidden="1">精餾產銷!$AK$4:$AL$107</definedName>
    <definedName name="Z_8AAAA9B1_0354_4954_BD80_8262C065899E_.wvu.FilterData" localSheetId="3" hidden="1">調配產銷!$AF$4:$AF$81</definedName>
    <definedName name="Z_8B338290_F37F_44FB_B980_E8B209698CBC_.wvu.FilterData" localSheetId="1" hidden="1">精餾產銷!$AK$4:$AL$107</definedName>
    <definedName name="Z_8B7A0CA2_9BA6_4CC3_AA36_677EA0765FE7_.wvu.Cols" localSheetId="0" hidden="1">'產銷總表 '!$B:$B,'產銷總表 '!$D:$F</definedName>
    <definedName name="Z_8B7A0CA2_9BA6_4CC3_AA36_677EA0765FE7_.wvu.FilterData" localSheetId="2" hidden="1">初餾產銷!$AJ$4:$AJ$78</definedName>
    <definedName name="Z_8B7A0CA2_9BA6_4CC3_AA36_677EA0765FE7_.wvu.FilterData" localSheetId="0" hidden="1">'產銷總表 '!$AF$5:$AG$241</definedName>
    <definedName name="Z_8B7A0CA2_9BA6_4CC3_AA36_677EA0765FE7_.wvu.FilterData" localSheetId="1" hidden="1">精餾產銷!$AK$4:$AL$107</definedName>
    <definedName name="Z_8B7A0CA2_9BA6_4CC3_AA36_677EA0765FE7_.wvu.FilterData" localSheetId="3" hidden="1">調配產銷!$AF$4:$AF$81</definedName>
    <definedName name="Z_8B7A0CA2_9BA6_4CC3_AA36_677EA0765FE7_.wvu.PrintArea" localSheetId="2" hidden="1">初餾產銷!$A$1:$AI$80</definedName>
    <definedName name="Z_8B7A0CA2_9BA6_4CC3_AA36_677EA0765FE7_.wvu.PrintArea" localSheetId="4" hidden="1">秏料!$A$1:$L$134</definedName>
    <definedName name="Z_8B7A0CA2_9BA6_4CC3_AA36_677EA0765FE7_.wvu.PrintArea" localSheetId="0" hidden="1">'產銷總表 '!$A$2:$AE$241</definedName>
    <definedName name="Z_8B7A0CA2_9BA6_4CC3_AA36_677EA0765FE7_.wvu.PrintArea" localSheetId="1" hidden="1">精餾產銷!$A$1:$AE$107</definedName>
    <definedName name="Z_8B7A0CA2_9BA6_4CC3_AA36_677EA0765FE7_.wvu.PrintArea" localSheetId="3" hidden="1">調配產銷!$A$1:$AE$83</definedName>
    <definedName name="Z_8B7A0CA2_9BA6_4CC3_AA36_677EA0765FE7_.wvu.PrintTitles" localSheetId="2" hidden="1">初餾產銷!$1:$2</definedName>
    <definedName name="Z_8B7A0CA2_9BA6_4CC3_AA36_677EA0765FE7_.wvu.PrintTitles" localSheetId="1" hidden="1">精餾產銷!$1:$2</definedName>
    <definedName name="Z_8C0E9A6B_0E4F_4E7D_8ABF_435CF8BFC72C_.wvu.FilterData" localSheetId="2" hidden="1">初餾產銷!$AJ$4:$AJ$78</definedName>
    <definedName name="Z_8C0E9A6B_0E4F_4E7D_8ABF_435CF8BFC72C_.wvu.FilterData" localSheetId="3" hidden="1">調配產銷!$AF$4:$AF$81</definedName>
    <definedName name="Z_8C350AD6_B925_40FE_9268_FDE977C0F51C_.wvu.FilterData" localSheetId="1" hidden="1">精餾產銷!$AK$4:$AL$107</definedName>
    <definedName name="Z_8C536D5A_529F_41E2_97A6_3A9490ADBFFB_.wvu.FilterData" localSheetId="2" hidden="1">初餾產銷!$A$4:$AJ$53</definedName>
    <definedName name="Z_8C536D5A_529F_41E2_97A6_3A9490ADBFFB_.wvu.FilterData" localSheetId="1" hidden="1">精餾產銷!$AK$4:$AL$102</definedName>
    <definedName name="Z_8C5BD9DC_A8B6_4B02_B085_369FEF06C168_.wvu.FilterData" localSheetId="1" hidden="1">精餾產銷!$AF$4:$AH$105</definedName>
    <definedName name="Z_8C64D689_520C_4153_9BA5_31A2D091DBCF_.wvu.FilterData" localSheetId="2" hidden="1">初餾產銷!$AF$4:$AF$53</definedName>
    <definedName name="Z_8C64D689_520C_4153_9BA5_31A2D091DBCF_.wvu.FilterData" localSheetId="1" hidden="1">精餾產銷!$AF$4:$AF$105</definedName>
    <definedName name="Z_8C64D689_520C_4153_9BA5_31A2D091DBCF_.wvu.FilterData" localSheetId="3" hidden="1">調配產銷!#REF!</definedName>
    <definedName name="Z_8C9E99AE_D8A6_4C1B_9473_48392301A33E_.wvu.FilterData" localSheetId="3" hidden="1">調配產銷!#REF!</definedName>
    <definedName name="Z_8CE44352_B173_4AB0_9EE0_FC36F03A1D31_.wvu.FilterData" localSheetId="1" hidden="1">精餾產銷!$AK$4:$AL$107</definedName>
    <definedName name="Z_8CE44352_B173_4AB0_9EE0_FC36F03A1D31_.wvu.FilterData" localSheetId="3" hidden="1">調配產銷!$AF$4:$AF$81</definedName>
    <definedName name="Z_8CE9F235_A447_476E_AD7B_705EC8887722_.wvu.FilterData" localSheetId="1" hidden="1">精餾產銷!$AF$4:$AF$105</definedName>
    <definedName name="Z_8CEDC0D8_0CE0_401E_B6B5_24C288F5945F_.wvu.FilterData" localSheetId="2" hidden="1">初餾產銷!$AJ$4:$AJ$78</definedName>
    <definedName name="Z_8CEDC0D8_0CE0_401E_B6B5_24C288F5945F_.wvu.FilterData" localSheetId="1" hidden="1">精餾產銷!$AK$4:$AL$107</definedName>
    <definedName name="Z_8CFB9A6B_D2F8_4BD0_AA29_F708C9DAF674_.wvu.FilterData" localSheetId="1" hidden="1">精餾產銷!$AK$4:$AL$107</definedName>
    <definedName name="Z_8CFB9A6B_D2F8_4BD0_AA29_F708C9DAF674_.wvu.FilterData" localSheetId="3" hidden="1">調配產銷!#REF!</definedName>
    <definedName name="Z_8D139820_3D02_4D59_98BE_B2B5EC1BEE67_.wvu.FilterData" localSheetId="1" hidden="1">精餾產銷!$A$4:$AP$105</definedName>
    <definedName name="Z_8D5500B8_E7AD_475A_9125_43EE95FDF460_.wvu.FilterData" localSheetId="3" hidden="1">調配產銷!$AF$4:$AF$81</definedName>
    <definedName name="Z_8D64DBA4_029B_43D1_BB7B_1955A663944A_.wvu.FilterData" localSheetId="2" hidden="1">初餾產銷!$AJ$4:$AJ$78</definedName>
    <definedName name="Z_8D64DBA4_029B_43D1_BB7B_1955A663944A_.wvu.FilterData" localSheetId="1" hidden="1">精餾產銷!$AK$4:$AL$107</definedName>
    <definedName name="Z_8D64DBA4_029B_43D1_BB7B_1955A663944A_.wvu.FilterData" localSheetId="3" hidden="1">調配產銷!$AF$4:$AF$81</definedName>
    <definedName name="Z_8D719ED3_34DA_4FDC_841C_7C249CC85C3F_.wvu.FilterData" localSheetId="3" hidden="1">調配產銷!$AF$4:$AF$81</definedName>
    <definedName name="Z_8DC863AD_DDD2_40E0_9202_FF25DA9A15AC_.wvu.FilterData" localSheetId="2" hidden="1">初餾產銷!$AJ$4:$AJ$78</definedName>
    <definedName name="Z_8DC863AD_DDD2_40E0_9202_FF25DA9A15AC_.wvu.FilterData" localSheetId="0" hidden="1">'產銷總表 '!$AF$5:$AG$241</definedName>
    <definedName name="Z_8DC863AD_DDD2_40E0_9202_FF25DA9A15AC_.wvu.FilterData" localSheetId="1" hidden="1">精餾產銷!$AK$4:$AL$107</definedName>
    <definedName name="Z_8DC863AD_DDD2_40E0_9202_FF25DA9A15AC_.wvu.FilterData" localSheetId="3" hidden="1">調配產銷!$AF$4:$AF$81</definedName>
    <definedName name="Z_8DC863AD_DDD2_40E0_9202_FF25DA9A15AC_.wvu.PrintArea" localSheetId="2" hidden="1">初餾產銷!$A$1:$AI$78</definedName>
    <definedName name="Z_8DC863AD_DDD2_40E0_9202_FF25DA9A15AC_.wvu.PrintArea" localSheetId="4" hidden="1">秏料!$A$1:$L$134</definedName>
    <definedName name="Z_8DC863AD_DDD2_40E0_9202_FF25DA9A15AC_.wvu.PrintArea" localSheetId="1" hidden="1">精餾產銷!$A$1:$AE$107</definedName>
    <definedName name="Z_8DC863AD_DDD2_40E0_9202_FF25DA9A15AC_.wvu.PrintArea" localSheetId="3" hidden="1">調配產銷!$A$1:$AE$83</definedName>
    <definedName name="Z_8DC863AD_DDD2_40E0_9202_FF25DA9A15AC_.wvu.PrintTitles" localSheetId="2" hidden="1">初餾產銷!$1:$2</definedName>
    <definedName name="Z_8DC863AD_DDD2_40E0_9202_FF25DA9A15AC_.wvu.PrintTitles" localSheetId="1" hidden="1">精餾產銷!$1:$2</definedName>
    <definedName name="Z_8DCD6555_08EC_4980_9D16_C860C228E59D_.wvu.FilterData" localSheetId="1" hidden="1">精餾產銷!$AK$4:$AL$107</definedName>
    <definedName name="Z_8DCD6555_08EC_4980_9D16_C860C228E59D_.wvu.FilterData" localSheetId="3" hidden="1">調配產銷!$AF$4:$AF$81</definedName>
    <definedName name="Z_8DF6B906_FA92_4FCB_B673_A608EE7C9DC8_.wvu.FilterData" localSheetId="2" hidden="1">初餾產銷!$AJ$4:$AJ$78</definedName>
    <definedName name="Z_8DF6B906_FA92_4FCB_B673_A608EE7C9DC8_.wvu.FilterData" localSheetId="1" hidden="1">精餾產銷!$AK$4:$AL$107</definedName>
    <definedName name="Z_8DF6B906_FA92_4FCB_B673_A608EE7C9DC8_.wvu.FilterData" localSheetId="3" hidden="1">調配產銷!$AF$4:$AF$81</definedName>
    <definedName name="Z_8E3CC92E_36DD_4BC9_9E17_CFFE63A61EAC_.wvu.FilterData" localSheetId="2" hidden="1">初餾產銷!$A$4:$AJ$53</definedName>
    <definedName name="Z_8E3CC92E_36DD_4BC9_9E17_CFFE63A61EAC_.wvu.FilterData" localSheetId="1" hidden="1">精餾產銷!$AK$4:$AL$102</definedName>
    <definedName name="Z_8E501CB8_A2EF_4F55_AE7F_6F9B4220F050_.wvu.FilterData" localSheetId="1" hidden="1">精餾產銷!$AK$4:$AL$107</definedName>
    <definedName name="Z_8E5842BB_0764_4F45_8E5B_9381BC6F391F_.wvu.FilterData" localSheetId="2" hidden="1">初餾產銷!$AJ$4:$AJ$78</definedName>
    <definedName name="Z_8E6F4684_C4BE_4D0D_9620_4F670E0F933A_.wvu.FilterData" localSheetId="2" hidden="1">初餾產銷!$AF$4:$AF$53</definedName>
    <definedName name="Z_8E6F4684_C4BE_4D0D_9620_4F670E0F933A_.wvu.FilterData" localSheetId="1" hidden="1">精餾產銷!$AF$4:$AF$105</definedName>
    <definedName name="Z_8E6F4684_C4BE_4D0D_9620_4F670E0F933A_.wvu.FilterData" localSheetId="3" hidden="1">調配產銷!#REF!</definedName>
    <definedName name="Z_8F1694AB_7DD9_495A_A88A_CA747F814AEB_.wvu.FilterData" localSheetId="1" hidden="1">精餾產銷!$AK$4:$AL$107</definedName>
    <definedName name="Z_8F454552_CF18_41B6_A689_73165E276BFB_.wvu.FilterData" localSheetId="2" hidden="1">初餾產銷!$A$4:$AJ$53</definedName>
    <definedName name="Z_8FC652BA_EFEB_42D1_A06B_9384DB86AD6F_.wvu.FilterData" localSheetId="1" hidden="1">精餾產銷!$AK$4:$AL$107</definedName>
    <definedName name="Z_8FD9726D_5B41_4C43_8FCB_EB4C2E6B9AD0_.wvu.Cols" localSheetId="2" hidden="1">初餾產銷!$B:$B,初餾產銷!$D:$F</definedName>
    <definedName name="Z_8FD9726D_5B41_4C43_8FCB_EB4C2E6B9AD0_.wvu.Cols" localSheetId="0" hidden="1">'產銷總表 '!$B:$B,'產銷總表 '!$D:$F</definedName>
    <definedName name="Z_8FD9726D_5B41_4C43_8FCB_EB4C2E6B9AD0_.wvu.Cols" localSheetId="3" hidden="1">調配產銷!$B:$B</definedName>
    <definedName name="Z_8FD9726D_5B41_4C43_8FCB_EB4C2E6B9AD0_.wvu.FilterData" localSheetId="2" hidden="1">初餾產銷!$AJ$4:$AJ$78</definedName>
    <definedName name="Z_8FD9726D_5B41_4C43_8FCB_EB4C2E6B9AD0_.wvu.FilterData" localSheetId="4" hidden="1">秏料!$A$2:$L$134</definedName>
    <definedName name="Z_8FD9726D_5B41_4C43_8FCB_EB4C2E6B9AD0_.wvu.FilterData" localSheetId="0" hidden="1">'產銷總表 '!$AF$5:$AG$241</definedName>
    <definedName name="Z_8FD9726D_5B41_4C43_8FCB_EB4C2E6B9AD0_.wvu.FilterData" localSheetId="1" hidden="1">精餾產銷!$AK$4:$AL$107</definedName>
    <definedName name="Z_8FD9726D_5B41_4C43_8FCB_EB4C2E6B9AD0_.wvu.FilterData" localSheetId="3" hidden="1">調配產銷!$AF$4:$AF$81</definedName>
    <definedName name="Z_8FD9726D_5B41_4C43_8FCB_EB4C2E6B9AD0_.wvu.PrintArea" localSheetId="2" hidden="1">初餾產銷!$A$1:$AI$78</definedName>
    <definedName name="Z_8FD9726D_5B41_4C43_8FCB_EB4C2E6B9AD0_.wvu.PrintArea" localSheetId="4" hidden="1">秏料!$A$1:$L$134</definedName>
    <definedName name="Z_8FD9726D_5B41_4C43_8FCB_EB4C2E6B9AD0_.wvu.PrintArea" localSheetId="0" hidden="1">'產銷總表 '!$A$2:$AE$241</definedName>
    <definedName name="Z_8FD9726D_5B41_4C43_8FCB_EB4C2E6B9AD0_.wvu.PrintArea" localSheetId="1" hidden="1">精餾產銷!$A$1:$AE$107</definedName>
    <definedName name="Z_8FD9726D_5B41_4C43_8FCB_EB4C2E6B9AD0_.wvu.PrintArea" localSheetId="3" hidden="1">調配產銷!$A$1:$AE$83</definedName>
    <definedName name="Z_8FD9726D_5B41_4C43_8FCB_EB4C2E6B9AD0_.wvu.PrintTitles" localSheetId="2" hidden="1">初餾產銷!$1:$2</definedName>
    <definedName name="Z_8FD9726D_5B41_4C43_8FCB_EB4C2E6B9AD0_.wvu.PrintTitles" localSheetId="1" hidden="1">精餾產銷!$1:$2</definedName>
    <definedName name="Z_90046B22_C799_4A3B_BA8D_30464F622C92_.wvu.FilterData" localSheetId="1" hidden="1">精餾產銷!$AK$4:$AL$107</definedName>
    <definedName name="Z_90154491_9B97_4E98_9261_3AB88EF953D9_.wvu.FilterData" localSheetId="1" hidden="1">精餾產銷!$A$4:$AJ$105</definedName>
    <definedName name="Z_90154491_9B97_4E98_9261_3AB88EF953D9_.wvu.FilterData" localSheetId="3" hidden="1">調配產銷!#REF!</definedName>
    <definedName name="Z_90C3A899_A955_4830_9D60_264AB1B90A68_.wvu.FilterData" localSheetId="3" hidden="1">調配產銷!$AF$4:$AF$81</definedName>
    <definedName name="Z_90E9EDAF_A813_4A12_AE66_695553471809_.wvu.FilterData" localSheetId="1" hidden="1">精餾產銷!$AK$4:$AL$107</definedName>
    <definedName name="Z_90E9EDAF_A813_4A12_AE66_695553471809_.wvu.FilterData" localSheetId="3" hidden="1">調配產銷!$AF$4:$AF$81</definedName>
    <definedName name="Z_9106D93E_3996_4099_B2A2_4D9F5412DDA7_.wvu.FilterData" localSheetId="2" hidden="1">初餾產銷!$AJ$4:$AJ$78</definedName>
    <definedName name="Z_9106D93E_3996_4099_B2A2_4D9F5412DDA7_.wvu.FilterData" localSheetId="1" hidden="1">精餾產銷!$AK$4:$AL$107</definedName>
    <definedName name="Z_9106D93E_3996_4099_B2A2_4D9F5412DDA7_.wvu.FilterData" localSheetId="3" hidden="1">調配產銷!$AF$4:$AF$81</definedName>
    <definedName name="Z_910B6230_7D7C_4E55_A21A_8C79BB81DBC1_.wvu.FilterData" localSheetId="3" hidden="1">調配產銷!#REF!</definedName>
    <definedName name="Z_91140A5C_9FEE_45CE_8770_DD9526204C76_.wvu.FilterData" localSheetId="2" hidden="1">初餾產銷!$AJ$4:$AJ$78</definedName>
    <definedName name="Z_91315567_0067_481A_AE12_19E8E98C467E_.wvu.FilterData" localSheetId="2" hidden="1">初餾產銷!$AJ$4:$AJ$78</definedName>
    <definedName name="Z_91315567_0067_481A_AE12_19E8E98C467E_.wvu.FilterData" localSheetId="1" hidden="1">精餾產銷!$AK$4:$AL$107</definedName>
    <definedName name="Z_91315567_0067_481A_AE12_19E8E98C467E_.wvu.FilterData" localSheetId="3" hidden="1">調配產銷!$AF$4:$AF$81</definedName>
    <definedName name="Z_916EE8B9_B8B3_40DA_AA1B_917023BC997B_.wvu.FilterData" localSheetId="1" hidden="1">精餾產銷!$AK$4:$AL$107</definedName>
    <definedName name="Z_916EE8B9_B8B3_40DA_AA1B_917023BC997B_.wvu.FilterData" localSheetId="3" hidden="1">調配產銷!$AF$4:$AF$81</definedName>
    <definedName name="Z_917316EB_446F_4A0B_A989_777A052515FF_.wvu.FilterData" localSheetId="1" hidden="1">精餾產銷!$AK$4:$AL$107</definedName>
    <definedName name="Z_9189FF41_907B_4DB4_B0EF_C9C35E41617A_.wvu.Cols" localSheetId="2" hidden="1">初餾產銷!$B:$B</definedName>
    <definedName name="Z_9189FF41_907B_4DB4_B0EF_C9C35E41617A_.wvu.Cols" localSheetId="0" hidden="1">'產銷總表 '!$B:$B</definedName>
    <definedName name="Z_9189FF41_907B_4DB4_B0EF_C9C35E41617A_.wvu.Cols" localSheetId="1" hidden="1">精餾產銷!$B:$B</definedName>
    <definedName name="Z_9189FF41_907B_4DB4_B0EF_C9C35E41617A_.wvu.Cols" localSheetId="3" hidden="1">調配產銷!#REF!</definedName>
    <definedName name="Z_9189FF41_907B_4DB4_B0EF_C9C35E41617A_.wvu.FilterData" localSheetId="2" hidden="1">初餾產銷!$A$4:$AJ$51</definedName>
    <definedName name="Z_9189FF41_907B_4DB4_B0EF_C9C35E41617A_.wvu.FilterData" localSheetId="0" hidden="1">'產銷總表 '!$A$5:$F$118</definedName>
    <definedName name="Z_9189FF41_907B_4DB4_B0EF_C9C35E41617A_.wvu.FilterData" localSheetId="1" hidden="1">精餾產銷!$A$4:$AJ$105</definedName>
    <definedName name="Z_9189FF41_907B_4DB4_B0EF_C9C35E41617A_.wvu.FilterData" localSheetId="3" hidden="1">調配產銷!#REF!</definedName>
    <definedName name="Z_9189FF41_907B_4DB4_B0EF_C9C35E41617A_.wvu.PrintArea" localSheetId="2" hidden="1">初餾產銷!$A$1:$AE$55</definedName>
    <definedName name="Z_9189FF41_907B_4DB4_B0EF_C9C35E41617A_.wvu.PrintArea" localSheetId="0" hidden="1">'產銷總表 '!$A$2:$F$118</definedName>
    <definedName name="Z_9189FF41_907B_4DB4_B0EF_C9C35E41617A_.wvu.PrintArea" localSheetId="1" hidden="1">精餾產銷!$A$1:$AE$107</definedName>
    <definedName name="Z_9189FF41_907B_4DB4_B0EF_C9C35E41617A_.wvu.PrintArea" localSheetId="3" hidden="1">調配產銷!#REF!</definedName>
    <definedName name="Z_9189FF41_907B_4DB4_B0EF_C9C35E41617A_.wvu.PrintTitles" localSheetId="2" hidden="1">初餾產銷!$1:$2</definedName>
    <definedName name="Z_9189FF41_907B_4DB4_B0EF_C9C35E41617A_.wvu.PrintTitles" localSheetId="1" hidden="1">精餾產銷!$1:$2</definedName>
    <definedName name="Z_9189FF41_907B_4DB4_B0EF_C9C35E41617A_.wvu.PrintTitles" localSheetId="3" hidden="1">調配產銷!#REF!</definedName>
    <definedName name="Z_9189FF41_907B_4DB4_B0EF_C9C35E41617A_.wvu.Rows" localSheetId="2" hidden="1">初餾產銷!$52:$53</definedName>
    <definedName name="Z_9189FF41_907B_4DB4_B0EF_C9C35E41617A_.wvu.Rows" localSheetId="0" hidden="1">'產銷總表 '!#REF!</definedName>
    <definedName name="Z_9189FF41_907B_4DB4_B0EF_C9C35E41617A_.wvu.Rows" localSheetId="3" hidden="1">調配產銷!#REF!</definedName>
    <definedName name="Z_91A6C53D_2FCA_45C9_81A0_682D62485719_.wvu.FilterData" localSheetId="2" hidden="1">初餾產銷!$AJ$4:$AJ$78</definedName>
    <definedName name="Z_91A6C53D_2FCA_45C9_81A0_682D62485719_.wvu.FilterData" localSheetId="1" hidden="1">精餾產銷!$AK$4:$AL$107</definedName>
    <definedName name="Z_91A6C53D_2FCA_45C9_81A0_682D62485719_.wvu.FilterData" localSheetId="3" hidden="1">調配產銷!$AF$4:$AF$81</definedName>
    <definedName name="Z_91CEDF92_340A_4E95_9A3C_424AE3671C3C_.wvu.FilterData" localSheetId="1" hidden="1">精餾產銷!$AK$4:$AL$107</definedName>
    <definedName name="Z_9234AE92_CEDE_44FC_B5A0_CC799F3F2342_.wvu.FilterData" localSheetId="1" hidden="1">精餾產銷!$AK$4:$AL$102</definedName>
    <definedName name="Z_923D6A71_9092_464A_8F16_70658DC65BF4_.wvu.FilterData" localSheetId="1" hidden="1">精餾產銷!$AK$4:$AL$107</definedName>
    <definedName name="Z_928C4A1A_5A70_4D5A_9E7F_C681E35277C3_.wvu.FilterData" localSheetId="1" hidden="1">精餾產銷!$AK$4:$AL$107</definedName>
    <definedName name="Z_928C4A1A_5A70_4D5A_9E7F_C681E35277C3_.wvu.FilterData" localSheetId="3" hidden="1">調配產銷!#REF!</definedName>
    <definedName name="Z_92DD8915_AD01_4F11_8C57_8B07251C7D39_.wvu.FilterData" localSheetId="2" hidden="1">初餾產銷!$AJ$4:$AJ$78</definedName>
    <definedName name="Z_9342E10F_8133_4B5B_9434_9F997B49B5F8_.wvu.FilterData" localSheetId="1" hidden="1">精餾產銷!$AK$4:$AL$107</definedName>
    <definedName name="Z_9342E10F_8133_4B5B_9434_9F997B49B5F8_.wvu.FilterData" localSheetId="3" hidden="1">調配產銷!#REF!</definedName>
    <definedName name="Z_9363641F_CDD0_425B_8D5A_57F4FC87D614_.wvu.FilterData" localSheetId="2" hidden="1">初餾產銷!$A$4:$AJ$53</definedName>
    <definedName name="Z_9363641F_CDD0_425B_8D5A_57F4FC87D614_.wvu.FilterData" localSheetId="1" hidden="1">精餾產銷!$AK$4:$AL$107</definedName>
    <definedName name="Z_9363641F_CDD0_425B_8D5A_57F4FC87D614_.wvu.FilterData" localSheetId="3" hidden="1">調配產銷!#REF!</definedName>
    <definedName name="Z_9366CD13_A295_4811_AED6_46694FC17F3B_.wvu.FilterData" localSheetId="1" hidden="1">精餾產銷!$AK$4:$AL$107</definedName>
    <definedName name="Z_93A7D774_F65D_438A_AA3C_7AE4A0FC2CBB_.wvu.FilterData" localSheetId="2" hidden="1">初餾產銷!$AF$4:$AF$53</definedName>
    <definedName name="Z_93A7D774_F65D_438A_AA3C_7AE4A0FC2CBB_.wvu.FilterData" localSheetId="1" hidden="1">精餾產銷!$AF$4:$AF$105</definedName>
    <definedName name="Z_93A7D774_F65D_438A_AA3C_7AE4A0FC2CBB_.wvu.FilterData" localSheetId="3" hidden="1">調配產銷!#REF!</definedName>
    <definedName name="Z_93C5B08B_102A_4071_B9A6_4192C101E41D_.wvu.FilterData" localSheetId="3" hidden="1">調配產銷!$AF$4:$AF$81</definedName>
    <definedName name="Z_93C99402_FBF9_4629_B776_51218BAA8C48_.wvu.FilterData" localSheetId="2" hidden="1">初餾產銷!$A$4:$AJ$53</definedName>
    <definedName name="Z_93DB3F99_588A_479E_978B_E61BA0740BED_.wvu.FilterData" localSheetId="2" hidden="1">初餾產銷!$A$4:$AJ$53</definedName>
    <definedName name="Z_93DB3F99_588A_479E_978B_E61BA0740BED_.wvu.FilterData" localSheetId="1" hidden="1">精餾產銷!$AK$4:$AL$102</definedName>
    <definedName name="Z_942D34A7_CA9B_4350_A169_A7628567D83B_.wvu.FilterData" localSheetId="2" hidden="1">初餾產銷!$AJ$4:$AJ$78</definedName>
    <definedName name="Z_942D34A7_CA9B_4350_A169_A7628567D83B_.wvu.FilterData" localSheetId="1" hidden="1">精餾產銷!$AK$4:$AL$107</definedName>
    <definedName name="Z_942D34A7_CA9B_4350_A169_A7628567D83B_.wvu.FilterData" localSheetId="3" hidden="1">調配產銷!$AF$4:$AF$81</definedName>
    <definedName name="Z_943532A2_3EBD_4910_9923_D8100FDAB02B_.wvu.FilterData" localSheetId="1" hidden="1">精餾產銷!$AK$4:$AL$107</definedName>
    <definedName name="Z_943532A2_3EBD_4910_9923_D8100FDAB02B_.wvu.FilterData" localSheetId="3" hidden="1">調配產銷!$AF$4:$AF$81</definedName>
    <definedName name="Z_943B247B_F5AE_49B5_B55B_A55DE159CC6A_.wvu.FilterData" localSheetId="2" hidden="1">初餾產銷!$AJ$4:$AJ$78</definedName>
    <definedName name="Z_943B247B_F5AE_49B5_B55B_A55DE159CC6A_.wvu.FilterData" localSheetId="1" hidden="1">精餾產銷!$AK$4:$AL$107</definedName>
    <definedName name="Z_9453D6C6_CFDE_47F8_918A_92405271F572_.wvu.FilterData" localSheetId="2" hidden="1">初餾產銷!$AJ$4:$AJ$78</definedName>
    <definedName name="Z_946AD1DC_67D4_49FC_B783_6AC06A8F6359_.wvu.FilterData" localSheetId="3" hidden="1">調配產銷!#REF!</definedName>
    <definedName name="Z_949AFD57_B423_478A_853B_2ECE716A626A_.wvu.FilterData" localSheetId="3" hidden="1">調配產銷!$AF$4:$AF$81</definedName>
    <definedName name="Z_94D480AC_229F_44A4_9CE8_83CBA3AF3269_.wvu.FilterData" localSheetId="1" hidden="1">精餾產銷!$AK$4:$AL$107</definedName>
    <definedName name="Z_94EFDB41_CFAA_4B45_812A_772EF9AEB328_.wvu.FilterData" localSheetId="1" hidden="1">精餾產銷!$AK$4:$AL$107</definedName>
    <definedName name="Z_95361026_CBCD_42AD_9655_C89044B5A8B7_.wvu.FilterData" localSheetId="1" hidden="1">精餾產銷!$AK$4:$AL$107</definedName>
    <definedName name="Z_9576CDA7_B7F6_4A11_9FF5_251E3328F4C8_.wvu.FilterData" localSheetId="1" hidden="1">精餾產銷!$AK$4:$AL$107</definedName>
    <definedName name="Z_9576CDA7_B7F6_4A11_9FF5_251E3328F4C8_.wvu.FilterData" localSheetId="3" hidden="1">調配產銷!$AF$4:$AF$81</definedName>
    <definedName name="Z_95B74AA9_25BA_4960_BCF5_8DDD0CDD7A7A_.wvu.FilterData" localSheetId="1" hidden="1">精餾產銷!$AK$4:$AL$107</definedName>
    <definedName name="Z_95BA1282_001B_43C6_8050_6BEE483A7F6F_.wvu.Cols" localSheetId="2" hidden="1">初餾產銷!$B:$F</definedName>
    <definedName name="Z_95BA1282_001B_43C6_8050_6BEE483A7F6F_.wvu.Cols" localSheetId="1" hidden="1">精餾產銷!$B:$B,精餾產銷!$D:$F</definedName>
    <definedName name="Z_95BA1282_001B_43C6_8050_6BEE483A7F6F_.wvu.Cols" localSheetId="3" hidden="1">調配產銷!#REF!</definedName>
    <definedName name="Z_95BA1282_001B_43C6_8050_6BEE483A7F6F_.wvu.FilterData" localSheetId="2" hidden="1">初餾產銷!$A$4:$AJ$53</definedName>
    <definedName name="Z_95BA1282_001B_43C6_8050_6BEE483A7F6F_.wvu.FilterData" localSheetId="0" hidden="1">'產銷總表 '!$A$5:$F$118</definedName>
    <definedName name="Z_95BA1282_001B_43C6_8050_6BEE483A7F6F_.wvu.FilterData" localSheetId="1" hidden="1">精餾產銷!$AK$4:$AL$107</definedName>
    <definedName name="Z_95BA1282_001B_43C6_8050_6BEE483A7F6F_.wvu.FilterData" localSheetId="3" hidden="1">調配產銷!#REF!</definedName>
    <definedName name="Z_95BA1282_001B_43C6_8050_6BEE483A7F6F_.wvu.PrintArea" localSheetId="2" hidden="1">初餾產銷!$A$1:$AE$55</definedName>
    <definedName name="Z_95BA1282_001B_43C6_8050_6BEE483A7F6F_.wvu.PrintArea" localSheetId="1" hidden="1">精餾產銷!$A$1:$AE$107</definedName>
    <definedName name="Z_95BA1282_001B_43C6_8050_6BEE483A7F6F_.wvu.PrintArea" localSheetId="3" hidden="1">調配產銷!#REF!</definedName>
    <definedName name="Z_95BA1282_001B_43C6_8050_6BEE483A7F6F_.wvu.PrintTitles" localSheetId="2" hidden="1">初餾產銷!$1:$2</definedName>
    <definedName name="Z_95BA1282_001B_43C6_8050_6BEE483A7F6F_.wvu.PrintTitles" localSheetId="1" hidden="1">精餾產銷!$1:$2</definedName>
    <definedName name="Z_95BA1282_001B_43C6_8050_6BEE483A7F6F_.wvu.PrintTitles" localSheetId="3" hidden="1">調配產銷!#REF!</definedName>
    <definedName name="Z_95BA1282_001B_43C6_8050_6BEE483A7F6F_.wvu.Rows" localSheetId="0" hidden="1">'產銷總表 '!#REF!</definedName>
    <definedName name="Z_95CF6FDE_40DD_485B_B972_9CCBF84DC0DC_.wvu.FilterData" localSheetId="2" hidden="1">初餾產銷!$AF$4:$AF$53</definedName>
    <definedName name="Z_95CF6FDE_40DD_485B_B972_9CCBF84DC0DC_.wvu.FilterData" localSheetId="1" hidden="1">精餾產銷!$AF$4:$AF$105</definedName>
    <definedName name="Z_960B294C_D1E6_4C1C_A9FA_2BFC09EF0D1D_.wvu.FilterData" localSheetId="3" hidden="1">調配產銷!$AF$4:$AF$81</definedName>
    <definedName name="Z_96462D19_FBB4_4F46_A012_2A813672AB76_.wvu.FilterData" localSheetId="3" hidden="1">調配產銷!#REF!</definedName>
    <definedName name="Z_966C18E2_B667_42AB_8780_40EED0F175F4_.wvu.FilterData" localSheetId="1" hidden="1">精餾產銷!$AK$4:$AL$107</definedName>
    <definedName name="Z_966C18E2_B667_42AB_8780_40EED0F175F4_.wvu.FilterData" localSheetId="3" hidden="1">調配產銷!$AF$4:$AF$81</definedName>
    <definedName name="Z_968C967A_11FA_40FC_A0E8_1BEC26F30974_.wvu.FilterData" localSheetId="1" hidden="1">精餾產銷!$AK$4:$AL$102</definedName>
    <definedName name="Z_96E5E959_48A9_4D53_97EF_46AEEEA3A890_.wvu.FilterData" localSheetId="2" hidden="1">初餾產銷!$AJ$4:$AJ$78</definedName>
    <definedName name="Z_96E5E959_48A9_4D53_97EF_46AEEEA3A890_.wvu.FilterData" localSheetId="1" hidden="1">精餾產銷!$AK$4:$AL$107</definedName>
    <definedName name="Z_96E5E959_48A9_4D53_97EF_46AEEEA3A890_.wvu.FilterData" localSheetId="3" hidden="1">調配產銷!$AF$4:$AF$81</definedName>
    <definedName name="Z_9703C823_2837_4FB7_A2D4_9D9FF9044794_.wvu.FilterData" localSheetId="2" hidden="1">初餾產銷!$A$4:$AJ$53</definedName>
    <definedName name="Z_9703C823_2837_4FB7_A2D4_9D9FF9044794_.wvu.FilterData" localSheetId="1" hidden="1">精餾產銷!$AK$4:$AL$107</definedName>
    <definedName name="Z_97192DD8_0845_4A33_B416_BBFF0899ABEB_.wvu.FilterData" localSheetId="2" hidden="1">初餾產銷!$A$4:$AJ$53</definedName>
    <definedName name="Z_97192DD8_0845_4A33_B416_BBFF0899ABEB_.wvu.FilterData" localSheetId="1" hidden="1">精餾產銷!$AK$4:$AL$102</definedName>
    <definedName name="Z_97461E26_8F15_44E6_8CEE_B8B867E97324_.wvu.FilterData" localSheetId="2" hidden="1">初餾產銷!$AJ$4:$AJ$78</definedName>
    <definedName name="Z_97461E26_8F15_44E6_8CEE_B8B867E97324_.wvu.FilterData" localSheetId="1" hidden="1">精餾產銷!$AK$4:$AL$107</definedName>
    <definedName name="Z_975A6BD8_B00F_4182_BB5E_942A485E3050_.wvu.FilterData" localSheetId="2" hidden="1">初餾產銷!$AJ$4:$AJ$78</definedName>
    <definedName name="Z_975A6BD8_B00F_4182_BB5E_942A485E3050_.wvu.FilterData" localSheetId="1" hidden="1">精餾產銷!$AK$4:$AL$107</definedName>
    <definedName name="Z_975A6BD8_B00F_4182_BB5E_942A485E3050_.wvu.FilterData" localSheetId="3" hidden="1">調配產銷!$AF$4:$AF$81</definedName>
    <definedName name="Z_97BA89BF_DC36_41F6_B5CD_A23206BD962E_.wvu.FilterData" localSheetId="1" hidden="1">精餾產銷!$AF$4:$AF$105</definedName>
    <definedName name="Z_97BA89BF_DC36_41F6_B5CD_A23206BD962E_.wvu.FilterData" localSheetId="3" hidden="1">調配產銷!#REF!</definedName>
    <definedName name="Z_97EAE92F_3139_4982_B1F4_E4616DCFF21B_.wvu.FilterData" localSheetId="2" hidden="1">初餾產銷!$A$4:$AJ$53</definedName>
    <definedName name="Z_981D5684_E1A5_4F3A_8EE3_746B81387C9C_.wvu.FilterData" localSheetId="2" hidden="1">初餾產銷!$AJ$4:$AJ$78</definedName>
    <definedName name="Z_98721C32_6198_4342_AACB_57C6EC81F649_.wvu.FilterData" localSheetId="2" hidden="1">初餾產銷!$AJ$4:$AJ$78</definedName>
    <definedName name="Z_98721C32_6198_4342_AACB_57C6EC81F649_.wvu.FilterData" localSheetId="1" hidden="1">精餾產銷!$AK$4:$AL$107</definedName>
    <definedName name="Z_98721C32_6198_4342_AACB_57C6EC81F649_.wvu.FilterData" localSheetId="3" hidden="1">調配產銷!$AF$4:$AF$81</definedName>
    <definedName name="Z_98796E62_6CF3_4D6C_9109_BAE7679A9180_.wvu.FilterData" localSheetId="4" hidden="1">秏料!$B$2:$G$134</definedName>
    <definedName name="Z_98796E62_6CF3_4D6C_9109_BAE7679A9180_.wvu.FilterData" localSheetId="1" hidden="1">精餾產銷!$AK$4:$AL$107</definedName>
    <definedName name="Z_98AC4DF0_34E7_41DE_8422_13C1B5BB43F4_.wvu.FilterData" localSheetId="1" hidden="1">精餾產銷!$AK$4:$AL$107</definedName>
    <definedName name="Z_9959D0BB_01AC_49EF_9E7F_E4766F9A1CCD_.wvu.FilterData" localSheetId="2" hidden="1">初餾產銷!$AF$4:$AF$53</definedName>
    <definedName name="Z_9959D0BB_01AC_49EF_9E7F_E4766F9A1CCD_.wvu.FilterData" localSheetId="1" hidden="1">精餾產銷!$AF$4:$AF$105</definedName>
    <definedName name="Z_9959D0BB_01AC_49EF_9E7F_E4766F9A1CCD_.wvu.FilterData" localSheetId="3" hidden="1">調配產銷!#REF!</definedName>
    <definedName name="Z_99A8347D_CDFF_40A7_AA2D_786322022FB2_.wvu.FilterData" localSheetId="1" hidden="1">精餾產銷!$AK$4:$AL$107</definedName>
    <definedName name="Z_99FB95A8_1218_4283_9800_5DBBB640B9CC_.wvu.Cols" localSheetId="2" hidden="1">初餾產銷!$B:$B,初餾產銷!$D:$F</definedName>
    <definedName name="Z_99FB95A8_1218_4283_9800_5DBBB640B9CC_.wvu.Cols" localSheetId="0" hidden="1">'產銷總表 '!$B:$B,'產銷總表 '!$D:$F</definedName>
    <definedName name="Z_99FB95A8_1218_4283_9800_5DBBB640B9CC_.wvu.Cols" localSheetId="1" hidden="1">精餾產銷!$B:$B,精餾產銷!$D:$F</definedName>
    <definedName name="Z_99FB95A8_1218_4283_9800_5DBBB640B9CC_.wvu.Cols" localSheetId="3" hidden="1">調配產銷!$B:$B,調配產銷!$D:$F</definedName>
    <definedName name="Z_99FB95A8_1218_4283_9800_5DBBB640B9CC_.wvu.FilterData" localSheetId="2" hidden="1">初餾產銷!$AJ$4:$AJ$78</definedName>
    <definedName name="Z_99FB95A8_1218_4283_9800_5DBBB640B9CC_.wvu.FilterData" localSheetId="4" hidden="1">秏料!$B$2:$G$134</definedName>
    <definedName name="Z_99FB95A8_1218_4283_9800_5DBBB640B9CC_.wvu.FilterData" localSheetId="0" hidden="1">'產銷總表 '!$AF$5:$AG$241</definedName>
    <definedName name="Z_99FB95A8_1218_4283_9800_5DBBB640B9CC_.wvu.FilterData" localSheetId="1" hidden="1">精餾產銷!$AK$4:$AL$107</definedName>
    <definedName name="Z_99FB95A8_1218_4283_9800_5DBBB640B9CC_.wvu.FilterData" localSheetId="3" hidden="1">調配產銷!$AF$4:$AF$81</definedName>
    <definedName name="Z_99FB95A8_1218_4283_9800_5DBBB640B9CC_.wvu.PrintArea" localSheetId="2" hidden="1">初餾產銷!$A$1:$AI$78</definedName>
    <definedName name="Z_99FB95A8_1218_4283_9800_5DBBB640B9CC_.wvu.PrintArea" localSheetId="4" hidden="1">秏料!$A$1:$L$134</definedName>
    <definedName name="Z_99FB95A8_1218_4283_9800_5DBBB640B9CC_.wvu.PrintArea" localSheetId="0" hidden="1">'產銷總表 '!$A$2:$AE$241</definedName>
    <definedName name="Z_99FB95A8_1218_4283_9800_5DBBB640B9CC_.wvu.PrintArea" localSheetId="1" hidden="1">精餾產銷!$A$1:$AE$113</definedName>
    <definedName name="Z_99FB95A8_1218_4283_9800_5DBBB640B9CC_.wvu.PrintArea" localSheetId="3" hidden="1">調配產銷!$A$1:$AE$83</definedName>
    <definedName name="Z_99FB95A8_1218_4283_9800_5DBBB640B9CC_.wvu.PrintTitles" localSheetId="2" hidden="1">初餾產銷!$1:$2</definedName>
    <definedName name="Z_99FB95A8_1218_4283_9800_5DBBB640B9CC_.wvu.PrintTitles" localSheetId="1" hidden="1">精餾產銷!$1:$2</definedName>
    <definedName name="Z_9A342E23_49A2_494A_B33A_831DFF40B79E_.wvu.FilterData" localSheetId="2" hidden="1">初餾產銷!$AJ$4:$AJ$78</definedName>
    <definedName name="Z_9A342E23_49A2_494A_B33A_831DFF40B79E_.wvu.FilterData" localSheetId="1" hidden="1">精餾產銷!$AK$4:$AL$107</definedName>
    <definedName name="Z_9A342E23_49A2_494A_B33A_831DFF40B79E_.wvu.FilterData" localSheetId="3" hidden="1">調配產銷!$AF$4:$AF$81</definedName>
    <definedName name="Z_9AC6CFAE_5C48_4D47_9353_D5E289C7E42E_.wvu.FilterData" localSheetId="1" hidden="1">精餾產銷!$AK$4:$AL$107</definedName>
    <definedName name="Z_9C172C7E_89A7_4F9B_B8ED_E5BD957CB79B_.wvu.FilterData" localSheetId="3" hidden="1">調配產銷!$AF$4:$AF$81</definedName>
    <definedName name="Z_9C890F8C_2653_4CCB_8D5C_4DDF05240956_.wvu.FilterData" localSheetId="2" hidden="1">初餾產銷!$A$4:$AJ$53</definedName>
    <definedName name="Z_9D5410DB_6523_49D5_BB4F_A176ADD4B2BE_.wvu.FilterData" localSheetId="2" hidden="1">初餾產銷!$A$4:$AJ$53</definedName>
    <definedName name="Z_9D5410DB_6523_49D5_BB4F_A176ADD4B2BE_.wvu.FilterData" localSheetId="1" hidden="1">精餾產銷!$AK$4:$AL$107</definedName>
    <definedName name="Z_9D72C449_C3AE_48E8_9E27_729B19154EB9_.wvu.FilterData" localSheetId="1" hidden="1">精餾產銷!$AK$4:$AL$107</definedName>
    <definedName name="Z_9E31580C_E77A_415E_949F_A07C8F52C172_.wvu.FilterData" localSheetId="2" hidden="1">初餾產銷!$AJ$4:$AJ$78</definedName>
    <definedName name="Z_9E31580C_E77A_415E_949F_A07C8F52C172_.wvu.FilterData" localSheetId="3" hidden="1">調配產銷!$AF$4:$AF$81</definedName>
    <definedName name="Z_9E658AC6_1A94_4C04_AAD8_542DAD6A177C_.wvu.FilterData" localSheetId="2" hidden="1">初餾產銷!$AJ$4:$AJ$78</definedName>
    <definedName name="Z_9E710D7F_3A88_4D24_8673_5A6EF0E9C423_.wvu.Cols" localSheetId="2" hidden="1">初餾產銷!$B:$F</definedName>
    <definedName name="Z_9E710D7F_3A88_4D24_8673_5A6EF0E9C423_.wvu.Cols" localSheetId="1" hidden="1">精餾產銷!$B:$F</definedName>
    <definedName name="Z_9E710D7F_3A88_4D24_8673_5A6EF0E9C423_.wvu.FilterData" localSheetId="2" hidden="1">初餾產銷!$A$4:$AJ$53</definedName>
    <definedName name="Z_9E710D7F_3A88_4D24_8673_5A6EF0E9C423_.wvu.FilterData" localSheetId="0" hidden="1">'產銷總表 '!$A$5:$F$118</definedName>
    <definedName name="Z_9E710D7F_3A88_4D24_8673_5A6EF0E9C423_.wvu.FilterData" localSheetId="1" hidden="1">精餾產銷!$AK$4:$AL$107</definedName>
    <definedName name="Z_9E710D7F_3A88_4D24_8673_5A6EF0E9C423_.wvu.FilterData" localSheetId="3" hidden="1">調配產銷!#REF!</definedName>
    <definedName name="Z_9E710D7F_3A88_4D24_8673_5A6EF0E9C423_.wvu.PrintArea" localSheetId="2" hidden="1">初餾產銷!$A$1:$AE$55</definedName>
    <definedName name="Z_9E710D7F_3A88_4D24_8673_5A6EF0E9C423_.wvu.PrintArea" localSheetId="1" hidden="1">精餾產銷!$A$1:$AE$107</definedName>
    <definedName name="Z_9E710D7F_3A88_4D24_8673_5A6EF0E9C423_.wvu.PrintArea" localSheetId="3" hidden="1">調配產銷!#REF!</definedName>
    <definedName name="Z_9E710D7F_3A88_4D24_8673_5A6EF0E9C423_.wvu.PrintTitles" localSheetId="2" hidden="1">初餾產銷!$1:$2</definedName>
    <definedName name="Z_9E710D7F_3A88_4D24_8673_5A6EF0E9C423_.wvu.PrintTitles" localSheetId="1" hidden="1">精餾產銷!$1:$2</definedName>
    <definedName name="Z_9E710D7F_3A88_4D24_8673_5A6EF0E9C423_.wvu.PrintTitles" localSheetId="3" hidden="1">調配產銷!#REF!</definedName>
    <definedName name="Z_9E710D7F_3A88_4D24_8673_5A6EF0E9C423_.wvu.Rows" localSheetId="0" hidden="1">'產銷總表 '!#REF!</definedName>
    <definedName name="Z_9E7D5A00_E0C0_4790_B1D8_8852B7F68023_.wvu.FilterData" localSheetId="2" hidden="1">初餾產銷!$AJ$4:$AJ$78</definedName>
    <definedName name="Z_9E7D5A00_E0C0_4790_B1D8_8852B7F68023_.wvu.FilterData" localSheetId="1" hidden="1">精餾產銷!$AK$4:$AL$107</definedName>
    <definedName name="Z_9E7D5A00_E0C0_4790_B1D8_8852B7F68023_.wvu.FilterData" localSheetId="3" hidden="1">調配產銷!$AF$4:$AF$81</definedName>
    <definedName name="Z_9ED1C01C_CC04_4326_AC7A_09A8E8FCCA37_.wvu.FilterData" localSheetId="2" hidden="1">初餾產銷!$AJ$4:$AJ$78</definedName>
    <definedName name="Z_9ED1C01C_CC04_4326_AC7A_09A8E8FCCA37_.wvu.FilterData" localSheetId="1" hidden="1">精餾產銷!$AK$4:$AL$107</definedName>
    <definedName name="Z_9ED1C01C_CC04_4326_AC7A_09A8E8FCCA37_.wvu.FilterData" localSheetId="3" hidden="1">調配產銷!$AF$4:$AF$81</definedName>
    <definedName name="Z_9F4D4364_87BA_4436_8844_127022659EA6_.wvu.FilterData" localSheetId="2" hidden="1">初餾產銷!$AF$4:$AF$78</definedName>
    <definedName name="Z_9F4D4364_87BA_4436_8844_127022659EA6_.wvu.FilterData" localSheetId="1" hidden="1">精餾產銷!$AK$4:$AL$107</definedName>
    <definedName name="Z_A05E335F_A95D_48FE_81E4_4ED769A9FF9F_.wvu.FilterData" localSheetId="1" hidden="1">精餾產銷!$AK$4:$AL$107</definedName>
    <definedName name="Z_A0763066_0974_42B3_B429_52A01ED1E306_.wvu.FilterData" localSheetId="1" hidden="1">精餾產銷!$AK$4:$AL$107</definedName>
    <definedName name="Z_A0B6C5F5_FCD6_44CA_A0F1_D3ACB3BAB46B_.wvu.FilterData" localSheetId="0" hidden="1">'產銷總表 '!$A$5:$F$118</definedName>
    <definedName name="Z_A0B6C5F5_FCD6_44CA_A0F1_D3ACB3BAB46B_.wvu.FilterData" localSheetId="1" hidden="1">精餾產銷!$AK$4:$AL$107</definedName>
    <definedName name="Z_A0BEDA90_345E_4801_8735_93C70B14AF1C_.wvu.FilterData" localSheetId="2" hidden="1">初餾產銷!$AJ$4:$AJ$78</definedName>
    <definedName name="Z_A0BEDA90_345E_4801_8735_93C70B14AF1C_.wvu.FilterData" localSheetId="3" hidden="1">調配產銷!$AF$4:$AF$81</definedName>
    <definedName name="Z_A0C781AA_F14F_47A1_B75E_3DEE08001FC4_.wvu.FilterData" localSheetId="1" hidden="1">精餾產銷!$AK$4:$AL$107</definedName>
    <definedName name="Z_A0C781AA_F14F_47A1_B75E_3DEE08001FC4_.wvu.FilterData" localSheetId="3" hidden="1">調配產銷!$AF$4:$AF$81</definedName>
    <definedName name="Z_A1268DF2_62AE_432A_A68A_B51B61F7D7E0_.wvu.FilterData" localSheetId="3" hidden="1">調配產銷!$AF$4:$AF$81</definedName>
    <definedName name="Z_A25064AD_0219_422E_8586_6150188B8655_.wvu.FilterData" localSheetId="1" hidden="1">精餾產銷!$AK$4:$AL$102</definedName>
    <definedName name="Z_A26368EB_949F_4723_8A2C_51DC77D15CCC_.wvu.FilterData" localSheetId="2" hidden="1">初餾產銷!$AJ$4:$AJ$78</definedName>
    <definedName name="Z_A26368EB_949F_4723_8A2C_51DC77D15CCC_.wvu.FilterData" localSheetId="1" hidden="1">精餾產銷!$AK$4:$AL$107</definedName>
    <definedName name="Z_A26368EB_949F_4723_8A2C_51DC77D15CCC_.wvu.FilterData" localSheetId="3" hidden="1">調配產銷!$AF$4:$AF$81</definedName>
    <definedName name="Z_A27D0565_A334_4EEC_AAB0_83E04B143918_.wvu.FilterData" localSheetId="2" hidden="1">初餾產銷!$A$4:$AJ$53</definedName>
    <definedName name="Z_A27D0565_A334_4EEC_AAB0_83E04B143918_.wvu.FilterData" localSheetId="1" hidden="1">精餾產銷!$AK$4:$AL$102</definedName>
    <definedName name="Z_A27D0565_A334_4EEC_AAB0_83E04B143918_.wvu.FilterData" localSheetId="3" hidden="1">調配產銷!#REF!</definedName>
    <definedName name="Z_A28ADF36_23AE_45E5_A489_32120F829065_.wvu.FilterData" localSheetId="1" hidden="1">精餾產銷!$A$4:$AJ$105</definedName>
    <definedName name="Z_A28ADF36_23AE_45E5_A489_32120F829065_.wvu.FilterData" localSheetId="3" hidden="1">調配產銷!#REF!</definedName>
    <definedName name="Z_A2D4E747_B117_4B3A_A1E5_7DCFFBA46EE6_.wvu.FilterData" localSheetId="1" hidden="1">精餾產銷!$AK$4:$AL$107</definedName>
    <definedName name="Z_A33642AE_1066_4112_B853_2F4837F8DD46_.wvu.FilterData" localSheetId="1" hidden="1">精餾產銷!$AF$4:$AF$105</definedName>
    <definedName name="Z_A33642AE_1066_4112_B853_2F4837F8DD46_.wvu.FilterData" localSheetId="3" hidden="1">調配產銷!#REF!</definedName>
    <definedName name="Z_A338AD03_1E65_4CEE_939B_60E4D2DB563C_.wvu.FilterData" localSheetId="1" hidden="1">精餾產銷!$AK$4:$AL$102</definedName>
    <definedName name="Z_A3D3FF40_B189_4191_8FFF_E317471A5458_.wvu.FilterData" localSheetId="1" hidden="1">精餾產銷!$AK$4:$AL$107</definedName>
    <definedName name="Z_A3E9ACD2_9606_4293_8ABD_4C888B60FDCB_.wvu.FilterData" localSheetId="1" hidden="1">精餾產銷!$AF$4:$AF$105</definedName>
    <definedName name="Z_A42151CE_D7B3_42F2_B50C_8AA6AA991115_.wvu.FilterData" localSheetId="3" hidden="1">調配產銷!$AF$4:$AF$81</definedName>
    <definedName name="Z_A44CFD92_E57E_4FE7_899D_6F70C7847FA5_.wvu.FilterData" localSheetId="1" hidden="1">精餾產銷!$A$4:$AP$105</definedName>
    <definedName name="Z_A47FC95B_CACB_4D9E_8850_40521A6F4631_.wvu.FilterData" localSheetId="2" hidden="1">初餾產銷!$AJ$4:$AJ$78</definedName>
    <definedName name="Z_A47FC95B_CACB_4D9E_8850_40521A6F4631_.wvu.FilterData" localSheetId="1" hidden="1">精餾產銷!$AK$4:$AL$107</definedName>
    <definedName name="Z_A47FC95B_CACB_4D9E_8850_40521A6F4631_.wvu.FilterData" localSheetId="3" hidden="1">調配產銷!$AF$4:$AF$81</definedName>
    <definedName name="Z_A480BD85_FDDD_4658_890A_D22C0DF235E0_.wvu.FilterData" localSheetId="1" hidden="1">精餾產銷!$AK$4:$AL$107</definedName>
    <definedName name="Z_A4A1D706_38FC_4C1E_8522_AC8C3B40B7C7_.wvu.FilterData" localSheetId="2" hidden="1">初餾產銷!$AJ$4:$AJ$78</definedName>
    <definedName name="Z_A4A1D706_38FC_4C1E_8522_AC8C3B40B7C7_.wvu.FilterData" localSheetId="3" hidden="1">調配產銷!$AF$4:$AF$81</definedName>
    <definedName name="Z_A4B7FDFF_9D58_4740_AA2D_8C75917277AD_.wvu.FilterData" localSheetId="2" hidden="1">初餾產銷!$A$4:$AJ$53</definedName>
    <definedName name="Z_A4B7FDFF_9D58_4740_AA2D_8C75917277AD_.wvu.FilterData" localSheetId="1" hidden="1">精餾產銷!$AK$4:$AL$102</definedName>
    <definedName name="Z_A4B7FDFF_9D58_4740_AA2D_8C75917277AD_.wvu.FilterData" localSheetId="3" hidden="1">調配產銷!#REF!</definedName>
    <definedName name="Z_A4E99E31_0EAB_4BA0_9FD5_C089886251CF_.wvu.FilterData" localSheetId="1" hidden="1">精餾產銷!$AK$4:$AL$102</definedName>
    <definedName name="Z_A500D2E3_32BB_4A6F_A656_AAA40396C793_.wvu.FilterData" localSheetId="2" hidden="1">初餾產銷!$A$4:$AJ$48</definedName>
    <definedName name="Z_A500D2E3_32BB_4A6F_A656_AAA40396C793_.wvu.FilterData" localSheetId="0" hidden="1">'產銷總表 '!$A$5:$F$118</definedName>
    <definedName name="Z_A500D2E3_32BB_4A6F_A656_AAA40396C793_.wvu.FilterData" localSheetId="1" hidden="1">精餾產銷!$A$4:$AJ$99</definedName>
    <definedName name="Z_A500D2E3_32BB_4A6F_A656_AAA40396C793_.wvu.FilterData" localSheetId="3" hidden="1">調配產銷!#REF!</definedName>
    <definedName name="Z_A50CB32E_F318_490D_973E_DBBB87FC4E50_.wvu.FilterData" localSheetId="2" hidden="1">初餾產銷!$AJ$4:$AJ$78</definedName>
    <definedName name="Z_A50CB32E_F318_490D_973E_DBBB87FC4E50_.wvu.FilterData" localSheetId="1" hidden="1">精餾產銷!$AK$4:$AL$107</definedName>
    <definedName name="Z_A5411180_6EE6_42EF_A80F_F9EFB9D98E25_.wvu.FilterData" localSheetId="1" hidden="1">精餾產銷!$AK$4:$AL$107</definedName>
    <definedName name="Z_A55187B9_1923_4A5C_9944_4EC7D6C1146D_.wvu.FilterData" localSheetId="3" hidden="1">調配產銷!#REF!</definedName>
    <definedName name="Z_A55324C2_37CF_4C28_AF07_E7D4AF78C74C_.wvu.FilterData" localSheetId="1" hidden="1">精餾產銷!$AK$4:$AL$107</definedName>
    <definedName name="Z_A56F5FFB_3A8E_4288_8DFD_3D2332B234B5_.wvu.FilterData" localSheetId="1" hidden="1">精餾產銷!$AK$4:$AL$107</definedName>
    <definedName name="Z_A5947B2F_936B_413A_8E47_744AE1AC646A_.wvu.Cols" localSheetId="2" hidden="1">初餾產銷!$B:$B,初餾產銷!$D:$F</definedName>
    <definedName name="Z_A5947B2F_936B_413A_8E47_744AE1AC646A_.wvu.Cols" localSheetId="0" hidden="1">'產銷總表 '!$B:$B,'產銷總表 '!$D:$F</definedName>
    <definedName name="Z_A5947B2F_936B_413A_8E47_744AE1AC646A_.wvu.Cols" localSheetId="1" hidden="1">精餾產銷!$B:$B,精餾產銷!$D:$F</definedName>
    <definedName name="Z_A5947B2F_936B_413A_8E47_744AE1AC646A_.wvu.Cols" localSheetId="3" hidden="1">調配產銷!$B:$B,調配產銷!$D:$F</definedName>
    <definedName name="Z_A5947B2F_936B_413A_8E47_744AE1AC646A_.wvu.FilterData" localSheetId="2" hidden="1">初餾產銷!$AJ$4:$AJ$78</definedName>
    <definedName name="Z_A5947B2F_936B_413A_8E47_744AE1AC646A_.wvu.FilterData" localSheetId="4" hidden="1">秏料!$A$2:$L$134</definedName>
    <definedName name="Z_A5947B2F_936B_413A_8E47_744AE1AC646A_.wvu.FilterData" localSheetId="0" hidden="1">'產銷總表 '!$AF$5:$AG$241</definedName>
    <definedName name="Z_A5947B2F_936B_413A_8E47_744AE1AC646A_.wvu.FilterData" localSheetId="1" hidden="1">精餾產銷!$AK$4:$AL$107</definedName>
    <definedName name="Z_A5947B2F_936B_413A_8E47_744AE1AC646A_.wvu.FilterData" localSheetId="3" hidden="1">調配產銷!$AF$4:$AF$81</definedName>
    <definedName name="Z_A5947B2F_936B_413A_8E47_744AE1AC646A_.wvu.PrintArea" localSheetId="2" hidden="1">初餾產銷!$A$1:$AI$78</definedName>
    <definedName name="Z_A5947B2F_936B_413A_8E47_744AE1AC646A_.wvu.PrintArea" localSheetId="4" hidden="1">秏料!$A$1:$L$134</definedName>
    <definedName name="Z_A5947B2F_936B_413A_8E47_744AE1AC646A_.wvu.PrintArea" localSheetId="0" hidden="1">'產銷總表 '!$A$2:$AE$241</definedName>
    <definedName name="Z_A5947B2F_936B_413A_8E47_744AE1AC646A_.wvu.PrintArea" localSheetId="1" hidden="1">精餾產銷!$A$1:$AE$111</definedName>
    <definedName name="Z_A5947B2F_936B_413A_8E47_744AE1AC646A_.wvu.PrintArea" localSheetId="3" hidden="1">調配產銷!$A$1:$AE$83</definedName>
    <definedName name="Z_A5947B2F_936B_413A_8E47_744AE1AC646A_.wvu.PrintTitles" localSheetId="2" hidden="1">初餾產銷!$1:$2</definedName>
    <definedName name="Z_A5947B2F_936B_413A_8E47_744AE1AC646A_.wvu.PrintTitles" localSheetId="1" hidden="1">精餾產銷!$1:$2</definedName>
    <definedName name="Z_A5B42A2C_5C3D_45FE_9637_18F1A7090538_.wvu.FilterData" localSheetId="1" hidden="1">精餾產銷!$A$4:$AP$105</definedName>
    <definedName name="Z_A5BC20EC_E121_475F_9724_CF817383E76D_.wvu.FilterData" localSheetId="2" hidden="1">初餾產銷!$A$4:$AJ$53</definedName>
    <definedName name="Z_A5BC20EC_E121_475F_9724_CF817383E76D_.wvu.FilterData" localSheetId="1" hidden="1">精餾產銷!$AK$4:$AL$102</definedName>
    <definedName name="Z_A61A570A_0E97_4505_AD71_12731C501BC3_.wvu.FilterData" localSheetId="2" hidden="1">初餾產銷!$AJ$4:$AJ$78</definedName>
    <definedName name="Z_A61A570A_0E97_4505_AD71_12731C501BC3_.wvu.FilterData" localSheetId="1" hidden="1">精餾產銷!$AK$4:$AL$107</definedName>
    <definedName name="Z_A67D0971_5BB8_4BD7_88B8_39D285DEBF7A_.wvu.FilterData" localSheetId="1" hidden="1">精餾產銷!$AK$4:$AL$107</definedName>
    <definedName name="Z_A6BF7A0A_C0BF_42F5_BF95_556229FB0CEC_.wvu.FilterData" localSheetId="1" hidden="1">精餾產銷!$AK$4:$AL$107</definedName>
    <definedName name="Z_A6D6BDB1_0F1F_4FA7_94F2_8CB212B4C094_.wvu.FilterData" localSheetId="2" hidden="1">初餾產銷!$AJ$4:$AJ$78</definedName>
    <definedName name="Z_A6D6BDB1_0F1F_4FA7_94F2_8CB212B4C094_.wvu.FilterData" localSheetId="1" hidden="1">精餾產銷!$AK$4:$AL$107</definedName>
    <definedName name="Z_A6D6BDB1_0F1F_4FA7_94F2_8CB212B4C094_.wvu.FilterData" localSheetId="3" hidden="1">調配產銷!$AF$4:$AF$81</definedName>
    <definedName name="Z_A72DE77C_C36B_4FE4_9E2A_0387EA2739C2_.wvu.FilterData" localSheetId="2" hidden="1">初餾產銷!$A$4:$AJ$53</definedName>
    <definedName name="Z_A72DE77C_C36B_4FE4_9E2A_0387EA2739C2_.wvu.FilterData" localSheetId="1" hidden="1">精餾產銷!$AK$4:$AL$107</definedName>
    <definedName name="Z_A78CA600_8AEA_40FC_8C04_4CA74E5C990C_.wvu.FilterData" localSheetId="3" hidden="1">調配產銷!$AF$4:$AF$81</definedName>
    <definedName name="Z_A7F5C60F_485E_45EF_9669_41E922008CF1_.wvu.FilterData" localSheetId="2" hidden="1">初餾產銷!$AJ$4:$AJ$78</definedName>
    <definedName name="Z_A7F5C60F_485E_45EF_9669_41E922008CF1_.wvu.FilterData" localSheetId="3" hidden="1">調配產銷!$AF$4:$AF$81</definedName>
    <definedName name="Z_A82DC7B3_49F4_42C5_927A_67FC5C0BF4B4_.wvu.FilterData" localSheetId="2" hidden="1">初餾產銷!$AJ$4:$AJ$78</definedName>
    <definedName name="Z_A8470314_3B8A_49E0_860C_23D17831F060_.wvu.FilterData" localSheetId="2" hidden="1">初餾產銷!$AJ$4:$AJ$78</definedName>
    <definedName name="Z_A8470314_3B8A_49E0_860C_23D17831F060_.wvu.FilterData" localSheetId="1" hidden="1">精餾產銷!$AK$4:$AL$107</definedName>
    <definedName name="Z_A8470314_3B8A_49E0_860C_23D17831F060_.wvu.FilterData" localSheetId="3" hidden="1">調配產銷!$AF$4:$AF$81</definedName>
    <definedName name="Z_A8611258_2467_47E6_A148_FD4886BD9737_.wvu.FilterData" localSheetId="1" hidden="1">精餾產銷!$AK$4:$AL$107</definedName>
    <definedName name="Z_A8611258_2467_47E6_A148_FD4886BD9737_.wvu.FilterData" localSheetId="3" hidden="1">調配產銷!$AF$4:$AF$81</definedName>
    <definedName name="Z_A875B433_B338_4689_A0AC_761F275CE10A_.wvu.FilterData" localSheetId="3" hidden="1">調配產銷!#REF!</definedName>
    <definedName name="Z_A8867B3B_665B_4922_AD85_D8372AE4EABC_.wvu.FilterData" localSheetId="1" hidden="1">精餾產銷!$AK$4:$AL$102</definedName>
    <definedName name="Z_A91B0CCF_8576_4CD9_B84D_1E9C811A9D4B_.wvu.FilterData" localSheetId="2" hidden="1">初餾產銷!$AJ$4:$AJ$78</definedName>
    <definedName name="Z_A91B0CCF_8576_4CD9_B84D_1E9C811A9D4B_.wvu.FilterData" localSheetId="1" hidden="1">精餾產銷!$AK$4:$AL$107</definedName>
    <definedName name="Z_A92C5FE5_DF13_4669_A3D7_A009873669C8_.wvu.FilterData" localSheetId="1" hidden="1">精餾產銷!$AK$4:$AL$107</definedName>
    <definedName name="Z_AA325F9A_D159_4827_9859_9325B55B299F_.wvu.FilterData" localSheetId="2" hidden="1">初餾產銷!$AJ$4:$AJ$78</definedName>
    <definedName name="Z_AA6D420B_FBB7_46E6_AC5B_B2622A45EC84_.wvu.FilterData" localSheetId="1" hidden="1">精餾產銷!$AK$4:$AL$107</definedName>
    <definedName name="Z_AA6D420B_FBB7_46E6_AC5B_B2622A45EC84_.wvu.FilterData" localSheetId="3" hidden="1">調配產銷!$AF$4:$AF$81</definedName>
    <definedName name="Z_AA6DC15F_45C4_4C1A_929E_721D23A4DBB8_.wvu.FilterData" localSheetId="1" hidden="1">精餾產銷!$AK$4:$AL$107</definedName>
    <definedName name="Z_AABC6A8A_A818_4EAF_A4B2_42C6B6754A83_.wvu.FilterData" localSheetId="3" hidden="1">調配產銷!$AF$4:$AF$81</definedName>
    <definedName name="Z_AAD1A6CE_9338_4C0B_BB75_FD0CD2082EB1_.wvu.FilterData" localSheetId="1" hidden="1">精餾產銷!$A$4:$AP$105</definedName>
    <definedName name="Z_AB04F858_1A2B_41D4_A898_BFB02494035F_.wvu.FilterData" localSheetId="1" hidden="1">精餾產銷!$AK$4:$AL$102</definedName>
    <definedName name="Z_AB08C1AE_DB5E_49B6_9BC2_372FAE0F78FB_.wvu.FilterData" localSheetId="2" hidden="1">初餾產銷!$AJ$4:$AJ$78</definedName>
    <definedName name="Z_AB08C1AE_DB5E_49B6_9BC2_372FAE0F78FB_.wvu.FilterData" localSheetId="1" hidden="1">精餾產銷!$AK$4:$AL$107</definedName>
    <definedName name="Z_AB08C1AE_DB5E_49B6_9BC2_372FAE0F78FB_.wvu.FilterData" localSheetId="3" hidden="1">調配產銷!$AF$4:$AF$81</definedName>
    <definedName name="Z_AB18B138_0DB5_4B46_8ECB_117084F95CE3_.wvu.FilterData" localSheetId="2" hidden="1">初餾產銷!$A$4:$AJ$53</definedName>
    <definedName name="Z_AB18B138_0DB5_4B46_8ECB_117084F95CE3_.wvu.FilterData" localSheetId="1" hidden="1">精餾產銷!$AK$4:$AL$107</definedName>
    <definedName name="Z_AC8172D8_F939_48B4_9E1D_F3F1E1AE6D8C_.wvu.FilterData" localSheetId="1" hidden="1">精餾產銷!$AK$4:$AL$102</definedName>
    <definedName name="Z_ACA2E6FD_90AE_47C9_AAFF_2BD91BF602B6_.wvu.FilterData" localSheetId="2" hidden="1">初餾產銷!$AJ$4:$AJ$78</definedName>
    <definedName name="Z_ACA2E6FD_90AE_47C9_AAFF_2BD91BF602B6_.wvu.FilterData" localSheetId="1" hidden="1">精餾產銷!$AK$4:$AL$107</definedName>
    <definedName name="Z_ACA2E6FD_90AE_47C9_AAFF_2BD91BF602B6_.wvu.FilterData" localSheetId="3" hidden="1">調配產銷!$AF$4:$AF$81</definedName>
    <definedName name="Z_ACA5C1F9_DA65_4F77_AB80_45F525B3D261_.wvu.FilterData" localSheetId="4" hidden="1">秏料!$B$2:$G$134</definedName>
    <definedName name="Z_ACA5C1F9_DA65_4F77_AB80_45F525B3D261_.wvu.FilterData" localSheetId="1" hidden="1">精餾產銷!$AK$4:$AL$107</definedName>
    <definedName name="Z_ACB954FD_2A11_441A_9814_B6C6C622244C_.wvu.FilterData" localSheetId="1" hidden="1">精餾產銷!$AK$4:$AL$107</definedName>
    <definedName name="Z_ACCDD429_9CAD_4FB8_A198_ABDEDE66D100_.wvu.FilterData" localSheetId="2" hidden="1">初餾產銷!$AJ$4:$AJ$78</definedName>
    <definedName name="Z_ACCDD429_9CAD_4FB8_A198_ABDEDE66D100_.wvu.FilterData" localSheetId="0" hidden="1">'產銷總表 '!$AF$5:$AG$241</definedName>
    <definedName name="Z_ACCDD429_9CAD_4FB8_A198_ABDEDE66D100_.wvu.FilterData" localSheetId="1" hidden="1">精餾產銷!$AK$4:$AL$107</definedName>
    <definedName name="Z_ACCDD429_9CAD_4FB8_A198_ABDEDE66D100_.wvu.FilterData" localSheetId="3" hidden="1">調配產銷!$AF$4:$AF$81</definedName>
    <definedName name="Z_ACCDD429_9CAD_4FB8_A198_ABDEDE66D100_.wvu.PrintArea" localSheetId="2" hidden="1">初餾產銷!$A$1:$AI$78</definedName>
    <definedName name="Z_ACCDD429_9CAD_4FB8_A198_ABDEDE66D100_.wvu.PrintArea" localSheetId="4" hidden="1">秏料!$A$1:$L$134</definedName>
    <definedName name="Z_ACCDD429_9CAD_4FB8_A198_ABDEDE66D100_.wvu.PrintArea" localSheetId="1" hidden="1">精餾產銷!$A$1:$AE$107</definedName>
    <definedName name="Z_ACCDD429_9CAD_4FB8_A198_ABDEDE66D100_.wvu.PrintArea" localSheetId="3" hidden="1">調配產銷!$A$1:$AE$83</definedName>
    <definedName name="Z_ACCDD429_9CAD_4FB8_A198_ABDEDE66D100_.wvu.PrintTitles" localSheetId="2" hidden="1">初餾產銷!$1:$2</definedName>
    <definedName name="Z_ACCDD429_9CAD_4FB8_A198_ABDEDE66D100_.wvu.PrintTitles" localSheetId="1" hidden="1">精餾產銷!$1:$2</definedName>
    <definedName name="Z_ACDABFB6_956B_4657_8F27_521D349A0737_.wvu.FilterData" localSheetId="1" hidden="1">精餾產銷!$AK$4:$AL$102</definedName>
    <definedName name="Z_ACE6CC2D_8B89_4B0E_BA18_0BBF8FCDD418_.wvu.FilterData" localSheetId="2" hidden="1">初餾產銷!$AJ$4:$AJ$78</definedName>
    <definedName name="Z_AD2A4F23_3178_42C0_A977_E7651ACDDA24_.wvu.FilterData" localSheetId="1" hidden="1">精餾產銷!$AF$4:$AF$105</definedName>
    <definedName name="Z_AD3B45C5_5950_421D_9E59_B7248AEB0983_.wvu.FilterData" localSheetId="3" hidden="1">調配產銷!$AF$4:$AF$81</definedName>
    <definedName name="Z_AD5B9AB6_C246_479C_A33D_2FC81B7E3B2E_.wvu.FilterData" localSheetId="2" hidden="1">初餾產銷!$A$4:$AJ$51</definedName>
    <definedName name="Z_ADDE2EAB_119E_44EB_817B_9A94CE261F73_.wvu.FilterData" localSheetId="1" hidden="1">精餾產銷!$AK$4:$AL$102</definedName>
    <definedName name="Z_AE4C7E86_590E_493B_8CCA_0969B78BA6FA_.wvu.FilterData" localSheetId="2" hidden="1">初餾產銷!$AJ$4:$AJ$78</definedName>
    <definedName name="Z_AE6DB785_DF97_4597_BF77_BFEC8A721F99_.wvu.FilterData" localSheetId="3" hidden="1">調配產銷!#REF!</definedName>
    <definedName name="Z_AEB250F6_C99C_4332_82D0_EA57C0A62E26_.wvu.FilterData" localSheetId="2" hidden="1">初餾產銷!$AJ$4:$AJ$78</definedName>
    <definedName name="Z_AEB250F6_C99C_4332_82D0_EA57C0A62E26_.wvu.FilterData" localSheetId="1" hidden="1">精餾產銷!$AK$4:$AL$107</definedName>
    <definedName name="Z_AEB250F6_C99C_4332_82D0_EA57C0A62E26_.wvu.FilterData" localSheetId="3" hidden="1">調配產銷!$AF$4:$AF$81</definedName>
    <definedName name="Z_AF0D44B5_F5FB_4891_9F94_40B2AC1605DA_.wvu.FilterData" localSheetId="2" hidden="1">初餾產銷!$AF$4:$AF$78</definedName>
    <definedName name="Z_AF0D44B5_F5FB_4891_9F94_40B2AC1605DA_.wvu.FilterData" localSheetId="1" hidden="1">精餾產銷!$AK$4:$AL$107</definedName>
    <definedName name="Z_AF0D44B5_F5FB_4891_9F94_40B2AC1605DA_.wvu.FilterData" localSheetId="3" hidden="1">調配產銷!$AF$4:$AF$81</definedName>
    <definedName name="Z_AF59569F_EFDD_4F69_8065_D23FBBEAC123_.wvu.FilterData" localSheetId="1" hidden="1">精餾產銷!$AK$4:$AL$102</definedName>
    <definedName name="Z_AFF7B09B_9DD0_4890_B2C9_0E466D6B76E3_.wvu.FilterData" localSheetId="1" hidden="1">精餾產銷!$AF$4:$AF$105</definedName>
    <definedName name="Z_AFFD7F58_1075_41D8_918A_BB1B91E49680_.wvu.FilterData" localSheetId="1" hidden="1">精餾產銷!$AK$4:$AL$107</definedName>
    <definedName name="Z_B0943F60_839C_49FB_A72E_99EC8CDBC15E_.wvu.FilterData" localSheetId="3" hidden="1">調配產銷!#REF!</definedName>
    <definedName name="Z_B0AA9F7C_09F5_4326_84B5_C3DE926896F7_.wvu.FilterData" localSheetId="2" hidden="1">初餾產銷!$AJ$4:$AJ$78</definedName>
    <definedName name="Z_B0AA9F7C_09F5_4326_84B5_C3DE926896F7_.wvu.FilterData" localSheetId="1" hidden="1">精餾產銷!$AK$4:$AL$107</definedName>
    <definedName name="Z_B0AA9F7C_09F5_4326_84B5_C3DE926896F7_.wvu.FilterData" localSheetId="3" hidden="1">調配產銷!$AF$4:$AF$81</definedName>
    <definedName name="Z_B0B98418_B06A_4A7F_B60E_3888A2120658_.wvu.FilterData" localSheetId="1" hidden="1">精餾產銷!$AK$4:$AL$107</definedName>
    <definedName name="Z_B0B98418_B06A_4A7F_B60E_3888A2120658_.wvu.FilterData" localSheetId="3" hidden="1">調配產銷!$AF$4:$AF$81</definedName>
    <definedName name="Z_B120EBC3_59A3_4D50_BFD5_D887D349A6E4_.wvu.FilterData" localSheetId="2" hidden="1">初餾產銷!$AJ$4:$AJ$78</definedName>
    <definedName name="Z_B120EBC3_59A3_4D50_BFD5_D887D349A6E4_.wvu.FilterData" localSheetId="3" hidden="1">調配產銷!$AF$4:$AF$81</definedName>
    <definedName name="Z_B12E4C12_3100_48DE_8208_125211115ACD_.wvu.FilterData" localSheetId="1" hidden="1">精餾產銷!$AK$4:$AL$107</definedName>
    <definedName name="Z_B144B871_1831_402D_9B40_A0326BBEDD7C_.wvu.FilterData" localSheetId="1" hidden="1">精餾產銷!$AK$4:$AL$102</definedName>
    <definedName name="Z_B15B26D0_284D_4318_BA4A_411D40B88FDE_.wvu.FilterData" localSheetId="2" hidden="1">初餾產銷!$AJ$4:$AJ$78</definedName>
    <definedName name="Z_B15B26D0_284D_4318_BA4A_411D40B88FDE_.wvu.FilterData" localSheetId="1" hidden="1">精餾產銷!$AK$4:$AL$107</definedName>
    <definedName name="Z_B15B26D0_284D_4318_BA4A_411D40B88FDE_.wvu.FilterData" localSheetId="3" hidden="1">調配產銷!$AF$4:$AF$81</definedName>
    <definedName name="Z_B19C3D29_2195_462D_91E0_BBC13FCCE80A_.wvu.FilterData" localSheetId="2" hidden="1">初餾產銷!$AJ$4:$AJ$78</definedName>
    <definedName name="Z_B274520B_93C6_473F_8CFF_46B42E6D35A4_.wvu.FilterData" localSheetId="2" hidden="1">初餾產銷!$AJ$4:$AJ$78</definedName>
    <definedName name="Z_B274520B_93C6_473F_8CFF_46B42E6D35A4_.wvu.FilterData" localSheetId="1" hidden="1">精餾產銷!$AK$4:$AL$107</definedName>
    <definedName name="Z_B29A5E10_8492_40CE_A675_8238ED5BE42B_.wvu.FilterData" localSheetId="1" hidden="1">精餾產銷!$AK$4:$AL$107</definedName>
    <definedName name="Z_B2AC3544_419B_4CFB_B150_9260A279209F_.wvu.FilterData" localSheetId="2" hidden="1">初餾產銷!$AJ$4:$AJ$78</definedName>
    <definedName name="Z_B353968F_EA23_4033_9463_5290BE7A06C0_.wvu.FilterData" localSheetId="2" hidden="1">初餾產銷!$A$4:$AJ$53</definedName>
    <definedName name="Z_B353968F_EA23_4033_9463_5290BE7A06C0_.wvu.FilterData" localSheetId="1" hidden="1">精餾產銷!$AK$4:$AL$107</definedName>
    <definedName name="Z_B354EF02_1FE9_4FC1_867B_6DF3A2B4CEE3_.wvu.FilterData" localSheetId="2" hidden="1">初餾產銷!$A$4:$AJ$53</definedName>
    <definedName name="Z_B354EF02_1FE9_4FC1_867B_6DF3A2B4CEE3_.wvu.FilterData" localSheetId="1" hidden="1">精餾產銷!$AK$4:$AL$102</definedName>
    <definedName name="Z_B354EF02_1FE9_4FC1_867B_6DF3A2B4CEE3_.wvu.FilterData" localSheetId="3" hidden="1">調配產銷!#REF!</definedName>
    <definedName name="Z_B37291E9_711C_4446_A52F_EEABE259EFC3_.wvu.FilterData" localSheetId="1" hidden="1">精餾產銷!$AK$4:$AL$107</definedName>
    <definedName name="Z_B37291E9_711C_4446_A52F_EEABE259EFC3_.wvu.FilterData" localSheetId="3" hidden="1">調配產銷!$AF$4:$AF$81</definedName>
    <definedName name="Z_B3910AB2_AB69_4D77_85B7_4C7BEF91F96E_.wvu.FilterData" localSheetId="1" hidden="1">精餾產銷!$AF$4:$AF$105</definedName>
    <definedName name="Z_B3A3E7A3_CA0E_4285_834A_71D5FC247C04_.wvu.FilterData" localSheetId="1" hidden="1">精餾產銷!$AK$4:$AL$107</definedName>
    <definedName name="Z_B417C406_0937_4B70_93EF_123A8CF4B1E4_.wvu.FilterData" localSheetId="1" hidden="1">精餾產銷!$AK$4:$AL$107</definedName>
    <definedName name="Z_B417C406_0937_4B70_93EF_123A8CF4B1E4_.wvu.FilterData" localSheetId="3" hidden="1">調配產銷!$AF$4:$AF$81</definedName>
    <definedName name="Z_B41A46B0_2FA7_4B33_AECB_CEBA52B4E385_.wvu.FilterData" localSheetId="1" hidden="1">精餾產銷!$AK$4:$AL$107</definedName>
    <definedName name="Z_B41A46B0_2FA7_4B33_AECB_CEBA52B4E385_.wvu.FilterData" localSheetId="3" hidden="1">調配產銷!$AF$4:$AF$81</definedName>
    <definedName name="Z_B434521E_D199_4C45_985B_04B77148E024_.wvu.FilterData" localSheetId="1" hidden="1">精餾產銷!$AK$4:$AL$107</definedName>
    <definedName name="Z_B43B80F6_7475_4AEC_A377_16F7A93D22CD_.wvu.FilterData" localSheetId="0" hidden="1">'產銷總表 '!$A$5:$F$118</definedName>
    <definedName name="Z_B43B80F6_7475_4AEC_A377_16F7A93D22CD_.wvu.FilterData" localSheetId="1" hidden="1">精餾產銷!$A$4:$AJ$105</definedName>
    <definedName name="Z_B43B80F6_7475_4AEC_A377_16F7A93D22CD_.wvu.FilterData" localSheetId="3" hidden="1">調配產銷!#REF!</definedName>
    <definedName name="Z_B5568BF3_7276_4A5E_906A_C39B8F2F4C6B_.wvu.FilterData" localSheetId="2" hidden="1">初餾產銷!$AJ$4:$AJ$78</definedName>
    <definedName name="Z_B5568BF3_7276_4A5E_906A_C39B8F2F4C6B_.wvu.FilterData" localSheetId="1" hidden="1">精餾產銷!$AK$4:$AL$107</definedName>
    <definedName name="Z_B5587D74_F53D_498E_91BC_354220833AC4_.wvu.FilterData" localSheetId="1" hidden="1">精餾產銷!$AK$4:$AL$107</definedName>
    <definedName name="Z_B5587D74_F53D_498E_91BC_354220833AC4_.wvu.FilterData" localSheetId="3" hidden="1">調配產銷!$AF$4:$AF$81</definedName>
    <definedName name="Z_B564AA27_1CEA_4A34_BD29_3103D1A88B6A_.wvu.FilterData" localSheetId="2" hidden="1">初餾產銷!$AJ$4:$AJ$78</definedName>
    <definedName name="Z_B564AA27_1CEA_4A34_BD29_3103D1A88B6A_.wvu.FilterData" localSheetId="1" hidden="1">精餾產銷!$AK$4:$AL$107</definedName>
    <definedName name="Z_B564AA27_1CEA_4A34_BD29_3103D1A88B6A_.wvu.FilterData" localSheetId="3" hidden="1">調配產銷!$AF$4:$AF$81</definedName>
    <definedName name="Z_B5883877_EE5F_4F52_B8B9_C3046C1F7EC5_.wvu.FilterData" localSheetId="2" hidden="1">初餾產銷!$AJ$4:$AJ$78</definedName>
    <definedName name="Z_B5A298AF_C34C_4FDD_AB5F_A3B0577851E1_.wvu.FilterData" localSheetId="2" hidden="1">初餾產銷!$AJ$4:$AJ$78</definedName>
    <definedName name="Z_B5A298AF_C34C_4FDD_AB5F_A3B0577851E1_.wvu.FilterData" localSheetId="1" hidden="1">精餾產銷!$AK$4:$AL$107</definedName>
    <definedName name="Z_B5A298AF_C34C_4FDD_AB5F_A3B0577851E1_.wvu.FilterData" localSheetId="3" hidden="1">調配產銷!$AF$4:$AF$81</definedName>
    <definedName name="Z_B5B8750C_FFAF_4352_825E_4987828C8AB9_.wvu.FilterData" localSheetId="1" hidden="1">精餾產銷!$AK$4:$AL$107</definedName>
    <definedName name="Z_B5E98CCE_39DF_4850_8B72_9FAB588D26DF_.wvu.FilterData" localSheetId="1" hidden="1">精餾產銷!$AK$4:$AL$102</definedName>
    <definedName name="Z_B617D8CC_3450_46C6_93B4_9545EBEA3DD5_.wvu.FilterData" localSheetId="2" hidden="1">初餾產銷!$AJ$4:$AJ$78</definedName>
    <definedName name="Z_B617D8CC_3450_46C6_93B4_9545EBEA3DD5_.wvu.FilterData" localSheetId="1" hidden="1">精餾產銷!$AK$4:$AL$107</definedName>
    <definedName name="Z_B617D8CC_3450_46C6_93B4_9545EBEA3DD5_.wvu.FilterData" localSheetId="3" hidden="1">調配產銷!$AF$4:$AF$81</definedName>
    <definedName name="Z_B64C0067_EBCF_4869_A5CE_1757CF557CBC_.wvu.FilterData" localSheetId="3" hidden="1">調配產銷!$AF$4:$AF$81</definedName>
    <definedName name="Z_B65CE15D_98F2_4D79_8E76_08ACDFC44C54_.wvu.FilterData" localSheetId="2" hidden="1">初餾產銷!$AJ$4:$AJ$78</definedName>
    <definedName name="Z_B65CE15D_98F2_4D79_8E76_08ACDFC44C54_.wvu.FilterData" localSheetId="1" hidden="1">精餾產銷!$AK$4:$AL$107</definedName>
    <definedName name="Z_B65CE15D_98F2_4D79_8E76_08ACDFC44C54_.wvu.FilterData" localSheetId="3" hidden="1">調配產銷!$AF$4:$AF$81</definedName>
    <definedName name="Z_B69503E9_0A94_4D9C_A39F_00DE03048BD3_.wvu.FilterData" localSheetId="1" hidden="1">精餾產銷!$AK$4:$AL$107</definedName>
    <definedName name="Z_B70F7D72_D194_4F95_A3C1_6CC463F0446A_.wvu.FilterData" localSheetId="1" hidden="1">精餾產銷!$AK$4:$AL$107</definedName>
    <definedName name="Z_B70F7D72_D194_4F95_A3C1_6CC463F0446A_.wvu.FilterData" localSheetId="3" hidden="1">調配產銷!$AF$4:$AF$81</definedName>
    <definedName name="Z_B71644DA_D861_4FC6_9126_FE11F82D9F3D_.wvu.FilterData" localSheetId="2" hidden="1">初餾產銷!$AF$4:$AF$53</definedName>
    <definedName name="Z_B71644DA_D861_4FC6_9126_FE11F82D9F3D_.wvu.FilterData" localSheetId="1" hidden="1">精餾產銷!$AF$4:$AF$105</definedName>
    <definedName name="Z_B743721D_C453_4DA9_94EB_6E5BCF2ACCED_.wvu.FilterData" localSheetId="0" hidden="1">'產銷總表 '!$A$5:$F$118</definedName>
    <definedName name="Z_B743721D_C453_4DA9_94EB_6E5BCF2ACCED_.wvu.FilterData" localSheetId="1" hidden="1">精餾產銷!$AF$4:$AF$105</definedName>
    <definedName name="Z_B77F5305_9126_46BC_8506_8FA68DAE3831_.wvu.FilterData" localSheetId="1" hidden="1">精餾產銷!$AK$4:$AL$107</definedName>
    <definedName name="Z_B7A34D0F_118A_47FC_AD60_741DA5EAADEA_.wvu.FilterData" localSheetId="3" hidden="1">調配產銷!$AF$4:$AF$81</definedName>
    <definedName name="Z_B9296503_5EAA_445C_96ED_B7AF143541B7_.wvu.FilterData" localSheetId="1" hidden="1">精餾產銷!$AF$4:$AF$105</definedName>
    <definedName name="Z_B93B020C_C324_41E1_BF4C_C35D4C6ED213_.wvu.FilterData" localSheetId="2" hidden="1">初餾產銷!$A$4:$AJ$53</definedName>
    <definedName name="Z_B93B020C_C324_41E1_BF4C_C35D4C6ED213_.wvu.FilterData" localSheetId="1" hidden="1">精餾產銷!$A$4:$AJ$105</definedName>
    <definedName name="Z_B93B020C_C324_41E1_BF4C_C35D4C6ED213_.wvu.FilterData" localSheetId="3" hidden="1">調配產銷!#REF!</definedName>
    <definedName name="Z_B9B1884F_BF23_4688_BA97_8A3F71EF1EB9_.wvu.FilterData" localSheetId="2" hidden="1">初餾產銷!$AF$4:$AF$53</definedName>
    <definedName name="Z_B9B1884F_BF23_4688_BA97_8A3F71EF1EB9_.wvu.FilterData" localSheetId="1" hidden="1">精餾產銷!$AF$4:$AF$105</definedName>
    <definedName name="Z_BA5C079D_4F85_4F52_B452_38F765DDD67B_.wvu.FilterData" localSheetId="3" hidden="1">調配產銷!$AF$4:$AF$81</definedName>
    <definedName name="Z_BAB7AC35_7A7C_43AE_A3C9_D31BF6728EC5_.wvu.FilterData" localSheetId="1" hidden="1">精餾產銷!$AK$4:$AL$107</definedName>
    <definedName name="Z_BAB7AC35_7A7C_43AE_A3C9_D31BF6728EC5_.wvu.FilterData" localSheetId="3" hidden="1">調配產銷!$AF$4:$AF$81</definedName>
    <definedName name="Z_BB0A4690_BD59_4310_B128_6DE48518C149_.wvu.FilterData" localSheetId="1" hidden="1">精餾產銷!$AK$4:$AL$107</definedName>
    <definedName name="Z_BB4F5471_3B66_47E7_8165_788545071ED6_.wvu.FilterData" localSheetId="2" hidden="1">初餾產銷!$AJ$4:$AJ$78</definedName>
    <definedName name="Z_BB4F5471_3B66_47E7_8165_788545071ED6_.wvu.FilterData" localSheetId="1" hidden="1">精餾產銷!$AK$4:$AL$107</definedName>
    <definedName name="Z_BB5C6CFC_148A_4585_B883_5FDBF1684D64_.wvu.FilterData" localSheetId="3" hidden="1">調配產銷!$AF$4:$AF$81</definedName>
    <definedName name="Z_BB8D48C4_FBD2_4F21_BCB8_9042C605D5BF_.wvu.FilterData" localSheetId="2" hidden="1">初餾產銷!$A$4:$AJ$53</definedName>
    <definedName name="Z_BC01DE88_BB69_45A1_BB32_333AB11E80D5_.wvu.FilterData" localSheetId="2" hidden="1">初餾產銷!$AJ$4:$AJ$78</definedName>
    <definedName name="Z_BC52AB5A_2DBC_4926_885C_D2772292F49C_.wvu.FilterData" localSheetId="2" hidden="1">初餾產銷!$AJ$4:$AJ$78</definedName>
    <definedName name="Z_BC52AB5A_2DBC_4926_885C_D2772292F49C_.wvu.FilterData" localSheetId="1" hidden="1">精餾產銷!$AK$4:$AL$107</definedName>
    <definedName name="Z_BC52AB5A_2DBC_4926_885C_D2772292F49C_.wvu.FilterData" localSheetId="3" hidden="1">調配產銷!$AF$4:$AF$81</definedName>
    <definedName name="Z_BC7928E1_D0DA_48F0_B8D1_702ABA0934B7_.wvu.FilterData" localSheetId="2" hidden="1">初餾產銷!$AJ$4:$AJ$78</definedName>
    <definedName name="Z_BC7928E1_D0DA_48F0_B8D1_702ABA0934B7_.wvu.FilterData" localSheetId="1" hidden="1">精餾產銷!$AK$4:$AL$107</definedName>
    <definedName name="Z_BC7928E1_D0DA_48F0_B8D1_702ABA0934B7_.wvu.FilterData" localSheetId="3" hidden="1">調配產銷!$AF$4:$AF$81</definedName>
    <definedName name="Z_BCAEF494_F2AF_49C0_9C07_7B9E75841909_.wvu.FilterData" localSheetId="2" hidden="1">初餾產銷!$AJ$4:$AJ$78</definedName>
    <definedName name="Z_BCAEF494_F2AF_49C0_9C07_7B9E75841909_.wvu.FilterData" localSheetId="1" hidden="1">精餾產銷!$AK$4:$AL$107</definedName>
    <definedName name="Z_BD00BE44_7B35_441E_B294_1B3D0D6EBF2C_.wvu.FilterData" localSheetId="1" hidden="1">精餾產銷!$AK$4:$AL$107</definedName>
    <definedName name="Z_BD61A523_F9BA_440C_88DD_AF3036390715_.wvu.FilterData" localSheetId="1" hidden="1">精餾產銷!$AK$4:$AL$107</definedName>
    <definedName name="Z_BD61A523_F9BA_440C_88DD_AF3036390715_.wvu.FilterData" localSheetId="3" hidden="1">調配產銷!$AF$4:$AF$81</definedName>
    <definedName name="Z_BD8C1955_0126_46F2_8CAE_3859E15FE22B_.wvu.FilterData" localSheetId="2" hidden="1">初餾產銷!$AF$4:$AF$53</definedName>
    <definedName name="Z_BD8C1955_0126_46F2_8CAE_3859E15FE22B_.wvu.FilterData" localSheetId="1" hidden="1">精餾產銷!$AF$4:$AF$105</definedName>
    <definedName name="Z_BDB1ED69_BC47_4F24_B8BD_708C5FBB9C0F_.wvu.FilterData" localSheetId="3" hidden="1">調配產銷!#REF!</definedName>
    <definedName name="Z_BDBBDB56_A4CE_4D2B_B48C_4EBDDA67EEA1_.wvu.FilterData" localSheetId="1" hidden="1">精餾產銷!$AK$4:$AL$107</definedName>
    <definedName name="Z_BDECC070_2068_418D_BDE6_750027CB91F3_.wvu.FilterData" localSheetId="3" hidden="1">調配產銷!$AF$4:$AF$81</definedName>
    <definedName name="Z_BE31F1AB_9255_4851_85B3_055DAE361379_.wvu.FilterData" localSheetId="2" hidden="1">初餾產銷!$AJ$4:$AJ$78</definedName>
    <definedName name="Z_BEC9F2E4_FC59_4C1D_85CC_21423537D71D_.wvu.FilterData" localSheetId="2" hidden="1">初餾產銷!$AJ$4:$AJ$78</definedName>
    <definedName name="Z_BEC9F2E4_FC59_4C1D_85CC_21423537D71D_.wvu.FilterData" localSheetId="1" hidden="1">精餾產銷!$AK$4:$AL$107</definedName>
    <definedName name="Z_BEC9F2E4_FC59_4C1D_85CC_21423537D71D_.wvu.FilterData" localSheetId="3" hidden="1">調配產銷!$AF$4:$AF$81</definedName>
    <definedName name="Z_BEEC10C2_3B92_43AA_948D_17FA45C79403_.wvu.FilterData" localSheetId="2" hidden="1">初餾產銷!$AJ$4:$AJ$78</definedName>
    <definedName name="Z_BEF1F9A1_9BE8_4B92_B921_6FE20F0F8630_.wvu.Cols" localSheetId="2" hidden="1">初餾產銷!$B:$B,初餾產銷!$D:$F,初餾產銷!$O:$W</definedName>
    <definedName name="Z_BEF1F9A1_9BE8_4B92_B921_6FE20F0F8630_.wvu.Cols" localSheetId="0" hidden="1">'產銷總表 '!$B:$B,'產銷總表 '!$D:$F</definedName>
    <definedName name="Z_BEF1F9A1_9BE8_4B92_B921_6FE20F0F8630_.wvu.Cols" localSheetId="1" hidden="1">精餾產銷!$B:$B,精餾產銷!$D:$F</definedName>
    <definedName name="Z_BEF1F9A1_9BE8_4B92_B921_6FE20F0F8630_.wvu.Cols" localSheetId="3" hidden="1">調配產銷!$B:$B,調配產銷!$D:$F</definedName>
    <definedName name="Z_BEF1F9A1_9BE8_4B92_B921_6FE20F0F8630_.wvu.FilterData" localSheetId="2" hidden="1">初餾產銷!$AJ$4:$AJ$78</definedName>
    <definedName name="Z_BEF1F9A1_9BE8_4B92_B921_6FE20F0F8630_.wvu.FilterData" localSheetId="4" hidden="1">秏料!$A$2:$L$134</definedName>
    <definedName name="Z_BEF1F9A1_9BE8_4B92_B921_6FE20F0F8630_.wvu.FilterData" localSheetId="0" hidden="1">'產銷總表 '!$AF$5:$AG$241</definedName>
    <definedName name="Z_BEF1F9A1_9BE8_4B92_B921_6FE20F0F8630_.wvu.FilterData" localSheetId="1" hidden="1">精餾產銷!$AK$4:$AL$107</definedName>
    <definedName name="Z_BEF1F9A1_9BE8_4B92_B921_6FE20F0F8630_.wvu.FilterData" localSheetId="3" hidden="1">調配產銷!$AF$4:$AF$81</definedName>
    <definedName name="Z_BEF1F9A1_9BE8_4B92_B921_6FE20F0F8630_.wvu.PrintArea" localSheetId="2" hidden="1">初餾產銷!$A$1:$AI$78</definedName>
    <definedName name="Z_BEF1F9A1_9BE8_4B92_B921_6FE20F0F8630_.wvu.PrintArea" localSheetId="4" hidden="1">秏料!$A$1:$L$134</definedName>
    <definedName name="Z_BEF1F9A1_9BE8_4B92_B921_6FE20F0F8630_.wvu.PrintArea" localSheetId="0" hidden="1">'產銷總表 '!$A$2:$AE$241</definedName>
    <definedName name="Z_BEF1F9A1_9BE8_4B92_B921_6FE20F0F8630_.wvu.PrintArea" localSheetId="1" hidden="1">精餾產銷!$A$1:$AE$111</definedName>
    <definedName name="Z_BEF1F9A1_9BE8_4B92_B921_6FE20F0F8630_.wvu.PrintArea" localSheetId="3" hidden="1">調配產銷!$A$1:$AE$83</definedName>
    <definedName name="Z_BEF1F9A1_9BE8_4B92_B921_6FE20F0F8630_.wvu.PrintTitles" localSheetId="2" hidden="1">初餾產銷!$1:$2</definedName>
    <definedName name="Z_BEF1F9A1_9BE8_4B92_B921_6FE20F0F8630_.wvu.PrintTitles" localSheetId="1" hidden="1">精餾產銷!$1:$2</definedName>
    <definedName name="Z_BF120DC1_FF93_4A02_B439_660DC32679AF_.wvu.FilterData" localSheetId="1" hidden="1">精餾產銷!$AK$4:$AL$107</definedName>
    <definedName name="Z_BF86EB7C_A3BF_431B_A567_0E96E9E1FB0C_.wvu.FilterData" localSheetId="3" hidden="1">調配產銷!$AF$4:$AF$81</definedName>
    <definedName name="Z_BFB29B12_1BD8_4CB9_A207_3AC2749EB73E_.wvu.FilterData" localSheetId="3" hidden="1">調配產銷!#REF!</definedName>
    <definedName name="Z_C018A3FC_A258_4CE5_BB40_21DF49E889F6_.wvu.FilterData" localSheetId="2" hidden="1">初餾產銷!$AJ$4:$AJ$78</definedName>
    <definedName name="Z_C018A3FC_A258_4CE5_BB40_21DF49E889F6_.wvu.FilterData" localSheetId="1" hidden="1">精餾產銷!$AK$4:$AL$107</definedName>
    <definedName name="Z_C0352A6D_E5BB_4900_AAE8_79F587A42D2D_.wvu.FilterData" localSheetId="1" hidden="1">精餾產銷!$AK$4:$AL$107</definedName>
    <definedName name="Z_C06D3A72_84C6_493D_BF44_9EEB7C33BF7A_.wvu.FilterData" localSheetId="1" hidden="1">精餾產銷!$AK$4:$AL$107</definedName>
    <definedName name="Z_C06DD1D9_39B8_46C0_9A53_5A054826B2F6_.wvu.FilterData" localSheetId="2" hidden="1">初餾產銷!$AJ$4:$AJ$78</definedName>
    <definedName name="Z_C131C558_7715_4EF6_A9EE_5EAC452E1BED_.wvu.FilterData" localSheetId="1" hidden="1">精餾產銷!$AK$4:$AL$107</definedName>
    <definedName name="Z_C13A8F8A_6553_4B8F_81A0_62F4D458CF74_.wvu.FilterData" localSheetId="2" hidden="1">初餾產銷!$AJ$4:$AJ$78</definedName>
    <definedName name="Z_C13A8F8A_6553_4B8F_81A0_62F4D458CF74_.wvu.FilterData" localSheetId="1" hidden="1">精餾產銷!$AK$4:$AL$107</definedName>
    <definedName name="Z_C13A8F8A_6553_4B8F_81A0_62F4D458CF74_.wvu.FilterData" localSheetId="3" hidden="1">調配產銷!$AF$4:$AF$81</definedName>
    <definedName name="Z_C1ABBFBA_220C_4D9B_90B7_ECE20C91BAEC_.wvu.FilterData" localSheetId="3" hidden="1">調配產銷!$AF$4:$AF$81</definedName>
    <definedName name="Z_C208791D_8C13_40CC_851F_C92981DF0A87_.wvu.FilterData" localSheetId="1" hidden="1">精餾產銷!$AK$4:$AL$107</definedName>
    <definedName name="Z_C208791D_8C13_40CC_851F_C92981DF0A87_.wvu.FilterData" localSheetId="3" hidden="1">調配產銷!$AF$4:$AF$81</definedName>
    <definedName name="Z_C2232C74_8C00_42FE_80B1_718E1DAFE5BF_.wvu.FilterData" localSheetId="2" hidden="1">初餾產銷!$A$4:$AJ$53</definedName>
    <definedName name="Z_C2232C74_8C00_42FE_80B1_718E1DAFE5BF_.wvu.FilterData" localSheetId="1" hidden="1">精餾產銷!$AK$4:$AL$102</definedName>
    <definedName name="Z_C2736B40_D4B6_4138_8117_357D55D49C66_.wvu.FilterData" localSheetId="2" hidden="1">初餾產銷!$A$4:$AJ$53</definedName>
    <definedName name="Z_C2736B40_D4B6_4138_8117_357D55D49C66_.wvu.FilterData" localSheetId="1" hidden="1">精餾產銷!$A$4:$AJ$105</definedName>
    <definedName name="Z_C28855E0_701B_4516_8DD2_15D507944C18_.wvu.FilterData" localSheetId="2" hidden="1">初餾產銷!$AJ$4:$AJ$78</definedName>
    <definedName name="Z_C28855E0_701B_4516_8DD2_15D507944C18_.wvu.FilterData" localSheetId="1" hidden="1">精餾產銷!$AK$4:$AL$107</definedName>
    <definedName name="Z_C28855E0_701B_4516_8DD2_15D507944C18_.wvu.FilterData" localSheetId="3" hidden="1">調配產銷!$AF$4:$AF$81</definedName>
    <definedName name="Z_C2A07902_CEB1_42B6_BA9E_CA8D4D1924E1_.wvu.FilterData" localSheetId="1" hidden="1">精餾產銷!$AF$4:$AF$105</definedName>
    <definedName name="Z_C2C8C04F_DF2D_4ED4_B520_AA8D2FBED40C_.wvu.FilterData" localSheetId="2" hidden="1">初餾產銷!$AJ$4:$AJ$78</definedName>
    <definedName name="Z_C2DCB1AE_CE50_4BF0_84DF_AEA37C3478D1_.wvu.FilterData" localSheetId="1" hidden="1">精餾產銷!$AK$4:$AL$107</definedName>
    <definedName name="Z_C2E635EB_C4C7_4CCB_8ED4_E1A477E12C8F_.wvu.FilterData" localSheetId="2" hidden="1">初餾產銷!$AJ$4:$AJ$78</definedName>
    <definedName name="Z_C2E635EB_C4C7_4CCB_8ED4_E1A477E12C8F_.wvu.FilterData" localSheetId="1" hidden="1">精餾產銷!$AK$4:$AL$107</definedName>
    <definedName name="Z_C30CE12B_11DC_4479_B6AC_C3BD3E3ED3C8_.wvu.Cols" localSheetId="2" hidden="1">初餾產銷!$D:$F</definedName>
    <definedName name="Z_C30CE12B_11DC_4479_B6AC_C3BD3E3ED3C8_.wvu.Cols" localSheetId="0" hidden="1">'產銷總表 '!$B:$B,'產銷總表 '!$D:$F</definedName>
    <definedName name="Z_C30CE12B_11DC_4479_B6AC_C3BD3E3ED3C8_.wvu.Cols" localSheetId="1" hidden="1">精餾產銷!$B:$B,精餾產銷!$D:$F</definedName>
    <definedName name="Z_C30CE12B_11DC_4479_B6AC_C3BD3E3ED3C8_.wvu.Cols" localSheetId="3" hidden="1">調配產銷!$B:$B,調配產銷!$D:$F</definedName>
    <definedName name="Z_C30CE12B_11DC_4479_B6AC_C3BD3E3ED3C8_.wvu.FilterData" localSheetId="2" hidden="1">初餾產銷!$AJ$4:$AJ$78</definedName>
    <definedName name="Z_C30CE12B_11DC_4479_B6AC_C3BD3E3ED3C8_.wvu.FilterData" localSheetId="4" hidden="1">秏料!$A$2:$L$134</definedName>
    <definedName name="Z_C30CE12B_11DC_4479_B6AC_C3BD3E3ED3C8_.wvu.FilterData" localSheetId="0" hidden="1">'產銷總表 '!$AF$5:$AG$241</definedName>
    <definedName name="Z_C30CE12B_11DC_4479_B6AC_C3BD3E3ED3C8_.wvu.FilterData" localSheetId="1" hidden="1">精餾產銷!$AK$4:$AL$107</definedName>
    <definedName name="Z_C30CE12B_11DC_4479_B6AC_C3BD3E3ED3C8_.wvu.FilterData" localSheetId="3" hidden="1">調配產銷!$AF$4:$AF$81</definedName>
    <definedName name="Z_C30CE12B_11DC_4479_B6AC_C3BD3E3ED3C8_.wvu.PrintArea" localSheetId="2" hidden="1">初餾產銷!$A$1:$AI$78</definedName>
    <definedName name="Z_C30CE12B_11DC_4479_B6AC_C3BD3E3ED3C8_.wvu.PrintArea" localSheetId="4" hidden="1">秏料!$A$1:$L$134</definedName>
    <definedName name="Z_C30CE12B_11DC_4479_B6AC_C3BD3E3ED3C8_.wvu.PrintArea" localSheetId="0" hidden="1">'產銷總表 '!$A$2:$AE$241</definedName>
    <definedName name="Z_C30CE12B_11DC_4479_B6AC_C3BD3E3ED3C8_.wvu.PrintArea" localSheetId="1" hidden="1">精餾產銷!$A$1:$AE$111</definedName>
    <definedName name="Z_C30CE12B_11DC_4479_B6AC_C3BD3E3ED3C8_.wvu.PrintArea" localSheetId="3" hidden="1">調配產銷!$A$1:$AE$83</definedName>
    <definedName name="Z_C30CE12B_11DC_4479_B6AC_C3BD3E3ED3C8_.wvu.PrintTitles" localSheetId="2" hidden="1">初餾產銷!$1:$2</definedName>
    <definedName name="Z_C30CE12B_11DC_4479_B6AC_C3BD3E3ED3C8_.wvu.PrintTitles" localSheetId="1" hidden="1">精餾產銷!$1:$2</definedName>
    <definedName name="Z_C4012EDA_74F8_40F5_A6DA_AD74E72C6BBE_.wvu.FilterData" localSheetId="1" hidden="1">精餾產銷!$AK$4:$AL$107</definedName>
    <definedName name="Z_C4012EDA_74F8_40F5_A6DA_AD74E72C6BBE_.wvu.FilterData" localSheetId="3" hidden="1">調配產銷!$AF$4:$AF$81</definedName>
    <definedName name="Z_C42D3AE9_5C47_4442_A16B_515C5FFBC3F6_.wvu.FilterData" localSheetId="1" hidden="1">精餾產銷!$AK$4:$AL$107</definedName>
    <definedName name="Z_C4B9339A_7F40_4681_A1D3_C260739EBE28_.wvu.FilterData" localSheetId="3" hidden="1">調配產銷!$AF$4:$AF$81</definedName>
    <definedName name="Z_C5E39EA4_6DD8_48CB_B013_CA8D2CFD6747_.wvu.FilterData" localSheetId="2" hidden="1">初餾產銷!$AJ$4:$AJ$78</definedName>
    <definedName name="Z_C5E39EA4_6DD8_48CB_B013_CA8D2CFD6747_.wvu.FilterData" localSheetId="1" hidden="1">精餾產銷!$AK$4:$AL$107</definedName>
    <definedName name="Z_C5E39EA4_6DD8_48CB_B013_CA8D2CFD6747_.wvu.FilterData" localSheetId="3" hidden="1">調配產銷!$AF$4:$AF$81</definedName>
    <definedName name="Z_C62366B8_1B1A_4D5C_87BA_730EA6C3162C_.wvu.FilterData" localSheetId="3" hidden="1">調配產銷!$AF$4:$AF$81</definedName>
    <definedName name="Z_C67CB81F_C527_46B9_8A5E_8AF98DA86C25_.wvu.FilterData" localSheetId="1" hidden="1">精餾產銷!$AK$4:$AL$107</definedName>
    <definedName name="Z_C67CB81F_C527_46B9_8A5E_8AF98DA86C25_.wvu.FilterData" localSheetId="3" hidden="1">調配產銷!$AF$4:$AF$81</definedName>
    <definedName name="Z_C724E655_A03D_4E3D_99E9_0B18F8349DFC_.wvu.FilterData" localSheetId="2" hidden="1">初餾產銷!$A$4:$AJ$53</definedName>
    <definedName name="Z_C724E655_A03D_4E3D_99E9_0B18F8349DFC_.wvu.FilterData" localSheetId="1" hidden="1">精餾產銷!$AK$4:$AL$107</definedName>
    <definedName name="Z_C80BC41E_3821_483D_ABCF_7E671BC60308_.wvu.FilterData" localSheetId="2" hidden="1">初餾產銷!$AJ$4:$AJ$78</definedName>
    <definedName name="Z_C80BC41E_3821_483D_ABCF_7E671BC60308_.wvu.FilterData" localSheetId="1" hidden="1">精餾產銷!$AK$4:$AL$107</definedName>
    <definedName name="Z_C80BC41E_3821_483D_ABCF_7E671BC60308_.wvu.FilterData" localSheetId="3" hidden="1">調配產銷!$AF$4:$AF$81</definedName>
    <definedName name="Z_C81FBF86_2761_47AA_8DC5_23776D93725F_.wvu.FilterData" localSheetId="2" hidden="1">初餾產銷!$AJ$4:$AJ$78</definedName>
    <definedName name="Z_C81FBF86_2761_47AA_8DC5_23776D93725F_.wvu.FilterData" localSheetId="1" hidden="1">精餾產銷!$AK$4:$AL$107</definedName>
    <definedName name="Z_C81FBF86_2761_47AA_8DC5_23776D93725F_.wvu.FilterData" localSheetId="3" hidden="1">調配產銷!$AF$4:$AF$81</definedName>
    <definedName name="Z_C88C62DB_8B8F_4E4D_A6BC_AC213750AC2A_.wvu.FilterData" localSheetId="2" hidden="1">初餾產銷!$AJ$4:$AJ$78</definedName>
    <definedName name="Z_C88C62DB_8B8F_4E4D_A6BC_AC213750AC2A_.wvu.FilterData" localSheetId="3" hidden="1">調配產銷!$AF$4:$AF$81</definedName>
    <definedName name="Z_C89A784B_7814_4E2E_98C0_B8D71A63362B_.wvu.FilterData" localSheetId="1" hidden="1">精餾產銷!$AK$4:$AL$107</definedName>
    <definedName name="Z_C8EC1949_659C_453D_B7BD_E7B347E5B467_.wvu.FilterData" localSheetId="1" hidden="1">精餾產銷!$AK$4:$AL$107</definedName>
    <definedName name="Z_C8F86D15_9D3A_46FB_9E7E_AB79601FBF26_.wvu.FilterData" localSheetId="1" hidden="1">精餾產銷!$AK$4:$AL$107</definedName>
    <definedName name="Z_C958E2E5_97D4_4E3F_BF76_F1778647AFC6_.wvu.FilterData" localSheetId="2" hidden="1">初餾產銷!$AJ$4:$AJ$78</definedName>
    <definedName name="Z_C958E2E5_97D4_4E3F_BF76_F1778647AFC6_.wvu.FilterData" localSheetId="1" hidden="1">精餾產銷!$AK$4:$AL$107</definedName>
    <definedName name="Z_C958E2E5_97D4_4E3F_BF76_F1778647AFC6_.wvu.FilterData" localSheetId="3" hidden="1">調配產銷!$AF$4:$AF$81</definedName>
    <definedName name="Z_C964F82D_0441_473E_8BD1_BE2477623168_.wvu.FilterData" localSheetId="1" hidden="1">精餾產銷!$AK$4:$AL$102</definedName>
    <definedName name="Z_C9E3F789_8EE0_48F3_A906_31D9538640E2_.wvu.FilterData" localSheetId="2" hidden="1">初餾產銷!$AJ$4:$AJ$78</definedName>
    <definedName name="Z_C9E3F789_8EE0_48F3_A906_31D9538640E2_.wvu.FilterData" localSheetId="1" hidden="1">精餾產銷!$AK$4:$AL$107</definedName>
    <definedName name="Z_C9ED2C87_58B3_4FFA_82FF_04AAAC9BA5B1_.wvu.FilterData" localSheetId="1" hidden="1">精餾產銷!$AK$4:$AL$102</definedName>
    <definedName name="Z_CA29C606_A9B2_4F5A_BB31_81D6A9CFDF79_.wvu.FilterData" localSheetId="2" hidden="1">初餾產銷!$A$4:$AJ$53</definedName>
    <definedName name="Z_CA29C606_A9B2_4F5A_BB31_81D6A9CFDF79_.wvu.FilterData" localSheetId="1" hidden="1">精餾產銷!$AK$4:$AL$107</definedName>
    <definedName name="Z_CA5A9C50_0E00_4424_BD14_F780DB40A734_.wvu.FilterData" localSheetId="2" hidden="1">初餾產銷!$A$4:$AJ$53</definedName>
    <definedName name="Z_CA5A9C50_0E00_4424_BD14_F780DB40A734_.wvu.FilterData" localSheetId="1" hidden="1">精餾產銷!$AK$4:$AL$102</definedName>
    <definedName name="Z_CA5A9C50_0E00_4424_BD14_F780DB40A734_.wvu.FilterData" localSheetId="3" hidden="1">調配產銷!#REF!</definedName>
    <definedName name="Z_CA6776D5_FBFF_423B_882E_A2E83667FA05_.wvu.FilterData" localSheetId="1" hidden="1">精餾產銷!$AK$4:$AL$107</definedName>
    <definedName name="Z_CA6776D5_FBFF_423B_882E_A2E83667FA05_.wvu.FilterData" localSheetId="3" hidden="1">調配產銷!$AF$4:$AF$81</definedName>
    <definedName name="Z_CA89EF8F_BD3A_4905_8861_55057EAC2790_.wvu.FilterData" localSheetId="2" hidden="1">初餾產銷!$AJ$4:$AJ$78</definedName>
    <definedName name="Z_CA89EF8F_BD3A_4905_8861_55057EAC2790_.wvu.FilterData" localSheetId="1" hidden="1">精餾產銷!$AK$4:$AL$107</definedName>
    <definedName name="Z_CA89EF8F_BD3A_4905_8861_55057EAC2790_.wvu.FilterData" localSheetId="3" hidden="1">調配產銷!$AF$4:$AF$81</definedName>
    <definedName name="Z_CAC14F13_5914_49F8_AD5B_F24608798ED8_.wvu.Cols" localSheetId="2" hidden="1">初餾產銷!$B:$B,初餾產銷!$D:$F</definedName>
    <definedName name="Z_CAC14F13_5914_49F8_AD5B_F24608798ED8_.wvu.Cols" localSheetId="0" hidden="1">'產銷總表 '!$B:$B,'產銷總表 '!$D:$F</definedName>
    <definedName name="Z_CAC14F13_5914_49F8_AD5B_F24608798ED8_.wvu.Cols" localSheetId="1" hidden="1">精餾產銷!$B:$B,精餾產銷!$D:$F</definedName>
    <definedName name="Z_CAC14F13_5914_49F8_AD5B_F24608798ED8_.wvu.FilterData" localSheetId="2" hidden="1">初餾產銷!$AJ$4:$AJ$78</definedName>
    <definedName name="Z_CAC14F13_5914_49F8_AD5B_F24608798ED8_.wvu.FilterData" localSheetId="4" hidden="1">秏料!$A$2:$L$134</definedName>
    <definedName name="Z_CAC14F13_5914_49F8_AD5B_F24608798ED8_.wvu.FilterData" localSheetId="0" hidden="1">'產銷總表 '!$AF$5:$AG$241</definedName>
    <definedName name="Z_CAC14F13_5914_49F8_AD5B_F24608798ED8_.wvu.FilterData" localSheetId="1" hidden="1">精餾產銷!$AK$4:$AL$107</definedName>
    <definedName name="Z_CAC14F13_5914_49F8_AD5B_F24608798ED8_.wvu.FilterData" localSheetId="3" hidden="1">調配產銷!$AF$4:$AF$81</definedName>
    <definedName name="Z_CAC14F13_5914_49F8_AD5B_F24608798ED8_.wvu.PrintArea" localSheetId="2" hidden="1">初餾產銷!$A$1:$AI$78</definedName>
    <definedName name="Z_CAC14F13_5914_49F8_AD5B_F24608798ED8_.wvu.PrintArea" localSheetId="4" hidden="1">秏料!$A$1:$L$134</definedName>
    <definedName name="Z_CAC14F13_5914_49F8_AD5B_F24608798ED8_.wvu.PrintArea" localSheetId="0" hidden="1">'產銷總表 '!$A$2:$AE$241</definedName>
    <definedName name="Z_CAC14F13_5914_49F8_AD5B_F24608798ED8_.wvu.PrintArea" localSheetId="1" hidden="1">精餾產銷!$A$1:$AE$107</definedName>
    <definedName name="Z_CAC14F13_5914_49F8_AD5B_F24608798ED8_.wvu.PrintArea" localSheetId="3" hidden="1">調配產銷!$A$1:$AE$83</definedName>
    <definedName name="Z_CAC14F13_5914_49F8_AD5B_F24608798ED8_.wvu.PrintTitles" localSheetId="2" hidden="1">初餾產銷!$1:$2</definedName>
    <definedName name="Z_CAC14F13_5914_49F8_AD5B_F24608798ED8_.wvu.PrintTitles" localSheetId="1" hidden="1">精餾產銷!$1:$2</definedName>
    <definedName name="Z_CB0C6274_175A_4E68_B8B5_F4590860AFB0_.wvu.FilterData" localSheetId="2" hidden="1">初餾產銷!$AJ$4:$AJ$78</definedName>
    <definedName name="Z_CB0C6274_175A_4E68_B8B5_F4590860AFB0_.wvu.FilterData" localSheetId="1" hidden="1">精餾產銷!$AK$4:$AL$107</definedName>
    <definedName name="Z_CB27046F_8193_4FE4_A85B_A533869E1226_.wvu.FilterData" localSheetId="1" hidden="1">精餾產銷!$AF$4:$AF$105</definedName>
    <definedName name="Z_CB27046F_8193_4FE4_A85B_A533869E1226_.wvu.FilterData" localSheetId="3" hidden="1">調配產銷!#REF!</definedName>
    <definedName name="Z_CBC573F8_1B98_436E_AA53_0D7D58CA5A20_.wvu.FilterData" localSheetId="1" hidden="1">精餾產銷!$AF$4:$AF$105</definedName>
    <definedName name="Z_CC1BDA2F_3886_497B_92D0_05F345D76443_.wvu.FilterData" localSheetId="1" hidden="1">精餾產銷!$AK$4:$AL$107</definedName>
    <definedName name="Z_CCC2722A_E60B_4FA4_900D_472D2B83D576_.wvu.FilterData" localSheetId="1" hidden="1">精餾產銷!$AK$4:$AL$107</definedName>
    <definedName name="Z_CCF9FDDB_58E2_4F04_9E25_C7DC37239BE6_.wvu.FilterData" localSheetId="3" hidden="1">調配產銷!#REF!</definedName>
    <definedName name="Z_CD357C1B_1D23_4F10_B96C_1A539F2E0588_.wvu.FilterData" localSheetId="1" hidden="1">精餾產銷!$AK$4:$AL$107</definedName>
    <definedName name="Z_CD4EE856_2BE4_4F52_B5BB_A307ADC04D86_.wvu.FilterData" localSheetId="1" hidden="1">精餾產銷!$AK$4:$AL$107</definedName>
    <definedName name="Z_CD5A5DFD_6C58_49A8_8388_D75B9F36643C_.wvu.FilterData" localSheetId="1" hidden="1">精餾產銷!$AK$4:$AL$107</definedName>
    <definedName name="Z_CDA03244_C041_4A5C_96C8_6260E7585CF3_.wvu.FilterData" localSheetId="1" hidden="1">精餾產銷!$AF$4:$AF$105</definedName>
    <definedName name="Z_CDA03244_C041_4A5C_96C8_6260E7585CF3_.wvu.FilterData" localSheetId="3" hidden="1">調配產銷!#REF!</definedName>
    <definedName name="Z_CDD79AA6_9692_493E_AE8A_FFF977BB0959_.wvu.FilterData" localSheetId="1" hidden="1">精餾產銷!$AK$4:$AL$107</definedName>
    <definedName name="Z_CDDE6CF0_FE8A_4D71_9830_BB16AC9A187D_.wvu.FilterData" localSheetId="2" hidden="1">初餾產銷!$A$4:$AJ$53</definedName>
    <definedName name="Z_CDDE6CF0_FE8A_4D71_9830_BB16AC9A187D_.wvu.FilterData" localSheetId="1" hidden="1">精餾產銷!$AK$4:$AL$107</definedName>
    <definedName name="Z_CDE819FC_2967_4FF8_A2C7_B8C5A742ACBA_.wvu.FilterData" localSheetId="2" hidden="1">初餾產銷!$AJ$4:$AJ$78</definedName>
    <definedName name="Z_CDE819FC_2967_4FF8_A2C7_B8C5A742ACBA_.wvu.FilterData" localSheetId="1" hidden="1">精餾產銷!$AK$4:$AL$107</definedName>
    <definedName name="Z_CDE819FC_2967_4FF8_A2C7_B8C5A742ACBA_.wvu.FilterData" localSheetId="3" hidden="1">調配產銷!$AF$4:$AF$81</definedName>
    <definedName name="Z_CE6E44E3_38CE_434D_8CEB_26159F00AFCD_.wvu.FilterData" localSheetId="2" hidden="1">初餾產銷!$AF$4:$AF$53</definedName>
    <definedName name="Z_CEDE8589_6655_4350_8889_2FA95CE2AF1A_.wvu.FilterData" localSheetId="3" hidden="1">調配產銷!$AF$4:$AF$81</definedName>
    <definedName name="Z_CEF51ECC_4200_41B1_9EEC_D338550041EA_.wvu.FilterData" localSheetId="2" hidden="1">初餾產銷!$A$4:$AJ$53</definedName>
    <definedName name="Z_CF5B2766_9CBD_4343_98C6_9DB4269E20BD_.wvu.FilterData" localSheetId="2" hidden="1">初餾產銷!$AJ$4:$AJ$78</definedName>
    <definedName name="Z_CF5B2766_9CBD_4343_98C6_9DB4269E20BD_.wvu.FilterData" localSheetId="1" hidden="1">精餾產銷!$AK$4:$AL$107</definedName>
    <definedName name="Z_CFB14128_4988_489E_A4CF_016918260663_.wvu.FilterData" localSheetId="1" hidden="1">精餾產銷!$AK$4:$AL$107</definedName>
    <definedName name="Z_CFD2A184_B9C2_4B9F_AC81_7D209780734D_.wvu.FilterData" localSheetId="3" hidden="1">調配產銷!$AF$4:$AF$81</definedName>
    <definedName name="Z_D065F4F3_1224_4D29_89D7_CAAF2080B907_.wvu.Cols" localSheetId="2" hidden="1">初餾產銷!$B:$B,初餾產銷!$D:$F</definedName>
    <definedName name="Z_D065F4F3_1224_4D29_89D7_CAAF2080B907_.wvu.Cols" localSheetId="0" hidden="1">'產銷總表 '!$B:$B,'產銷總表 '!$D:$F</definedName>
    <definedName name="Z_D065F4F3_1224_4D29_89D7_CAAF2080B907_.wvu.Cols" localSheetId="1" hidden="1">精餾產銷!$B:$B,精餾產銷!$D:$F</definedName>
    <definedName name="Z_D065F4F3_1224_4D29_89D7_CAAF2080B907_.wvu.Cols" localSheetId="3" hidden="1">調配產銷!$B:$B,調配產銷!$D:$F</definedName>
    <definedName name="Z_D065F4F3_1224_4D29_89D7_CAAF2080B907_.wvu.FilterData" localSheetId="2" hidden="1">初餾產銷!$AJ$4:$AJ$78</definedName>
    <definedName name="Z_D065F4F3_1224_4D29_89D7_CAAF2080B907_.wvu.FilterData" localSheetId="4" hidden="1">秏料!$A$2:$L$134</definedName>
    <definedName name="Z_D065F4F3_1224_4D29_89D7_CAAF2080B907_.wvu.FilterData" localSheetId="0" hidden="1">'產銷總表 '!$AF$5:$AG$241</definedName>
    <definedName name="Z_D065F4F3_1224_4D29_89D7_CAAF2080B907_.wvu.FilterData" localSheetId="1" hidden="1">精餾產銷!$AK$4:$AL$107</definedName>
    <definedName name="Z_D065F4F3_1224_4D29_89D7_CAAF2080B907_.wvu.FilterData" localSheetId="3" hidden="1">調配產銷!$AF$4:$AF$81</definedName>
    <definedName name="Z_D065F4F3_1224_4D29_89D7_CAAF2080B907_.wvu.PrintArea" localSheetId="2" hidden="1">初餾產銷!$A$1:$AI$78</definedName>
    <definedName name="Z_D065F4F3_1224_4D29_89D7_CAAF2080B907_.wvu.PrintArea" localSheetId="4" hidden="1">秏料!$A$1:$L$134</definedName>
    <definedName name="Z_D065F4F3_1224_4D29_89D7_CAAF2080B907_.wvu.PrintArea" localSheetId="0" hidden="1">'產銷總表 '!$A$2:$AE$241</definedName>
    <definedName name="Z_D065F4F3_1224_4D29_89D7_CAAF2080B907_.wvu.PrintArea" localSheetId="1" hidden="1">精餾產銷!$A$1:$AE$107</definedName>
    <definedName name="Z_D065F4F3_1224_4D29_89D7_CAAF2080B907_.wvu.PrintArea" localSheetId="3" hidden="1">調配產銷!$A$1:$AE$83</definedName>
    <definedName name="Z_D065F4F3_1224_4D29_89D7_CAAF2080B907_.wvu.PrintTitles" localSheetId="2" hidden="1">初餾產銷!$1:$2</definedName>
    <definedName name="Z_D065F4F3_1224_4D29_89D7_CAAF2080B907_.wvu.PrintTitles" localSheetId="1" hidden="1">精餾產銷!$1:$2</definedName>
    <definedName name="Z_D07A3769_AF37_4CE4_B174_C2CF18675184_.wvu.FilterData" localSheetId="2" hidden="1">初餾產銷!$AJ$4:$AJ$78</definedName>
    <definedName name="Z_D07A3769_AF37_4CE4_B174_C2CF18675184_.wvu.FilterData" localSheetId="1" hidden="1">精餾產銷!$AK$4:$AL$107</definedName>
    <definedName name="Z_D07A3769_AF37_4CE4_B174_C2CF18675184_.wvu.FilterData" localSheetId="3" hidden="1">調配產銷!$AF$4:$AF$81</definedName>
    <definedName name="Z_D0CFB3F1_7865_45A5_8842_97CF1BF87ED6_.wvu.FilterData" localSheetId="2" hidden="1">初餾產銷!$A$4:$AJ$53</definedName>
    <definedName name="Z_D0CFB3F1_7865_45A5_8842_97CF1BF87ED6_.wvu.FilterData" localSheetId="1" hidden="1">精餾產銷!$AK$4:$AL$107</definedName>
    <definedName name="Z_D0CFB3F1_7865_45A5_8842_97CF1BF87ED6_.wvu.FilterData" localSheetId="3" hidden="1">調配產銷!#REF!</definedName>
    <definedName name="Z_D0FE24AE_E0AF_4EB7_B039_4D1FDDEA25E2_.wvu.FilterData" localSheetId="1" hidden="1">精餾產銷!$AK$4:$AL$107</definedName>
    <definedName name="Z_D0FE24AE_E0AF_4EB7_B039_4D1FDDEA25E2_.wvu.FilterData" localSheetId="3" hidden="1">調配產銷!$AF$4:$AF$81</definedName>
    <definedName name="Z_D1112FF3_F26E_4B5C_8163_C8192079F780_.wvu.FilterData" localSheetId="2" hidden="1">初餾產銷!$AJ$4:$AJ$78</definedName>
    <definedName name="Z_D1112FF3_F26E_4B5C_8163_C8192079F780_.wvu.FilterData" localSheetId="1" hidden="1">精餾產銷!$AK$4:$AL$107</definedName>
    <definedName name="Z_D1112FF3_F26E_4B5C_8163_C8192079F780_.wvu.FilterData" localSheetId="3" hidden="1">調配產銷!$AF$4:$AF$81</definedName>
    <definedName name="Z_D129EDD6_CE7B_4882_BE2A_06745C7C6D5F_.wvu.FilterData" localSheetId="3" hidden="1">調配產銷!$AF$4:$AF$81</definedName>
    <definedName name="Z_D14F89E9_EC79_497D_B203_FF874FBF4EE1_.wvu.FilterData" localSheetId="1" hidden="1">精餾產銷!$AF$4:$AF$105</definedName>
    <definedName name="Z_D154CA95_DF47_4552_9559_BA9F49E67718_.wvu.FilterData" localSheetId="2" hidden="1">初餾產銷!$AF$4:$AF$53</definedName>
    <definedName name="Z_D154CA95_DF47_4552_9559_BA9F49E67718_.wvu.FilterData" localSheetId="3" hidden="1">調配產銷!#REF!</definedName>
    <definedName name="Z_D178D9D0_3AC9_4EA8_931C_84874AFE0706_.wvu.FilterData" localSheetId="1" hidden="1">精餾產銷!$AK$4:$AL$107</definedName>
    <definedName name="Z_D18D42AF_285B_4F7D_9F67_3DE03AA71549_.wvu.FilterData" localSheetId="2" hidden="1">初餾產銷!$AF$4:$AF$53</definedName>
    <definedName name="Z_D1E85C44_3AAB_4702_A5FA_0020A15BA207_.wvu.FilterData" localSheetId="3" hidden="1">調配產銷!#REF!</definedName>
    <definedName name="Z_D2647F39_7622_4893_BA94_E542B5B02560_.wvu.FilterData" localSheetId="2" hidden="1">初餾產銷!$AJ$4:$AJ$78</definedName>
    <definedName name="Z_D2647F39_7622_4893_BA94_E542B5B02560_.wvu.FilterData" localSheetId="1" hidden="1">精餾產銷!$AK$4:$AL$107</definedName>
    <definedName name="Z_D2647F39_7622_4893_BA94_E542B5B02560_.wvu.FilterData" localSheetId="3" hidden="1">調配產銷!$AF$4:$AF$81</definedName>
    <definedName name="Z_D2B022B3_F918_40DB_929A_CD470541C72C_.wvu.FilterData" localSheetId="1" hidden="1">精餾產銷!$AF$4:$AF$105</definedName>
    <definedName name="Z_D2F3C7BD_1F18_4586_9B45_6984F97088B4_.wvu.FilterData" localSheetId="3" hidden="1">調配產銷!$AF$4:$AF$81</definedName>
    <definedName name="Z_D38DBF64_3A3C_40E2_814E_4160F3896362_.wvu.FilterData" localSheetId="1" hidden="1">精餾產銷!$AK$4:$AL$107</definedName>
    <definedName name="Z_D4251BD2_DB49_49DA_9559_C7CB56AFCA09_.wvu.FilterData" localSheetId="1" hidden="1">精餾產銷!$AF$4:$AF$105</definedName>
    <definedName name="Z_D4434E92_3E54_44E8_A616_C67EB2AC761A_.wvu.FilterData" localSheetId="2" hidden="1">初餾產銷!$A$4:$AJ$53</definedName>
    <definedName name="Z_D481EEB9_DC47_43DF_A425_CC559FA2E6A2_.wvu.FilterData" localSheetId="3" hidden="1">調配產銷!$AF$4:$AF$81</definedName>
    <definedName name="Z_D49EABE7_0F12_47BC_BFA9_E2FC1FD60C74_.wvu.FilterData" localSheetId="0" hidden="1">'產銷總表 '!$A$5:$F$118</definedName>
    <definedName name="Z_D49EABE7_0F12_47BC_BFA9_E2FC1FD60C74_.wvu.FilterData" localSheetId="1" hidden="1">精餾產銷!$AK$4:$AL$107</definedName>
    <definedName name="Z_D49EABE7_0F12_47BC_BFA9_E2FC1FD60C74_.wvu.FilterData" localSheetId="3" hidden="1">調配產銷!#REF!</definedName>
    <definedName name="Z_D51DDC2A_95FE_4F38_893D_8C0C246A3DD2_.wvu.FilterData" localSheetId="2" hidden="1">初餾產銷!$AF$4:$AF$53</definedName>
    <definedName name="Z_D51DDC2A_95FE_4F38_893D_8C0C246A3DD2_.wvu.FilterData" localSheetId="1" hidden="1">精餾產銷!$AF$4:$AF$105</definedName>
    <definedName name="Z_D51DDC2A_95FE_4F38_893D_8C0C246A3DD2_.wvu.FilterData" localSheetId="3" hidden="1">調配產銷!#REF!</definedName>
    <definedName name="Z_D51F13AC_B1CF_4C67_8FC8_2E911DCF13B6_.wvu.FilterData" localSheetId="1" hidden="1">精餾產銷!$AK$4:$AL$107</definedName>
    <definedName name="Z_D53FD1E2_4BC8_4988_BD25_A3F0181A26CB_.wvu.FilterData" localSheetId="2" hidden="1">初餾產銷!$A$4:$AJ$51</definedName>
    <definedName name="Z_D53FD1E2_4BC8_4988_BD25_A3F0181A26CB_.wvu.FilterData" localSheetId="1" hidden="1">精餾產銷!$A$4:$AJ$105</definedName>
    <definedName name="Z_D56D14CC_1901_479F_B779_31FEC2383487_.wvu.Cols" localSheetId="2" hidden="1">初餾產銷!$B:$B,初餾產銷!$D:$F</definedName>
    <definedName name="Z_D56D14CC_1901_479F_B779_31FEC2383487_.wvu.Cols" localSheetId="0" hidden="1">'產銷總表 '!$B:$B,'產銷總表 '!$D:$F</definedName>
    <definedName name="Z_D56D14CC_1901_479F_B779_31FEC2383487_.wvu.Cols" localSheetId="1" hidden="1">精餾產銷!$B:$B,精餾產銷!$D:$F</definedName>
    <definedName name="Z_D56D14CC_1901_479F_B779_31FEC2383487_.wvu.Cols" localSheetId="3" hidden="1">調配產銷!$B:$B</definedName>
    <definedName name="Z_D56D14CC_1901_479F_B779_31FEC2383487_.wvu.FilterData" localSheetId="2" hidden="1">初餾產銷!$AJ$4:$AJ$78</definedName>
    <definedName name="Z_D56D14CC_1901_479F_B779_31FEC2383487_.wvu.FilterData" localSheetId="4" hidden="1">秏料!$A$2:$L$134</definedName>
    <definedName name="Z_D56D14CC_1901_479F_B779_31FEC2383487_.wvu.FilterData" localSheetId="0" hidden="1">'產銷總表 '!$AF$5:$AG$241</definedName>
    <definedName name="Z_D56D14CC_1901_479F_B779_31FEC2383487_.wvu.FilterData" localSheetId="1" hidden="1">精餾產銷!$A$4:$AP$105</definedName>
    <definedName name="Z_D56D14CC_1901_479F_B779_31FEC2383487_.wvu.FilterData" localSheetId="3" hidden="1">調配產銷!$AF$4:$AF$81</definedName>
    <definedName name="Z_D56D14CC_1901_479F_B779_31FEC2383487_.wvu.PrintArea" localSheetId="2" hidden="1">初餾產銷!$A$1:$AI$78</definedName>
    <definedName name="Z_D56D14CC_1901_479F_B779_31FEC2383487_.wvu.PrintArea" localSheetId="4" hidden="1">秏料!$A$1:$L$134</definedName>
    <definedName name="Z_D56D14CC_1901_479F_B779_31FEC2383487_.wvu.PrintArea" localSheetId="0" hidden="1">'產銷總表 '!$A$2:$AE$241</definedName>
    <definedName name="Z_D56D14CC_1901_479F_B779_31FEC2383487_.wvu.PrintArea" localSheetId="1" hidden="1">精餾產銷!$A$1:$AE$111</definedName>
    <definedName name="Z_D56D14CC_1901_479F_B779_31FEC2383487_.wvu.PrintArea" localSheetId="3" hidden="1">調配產銷!$A$1:$AE$83</definedName>
    <definedName name="Z_D56D14CC_1901_479F_B779_31FEC2383487_.wvu.PrintTitles" localSheetId="2" hidden="1">初餾產銷!$1:$2</definedName>
    <definedName name="Z_D56D14CC_1901_479F_B779_31FEC2383487_.wvu.PrintTitles" localSheetId="1" hidden="1">精餾產銷!$1:$2</definedName>
    <definedName name="Z_D6694FBC_D3E5_4837_B213_F812B4030A57_.wvu.FilterData" localSheetId="3" hidden="1">調配產銷!$AF$4:$AF$81</definedName>
    <definedName name="Z_D6A3841D_763F_42C1_977B_9AABF08ADC84_.wvu.FilterData" localSheetId="3" hidden="1">調配產銷!$AF$4:$AF$81</definedName>
    <definedName name="Z_D6EF3144_31A3_4595_BB5A_EFE2211F808D_.wvu.FilterData" localSheetId="1" hidden="1">精餾產銷!$AK$4:$AL$107</definedName>
    <definedName name="Z_D6EFF85B_F2B2_487C_A39E_0E0C600BA641_.wvu.FilterData" localSheetId="3" hidden="1">調配產銷!$AF$4:$AF$81</definedName>
    <definedName name="Z_D6F204EF_04D7_4B56_9B77_234792C0257C_.wvu.FilterData" localSheetId="1" hidden="1">精餾產銷!$AF$4:$AF$105</definedName>
    <definedName name="Z_D6F68746_86EF_4C2C_A387_9F1F7F935070_.wvu.FilterData" localSheetId="3" hidden="1">調配產銷!$AF$4:$AF$81</definedName>
    <definedName name="Z_D70893BC_B7EF_41A5_92B8_0DE31BDA76B5_.wvu.FilterData" localSheetId="2" hidden="1">初餾產銷!$AJ$4:$AJ$78</definedName>
    <definedName name="Z_D72EAFD0_700E_43D6_B66C_6E9F8B0A9D5F_.wvu.FilterData" localSheetId="1" hidden="1">精餾產銷!$AK$4:$AL$107</definedName>
    <definedName name="Z_D75B05B1_5618_4F32_9523_25CEF33132FD_.wvu.FilterData" localSheetId="2" hidden="1">初餾產銷!$AJ$4:$AJ$78</definedName>
    <definedName name="Z_D75B05B1_5618_4F32_9523_25CEF33132FD_.wvu.FilterData" localSheetId="1" hidden="1">精餾產銷!$AK$4:$AL$107</definedName>
    <definedName name="Z_D765E4B1_D137_44D0_A9BE_39890B62632D_.wvu.FilterData" localSheetId="2" hidden="1">初餾產銷!$AJ$4:$AJ$78</definedName>
    <definedName name="Z_D765E4B1_D137_44D0_A9BE_39890B62632D_.wvu.FilterData" localSheetId="1" hidden="1">精餾產銷!$AK$4:$AL$107</definedName>
    <definedName name="Z_D765E4B1_D137_44D0_A9BE_39890B62632D_.wvu.FilterData" localSheetId="3" hidden="1">調配產銷!$AF$4:$AF$81</definedName>
    <definedName name="Z_D784295A_0C22_41B7_B72A_E00C36E9E0CE_.wvu.FilterData" localSheetId="2" hidden="1">初餾產銷!$AJ$4:$AJ$78</definedName>
    <definedName name="Z_D784295A_0C22_41B7_B72A_E00C36E9E0CE_.wvu.FilterData" localSheetId="1" hidden="1">精餾產銷!$AK$4:$AL$107</definedName>
    <definedName name="Z_D7E36DCE_08A1_4945_B573_BC13C72BE219_.wvu.FilterData" localSheetId="1" hidden="1">精餾產銷!$AF$4:$AF$105</definedName>
    <definedName name="Z_D7F73BAC_E046_4189_B5E7_46DBC2910B49_.wvu.FilterData" localSheetId="1" hidden="1">精餾產銷!$AK$4:$AL$102</definedName>
    <definedName name="Z_D7FEF472_4142_4930_B20B_45658948609E_.wvu.FilterData" localSheetId="1" hidden="1">精餾產銷!$AF$4:$AF$105</definedName>
    <definedName name="Z_D891FDB3_9EEA_4298_AC85_24C3CFB14711_.wvu.FilterData" localSheetId="2" hidden="1">初餾產銷!$A$4:$AK$53</definedName>
    <definedName name="Z_D891FDB3_9EEA_4298_AC85_24C3CFB14711_.wvu.FilterData" localSheetId="1" hidden="1">精餾產銷!$AK$4:$AL$102</definedName>
    <definedName name="Z_D891FDB3_9EEA_4298_AC85_24C3CFB14711_.wvu.FilterData" localSheetId="3" hidden="1">調配產銷!#REF!</definedName>
    <definedName name="Z_D8E05E9A_74D8_4931_8653_8099BB0F822F_.wvu.FilterData" localSheetId="2" hidden="1">初餾產銷!$AJ$4:$AJ$78</definedName>
    <definedName name="Z_D8E05E9A_74D8_4931_8653_8099BB0F822F_.wvu.FilterData" localSheetId="0" hidden="1">'產銷總表 '!$AF$5:$AG$241</definedName>
    <definedName name="Z_D8E05E9A_74D8_4931_8653_8099BB0F822F_.wvu.FilterData" localSheetId="1" hidden="1">精餾產銷!$AK$4:$AL$107</definedName>
    <definedName name="Z_D8E05E9A_74D8_4931_8653_8099BB0F822F_.wvu.FilterData" localSheetId="3" hidden="1">調配產銷!$AF$4:$AF$81</definedName>
    <definedName name="Z_D8E05E9A_74D8_4931_8653_8099BB0F822F_.wvu.PrintArea" localSheetId="2" hidden="1">初餾產銷!$A$1:$AI$78</definedName>
    <definedName name="Z_D8E05E9A_74D8_4931_8653_8099BB0F822F_.wvu.PrintArea" localSheetId="4" hidden="1">秏料!$A$1:$L$134</definedName>
    <definedName name="Z_D8E05E9A_74D8_4931_8653_8099BB0F822F_.wvu.PrintArea" localSheetId="1" hidden="1">精餾產銷!$A$1:$AE$107</definedName>
    <definedName name="Z_D8E05E9A_74D8_4931_8653_8099BB0F822F_.wvu.PrintArea" localSheetId="3" hidden="1">調配產銷!$A$1:$AE$83</definedName>
    <definedName name="Z_D8E05E9A_74D8_4931_8653_8099BB0F822F_.wvu.PrintTitles" localSheetId="2" hidden="1">初餾產銷!$1:$2</definedName>
    <definedName name="Z_D8E05E9A_74D8_4931_8653_8099BB0F822F_.wvu.PrintTitles" localSheetId="1" hidden="1">精餾產銷!$1:$2</definedName>
    <definedName name="Z_D8FCA539_05F7_4575_AB64_60611D03D101_.wvu.FilterData" localSheetId="1" hidden="1">精餾產銷!$AF$4:$AF$105</definedName>
    <definedName name="Z_D939A41C_C0A2_4C4A_8EDB_E10A50A53531_.wvu.FilterData" localSheetId="1" hidden="1">精餾產銷!$AK$4:$AL$107</definedName>
    <definedName name="Z_D940EE09_30B2_4C2E_9102_F2CA729FEFED_.wvu.FilterData" localSheetId="2" hidden="1">初餾產銷!$A$4:$AK$53</definedName>
    <definedName name="Z_DA8C1169_E51D_44C8_BE56_A41356281474_.wvu.FilterData" localSheetId="2" hidden="1">初餾產銷!$AJ$4:$AJ$78</definedName>
    <definedName name="Z_DA8C1169_E51D_44C8_BE56_A41356281474_.wvu.FilterData" localSheetId="1" hidden="1">精餾產銷!$AK$4:$AL$107</definedName>
    <definedName name="Z_DA8C1169_E51D_44C8_BE56_A41356281474_.wvu.FilterData" localSheetId="3" hidden="1">調配產銷!$AF$4:$AF$81</definedName>
    <definedName name="Z_DAB300C6_680C_4C16_B83C_DEA211CBA6C5_.wvu.FilterData" localSheetId="1" hidden="1">精餾產銷!$AK$4:$AL$102</definedName>
    <definedName name="Z_DAF48FAB_A2B8_4870_9986_8FC6F6C889E4_.wvu.FilterData" localSheetId="2" hidden="1">初餾產銷!$AJ$4:$AJ$78</definedName>
    <definedName name="Z_DAF48FAB_A2B8_4870_9986_8FC6F6C889E4_.wvu.FilterData" localSheetId="1" hidden="1">精餾產銷!$AK$4:$AL$107</definedName>
    <definedName name="Z_DB2CC740_ADB9_400A_9AE9_3DD4F8BA2F45_.wvu.FilterData" localSheetId="1" hidden="1">精餾產銷!$AK$4:$AL$107</definedName>
    <definedName name="Z_DBA75E41_D74E_4D11_B408_07682D5377D1_.wvu.FilterData" localSheetId="2" hidden="1">初餾產銷!$A$4:$AJ$51</definedName>
    <definedName name="Z_DBA75E41_D74E_4D11_B408_07682D5377D1_.wvu.FilterData" localSheetId="1" hidden="1">精餾產銷!$A$4:$AJ$105</definedName>
    <definedName name="Z_DBA75E41_D74E_4D11_B408_07682D5377D1_.wvu.FilterData" localSheetId="3" hidden="1">調配產銷!#REF!</definedName>
    <definedName name="Z_DBCA78E6_B002_4A43_A18C_51483A012E94_.wvu.FilterData" localSheetId="3" hidden="1">調配產銷!$AF$4:$AF$81</definedName>
    <definedName name="Z_DBF4615A_2C25_4B67_BF34_F3FF49AAB4F0_.wvu.FilterData" localSheetId="3" hidden="1">調配產銷!#REF!</definedName>
    <definedName name="Z_DC9AB8CF_A30B_49C3_B231_391998D778CF_.wvu.FilterData" localSheetId="2" hidden="1">初餾產銷!$AF$4:$AF$53</definedName>
    <definedName name="Z_DCAE781A_DD93_4980_B6BD_97383132CC19_.wvu.FilterData" localSheetId="2" hidden="1">初餾產銷!$AJ$4:$AJ$78</definedName>
    <definedName name="Z_DCAE781A_DD93_4980_B6BD_97383132CC19_.wvu.FilterData" localSheetId="1" hidden="1">精餾產銷!$AK$4:$AL$107</definedName>
    <definedName name="Z_DCCB4D7D_F8B3_4C21_AC9E_73D3D8F3B955_.wvu.FilterData" localSheetId="2" hidden="1">初餾產銷!$AJ$4:$AJ$78</definedName>
    <definedName name="Z_DCD82DC0_C20D_46AD_8FB2_3E7CEA7E277B_.wvu.FilterData" localSheetId="2" hidden="1">初餾產銷!$AF$4:$AF$53</definedName>
    <definedName name="Z_DCD82DC0_C20D_46AD_8FB2_3E7CEA7E277B_.wvu.FilterData" localSheetId="3" hidden="1">調配產銷!#REF!</definedName>
    <definedName name="Z_DCE2A346_02B9_412D_B1E4_89E8A64BECF6_.wvu.FilterData" localSheetId="1" hidden="1">精餾產銷!$AK$4:$AL$107</definedName>
    <definedName name="Z_DCF1ED8D_96CB_4F29_9057_1F9546C8E935_.wvu.FilterData" localSheetId="1" hidden="1">精餾產銷!$AK$4:$AL$107</definedName>
    <definedName name="Z_DCF1ED8D_96CB_4F29_9057_1F9546C8E935_.wvu.FilterData" localSheetId="3" hidden="1">調配產銷!#REF!</definedName>
    <definedName name="Z_DDF5C611_9A4D_49FF_8352_C6CCB7404798_.wvu.FilterData" localSheetId="1" hidden="1">精餾產銷!$AK$4:$AL$107</definedName>
    <definedName name="Z_DE08489B_6DAE_4034_A544_F0C1E6DB7F3D_.wvu.FilterData" localSheetId="2" hidden="1">初餾產銷!$A$4:$AJ$53</definedName>
    <definedName name="Z_DE0C440B_8251_43BC_B322_0D87BFE249ED_.wvu.FilterData" localSheetId="1" hidden="1">精餾產銷!$AK$4:$AL$107</definedName>
    <definedName name="Z_DE10F5A7_95F5_4626_B2BB_4F24B5F76620_.wvu.FilterData" localSheetId="3" hidden="1">調配產銷!#REF!</definedName>
    <definedName name="Z_DE517009_34F3_422F_8B09_443B1F124363_.wvu.FilterData" localSheetId="1" hidden="1">精餾產銷!$AK$4:$AL$107</definedName>
    <definedName name="Z_DE8A306B_4F2B_45B6_951C_4CBBB69CB9A1_.wvu.FilterData" localSheetId="3" hidden="1">調配產銷!#REF!</definedName>
    <definedName name="Z_DEF81771_746B_48F0_AAE0_710E089E8190_.wvu.FilterData" localSheetId="2" hidden="1">初餾產銷!$AJ$4:$AJ$78</definedName>
    <definedName name="Z_DEF81771_746B_48F0_AAE0_710E089E8190_.wvu.FilterData" localSheetId="1" hidden="1">精餾產銷!$AK$4:$AL$107</definedName>
    <definedName name="Z_DF3C8246_1125_4F38_8A37_5FDC826CD691_.wvu.FilterData" localSheetId="1" hidden="1">精餾產銷!$AK$4:$AL$107</definedName>
    <definedName name="Z_E00BB330_7370_4DF5_B1B2_86FE031A5836_.wvu.FilterData" localSheetId="1" hidden="1">精餾產銷!$AK$4:$AL$107</definedName>
    <definedName name="Z_E00BF190_4048_4A96_B226_4EC0B4A37B16_.wvu.FilterData" localSheetId="2" hidden="1">初餾產銷!$A$4:$AJ$53</definedName>
    <definedName name="Z_E0207E3E_1981_4C3B_A5AB_B607FD027AEC_.wvu.FilterData" localSheetId="1" hidden="1">精餾產銷!$AK$4:$AL$107</definedName>
    <definedName name="Z_E0207E3E_1981_4C3B_A5AB_B607FD027AEC_.wvu.FilterData" localSheetId="3" hidden="1">調配產銷!$AF$4:$AF$81</definedName>
    <definedName name="Z_E04E4578_40D4_4221_A3CD_B13413064E7B_.wvu.FilterData" localSheetId="3" hidden="1">調配產銷!#REF!</definedName>
    <definedName name="Z_E09DC52E_9B5B_49F4_B76B_46DDE44CBE18_.wvu.FilterData" localSheetId="2" hidden="1">初餾產銷!$AF$4:$AF$53</definedName>
    <definedName name="Z_E09DC52E_9B5B_49F4_B76B_46DDE44CBE18_.wvu.FilterData" localSheetId="1" hidden="1">精餾產銷!$AF$4:$AF$105</definedName>
    <definedName name="Z_E09DC52E_9B5B_49F4_B76B_46DDE44CBE18_.wvu.FilterData" localSheetId="3" hidden="1">調配產銷!#REF!</definedName>
    <definedName name="Z_E0CB68A4_68E4_4E3D_8641_BA75A92940FC_.wvu.FilterData" localSheetId="2" hidden="1">初餾產銷!$A$4:$AJ$53</definedName>
    <definedName name="Z_E0F4B4F8_E13D_41DF_8670_F47C5137548A_.wvu.FilterData" localSheetId="1" hidden="1">精餾產銷!$AK$4:$AL$107</definedName>
    <definedName name="Z_E0FCBFED_C6F8_43A5_B3F2_43E413F61095_.wvu.FilterData" localSheetId="1" hidden="1">精餾產銷!$AK$4:$AL$102</definedName>
    <definedName name="Z_E11F8545_E0D6_499D_879D_291F35B83C75_.wvu.FilterData" localSheetId="1" hidden="1">精餾產銷!$AK$4:$AL$107</definedName>
    <definedName name="Z_E12C2651_AB2A_4E7A_8929_C0C58E2EC6A4_.wvu.FilterData" localSheetId="1" hidden="1">精餾產銷!$AK$4:$AL$107</definedName>
    <definedName name="Z_E13637A4_E84F_4248_9100_34F5D732109C_.wvu.FilterData" localSheetId="2" hidden="1">初餾產銷!$AJ$4:$AJ$78</definedName>
    <definedName name="Z_E13637A4_E84F_4248_9100_34F5D732109C_.wvu.FilterData" localSheetId="1" hidden="1">精餾產銷!$AK$4:$AL$107</definedName>
    <definedName name="Z_E1416372_010D_495A_99AD_55C5B263B605_.wvu.FilterData" localSheetId="1" hidden="1">精餾產銷!$AK$4:$AL$102</definedName>
    <definedName name="Z_E14CF38E_8D37_4440_A455_8B2BE2782F48_.wvu.FilterData" localSheetId="2" hidden="1">初餾產銷!$AJ$4:$AJ$78</definedName>
    <definedName name="Z_E14CF38E_8D37_4440_A455_8B2BE2782F48_.wvu.FilterData" localSheetId="1" hidden="1">精餾產銷!$AK$4:$AL$107</definedName>
    <definedName name="Z_E1741916_2432_4C76_B718_740D2BBDAA75_.wvu.FilterData" localSheetId="2" hidden="1">初餾產銷!$AJ$4:$AJ$78</definedName>
    <definedName name="Z_E1741916_2432_4C76_B718_740D2BBDAA75_.wvu.FilterData" localSheetId="1" hidden="1">精餾產銷!$AK$4:$AL$107</definedName>
    <definedName name="Z_E1741916_2432_4C76_B718_740D2BBDAA75_.wvu.FilterData" localSheetId="3" hidden="1">調配產銷!$AF$4:$AF$81</definedName>
    <definedName name="Z_E189C748_25F3_43E1_A31F_557A713B7A86_.wvu.FilterData" localSheetId="2" hidden="1">初餾產銷!$AJ$4:$AJ$78</definedName>
    <definedName name="Z_E1B2A8F9_D90C_4368_8490_7CBA5DECA00B_.wvu.FilterData" localSheetId="2" hidden="1">初餾產銷!$AJ$4:$AJ$78</definedName>
    <definedName name="Z_E1B2A8F9_D90C_4368_8490_7CBA5DECA00B_.wvu.FilterData" localSheetId="0" hidden="1">'產銷總表 '!$AF$5:$AG$241</definedName>
    <definedName name="Z_E1B2A8F9_D90C_4368_8490_7CBA5DECA00B_.wvu.FilterData" localSheetId="1" hidden="1">精餾產銷!$AK$4:$AL$107</definedName>
    <definedName name="Z_E1B2A8F9_D90C_4368_8490_7CBA5DECA00B_.wvu.FilterData" localSheetId="3" hidden="1">調配產銷!$AF$4:$AF$81</definedName>
    <definedName name="Z_E1E978A8_B988_4DFA_8FE1_E81743BA31F3_.wvu.FilterData" localSheetId="2" hidden="1">初餾產銷!$AJ$4:$AJ$78</definedName>
    <definedName name="Z_E1E978A8_B988_4DFA_8FE1_E81743BA31F3_.wvu.FilterData" localSheetId="3" hidden="1">調配產銷!$AF$4:$AF$81</definedName>
    <definedName name="Z_E252CEE3_F19A_4DBC_BEED_4A31A5C661AD_.wvu.FilterData" localSheetId="2" hidden="1">初餾產銷!$A$4:$AJ$53</definedName>
    <definedName name="Z_E252CEE3_F19A_4DBC_BEED_4A31A5C661AD_.wvu.FilterData" localSheetId="1" hidden="1">精餾產銷!$AK$4:$AL$107</definedName>
    <definedName name="Z_E2746287_105B_443D_9054_A7B423351666_.wvu.FilterData" localSheetId="3" hidden="1">調配產銷!$AF$4:$AF$81</definedName>
    <definedName name="Z_E2A32417_B747_47D8_A39F_67A1B7D8D06A_.wvu.FilterData" localSheetId="2" hidden="1">初餾產銷!$AJ$4:$AJ$78</definedName>
    <definedName name="Z_E2A32417_B747_47D8_A39F_67A1B7D8D06A_.wvu.FilterData" localSheetId="1" hidden="1">精餾產銷!$AK$4:$AL$107</definedName>
    <definedName name="Z_E2B535FD_886E_438C_A4E6_CC00F1FAC19C_.wvu.FilterData" localSheetId="2" hidden="1">初餾產銷!$AF$4:$AF$53</definedName>
    <definedName name="Z_E2C2CC01_5332_41FE_B544_D114E3DCC161_.wvu.FilterData" localSheetId="1" hidden="1">精餾產銷!$AK$4:$AL$107</definedName>
    <definedName name="Z_E2C2CC01_5332_41FE_B544_D114E3DCC161_.wvu.FilterData" localSheetId="3" hidden="1">調配產銷!$AF$4:$AF$81</definedName>
    <definedName name="Z_E2E61101_0AF1_4A7B_B333_97C26BBBDE9A_.wvu.FilterData" localSheetId="1" hidden="1">精餾產銷!$AK$4:$AL$107</definedName>
    <definedName name="Z_E3610249_7106_424E_BD90_B0246B8943F6_.wvu.FilterData" localSheetId="3" hidden="1">調配產銷!#REF!</definedName>
    <definedName name="Z_E460649F_97E8_40D4_B131_884478E5E379_.wvu.FilterData" localSheetId="2" hidden="1">初餾產銷!$AJ$4:$AJ$78</definedName>
    <definedName name="Z_E4710A15_18C8_4516_BFF0_A688568BC342_.wvu.FilterData" localSheetId="1" hidden="1">精餾產銷!$AK$4:$AL$107</definedName>
    <definedName name="Z_E4710A15_18C8_4516_BFF0_A688568BC342_.wvu.FilterData" localSheetId="3" hidden="1">調配產銷!$AF$4:$AF$81</definedName>
    <definedName name="Z_E49F16FB_53A6_4A4B_AB59_950F520B64F6_.wvu.FilterData" localSheetId="1" hidden="1">精餾產銷!$AK$4:$AL$107</definedName>
    <definedName name="Z_E4EE1785_12A7_4E3E_A3DE_1FD4F58A8472_.wvu.FilterData" localSheetId="2" hidden="1">初餾產銷!$AJ$4:$AJ$78</definedName>
    <definedName name="Z_E4EE1785_12A7_4E3E_A3DE_1FD4F58A8472_.wvu.FilterData" localSheetId="1" hidden="1">精餾產銷!$AK$4:$AL$107</definedName>
    <definedName name="Z_E515A244_C9A1_4BC7_BF9E_A414F8549D68_.wvu.FilterData" localSheetId="3" hidden="1">調配產銷!$AF$4:$AF$81</definedName>
    <definedName name="Z_E5208071_A396_4C42_8C0D_EEACAF507DD3_.wvu.FilterData" localSheetId="2" hidden="1">初餾產銷!$A$4:$AJ$48</definedName>
    <definedName name="Z_E5208071_A396_4C42_8C0D_EEACAF507DD3_.wvu.FilterData" localSheetId="0" hidden="1">'產銷總表 '!$A$5:$F$118</definedName>
    <definedName name="Z_E5208071_A396_4C42_8C0D_EEACAF507DD3_.wvu.FilterData" localSheetId="1" hidden="1">精餾產銷!$A$4:$AJ$99</definedName>
    <definedName name="Z_E5208071_A396_4C42_8C0D_EEACAF507DD3_.wvu.FilterData" localSheetId="3" hidden="1">調配產銷!#REF!</definedName>
    <definedName name="Z_E614D6D7_E551_4E44_9906_416CB20D7292_.wvu.FilterData" localSheetId="3" hidden="1">調配產銷!$AF$4:$AF$81</definedName>
    <definedName name="Z_E67728D0_36F7_4812_96AB_41C4AFF779BD_.wvu.FilterData" localSheetId="1" hidden="1">精餾產銷!$AK$4:$AL$107</definedName>
    <definedName name="Z_E6F661C5_0C66_4A68_B829_65083EAC8E64_.wvu.FilterData" localSheetId="2" hidden="1">初餾產銷!$A$4:$AJ$53</definedName>
    <definedName name="Z_E7123763_4802_4BDC_A883_399C72449C94_.wvu.FilterData" localSheetId="1" hidden="1">精餾產銷!$AK$4:$AL$107</definedName>
    <definedName name="Z_E714F230_3DF9_4B7D_8961_70EBCFF05CAB_.wvu.FilterData" localSheetId="1" hidden="1">精餾產銷!$AF$4:$AF$105</definedName>
    <definedName name="Z_E760F60D_FB09_4D8F_A270_653CAB28B5AC_.wvu.FilterData" localSheetId="2" hidden="1">初餾產銷!$A$4:$AJ$53</definedName>
    <definedName name="Z_E760F60D_FB09_4D8F_A270_653CAB28B5AC_.wvu.FilterData" localSheetId="1" hidden="1">精餾產銷!$AK$4:$AL$107</definedName>
    <definedName name="Z_E760F60D_FB09_4D8F_A270_653CAB28B5AC_.wvu.FilterData" localSheetId="3" hidden="1">調配產銷!#REF!</definedName>
    <definedName name="Z_E7BCFE7C_4377_442B_A427_9ABB1F15DBD0_.wvu.FilterData" localSheetId="2" hidden="1">初餾產銷!$AJ$4:$AJ$78</definedName>
    <definedName name="Z_E7F6EC8F_6ADD_4ABA_84A3_0E7403ABF6AC_.wvu.FilterData" localSheetId="3" hidden="1">調配產銷!$AF$4:$AF$81</definedName>
    <definedName name="Z_E88159FF_C30A_4E77_B285_1AC17CA3954F_.wvu.FilterData" localSheetId="2" hidden="1">初餾產銷!$AJ$4:$AJ$78</definedName>
    <definedName name="Z_E8CC3A89_FBFA_4D65_B3A7_08E578EB61FA_.wvu.FilterData" localSheetId="1" hidden="1">精餾產銷!$AK$4:$AL$107</definedName>
    <definedName name="Z_E9055BAB_C664_49AC_B6C7_ECA2C32273BE_.wvu.FilterData" localSheetId="2" hidden="1">初餾產銷!$A$4:$AJ$53</definedName>
    <definedName name="Z_E9055BAB_C664_49AC_B6C7_ECA2C32273BE_.wvu.FilterData" localSheetId="1" hidden="1">精餾產銷!$AK$4:$AL$102</definedName>
    <definedName name="Z_E9055BAB_C664_49AC_B6C7_ECA2C32273BE_.wvu.FilterData" localSheetId="3" hidden="1">調配產銷!#REF!</definedName>
    <definedName name="Z_E9104CEF_2C28_4482_8758_81FE08124EF2_.wvu.FilterData" localSheetId="1" hidden="1">精餾產銷!$AK$4:$AL$107</definedName>
    <definedName name="Z_E9104CEF_2C28_4482_8758_81FE08124EF2_.wvu.FilterData" localSheetId="3" hidden="1">調配產銷!$AF$4:$AF$81</definedName>
    <definedName name="Z_E9642724_F27A_4AFB_ADF7_041BFAAC3919_.wvu.FilterData" localSheetId="1" hidden="1">精餾產銷!$AK$4:$AL$107</definedName>
    <definedName name="Z_E9D2A3FE_E62F_45DA_B249_332057C98E33_.wvu.FilterData" localSheetId="2" hidden="1">初餾產銷!$AJ$4:$AJ$78</definedName>
    <definedName name="Z_E9D2A3FE_E62F_45DA_B249_332057C98E33_.wvu.FilterData" localSheetId="1" hidden="1">精餾產銷!$AK$4:$AL$107</definedName>
    <definedName name="Z_E9D2A3FE_E62F_45DA_B249_332057C98E33_.wvu.FilterData" localSheetId="3" hidden="1">調配產銷!$AF$4:$AF$81</definedName>
    <definedName name="Z_EA052571_D0AC_48A8_BB09_73F543808A0F_.wvu.FilterData" localSheetId="2" hidden="1">初餾產銷!$AJ$4:$AJ$78</definedName>
    <definedName name="Z_EA052571_D0AC_48A8_BB09_73F543808A0F_.wvu.FilterData" localSheetId="1" hidden="1">精餾產銷!$AK$4:$AL$107</definedName>
    <definedName name="Z_EA052571_D0AC_48A8_BB09_73F543808A0F_.wvu.FilterData" localSheetId="3" hidden="1">調配產銷!$AF$4:$AF$81</definedName>
    <definedName name="Z_EA203372_FE6D_4F90_9943_DD0EBAB01642_.wvu.FilterData" localSheetId="2" hidden="1">初餾產銷!$AF$4:$AF$53</definedName>
    <definedName name="Z_EAE18DDF_B81A_410C_817B_4CE05E498FA1_.wvu.FilterData" localSheetId="1" hidden="1">精餾產銷!$AK$4:$AL$107</definedName>
    <definedName name="Z_EAE18DDF_B81A_410C_817B_4CE05E498FA1_.wvu.FilterData" localSheetId="3" hidden="1">調配產銷!$AF$4:$AF$81</definedName>
    <definedName name="Z_EB0D44AC_C726_48AF_A5CA_C27E885B4028_.wvu.FilterData" localSheetId="2" hidden="1">初餾產銷!$A$4:$AJ$48</definedName>
    <definedName name="Z_EB0D44AC_C726_48AF_A5CA_C27E885B4028_.wvu.FilterData" localSheetId="0" hidden="1">'產銷總表 '!$A$5:$F$118</definedName>
    <definedName name="Z_EB0D44AC_C726_48AF_A5CA_C27E885B4028_.wvu.FilterData" localSheetId="1" hidden="1">精餾產銷!$A$4:$AJ$99</definedName>
    <definedName name="Z_EB0D44AC_C726_48AF_A5CA_C27E885B4028_.wvu.FilterData" localSheetId="3" hidden="1">調配產銷!#REF!</definedName>
    <definedName name="Z_EB4D7C3C_BF1C_465F_BF10_74BAE00273F4_.wvu.FilterData" localSheetId="2" hidden="1">初餾產銷!$AJ$4:$AJ$78</definedName>
    <definedName name="Z_EB4D7C3C_BF1C_465F_BF10_74BAE00273F4_.wvu.FilterData" localSheetId="1" hidden="1">精餾產銷!$AK$4:$AL$107</definedName>
    <definedName name="Z_EB4D7C3C_BF1C_465F_BF10_74BAE00273F4_.wvu.FilterData" localSheetId="3" hidden="1">調配產銷!$AF$4:$AF$81</definedName>
    <definedName name="Z_EB5930BC_425E_4D8D_8242_2CC4253F4616_.wvu.FilterData" localSheetId="2" hidden="1">初餾產銷!$AJ$4:$AJ$78</definedName>
    <definedName name="Z_EB5930BC_425E_4D8D_8242_2CC4253F4616_.wvu.FilterData" localSheetId="1" hidden="1">精餾產銷!$AK$4:$AL$107</definedName>
    <definedName name="Z_EB5930BC_425E_4D8D_8242_2CC4253F4616_.wvu.FilterData" localSheetId="3" hidden="1">調配產銷!$AF$4:$AF$81</definedName>
    <definedName name="Z_EB6639E9_47ED_4170_A107_488CBAADFF2C_.wvu.FilterData" localSheetId="1" hidden="1">精餾產銷!$AK$4:$AL$107</definedName>
    <definedName name="Z_EB6639E9_47ED_4170_A107_488CBAADFF2C_.wvu.FilterData" localSheetId="3" hidden="1">調配產銷!$AF$4:$AF$81</definedName>
    <definedName name="Z_EB943B35_9741_4B2E_A2DE_5DA12D6A1957_.wvu.FilterData" localSheetId="2" hidden="1">初餾產銷!$AF$4:$AF$53</definedName>
    <definedName name="Z_EB943B35_9741_4B2E_A2DE_5DA12D6A1957_.wvu.FilterData" localSheetId="1" hidden="1">精餾產銷!$AF$4:$AF$105</definedName>
    <definedName name="Z_EBCFB82C_0F31_4B2A_B276_E4859F7F4548_.wvu.FilterData" localSheetId="1" hidden="1">精餾產銷!$AK$4:$AL$107</definedName>
    <definedName name="Z_EBCFB82C_0F31_4B2A_B276_E4859F7F4548_.wvu.FilterData" localSheetId="3" hidden="1">調配產銷!$AF$4:$AF$81</definedName>
    <definedName name="Z_EC0168D1_7A35_430D_9291_AD42283EC5EB_.wvu.FilterData" localSheetId="2" hidden="1">初餾產銷!$A$4:$AJ$53</definedName>
    <definedName name="Z_EC0168D1_7A35_430D_9291_AD42283EC5EB_.wvu.FilterData" localSheetId="1" hidden="1">精餾產銷!$AK$4:$AL$107</definedName>
    <definedName name="Z_EC1C7E7F_453A_4941_895D_5AABF55098E7_.wvu.FilterData" localSheetId="1" hidden="1">精餾產銷!$AK$4:$AL$107</definedName>
    <definedName name="Z_ECB6E7D0_71D7_4501_9F9A_C2203AFB0245_.wvu.FilterData" localSheetId="3" hidden="1">調配產銷!$AF$4:$AF$81</definedName>
    <definedName name="Z_ED1E38E5_1692_4784_807A_3CE8AA8B367C_.wvu.FilterData" localSheetId="2" hidden="1">初餾產銷!$AJ$4:$AJ$78</definedName>
    <definedName name="Z_ED1E38E5_1692_4784_807A_3CE8AA8B367C_.wvu.FilterData" localSheetId="1" hidden="1">精餾產銷!$AK$4:$AL$107</definedName>
    <definedName name="Z_ED1E38E5_1692_4784_807A_3CE8AA8B367C_.wvu.FilterData" localSheetId="3" hidden="1">調配產銷!$AF$4:$AF$81</definedName>
    <definedName name="Z_ED788A96_2A67_44BE_A72D_C76C2035874E_.wvu.FilterData" localSheetId="2" hidden="1">初餾產銷!$AJ$4:$AJ$78</definedName>
    <definedName name="Z_EDB3786F_62A2_4BF6_94BD_7298406D53E9_.wvu.FilterData" localSheetId="2" hidden="1">初餾產銷!$A$4:$AJ$53</definedName>
    <definedName name="Z_EDB3786F_62A2_4BF6_94BD_7298406D53E9_.wvu.FilterData" localSheetId="1" hidden="1">精餾產銷!$AK$4:$AL$107</definedName>
    <definedName name="Z_EDB3786F_62A2_4BF6_94BD_7298406D53E9_.wvu.FilterData" localSheetId="3" hidden="1">調配產銷!#REF!</definedName>
    <definedName name="Z_EDD3A53F_6B60_4527_BA00_D59480745E3C_.wvu.FilterData" localSheetId="2" hidden="1">初餾產銷!$AJ$4:$AJ$78</definedName>
    <definedName name="Z_EDD3A53F_6B60_4527_BA00_D59480745E3C_.wvu.FilterData" localSheetId="1" hidden="1">精餾產銷!$AK$4:$AL$107</definedName>
    <definedName name="Z_EE426788_D2C9_495E_A3CF_9D479F6E37A1_.wvu.FilterData" localSheetId="2" hidden="1">初餾產銷!$AJ$4:$AJ$78</definedName>
    <definedName name="Z_EED62C9E_05BF_41CD_B869_6DBF23A19B24_.wvu.FilterData" localSheetId="3" hidden="1">調配產銷!$AF$4:$AF$81</definedName>
    <definedName name="Z_EEFB8BDC_10E0_45E5_B2EA_CC4A193775B2_.wvu.FilterData" localSheetId="3" hidden="1">調配產銷!$AF$4:$AF$81</definedName>
    <definedName name="Z_EF199E9E_D993_43D9_8F43_1F538CB40D2D_.wvu.FilterData" localSheetId="2" hidden="1">初餾產銷!$AJ$4:$AJ$78</definedName>
    <definedName name="Z_EF199E9E_D993_43D9_8F43_1F538CB40D2D_.wvu.FilterData" localSheetId="1" hidden="1">精餾產銷!$AK$4:$AL$107</definedName>
    <definedName name="Z_EF5BB7C0_D3BE_4036_B6B0_69A988ABD1F3_.wvu.FilterData" localSheetId="1" hidden="1">精餾產銷!$AK$4:$AL$107</definedName>
    <definedName name="Z_EFE68D75_8891_4C20_8233_B4B3FA4206F1_.wvu.FilterData" localSheetId="1" hidden="1">精餾產銷!$AK$4:$AL$102</definedName>
    <definedName name="Z_EFE68D75_8891_4C20_8233_B4B3FA4206F1_.wvu.FilterData" localSheetId="3" hidden="1">調配產銷!#REF!</definedName>
    <definedName name="Z_EFF27E76_675F_4A6B_9EFA_0B398EC060FC_.wvu.FilterData" localSheetId="3" hidden="1">調配產銷!$AF$4:$AF$81</definedName>
    <definedName name="Z_F059746D_5244_44D5_A243_88420C54E643_.wvu.FilterData" localSheetId="1" hidden="1">精餾產銷!$AK$4:$AL$107</definedName>
    <definedName name="Z_F06F8ED3_AA44_4270_8BC4_ABFFC53F2C77_.wvu.FilterData" localSheetId="2" hidden="1">初餾產銷!$A$4:$AJ$53</definedName>
    <definedName name="Z_F06F8ED3_AA44_4270_8BC4_ABFFC53F2C77_.wvu.FilterData" localSheetId="1" hidden="1">精餾產銷!$AK$4:$AL$102</definedName>
    <definedName name="Z_F06F8ED3_AA44_4270_8BC4_ABFFC53F2C77_.wvu.FilterData" localSheetId="3" hidden="1">調配產銷!#REF!</definedName>
    <definedName name="Z_F07C3BD3_7FDD_4FE3_8C62_0FF6B5553944_.wvu.FilterData" localSheetId="1" hidden="1">精餾產銷!$AK$4:$AL$107</definedName>
    <definedName name="Z_F0E8472D_D336_475F_BD23_9D637B9996D5_.wvu.FilterData" localSheetId="1" hidden="1">精餾產銷!$AK$4:$AL$107</definedName>
    <definedName name="Z_F11F924A_4F24_4E30_843F_4B19538496F2_.wvu.FilterData" localSheetId="1" hidden="1">精餾產銷!$AK$4:$AL$107</definedName>
    <definedName name="Z_F15F6E5A_CF4C_4ABE_ABF6_8F2C166D4923_.wvu.FilterData" localSheetId="1" hidden="1">精餾產銷!$AK$4:$AL$107</definedName>
    <definedName name="Z_F1941817_A171_4928_9498_9B21FC9FAA1D_.wvu.FilterData" localSheetId="0" hidden="1">'產銷總表 '!$A$5:$F$118</definedName>
    <definedName name="Z_F253C2B0_C289_468F_9144_CC118E6D00F5_.wvu.FilterData" localSheetId="1" hidden="1">精餾產銷!$AK$4:$AL$107</definedName>
    <definedName name="Z_F2579EDB_03C5_41FA_9411_DA263453A6D7_.wvu.FilterData" localSheetId="3" hidden="1">調配產銷!$AF$4:$AF$81</definedName>
    <definedName name="Z_F2AA7D74_DB02_43AC_850B_A44D18BDB1CB_.wvu.Cols" localSheetId="2" hidden="1">初餾產銷!$B:$B,初餾產銷!$D:$F</definedName>
    <definedName name="Z_F2AA7D74_DB02_43AC_850B_A44D18BDB1CB_.wvu.Cols" localSheetId="0" hidden="1">'產銷總表 '!$B:$B,'產銷總表 '!$D:$F</definedName>
    <definedName name="Z_F2AA7D74_DB02_43AC_850B_A44D18BDB1CB_.wvu.Cols" localSheetId="1" hidden="1">精餾產銷!$B:$B,精餾產銷!$D:$F</definedName>
    <definedName name="Z_F2AA7D74_DB02_43AC_850B_A44D18BDB1CB_.wvu.Cols" localSheetId="3" hidden="1">調配產銷!$B:$B,調配產銷!$D:$F</definedName>
    <definedName name="Z_F2AA7D74_DB02_43AC_850B_A44D18BDB1CB_.wvu.FilterData" localSheetId="2" hidden="1">初餾產銷!$AJ$4:$AJ$78</definedName>
    <definedName name="Z_F2AA7D74_DB02_43AC_850B_A44D18BDB1CB_.wvu.FilterData" localSheetId="4" hidden="1">秏料!$B$2:$G$134</definedName>
    <definedName name="Z_F2AA7D74_DB02_43AC_850B_A44D18BDB1CB_.wvu.FilterData" localSheetId="0" hidden="1">'產銷總表 '!$AF$5:$AG$241</definedName>
    <definedName name="Z_F2AA7D74_DB02_43AC_850B_A44D18BDB1CB_.wvu.FilterData" localSheetId="1" hidden="1">精餾產銷!$AK$4:$AL$107</definedName>
    <definedName name="Z_F2AA7D74_DB02_43AC_850B_A44D18BDB1CB_.wvu.FilterData" localSheetId="3" hidden="1">調配產銷!$AF$4:$AF$81</definedName>
    <definedName name="Z_F2AA7D74_DB02_43AC_850B_A44D18BDB1CB_.wvu.PrintArea" localSheetId="2" hidden="1">初餾產銷!$A$1:$AI$78</definedName>
    <definedName name="Z_F2AA7D74_DB02_43AC_850B_A44D18BDB1CB_.wvu.PrintArea" localSheetId="4" hidden="1">秏料!$A$1:$L$134</definedName>
    <definedName name="Z_F2AA7D74_DB02_43AC_850B_A44D18BDB1CB_.wvu.PrintArea" localSheetId="0" hidden="1">'產銷總表 '!$A$2:$AE$241</definedName>
    <definedName name="Z_F2AA7D74_DB02_43AC_850B_A44D18BDB1CB_.wvu.PrintArea" localSheetId="1" hidden="1">精餾產銷!$A$1:$AE$107</definedName>
    <definedName name="Z_F2AA7D74_DB02_43AC_850B_A44D18BDB1CB_.wvu.PrintArea" localSheetId="3" hidden="1">調配產銷!$A$1:$AE$83</definedName>
    <definedName name="Z_F2AA7D74_DB02_43AC_850B_A44D18BDB1CB_.wvu.PrintTitles" localSheetId="2" hidden="1">初餾產銷!$1:$2</definedName>
    <definedName name="Z_F2AA7D74_DB02_43AC_850B_A44D18BDB1CB_.wvu.PrintTitles" localSheetId="1" hidden="1">精餾產銷!$1:$2</definedName>
    <definedName name="Z_F354F47D_FA9A_4702_875D_C193AAB41E83_.wvu.FilterData" localSheetId="2" hidden="1">初餾產銷!$AF$4:$AF$53</definedName>
    <definedName name="Z_F354F47D_FA9A_4702_875D_C193AAB41E83_.wvu.FilterData" localSheetId="1" hidden="1">精餾產銷!$AF$4:$AF$105</definedName>
    <definedName name="Z_F354F47D_FA9A_4702_875D_C193AAB41E83_.wvu.FilterData" localSheetId="3" hidden="1">調配產銷!#REF!</definedName>
    <definedName name="Z_F3680BDE_75E5_4CA7_9EEB_8CB1BC188E45_.wvu.FilterData" localSheetId="2" hidden="1">初餾產銷!$A$4:$AJ$53</definedName>
    <definedName name="Z_F3680BDE_75E5_4CA7_9EEB_8CB1BC188E45_.wvu.FilterData" localSheetId="1" hidden="1">精餾產銷!$AK$4:$AL$107</definedName>
    <definedName name="Z_F36F4F91_08CE_4A00_ABDD_6A815213E78E_.wvu.FilterData" localSheetId="1" hidden="1">精餾產銷!$AF$4:$AF$105</definedName>
    <definedName name="Z_F3897321_F4B6_4ACE_8D24_5403D93BEE8B_.wvu.FilterData" localSheetId="2" hidden="1">初餾產銷!$AJ$4:$AJ$78</definedName>
    <definedName name="Z_F3897321_F4B6_4ACE_8D24_5403D93BEE8B_.wvu.FilterData" localSheetId="1" hidden="1">精餾產銷!$AK$4:$AL$107</definedName>
    <definedName name="Z_F3897321_F4B6_4ACE_8D24_5403D93BEE8B_.wvu.FilterData" localSheetId="3" hidden="1">調配產銷!$AF$4:$AF$81</definedName>
    <definedName name="Z_F4055257_4226_4752_A340_5EF1B4360CD4_.wvu.FilterData" localSheetId="2" hidden="1">初餾產銷!$AJ$4:$AJ$78</definedName>
    <definedName name="Z_F4055257_4226_4752_A340_5EF1B4360CD4_.wvu.FilterData" localSheetId="1" hidden="1">精餾產銷!$AK$4:$AL$107</definedName>
    <definedName name="Z_F4055257_4226_4752_A340_5EF1B4360CD4_.wvu.FilterData" localSheetId="3" hidden="1">調配產銷!$AF$4:$AF$81</definedName>
    <definedName name="Z_F432DF53_BB88_4449_ACDA_8FA5AB688852_.wvu.FilterData" localSheetId="3" hidden="1">調配產銷!$AF$4:$AF$81</definedName>
    <definedName name="Z_F43D4971_F457_409E_A0FB_089979E68D2B_.wvu.FilterData" localSheetId="1" hidden="1">精餾產銷!$AK$4:$AL$107</definedName>
    <definedName name="Z_F505728E_0418_4308_8A34_ECFF2A262FE3_.wvu.FilterData" localSheetId="1" hidden="1">精餾產銷!$AK$4:$AL$107</definedName>
    <definedName name="Z_F53480A5_5552_4A76_931B_996E05C00E90_.wvu.FilterData" localSheetId="2" hidden="1">初餾產銷!$A$4:$AJ$48</definedName>
    <definedName name="Z_F53480A5_5552_4A76_931B_996E05C00E90_.wvu.FilterData" localSheetId="0" hidden="1">'產銷總表 '!$A$5:$F$118</definedName>
    <definedName name="Z_F53480A5_5552_4A76_931B_996E05C00E90_.wvu.FilterData" localSheetId="1" hidden="1">精餾產銷!$A$4:$AJ$99</definedName>
    <definedName name="Z_F53480A5_5552_4A76_931B_996E05C00E90_.wvu.FilterData" localSheetId="3" hidden="1">調配產銷!#REF!</definedName>
    <definedName name="Z_F5C8A4F5_FF81_4894_ABE5_4E79D30169A5_.wvu.FilterData" localSheetId="3" hidden="1">調配產銷!$AF$4:$AF$81</definedName>
    <definedName name="Z_F5D520A1_4CD0_4D00_A435_A9B1876B5737_.wvu.FilterData" localSheetId="2" hidden="1">初餾產銷!$A$4:$AJ$51</definedName>
    <definedName name="Z_F6186326_9653_4C59_AF0E_727BEA9F3B08_.wvu.FilterData" localSheetId="1" hidden="1">精餾產銷!$AK$4:$AL$107</definedName>
    <definedName name="Z_F6186326_9653_4C59_AF0E_727BEA9F3B08_.wvu.FilterData" localSheetId="3" hidden="1">調配產銷!$AF$4:$AF$81</definedName>
    <definedName name="Z_F68A7D58_121B_4FDF_ADF0_E0359C26435D_.wvu.FilterData" localSheetId="1" hidden="1">精餾產銷!$AK$4:$AL$107</definedName>
    <definedName name="Z_F704D74B_CD9A_4288_BEBC_A4B33B07949D_.wvu.FilterData" localSheetId="1" hidden="1">精餾產銷!$AK$4:$AL$107</definedName>
    <definedName name="Z_F78E1AAB_D849_43DD_90A8_124D08F770D1_.wvu.FilterData" localSheetId="2" hidden="1">初餾產銷!$AJ$4:$AJ$78</definedName>
    <definedName name="Z_F78E1AAB_D849_43DD_90A8_124D08F770D1_.wvu.FilterData" localSheetId="1" hidden="1">精餾產銷!$AK$4:$AL$107</definedName>
    <definedName name="Z_F78E1AAB_D849_43DD_90A8_124D08F770D1_.wvu.FilterData" localSheetId="3" hidden="1">調配產銷!$AF$4:$AF$81</definedName>
    <definedName name="Z_F7CEA908_F822_4E8F_B51B_7F22CB80795C_.wvu.FilterData" localSheetId="1" hidden="1">精餾產銷!$AK$4:$AL$107</definedName>
    <definedName name="Z_F7E70052_E059_4329_9788_D1F5669BA0CD_.wvu.FilterData" localSheetId="2" hidden="1">初餾產銷!$AJ$4:$AJ$78</definedName>
    <definedName name="Z_F858F788_8DE9_46AE_AC8F_3636E8314870_.wvu.FilterData" localSheetId="1" hidden="1">精餾產銷!$AK$4:$AL$107</definedName>
    <definedName name="Z_F86F4494_4040_4155_ACFF_5BDD091924F1_.wvu.FilterData" localSheetId="1" hidden="1">精餾產銷!$AK$4:$AL$107</definedName>
    <definedName name="Z_F8C80707_614F_4004_A355_3E7A67D89201_.wvu.FilterData" localSheetId="2" hidden="1">初餾產銷!$A$4:$AJ$48</definedName>
    <definedName name="Z_F8C80707_614F_4004_A355_3E7A67D89201_.wvu.FilterData" localSheetId="0" hidden="1">'產銷總表 '!$A$5:$F$118</definedName>
    <definedName name="Z_F8C80707_614F_4004_A355_3E7A67D89201_.wvu.FilterData" localSheetId="1" hidden="1">精餾產銷!$A$4:$AJ$99</definedName>
    <definedName name="Z_F8C80707_614F_4004_A355_3E7A67D89201_.wvu.FilterData" localSheetId="3" hidden="1">調配產銷!#REF!</definedName>
    <definedName name="Z_F93DD6E0_2AD2_4C47_B879_ABE0581F49BB_.wvu.Cols" localSheetId="2" hidden="1">初餾產銷!$B:$B,初餾產銷!$D:$F</definedName>
    <definedName name="Z_F93DD6E0_2AD2_4C47_B879_ABE0581F49BB_.wvu.Cols" localSheetId="0" hidden="1">'產銷總表 '!$B:$B,'產銷總表 '!$D:$F</definedName>
    <definedName name="Z_F93DD6E0_2AD2_4C47_B879_ABE0581F49BB_.wvu.Cols" localSheetId="1" hidden="1">精餾產銷!$B:$B,精餾產銷!$D:$F</definedName>
    <definedName name="Z_F93DD6E0_2AD2_4C47_B879_ABE0581F49BB_.wvu.Cols" localSheetId="3" hidden="1">調配產銷!$B:$B,調配產銷!$D:$F</definedName>
    <definedName name="Z_F93DD6E0_2AD2_4C47_B879_ABE0581F49BB_.wvu.FilterData" localSheetId="2" hidden="1">初餾產銷!$AJ$4:$AJ$78</definedName>
    <definedName name="Z_F93DD6E0_2AD2_4C47_B879_ABE0581F49BB_.wvu.FilterData" localSheetId="4" hidden="1">秏料!$A$2:$L$134</definedName>
    <definedName name="Z_F93DD6E0_2AD2_4C47_B879_ABE0581F49BB_.wvu.FilterData" localSheetId="0" hidden="1">'產銷總表 '!$AF$5:$AG$241</definedName>
    <definedName name="Z_F93DD6E0_2AD2_4C47_B879_ABE0581F49BB_.wvu.FilterData" localSheetId="1" hidden="1">精餾產銷!$AK$4:$AL$107</definedName>
    <definedName name="Z_F93DD6E0_2AD2_4C47_B879_ABE0581F49BB_.wvu.FilterData" localSheetId="3" hidden="1">調配產銷!$AF$4:$AF$81</definedName>
    <definedName name="Z_F93DD6E0_2AD2_4C47_B879_ABE0581F49BB_.wvu.PrintArea" localSheetId="2" hidden="1">初餾產銷!$A$1:$AI$78</definedName>
    <definedName name="Z_F93DD6E0_2AD2_4C47_B879_ABE0581F49BB_.wvu.PrintArea" localSheetId="4" hidden="1">秏料!$A$1:$L$134</definedName>
    <definedName name="Z_F93DD6E0_2AD2_4C47_B879_ABE0581F49BB_.wvu.PrintArea" localSheetId="0" hidden="1">'產銷總表 '!$A$2:$AE$241</definedName>
    <definedName name="Z_F93DD6E0_2AD2_4C47_B879_ABE0581F49BB_.wvu.PrintArea" localSheetId="1" hidden="1">精餾產銷!$A$1:$AE$111</definedName>
    <definedName name="Z_F93DD6E0_2AD2_4C47_B879_ABE0581F49BB_.wvu.PrintArea" localSheetId="3" hidden="1">調配產銷!$A$1:$AE$83</definedName>
    <definedName name="Z_F93DD6E0_2AD2_4C47_B879_ABE0581F49BB_.wvu.PrintTitles" localSheetId="2" hidden="1">初餾產銷!$1:$2</definedName>
    <definedName name="Z_F93DD6E0_2AD2_4C47_B879_ABE0581F49BB_.wvu.PrintTitles" localSheetId="1" hidden="1">精餾產銷!$1:$2</definedName>
    <definedName name="Z_F9403FD5_BCBB_43B8_854B_C91666E9CF4F_.wvu.FilterData" localSheetId="1" hidden="1">精餾產銷!$AK$4:$AL$107</definedName>
    <definedName name="Z_F9567992_0539_4FFF_9946_D50C74F1DB0C_.wvu.FilterData" localSheetId="1" hidden="1">精餾產銷!$AK$4:$AL$107</definedName>
    <definedName name="Z_F98979AD_F33E_4D59_831A_722A9E9DB5B2_.wvu.FilterData" localSheetId="0" hidden="1">'產銷總表 '!$AF$5:$AG$241</definedName>
    <definedName name="Z_F98979AD_F33E_4D59_831A_722A9E9DB5B2_.wvu.FilterData" localSheetId="3" hidden="1">調配產銷!$AF$4:$AF$81</definedName>
    <definedName name="Z_F9D937C5_F212_4E10_BCF1_929169BD3176_.wvu.FilterData" localSheetId="2" hidden="1">初餾產銷!$AJ$4:$AJ$78</definedName>
    <definedName name="Z_F9D937C5_F212_4E10_BCF1_929169BD3176_.wvu.FilterData" localSheetId="1" hidden="1">精餾產銷!$AK$4:$AL$107</definedName>
    <definedName name="Z_F9D937C5_F212_4E10_BCF1_929169BD3176_.wvu.FilterData" localSheetId="3" hidden="1">調配產銷!$AF$4:$AF$81</definedName>
    <definedName name="Z_F9E49C52_C16C_48D1_87A3_043D873F168E_.wvu.FilterData" localSheetId="1" hidden="1">精餾產銷!$AF$4:$AF$105</definedName>
    <definedName name="Z_F9F7FD2C_8086_4960_B01E_7ED59828B0F3_.wvu.FilterData" localSheetId="2" hidden="1">初餾產銷!$AJ$4:$AJ$78</definedName>
    <definedName name="Z_F9F7FD2C_8086_4960_B01E_7ED59828B0F3_.wvu.FilterData" localSheetId="1" hidden="1">精餾產銷!$AK$4:$AL$107</definedName>
    <definedName name="Z_F9F7FD2C_8086_4960_B01E_7ED59828B0F3_.wvu.FilterData" localSheetId="3" hidden="1">調配產銷!$AF$4:$AF$81</definedName>
    <definedName name="Z_FA048ABB_8FB5_4FAE_8F9E_3B68073934F1_.wvu.Cols" localSheetId="2" hidden="1">初餾產銷!$B:$B,初餾產銷!$D:$F</definedName>
    <definedName name="Z_FA048ABB_8FB5_4FAE_8F9E_3B68073934F1_.wvu.Cols" localSheetId="0" hidden="1">'產銷總表 '!$B:$B,'產銷總表 '!$D:$F</definedName>
    <definedName name="Z_FA048ABB_8FB5_4FAE_8F9E_3B68073934F1_.wvu.Cols" localSheetId="1" hidden="1">精餾產銷!$B:$B</definedName>
    <definedName name="Z_FA048ABB_8FB5_4FAE_8F9E_3B68073934F1_.wvu.Cols" localSheetId="3" hidden="1">調配產銷!$B:$B</definedName>
    <definedName name="Z_FA048ABB_8FB5_4FAE_8F9E_3B68073934F1_.wvu.FilterData" localSheetId="2" hidden="1">初餾產銷!$AJ$4:$AJ$78</definedName>
    <definedName name="Z_FA048ABB_8FB5_4FAE_8F9E_3B68073934F1_.wvu.FilterData" localSheetId="4" hidden="1">秏料!$A$2:$L$134</definedName>
    <definedName name="Z_FA048ABB_8FB5_4FAE_8F9E_3B68073934F1_.wvu.FilterData" localSheetId="0" hidden="1">'產銷總表 '!$AF$5:$AG$241</definedName>
    <definedName name="Z_FA048ABB_8FB5_4FAE_8F9E_3B68073934F1_.wvu.FilterData" localSheetId="1" hidden="1">精餾產銷!$AK$4:$AL$107</definedName>
    <definedName name="Z_FA048ABB_8FB5_4FAE_8F9E_3B68073934F1_.wvu.FilterData" localSheetId="3" hidden="1">調配產銷!$AF$4:$AF$81</definedName>
    <definedName name="Z_FA048ABB_8FB5_4FAE_8F9E_3B68073934F1_.wvu.PrintArea" localSheetId="2" hidden="1">初餾產銷!$A$1:$AI$78</definedName>
    <definedName name="Z_FA048ABB_8FB5_4FAE_8F9E_3B68073934F1_.wvu.PrintArea" localSheetId="4" hidden="1">秏料!$A$1:$L$134</definedName>
    <definedName name="Z_FA048ABB_8FB5_4FAE_8F9E_3B68073934F1_.wvu.PrintArea" localSheetId="0" hidden="1">'產銷總表 '!$A$2:$AE$241</definedName>
    <definedName name="Z_FA048ABB_8FB5_4FAE_8F9E_3B68073934F1_.wvu.PrintArea" localSheetId="1" hidden="1">精餾產銷!$A$1:$AE$107</definedName>
    <definedName name="Z_FA048ABB_8FB5_4FAE_8F9E_3B68073934F1_.wvu.PrintArea" localSheetId="3" hidden="1">調配產銷!$A$1:$AE$83</definedName>
    <definedName name="Z_FA048ABB_8FB5_4FAE_8F9E_3B68073934F1_.wvu.PrintTitles" localSheetId="2" hidden="1">初餾產銷!$1:$2</definedName>
    <definedName name="Z_FA048ABB_8FB5_4FAE_8F9E_3B68073934F1_.wvu.PrintTitles" localSheetId="1" hidden="1">精餾產銷!$1:$2</definedName>
    <definedName name="Z_FA048ABB_8FB5_4FAE_8F9E_3B68073934F1_.wvu.Rows" localSheetId="2" hidden="1">初餾產銷!$12:$33,初餾產銷!$39:$39,初餾產銷!$45:$71</definedName>
    <definedName name="Z_FA28FA1E_56D4_4D77_9E53_85EC761A5E7D_.wvu.FilterData" localSheetId="1" hidden="1">精餾產銷!$A$4:$AJ$105</definedName>
    <definedName name="Z_FA82AF9E_5913_43D8_A549_C74AF55FC473_.wvu.FilterData" localSheetId="1" hidden="1">精餾產銷!$AK$4:$AL$107</definedName>
    <definedName name="Z_FA82AF9E_5913_43D8_A549_C74AF55FC473_.wvu.FilterData" localSheetId="3" hidden="1">調配產銷!$AF$4:$AF$81</definedName>
    <definedName name="Z_FA95D9BC_B9EE_4935_93E5_E0327E4950C8_.wvu.FilterData" localSheetId="1" hidden="1">精餾產銷!$AF$4:$AF$105</definedName>
    <definedName name="Z_FAAEEF06_1CE6_4A28_8B7F_F0318BC7DDF6_.wvu.FilterData" localSheetId="2" hidden="1">初餾產銷!$A$4:$AJ$53</definedName>
    <definedName name="Z_FAAEEF06_1CE6_4A28_8B7F_F0318BC7DDF6_.wvu.FilterData" localSheetId="1" hidden="1">精餾產銷!$AK$4:$AL$102</definedName>
    <definedName name="Z_FAC3D3A6_6D94_4929_880F_8A4E0ED40566_.wvu.FilterData" localSheetId="3" hidden="1">調配產銷!#REF!</definedName>
    <definedName name="Z_FACB2870_5885_4534_AC3E_E28C7D2C4D8B_.wvu.FilterData" localSheetId="1" hidden="1">精餾產銷!$AK$4:$AL$107</definedName>
    <definedName name="Z_FAEA3DDE_39FE_4221_B839_F495E32D2996_.wvu.FilterData" localSheetId="1" hidden="1">精餾產銷!$AF$4:$AF$105</definedName>
    <definedName name="Z_FC18ACFD_DB03_465F_A32E_F82A70A0ADD2_.wvu.FilterData" localSheetId="2" hidden="1">初餾產銷!$AF$4:$AF$78</definedName>
    <definedName name="Z_FC18ACFD_DB03_465F_A32E_F82A70A0ADD2_.wvu.FilterData" localSheetId="1" hidden="1">精餾產銷!$AK$4:$AL$107</definedName>
    <definedName name="Z_FC32D59B_C715_4965_9140_979DCAB67208_.wvu.FilterData" localSheetId="2" hidden="1">初餾產銷!$AJ$4:$AJ$78</definedName>
    <definedName name="Z_FC32D59B_C715_4965_9140_979DCAB67208_.wvu.FilterData" localSheetId="1" hidden="1">精餾產銷!$AK$4:$AL$107</definedName>
    <definedName name="Z_FC32D59B_C715_4965_9140_979DCAB67208_.wvu.FilterData" localSheetId="3" hidden="1">調配產銷!$AF$4:$AF$81</definedName>
    <definedName name="Z_FC7BB5DB_8CAA_4EFC_AA6B_54DFB32F9924_.wvu.FilterData" localSheetId="2" hidden="1">初餾產銷!$AJ$4:$AJ$78</definedName>
    <definedName name="Z_FC7BB5DB_8CAA_4EFC_AA6B_54DFB32F9924_.wvu.FilterData" localSheetId="1" hidden="1">精餾產銷!$AK$4:$AL$107</definedName>
    <definedName name="Z_FC7BB5DB_8CAA_4EFC_AA6B_54DFB32F9924_.wvu.FilterData" localSheetId="3" hidden="1">調配產銷!$AF$4:$AF$81</definedName>
    <definedName name="Z_FCB9048A_E8C2_42C1_B977_B42E4FD1F652_.wvu.FilterData" localSheetId="3" hidden="1">調配產銷!#REF!</definedName>
    <definedName name="Z_FD5CCA06_C7E4_47DD_B139_C1066373E428_.wvu.FilterData" localSheetId="4" hidden="1">秏料!$B$2:$G$134</definedName>
    <definedName name="Z_FD91154A_786B_4FA8_9C93_2AEAA2D39B31_.wvu.FilterData" localSheetId="2" hidden="1">初餾產銷!$AJ$4:$AJ$78</definedName>
    <definedName name="Z_FD91154A_786B_4FA8_9C93_2AEAA2D39B31_.wvu.FilterData" localSheetId="1" hidden="1">精餾產銷!$AK$4:$AL$107</definedName>
    <definedName name="Z_FDCEF1CE_767C_4694_9CDE_77DFC80D02BE_.wvu.FilterData" localSheetId="1" hidden="1">精餾產銷!$AK$4:$AL$107</definedName>
    <definedName name="Z_FDCF926D_D59F_46D1_A7AD_FF9B76D13741_.wvu.FilterData" localSheetId="1" hidden="1">精餾產銷!$A$4:$AP$105</definedName>
    <definedName name="Z_FE20FB21_7512_4929_A673_A0366AD5FDD7_.wvu.FilterData" localSheetId="1" hidden="1">精餾產銷!$AK$4:$AL$107</definedName>
    <definedName name="Z_FE3ABBB8_B496_4289_9164_4F99A0DD5B98_.wvu.FilterData" localSheetId="1" hidden="1">精餾產銷!$AK$4:$AL$107</definedName>
    <definedName name="Z_FE3ABBB8_B496_4289_9164_4F99A0DD5B98_.wvu.FilterData" localSheetId="3" hidden="1">調配產銷!$AF$4:$AF$81</definedName>
    <definedName name="Z_FE3D57D3_C7DF_487D_A2FC_F63C7470A786_.wvu.FilterData" localSheetId="2" hidden="1">初餾產銷!$AF$4:$AF$53</definedName>
    <definedName name="Z_FE3D57D3_C7DF_487D_A2FC_F63C7470A786_.wvu.FilterData" localSheetId="1" hidden="1">精餾產銷!$AF$4:$AF$105</definedName>
    <definedName name="Z_FE3D57D3_C7DF_487D_A2FC_F63C7470A786_.wvu.FilterData" localSheetId="3" hidden="1">調配產銷!#REF!</definedName>
    <definedName name="Z_FF3008D8_E6CE_4D9C_9199_67025C9E7F3E_.wvu.FilterData" localSheetId="2" hidden="1">初餾產銷!$AJ$4:$AJ$78</definedName>
    <definedName name="Z_FF3008D8_E6CE_4D9C_9199_67025C9E7F3E_.wvu.FilterData" localSheetId="1" hidden="1">精餾產銷!$AK$4:$AL$107</definedName>
    <definedName name="Z_FF6F292D_16DE_4D29_8245_59A30B9A7993_.wvu.FilterData" localSheetId="2" hidden="1">初餾產銷!$AJ$4:$AJ$78</definedName>
    <definedName name="Z_FF78B6CB_3FDA_48FA_829B_866E9DA8B2F9_.wvu.FilterData" localSheetId="1" hidden="1">精餾產銷!$AK$4:$AL$107</definedName>
    <definedName name="Z_FF90C1C0_578A_4C6D_95F5_8BF7250FA19D_.wvu.FilterData" localSheetId="1" hidden="1">精餾產銷!$AK$4:$AL$107</definedName>
    <definedName name="Z_FF90C1C0_578A_4C6D_95F5_8BF7250FA19D_.wvu.FilterData" localSheetId="3" hidden="1">調配產銷!$AF$4:$AF$81</definedName>
    <definedName name="Z_FFEB88A4_17E7_4169_B052_BA1D20288B69_.wvu.FilterData" localSheetId="2" hidden="1">初餾產銷!$AJ$4:$AJ$78</definedName>
    <definedName name="Z_FFEB88A4_17E7_4169_B052_BA1D20288B69_.wvu.FilterData" localSheetId="1" hidden="1">精餾產銷!$AK$4:$AL$107</definedName>
    <definedName name="Z_FFEB88A4_17E7_4169_B052_BA1D20288B69_.wvu.FilterData" localSheetId="3" hidden="1">調配產銷!$AF$4:$AF$81</definedName>
    <definedName name="Z_FFF11D87_9CD2_47D4_8597_7C15838DBED8_.wvu.FilterData" localSheetId="1" hidden="1">精餾產銷!$AK$4:$AL$107</definedName>
    <definedName name="Z_FFF11D87_9CD2_47D4_8597_7C15838DBED8_.wvu.FilterData" localSheetId="3" hidden="1">調配產銷!#REF!</definedName>
  </definedNames>
  <calcPr calcId="162913"/>
  <customWorkbookViews>
    <customWorkbookView name="C664-PC1 - 個人檢視畫面" guid="{59A05416-DD26-4EFD-AA04-054D4DE97D89}" mergeInterval="0" personalView="1" maximized="1" xWindow="-8" yWindow="-8" windowWidth="1936" windowHeight="1048" activeSheetId="2"/>
    <customWorkbookView name="C592 - 個人檢視畫面" guid="{D065F4F3-1224-4D29-89D7-CAAF2080B907}" mergeInterval="0" personalView="1" maximized="1" xWindow="-9" yWindow="-9" windowWidth="1938" windowHeight="1038" activeSheetId="2"/>
    <customWorkbookView name="C517-PC - 個人檢視畫面" guid="{FA048ABB-8FB5-4FAE-8F9E-3B68073934F1}" mergeInterval="0" personalView="1" maximized="1" windowWidth="1436" windowHeight="622" activeSheetId="4"/>
    <customWorkbookView name="李珈蔚 - 個人檢視畫面" guid="{8FD9726D-5B41-4C43-8FCB-EB4C2E6B9AD0}" mergeInterval="0" personalView="1" maximized="1" xWindow="-9" yWindow="-9" windowWidth="1938" windowHeight="1048" tabRatio="799" activeSheetId="4"/>
    <customWorkbookView name="C600-PC - 個人檢視畫面" guid="{C30CE12B-11DC-4479-B6AC-C3BD3E3ED3C8}" mergeInterval="0" personalView="1" maximized="1" xWindow="-9" yWindow="-9" windowWidth="1938" windowHeight="1044" activeSheetId="4"/>
    <customWorkbookView name="C517 - 個人檢視畫面" guid="{64D5D33D-6419-4A8B-A3B3-237161841645}" mergeInterval="0" personalView="1" maximized="1" xWindow="-9" yWindow="-9" windowWidth="1938" windowHeight="1038" activeSheetId="4"/>
    <customWorkbookView name="C835 - 個人檢視畫面" guid="{CAC14F13-5914-49F8-AD5B-F24608798ED8}" mergeInterval="0" personalView="1" xWindow="968" yWindow="14" windowWidth="960" windowHeight="1032" activeSheetId="2"/>
    <customWorkbookView name="C606 - 個人檢視畫面" guid="{0BF804C9-51A0-4E06-8256-5D8C4B043A4A}" mergeInterval="0" personalView="1" maximized="1" xWindow="-9" yWindow="-9" windowWidth="1938" windowHeight="1038" activeSheetId="4"/>
    <customWorkbookView name="C10-NB - 個人檢視畫面" guid="{D56D14CC-1901-479F-B779-31FEC2383487}" mergeInterval="0" personalView="1" maximized="1" xWindow="-8" yWindow="-8" windowWidth="1382" windowHeight="744" activeSheetId="2"/>
    <customWorkbookView name="C15-PC - 個人檢視畫面" guid="{F2AA7D74-DB02-43AC-850B-A44D18BDB1CB}" mergeInterval="0" personalView="1" xWindow="959" yWindow="-1" windowWidth="962" windowHeight="1042" activeSheetId="2"/>
    <customWorkbookView name="鴻勝化學-張登海 - 個人檢視畫面" guid="{8B7A0CA2-9BA6-4CC3-AA36-677EA0765FE7}" mergeInterval="0" personalView="1" maximized="1" windowWidth="1436" windowHeight="619" activeSheetId="2"/>
    <customWorkbookView name="C657 - 個人檢視畫面" guid="{465CD905-854A-4F4A-908D-83ABAB5FB252}" mergeInterval="0" personalView="1" maximized="1" xWindow="-8" yWindow="-8" windowWidth="1936" windowHeight="1056" activeSheetId="2"/>
    <customWorkbookView name="POUND-PC1 - 個人檢視畫面" guid="{ACCDD429-9CAD-4FB8-A198-ABDEDE66D100}" mergeInterval="0" personalView="1" maximized="1" windowWidth="1916" windowHeight="840" activeSheetId="2"/>
    <customWorkbookView name="C664 - 個人檢視畫面" guid="{8DC863AD-DDD2-40E0-9202-FF25DA9A15AC}" mergeInterval="0" personalView="1" maximized="1" windowWidth="1436" windowHeight="661" activeSheetId="2"/>
    <customWorkbookView name="C631-PC1 - 個人檢視畫面" guid="{D8E05E9A-74D8-4931-8653-8099BB0F822F}" mergeInterval="0" personalView="1" maximized="1" windowWidth="1916" windowHeight="840" activeSheetId="3"/>
    <customWorkbookView name="Administrator - 個人檢視畫面" guid="{7B90250F-6C77-4F16-BAAD-82EC380D0549}" mergeInterval="0" personalView="1" maximized="1" windowWidth="1436" windowHeight="573" activeSheetId="2"/>
    <customWorkbookView name="二樓會議室 - 個人檢視畫面" guid="{346DCC42-7B8B-4D0F-8BCA-6EB3F9DD5B12}" mergeInterval="0" personalView="1" maximized="1" windowWidth="1362" windowHeight="604" activeSheetId="2"/>
    <customWorkbookView name="Una.Lin - 個人檢視畫面" guid="{79F26E0A-5E9E-4EF8-AE70-B7DA8FAE47AC}" mergeInterval="0" personalView="1" maximized="1" windowWidth="1916" windowHeight="822" activeSheetId="2"/>
    <customWorkbookView name="C113 - 個人檢視畫面" guid="{1BC3F178-54C0-4A8C-A5C3-CF7D6D208825}" mergeInterval="0" personalView="1" maximized="1" xWindow="-11" yWindow="-11" windowWidth="1942" windowHeight="1042" activeSheetId="5"/>
    <customWorkbookView name="C586 - 個人檢視畫面" guid="{326CC155-93DA-4269-A552-D000400252E8}" mergeInterval="0" personalView="1" minimized="1" windowWidth="0" windowHeight="0" activeSheetId="2"/>
    <customWorkbookView name="C624 - 個人檢視畫面" guid="{9189FF41-907B-4DB4-B0EF-C9C35E41617A}" mergeInterval="0" personalView="1" maximized="1" xWindow="-8" yWindow="-8" windowWidth="1456" windowHeight="876" activeSheetId="4"/>
    <customWorkbookView name="Frank Hsu - 個人檢視畫面" guid="{4FC155ED-0F56-406E-84A9-9B624A94D0DB}" mergeInterval="0" personalView="1" maximized="1" xWindow="-8" yWindow="-8" windowWidth="1456" windowHeight="876" activeSheetId="5"/>
    <customWorkbookView name="C522 - 個人檢視畫面" guid="{502F3196-9B33-4199-B129-D6F07DE04859}" mergeInterval="0" personalView="1" maximized="1" windowWidth="1916" windowHeight="840" activeSheetId="2"/>
    <customWorkbookView name="C670-PC - 個人檢視畫面" guid="{77AD3D17-AD21-4070-93C9-23AFEA189F06}" mergeInterval="0" personalView="1" maximized="1" windowWidth="1916" windowHeight="794" activeSheetId="2"/>
    <customWorkbookView name="Meeting - 個人檢視畫面" guid="{38078408-6EFE-4052-8C51-50A488F2EA59}" mergeInterval="0" personalView="1" maximized="1" windowWidth="1362" windowHeight="626" activeSheetId="2"/>
    <customWorkbookView name="C753 - 個人檢視畫面" guid="{83B3BC4F-78EE-4A15-89B0-51F9D7CE21C1}" mergeInterval="0" personalView="1" maximized="1" windowWidth="1916" windowHeight="917" activeSheetId="3"/>
    <customWorkbookView name="Worker - 個人檢視畫面" guid="{9E710D7F-3A88-4D24-8673-5A6EF0E9C423}" mergeInterval="0" personalView="1" maximized="1" windowWidth="1362" windowHeight="506" activeSheetId="2"/>
    <customWorkbookView name="鴻勝化學-劉伊容 - 個人檢視畫面" guid="{95BA1282-001B-43C6-8050-6BEE483A7F6F}" mergeInterval="0" personalView="1" maximized="1" xWindow="-8" yWindow="-8" windowWidth="1456" windowHeight="876" activeSheetId="3"/>
    <customWorkbookView name="C775-PC - 個人檢視畫面" guid="{3663236C-AFB0-419A-AC6A-E981D6F1A9BC}" mergeInterval="0" personalView="1" maximized="1" xWindow="-11" yWindow="-11" windowWidth="1942" windowHeight="1042" activeSheetId="4"/>
    <customWorkbookView name="Hayden - 個人檢視畫面" guid="{6DC87DBB-EAA4-4C74-8564-B6BAF0231FE0}" mergeInterval="0" personalView="1" windowWidth="960" windowHeight="1030" activeSheetId="4"/>
    <customWorkbookView name="201NB - 個人檢視畫面" guid="{3B8D84A7-3495-4488-8D42-6EFF30C18699}" mergeInterval="0" personalView="1" maximized="1" xWindow="-9" yWindow="-9" windowWidth="1938" windowHeight="1038" tabRatio="1000" activeSheetId="2"/>
    <customWorkbookView name="註： - 個人檢視畫面" guid="{6A49BCC3-CB5F-40F7-835F-8F4EBC3E8643}" mergeInterval="0" personalView="1" maximized="1" windowWidth="1916" windowHeight="761" activeSheetId="2"/>
    <customWorkbookView name="C600 - 個人檢視畫面" guid="{173F84CF-9EE5-4693-9F18-A0544E920AC9}" mergeInterval="0" personalView="1" xWindow="874" yWindow="28" windowWidth="1190" windowHeight="863" tabRatio="386" activeSheetId="3"/>
    <customWorkbookView name="鴻勝化學專用筆電 - 個人檢視畫面" guid="{99FB95A8-1218-4283-9800-5DBBB640B9CC}" mergeInterval="0" personalView="1" maximized="1" xWindow="-11" yWindow="-11" windowWidth="1942" windowHeight="1042" activeSheetId="2"/>
    <customWorkbookView name="C762-PC - 個人檢視畫面" guid="{3ADFB3B6-162A-4CDB-AB24-348E8A99991A}" mergeInterval="0" personalView="1" maximized="1" xWindow="-8" yWindow="-8" windowWidth="1936" windowHeight="1056" activeSheetId="2"/>
    <customWorkbookView name="C588 - 個人檢視畫面" guid="{4B6E1B38-E439-406A-9E0D-5C2F40D928F2}" mergeInterval="0" personalView="1" xWindow="9" yWindow="32" windowWidth="1816" windowHeight="333" tabRatio="386" activeSheetId="2"/>
    <customWorkbookView name="201 - 個人檢視畫面" guid="{F93DD6E0-2AD2-4C47-B879-ABE0581F49BB}" mergeInterval="0" personalView="1" maximized="1" xWindow="-9" yWindow="-9" windowWidth="1938" windowHeight="1038" activeSheetId="2"/>
    <customWorkbookView name="C606-PC - 個人檢視畫面" guid="{77B14F7C-DBD2-4BE8-8492-093BF9A7E4E6}" mergeInterval="0" personalView="1" maximized="1" xWindow="1912" yWindow="-8" windowWidth="1936" windowHeight="1048" activeSheetId="2"/>
    <customWorkbookView name="鴻勝化學-黃靖方 - 個人檢視畫面" guid="{BEF1F9A1-9BE8-4B92-B921-6FE20F0F8630}" mergeInterval="0" personalView="1" maximized="1" xWindow="-8" yWindow="-8" windowWidth="1456" windowHeight="876" activeSheetId="3"/>
    <customWorkbookView name="101NB - 個人檢視畫面" guid="{13B17853-2F7C-4003-B2CE-F9B420C9ECC4}" mergeInterval="0" personalView="1" maximized="1" xWindow="-11" yWindow="-11" windowWidth="1942" windowHeight="1042" activeSheetId="2"/>
    <customWorkbookView name="User - 個人檢視畫面" guid="{03286019-F3C8-4017-B71E-61FCF78BA513}" mergeInterval="0" personalView="1" maximized="1" xWindow="-9" yWindow="-9" windowWidth="1938" windowHeight="1048" activeSheetId="2"/>
    <customWorkbookView name="鴻勝化學-張嘉峰 - 個人檢視畫面" guid="{A5947B2F-936B-413A-8E47-744AE1AC646A}" mergeInterval="0" personalView="1" maximized="1" xWindow="-8" yWindow="-8" windowWidth="1936" windowHeight="1048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3" i="1" l="1"/>
  <c r="Y65" i="2"/>
  <c r="G239" i="1" l="1"/>
  <c r="AE238" i="1"/>
  <c r="AD238" i="1"/>
  <c r="AC238" i="1"/>
  <c r="AB238" i="1"/>
  <c r="AA238" i="1"/>
  <c r="Z238" i="1"/>
  <c r="Y238" i="1"/>
  <c r="X238" i="1"/>
  <c r="W238" i="1"/>
  <c r="G238" i="1"/>
  <c r="F238" i="1"/>
  <c r="E238" i="1"/>
  <c r="D238" i="1"/>
  <c r="C238" i="1"/>
  <c r="B238" i="1"/>
  <c r="A238" i="1"/>
  <c r="AA63" i="2" l="1"/>
  <c r="Z63" i="2"/>
  <c r="Y63" i="2"/>
  <c r="X63" i="2"/>
  <c r="G5" i="2" l="1"/>
  <c r="G9" i="2"/>
  <c r="G8" i="2"/>
  <c r="U11" i="2" l="1"/>
  <c r="U22" i="2"/>
  <c r="U23" i="2"/>
  <c r="U76" i="2"/>
  <c r="D13" i="2" l="1"/>
  <c r="D11" i="2" l="1"/>
  <c r="D72" i="2" l="1"/>
  <c r="R22" i="2"/>
  <c r="X22" i="2"/>
  <c r="X23" i="2"/>
  <c r="X24" i="2"/>
  <c r="R8" i="2"/>
  <c r="U8" i="2"/>
  <c r="X8" i="2"/>
  <c r="AA8" i="2"/>
  <c r="U24" i="2"/>
  <c r="R9" i="2"/>
  <c r="R23" i="2"/>
  <c r="D76" i="2"/>
  <c r="D67" i="2"/>
  <c r="D65" i="2"/>
  <c r="D63" i="2"/>
  <c r="D61" i="2"/>
  <c r="D45" i="2"/>
  <c r="D44" i="2"/>
  <c r="D23" i="2"/>
  <c r="D22" i="2"/>
  <c r="D19" i="2"/>
  <c r="D17" i="2"/>
  <c r="D16" i="2"/>
  <c r="D10" i="2"/>
  <c r="D9" i="2"/>
  <c r="D5" i="2"/>
  <c r="D44" i="3"/>
  <c r="D37" i="3"/>
  <c r="D36" i="3"/>
  <c r="D6" i="3"/>
  <c r="D5" i="3"/>
  <c r="D45" i="4"/>
  <c r="D38" i="4"/>
  <c r="D12" i="4"/>
  <c r="P16" i="2"/>
  <c r="P22" i="2"/>
  <c r="S8" i="4"/>
  <c r="U61" i="2"/>
  <c r="O13" i="2"/>
  <c r="M13" i="2"/>
  <c r="K13" i="2"/>
  <c r="I13" i="2"/>
  <c r="C36" i="5"/>
  <c r="AA22" i="2" l="1"/>
  <c r="AA23" i="2"/>
  <c r="AA9" i="2"/>
  <c r="X9" i="2"/>
  <c r="U9" i="2"/>
  <c r="D10" i="4"/>
  <c r="G13" i="4"/>
  <c r="G12" i="4"/>
  <c r="Y23" i="2"/>
  <c r="Y16" i="2"/>
  <c r="P24" i="2"/>
  <c r="C65" i="2" l="1"/>
  <c r="N9" i="2"/>
  <c r="L9" i="2"/>
  <c r="S22" i="2"/>
  <c r="S23" i="2" l="1"/>
  <c r="V23" i="2"/>
  <c r="C76" i="2"/>
  <c r="S24" i="2"/>
  <c r="D46" i="4"/>
  <c r="J9" i="2" l="1"/>
  <c r="P8" i="2"/>
  <c r="F24" i="1"/>
  <c r="U127" i="1"/>
  <c r="U123" i="1"/>
  <c r="V123" i="1"/>
  <c r="T125" i="1"/>
  <c r="T127" i="1"/>
  <c r="T131" i="1"/>
  <c r="T132" i="1"/>
  <c r="U132" i="1"/>
  <c r="U121" i="1"/>
  <c r="U124" i="1"/>
  <c r="W121" i="1"/>
  <c r="W124" i="1"/>
  <c r="U125" i="1"/>
  <c r="V125" i="1"/>
  <c r="V127" i="1"/>
  <c r="W127" i="1"/>
  <c r="T121" i="1"/>
  <c r="C23" i="2" l="1"/>
  <c r="G42" i="3"/>
  <c r="G23" i="2"/>
  <c r="C11" i="2"/>
  <c r="C5" i="2"/>
  <c r="D9" i="3"/>
  <c r="V22" i="2"/>
  <c r="C61" i="2" l="1"/>
  <c r="T41" i="3" l="1"/>
  <c r="AB6" i="3"/>
  <c r="AA37" i="4"/>
  <c r="Z37" i="4"/>
  <c r="Y37" i="4"/>
  <c r="X37" i="4"/>
  <c r="AB9" i="2" l="1"/>
  <c r="AC9" i="2" s="1"/>
  <c r="Y22" i="2"/>
  <c r="A50" i="1" l="1"/>
  <c r="Y24" i="2" l="1"/>
  <c r="V24" i="2"/>
  <c r="AD9" i="2"/>
  <c r="AE9" i="2" s="1"/>
  <c r="S29" i="2" l="1"/>
  <c r="G11" i="4" l="1"/>
  <c r="P13" i="1"/>
  <c r="Q13" i="1"/>
  <c r="R13" i="1"/>
  <c r="S13" i="1"/>
  <c r="T13" i="1"/>
  <c r="U13" i="1"/>
  <c r="V13" i="1"/>
  <c r="W13" i="1"/>
  <c r="X13" i="1"/>
  <c r="Y13" i="1"/>
  <c r="Z13" i="1"/>
  <c r="AA13" i="1"/>
  <c r="C78" i="2" l="1"/>
  <c r="C38" i="4"/>
  <c r="C12" i="4"/>
  <c r="AB11" i="4" l="1"/>
  <c r="AC11" i="4" s="1"/>
  <c r="V29" i="2" l="1"/>
  <c r="V19" i="2"/>
  <c r="S19" i="2"/>
  <c r="H37" i="4"/>
  <c r="G42" i="4" l="1"/>
  <c r="AJ124" i="1" l="1"/>
  <c r="AI124" i="1"/>
  <c r="AA124" i="1"/>
  <c r="Z124" i="1"/>
  <c r="Y124" i="1"/>
  <c r="X124" i="1"/>
  <c r="V124" i="1"/>
  <c r="T124" i="1"/>
  <c r="O124" i="1"/>
  <c r="N124" i="1"/>
  <c r="M124" i="1"/>
  <c r="L124" i="1"/>
  <c r="K124" i="1"/>
  <c r="J124" i="1"/>
  <c r="I124" i="1"/>
  <c r="H124" i="1"/>
  <c r="C124" i="1"/>
  <c r="A124" i="1"/>
  <c r="AH9" i="1"/>
  <c r="AJ9" i="1" s="1"/>
  <c r="AB9" i="1"/>
  <c r="AA9" i="1"/>
  <c r="Z9" i="1"/>
  <c r="Y9" i="1"/>
  <c r="X9" i="1"/>
  <c r="W9" i="1"/>
  <c r="V9" i="1"/>
  <c r="U9" i="1"/>
  <c r="T9" i="1"/>
  <c r="R9" i="1"/>
  <c r="Q9" i="1"/>
  <c r="O9" i="1"/>
  <c r="N9" i="1"/>
  <c r="M9" i="1"/>
  <c r="L9" i="1"/>
  <c r="K9" i="1"/>
  <c r="J9" i="1"/>
  <c r="I9" i="1"/>
  <c r="H9" i="1"/>
  <c r="F9" i="1"/>
  <c r="E9" i="1"/>
  <c r="D9" i="1"/>
  <c r="C9" i="1"/>
  <c r="B9" i="1"/>
  <c r="A9" i="1"/>
  <c r="A6" i="5" s="1"/>
  <c r="G64" i="2"/>
  <c r="C7" i="5"/>
  <c r="S9" i="1"/>
  <c r="P9" i="1"/>
  <c r="G124" i="1" l="1"/>
  <c r="AC9" i="1"/>
  <c r="G9" i="1"/>
  <c r="AF9" i="1" s="1"/>
  <c r="AI9" i="1"/>
  <c r="AD9" i="1" l="1"/>
  <c r="G6" i="3"/>
  <c r="C6" i="5"/>
  <c r="AE9" i="1" l="1"/>
  <c r="AK8" i="2"/>
  <c r="D43" i="4"/>
  <c r="Q6" i="1" l="1"/>
  <c r="P5" i="2" l="1"/>
  <c r="AE2" i="2"/>
  <c r="D14" i="2" l="1"/>
  <c r="G10" i="4" l="1"/>
  <c r="I14" i="2"/>
  <c r="C16" i="2" l="1"/>
  <c r="D41" i="4" l="1"/>
  <c r="S14" i="2"/>
  <c r="D7" i="3" l="1"/>
  <c r="P14" i="2" l="1"/>
  <c r="AB5" i="2" l="1"/>
  <c r="AC5" i="2" s="1"/>
  <c r="AD5" i="2" s="1"/>
  <c r="AE5" i="2" s="1"/>
  <c r="AF8" i="2"/>
  <c r="J6" i="1"/>
  <c r="L6" i="1"/>
  <c r="N6" i="1"/>
  <c r="J11" i="1"/>
  <c r="L11" i="1"/>
  <c r="N11" i="1"/>
  <c r="G22" i="2" l="1"/>
  <c r="C80" i="1"/>
  <c r="A80" i="1"/>
  <c r="A100" i="5" s="1"/>
  <c r="AH80" i="1"/>
  <c r="AA80" i="1"/>
  <c r="X80" i="1"/>
  <c r="U80" i="1"/>
  <c r="R80" i="1"/>
  <c r="O80" i="1"/>
  <c r="N80" i="1"/>
  <c r="M80" i="1"/>
  <c r="L80" i="1"/>
  <c r="K80" i="1"/>
  <c r="J80" i="1"/>
  <c r="I80" i="1"/>
  <c r="H80" i="1"/>
  <c r="F80" i="1"/>
  <c r="E80" i="1"/>
  <c r="D80" i="1"/>
  <c r="B80" i="1"/>
  <c r="Y11" i="4"/>
  <c r="Y80" i="1" s="1"/>
  <c r="V11" i="4"/>
  <c r="V80" i="1" s="1"/>
  <c r="S11" i="4"/>
  <c r="S80" i="1" s="1"/>
  <c r="P11" i="4"/>
  <c r="P80" i="1" s="1"/>
  <c r="G80" i="1"/>
  <c r="A101" i="5" l="1"/>
  <c r="A103" i="5"/>
  <c r="A102" i="5"/>
  <c r="AF80" i="1"/>
  <c r="AJ80" i="1"/>
  <c r="AD11" i="4"/>
  <c r="AI80" i="1"/>
  <c r="AF11" i="4"/>
  <c r="AB80" i="1" l="1"/>
  <c r="AC80" i="1" l="1"/>
  <c r="AD80" i="1" l="1"/>
  <c r="AE11" i="4"/>
  <c r="AE80" i="1" s="1"/>
  <c r="Y17" i="2" l="1"/>
  <c r="D37" i="4" l="1"/>
  <c r="G38" i="4"/>
  <c r="C6" i="3" l="1"/>
  <c r="V41" i="3" l="1"/>
  <c r="U41" i="3" l="1"/>
  <c r="V14" i="2" l="1"/>
  <c r="C67" i="2" l="1"/>
  <c r="Y14" i="2" l="1"/>
  <c r="G43" i="4" l="1"/>
  <c r="G44" i="4"/>
  <c r="G11" i="2" l="1"/>
  <c r="C22" i="2"/>
  <c r="G13" i="2" l="1"/>
  <c r="AB13" i="2" l="1"/>
  <c r="AC13" i="2" s="1"/>
  <c r="AD13" i="2" s="1"/>
  <c r="AE13" i="2" s="1"/>
  <c r="C45" i="5" l="1"/>
  <c r="C72" i="2" l="1"/>
  <c r="A24" i="1" l="1"/>
  <c r="A24" i="5" s="1"/>
  <c r="B24" i="1"/>
  <c r="D24" i="1"/>
  <c r="E24" i="1"/>
  <c r="H24" i="1"/>
  <c r="J24" i="1"/>
  <c r="L24" i="1"/>
  <c r="N24" i="1"/>
  <c r="Q24" i="1"/>
  <c r="T24" i="1"/>
  <c r="U24" i="1"/>
  <c r="W24" i="1"/>
  <c r="X24" i="1"/>
  <c r="Z24" i="1"/>
  <c r="AA24" i="1"/>
  <c r="C24" i="1" l="1"/>
  <c r="G24" i="1"/>
  <c r="Y24" i="1" l="1"/>
  <c r="V24" i="1"/>
  <c r="S24" i="1"/>
  <c r="R24" i="1"/>
  <c r="P24" i="1" l="1"/>
  <c r="D15" i="2" l="1"/>
  <c r="D89" i="5" l="1"/>
  <c r="C45" i="2" l="1"/>
  <c r="AA201" i="1" l="1"/>
  <c r="Z201" i="1"/>
  <c r="Y201" i="1"/>
  <c r="X201" i="1"/>
  <c r="W201" i="1"/>
  <c r="V201" i="1"/>
  <c r="U201" i="1"/>
  <c r="T201" i="1"/>
  <c r="O201" i="1"/>
  <c r="N201" i="1"/>
  <c r="M201" i="1"/>
  <c r="L201" i="1"/>
  <c r="K201" i="1"/>
  <c r="J201" i="1"/>
  <c r="I201" i="1"/>
  <c r="H201" i="1"/>
  <c r="F201" i="1"/>
  <c r="E201" i="1"/>
  <c r="C201" i="1"/>
  <c r="B201" i="1"/>
  <c r="A201" i="1"/>
  <c r="AA200" i="1"/>
  <c r="Z200" i="1"/>
  <c r="Y200" i="1"/>
  <c r="X200" i="1"/>
  <c r="W200" i="1"/>
  <c r="V200" i="1"/>
  <c r="U200" i="1"/>
  <c r="T200" i="1"/>
  <c r="O200" i="1"/>
  <c r="N200" i="1"/>
  <c r="M200" i="1"/>
  <c r="L200" i="1"/>
  <c r="K200" i="1"/>
  <c r="J200" i="1"/>
  <c r="I200" i="1"/>
  <c r="H200" i="1"/>
  <c r="F200" i="1"/>
  <c r="E200" i="1"/>
  <c r="C200" i="1"/>
  <c r="B200" i="1"/>
  <c r="A200" i="1"/>
  <c r="AA199" i="1"/>
  <c r="Z199" i="1"/>
  <c r="Y199" i="1"/>
  <c r="X199" i="1"/>
  <c r="W199" i="1"/>
  <c r="V199" i="1"/>
  <c r="U199" i="1"/>
  <c r="T199" i="1"/>
  <c r="O199" i="1"/>
  <c r="N199" i="1"/>
  <c r="M199" i="1"/>
  <c r="L199" i="1"/>
  <c r="K199" i="1"/>
  <c r="J199" i="1"/>
  <c r="I199" i="1"/>
  <c r="H199" i="1"/>
  <c r="F199" i="1"/>
  <c r="E199" i="1"/>
  <c r="C199" i="1"/>
  <c r="B199" i="1"/>
  <c r="A199" i="1"/>
  <c r="AA198" i="1"/>
  <c r="Z198" i="1"/>
  <c r="Y198" i="1"/>
  <c r="X198" i="1"/>
  <c r="W198" i="1"/>
  <c r="V198" i="1"/>
  <c r="U198" i="1"/>
  <c r="T198" i="1"/>
  <c r="O198" i="1"/>
  <c r="N198" i="1"/>
  <c r="M198" i="1"/>
  <c r="L198" i="1"/>
  <c r="K198" i="1"/>
  <c r="J198" i="1"/>
  <c r="I198" i="1"/>
  <c r="H198" i="1"/>
  <c r="F198" i="1"/>
  <c r="E198" i="1"/>
  <c r="C198" i="1"/>
  <c r="B198" i="1"/>
  <c r="A198" i="1"/>
  <c r="AA197" i="1"/>
  <c r="Z197" i="1"/>
  <c r="Y197" i="1"/>
  <c r="X197" i="1"/>
  <c r="W197" i="1"/>
  <c r="V197" i="1"/>
  <c r="U197" i="1"/>
  <c r="T197" i="1"/>
  <c r="O197" i="1"/>
  <c r="N197" i="1"/>
  <c r="M197" i="1"/>
  <c r="L197" i="1"/>
  <c r="K197" i="1"/>
  <c r="J197" i="1"/>
  <c r="I197" i="1"/>
  <c r="H197" i="1"/>
  <c r="F197" i="1"/>
  <c r="E197" i="1"/>
  <c r="C197" i="1"/>
  <c r="B197" i="1"/>
  <c r="A197" i="1"/>
  <c r="D201" i="1"/>
  <c r="D199" i="1"/>
  <c r="D198" i="1"/>
  <c r="G40" i="4"/>
  <c r="G197" i="1" s="1"/>
  <c r="G199" i="1" l="1"/>
  <c r="G41" i="4"/>
  <c r="G198" i="1" s="1"/>
  <c r="D200" i="1"/>
  <c r="D197" i="1"/>
  <c r="G200" i="1"/>
  <c r="AK104" i="2"/>
  <c r="G201" i="1" l="1"/>
  <c r="G45" i="4"/>
  <c r="G46" i="4"/>
  <c r="F17" i="2" l="1"/>
  <c r="C17" i="2" l="1"/>
  <c r="X34" i="3" l="1"/>
  <c r="S31" i="2" l="1"/>
  <c r="C44" i="2" l="1"/>
  <c r="C9" i="3" l="1"/>
  <c r="S5" i="2" l="1"/>
  <c r="V5" i="2"/>
  <c r="Y5" i="2"/>
  <c r="P6" i="2"/>
  <c r="S6" i="2"/>
  <c r="Y6" i="2"/>
  <c r="P7" i="2"/>
  <c r="AF9" i="2"/>
  <c r="P10" i="2"/>
  <c r="V10" i="2"/>
  <c r="Y10" i="2"/>
  <c r="S13" i="2"/>
  <c r="V13" i="2"/>
  <c r="V17" i="2"/>
  <c r="P18" i="2"/>
  <c r="S18" i="2"/>
  <c r="V18" i="2"/>
  <c r="Y18" i="2"/>
  <c r="Y19" i="2"/>
  <c r="P20" i="2"/>
  <c r="S20" i="2"/>
  <c r="V20" i="2"/>
  <c r="Y20" i="2"/>
  <c r="AF5" i="2" l="1"/>
  <c r="Y31" i="2"/>
  <c r="C24" i="2" l="1"/>
  <c r="C5" i="3" l="1"/>
  <c r="S7" i="4" l="1"/>
  <c r="V31" i="2" l="1"/>
  <c r="P31" i="2"/>
  <c r="D66" i="2" l="1"/>
  <c r="AE3" i="1" l="1"/>
  <c r="AH11" i="1" l="1"/>
  <c r="AJ233" i="1" l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23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79" i="1"/>
  <c r="AJ78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1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23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79" i="1"/>
  <c r="AI78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14" i="1"/>
  <c r="C49" i="5" l="1"/>
  <c r="C48" i="5"/>
  <c r="C47" i="5"/>
  <c r="C44" i="5" l="1"/>
  <c r="C33" i="5"/>
  <c r="C31" i="5" l="1"/>
  <c r="C30" i="5" l="1"/>
  <c r="C29" i="5"/>
  <c r="C21" i="5" l="1"/>
  <c r="C20" i="5"/>
  <c r="C9" i="5"/>
  <c r="C35" i="5" s="1"/>
  <c r="C8" i="5"/>
  <c r="C34" i="5" s="1"/>
  <c r="C5" i="5"/>
  <c r="C4" i="5"/>
  <c r="C3" i="5"/>
  <c r="W41" i="3" l="1"/>
  <c r="AF41" i="3"/>
  <c r="T37" i="3" l="1"/>
  <c r="AK107" i="2" l="1"/>
  <c r="AK106" i="2"/>
  <c r="AK105" i="2"/>
  <c r="AK103" i="2"/>
  <c r="AK102" i="2"/>
  <c r="P12" i="4" l="1"/>
  <c r="D74" i="2" l="1"/>
  <c r="G61" i="2" l="1"/>
  <c r="A43" i="5" l="1"/>
  <c r="D99" i="5"/>
  <c r="D98" i="5"/>
  <c r="D97" i="5"/>
  <c r="D95" i="5"/>
  <c r="C28" i="5"/>
  <c r="AE239" i="1"/>
  <c r="AD239" i="1"/>
  <c r="AC239" i="1"/>
  <c r="AB239" i="1"/>
  <c r="AA239" i="1"/>
  <c r="Z239" i="1"/>
  <c r="Y239" i="1"/>
  <c r="X239" i="1"/>
  <c r="W239" i="1"/>
  <c r="F239" i="1"/>
  <c r="E239" i="1"/>
  <c r="D239" i="1"/>
  <c r="C239" i="1"/>
  <c r="B239" i="1"/>
  <c r="A239" i="1"/>
  <c r="AE237" i="1"/>
  <c r="AD237" i="1"/>
  <c r="AC237" i="1"/>
  <c r="AB237" i="1"/>
  <c r="AA237" i="1"/>
  <c r="Z237" i="1"/>
  <c r="Y237" i="1"/>
  <c r="X237" i="1"/>
  <c r="G237" i="1"/>
  <c r="F237" i="1"/>
  <c r="E237" i="1"/>
  <c r="D237" i="1"/>
  <c r="C237" i="1"/>
  <c r="B237" i="1"/>
  <c r="A237" i="1"/>
  <c r="AE236" i="1"/>
  <c r="Z236" i="1"/>
  <c r="Y236" i="1"/>
  <c r="X236" i="1"/>
  <c r="G236" i="1"/>
  <c r="F236" i="1"/>
  <c r="E236" i="1"/>
  <c r="D236" i="1"/>
  <c r="C236" i="1"/>
  <c r="B236" i="1"/>
  <c r="A236" i="1"/>
  <c r="AE235" i="1"/>
  <c r="Z235" i="1"/>
  <c r="Y235" i="1"/>
  <c r="X235" i="1"/>
  <c r="G235" i="1"/>
  <c r="F235" i="1"/>
  <c r="E235" i="1"/>
  <c r="D235" i="1"/>
  <c r="C235" i="1"/>
  <c r="B235" i="1"/>
  <c r="A235" i="1"/>
  <c r="AE234" i="1"/>
  <c r="AD234" i="1"/>
  <c r="AC234" i="1"/>
  <c r="AB234" i="1"/>
  <c r="AA234" i="1"/>
  <c r="Z234" i="1"/>
  <c r="Y234" i="1"/>
  <c r="X234" i="1"/>
  <c r="G234" i="1"/>
  <c r="F234" i="1"/>
  <c r="E234" i="1"/>
  <c r="D234" i="1"/>
  <c r="C234" i="1"/>
  <c r="B234" i="1"/>
  <c r="A234" i="1"/>
  <c r="AA233" i="1"/>
  <c r="Z233" i="1"/>
  <c r="Y233" i="1"/>
  <c r="X233" i="1"/>
  <c r="W233" i="1"/>
  <c r="V233" i="1"/>
  <c r="U233" i="1"/>
  <c r="T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A232" i="1"/>
  <c r="Z232" i="1"/>
  <c r="Y232" i="1"/>
  <c r="X232" i="1"/>
  <c r="W232" i="1"/>
  <c r="V232" i="1"/>
  <c r="U232" i="1"/>
  <c r="T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A231" i="1"/>
  <c r="Z231" i="1"/>
  <c r="Y231" i="1"/>
  <c r="X231" i="1"/>
  <c r="W231" i="1"/>
  <c r="V231" i="1"/>
  <c r="U231" i="1"/>
  <c r="T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A230" i="1"/>
  <c r="Z230" i="1"/>
  <c r="Y230" i="1"/>
  <c r="X230" i="1"/>
  <c r="W230" i="1"/>
  <c r="V230" i="1"/>
  <c r="U230" i="1"/>
  <c r="T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A229" i="1"/>
  <c r="Z229" i="1"/>
  <c r="Y229" i="1"/>
  <c r="X229" i="1"/>
  <c r="W229" i="1"/>
  <c r="V229" i="1"/>
  <c r="U229" i="1"/>
  <c r="T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A228" i="1"/>
  <c r="Z228" i="1"/>
  <c r="Y228" i="1"/>
  <c r="X228" i="1"/>
  <c r="W228" i="1"/>
  <c r="V228" i="1"/>
  <c r="U228" i="1"/>
  <c r="T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A227" i="1"/>
  <c r="Z227" i="1"/>
  <c r="Y227" i="1"/>
  <c r="X227" i="1"/>
  <c r="W227" i="1"/>
  <c r="V227" i="1"/>
  <c r="U227" i="1"/>
  <c r="T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A226" i="1"/>
  <c r="Z226" i="1"/>
  <c r="Y226" i="1"/>
  <c r="X226" i="1"/>
  <c r="W226" i="1"/>
  <c r="V226" i="1"/>
  <c r="U226" i="1"/>
  <c r="T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A225" i="1"/>
  <c r="Z225" i="1"/>
  <c r="Y225" i="1"/>
  <c r="X225" i="1"/>
  <c r="W225" i="1"/>
  <c r="V225" i="1"/>
  <c r="U225" i="1"/>
  <c r="T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A224" i="1"/>
  <c r="Z224" i="1"/>
  <c r="Y224" i="1"/>
  <c r="X224" i="1"/>
  <c r="W224" i="1"/>
  <c r="V224" i="1"/>
  <c r="U224" i="1"/>
  <c r="T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A223" i="1"/>
  <c r="Z223" i="1"/>
  <c r="Y223" i="1"/>
  <c r="X223" i="1"/>
  <c r="W223" i="1"/>
  <c r="V223" i="1"/>
  <c r="U223" i="1"/>
  <c r="T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A222" i="1"/>
  <c r="Z222" i="1"/>
  <c r="Y222" i="1"/>
  <c r="X222" i="1"/>
  <c r="W222" i="1"/>
  <c r="V222" i="1"/>
  <c r="U222" i="1"/>
  <c r="T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A221" i="1"/>
  <c r="Z221" i="1"/>
  <c r="Y221" i="1"/>
  <c r="X221" i="1"/>
  <c r="W221" i="1"/>
  <c r="V221" i="1"/>
  <c r="U221" i="1"/>
  <c r="T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A220" i="1"/>
  <c r="Z220" i="1"/>
  <c r="Y220" i="1"/>
  <c r="X220" i="1"/>
  <c r="W220" i="1"/>
  <c r="V220" i="1"/>
  <c r="U220" i="1"/>
  <c r="T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A219" i="1"/>
  <c r="Z219" i="1"/>
  <c r="Y219" i="1"/>
  <c r="X219" i="1"/>
  <c r="W219" i="1"/>
  <c r="V219" i="1"/>
  <c r="U219" i="1"/>
  <c r="T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A218" i="1"/>
  <c r="Z218" i="1"/>
  <c r="Y218" i="1"/>
  <c r="X218" i="1"/>
  <c r="W218" i="1"/>
  <c r="V218" i="1"/>
  <c r="U218" i="1"/>
  <c r="T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A217" i="1"/>
  <c r="Z217" i="1"/>
  <c r="Y217" i="1"/>
  <c r="X217" i="1"/>
  <c r="W217" i="1"/>
  <c r="V217" i="1"/>
  <c r="U217" i="1"/>
  <c r="T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A216" i="1"/>
  <c r="Z216" i="1"/>
  <c r="Y216" i="1"/>
  <c r="X216" i="1"/>
  <c r="W216" i="1"/>
  <c r="V216" i="1"/>
  <c r="U216" i="1"/>
  <c r="T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A215" i="1"/>
  <c r="Z215" i="1"/>
  <c r="Y215" i="1"/>
  <c r="X215" i="1"/>
  <c r="W215" i="1"/>
  <c r="V215" i="1"/>
  <c r="U215" i="1"/>
  <c r="T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A214" i="1"/>
  <c r="Z214" i="1"/>
  <c r="Y214" i="1"/>
  <c r="X214" i="1"/>
  <c r="W214" i="1"/>
  <c r="V214" i="1"/>
  <c r="U214" i="1"/>
  <c r="T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A213" i="1"/>
  <c r="Z213" i="1"/>
  <c r="Y213" i="1"/>
  <c r="X213" i="1"/>
  <c r="W213" i="1"/>
  <c r="V213" i="1"/>
  <c r="U213" i="1"/>
  <c r="T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A212" i="1"/>
  <c r="Z212" i="1"/>
  <c r="Y212" i="1"/>
  <c r="X212" i="1"/>
  <c r="W212" i="1"/>
  <c r="V212" i="1"/>
  <c r="U212" i="1"/>
  <c r="T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A211" i="1"/>
  <c r="Z211" i="1"/>
  <c r="Y211" i="1"/>
  <c r="X211" i="1"/>
  <c r="W211" i="1"/>
  <c r="V211" i="1"/>
  <c r="U211" i="1"/>
  <c r="T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A210" i="1"/>
  <c r="Z210" i="1"/>
  <c r="Y210" i="1"/>
  <c r="X210" i="1"/>
  <c r="W210" i="1"/>
  <c r="V210" i="1"/>
  <c r="U210" i="1"/>
  <c r="T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A209" i="1"/>
  <c r="Z209" i="1"/>
  <c r="Y209" i="1"/>
  <c r="X209" i="1"/>
  <c r="W209" i="1"/>
  <c r="V209" i="1"/>
  <c r="U209" i="1"/>
  <c r="T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A208" i="1"/>
  <c r="Z208" i="1"/>
  <c r="Y208" i="1"/>
  <c r="X208" i="1"/>
  <c r="W208" i="1"/>
  <c r="V208" i="1"/>
  <c r="U208" i="1"/>
  <c r="T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A207" i="1"/>
  <c r="Z207" i="1"/>
  <c r="Y207" i="1"/>
  <c r="X207" i="1"/>
  <c r="W207" i="1"/>
  <c r="V207" i="1"/>
  <c r="U207" i="1"/>
  <c r="T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A206" i="1"/>
  <c r="Z206" i="1"/>
  <c r="Y206" i="1"/>
  <c r="X206" i="1"/>
  <c r="W206" i="1"/>
  <c r="V206" i="1"/>
  <c r="U206" i="1"/>
  <c r="T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A205" i="1"/>
  <c r="Z205" i="1"/>
  <c r="Y205" i="1"/>
  <c r="X205" i="1"/>
  <c r="W205" i="1"/>
  <c r="V205" i="1"/>
  <c r="U205" i="1"/>
  <c r="T205" i="1"/>
  <c r="R205" i="1"/>
  <c r="Q205" i="1"/>
  <c r="O205" i="1"/>
  <c r="N205" i="1"/>
  <c r="M205" i="1"/>
  <c r="L205" i="1"/>
  <c r="K205" i="1"/>
  <c r="J205" i="1"/>
  <c r="I205" i="1"/>
  <c r="H205" i="1"/>
  <c r="F205" i="1"/>
  <c r="E205" i="1"/>
  <c r="D205" i="1"/>
  <c r="C205" i="1"/>
  <c r="A205" i="1"/>
  <c r="AA204" i="1"/>
  <c r="Z204" i="1"/>
  <c r="Y204" i="1"/>
  <c r="X204" i="1"/>
  <c r="W204" i="1"/>
  <c r="V204" i="1"/>
  <c r="U204" i="1"/>
  <c r="T204" i="1"/>
  <c r="O204" i="1"/>
  <c r="N204" i="1"/>
  <c r="M204" i="1"/>
  <c r="L204" i="1"/>
  <c r="K204" i="1"/>
  <c r="J204" i="1"/>
  <c r="I204" i="1"/>
  <c r="H204" i="1"/>
  <c r="F204" i="1"/>
  <c r="E204" i="1"/>
  <c r="C204" i="1"/>
  <c r="B204" i="1"/>
  <c r="A204" i="1"/>
  <c r="AA203" i="1"/>
  <c r="Z203" i="1"/>
  <c r="Y203" i="1"/>
  <c r="X203" i="1"/>
  <c r="W203" i="1"/>
  <c r="V203" i="1"/>
  <c r="U203" i="1"/>
  <c r="T203" i="1"/>
  <c r="O203" i="1"/>
  <c r="N203" i="1"/>
  <c r="M203" i="1"/>
  <c r="L203" i="1"/>
  <c r="K203" i="1"/>
  <c r="J203" i="1"/>
  <c r="I203" i="1"/>
  <c r="H203" i="1"/>
  <c r="F203" i="1"/>
  <c r="E203" i="1"/>
  <c r="C203" i="1"/>
  <c r="B203" i="1"/>
  <c r="A203" i="1"/>
  <c r="AA202" i="1"/>
  <c r="Z202" i="1"/>
  <c r="Y202" i="1"/>
  <c r="X202" i="1"/>
  <c r="W202" i="1"/>
  <c r="V202" i="1"/>
  <c r="U202" i="1"/>
  <c r="T202" i="1"/>
  <c r="O202" i="1"/>
  <c r="N202" i="1"/>
  <c r="M202" i="1"/>
  <c r="L202" i="1"/>
  <c r="K202" i="1"/>
  <c r="J202" i="1"/>
  <c r="I202" i="1"/>
  <c r="H202" i="1"/>
  <c r="F202" i="1"/>
  <c r="E202" i="1"/>
  <c r="C202" i="1"/>
  <c r="B202" i="1"/>
  <c r="A202" i="1"/>
  <c r="AA196" i="1"/>
  <c r="Z196" i="1"/>
  <c r="Y196" i="1"/>
  <c r="X196" i="1"/>
  <c r="W196" i="1"/>
  <c r="V196" i="1"/>
  <c r="U196" i="1"/>
  <c r="T196" i="1"/>
  <c r="O196" i="1"/>
  <c r="N196" i="1"/>
  <c r="M196" i="1"/>
  <c r="L196" i="1"/>
  <c r="K196" i="1"/>
  <c r="J196" i="1"/>
  <c r="I196" i="1"/>
  <c r="H196" i="1"/>
  <c r="F196" i="1"/>
  <c r="E196" i="1"/>
  <c r="B196" i="1"/>
  <c r="A196" i="1"/>
  <c r="AA195" i="1"/>
  <c r="Z195" i="1"/>
  <c r="Y195" i="1"/>
  <c r="X195" i="1"/>
  <c r="W195" i="1"/>
  <c r="V195" i="1"/>
  <c r="U195" i="1"/>
  <c r="T195" i="1"/>
  <c r="O195" i="1"/>
  <c r="N195" i="1"/>
  <c r="M195" i="1"/>
  <c r="L195" i="1"/>
  <c r="K195" i="1"/>
  <c r="J195" i="1"/>
  <c r="I195" i="1"/>
  <c r="H195" i="1"/>
  <c r="F195" i="1"/>
  <c r="E195" i="1"/>
  <c r="B195" i="1"/>
  <c r="A195" i="1"/>
  <c r="AA194" i="1"/>
  <c r="Z194" i="1"/>
  <c r="Y194" i="1"/>
  <c r="X194" i="1"/>
  <c r="W194" i="1"/>
  <c r="V194" i="1"/>
  <c r="U194" i="1"/>
  <c r="T194" i="1"/>
  <c r="O194" i="1"/>
  <c r="N194" i="1"/>
  <c r="M194" i="1"/>
  <c r="L194" i="1"/>
  <c r="K194" i="1"/>
  <c r="J194" i="1"/>
  <c r="I194" i="1"/>
  <c r="H194" i="1"/>
  <c r="F194" i="1"/>
  <c r="E194" i="1"/>
  <c r="D194" i="1"/>
  <c r="C194" i="1"/>
  <c r="B194" i="1"/>
  <c r="A194" i="1"/>
  <c r="AA193" i="1"/>
  <c r="Z193" i="1"/>
  <c r="Y193" i="1"/>
  <c r="X193" i="1"/>
  <c r="W193" i="1"/>
  <c r="V193" i="1"/>
  <c r="U193" i="1"/>
  <c r="T193" i="1"/>
  <c r="O193" i="1"/>
  <c r="N193" i="1"/>
  <c r="M193" i="1"/>
  <c r="L193" i="1"/>
  <c r="K193" i="1"/>
  <c r="J193" i="1"/>
  <c r="I193" i="1"/>
  <c r="H193" i="1"/>
  <c r="F193" i="1"/>
  <c r="E193" i="1"/>
  <c r="D193" i="1"/>
  <c r="C193" i="1"/>
  <c r="B193" i="1"/>
  <c r="A193" i="1"/>
  <c r="AA192" i="1"/>
  <c r="Z192" i="1"/>
  <c r="Y192" i="1"/>
  <c r="X192" i="1"/>
  <c r="W192" i="1"/>
  <c r="V192" i="1"/>
  <c r="U192" i="1"/>
  <c r="T192" i="1"/>
  <c r="O192" i="1"/>
  <c r="N192" i="1"/>
  <c r="M192" i="1"/>
  <c r="L192" i="1"/>
  <c r="K192" i="1"/>
  <c r="J192" i="1"/>
  <c r="I192" i="1"/>
  <c r="H192" i="1"/>
  <c r="F192" i="1"/>
  <c r="E192" i="1"/>
  <c r="D192" i="1"/>
  <c r="C192" i="1"/>
  <c r="B192" i="1"/>
  <c r="A192" i="1"/>
  <c r="AA191" i="1"/>
  <c r="Z191" i="1"/>
  <c r="Y191" i="1"/>
  <c r="X191" i="1"/>
  <c r="W191" i="1"/>
  <c r="V191" i="1"/>
  <c r="U191" i="1"/>
  <c r="T191" i="1"/>
  <c r="O191" i="1"/>
  <c r="N191" i="1"/>
  <c r="M191" i="1"/>
  <c r="L191" i="1"/>
  <c r="K191" i="1"/>
  <c r="J191" i="1"/>
  <c r="I191" i="1"/>
  <c r="H191" i="1"/>
  <c r="F191" i="1"/>
  <c r="E191" i="1"/>
  <c r="D191" i="1"/>
  <c r="C191" i="1"/>
  <c r="B191" i="1"/>
  <c r="A191" i="1"/>
  <c r="AA190" i="1"/>
  <c r="Z190" i="1"/>
  <c r="Y190" i="1"/>
  <c r="X190" i="1"/>
  <c r="W190" i="1"/>
  <c r="V190" i="1"/>
  <c r="U190" i="1"/>
  <c r="T190" i="1"/>
  <c r="O190" i="1"/>
  <c r="N190" i="1"/>
  <c r="M190" i="1"/>
  <c r="L190" i="1"/>
  <c r="K190" i="1"/>
  <c r="J190" i="1"/>
  <c r="I190" i="1"/>
  <c r="H190" i="1"/>
  <c r="F190" i="1"/>
  <c r="E190" i="1"/>
  <c r="D190" i="1"/>
  <c r="C190" i="1"/>
  <c r="B190" i="1"/>
  <c r="A190" i="1"/>
  <c r="AA189" i="1"/>
  <c r="Z189" i="1"/>
  <c r="Y189" i="1"/>
  <c r="X189" i="1"/>
  <c r="W189" i="1"/>
  <c r="V189" i="1"/>
  <c r="U189" i="1"/>
  <c r="T189" i="1"/>
  <c r="O189" i="1"/>
  <c r="N189" i="1"/>
  <c r="M189" i="1"/>
  <c r="L189" i="1"/>
  <c r="K189" i="1"/>
  <c r="J189" i="1"/>
  <c r="I189" i="1"/>
  <c r="H189" i="1"/>
  <c r="F189" i="1"/>
  <c r="E189" i="1"/>
  <c r="D189" i="1"/>
  <c r="C189" i="1"/>
  <c r="B189" i="1"/>
  <c r="A189" i="1"/>
  <c r="AA188" i="1"/>
  <c r="Z188" i="1"/>
  <c r="Y188" i="1"/>
  <c r="X188" i="1"/>
  <c r="W188" i="1"/>
  <c r="V188" i="1"/>
  <c r="U188" i="1"/>
  <c r="T188" i="1"/>
  <c r="O188" i="1"/>
  <c r="N188" i="1"/>
  <c r="M188" i="1"/>
  <c r="L188" i="1"/>
  <c r="K188" i="1"/>
  <c r="J188" i="1"/>
  <c r="I188" i="1"/>
  <c r="H188" i="1"/>
  <c r="F188" i="1"/>
  <c r="E188" i="1"/>
  <c r="D188" i="1"/>
  <c r="C188" i="1"/>
  <c r="B188" i="1"/>
  <c r="A188" i="1"/>
  <c r="AA187" i="1"/>
  <c r="Z187" i="1"/>
  <c r="Y187" i="1"/>
  <c r="X187" i="1"/>
  <c r="W187" i="1"/>
  <c r="V187" i="1"/>
  <c r="U187" i="1"/>
  <c r="T187" i="1"/>
  <c r="O187" i="1"/>
  <c r="N187" i="1"/>
  <c r="M187" i="1"/>
  <c r="L187" i="1"/>
  <c r="K187" i="1"/>
  <c r="J187" i="1"/>
  <c r="I187" i="1"/>
  <c r="H187" i="1"/>
  <c r="F187" i="1"/>
  <c r="E187" i="1"/>
  <c r="D187" i="1"/>
  <c r="C187" i="1"/>
  <c r="B187" i="1"/>
  <c r="A187" i="1"/>
  <c r="AA186" i="1"/>
  <c r="Z186" i="1"/>
  <c r="Y186" i="1"/>
  <c r="X186" i="1"/>
  <c r="W186" i="1"/>
  <c r="V186" i="1"/>
  <c r="U186" i="1"/>
  <c r="T186" i="1"/>
  <c r="O186" i="1"/>
  <c r="N186" i="1"/>
  <c r="M186" i="1"/>
  <c r="L186" i="1"/>
  <c r="K186" i="1"/>
  <c r="J186" i="1"/>
  <c r="I186" i="1"/>
  <c r="H186" i="1"/>
  <c r="F186" i="1"/>
  <c r="E186" i="1"/>
  <c r="D186" i="1"/>
  <c r="C186" i="1"/>
  <c r="B186" i="1"/>
  <c r="A186" i="1"/>
  <c r="AA185" i="1"/>
  <c r="Z185" i="1"/>
  <c r="Y185" i="1"/>
  <c r="X185" i="1"/>
  <c r="W185" i="1"/>
  <c r="V185" i="1"/>
  <c r="U185" i="1"/>
  <c r="T185" i="1"/>
  <c r="O185" i="1"/>
  <c r="N185" i="1"/>
  <c r="M185" i="1"/>
  <c r="L185" i="1"/>
  <c r="K185" i="1"/>
  <c r="J185" i="1"/>
  <c r="I185" i="1"/>
  <c r="H185" i="1"/>
  <c r="F185" i="1"/>
  <c r="E185" i="1"/>
  <c r="D185" i="1"/>
  <c r="C185" i="1"/>
  <c r="B185" i="1"/>
  <c r="A185" i="1"/>
  <c r="AA184" i="1"/>
  <c r="Z184" i="1"/>
  <c r="Y184" i="1"/>
  <c r="X184" i="1"/>
  <c r="W184" i="1"/>
  <c r="V184" i="1"/>
  <c r="U184" i="1"/>
  <c r="T184" i="1"/>
  <c r="O184" i="1"/>
  <c r="N184" i="1"/>
  <c r="M184" i="1"/>
  <c r="L184" i="1"/>
  <c r="K184" i="1"/>
  <c r="J184" i="1"/>
  <c r="I184" i="1"/>
  <c r="H184" i="1"/>
  <c r="F184" i="1"/>
  <c r="E184" i="1"/>
  <c r="D184" i="1"/>
  <c r="C184" i="1"/>
  <c r="B184" i="1"/>
  <c r="A184" i="1"/>
  <c r="AA183" i="1"/>
  <c r="Z183" i="1"/>
  <c r="Y183" i="1"/>
  <c r="X183" i="1"/>
  <c r="W183" i="1"/>
  <c r="V183" i="1"/>
  <c r="U183" i="1"/>
  <c r="T183" i="1"/>
  <c r="O183" i="1"/>
  <c r="N183" i="1"/>
  <c r="M183" i="1"/>
  <c r="L183" i="1"/>
  <c r="K183" i="1"/>
  <c r="J183" i="1"/>
  <c r="I183" i="1"/>
  <c r="H183" i="1"/>
  <c r="F183" i="1"/>
  <c r="E183" i="1"/>
  <c r="D183" i="1"/>
  <c r="C183" i="1"/>
  <c r="B183" i="1"/>
  <c r="A183" i="1"/>
  <c r="AA182" i="1"/>
  <c r="Z182" i="1"/>
  <c r="Y182" i="1"/>
  <c r="X182" i="1"/>
  <c r="W182" i="1"/>
  <c r="V182" i="1"/>
  <c r="U182" i="1"/>
  <c r="T182" i="1"/>
  <c r="O182" i="1"/>
  <c r="N182" i="1"/>
  <c r="M182" i="1"/>
  <c r="L182" i="1"/>
  <c r="K182" i="1"/>
  <c r="J182" i="1"/>
  <c r="I182" i="1"/>
  <c r="H182" i="1"/>
  <c r="F182" i="1"/>
  <c r="E182" i="1"/>
  <c r="D182" i="1"/>
  <c r="C182" i="1"/>
  <c r="B182" i="1"/>
  <c r="A182" i="1"/>
  <c r="AA181" i="1"/>
  <c r="Z181" i="1"/>
  <c r="Y181" i="1"/>
  <c r="X181" i="1"/>
  <c r="W181" i="1"/>
  <c r="V181" i="1"/>
  <c r="U181" i="1"/>
  <c r="T181" i="1"/>
  <c r="O181" i="1"/>
  <c r="N181" i="1"/>
  <c r="M181" i="1"/>
  <c r="L181" i="1"/>
  <c r="K181" i="1"/>
  <c r="J181" i="1"/>
  <c r="I181" i="1"/>
  <c r="H181" i="1"/>
  <c r="F181" i="1"/>
  <c r="E181" i="1"/>
  <c r="D181" i="1"/>
  <c r="C181" i="1"/>
  <c r="B181" i="1"/>
  <c r="A181" i="1"/>
  <c r="AA180" i="1"/>
  <c r="Z180" i="1"/>
  <c r="Y180" i="1"/>
  <c r="X180" i="1"/>
  <c r="W180" i="1"/>
  <c r="V180" i="1"/>
  <c r="U180" i="1"/>
  <c r="T180" i="1"/>
  <c r="O180" i="1"/>
  <c r="N180" i="1"/>
  <c r="M180" i="1"/>
  <c r="L180" i="1"/>
  <c r="K180" i="1"/>
  <c r="J180" i="1"/>
  <c r="I180" i="1"/>
  <c r="H180" i="1"/>
  <c r="F180" i="1"/>
  <c r="E180" i="1"/>
  <c r="D180" i="1"/>
  <c r="C180" i="1"/>
  <c r="B180" i="1"/>
  <c r="A180" i="1"/>
  <c r="AA179" i="1"/>
  <c r="Z179" i="1"/>
  <c r="Y179" i="1"/>
  <c r="X179" i="1"/>
  <c r="W179" i="1"/>
  <c r="V179" i="1"/>
  <c r="U179" i="1"/>
  <c r="T179" i="1"/>
  <c r="O179" i="1"/>
  <c r="N179" i="1"/>
  <c r="M179" i="1"/>
  <c r="L179" i="1"/>
  <c r="K179" i="1"/>
  <c r="J179" i="1"/>
  <c r="I179" i="1"/>
  <c r="H179" i="1"/>
  <c r="F179" i="1"/>
  <c r="E179" i="1"/>
  <c r="D179" i="1"/>
  <c r="C179" i="1"/>
  <c r="B179" i="1"/>
  <c r="A179" i="1"/>
  <c r="AA178" i="1"/>
  <c r="Z178" i="1"/>
  <c r="Y178" i="1"/>
  <c r="X178" i="1"/>
  <c r="W178" i="1"/>
  <c r="V178" i="1"/>
  <c r="U178" i="1"/>
  <c r="T178" i="1"/>
  <c r="O178" i="1"/>
  <c r="N178" i="1"/>
  <c r="M178" i="1"/>
  <c r="L178" i="1"/>
  <c r="K178" i="1"/>
  <c r="J178" i="1"/>
  <c r="I178" i="1"/>
  <c r="H178" i="1"/>
  <c r="F178" i="1"/>
  <c r="E178" i="1"/>
  <c r="D178" i="1"/>
  <c r="C178" i="1"/>
  <c r="B178" i="1"/>
  <c r="A178" i="1"/>
  <c r="AA177" i="1"/>
  <c r="Z177" i="1"/>
  <c r="Y177" i="1"/>
  <c r="X177" i="1"/>
  <c r="W177" i="1"/>
  <c r="V177" i="1"/>
  <c r="U177" i="1"/>
  <c r="T177" i="1"/>
  <c r="O177" i="1"/>
  <c r="N177" i="1"/>
  <c r="M177" i="1"/>
  <c r="L177" i="1"/>
  <c r="K177" i="1"/>
  <c r="J177" i="1"/>
  <c r="I177" i="1"/>
  <c r="H177" i="1"/>
  <c r="F177" i="1"/>
  <c r="E177" i="1"/>
  <c r="D177" i="1"/>
  <c r="C177" i="1"/>
  <c r="B177" i="1"/>
  <c r="A177" i="1"/>
  <c r="AA176" i="1"/>
  <c r="Z176" i="1"/>
  <c r="Y176" i="1"/>
  <c r="X176" i="1"/>
  <c r="W176" i="1"/>
  <c r="V176" i="1"/>
  <c r="U176" i="1"/>
  <c r="T176" i="1"/>
  <c r="O176" i="1"/>
  <c r="N176" i="1"/>
  <c r="M176" i="1"/>
  <c r="L176" i="1"/>
  <c r="K176" i="1"/>
  <c r="J176" i="1"/>
  <c r="I176" i="1"/>
  <c r="H176" i="1"/>
  <c r="F176" i="1"/>
  <c r="E176" i="1"/>
  <c r="D176" i="1"/>
  <c r="C176" i="1"/>
  <c r="B176" i="1"/>
  <c r="A176" i="1"/>
  <c r="AA175" i="1"/>
  <c r="Z175" i="1"/>
  <c r="Y175" i="1"/>
  <c r="X175" i="1"/>
  <c r="W175" i="1"/>
  <c r="V175" i="1"/>
  <c r="U175" i="1"/>
  <c r="T175" i="1"/>
  <c r="O175" i="1"/>
  <c r="N175" i="1"/>
  <c r="M175" i="1"/>
  <c r="L175" i="1"/>
  <c r="K175" i="1"/>
  <c r="J175" i="1"/>
  <c r="I175" i="1"/>
  <c r="H175" i="1"/>
  <c r="F175" i="1"/>
  <c r="E175" i="1"/>
  <c r="D175" i="1"/>
  <c r="C175" i="1"/>
  <c r="B175" i="1"/>
  <c r="A175" i="1"/>
  <c r="AA174" i="1"/>
  <c r="Z174" i="1"/>
  <c r="Y174" i="1"/>
  <c r="X174" i="1"/>
  <c r="W174" i="1"/>
  <c r="V174" i="1"/>
  <c r="U174" i="1"/>
  <c r="T174" i="1"/>
  <c r="O174" i="1"/>
  <c r="N174" i="1"/>
  <c r="M174" i="1"/>
  <c r="L174" i="1"/>
  <c r="K174" i="1"/>
  <c r="J174" i="1"/>
  <c r="I174" i="1"/>
  <c r="H174" i="1"/>
  <c r="F174" i="1"/>
  <c r="E174" i="1"/>
  <c r="D174" i="1"/>
  <c r="C174" i="1"/>
  <c r="B174" i="1"/>
  <c r="A174" i="1"/>
  <c r="AA173" i="1"/>
  <c r="Z173" i="1"/>
  <c r="Y173" i="1"/>
  <c r="X173" i="1"/>
  <c r="W173" i="1"/>
  <c r="V173" i="1"/>
  <c r="U173" i="1"/>
  <c r="T173" i="1"/>
  <c r="O173" i="1"/>
  <c r="N173" i="1"/>
  <c r="M173" i="1"/>
  <c r="L173" i="1"/>
  <c r="K173" i="1"/>
  <c r="J173" i="1"/>
  <c r="I173" i="1"/>
  <c r="H173" i="1"/>
  <c r="F173" i="1"/>
  <c r="E173" i="1"/>
  <c r="D173" i="1"/>
  <c r="C173" i="1"/>
  <c r="B173" i="1"/>
  <c r="A173" i="1"/>
  <c r="AA172" i="1"/>
  <c r="Z172" i="1"/>
  <c r="Y172" i="1"/>
  <c r="X172" i="1"/>
  <c r="W172" i="1"/>
  <c r="V172" i="1"/>
  <c r="U172" i="1"/>
  <c r="T172" i="1"/>
  <c r="O172" i="1"/>
  <c r="N172" i="1"/>
  <c r="M172" i="1"/>
  <c r="L172" i="1"/>
  <c r="K172" i="1"/>
  <c r="J172" i="1"/>
  <c r="I172" i="1"/>
  <c r="H172" i="1"/>
  <c r="F172" i="1"/>
  <c r="E172" i="1"/>
  <c r="D172" i="1"/>
  <c r="C172" i="1"/>
  <c r="B172" i="1"/>
  <c r="A172" i="1"/>
  <c r="AA171" i="1"/>
  <c r="Z171" i="1"/>
  <c r="Y171" i="1"/>
  <c r="X171" i="1"/>
  <c r="W171" i="1"/>
  <c r="V171" i="1"/>
  <c r="U171" i="1"/>
  <c r="T171" i="1"/>
  <c r="O171" i="1"/>
  <c r="N171" i="1"/>
  <c r="M171" i="1"/>
  <c r="L171" i="1"/>
  <c r="K171" i="1"/>
  <c r="J171" i="1"/>
  <c r="I171" i="1"/>
  <c r="H171" i="1"/>
  <c r="F171" i="1"/>
  <c r="E171" i="1"/>
  <c r="D171" i="1"/>
  <c r="C171" i="1"/>
  <c r="B171" i="1"/>
  <c r="A171" i="1"/>
  <c r="AA170" i="1"/>
  <c r="Z170" i="1"/>
  <c r="Y170" i="1"/>
  <c r="X170" i="1"/>
  <c r="W170" i="1"/>
  <c r="V170" i="1"/>
  <c r="U170" i="1"/>
  <c r="T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A169" i="1"/>
  <c r="Z169" i="1"/>
  <c r="Y169" i="1"/>
  <c r="X169" i="1"/>
  <c r="W169" i="1"/>
  <c r="V169" i="1"/>
  <c r="U169" i="1"/>
  <c r="T169" i="1"/>
  <c r="O169" i="1"/>
  <c r="N169" i="1"/>
  <c r="M169" i="1"/>
  <c r="L169" i="1"/>
  <c r="K169" i="1"/>
  <c r="J169" i="1"/>
  <c r="I169" i="1"/>
  <c r="H169" i="1"/>
  <c r="F169" i="1"/>
  <c r="E169" i="1"/>
  <c r="D169" i="1"/>
  <c r="C169" i="1"/>
  <c r="B169" i="1"/>
  <c r="A169" i="1"/>
  <c r="AA168" i="1"/>
  <c r="Z168" i="1"/>
  <c r="Y168" i="1"/>
  <c r="X168" i="1"/>
  <c r="W168" i="1"/>
  <c r="V168" i="1"/>
  <c r="U168" i="1"/>
  <c r="T168" i="1"/>
  <c r="O168" i="1"/>
  <c r="N168" i="1"/>
  <c r="M168" i="1"/>
  <c r="L168" i="1"/>
  <c r="K168" i="1"/>
  <c r="J168" i="1"/>
  <c r="I168" i="1"/>
  <c r="H168" i="1"/>
  <c r="F168" i="1"/>
  <c r="E168" i="1"/>
  <c r="D168" i="1"/>
  <c r="C168" i="1"/>
  <c r="B168" i="1"/>
  <c r="A168" i="1"/>
  <c r="AA167" i="1"/>
  <c r="Z167" i="1"/>
  <c r="Y167" i="1"/>
  <c r="X167" i="1"/>
  <c r="W167" i="1"/>
  <c r="V167" i="1"/>
  <c r="U167" i="1"/>
  <c r="T167" i="1"/>
  <c r="O167" i="1"/>
  <c r="N167" i="1"/>
  <c r="M167" i="1"/>
  <c r="L167" i="1"/>
  <c r="K167" i="1"/>
  <c r="J167" i="1"/>
  <c r="I167" i="1"/>
  <c r="H167" i="1"/>
  <c r="F167" i="1"/>
  <c r="E167" i="1"/>
  <c r="C167" i="1"/>
  <c r="B167" i="1"/>
  <c r="A167" i="1"/>
  <c r="AA166" i="1"/>
  <c r="Z166" i="1"/>
  <c r="Y166" i="1"/>
  <c r="X166" i="1"/>
  <c r="W166" i="1"/>
  <c r="V166" i="1"/>
  <c r="U166" i="1"/>
  <c r="T166" i="1"/>
  <c r="O166" i="1"/>
  <c r="N166" i="1"/>
  <c r="M166" i="1"/>
  <c r="L166" i="1"/>
  <c r="K166" i="1"/>
  <c r="J166" i="1"/>
  <c r="I166" i="1"/>
  <c r="H166" i="1"/>
  <c r="F166" i="1"/>
  <c r="E166" i="1"/>
  <c r="D166" i="1"/>
  <c r="C166" i="1"/>
  <c r="B166" i="1"/>
  <c r="A166" i="1"/>
  <c r="AA165" i="1"/>
  <c r="Z165" i="1"/>
  <c r="Y165" i="1"/>
  <c r="X165" i="1"/>
  <c r="W165" i="1"/>
  <c r="V165" i="1"/>
  <c r="U165" i="1"/>
  <c r="T165" i="1"/>
  <c r="O165" i="1"/>
  <c r="N165" i="1"/>
  <c r="M165" i="1"/>
  <c r="L165" i="1"/>
  <c r="K165" i="1"/>
  <c r="J165" i="1"/>
  <c r="I165" i="1"/>
  <c r="H165" i="1"/>
  <c r="F165" i="1"/>
  <c r="E165" i="1"/>
  <c r="C165" i="1"/>
  <c r="B165" i="1"/>
  <c r="A165" i="1"/>
  <c r="AA164" i="1"/>
  <c r="Z164" i="1"/>
  <c r="Y164" i="1"/>
  <c r="X164" i="1"/>
  <c r="W164" i="1"/>
  <c r="V164" i="1"/>
  <c r="U164" i="1"/>
  <c r="T164" i="1"/>
  <c r="O164" i="1"/>
  <c r="N164" i="1"/>
  <c r="M164" i="1"/>
  <c r="L164" i="1"/>
  <c r="K164" i="1"/>
  <c r="J164" i="1"/>
  <c r="I164" i="1"/>
  <c r="H164" i="1"/>
  <c r="F164" i="1"/>
  <c r="E164" i="1"/>
  <c r="D164" i="1"/>
  <c r="C164" i="1"/>
  <c r="B164" i="1"/>
  <c r="A164" i="1"/>
  <c r="AA163" i="1"/>
  <c r="Z163" i="1"/>
  <c r="Y163" i="1"/>
  <c r="X163" i="1"/>
  <c r="W163" i="1"/>
  <c r="V163" i="1"/>
  <c r="U163" i="1"/>
  <c r="T163" i="1"/>
  <c r="O163" i="1"/>
  <c r="N163" i="1"/>
  <c r="M163" i="1"/>
  <c r="L163" i="1"/>
  <c r="K163" i="1"/>
  <c r="J163" i="1"/>
  <c r="I163" i="1"/>
  <c r="H163" i="1"/>
  <c r="F163" i="1"/>
  <c r="E163" i="1"/>
  <c r="D163" i="1"/>
  <c r="C163" i="1"/>
  <c r="B163" i="1"/>
  <c r="A163" i="1"/>
  <c r="AA162" i="1"/>
  <c r="Z162" i="1"/>
  <c r="Y162" i="1"/>
  <c r="X162" i="1"/>
  <c r="W162" i="1"/>
  <c r="V162" i="1"/>
  <c r="U162" i="1"/>
  <c r="T162" i="1"/>
  <c r="O162" i="1"/>
  <c r="N162" i="1"/>
  <c r="M162" i="1"/>
  <c r="L162" i="1"/>
  <c r="K162" i="1"/>
  <c r="J162" i="1"/>
  <c r="I162" i="1"/>
  <c r="H162" i="1"/>
  <c r="F162" i="1"/>
  <c r="E162" i="1"/>
  <c r="D162" i="1"/>
  <c r="C162" i="1"/>
  <c r="B162" i="1"/>
  <c r="A162" i="1"/>
  <c r="AA161" i="1"/>
  <c r="Z161" i="1"/>
  <c r="Y161" i="1"/>
  <c r="X161" i="1"/>
  <c r="W161" i="1"/>
  <c r="V161" i="1"/>
  <c r="U161" i="1"/>
  <c r="T161" i="1"/>
  <c r="O161" i="1"/>
  <c r="N161" i="1"/>
  <c r="M161" i="1"/>
  <c r="L161" i="1"/>
  <c r="K161" i="1"/>
  <c r="J161" i="1"/>
  <c r="I161" i="1"/>
  <c r="H161" i="1"/>
  <c r="F161" i="1"/>
  <c r="E161" i="1"/>
  <c r="D161" i="1"/>
  <c r="C161" i="1"/>
  <c r="B161" i="1"/>
  <c r="A161" i="1"/>
  <c r="AA160" i="1"/>
  <c r="Z160" i="1"/>
  <c r="Y160" i="1"/>
  <c r="X160" i="1"/>
  <c r="W160" i="1"/>
  <c r="V160" i="1"/>
  <c r="U160" i="1"/>
  <c r="T160" i="1"/>
  <c r="O160" i="1"/>
  <c r="N160" i="1"/>
  <c r="M160" i="1"/>
  <c r="L160" i="1"/>
  <c r="K160" i="1"/>
  <c r="J160" i="1"/>
  <c r="I160" i="1"/>
  <c r="H160" i="1"/>
  <c r="F160" i="1"/>
  <c r="E160" i="1"/>
  <c r="C160" i="1"/>
  <c r="B160" i="1"/>
  <c r="A160" i="1"/>
  <c r="AA159" i="1"/>
  <c r="Z159" i="1"/>
  <c r="Y159" i="1"/>
  <c r="X159" i="1"/>
  <c r="W159" i="1"/>
  <c r="V159" i="1"/>
  <c r="U159" i="1"/>
  <c r="T159" i="1"/>
  <c r="O159" i="1"/>
  <c r="N159" i="1"/>
  <c r="M159" i="1"/>
  <c r="L159" i="1"/>
  <c r="K159" i="1"/>
  <c r="J159" i="1"/>
  <c r="I159" i="1"/>
  <c r="H159" i="1"/>
  <c r="F159" i="1"/>
  <c r="E159" i="1"/>
  <c r="B159" i="1"/>
  <c r="A159" i="1"/>
  <c r="AA158" i="1"/>
  <c r="Z158" i="1"/>
  <c r="Y158" i="1"/>
  <c r="X158" i="1"/>
  <c r="W158" i="1"/>
  <c r="V158" i="1"/>
  <c r="U158" i="1"/>
  <c r="T158" i="1"/>
  <c r="O158" i="1"/>
  <c r="N158" i="1"/>
  <c r="M158" i="1"/>
  <c r="L158" i="1"/>
  <c r="K158" i="1"/>
  <c r="J158" i="1"/>
  <c r="I158" i="1"/>
  <c r="H158" i="1"/>
  <c r="F158" i="1"/>
  <c r="E158" i="1"/>
  <c r="D158" i="1"/>
  <c r="C158" i="1"/>
  <c r="B158" i="1"/>
  <c r="A158" i="1"/>
  <c r="AA157" i="1"/>
  <c r="Z157" i="1"/>
  <c r="Y157" i="1"/>
  <c r="X157" i="1"/>
  <c r="W157" i="1"/>
  <c r="V157" i="1"/>
  <c r="U157" i="1"/>
  <c r="T157" i="1"/>
  <c r="O157" i="1"/>
  <c r="N157" i="1"/>
  <c r="M157" i="1"/>
  <c r="L157" i="1"/>
  <c r="K157" i="1"/>
  <c r="J157" i="1"/>
  <c r="I157" i="1"/>
  <c r="H157" i="1"/>
  <c r="F157" i="1"/>
  <c r="E157" i="1"/>
  <c r="D157" i="1"/>
  <c r="C157" i="1"/>
  <c r="B157" i="1"/>
  <c r="A157" i="1"/>
  <c r="AA156" i="1"/>
  <c r="Z156" i="1"/>
  <c r="Y156" i="1"/>
  <c r="X156" i="1"/>
  <c r="W156" i="1"/>
  <c r="V156" i="1"/>
  <c r="U156" i="1"/>
  <c r="T156" i="1"/>
  <c r="O156" i="1"/>
  <c r="N156" i="1"/>
  <c r="M156" i="1"/>
  <c r="L156" i="1"/>
  <c r="K156" i="1"/>
  <c r="J156" i="1"/>
  <c r="I156" i="1"/>
  <c r="H156" i="1"/>
  <c r="F156" i="1"/>
  <c r="E156" i="1"/>
  <c r="D156" i="1"/>
  <c r="C156" i="1"/>
  <c r="B156" i="1"/>
  <c r="A156" i="1"/>
  <c r="AA155" i="1"/>
  <c r="Z155" i="1"/>
  <c r="Y155" i="1"/>
  <c r="X155" i="1"/>
  <c r="W155" i="1"/>
  <c r="V155" i="1"/>
  <c r="U155" i="1"/>
  <c r="T155" i="1"/>
  <c r="O155" i="1"/>
  <c r="N155" i="1"/>
  <c r="M155" i="1"/>
  <c r="L155" i="1"/>
  <c r="K155" i="1"/>
  <c r="J155" i="1"/>
  <c r="I155" i="1"/>
  <c r="H155" i="1"/>
  <c r="F155" i="1"/>
  <c r="E155" i="1"/>
  <c r="D155" i="1"/>
  <c r="C155" i="1"/>
  <c r="B155" i="1"/>
  <c r="A155" i="1"/>
  <c r="AA154" i="1"/>
  <c r="Z154" i="1"/>
  <c r="Y154" i="1"/>
  <c r="X154" i="1"/>
  <c r="W154" i="1"/>
  <c r="V154" i="1"/>
  <c r="U154" i="1"/>
  <c r="T154" i="1"/>
  <c r="O154" i="1"/>
  <c r="N154" i="1"/>
  <c r="M154" i="1"/>
  <c r="L154" i="1"/>
  <c r="K154" i="1"/>
  <c r="J154" i="1"/>
  <c r="I154" i="1"/>
  <c r="H154" i="1"/>
  <c r="F154" i="1"/>
  <c r="E154" i="1"/>
  <c r="D154" i="1"/>
  <c r="C154" i="1"/>
  <c r="B154" i="1"/>
  <c r="A154" i="1"/>
  <c r="AA153" i="1"/>
  <c r="Z153" i="1"/>
  <c r="Y153" i="1"/>
  <c r="X153" i="1"/>
  <c r="W153" i="1"/>
  <c r="V153" i="1"/>
  <c r="U153" i="1"/>
  <c r="T153" i="1"/>
  <c r="O153" i="1"/>
  <c r="N153" i="1"/>
  <c r="M153" i="1"/>
  <c r="L153" i="1"/>
  <c r="K153" i="1"/>
  <c r="J153" i="1"/>
  <c r="I153" i="1"/>
  <c r="H153" i="1"/>
  <c r="F153" i="1"/>
  <c r="E153" i="1"/>
  <c r="D153" i="1"/>
  <c r="C153" i="1"/>
  <c r="B153" i="1"/>
  <c r="A153" i="1"/>
  <c r="AA152" i="1"/>
  <c r="Z152" i="1"/>
  <c r="Y152" i="1"/>
  <c r="X152" i="1"/>
  <c r="W152" i="1"/>
  <c r="V152" i="1"/>
  <c r="U152" i="1"/>
  <c r="T152" i="1"/>
  <c r="O152" i="1"/>
  <c r="N152" i="1"/>
  <c r="M152" i="1"/>
  <c r="L152" i="1"/>
  <c r="K152" i="1"/>
  <c r="J152" i="1"/>
  <c r="I152" i="1"/>
  <c r="H152" i="1"/>
  <c r="F152" i="1"/>
  <c r="E152" i="1"/>
  <c r="D152" i="1"/>
  <c r="C152" i="1"/>
  <c r="B152" i="1"/>
  <c r="A152" i="1"/>
  <c r="AA151" i="1"/>
  <c r="Z151" i="1"/>
  <c r="Y151" i="1"/>
  <c r="X151" i="1"/>
  <c r="W151" i="1"/>
  <c r="V151" i="1"/>
  <c r="U151" i="1"/>
  <c r="T151" i="1"/>
  <c r="O151" i="1"/>
  <c r="N151" i="1"/>
  <c r="M151" i="1"/>
  <c r="L151" i="1"/>
  <c r="K151" i="1"/>
  <c r="J151" i="1"/>
  <c r="I151" i="1"/>
  <c r="H151" i="1"/>
  <c r="F151" i="1"/>
  <c r="E151" i="1"/>
  <c r="D151" i="1"/>
  <c r="C151" i="1"/>
  <c r="B151" i="1"/>
  <c r="A151" i="1"/>
  <c r="AA150" i="1"/>
  <c r="Z150" i="1"/>
  <c r="Y150" i="1"/>
  <c r="X150" i="1"/>
  <c r="W150" i="1"/>
  <c r="V150" i="1"/>
  <c r="U150" i="1"/>
  <c r="T150" i="1"/>
  <c r="O150" i="1"/>
  <c r="N150" i="1"/>
  <c r="M150" i="1"/>
  <c r="L150" i="1"/>
  <c r="K150" i="1"/>
  <c r="J150" i="1"/>
  <c r="I150" i="1"/>
  <c r="H150" i="1"/>
  <c r="F150" i="1"/>
  <c r="E150" i="1"/>
  <c r="D150" i="1"/>
  <c r="C150" i="1"/>
  <c r="B150" i="1"/>
  <c r="A150" i="1"/>
  <c r="AA149" i="1"/>
  <c r="Z149" i="1"/>
  <c r="Y149" i="1"/>
  <c r="X149" i="1"/>
  <c r="W149" i="1"/>
  <c r="V149" i="1"/>
  <c r="U149" i="1"/>
  <c r="T149" i="1"/>
  <c r="O149" i="1"/>
  <c r="N149" i="1"/>
  <c r="M149" i="1"/>
  <c r="L149" i="1"/>
  <c r="K149" i="1"/>
  <c r="J149" i="1"/>
  <c r="I149" i="1"/>
  <c r="H149" i="1"/>
  <c r="F149" i="1"/>
  <c r="E149" i="1"/>
  <c r="D149" i="1"/>
  <c r="C149" i="1"/>
  <c r="B149" i="1"/>
  <c r="A149" i="1"/>
  <c r="AA148" i="1"/>
  <c r="Z148" i="1"/>
  <c r="Y148" i="1"/>
  <c r="X148" i="1"/>
  <c r="W148" i="1"/>
  <c r="V148" i="1"/>
  <c r="U148" i="1"/>
  <c r="T148" i="1"/>
  <c r="O148" i="1"/>
  <c r="N148" i="1"/>
  <c r="M148" i="1"/>
  <c r="L148" i="1"/>
  <c r="K148" i="1"/>
  <c r="J148" i="1"/>
  <c r="I148" i="1"/>
  <c r="H148" i="1"/>
  <c r="F148" i="1"/>
  <c r="E148" i="1"/>
  <c r="D148" i="1"/>
  <c r="C148" i="1"/>
  <c r="B148" i="1"/>
  <c r="A148" i="1"/>
  <c r="AA147" i="1"/>
  <c r="Z147" i="1"/>
  <c r="Y147" i="1"/>
  <c r="X147" i="1"/>
  <c r="W147" i="1"/>
  <c r="V147" i="1"/>
  <c r="U147" i="1"/>
  <c r="T147" i="1"/>
  <c r="O147" i="1"/>
  <c r="N147" i="1"/>
  <c r="M147" i="1"/>
  <c r="L147" i="1"/>
  <c r="K147" i="1"/>
  <c r="J147" i="1"/>
  <c r="I147" i="1"/>
  <c r="H147" i="1"/>
  <c r="F147" i="1"/>
  <c r="E147" i="1"/>
  <c r="D147" i="1"/>
  <c r="C147" i="1"/>
  <c r="B147" i="1"/>
  <c r="A147" i="1"/>
  <c r="AA146" i="1"/>
  <c r="Z146" i="1"/>
  <c r="Y146" i="1"/>
  <c r="X146" i="1"/>
  <c r="W146" i="1"/>
  <c r="V146" i="1"/>
  <c r="U146" i="1"/>
  <c r="T146" i="1"/>
  <c r="O146" i="1"/>
  <c r="N146" i="1"/>
  <c r="M146" i="1"/>
  <c r="L146" i="1"/>
  <c r="K146" i="1"/>
  <c r="J146" i="1"/>
  <c r="I146" i="1"/>
  <c r="H146" i="1"/>
  <c r="F146" i="1"/>
  <c r="E146" i="1"/>
  <c r="D146" i="1"/>
  <c r="C146" i="1"/>
  <c r="B146" i="1"/>
  <c r="A146" i="1"/>
  <c r="AA145" i="1"/>
  <c r="Z145" i="1"/>
  <c r="Y145" i="1"/>
  <c r="X145" i="1"/>
  <c r="W145" i="1"/>
  <c r="V145" i="1"/>
  <c r="U145" i="1"/>
  <c r="T145" i="1"/>
  <c r="O145" i="1"/>
  <c r="N145" i="1"/>
  <c r="M145" i="1"/>
  <c r="L145" i="1"/>
  <c r="K145" i="1"/>
  <c r="J145" i="1"/>
  <c r="I145" i="1"/>
  <c r="H145" i="1"/>
  <c r="F145" i="1"/>
  <c r="E145" i="1"/>
  <c r="D145" i="1"/>
  <c r="C145" i="1"/>
  <c r="B145" i="1"/>
  <c r="A145" i="1"/>
  <c r="AA144" i="1"/>
  <c r="Z144" i="1"/>
  <c r="Y144" i="1"/>
  <c r="X144" i="1"/>
  <c r="W144" i="1"/>
  <c r="V144" i="1"/>
  <c r="U144" i="1"/>
  <c r="T144" i="1"/>
  <c r="O144" i="1"/>
  <c r="N144" i="1"/>
  <c r="M144" i="1"/>
  <c r="L144" i="1"/>
  <c r="K144" i="1"/>
  <c r="J144" i="1"/>
  <c r="I144" i="1"/>
  <c r="H144" i="1"/>
  <c r="F144" i="1"/>
  <c r="E144" i="1"/>
  <c r="D144" i="1"/>
  <c r="C144" i="1"/>
  <c r="B144" i="1"/>
  <c r="A144" i="1"/>
  <c r="AH143" i="1"/>
  <c r="AA143" i="1"/>
  <c r="Z143" i="1"/>
  <c r="Y143" i="1"/>
  <c r="X143" i="1"/>
  <c r="W143" i="1"/>
  <c r="V143" i="1"/>
  <c r="U143" i="1"/>
  <c r="T143" i="1"/>
  <c r="O143" i="1"/>
  <c r="N143" i="1"/>
  <c r="M143" i="1"/>
  <c r="L143" i="1"/>
  <c r="K143" i="1"/>
  <c r="J143" i="1"/>
  <c r="I143" i="1"/>
  <c r="H143" i="1"/>
  <c r="F143" i="1"/>
  <c r="E143" i="1"/>
  <c r="D143" i="1"/>
  <c r="C143" i="1"/>
  <c r="B143" i="1"/>
  <c r="A143" i="1"/>
  <c r="AH142" i="1"/>
  <c r="AA142" i="1"/>
  <c r="Z142" i="1"/>
  <c r="Y142" i="1"/>
  <c r="X142" i="1"/>
  <c r="W142" i="1"/>
  <c r="V142" i="1"/>
  <c r="U142" i="1"/>
  <c r="T142" i="1"/>
  <c r="O142" i="1"/>
  <c r="N142" i="1"/>
  <c r="M142" i="1"/>
  <c r="L142" i="1"/>
  <c r="K142" i="1"/>
  <c r="J142" i="1"/>
  <c r="I142" i="1"/>
  <c r="H142" i="1"/>
  <c r="F142" i="1"/>
  <c r="E142" i="1"/>
  <c r="D142" i="1"/>
  <c r="C142" i="1"/>
  <c r="B142" i="1"/>
  <c r="A142" i="1"/>
  <c r="AH141" i="1"/>
  <c r="AA141" i="1"/>
  <c r="Z141" i="1"/>
  <c r="Y141" i="1"/>
  <c r="X141" i="1"/>
  <c r="W141" i="1"/>
  <c r="V141" i="1"/>
  <c r="U141" i="1"/>
  <c r="T141" i="1"/>
  <c r="O141" i="1"/>
  <c r="N141" i="1"/>
  <c r="M141" i="1"/>
  <c r="L141" i="1"/>
  <c r="K141" i="1"/>
  <c r="J141" i="1"/>
  <c r="I141" i="1"/>
  <c r="H141" i="1"/>
  <c r="F141" i="1"/>
  <c r="E141" i="1"/>
  <c r="D141" i="1"/>
  <c r="C141" i="1"/>
  <c r="B141" i="1"/>
  <c r="A141" i="1"/>
  <c r="AH140" i="1"/>
  <c r="AA140" i="1"/>
  <c r="Z140" i="1"/>
  <c r="Y140" i="1"/>
  <c r="X140" i="1"/>
  <c r="W140" i="1"/>
  <c r="V140" i="1"/>
  <c r="U140" i="1"/>
  <c r="T140" i="1"/>
  <c r="O140" i="1"/>
  <c r="N140" i="1"/>
  <c r="M140" i="1"/>
  <c r="L140" i="1"/>
  <c r="K140" i="1"/>
  <c r="J140" i="1"/>
  <c r="I140" i="1"/>
  <c r="H140" i="1"/>
  <c r="F140" i="1"/>
  <c r="E140" i="1"/>
  <c r="D140" i="1"/>
  <c r="C140" i="1"/>
  <c r="B140" i="1"/>
  <c r="A140" i="1"/>
  <c r="AH139" i="1"/>
  <c r="AA139" i="1"/>
  <c r="Z139" i="1"/>
  <c r="Y139" i="1"/>
  <c r="X139" i="1"/>
  <c r="W139" i="1"/>
  <c r="V139" i="1"/>
  <c r="U139" i="1"/>
  <c r="T139" i="1"/>
  <c r="O139" i="1"/>
  <c r="N139" i="1"/>
  <c r="M139" i="1"/>
  <c r="L139" i="1"/>
  <c r="K139" i="1"/>
  <c r="J139" i="1"/>
  <c r="I139" i="1"/>
  <c r="H139" i="1"/>
  <c r="F139" i="1"/>
  <c r="E139" i="1"/>
  <c r="D139" i="1"/>
  <c r="C139" i="1"/>
  <c r="B139" i="1"/>
  <c r="A139" i="1"/>
  <c r="AH138" i="1"/>
  <c r="AA138" i="1"/>
  <c r="Z138" i="1"/>
  <c r="Y138" i="1"/>
  <c r="X138" i="1"/>
  <c r="W138" i="1"/>
  <c r="V138" i="1"/>
  <c r="U138" i="1"/>
  <c r="T138" i="1"/>
  <c r="O138" i="1"/>
  <c r="N138" i="1"/>
  <c r="M138" i="1"/>
  <c r="L138" i="1"/>
  <c r="K138" i="1"/>
  <c r="J138" i="1"/>
  <c r="I138" i="1"/>
  <c r="H138" i="1"/>
  <c r="F138" i="1"/>
  <c r="E138" i="1"/>
  <c r="D138" i="1"/>
  <c r="C138" i="1"/>
  <c r="B138" i="1"/>
  <c r="A138" i="1"/>
  <c r="AH137" i="1"/>
  <c r="AA137" i="1"/>
  <c r="Z137" i="1"/>
  <c r="Y137" i="1"/>
  <c r="X137" i="1"/>
  <c r="W137" i="1"/>
  <c r="V137" i="1"/>
  <c r="U137" i="1"/>
  <c r="T137" i="1"/>
  <c r="O137" i="1"/>
  <c r="N137" i="1"/>
  <c r="M137" i="1"/>
  <c r="L137" i="1"/>
  <c r="K137" i="1"/>
  <c r="J137" i="1"/>
  <c r="I137" i="1"/>
  <c r="H137" i="1"/>
  <c r="F137" i="1"/>
  <c r="E137" i="1"/>
  <c r="B137" i="1"/>
  <c r="A137" i="1"/>
  <c r="AH136" i="1"/>
  <c r="AA136" i="1"/>
  <c r="Z136" i="1"/>
  <c r="Y136" i="1"/>
  <c r="X136" i="1"/>
  <c r="W136" i="1"/>
  <c r="V136" i="1"/>
  <c r="U136" i="1"/>
  <c r="T136" i="1"/>
  <c r="O136" i="1"/>
  <c r="N136" i="1"/>
  <c r="M136" i="1"/>
  <c r="L136" i="1"/>
  <c r="K136" i="1"/>
  <c r="J136" i="1"/>
  <c r="I136" i="1"/>
  <c r="H136" i="1"/>
  <c r="F136" i="1"/>
  <c r="E136" i="1"/>
  <c r="D136" i="1"/>
  <c r="C136" i="1"/>
  <c r="B136" i="1"/>
  <c r="A136" i="1"/>
  <c r="AH135" i="1"/>
  <c r="W135" i="1"/>
  <c r="V135" i="1"/>
  <c r="U135" i="1"/>
  <c r="T135" i="1"/>
  <c r="O135" i="1"/>
  <c r="N135" i="1"/>
  <c r="M135" i="1"/>
  <c r="L135" i="1"/>
  <c r="K135" i="1"/>
  <c r="J135" i="1"/>
  <c r="I135" i="1"/>
  <c r="H135" i="1"/>
  <c r="F135" i="1"/>
  <c r="E135" i="1"/>
  <c r="B135" i="1"/>
  <c r="A135" i="1"/>
  <c r="AH134" i="1"/>
  <c r="AA134" i="1"/>
  <c r="Z134" i="1"/>
  <c r="Y134" i="1"/>
  <c r="X134" i="1"/>
  <c r="W134" i="1"/>
  <c r="V134" i="1"/>
  <c r="U134" i="1"/>
  <c r="T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A133" i="1"/>
  <c r="Z133" i="1"/>
  <c r="Y133" i="1"/>
  <c r="X133" i="1"/>
  <c r="W133" i="1"/>
  <c r="V133" i="1"/>
  <c r="U133" i="1"/>
  <c r="T133" i="1"/>
  <c r="O133" i="1"/>
  <c r="N133" i="1"/>
  <c r="M133" i="1"/>
  <c r="L133" i="1"/>
  <c r="K133" i="1"/>
  <c r="J133" i="1"/>
  <c r="I133" i="1"/>
  <c r="H133" i="1"/>
  <c r="F133" i="1"/>
  <c r="E133" i="1"/>
  <c r="C133" i="1"/>
  <c r="B133" i="1"/>
  <c r="A133" i="1"/>
  <c r="AH132" i="1"/>
  <c r="AA132" i="1"/>
  <c r="Z132" i="1"/>
  <c r="Y132" i="1"/>
  <c r="X132" i="1"/>
  <c r="W132" i="1"/>
  <c r="V132" i="1"/>
  <c r="O132" i="1"/>
  <c r="N132" i="1"/>
  <c r="M132" i="1"/>
  <c r="L132" i="1"/>
  <c r="K132" i="1"/>
  <c r="J132" i="1"/>
  <c r="I132" i="1"/>
  <c r="H132" i="1"/>
  <c r="F132" i="1"/>
  <c r="E132" i="1"/>
  <c r="C132" i="1"/>
  <c r="B132" i="1"/>
  <c r="A132" i="1"/>
  <c r="AH131" i="1"/>
  <c r="AA131" i="1"/>
  <c r="Z131" i="1"/>
  <c r="Y131" i="1"/>
  <c r="X131" i="1"/>
  <c r="W131" i="1"/>
  <c r="U131" i="1"/>
  <c r="O131" i="1"/>
  <c r="M131" i="1"/>
  <c r="K131" i="1"/>
  <c r="I131" i="1"/>
  <c r="F131" i="1"/>
  <c r="E131" i="1"/>
  <c r="C131" i="1"/>
  <c r="B131" i="1"/>
  <c r="A131" i="1"/>
  <c r="AH130" i="1"/>
  <c r="AA130" i="1"/>
  <c r="Z130" i="1"/>
  <c r="Y130" i="1"/>
  <c r="X130" i="1"/>
  <c r="W130" i="1"/>
  <c r="V130" i="1"/>
  <c r="U130" i="1"/>
  <c r="T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A129" i="1"/>
  <c r="Z129" i="1"/>
  <c r="Y129" i="1"/>
  <c r="X129" i="1"/>
  <c r="W129" i="1"/>
  <c r="V129" i="1"/>
  <c r="U129" i="1"/>
  <c r="T129" i="1"/>
  <c r="N129" i="1"/>
  <c r="M129" i="1"/>
  <c r="L129" i="1"/>
  <c r="K129" i="1"/>
  <c r="J129" i="1"/>
  <c r="I129" i="1"/>
  <c r="H129" i="1"/>
  <c r="F129" i="1"/>
  <c r="E129" i="1"/>
  <c r="C129" i="1"/>
  <c r="B129" i="1"/>
  <c r="A129" i="1"/>
  <c r="AH128" i="1"/>
  <c r="AA128" i="1"/>
  <c r="Z128" i="1"/>
  <c r="Y128" i="1"/>
  <c r="X128" i="1"/>
  <c r="W128" i="1"/>
  <c r="V128" i="1"/>
  <c r="U128" i="1"/>
  <c r="T128" i="1"/>
  <c r="O128" i="1"/>
  <c r="N128" i="1"/>
  <c r="M128" i="1"/>
  <c r="L128" i="1"/>
  <c r="K128" i="1"/>
  <c r="J128" i="1"/>
  <c r="I128" i="1"/>
  <c r="H128" i="1"/>
  <c r="F128" i="1"/>
  <c r="E128" i="1"/>
  <c r="D128" i="1"/>
  <c r="C128" i="1"/>
  <c r="B128" i="1"/>
  <c r="A128" i="1"/>
  <c r="AH127" i="1"/>
  <c r="AA127" i="1"/>
  <c r="Z127" i="1"/>
  <c r="Y127" i="1"/>
  <c r="X127" i="1"/>
  <c r="O127" i="1"/>
  <c r="N127" i="1"/>
  <c r="M127" i="1"/>
  <c r="L127" i="1"/>
  <c r="K127" i="1"/>
  <c r="J127" i="1"/>
  <c r="I127" i="1"/>
  <c r="H127" i="1"/>
  <c r="F127" i="1"/>
  <c r="E127" i="1"/>
  <c r="B127" i="1"/>
  <c r="A127" i="1"/>
  <c r="AH126" i="1"/>
  <c r="AA126" i="1"/>
  <c r="Z126" i="1"/>
  <c r="Y126" i="1"/>
  <c r="X126" i="1"/>
  <c r="W126" i="1"/>
  <c r="V126" i="1"/>
  <c r="U126" i="1"/>
  <c r="T126" i="1"/>
  <c r="O126" i="1"/>
  <c r="N126" i="1"/>
  <c r="M126" i="1"/>
  <c r="L126" i="1"/>
  <c r="K126" i="1"/>
  <c r="J126" i="1"/>
  <c r="I126" i="1"/>
  <c r="H126" i="1"/>
  <c r="F126" i="1"/>
  <c r="E126" i="1"/>
  <c r="B126" i="1"/>
  <c r="A126" i="1"/>
  <c r="AH125" i="1"/>
  <c r="W125" i="1"/>
  <c r="O125" i="1"/>
  <c r="N125" i="1"/>
  <c r="M125" i="1"/>
  <c r="L125" i="1"/>
  <c r="K125" i="1"/>
  <c r="J125" i="1"/>
  <c r="I125" i="1"/>
  <c r="H125" i="1"/>
  <c r="F125" i="1"/>
  <c r="E125" i="1"/>
  <c r="B125" i="1"/>
  <c r="A125" i="1"/>
  <c r="AA123" i="1"/>
  <c r="Z123" i="1"/>
  <c r="Y123" i="1"/>
  <c r="X123" i="1"/>
  <c r="W123" i="1"/>
  <c r="T123" i="1"/>
  <c r="O123" i="1"/>
  <c r="N123" i="1"/>
  <c r="M123" i="1"/>
  <c r="L123" i="1"/>
  <c r="K123" i="1"/>
  <c r="J123" i="1"/>
  <c r="I123" i="1"/>
  <c r="H123" i="1"/>
  <c r="C123" i="1"/>
  <c r="A123" i="1"/>
  <c r="AH122" i="1"/>
  <c r="AA122" i="1"/>
  <c r="Z122" i="1"/>
  <c r="Y122" i="1"/>
  <c r="X122" i="1"/>
  <c r="W122" i="1"/>
  <c r="V122" i="1"/>
  <c r="U122" i="1"/>
  <c r="T122" i="1"/>
  <c r="O122" i="1"/>
  <c r="N122" i="1"/>
  <c r="M122" i="1"/>
  <c r="L122" i="1"/>
  <c r="K122" i="1"/>
  <c r="J122" i="1"/>
  <c r="I122" i="1"/>
  <c r="H122" i="1"/>
  <c r="F122" i="1"/>
  <c r="E122" i="1"/>
  <c r="B122" i="1"/>
  <c r="A122" i="1"/>
  <c r="AH121" i="1"/>
  <c r="O121" i="1"/>
  <c r="N121" i="1"/>
  <c r="M121" i="1"/>
  <c r="L121" i="1"/>
  <c r="K121" i="1"/>
  <c r="J121" i="1"/>
  <c r="I121" i="1"/>
  <c r="H121" i="1"/>
  <c r="F121" i="1"/>
  <c r="E121" i="1"/>
  <c r="B121" i="1"/>
  <c r="A121" i="1"/>
  <c r="AB119" i="1"/>
  <c r="X119" i="1"/>
  <c r="T119" i="1"/>
  <c r="P119" i="1"/>
  <c r="H119" i="1"/>
  <c r="A119" i="1"/>
  <c r="O118" i="1"/>
  <c r="N118" i="1"/>
  <c r="M118" i="1"/>
  <c r="L118" i="1"/>
  <c r="K118" i="1"/>
  <c r="J118" i="1"/>
  <c r="I118" i="1"/>
  <c r="H118" i="1"/>
  <c r="F118" i="1"/>
  <c r="E118" i="1"/>
  <c r="D118" i="1"/>
  <c r="C118" i="1"/>
  <c r="B118" i="1"/>
  <c r="A118" i="1"/>
  <c r="A133" i="5" s="1"/>
  <c r="O117" i="1"/>
  <c r="N117" i="1"/>
  <c r="M117" i="1"/>
  <c r="L117" i="1"/>
  <c r="K117" i="1"/>
  <c r="J117" i="1"/>
  <c r="I117" i="1"/>
  <c r="H117" i="1"/>
  <c r="F117" i="1"/>
  <c r="E117" i="1"/>
  <c r="D117" i="1"/>
  <c r="C117" i="1"/>
  <c r="B117" i="1"/>
  <c r="A117" i="1"/>
  <c r="A132" i="5" s="1"/>
  <c r="O116" i="1"/>
  <c r="N116" i="1"/>
  <c r="M116" i="1"/>
  <c r="L116" i="1"/>
  <c r="K116" i="1"/>
  <c r="J116" i="1"/>
  <c r="I116" i="1"/>
  <c r="H116" i="1"/>
  <c r="F116" i="1"/>
  <c r="E116" i="1"/>
  <c r="D116" i="1"/>
  <c r="C116" i="1"/>
  <c r="B116" i="1"/>
  <c r="A116" i="1"/>
  <c r="A131" i="5" s="1"/>
  <c r="O115" i="1"/>
  <c r="N115" i="1"/>
  <c r="M115" i="1"/>
  <c r="L115" i="1"/>
  <c r="K115" i="1"/>
  <c r="J115" i="1"/>
  <c r="I115" i="1"/>
  <c r="H115" i="1"/>
  <c r="F115" i="1"/>
  <c r="E115" i="1"/>
  <c r="D115" i="1"/>
  <c r="C115" i="1"/>
  <c r="B115" i="1"/>
  <c r="A115" i="1"/>
  <c r="A130" i="5" s="1"/>
  <c r="O114" i="1"/>
  <c r="N114" i="1"/>
  <c r="M114" i="1"/>
  <c r="L114" i="1"/>
  <c r="K114" i="1"/>
  <c r="J114" i="1"/>
  <c r="I114" i="1"/>
  <c r="H114" i="1"/>
  <c r="F114" i="1"/>
  <c r="E114" i="1"/>
  <c r="D114" i="1"/>
  <c r="C114" i="1"/>
  <c r="B114" i="1"/>
  <c r="A114" i="1"/>
  <c r="A129" i="5" s="1"/>
  <c r="O113" i="1"/>
  <c r="N113" i="1"/>
  <c r="M113" i="1"/>
  <c r="L113" i="1"/>
  <c r="K113" i="1"/>
  <c r="J113" i="1"/>
  <c r="I113" i="1"/>
  <c r="H113" i="1"/>
  <c r="F113" i="1"/>
  <c r="E113" i="1"/>
  <c r="D113" i="1"/>
  <c r="C113" i="1"/>
  <c r="B113" i="1"/>
  <c r="A113" i="1"/>
  <c r="A128" i="5" s="1"/>
  <c r="O112" i="1"/>
  <c r="N112" i="1"/>
  <c r="M112" i="1"/>
  <c r="L112" i="1"/>
  <c r="K112" i="1"/>
  <c r="J112" i="1"/>
  <c r="I112" i="1"/>
  <c r="H112" i="1"/>
  <c r="F112" i="1"/>
  <c r="E112" i="1"/>
  <c r="D112" i="1"/>
  <c r="C112" i="1"/>
  <c r="B112" i="1"/>
  <c r="A112" i="1"/>
  <c r="O111" i="1"/>
  <c r="N111" i="1"/>
  <c r="M111" i="1"/>
  <c r="L111" i="1"/>
  <c r="K111" i="1"/>
  <c r="J111" i="1"/>
  <c r="I111" i="1"/>
  <c r="H111" i="1"/>
  <c r="F111" i="1"/>
  <c r="E111" i="1"/>
  <c r="D111" i="1"/>
  <c r="C111" i="1"/>
  <c r="B111" i="1"/>
  <c r="A111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125" i="5" s="1"/>
  <c r="O109" i="1"/>
  <c r="N109" i="1"/>
  <c r="M109" i="1"/>
  <c r="L109" i="1"/>
  <c r="K109" i="1"/>
  <c r="J109" i="1"/>
  <c r="I109" i="1"/>
  <c r="H109" i="1"/>
  <c r="F109" i="1"/>
  <c r="E109" i="1"/>
  <c r="B109" i="1"/>
  <c r="A109" i="1"/>
  <c r="A124" i="5" s="1"/>
  <c r="O108" i="1"/>
  <c r="N108" i="1"/>
  <c r="M108" i="1"/>
  <c r="L108" i="1"/>
  <c r="K108" i="1"/>
  <c r="J108" i="1"/>
  <c r="I108" i="1"/>
  <c r="H108" i="1"/>
  <c r="F108" i="1"/>
  <c r="E108" i="1"/>
  <c r="C108" i="1"/>
  <c r="B108" i="1"/>
  <c r="A108" i="1"/>
  <c r="A123" i="5" s="1"/>
  <c r="O107" i="1"/>
  <c r="N107" i="1"/>
  <c r="M107" i="1"/>
  <c r="L107" i="1"/>
  <c r="K107" i="1"/>
  <c r="J107" i="1"/>
  <c r="I107" i="1"/>
  <c r="H107" i="1"/>
  <c r="F107" i="1"/>
  <c r="E107" i="1"/>
  <c r="B107" i="1"/>
  <c r="A107" i="1"/>
  <c r="A122" i="5" s="1"/>
  <c r="O106" i="1"/>
  <c r="N106" i="1"/>
  <c r="M106" i="1"/>
  <c r="L106" i="1"/>
  <c r="K106" i="1"/>
  <c r="J106" i="1"/>
  <c r="I106" i="1"/>
  <c r="H106" i="1"/>
  <c r="F106" i="1"/>
  <c r="E106" i="1"/>
  <c r="B106" i="1"/>
  <c r="A106" i="1"/>
  <c r="A121" i="5" s="1"/>
  <c r="N105" i="1"/>
  <c r="L105" i="1"/>
  <c r="J105" i="1"/>
  <c r="H105" i="1"/>
  <c r="F105" i="1"/>
  <c r="E105" i="1"/>
  <c r="B105" i="1"/>
  <c r="A105" i="1"/>
  <c r="A120" i="5" s="1"/>
  <c r="N104" i="1"/>
  <c r="L104" i="1"/>
  <c r="J104" i="1"/>
  <c r="H104" i="1"/>
  <c r="G104" i="1"/>
  <c r="F104" i="1"/>
  <c r="E104" i="1"/>
  <c r="B104" i="1"/>
  <c r="A104" i="1"/>
  <c r="AA103" i="1"/>
  <c r="X103" i="1"/>
  <c r="U103" i="1"/>
  <c r="R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118" i="5" s="1"/>
  <c r="AA102" i="1"/>
  <c r="X102" i="1"/>
  <c r="U102" i="1"/>
  <c r="R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117" i="5" s="1"/>
  <c r="AA101" i="1"/>
  <c r="X101" i="1"/>
  <c r="U101" i="1"/>
  <c r="R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116" i="5" s="1"/>
  <c r="AA100" i="1"/>
  <c r="X100" i="1"/>
  <c r="U100" i="1"/>
  <c r="R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115" i="5" s="1"/>
  <c r="AA99" i="1"/>
  <c r="X99" i="1"/>
  <c r="U99" i="1"/>
  <c r="R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114" i="5" s="1"/>
  <c r="AA98" i="1"/>
  <c r="X98" i="1"/>
  <c r="U98" i="1"/>
  <c r="R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113" i="5" s="1"/>
  <c r="AA97" i="1"/>
  <c r="X97" i="1"/>
  <c r="U97" i="1"/>
  <c r="R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112" i="5" s="1"/>
  <c r="AA96" i="1"/>
  <c r="X96" i="1"/>
  <c r="U96" i="1"/>
  <c r="R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111" i="5" s="1"/>
  <c r="AA95" i="1"/>
  <c r="X95" i="1"/>
  <c r="U95" i="1"/>
  <c r="R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110" i="5" s="1"/>
  <c r="AA94" i="1"/>
  <c r="X94" i="1"/>
  <c r="U94" i="1"/>
  <c r="R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109" i="5" s="1"/>
  <c r="AA93" i="1"/>
  <c r="X93" i="1"/>
  <c r="U93" i="1"/>
  <c r="R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108" i="5" s="1"/>
  <c r="AA92" i="1"/>
  <c r="X92" i="1"/>
  <c r="U92" i="1"/>
  <c r="R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107" i="5" s="1"/>
  <c r="AA91" i="1"/>
  <c r="X91" i="1"/>
  <c r="U91" i="1"/>
  <c r="R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106" i="5" s="1"/>
  <c r="AA90" i="1"/>
  <c r="X90" i="1"/>
  <c r="U90" i="1"/>
  <c r="R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A89" i="1"/>
  <c r="X89" i="1"/>
  <c r="U89" i="1"/>
  <c r="R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A88" i="1"/>
  <c r="X88" i="1"/>
  <c r="U88" i="1"/>
  <c r="R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A87" i="1"/>
  <c r="X87" i="1"/>
  <c r="U87" i="1"/>
  <c r="R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A86" i="1"/>
  <c r="X86" i="1"/>
  <c r="U86" i="1"/>
  <c r="R86" i="1"/>
  <c r="O86" i="1"/>
  <c r="N86" i="1"/>
  <c r="M86" i="1"/>
  <c r="L86" i="1"/>
  <c r="K86" i="1"/>
  <c r="J86" i="1"/>
  <c r="I86" i="1"/>
  <c r="H86" i="1"/>
  <c r="F86" i="1"/>
  <c r="E86" i="1"/>
  <c r="D86" i="1"/>
  <c r="C86" i="1"/>
  <c r="B86" i="1"/>
  <c r="A86" i="1"/>
  <c r="AA85" i="1"/>
  <c r="X85" i="1"/>
  <c r="U85" i="1"/>
  <c r="R85" i="1"/>
  <c r="O85" i="1"/>
  <c r="N85" i="1"/>
  <c r="M85" i="1"/>
  <c r="L85" i="1"/>
  <c r="K85" i="1"/>
  <c r="J85" i="1"/>
  <c r="I85" i="1"/>
  <c r="H85" i="1"/>
  <c r="F85" i="1"/>
  <c r="E85" i="1"/>
  <c r="D85" i="1"/>
  <c r="C85" i="1"/>
  <c r="B85" i="1"/>
  <c r="A85" i="1"/>
  <c r="AA84" i="1"/>
  <c r="X84" i="1"/>
  <c r="U84" i="1"/>
  <c r="R84" i="1"/>
  <c r="O84" i="1"/>
  <c r="N84" i="1"/>
  <c r="M84" i="1"/>
  <c r="L84" i="1"/>
  <c r="K84" i="1"/>
  <c r="J84" i="1"/>
  <c r="I84" i="1"/>
  <c r="H84" i="1"/>
  <c r="F84" i="1"/>
  <c r="E84" i="1"/>
  <c r="D84" i="1"/>
  <c r="C84" i="1"/>
  <c r="B84" i="1"/>
  <c r="A84" i="1"/>
  <c r="AA83" i="1"/>
  <c r="X83" i="1"/>
  <c r="U83" i="1"/>
  <c r="R83" i="1"/>
  <c r="O83" i="1"/>
  <c r="N83" i="1"/>
  <c r="M83" i="1"/>
  <c r="L83" i="1"/>
  <c r="K83" i="1"/>
  <c r="J83" i="1"/>
  <c r="I83" i="1"/>
  <c r="H83" i="1"/>
  <c r="F83" i="1"/>
  <c r="E83" i="1"/>
  <c r="D83" i="1"/>
  <c r="C83" i="1"/>
  <c r="B83" i="1"/>
  <c r="A83" i="1"/>
  <c r="AA82" i="1"/>
  <c r="X82" i="1"/>
  <c r="U82" i="1"/>
  <c r="R82" i="1"/>
  <c r="O82" i="1"/>
  <c r="N82" i="1"/>
  <c r="M82" i="1"/>
  <c r="L82" i="1"/>
  <c r="K82" i="1"/>
  <c r="J82" i="1"/>
  <c r="I82" i="1"/>
  <c r="H82" i="1"/>
  <c r="F82" i="1"/>
  <c r="E82" i="1"/>
  <c r="C82" i="1"/>
  <c r="B82" i="1"/>
  <c r="A82" i="1"/>
  <c r="A97" i="5" s="1"/>
  <c r="A98" i="5" s="1"/>
  <c r="AA81" i="1"/>
  <c r="X81" i="1"/>
  <c r="U81" i="1"/>
  <c r="R81" i="1"/>
  <c r="O81" i="1"/>
  <c r="N81" i="1"/>
  <c r="M81" i="1"/>
  <c r="L81" i="1"/>
  <c r="K81" i="1"/>
  <c r="J81" i="1"/>
  <c r="I81" i="1"/>
  <c r="H81" i="1"/>
  <c r="F81" i="1"/>
  <c r="E81" i="1"/>
  <c r="B81" i="1"/>
  <c r="A81" i="1"/>
  <c r="A95" i="5" s="1"/>
  <c r="AA79" i="1"/>
  <c r="X79" i="1"/>
  <c r="U79" i="1"/>
  <c r="R79" i="1"/>
  <c r="O79" i="1"/>
  <c r="N79" i="1"/>
  <c r="M79" i="1"/>
  <c r="L79" i="1"/>
  <c r="K79" i="1"/>
  <c r="J79" i="1"/>
  <c r="I79" i="1"/>
  <c r="H79" i="1"/>
  <c r="F79" i="1"/>
  <c r="E79" i="1"/>
  <c r="C79" i="1"/>
  <c r="B79" i="1"/>
  <c r="A79" i="1"/>
  <c r="A91" i="5" s="1"/>
  <c r="A94" i="5" s="1"/>
  <c r="AA78" i="1"/>
  <c r="X78" i="1"/>
  <c r="U78" i="1"/>
  <c r="R78" i="1"/>
  <c r="O78" i="1"/>
  <c r="N78" i="1"/>
  <c r="M78" i="1"/>
  <c r="L78" i="1"/>
  <c r="K78" i="1"/>
  <c r="J78" i="1"/>
  <c r="I78" i="1"/>
  <c r="H78" i="1"/>
  <c r="F78" i="1"/>
  <c r="E78" i="1"/>
  <c r="C78" i="1"/>
  <c r="B78" i="1"/>
  <c r="A78" i="1"/>
  <c r="A87" i="5" s="1"/>
  <c r="AH77" i="1"/>
  <c r="AA77" i="1"/>
  <c r="X77" i="1"/>
  <c r="U77" i="1"/>
  <c r="R77" i="1"/>
  <c r="O77" i="1"/>
  <c r="N77" i="1"/>
  <c r="M77" i="1"/>
  <c r="L77" i="1"/>
  <c r="K77" i="1"/>
  <c r="J77" i="1"/>
  <c r="I77" i="1"/>
  <c r="H77" i="1"/>
  <c r="F77" i="1"/>
  <c r="E77" i="1"/>
  <c r="B77" i="1"/>
  <c r="A77" i="1"/>
  <c r="A83" i="5" s="1"/>
  <c r="A84" i="5" s="1"/>
  <c r="AH76" i="1"/>
  <c r="AA76" i="1"/>
  <c r="X76" i="1"/>
  <c r="U76" i="1"/>
  <c r="R76" i="1"/>
  <c r="O76" i="1"/>
  <c r="N76" i="1"/>
  <c r="M76" i="1"/>
  <c r="L76" i="1"/>
  <c r="K76" i="1"/>
  <c r="J76" i="1"/>
  <c r="I76" i="1"/>
  <c r="H76" i="1"/>
  <c r="F76" i="1"/>
  <c r="E76" i="1"/>
  <c r="B76" i="1"/>
  <c r="A76" i="1"/>
  <c r="A79" i="5" s="1"/>
  <c r="AH75" i="1"/>
  <c r="AA75" i="1"/>
  <c r="X75" i="1"/>
  <c r="U75" i="1"/>
  <c r="R75" i="1"/>
  <c r="O75" i="1"/>
  <c r="N75" i="1"/>
  <c r="M75" i="1"/>
  <c r="L75" i="1"/>
  <c r="K75" i="1"/>
  <c r="J75" i="1"/>
  <c r="I75" i="1"/>
  <c r="H75" i="1"/>
  <c r="F75" i="1"/>
  <c r="E75" i="1"/>
  <c r="B75" i="1"/>
  <c r="A75" i="1"/>
  <c r="A75" i="5" s="1"/>
  <c r="A77" i="5" s="1"/>
  <c r="AA74" i="1"/>
  <c r="X74" i="1"/>
  <c r="U74" i="1"/>
  <c r="R74" i="1"/>
  <c r="O74" i="1"/>
  <c r="N74" i="1"/>
  <c r="M74" i="1"/>
  <c r="L74" i="1"/>
  <c r="K74" i="1"/>
  <c r="J74" i="1"/>
  <c r="I74" i="1"/>
  <c r="H74" i="1"/>
  <c r="F74" i="1"/>
  <c r="E74" i="1"/>
  <c r="D74" i="1"/>
  <c r="C74" i="1"/>
  <c r="B74" i="1"/>
  <c r="A74" i="1"/>
  <c r="Z73" i="1"/>
  <c r="W73" i="1"/>
  <c r="T73" i="1"/>
  <c r="Q73" i="1"/>
  <c r="N73" i="1"/>
  <c r="L73" i="1"/>
  <c r="J73" i="1"/>
  <c r="H73" i="1"/>
  <c r="F73" i="1"/>
  <c r="E73" i="1"/>
  <c r="D73" i="1"/>
  <c r="C73" i="1"/>
  <c r="B73" i="1"/>
  <c r="A73" i="1"/>
  <c r="A72" i="5" s="1"/>
  <c r="Z72" i="1"/>
  <c r="W72" i="1"/>
  <c r="T72" i="1"/>
  <c r="Q72" i="1"/>
  <c r="N72" i="1"/>
  <c r="L72" i="1"/>
  <c r="J72" i="1"/>
  <c r="H72" i="1"/>
  <c r="F72" i="1"/>
  <c r="E72" i="1"/>
  <c r="D72" i="1"/>
  <c r="C72" i="1"/>
  <c r="B72" i="1"/>
  <c r="A72" i="1"/>
  <c r="A71" i="5" s="1"/>
  <c r="Z71" i="1"/>
  <c r="W71" i="1"/>
  <c r="T71" i="1"/>
  <c r="Q71" i="1"/>
  <c r="N71" i="1"/>
  <c r="L71" i="1"/>
  <c r="J71" i="1"/>
  <c r="H71" i="1"/>
  <c r="F71" i="1"/>
  <c r="E71" i="1"/>
  <c r="D71" i="1"/>
  <c r="C71" i="1"/>
  <c r="B71" i="1"/>
  <c r="A71" i="1"/>
  <c r="A70" i="5" s="1"/>
  <c r="Z70" i="1"/>
  <c r="W70" i="1"/>
  <c r="T70" i="1"/>
  <c r="Q70" i="1"/>
  <c r="N70" i="1"/>
  <c r="L70" i="1"/>
  <c r="J70" i="1"/>
  <c r="H70" i="1"/>
  <c r="F70" i="1"/>
  <c r="E70" i="1"/>
  <c r="D70" i="1"/>
  <c r="C70" i="1"/>
  <c r="B70" i="1"/>
  <c r="A70" i="1"/>
  <c r="A69" i="5" s="1"/>
  <c r="Z69" i="1"/>
  <c r="W69" i="1"/>
  <c r="T69" i="1"/>
  <c r="Q69" i="1"/>
  <c r="N69" i="1"/>
  <c r="L69" i="1"/>
  <c r="J69" i="1"/>
  <c r="H69" i="1"/>
  <c r="G69" i="1"/>
  <c r="F69" i="1"/>
  <c r="E69" i="1"/>
  <c r="D69" i="1"/>
  <c r="C69" i="1"/>
  <c r="B69" i="1"/>
  <c r="A69" i="1"/>
  <c r="A68" i="5" s="1"/>
  <c r="Z68" i="1"/>
  <c r="W68" i="1"/>
  <c r="T68" i="1"/>
  <c r="Q68" i="1"/>
  <c r="N68" i="1"/>
  <c r="L68" i="1"/>
  <c r="J68" i="1"/>
  <c r="H68" i="1"/>
  <c r="F68" i="1"/>
  <c r="E68" i="1"/>
  <c r="D68" i="1"/>
  <c r="C68" i="1"/>
  <c r="B68" i="1"/>
  <c r="A68" i="1"/>
  <c r="A67" i="5" s="1"/>
  <c r="Z67" i="1"/>
  <c r="W67" i="1"/>
  <c r="T67" i="1"/>
  <c r="Q67" i="1"/>
  <c r="N67" i="1"/>
  <c r="L67" i="1"/>
  <c r="J67" i="1"/>
  <c r="H67" i="1"/>
  <c r="F67" i="1"/>
  <c r="E67" i="1"/>
  <c r="D67" i="1"/>
  <c r="C67" i="1"/>
  <c r="B67" i="1"/>
  <c r="A67" i="1"/>
  <c r="A66" i="5" s="1"/>
  <c r="Z66" i="1"/>
  <c r="W66" i="1"/>
  <c r="T66" i="1"/>
  <c r="Q66" i="1"/>
  <c r="N66" i="1"/>
  <c r="L66" i="1"/>
  <c r="J66" i="1"/>
  <c r="H66" i="1"/>
  <c r="F66" i="1"/>
  <c r="E66" i="1"/>
  <c r="D66" i="1"/>
  <c r="C66" i="1"/>
  <c r="B66" i="1"/>
  <c r="A66" i="1"/>
  <c r="A65" i="5" s="1"/>
  <c r="Z65" i="1"/>
  <c r="W65" i="1"/>
  <c r="T65" i="1"/>
  <c r="Q65" i="1"/>
  <c r="N65" i="1"/>
  <c r="L65" i="1"/>
  <c r="J65" i="1"/>
  <c r="H65" i="1"/>
  <c r="F65" i="1"/>
  <c r="E65" i="1"/>
  <c r="D65" i="1"/>
  <c r="C65" i="1"/>
  <c r="B65" i="1"/>
  <c r="A65" i="1"/>
  <c r="A64" i="5" s="1"/>
  <c r="Z64" i="1"/>
  <c r="W64" i="1"/>
  <c r="T64" i="1"/>
  <c r="Q64" i="1"/>
  <c r="N64" i="1"/>
  <c r="L64" i="1"/>
  <c r="J64" i="1"/>
  <c r="H64" i="1"/>
  <c r="F64" i="1"/>
  <c r="E64" i="1"/>
  <c r="D64" i="1"/>
  <c r="C64" i="1"/>
  <c r="B64" i="1"/>
  <c r="A64" i="1"/>
  <c r="A63" i="5" s="1"/>
  <c r="Z63" i="1"/>
  <c r="W63" i="1"/>
  <c r="T63" i="1"/>
  <c r="Q63" i="1"/>
  <c r="N63" i="1"/>
  <c r="L63" i="1"/>
  <c r="J63" i="1"/>
  <c r="H63" i="1"/>
  <c r="F63" i="1"/>
  <c r="E63" i="1"/>
  <c r="D63" i="1"/>
  <c r="C63" i="1"/>
  <c r="B63" i="1"/>
  <c r="A63" i="1"/>
  <c r="A62" i="5" s="1"/>
  <c r="AA62" i="1"/>
  <c r="Z62" i="1"/>
  <c r="Y62" i="1"/>
  <c r="X62" i="1"/>
  <c r="W62" i="1"/>
  <c r="V62" i="1"/>
  <c r="U62" i="1"/>
  <c r="T62" i="1"/>
  <c r="S62" i="1"/>
  <c r="R62" i="1"/>
  <c r="Q62" i="1"/>
  <c r="P62" i="1"/>
  <c r="N62" i="1"/>
  <c r="L62" i="1"/>
  <c r="J62" i="1"/>
  <c r="H62" i="1"/>
  <c r="F62" i="1"/>
  <c r="E62" i="1"/>
  <c r="D62" i="1"/>
  <c r="C62" i="1"/>
  <c r="B62" i="1"/>
  <c r="A62" i="1"/>
  <c r="A61" i="5" s="1"/>
  <c r="AA61" i="1"/>
  <c r="Z61" i="1"/>
  <c r="Y61" i="1"/>
  <c r="X61" i="1"/>
  <c r="W61" i="1"/>
  <c r="V61" i="1"/>
  <c r="U61" i="1"/>
  <c r="T61" i="1"/>
  <c r="S61" i="1"/>
  <c r="R61" i="1"/>
  <c r="Q61" i="1"/>
  <c r="P61" i="1"/>
  <c r="N61" i="1"/>
  <c r="L61" i="1"/>
  <c r="J61" i="1"/>
  <c r="H61" i="1"/>
  <c r="F61" i="1"/>
  <c r="E61" i="1"/>
  <c r="D61" i="1"/>
  <c r="C61" i="1"/>
  <c r="B61" i="1"/>
  <c r="A61" i="1"/>
  <c r="A60" i="5" s="1"/>
  <c r="AA60" i="1"/>
  <c r="Z60" i="1"/>
  <c r="Y60" i="1"/>
  <c r="X60" i="1"/>
  <c r="W60" i="1"/>
  <c r="V60" i="1"/>
  <c r="U60" i="1"/>
  <c r="T60" i="1"/>
  <c r="S60" i="1"/>
  <c r="R60" i="1"/>
  <c r="Q60" i="1"/>
  <c r="P60" i="1"/>
  <c r="N60" i="1"/>
  <c r="L60" i="1"/>
  <c r="J60" i="1"/>
  <c r="H60" i="1"/>
  <c r="F60" i="1"/>
  <c r="E60" i="1"/>
  <c r="D60" i="1"/>
  <c r="C60" i="1"/>
  <c r="B60" i="1"/>
  <c r="A60" i="1"/>
  <c r="A59" i="5" s="1"/>
  <c r="AA59" i="1"/>
  <c r="Z59" i="1"/>
  <c r="Y59" i="1"/>
  <c r="X59" i="1"/>
  <c r="W59" i="1"/>
  <c r="V59" i="1"/>
  <c r="U59" i="1"/>
  <c r="T59" i="1"/>
  <c r="S59" i="1"/>
  <c r="R59" i="1"/>
  <c r="Q59" i="1"/>
  <c r="P59" i="1"/>
  <c r="N59" i="1"/>
  <c r="L59" i="1"/>
  <c r="J59" i="1"/>
  <c r="H59" i="1"/>
  <c r="F59" i="1"/>
  <c r="E59" i="1"/>
  <c r="D59" i="1"/>
  <c r="C59" i="1"/>
  <c r="B59" i="1"/>
  <c r="A59" i="1"/>
  <c r="A58" i="5" s="1"/>
  <c r="AA58" i="1"/>
  <c r="Z58" i="1"/>
  <c r="Y58" i="1"/>
  <c r="X58" i="1"/>
  <c r="W58" i="1"/>
  <c r="V58" i="1"/>
  <c r="U58" i="1"/>
  <c r="T58" i="1"/>
  <c r="S58" i="1"/>
  <c r="R58" i="1"/>
  <c r="Q58" i="1"/>
  <c r="P58" i="1"/>
  <c r="N58" i="1"/>
  <c r="L58" i="1"/>
  <c r="J58" i="1"/>
  <c r="H58" i="1"/>
  <c r="F58" i="1"/>
  <c r="E58" i="1"/>
  <c r="D58" i="1"/>
  <c r="C58" i="1"/>
  <c r="B58" i="1"/>
  <c r="A58" i="1"/>
  <c r="A57" i="5" s="1"/>
  <c r="AA57" i="1"/>
  <c r="Z57" i="1"/>
  <c r="Y57" i="1"/>
  <c r="X57" i="1"/>
  <c r="W57" i="1"/>
  <c r="V57" i="1"/>
  <c r="U57" i="1"/>
  <c r="T57" i="1"/>
  <c r="S57" i="1"/>
  <c r="R57" i="1"/>
  <c r="Q57" i="1"/>
  <c r="P57" i="1"/>
  <c r="N57" i="1"/>
  <c r="L57" i="1"/>
  <c r="J57" i="1"/>
  <c r="H57" i="1"/>
  <c r="F57" i="1"/>
  <c r="E57" i="1"/>
  <c r="D57" i="1"/>
  <c r="C57" i="1"/>
  <c r="B57" i="1"/>
  <c r="A57" i="1"/>
  <c r="A56" i="5" s="1"/>
  <c r="AA56" i="1"/>
  <c r="Z56" i="1"/>
  <c r="Y56" i="1"/>
  <c r="X56" i="1"/>
  <c r="W56" i="1"/>
  <c r="V56" i="1"/>
  <c r="U56" i="1"/>
  <c r="T56" i="1"/>
  <c r="S56" i="1"/>
  <c r="R56" i="1"/>
  <c r="Q56" i="1"/>
  <c r="P56" i="1"/>
  <c r="N56" i="1"/>
  <c r="L56" i="1"/>
  <c r="J56" i="1"/>
  <c r="H56" i="1"/>
  <c r="F56" i="1"/>
  <c r="E56" i="1"/>
  <c r="D56" i="1"/>
  <c r="C56" i="1"/>
  <c r="B56" i="1"/>
  <c r="A56" i="1"/>
  <c r="A55" i="5" s="1"/>
  <c r="AA55" i="1"/>
  <c r="Z55" i="1"/>
  <c r="Y55" i="1"/>
  <c r="X55" i="1"/>
  <c r="W55" i="1"/>
  <c r="V55" i="1"/>
  <c r="U55" i="1"/>
  <c r="T55" i="1"/>
  <c r="S55" i="1"/>
  <c r="R55" i="1"/>
  <c r="Q55" i="1"/>
  <c r="P55" i="1"/>
  <c r="N55" i="1"/>
  <c r="L55" i="1"/>
  <c r="J55" i="1"/>
  <c r="H55" i="1"/>
  <c r="F55" i="1"/>
  <c r="E55" i="1"/>
  <c r="D55" i="1"/>
  <c r="C55" i="1"/>
  <c r="B55" i="1"/>
  <c r="A55" i="1"/>
  <c r="A54" i="5" s="1"/>
  <c r="AA54" i="1"/>
  <c r="Z54" i="1"/>
  <c r="Y54" i="1"/>
  <c r="X54" i="1"/>
  <c r="W54" i="1"/>
  <c r="V54" i="1"/>
  <c r="U54" i="1"/>
  <c r="T54" i="1"/>
  <c r="S54" i="1"/>
  <c r="R54" i="1"/>
  <c r="Q54" i="1"/>
  <c r="P54" i="1"/>
  <c r="N54" i="1"/>
  <c r="L54" i="1"/>
  <c r="J54" i="1"/>
  <c r="H54" i="1"/>
  <c r="F54" i="1"/>
  <c r="E54" i="1"/>
  <c r="D54" i="1"/>
  <c r="C54" i="1"/>
  <c r="B54" i="1"/>
  <c r="A54" i="1"/>
  <c r="A53" i="5" s="1"/>
  <c r="AA53" i="1"/>
  <c r="Z53" i="1"/>
  <c r="Y53" i="1"/>
  <c r="X53" i="1"/>
  <c r="W53" i="1"/>
  <c r="V53" i="1"/>
  <c r="U53" i="1"/>
  <c r="T53" i="1"/>
  <c r="S53" i="1"/>
  <c r="R53" i="1"/>
  <c r="Q53" i="1"/>
  <c r="P53" i="1"/>
  <c r="N53" i="1"/>
  <c r="L53" i="1"/>
  <c r="J53" i="1"/>
  <c r="H53" i="1"/>
  <c r="F53" i="1"/>
  <c r="E53" i="1"/>
  <c r="D53" i="1"/>
  <c r="C53" i="1"/>
  <c r="B53" i="1"/>
  <c r="A53" i="1"/>
  <c r="A52" i="5" s="1"/>
  <c r="AA52" i="1"/>
  <c r="Z52" i="1"/>
  <c r="Y52" i="1"/>
  <c r="X52" i="1"/>
  <c r="W52" i="1"/>
  <c r="V52" i="1"/>
  <c r="U52" i="1"/>
  <c r="T52" i="1"/>
  <c r="S52" i="1"/>
  <c r="R52" i="1"/>
  <c r="Q52" i="1"/>
  <c r="P52" i="1"/>
  <c r="N52" i="1"/>
  <c r="L52" i="1"/>
  <c r="J52" i="1"/>
  <c r="H52" i="1"/>
  <c r="F52" i="1"/>
  <c r="E52" i="1"/>
  <c r="D52" i="1"/>
  <c r="C52" i="1"/>
  <c r="B52" i="1"/>
  <c r="A52" i="1"/>
  <c r="A51" i="5" s="1"/>
  <c r="AA51" i="1"/>
  <c r="Z51" i="1"/>
  <c r="Y51" i="1"/>
  <c r="X51" i="1"/>
  <c r="W51" i="1"/>
  <c r="V51" i="1"/>
  <c r="U51" i="1"/>
  <c r="T51" i="1"/>
  <c r="S51" i="1"/>
  <c r="R51" i="1"/>
  <c r="Q51" i="1"/>
  <c r="P51" i="1"/>
  <c r="N51" i="1"/>
  <c r="L51" i="1"/>
  <c r="J51" i="1"/>
  <c r="H51" i="1"/>
  <c r="F51" i="1"/>
  <c r="E51" i="1"/>
  <c r="B51" i="1"/>
  <c r="A51" i="1"/>
  <c r="A50" i="5" s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J50" i="1"/>
  <c r="H50" i="1"/>
  <c r="F50" i="1"/>
  <c r="E50" i="1"/>
  <c r="C50" i="1"/>
  <c r="B50" i="1"/>
  <c r="A49" i="5"/>
  <c r="AA49" i="1"/>
  <c r="Z49" i="1"/>
  <c r="Y49" i="1"/>
  <c r="X49" i="1"/>
  <c r="W49" i="1"/>
  <c r="V49" i="1"/>
  <c r="U49" i="1"/>
  <c r="T49" i="1"/>
  <c r="S49" i="1"/>
  <c r="R49" i="1"/>
  <c r="Q49" i="1"/>
  <c r="P49" i="1"/>
  <c r="N49" i="1"/>
  <c r="L49" i="1"/>
  <c r="J49" i="1"/>
  <c r="H49" i="1"/>
  <c r="F49" i="1"/>
  <c r="E49" i="1"/>
  <c r="C49" i="1"/>
  <c r="B49" i="1"/>
  <c r="A49" i="1"/>
  <c r="AA48" i="1"/>
  <c r="Z48" i="1"/>
  <c r="Y48" i="1"/>
  <c r="X48" i="1"/>
  <c r="W48" i="1"/>
  <c r="V48" i="1"/>
  <c r="U48" i="1"/>
  <c r="T48" i="1"/>
  <c r="S48" i="1"/>
  <c r="R48" i="1"/>
  <c r="Q48" i="1"/>
  <c r="P48" i="1"/>
  <c r="N48" i="1"/>
  <c r="L48" i="1"/>
  <c r="J48" i="1"/>
  <c r="H48" i="1"/>
  <c r="F48" i="1"/>
  <c r="E48" i="1"/>
  <c r="D48" i="1"/>
  <c r="C48" i="1"/>
  <c r="B48" i="1"/>
  <c r="A48" i="1"/>
  <c r="A47" i="5" s="1"/>
  <c r="AA47" i="1"/>
  <c r="Z47" i="1"/>
  <c r="Y47" i="1"/>
  <c r="X47" i="1"/>
  <c r="W47" i="1"/>
  <c r="V47" i="1"/>
  <c r="U47" i="1"/>
  <c r="T47" i="1"/>
  <c r="S47" i="1"/>
  <c r="R47" i="1"/>
  <c r="Q47" i="1"/>
  <c r="P47" i="1"/>
  <c r="N47" i="1"/>
  <c r="L47" i="1"/>
  <c r="J47" i="1"/>
  <c r="H47" i="1"/>
  <c r="F47" i="1"/>
  <c r="E47" i="1"/>
  <c r="C47" i="1"/>
  <c r="B47" i="1"/>
  <c r="A47" i="1"/>
  <c r="A46" i="5" s="1"/>
  <c r="AA46" i="1"/>
  <c r="Z46" i="1"/>
  <c r="Y46" i="1"/>
  <c r="X46" i="1"/>
  <c r="W46" i="1"/>
  <c r="V46" i="1"/>
  <c r="U46" i="1"/>
  <c r="T46" i="1"/>
  <c r="S46" i="1"/>
  <c r="R46" i="1"/>
  <c r="Q46" i="1"/>
  <c r="P46" i="1"/>
  <c r="N46" i="1"/>
  <c r="L46" i="1"/>
  <c r="J46" i="1"/>
  <c r="H46" i="1"/>
  <c r="F46" i="1"/>
  <c r="E46" i="1"/>
  <c r="C46" i="1"/>
  <c r="B46" i="1"/>
  <c r="A46" i="1"/>
  <c r="A45" i="5" s="1"/>
  <c r="AA45" i="1"/>
  <c r="Z45" i="1"/>
  <c r="Y45" i="1"/>
  <c r="X45" i="1"/>
  <c r="W45" i="1"/>
  <c r="V45" i="1"/>
  <c r="U45" i="1"/>
  <c r="T45" i="1"/>
  <c r="S45" i="1"/>
  <c r="R45" i="1"/>
  <c r="Q45" i="1"/>
  <c r="P45" i="1"/>
  <c r="N45" i="1"/>
  <c r="L45" i="1"/>
  <c r="J45" i="1"/>
  <c r="H45" i="1"/>
  <c r="F45" i="1"/>
  <c r="E45" i="1"/>
  <c r="B45" i="1"/>
  <c r="A45" i="1"/>
  <c r="A44" i="5" s="1"/>
  <c r="AH44" i="1"/>
  <c r="AH43" i="1"/>
  <c r="AA43" i="1"/>
  <c r="Z43" i="1"/>
  <c r="X43" i="1"/>
  <c r="W43" i="1"/>
  <c r="U43" i="1"/>
  <c r="T43" i="1"/>
  <c r="R43" i="1"/>
  <c r="Q43" i="1"/>
  <c r="O43" i="1"/>
  <c r="N43" i="1"/>
  <c r="M43" i="1"/>
  <c r="L43" i="1"/>
  <c r="K43" i="1"/>
  <c r="J43" i="1"/>
  <c r="I43" i="1"/>
  <c r="H43" i="1"/>
  <c r="F43" i="1"/>
  <c r="E43" i="1"/>
  <c r="D43" i="1"/>
  <c r="C43" i="1"/>
  <c r="B43" i="1"/>
  <c r="A43" i="1"/>
  <c r="A42" i="5" s="1"/>
  <c r="AH42" i="1"/>
  <c r="AA42" i="1"/>
  <c r="Z42" i="1"/>
  <c r="X42" i="1"/>
  <c r="W42" i="1"/>
  <c r="U42" i="1"/>
  <c r="T42" i="1"/>
  <c r="R42" i="1"/>
  <c r="Q42" i="1"/>
  <c r="O42" i="1"/>
  <c r="N42" i="1"/>
  <c r="M42" i="1"/>
  <c r="L42" i="1"/>
  <c r="K42" i="1"/>
  <c r="J42" i="1"/>
  <c r="I42" i="1"/>
  <c r="H42" i="1"/>
  <c r="F42" i="1"/>
  <c r="E42" i="1"/>
  <c r="D42" i="1"/>
  <c r="C42" i="1"/>
  <c r="B42" i="1"/>
  <c r="A42" i="1"/>
  <c r="A41" i="5" s="1"/>
  <c r="AH41" i="1"/>
  <c r="AA41" i="1"/>
  <c r="Z41" i="1"/>
  <c r="X41" i="1"/>
  <c r="W41" i="1"/>
  <c r="U41" i="1"/>
  <c r="T41" i="1"/>
  <c r="R41" i="1"/>
  <c r="Q41" i="1"/>
  <c r="O41" i="1"/>
  <c r="N41" i="1"/>
  <c r="M41" i="1"/>
  <c r="L41" i="1"/>
  <c r="K41" i="1"/>
  <c r="J41" i="1"/>
  <c r="I41" i="1"/>
  <c r="H41" i="1"/>
  <c r="F41" i="1"/>
  <c r="E41" i="1"/>
  <c r="D41" i="1"/>
  <c r="C41" i="1"/>
  <c r="B41" i="1"/>
  <c r="A41" i="1"/>
  <c r="A40" i="5" s="1"/>
  <c r="AH40" i="1"/>
  <c r="AA40" i="1"/>
  <c r="Z40" i="1"/>
  <c r="X40" i="1"/>
  <c r="W40" i="1"/>
  <c r="U40" i="1"/>
  <c r="T40" i="1"/>
  <c r="R40" i="1"/>
  <c r="Q40" i="1"/>
  <c r="O40" i="1"/>
  <c r="N40" i="1"/>
  <c r="M40" i="1"/>
  <c r="L40" i="1"/>
  <c r="K40" i="1"/>
  <c r="J40" i="1"/>
  <c r="I40" i="1"/>
  <c r="H40" i="1"/>
  <c r="F40" i="1"/>
  <c r="E40" i="1"/>
  <c r="D40" i="1"/>
  <c r="C40" i="1"/>
  <c r="B40" i="1"/>
  <c r="A40" i="1"/>
  <c r="A39" i="5" s="1"/>
  <c r="AH39" i="1"/>
  <c r="AA39" i="1"/>
  <c r="Z39" i="1"/>
  <c r="X39" i="1"/>
  <c r="W39" i="1"/>
  <c r="U39" i="1"/>
  <c r="T39" i="1"/>
  <c r="R39" i="1"/>
  <c r="Q39" i="1"/>
  <c r="O39" i="1"/>
  <c r="N39" i="1"/>
  <c r="M39" i="1"/>
  <c r="L39" i="1"/>
  <c r="K39" i="1"/>
  <c r="J39" i="1"/>
  <c r="I39" i="1"/>
  <c r="H39" i="1"/>
  <c r="F39" i="1"/>
  <c r="E39" i="1"/>
  <c r="D39" i="1"/>
  <c r="C39" i="1"/>
  <c r="B39" i="1"/>
  <c r="A39" i="1"/>
  <c r="A38" i="5" s="1"/>
  <c r="AH38" i="1"/>
  <c r="AA38" i="1"/>
  <c r="Z38" i="1"/>
  <c r="X38" i="1"/>
  <c r="W38" i="1"/>
  <c r="U38" i="1"/>
  <c r="T38" i="1"/>
  <c r="R38" i="1"/>
  <c r="Q38" i="1"/>
  <c r="O38" i="1"/>
  <c r="N38" i="1"/>
  <c r="M38" i="1"/>
  <c r="L38" i="1"/>
  <c r="K38" i="1"/>
  <c r="J38" i="1"/>
  <c r="I38" i="1"/>
  <c r="H38" i="1"/>
  <c r="F38" i="1"/>
  <c r="E38" i="1"/>
  <c r="D38" i="1"/>
  <c r="C38" i="1"/>
  <c r="B38" i="1"/>
  <c r="A38" i="1"/>
  <c r="A37" i="5" s="1"/>
  <c r="AH37" i="1"/>
  <c r="AA37" i="1"/>
  <c r="Z37" i="1"/>
  <c r="X37" i="1"/>
  <c r="W37" i="1"/>
  <c r="U37" i="1"/>
  <c r="T37" i="1"/>
  <c r="R37" i="1"/>
  <c r="Q37" i="1"/>
  <c r="O37" i="1"/>
  <c r="N37" i="1"/>
  <c r="M37" i="1"/>
  <c r="L37" i="1"/>
  <c r="K37" i="1"/>
  <c r="J37" i="1"/>
  <c r="I37" i="1"/>
  <c r="H37" i="1"/>
  <c r="F37" i="1"/>
  <c r="E37" i="1"/>
  <c r="D37" i="1"/>
  <c r="C37" i="1"/>
  <c r="B37" i="1"/>
  <c r="A37" i="1"/>
  <c r="AH36" i="1"/>
  <c r="AA36" i="1"/>
  <c r="Z36" i="1"/>
  <c r="X36" i="1"/>
  <c r="W36" i="1"/>
  <c r="U36" i="1"/>
  <c r="T36" i="1"/>
  <c r="R36" i="1"/>
  <c r="Q36" i="1"/>
  <c r="O36" i="1"/>
  <c r="N36" i="1"/>
  <c r="M36" i="1"/>
  <c r="L36" i="1"/>
  <c r="K36" i="1"/>
  <c r="J36" i="1"/>
  <c r="I36" i="1"/>
  <c r="H36" i="1"/>
  <c r="F36" i="1"/>
  <c r="E36" i="1"/>
  <c r="D36" i="1"/>
  <c r="C36" i="1"/>
  <c r="B36" i="1"/>
  <c r="A36" i="1"/>
  <c r="AH35" i="1"/>
  <c r="AA35" i="1"/>
  <c r="Z35" i="1"/>
  <c r="X35" i="1"/>
  <c r="W35" i="1"/>
  <c r="U35" i="1"/>
  <c r="T35" i="1"/>
  <c r="R35" i="1"/>
  <c r="Q35" i="1"/>
  <c r="O35" i="1"/>
  <c r="N35" i="1"/>
  <c r="M35" i="1"/>
  <c r="L35" i="1"/>
  <c r="K35" i="1"/>
  <c r="J35" i="1"/>
  <c r="I35" i="1"/>
  <c r="H35" i="1"/>
  <c r="F35" i="1"/>
  <c r="E35" i="1"/>
  <c r="D35" i="1"/>
  <c r="C35" i="1"/>
  <c r="B35" i="1"/>
  <c r="A35" i="1"/>
  <c r="AH34" i="1"/>
  <c r="AA34" i="1"/>
  <c r="Z34" i="1"/>
  <c r="X34" i="1"/>
  <c r="W34" i="1"/>
  <c r="U34" i="1"/>
  <c r="T34" i="1"/>
  <c r="R34" i="1"/>
  <c r="Q34" i="1"/>
  <c r="N34" i="1"/>
  <c r="L34" i="1"/>
  <c r="J34" i="1"/>
  <c r="H34" i="1"/>
  <c r="F34" i="1"/>
  <c r="E34" i="1"/>
  <c r="D34" i="1"/>
  <c r="C34" i="1"/>
  <c r="B34" i="1"/>
  <c r="A34" i="1"/>
  <c r="A32" i="5" s="1"/>
  <c r="AH33" i="1"/>
  <c r="AA33" i="1"/>
  <c r="Z33" i="1"/>
  <c r="X33" i="1"/>
  <c r="W33" i="1"/>
  <c r="V33" i="1"/>
  <c r="U33" i="1"/>
  <c r="T33" i="1"/>
  <c r="S33" i="1"/>
  <c r="R33" i="1"/>
  <c r="Q33" i="1"/>
  <c r="N33" i="1"/>
  <c r="L33" i="1"/>
  <c r="J33" i="1"/>
  <c r="H33" i="1"/>
  <c r="F33" i="1"/>
  <c r="E33" i="1"/>
  <c r="D33" i="1"/>
  <c r="C33" i="1"/>
  <c r="B33" i="1"/>
  <c r="A33" i="1"/>
  <c r="A31" i="5" s="1"/>
  <c r="AH32" i="1"/>
  <c r="AA32" i="1"/>
  <c r="Z32" i="1"/>
  <c r="X32" i="1"/>
  <c r="W32" i="1"/>
  <c r="U32" i="1"/>
  <c r="T32" i="1"/>
  <c r="R32" i="1"/>
  <c r="Q32" i="1"/>
  <c r="O32" i="1"/>
  <c r="N32" i="1"/>
  <c r="M32" i="1"/>
  <c r="L32" i="1"/>
  <c r="K32" i="1"/>
  <c r="J32" i="1"/>
  <c r="I32" i="1"/>
  <c r="H32" i="1"/>
  <c r="F32" i="1"/>
  <c r="E32" i="1"/>
  <c r="D32" i="1"/>
  <c r="C32" i="1"/>
  <c r="B32" i="1"/>
  <c r="A32" i="1"/>
  <c r="A30" i="5" s="1"/>
  <c r="AH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A30" i="1"/>
  <c r="Z30" i="1"/>
  <c r="X30" i="1"/>
  <c r="W30" i="1"/>
  <c r="U30" i="1"/>
  <c r="T30" i="1"/>
  <c r="R30" i="1"/>
  <c r="Q30" i="1"/>
  <c r="O30" i="1"/>
  <c r="N30" i="1"/>
  <c r="M30" i="1"/>
  <c r="L30" i="1"/>
  <c r="K30" i="1"/>
  <c r="J30" i="1"/>
  <c r="I30" i="1"/>
  <c r="H30" i="1"/>
  <c r="F30" i="1"/>
  <c r="E30" i="1"/>
  <c r="C30" i="1"/>
  <c r="B30" i="1"/>
  <c r="A30" i="1"/>
  <c r="A29" i="5" s="1"/>
  <c r="AH29" i="1"/>
  <c r="AA29" i="1"/>
  <c r="Z29" i="1"/>
  <c r="X29" i="1"/>
  <c r="W29" i="1"/>
  <c r="U29" i="1"/>
  <c r="T29" i="1"/>
  <c r="R29" i="1"/>
  <c r="Q29" i="1"/>
  <c r="O29" i="1"/>
  <c r="N29" i="1"/>
  <c r="M29" i="1"/>
  <c r="L29" i="1"/>
  <c r="K29" i="1"/>
  <c r="J29" i="1"/>
  <c r="I29" i="1"/>
  <c r="H29" i="1"/>
  <c r="F29" i="1"/>
  <c r="E29" i="1"/>
  <c r="D29" i="1"/>
  <c r="C29" i="1"/>
  <c r="B29" i="1"/>
  <c r="A29" i="1"/>
  <c r="A28" i="5" s="1"/>
  <c r="AH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F28" i="1"/>
  <c r="E28" i="1"/>
  <c r="D28" i="1"/>
  <c r="C28" i="1"/>
  <c r="B28" i="1"/>
  <c r="A28" i="1"/>
  <c r="AH27" i="1"/>
  <c r="AA27" i="1"/>
  <c r="Z27" i="1"/>
  <c r="X27" i="1"/>
  <c r="W27" i="1"/>
  <c r="U27" i="1"/>
  <c r="T27" i="1"/>
  <c r="R27" i="1"/>
  <c r="Q27" i="1"/>
  <c r="O27" i="1"/>
  <c r="N27" i="1"/>
  <c r="M27" i="1"/>
  <c r="L27" i="1"/>
  <c r="K27" i="1"/>
  <c r="J27" i="1"/>
  <c r="I27" i="1"/>
  <c r="H27" i="1"/>
  <c r="F27" i="1"/>
  <c r="E27" i="1"/>
  <c r="D27" i="1"/>
  <c r="C27" i="1"/>
  <c r="B27" i="1"/>
  <c r="A27" i="1"/>
  <c r="A27" i="5" s="1"/>
  <c r="AH26" i="1"/>
  <c r="AA26" i="1"/>
  <c r="Z26" i="1"/>
  <c r="X26" i="1"/>
  <c r="W26" i="1"/>
  <c r="U26" i="1"/>
  <c r="T26" i="1"/>
  <c r="R26" i="1"/>
  <c r="Q26" i="1"/>
  <c r="O26" i="1"/>
  <c r="N26" i="1"/>
  <c r="M26" i="1"/>
  <c r="L26" i="1"/>
  <c r="K26" i="1"/>
  <c r="J26" i="1"/>
  <c r="I26" i="1"/>
  <c r="H26" i="1"/>
  <c r="F26" i="1"/>
  <c r="E26" i="1"/>
  <c r="D26" i="1"/>
  <c r="C26" i="1"/>
  <c r="B26" i="1"/>
  <c r="A26" i="1"/>
  <c r="A26" i="5" s="1"/>
  <c r="AH25" i="1"/>
  <c r="AA25" i="1"/>
  <c r="Z25" i="1"/>
  <c r="X25" i="1"/>
  <c r="W25" i="1"/>
  <c r="U25" i="1"/>
  <c r="T25" i="1"/>
  <c r="R25" i="1"/>
  <c r="Q25" i="1"/>
  <c r="N25" i="1"/>
  <c r="L25" i="1"/>
  <c r="J25" i="1"/>
  <c r="H25" i="1"/>
  <c r="F25" i="1"/>
  <c r="E25" i="1"/>
  <c r="C25" i="1"/>
  <c r="B25" i="1"/>
  <c r="A25" i="1"/>
  <c r="AH23" i="1"/>
  <c r="AA23" i="1"/>
  <c r="Z23" i="1"/>
  <c r="X23" i="1"/>
  <c r="W23" i="1"/>
  <c r="U23" i="1"/>
  <c r="T23" i="1"/>
  <c r="R23" i="1"/>
  <c r="Q23" i="1"/>
  <c r="N23" i="1"/>
  <c r="L23" i="1"/>
  <c r="J23" i="1"/>
  <c r="H23" i="1"/>
  <c r="F23" i="1"/>
  <c r="E23" i="1"/>
  <c r="C23" i="1"/>
  <c r="B23" i="1"/>
  <c r="A23" i="1"/>
  <c r="A23" i="5" s="1"/>
  <c r="AH22" i="1"/>
  <c r="AA22" i="1"/>
  <c r="Z22" i="1"/>
  <c r="X22" i="1"/>
  <c r="W22" i="1"/>
  <c r="U22" i="1"/>
  <c r="T22" i="1"/>
  <c r="R22" i="1"/>
  <c r="Q22" i="1"/>
  <c r="O22" i="1"/>
  <c r="N22" i="1"/>
  <c r="M22" i="1"/>
  <c r="L22" i="1"/>
  <c r="K22" i="1"/>
  <c r="J22" i="1"/>
  <c r="I22" i="1"/>
  <c r="H22" i="1"/>
  <c r="F22" i="1"/>
  <c r="E22" i="1"/>
  <c r="D22" i="1"/>
  <c r="C22" i="1"/>
  <c r="B22" i="1"/>
  <c r="A22" i="1"/>
  <c r="A22" i="5" s="1"/>
  <c r="AH21" i="1"/>
  <c r="AE21" i="1"/>
  <c r="AD21" i="1"/>
  <c r="AC21" i="1"/>
  <c r="AB21" i="1"/>
  <c r="AA21" i="1"/>
  <c r="Z21" i="1"/>
  <c r="X21" i="1"/>
  <c r="W21" i="1"/>
  <c r="U21" i="1"/>
  <c r="T21" i="1"/>
  <c r="R21" i="1"/>
  <c r="Q21" i="1"/>
  <c r="O21" i="1"/>
  <c r="N21" i="1"/>
  <c r="M21" i="1"/>
  <c r="L21" i="1"/>
  <c r="K21" i="1"/>
  <c r="J21" i="1"/>
  <c r="I21" i="1"/>
  <c r="H21" i="1"/>
  <c r="F21" i="1"/>
  <c r="E21" i="1"/>
  <c r="D21" i="1"/>
  <c r="C21" i="1"/>
  <c r="B21" i="1"/>
  <c r="A21" i="1"/>
  <c r="AH20" i="1"/>
  <c r="AA20" i="1"/>
  <c r="Z20" i="1"/>
  <c r="X20" i="1"/>
  <c r="W20" i="1"/>
  <c r="U20" i="1"/>
  <c r="T20" i="1"/>
  <c r="R20" i="1"/>
  <c r="Q20" i="1"/>
  <c r="O20" i="1"/>
  <c r="N20" i="1"/>
  <c r="M20" i="1"/>
  <c r="L20" i="1"/>
  <c r="K20" i="1"/>
  <c r="J20" i="1"/>
  <c r="I20" i="1"/>
  <c r="H20" i="1"/>
  <c r="F20" i="1"/>
  <c r="E20" i="1"/>
  <c r="B20" i="1"/>
  <c r="A20" i="1"/>
  <c r="A21" i="5" s="1"/>
  <c r="AH19" i="1"/>
  <c r="AE19" i="1"/>
  <c r="AD19" i="1"/>
  <c r="AC19" i="1"/>
  <c r="AB19" i="1"/>
  <c r="AA19" i="1"/>
  <c r="Z19" i="1"/>
  <c r="X19" i="1"/>
  <c r="W19" i="1"/>
  <c r="U19" i="1"/>
  <c r="T19" i="1"/>
  <c r="R19" i="1"/>
  <c r="Q19" i="1"/>
  <c r="O19" i="1"/>
  <c r="N19" i="1"/>
  <c r="M19" i="1"/>
  <c r="L19" i="1"/>
  <c r="K19" i="1"/>
  <c r="J19" i="1"/>
  <c r="I19" i="1"/>
  <c r="H19" i="1"/>
  <c r="F19" i="1"/>
  <c r="E19" i="1"/>
  <c r="D19" i="1"/>
  <c r="C19" i="1"/>
  <c r="B19" i="1"/>
  <c r="A19" i="1"/>
  <c r="AH18" i="1"/>
  <c r="AA18" i="1"/>
  <c r="Z18" i="1"/>
  <c r="Y18" i="1"/>
  <c r="X18" i="1"/>
  <c r="W18" i="1"/>
  <c r="V18" i="1"/>
  <c r="U18" i="1"/>
  <c r="T18" i="1"/>
  <c r="S18" i="1"/>
  <c r="R18" i="1"/>
  <c r="Q18" i="1"/>
  <c r="O18" i="1"/>
  <c r="N18" i="1"/>
  <c r="M18" i="1"/>
  <c r="L18" i="1"/>
  <c r="K18" i="1"/>
  <c r="J18" i="1"/>
  <c r="I18" i="1"/>
  <c r="H18" i="1"/>
  <c r="F18" i="1"/>
  <c r="E18" i="1"/>
  <c r="B18" i="1"/>
  <c r="A18" i="1"/>
  <c r="A20" i="5" s="1"/>
  <c r="AH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F17" i="1"/>
  <c r="E17" i="1"/>
  <c r="B17" i="1"/>
  <c r="A17" i="1"/>
  <c r="AH16" i="1"/>
  <c r="AA16" i="1"/>
  <c r="Z16" i="1"/>
  <c r="X16" i="1"/>
  <c r="W16" i="1"/>
  <c r="U16" i="1"/>
  <c r="T16" i="1"/>
  <c r="R16" i="1"/>
  <c r="Q16" i="1"/>
  <c r="O16" i="1"/>
  <c r="N16" i="1"/>
  <c r="M16" i="1"/>
  <c r="L16" i="1"/>
  <c r="K16" i="1"/>
  <c r="J16" i="1"/>
  <c r="I16" i="1"/>
  <c r="H16" i="1"/>
  <c r="F16" i="1"/>
  <c r="E16" i="1"/>
  <c r="C16" i="1"/>
  <c r="B16" i="1"/>
  <c r="A16" i="1"/>
  <c r="AH15" i="1"/>
  <c r="AA15" i="1"/>
  <c r="Z15" i="1"/>
  <c r="X15" i="1"/>
  <c r="W15" i="1"/>
  <c r="U15" i="1"/>
  <c r="T15" i="1"/>
  <c r="R15" i="1"/>
  <c r="Q15" i="1"/>
  <c r="N15" i="1"/>
  <c r="L15" i="1"/>
  <c r="J15" i="1"/>
  <c r="H15" i="1"/>
  <c r="F15" i="1"/>
  <c r="E15" i="1"/>
  <c r="C15" i="1"/>
  <c r="B15" i="1"/>
  <c r="A15" i="1"/>
  <c r="A9" i="5" s="1"/>
  <c r="AA14" i="1"/>
  <c r="Z14" i="1"/>
  <c r="X14" i="1"/>
  <c r="W14" i="1"/>
  <c r="U14" i="1"/>
  <c r="T14" i="1"/>
  <c r="R14" i="1"/>
  <c r="Q14" i="1"/>
  <c r="O14" i="1"/>
  <c r="N14" i="1"/>
  <c r="M14" i="1"/>
  <c r="L14" i="1"/>
  <c r="K14" i="1"/>
  <c r="J14" i="1"/>
  <c r="I14" i="1"/>
  <c r="H14" i="1"/>
  <c r="F14" i="1"/>
  <c r="E14" i="1"/>
  <c r="B14" i="1"/>
  <c r="A14" i="1"/>
  <c r="AH13" i="1"/>
  <c r="AE13" i="1"/>
  <c r="AD13" i="1"/>
  <c r="AC13" i="1"/>
  <c r="AB13" i="1"/>
  <c r="O13" i="1"/>
  <c r="N13" i="1"/>
  <c r="M13" i="1"/>
  <c r="L13" i="1"/>
  <c r="K13" i="1"/>
  <c r="J13" i="1"/>
  <c r="I13" i="1"/>
  <c r="H13" i="1"/>
  <c r="F13" i="1"/>
  <c r="E13" i="1"/>
  <c r="D13" i="1"/>
  <c r="C13" i="1"/>
  <c r="B13" i="1"/>
  <c r="A13" i="1"/>
  <c r="AH12" i="1"/>
  <c r="AA12" i="1"/>
  <c r="Z12" i="1"/>
  <c r="X12" i="1"/>
  <c r="W12" i="1"/>
  <c r="U12" i="1"/>
  <c r="T12" i="1"/>
  <c r="R12" i="1"/>
  <c r="Q12" i="1"/>
  <c r="P12" i="1"/>
  <c r="N12" i="1"/>
  <c r="L12" i="1"/>
  <c r="J12" i="1"/>
  <c r="H12" i="1"/>
  <c r="F12" i="1"/>
  <c r="E12" i="1"/>
  <c r="C12" i="1"/>
  <c r="B12" i="1"/>
  <c r="A12" i="1"/>
  <c r="A8" i="5" s="1"/>
  <c r="AA11" i="1"/>
  <c r="Z11" i="1"/>
  <c r="X11" i="1"/>
  <c r="W11" i="1"/>
  <c r="U11" i="1"/>
  <c r="T11" i="1"/>
  <c r="R11" i="1"/>
  <c r="Q11" i="1"/>
  <c r="O11" i="1"/>
  <c r="M11" i="1"/>
  <c r="K11" i="1"/>
  <c r="I11" i="1"/>
  <c r="H11" i="1"/>
  <c r="F11" i="1"/>
  <c r="E11" i="1"/>
  <c r="C11" i="1"/>
  <c r="AI11" i="1" s="1"/>
  <c r="B11" i="1"/>
  <c r="A11" i="1"/>
  <c r="A33" i="5" s="1"/>
  <c r="AH10" i="1"/>
  <c r="AE10" i="1"/>
  <c r="AD10" i="1"/>
  <c r="AC10" i="1"/>
  <c r="AB10" i="1"/>
  <c r="AA10" i="1"/>
  <c r="Z10" i="1"/>
  <c r="X10" i="1"/>
  <c r="W10" i="1"/>
  <c r="U10" i="1"/>
  <c r="T10" i="1"/>
  <c r="R10" i="1"/>
  <c r="Q10" i="1"/>
  <c r="O10" i="1"/>
  <c r="N10" i="1"/>
  <c r="M10" i="1"/>
  <c r="L10" i="1"/>
  <c r="K10" i="1"/>
  <c r="J10" i="1"/>
  <c r="I10" i="1"/>
  <c r="H10" i="1"/>
  <c r="F10" i="1"/>
  <c r="E10" i="1"/>
  <c r="D10" i="1"/>
  <c r="C10" i="1"/>
  <c r="B10" i="1"/>
  <c r="A10" i="1"/>
  <c r="A7" i="5" s="1"/>
  <c r="AH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O8" i="1"/>
  <c r="N8" i="1"/>
  <c r="M8" i="1"/>
  <c r="L8" i="1"/>
  <c r="K8" i="1"/>
  <c r="J8" i="1"/>
  <c r="I8" i="1"/>
  <c r="H8" i="1"/>
  <c r="F8" i="1"/>
  <c r="E8" i="1"/>
  <c r="D8" i="1"/>
  <c r="C8" i="1"/>
  <c r="A8" i="1"/>
  <c r="AH7" i="1"/>
  <c r="AE7" i="1"/>
  <c r="AD7" i="1"/>
  <c r="AC7" i="1"/>
  <c r="AB7" i="1"/>
  <c r="AA7" i="1"/>
  <c r="Z7" i="1"/>
  <c r="X7" i="1"/>
  <c r="W7" i="1"/>
  <c r="V7" i="1"/>
  <c r="U7" i="1"/>
  <c r="T7" i="1"/>
  <c r="R7" i="1"/>
  <c r="Q7" i="1"/>
  <c r="O7" i="1"/>
  <c r="N7" i="1"/>
  <c r="M7" i="1"/>
  <c r="L7" i="1"/>
  <c r="K7" i="1"/>
  <c r="J7" i="1"/>
  <c r="I7" i="1"/>
  <c r="H7" i="1"/>
  <c r="C7" i="1"/>
  <c r="A7" i="1"/>
  <c r="A5" i="5" s="1"/>
  <c r="AH6" i="1"/>
  <c r="AA6" i="1"/>
  <c r="Z6" i="1"/>
  <c r="Y6" i="1"/>
  <c r="X6" i="1"/>
  <c r="W6" i="1"/>
  <c r="V6" i="1"/>
  <c r="U6" i="1"/>
  <c r="T6" i="1"/>
  <c r="S6" i="1"/>
  <c r="R6" i="1"/>
  <c r="O6" i="1"/>
  <c r="M6" i="1"/>
  <c r="K6" i="1"/>
  <c r="I6" i="1"/>
  <c r="H6" i="1"/>
  <c r="F6" i="1"/>
  <c r="E6" i="1"/>
  <c r="B6" i="1"/>
  <c r="A6" i="1"/>
  <c r="AA5" i="1"/>
  <c r="X5" i="1"/>
  <c r="U5" i="1"/>
  <c r="R5" i="1"/>
  <c r="O5" i="1"/>
  <c r="N5" i="1"/>
  <c r="M5" i="1"/>
  <c r="L5" i="1"/>
  <c r="K5" i="1"/>
  <c r="J5" i="1"/>
  <c r="I5" i="1"/>
  <c r="H5" i="1"/>
  <c r="F5" i="1"/>
  <c r="F120" i="1" s="1"/>
  <c r="E5" i="1"/>
  <c r="E120" i="1" s="1"/>
  <c r="D5" i="1"/>
  <c r="D120" i="1" s="1"/>
  <c r="AB4" i="1"/>
  <c r="P4" i="1"/>
  <c r="G4" i="1"/>
  <c r="F4" i="1"/>
  <c r="F119" i="1" s="1"/>
  <c r="E4" i="1"/>
  <c r="E119" i="1" s="1"/>
  <c r="D4" i="1"/>
  <c r="D119" i="1" s="1"/>
  <c r="C4" i="1"/>
  <c r="Y44" i="1"/>
  <c r="V44" i="1"/>
  <c r="S44" i="1"/>
  <c r="P44" i="1"/>
  <c r="G44" i="1"/>
  <c r="AF44" i="1" s="1"/>
  <c r="K36" i="5" l="1"/>
  <c r="L36" i="5" s="1"/>
  <c r="S68" i="2" s="1"/>
  <c r="S128" i="1" s="1"/>
  <c r="I36" i="5"/>
  <c r="J36" i="5" s="1"/>
  <c r="R68" i="2" s="1"/>
  <c r="R128" i="1" s="1"/>
  <c r="G36" i="5"/>
  <c r="H36" i="5" s="1"/>
  <c r="Q68" i="2" s="1"/>
  <c r="Q128" i="1" s="1"/>
  <c r="E36" i="5"/>
  <c r="F36" i="5" s="1"/>
  <c r="P68" i="2" s="1"/>
  <c r="P128" i="1" s="1"/>
  <c r="I7" i="5"/>
  <c r="J7" i="5" s="1"/>
  <c r="G7" i="5"/>
  <c r="H7" i="5" s="1"/>
  <c r="E7" i="5"/>
  <c r="F7" i="5" s="1"/>
  <c r="K6" i="5"/>
  <c r="L6" i="5" s="1"/>
  <c r="S63" i="2" s="1"/>
  <c r="I6" i="5"/>
  <c r="J6" i="5" s="1"/>
  <c r="K7" i="5"/>
  <c r="L7" i="5" s="1"/>
  <c r="E6" i="5"/>
  <c r="F6" i="5" s="1"/>
  <c r="G6" i="5"/>
  <c r="H6" i="5" s="1"/>
  <c r="Q63" i="2" s="1"/>
  <c r="A119" i="5"/>
  <c r="E94" i="5"/>
  <c r="F94" i="5" s="1"/>
  <c r="G94" i="5"/>
  <c r="H94" i="5" s="1"/>
  <c r="I94" i="5"/>
  <c r="J94" i="5" s="1"/>
  <c r="K94" i="5"/>
  <c r="L94" i="5" s="1"/>
  <c r="A126" i="5"/>
  <c r="A127" i="5" s="1"/>
  <c r="G100" i="5"/>
  <c r="H100" i="5" s="1"/>
  <c r="I100" i="5"/>
  <c r="J100" i="5" s="1"/>
  <c r="E101" i="5"/>
  <c r="F101" i="5" s="1"/>
  <c r="I101" i="5"/>
  <c r="J101" i="5" s="1"/>
  <c r="K100" i="5"/>
  <c r="L100" i="5" s="1"/>
  <c r="G101" i="5"/>
  <c r="H101" i="5" s="1"/>
  <c r="E100" i="5"/>
  <c r="F100" i="5" s="1"/>
  <c r="K101" i="5"/>
  <c r="L101" i="5" s="1"/>
  <c r="K102" i="5"/>
  <c r="L102" i="5" s="1"/>
  <c r="E103" i="5"/>
  <c r="F103" i="5" s="1"/>
  <c r="I102" i="5"/>
  <c r="J102" i="5" s="1"/>
  <c r="G102" i="5"/>
  <c r="H102" i="5" s="1"/>
  <c r="E102" i="5"/>
  <c r="F102" i="5" s="1"/>
  <c r="G103" i="5"/>
  <c r="H103" i="5" s="1"/>
  <c r="K103" i="5"/>
  <c r="L103" i="5" s="1"/>
  <c r="I103" i="5"/>
  <c r="J103" i="5" s="1"/>
  <c r="G45" i="5"/>
  <c r="H45" i="5" s="1"/>
  <c r="U44" i="3" s="1"/>
  <c r="A25" i="5"/>
  <c r="G25" i="5" s="1"/>
  <c r="H25" i="5" s="1"/>
  <c r="A88" i="5"/>
  <c r="E88" i="5" s="1"/>
  <c r="F88" i="5" s="1"/>
  <c r="A89" i="5"/>
  <c r="AJ11" i="1"/>
  <c r="AJ29" i="1"/>
  <c r="AI29" i="1"/>
  <c r="AI13" i="1"/>
  <c r="AJ13" i="1"/>
  <c r="AJ16" i="1"/>
  <c r="AI16" i="1"/>
  <c r="AJ19" i="1"/>
  <c r="AI19" i="1"/>
  <c r="AI21" i="1"/>
  <c r="AJ21" i="1"/>
  <c r="AJ28" i="1"/>
  <c r="AI28" i="1"/>
  <c r="AJ32" i="1"/>
  <c r="AI32" i="1"/>
  <c r="AI34" i="1"/>
  <c r="AJ34" i="1"/>
  <c r="AI38" i="1"/>
  <c r="AJ38" i="1"/>
  <c r="AI42" i="1"/>
  <c r="AJ42" i="1"/>
  <c r="AJ44" i="1"/>
  <c r="AI44" i="1"/>
  <c r="AJ125" i="1"/>
  <c r="AI139" i="1"/>
  <c r="AJ139" i="1"/>
  <c r="AI143" i="1"/>
  <c r="AJ143" i="1"/>
  <c r="AJ22" i="1"/>
  <c r="AI22" i="1"/>
  <c r="AJ25" i="1"/>
  <c r="AI25" i="1"/>
  <c r="AJ39" i="1"/>
  <c r="AI39" i="1"/>
  <c r="AJ43" i="1"/>
  <c r="AI43" i="1"/>
  <c r="AI122" i="1"/>
  <c r="AJ122" i="1"/>
  <c r="AJ140" i="1"/>
  <c r="AI140" i="1"/>
  <c r="AI17" i="1"/>
  <c r="AJ17" i="1"/>
  <c r="AJ18" i="1"/>
  <c r="AJ20" i="1"/>
  <c r="AJ23" i="1"/>
  <c r="AI23" i="1"/>
  <c r="AJ27" i="1"/>
  <c r="AI27" i="1"/>
  <c r="AI30" i="1"/>
  <c r="AJ30" i="1"/>
  <c r="AJ31" i="1"/>
  <c r="AI31" i="1"/>
  <c r="AJ33" i="1"/>
  <c r="AI33" i="1"/>
  <c r="AJ37" i="1"/>
  <c r="AI37" i="1"/>
  <c r="AJ41" i="1"/>
  <c r="AI41" i="1"/>
  <c r="AJ126" i="1"/>
  <c r="AJ128" i="1"/>
  <c r="AI128" i="1"/>
  <c r="AJ130" i="1"/>
  <c r="AI130" i="1"/>
  <c r="AI131" i="1"/>
  <c r="AJ133" i="1"/>
  <c r="AI133" i="1"/>
  <c r="AJ134" i="1"/>
  <c r="AI134" i="1"/>
  <c r="AJ136" i="1"/>
  <c r="AI136" i="1"/>
  <c r="AJ138" i="1"/>
  <c r="AI138" i="1"/>
  <c r="AJ142" i="1"/>
  <c r="AI142" i="1"/>
  <c r="AI8" i="1"/>
  <c r="AJ8" i="1"/>
  <c r="AJ35" i="1"/>
  <c r="AI35" i="1"/>
  <c r="AJ132" i="1"/>
  <c r="AI132" i="1"/>
  <c r="AJ6" i="1"/>
  <c r="AJ7" i="1"/>
  <c r="AI7" i="1"/>
  <c r="AJ10" i="1"/>
  <c r="AI10" i="1"/>
  <c r="AJ12" i="1"/>
  <c r="AI12" i="1"/>
  <c r="AJ15" i="1"/>
  <c r="AI15" i="1"/>
  <c r="AI26" i="1"/>
  <c r="AJ26" i="1"/>
  <c r="AJ36" i="1"/>
  <c r="AI36" i="1"/>
  <c r="AJ40" i="1"/>
  <c r="AI40" i="1"/>
  <c r="AJ121" i="1"/>
  <c r="AJ127" i="1"/>
  <c r="AJ129" i="1"/>
  <c r="AI129" i="1"/>
  <c r="AJ135" i="1"/>
  <c r="AJ137" i="1"/>
  <c r="AJ141" i="1"/>
  <c r="AI141" i="1"/>
  <c r="AJ75" i="1"/>
  <c r="AI75" i="1"/>
  <c r="AJ76" i="1"/>
  <c r="AI76" i="1"/>
  <c r="AJ77" i="1"/>
  <c r="AI77" i="1"/>
  <c r="I49" i="5"/>
  <c r="J49" i="5" s="1"/>
  <c r="AF103" i="1"/>
  <c r="AF87" i="1"/>
  <c r="AF95" i="1"/>
  <c r="AF91" i="1"/>
  <c r="AF89" i="1"/>
  <c r="AF99" i="1"/>
  <c r="AF31" i="1"/>
  <c r="AF97" i="1"/>
  <c r="AF93" i="1"/>
  <c r="AF101" i="1"/>
  <c r="A81" i="5"/>
  <c r="K81" i="5" s="1"/>
  <c r="L81" i="5" s="1"/>
  <c r="A80" i="5"/>
  <c r="K80" i="5" s="1"/>
  <c r="L80" i="5" s="1"/>
  <c r="A73" i="5"/>
  <c r="A74" i="5"/>
  <c r="AF90" i="1"/>
  <c r="AF94" i="1"/>
  <c r="AF98" i="1"/>
  <c r="AF102" i="1"/>
  <c r="AF88" i="1"/>
  <c r="AF92" i="1"/>
  <c r="AF96" i="1"/>
  <c r="AF100" i="1"/>
  <c r="A92" i="5"/>
  <c r="E92" i="5" s="1"/>
  <c r="F92" i="5" s="1"/>
  <c r="A93" i="5"/>
  <c r="E93" i="5" s="1"/>
  <c r="F93" i="5" s="1"/>
  <c r="G33" i="5"/>
  <c r="H33" i="5" s="1"/>
  <c r="K33" i="5"/>
  <c r="L33" i="5" s="1"/>
  <c r="E33" i="5"/>
  <c r="F33" i="5" s="1"/>
  <c r="I33" i="5"/>
  <c r="J33" i="5" s="1"/>
  <c r="G8" i="5"/>
  <c r="H8" i="5" s="1"/>
  <c r="K8" i="5"/>
  <c r="L8" i="5" s="1"/>
  <c r="E8" i="5"/>
  <c r="F8" i="5" s="1"/>
  <c r="I8" i="5"/>
  <c r="J8" i="5" s="1"/>
  <c r="K98" i="5"/>
  <c r="L98" i="5" s="1"/>
  <c r="K97" i="5"/>
  <c r="L97" i="5" s="1"/>
  <c r="E97" i="5"/>
  <c r="F97" i="5" s="1"/>
  <c r="E95" i="5"/>
  <c r="F95" i="5" s="1"/>
  <c r="P45" i="4" s="1"/>
  <c r="AB45" i="4" s="1"/>
  <c r="G91" i="5"/>
  <c r="H91" i="5" s="1"/>
  <c r="I83" i="5"/>
  <c r="G79" i="5"/>
  <c r="H79" i="5" s="1"/>
  <c r="G77" i="5"/>
  <c r="H77" i="5" s="1"/>
  <c r="I75" i="5"/>
  <c r="J75" i="5" s="1"/>
  <c r="E75" i="5"/>
  <c r="F75" i="5" s="1"/>
  <c r="K50" i="5"/>
  <c r="L50" i="5" s="1"/>
  <c r="K49" i="5"/>
  <c r="K48" i="5"/>
  <c r="L48" i="5" s="1"/>
  <c r="I47" i="5"/>
  <c r="J47" i="5" s="1"/>
  <c r="K46" i="5"/>
  <c r="L46" i="5" s="1"/>
  <c r="I45" i="5"/>
  <c r="J45" i="5" s="1"/>
  <c r="V44" i="3" s="1"/>
  <c r="E45" i="5"/>
  <c r="F45" i="5" s="1"/>
  <c r="T44" i="3" s="1"/>
  <c r="K44" i="5"/>
  <c r="L44" i="5" s="1"/>
  <c r="G44" i="5"/>
  <c r="H44" i="5" s="1"/>
  <c r="K35" i="5"/>
  <c r="L35" i="5" s="1"/>
  <c r="G35" i="5"/>
  <c r="H35" i="5" s="1"/>
  <c r="K34" i="5"/>
  <c r="L34" i="5" s="1"/>
  <c r="G34" i="5"/>
  <c r="H34" i="5" s="1"/>
  <c r="I98" i="5"/>
  <c r="J98" i="5" s="1"/>
  <c r="I97" i="5"/>
  <c r="J97" i="5" s="1"/>
  <c r="I91" i="5"/>
  <c r="J91" i="5" s="1"/>
  <c r="E91" i="5"/>
  <c r="F91" i="5" s="1"/>
  <c r="G87" i="5"/>
  <c r="H87" i="5" s="1"/>
  <c r="K83" i="5"/>
  <c r="E83" i="5"/>
  <c r="K79" i="5"/>
  <c r="L79" i="5" s="1"/>
  <c r="E77" i="5"/>
  <c r="F77" i="5" s="1"/>
  <c r="G75" i="5"/>
  <c r="H75" i="5" s="1"/>
  <c r="I44" i="5"/>
  <c r="J44" i="5" s="1"/>
  <c r="I35" i="5"/>
  <c r="J35" i="5" s="1"/>
  <c r="E35" i="5"/>
  <c r="F35" i="5" s="1"/>
  <c r="I34" i="5"/>
  <c r="J34" i="5" s="1"/>
  <c r="E34" i="5"/>
  <c r="F34" i="5" s="1"/>
  <c r="A4" i="5"/>
  <c r="E4" i="5" s="1"/>
  <c r="F4" i="5" s="1"/>
  <c r="A3" i="5"/>
  <c r="E3" i="5" s="1"/>
  <c r="F3" i="5" s="1"/>
  <c r="E9" i="5"/>
  <c r="F9" i="5" s="1"/>
  <c r="K9" i="5"/>
  <c r="L9" i="5" s="1"/>
  <c r="G9" i="5"/>
  <c r="H9" i="5" s="1"/>
  <c r="I9" i="5"/>
  <c r="J9" i="5" s="1"/>
  <c r="A19" i="5"/>
  <c r="A18" i="5"/>
  <c r="A17" i="5"/>
  <c r="A16" i="5"/>
  <c r="A15" i="5"/>
  <c r="A14" i="5"/>
  <c r="A13" i="5"/>
  <c r="A12" i="5"/>
  <c r="A11" i="5"/>
  <c r="A10" i="5"/>
  <c r="G20" i="5"/>
  <c r="H20" i="5" s="1"/>
  <c r="K20" i="5"/>
  <c r="L20" i="5" s="1"/>
  <c r="E20" i="5"/>
  <c r="F20" i="5" s="1"/>
  <c r="I20" i="5"/>
  <c r="J20" i="5" s="1"/>
  <c r="E21" i="5"/>
  <c r="F21" i="5" s="1"/>
  <c r="K21" i="5"/>
  <c r="L21" i="5" s="1"/>
  <c r="G21" i="5"/>
  <c r="H21" i="5" s="1"/>
  <c r="I21" i="5"/>
  <c r="J21" i="5" s="1"/>
  <c r="K22" i="5"/>
  <c r="L22" i="5" s="1"/>
  <c r="I22" i="5"/>
  <c r="J22" i="5" s="1"/>
  <c r="E22" i="5"/>
  <c r="F22" i="5" s="1"/>
  <c r="G22" i="5"/>
  <c r="H22" i="5" s="1"/>
  <c r="I23" i="5"/>
  <c r="J23" i="5" s="1"/>
  <c r="M23" i="2" s="1"/>
  <c r="K23" i="5"/>
  <c r="L23" i="5" s="1"/>
  <c r="E23" i="5"/>
  <c r="F23" i="5" s="1"/>
  <c r="I23" i="2" s="1"/>
  <c r="G23" i="5"/>
  <c r="H23" i="5" s="1"/>
  <c r="K23" i="2" s="1"/>
  <c r="E26" i="5"/>
  <c r="F26" i="5" s="1"/>
  <c r="K26" i="5"/>
  <c r="L26" i="5" s="1"/>
  <c r="G26" i="5"/>
  <c r="H26" i="5" s="1"/>
  <c r="I26" i="5"/>
  <c r="J26" i="5" s="1"/>
  <c r="K27" i="5"/>
  <c r="L27" i="5" s="1"/>
  <c r="I27" i="5"/>
  <c r="J27" i="5" s="1"/>
  <c r="E27" i="5"/>
  <c r="F27" i="5" s="1"/>
  <c r="G27" i="5"/>
  <c r="H27" i="5" s="1"/>
  <c r="I28" i="5"/>
  <c r="J28" i="5" s="1"/>
  <c r="K28" i="5"/>
  <c r="L28" i="5" s="1"/>
  <c r="E28" i="5"/>
  <c r="F28" i="5" s="1"/>
  <c r="G28" i="5"/>
  <c r="H28" i="5" s="1"/>
  <c r="G29" i="5"/>
  <c r="H29" i="5" s="1"/>
  <c r="K29" i="5"/>
  <c r="L29" i="5" s="1"/>
  <c r="E29" i="5"/>
  <c r="F29" i="5" s="1"/>
  <c r="I29" i="5"/>
  <c r="J29" i="5" s="1"/>
  <c r="E30" i="5"/>
  <c r="F30" i="5" s="1"/>
  <c r="K30" i="5"/>
  <c r="L30" i="5" s="1"/>
  <c r="G30" i="5"/>
  <c r="H30" i="5" s="1"/>
  <c r="I30" i="5"/>
  <c r="J30" i="5" s="1"/>
  <c r="K31" i="5"/>
  <c r="L31" i="5" s="1"/>
  <c r="I31" i="5"/>
  <c r="J31" i="5" s="1"/>
  <c r="E31" i="5"/>
  <c r="F31" i="5" s="1"/>
  <c r="G31" i="5"/>
  <c r="H31" i="5" s="1"/>
  <c r="I32" i="5"/>
  <c r="J32" i="5" s="1"/>
  <c r="K32" i="5"/>
  <c r="L32" i="5" s="1"/>
  <c r="E32" i="5"/>
  <c r="F32" i="5" s="1"/>
  <c r="G32" i="5"/>
  <c r="H32" i="5" s="1"/>
  <c r="E44" i="5"/>
  <c r="F44" i="5" s="1"/>
  <c r="K45" i="5"/>
  <c r="L45" i="5" s="1"/>
  <c r="W44" i="3" s="1"/>
  <c r="K75" i="5"/>
  <c r="L75" i="5" s="1"/>
  <c r="I79" i="5"/>
  <c r="J79" i="5" s="1"/>
  <c r="G97" i="5"/>
  <c r="H97" i="5" s="1"/>
  <c r="G98" i="5"/>
  <c r="H98" i="5" s="1"/>
  <c r="G83" i="5"/>
  <c r="K91" i="5"/>
  <c r="L91" i="5" s="1"/>
  <c r="G84" i="5"/>
  <c r="H84" i="5" s="1"/>
  <c r="E84" i="5"/>
  <c r="F84" i="5" s="1"/>
  <c r="K84" i="5"/>
  <c r="L84" i="5" s="1"/>
  <c r="I84" i="5"/>
  <c r="J84" i="5" s="1"/>
  <c r="K47" i="5"/>
  <c r="L47" i="5" s="1"/>
  <c r="E47" i="5"/>
  <c r="F47" i="5" s="1"/>
  <c r="G47" i="5"/>
  <c r="H47" i="5" s="1"/>
  <c r="G49" i="5"/>
  <c r="H49" i="5" s="1"/>
  <c r="E49" i="5"/>
  <c r="F49" i="5" s="1"/>
  <c r="E87" i="5"/>
  <c r="F87" i="5" s="1"/>
  <c r="I87" i="5"/>
  <c r="J87" i="5" s="1"/>
  <c r="K87" i="5"/>
  <c r="L87" i="5" s="1"/>
  <c r="I95" i="5"/>
  <c r="J95" i="5" s="1"/>
  <c r="R45" i="4" s="1"/>
  <c r="AF45" i="4" s="1"/>
  <c r="G95" i="5"/>
  <c r="H95" i="5" s="1"/>
  <c r="Q45" i="4" s="1"/>
  <c r="K95" i="5"/>
  <c r="L95" i="5" s="1"/>
  <c r="S45" i="4" s="1"/>
  <c r="G46" i="5"/>
  <c r="H46" i="5" s="1"/>
  <c r="I46" i="5"/>
  <c r="J46" i="5" s="1"/>
  <c r="E46" i="5"/>
  <c r="F46" i="5" s="1"/>
  <c r="I48" i="5"/>
  <c r="J48" i="5" s="1"/>
  <c r="E48" i="5"/>
  <c r="F48" i="5" s="1"/>
  <c r="G48" i="5"/>
  <c r="H48" i="5" s="1"/>
  <c r="E50" i="5"/>
  <c r="F50" i="5" s="1"/>
  <c r="G50" i="5"/>
  <c r="H50" i="5" s="1"/>
  <c r="I50" i="5"/>
  <c r="J50" i="5" s="1"/>
  <c r="K77" i="5"/>
  <c r="L77" i="5" s="1"/>
  <c r="E79" i="5"/>
  <c r="F79" i="5" s="1"/>
  <c r="E98" i="5"/>
  <c r="F98" i="5" s="1"/>
  <c r="I77" i="5"/>
  <c r="J77" i="5" s="1"/>
  <c r="A78" i="5"/>
  <c r="A85" i="5"/>
  <c r="A86" i="5"/>
  <c r="A76" i="5"/>
  <c r="A82" i="5"/>
  <c r="A90" i="5"/>
  <c r="A96" i="5"/>
  <c r="A99" i="5"/>
  <c r="AB44" i="1"/>
  <c r="AC44" i="1" s="1"/>
  <c r="AD44" i="1" s="1"/>
  <c r="AE44" i="1" s="1"/>
  <c r="D135" i="1"/>
  <c r="V121" i="1"/>
  <c r="T36" i="3" l="1"/>
  <c r="AA65" i="2"/>
  <c r="AA125" i="1" s="1"/>
  <c r="F83" i="5"/>
  <c r="P43" i="4" s="1"/>
  <c r="AB43" i="4" s="1"/>
  <c r="L83" i="5"/>
  <c r="S43" i="4" s="1"/>
  <c r="S200" i="1" s="1"/>
  <c r="J83" i="5"/>
  <c r="R43" i="4" s="1"/>
  <c r="H83" i="5"/>
  <c r="Q43" i="4" s="1"/>
  <c r="Q200" i="1" s="1"/>
  <c r="R76" i="2"/>
  <c r="P76" i="2"/>
  <c r="Q76" i="2"/>
  <c r="S76" i="2"/>
  <c r="T42" i="3"/>
  <c r="Q64" i="2"/>
  <c r="Q123" i="1"/>
  <c r="P64" i="2"/>
  <c r="P63" i="2"/>
  <c r="R64" i="2"/>
  <c r="R124" i="1" s="1"/>
  <c r="AF124" i="1" s="1"/>
  <c r="R63" i="2"/>
  <c r="S64" i="2"/>
  <c r="S123" i="1"/>
  <c r="G92" i="5"/>
  <c r="H92" i="5" s="1"/>
  <c r="I11" i="2"/>
  <c r="AB11" i="2" s="1"/>
  <c r="O11" i="2"/>
  <c r="I25" i="5"/>
  <c r="J25" i="5" s="1"/>
  <c r="I88" i="5"/>
  <c r="J88" i="5" s="1"/>
  <c r="G88" i="5"/>
  <c r="H88" i="5" s="1"/>
  <c r="E25" i="5"/>
  <c r="F25" i="5" s="1"/>
  <c r="K88" i="5"/>
  <c r="L88" i="5" s="1"/>
  <c r="K25" i="5"/>
  <c r="L25" i="5" s="1"/>
  <c r="AB23" i="2"/>
  <c r="AC23" i="2" s="1"/>
  <c r="AD23" i="2" s="1"/>
  <c r="O23" i="2"/>
  <c r="O24" i="1" s="1"/>
  <c r="M24" i="1"/>
  <c r="K24" i="1"/>
  <c r="E24" i="5"/>
  <c r="F24" i="5" s="1"/>
  <c r="I24" i="2" s="1"/>
  <c r="K24" i="5"/>
  <c r="L24" i="5" s="1"/>
  <c r="I24" i="5"/>
  <c r="J24" i="5" s="1"/>
  <c r="M24" i="2" s="1"/>
  <c r="M25" i="1" s="1"/>
  <c r="G24" i="5"/>
  <c r="H24" i="5" s="1"/>
  <c r="G89" i="5"/>
  <c r="H89" i="5" s="1"/>
  <c r="K89" i="5"/>
  <c r="L89" i="5" s="1"/>
  <c r="E89" i="5"/>
  <c r="F89" i="5" s="1"/>
  <c r="I89" i="5"/>
  <c r="J89" i="5" s="1"/>
  <c r="V36" i="3"/>
  <c r="U36" i="3"/>
  <c r="W36" i="3"/>
  <c r="AC45" i="4"/>
  <c r="AD45" i="4" s="1"/>
  <c r="AE45" i="4" s="1"/>
  <c r="V42" i="3"/>
  <c r="U42" i="3"/>
  <c r="K11" i="2"/>
  <c r="I80" i="5"/>
  <c r="J80" i="5" s="1"/>
  <c r="L49" i="5"/>
  <c r="W42" i="3" s="1"/>
  <c r="G4" i="5"/>
  <c r="I93" i="5"/>
  <c r="J93" i="5" s="1"/>
  <c r="G93" i="5"/>
  <c r="H93" i="5" s="1"/>
  <c r="E80" i="5"/>
  <c r="F80" i="5" s="1"/>
  <c r="K93" i="5"/>
  <c r="L93" i="5" s="1"/>
  <c r="G80" i="5"/>
  <c r="H80" i="5" s="1"/>
  <c r="G81" i="5"/>
  <c r="H81" i="5" s="1"/>
  <c r="I81" i="5"/>
  <c r="J81" i="5" s="1"/>
  <c r="I4" i="5"/>
  <c r="J4" i="5" s="1"/>
  <c r="K92" i="5"/>
  <c r="L92" i="5" s="1"/>
  <c r="E81" i="5"/>
  <c r="F81" i="5" s="1"/>
  <c r="I3" i="5"/>
  <c r="J3" i="5" s="1"/>
  <c r="I92" i="5"/>
  <c r="J92" i="5" s="1"/>
  <c r="G3" i="5"/>
  <c r="H3" i="5" s="1"/>
  <c r="K3" i="5"/>
  <c r="L3" i="5" s="1"/>
  <c r="K4" i="5"/>
  <c r="L4" i="5" s="1"/>
  <c r="I82" i="5"/>
  <c r="J82" i="5" s="1"/>
  <c r="K82" i="5"/>
  <c r="L82" i="5" s="1"/>
  <c r="G82" i="5"/>
  <c r="H82" i="5" s="1"/>
  <c r="E82" i="5"/>
  <c r="F82" i="5" s="1"/>
  <c r="G86" i="5"/>
  <c r="H86" i="5" s="1"/>
  <c r="I86" i="5"/>
  <c r="J86" i="5" s="1"/>
  <c r="K86" i="5"/>
  <c r="L86" i="5" s="1"/>
  <c r="E86" i="5"/>
  <c r="F86" i="5" s="1"/>
  <c r="G85" i="5"/>
  <c r="H85" i="5" s="1"/>
  <c r="E85" i="5"/>
  <c r="I85" i="5"/>
  <c r="J85" i="5" s="1"/>
  <c r="K85" i="5"/>
  <c r="L85" i="5" s="1"/>
  <c r="E90" i="5"/>
  <c r="F90" i="5" s="1"/>
  <c r="G90" i="5"/>
  <c r="H90" i="5" s="1"/>
  <c r="K90" i="5"/>
  <c r="L90" i="5" s="1"/>
  <c r="I90" i="5"/>
  <c r="J90" i="5" s="1"/>
  <c r="K78" i="5"/>
  <c r="L78" i="5" s="1"/>
  <c r="E78" i="5"/>
  <c r="F78" i="5" s="1"/>
  <c r="G78" i="5"/>
  <c r="H78" i="5" s="1"/>
  <c r="I78" i="5"/>
  <c r="J78" i="5" s="1"/>
  <c r="K76" i="5"/>
  <c r="L76" i="5" s="1"/>
  <c r="G76" i="5"/>
  <c r="H76" i="5" s="1"/>
  <c r="I76" i="5"/>
  <c r="J76" i="5" s="1"/>
  <c r="E76" i="5"/>
  <c r="F76" i="5" s="1"/>
  <c r="G99" i="5"/>
  <c r="H99" i="5" s="1"/>
  <c r="E99" i="5"/>
  <c r="F99" i="5" s="1"/>
  <c r="P47" i="4" s="1"/>
  <c r="I99" i="5"/>
  <c r="J99" i="5" s="1"/>
  <c r="K99" i="5"/>
  <c r="L99" i="5" s="1"/>
  <c r="I96" i="5"/>
  <c r="J96" i="5" s="1"/>
  <c r="R46" i="4" s="1"/>
  <c r="AF46" i="4" s="1"/>
  <c r="K96" i="5"/>
  <c r="L96" i="5" s="1"/>
  <c r="S46" i="4" s="1"/>
  <c r="G96" i="5"/>
  <c r="H96" i="5" s="1"/>
  <c r="Q46" i="4" s="1"/>
  <c r="E96" i="5"/>
  <c r="F96" i="5" s="1"/>
  <c r="P46" i="4" s="1"/>
  <c r="AB46" i="4" s="1"/>
  <c r="Y125" i="1"/>
  <c r="Z125" i="1"/>
  <c r="D6" i="1"/>
  <c r="P200" i="1" l="1"/>
  <c r="Q124" i="1"/>
  <c r="AF64" i="2"/>
  <c r="AF43" i="4"/>
  <c r="R200" i="1"/>
  <c r="AF200" i="1" s="1"/>
  <c r="F85" i="5"/>
  <c r="P44" i="4" s="1"/>
  <c r="P201" i="1" s="1"/>
  <c r="S124" i="1"/>
  <c r="AB64" i="2"/>
  <c r="P124" i="1"/>
  <c r="Q42" i="4"/>
  <c r="Q199" i="1" s="1"/>
  <c r="AC11" i="2"/>
  <c r="Q44" i="4"/>
  <c r="Q201" i="1" s="1"/>
  <c r="I25" i="1"/>
  <c r="AF23" i="2"/>
  <c r="K24" i="2"/>
  <c r="K25" i="1" s="1"/>
  <c r="O24" i="2"/>
  <c r="O25" i="1" s="1"/>
  <c r="I24" i="1"/>
  <c r="AF24" i="1" s="1"/>
  <c r="AB24" i="1"/>
  <c r="S44" i="4"/>
  <c r="S201" i="1" s="1"/>
  <c r="R40" i="4"/>
  <c r="R44" i="4"/>
  <c r="R201" i="1" s="1"/>
  <c r="AF201" i="1" s="1"/>
  <c r="Q40" i="4"/>
  <c r="Q197" i="1" s="1"/>
  <c r="R41" i="4"/>
  <c r="R42" i="4"/>
  <c r="S41" i="4"/>
  <c r="S198" i="1" s="1"/>
  <c r="S42" i="4"/>
  <c r="S199" i="1" s="1"/>
  <c r="P41" i="4"/>
  <c r="P42" i="4"/>
  <c r="Q41" i="4"/>
  <c r="Q198" i="1" s="1"/>
  <c r="P40" i="4"/>
  <c r="S40" i="4"/>
  <c r="S197" i="1" s="1"/>
  <c r="AB200" i="1"/>
  <c r="AC43" i="4"/>
  <c r="AC46" i="4"/>
  <c r="AD46" i="4" s="1"/>
  <c r="AE46" i="4" s="1"/>
  <c r="H4" i="5"/>
  <c r="Q62" i="2" s="1"/>
  <c r="D11" i="1"/>
  <c r="V131" i="1"/>
  <c r="D204" i="1"/>
  <c r="D203" i="1"/>
  <c r="D202" i="1"/>
  <c r="D196" i="1"/>
  <c r="D195" i="1"/>
  <c r="D82" i="1"/>
  <c r="D81" i="1"/>
  <c r="D78" i="1"/>
  <c r="D77" i="1"/>
  <c r="D76" i="1"/>
  <c r="D75" i="1"/>
  <c r="D167" i="1"/>
  <c r="D165" i="1"/>
  <c r="D160" i="1"/>
  <c r="D159" i="1"/>
  <c r="D50" i="1"/>
  <c r="D46" i="1"/>
  <c r="D45" i="1"/>
  <c r="D137" i="1"/>
  <c r="D132" i="1"/>
  <c r="D131" i="1"/>
  <c r="D127" i="1"/>
  <c r="D125" i="1"/>
  <c r="D122" i="1"/>
  <c r="D121" i="1"/>
  <c r="D109" i="1"/>
  <c r="D105" i="1"/>
  <c r="D104" i="1"/>
  <c r="D30" i="1"/>
  <c r="D23" i="1"/>
  <c r="D20" i="1"/>
  <c r="D18" i="1"/>
  <c r="D16" i="1"/>
  <c r="D15" i="1"/>
  <c r="D14" i="1"/>
  <c r="D12" i="1"/>
  <c r="AB44" i="4" l="1"/>
  <c r="AB201" i="1" s="1"/>
  <c r="AC64" i="2"/>
  <c r="AB124" i="1"/>
  <c r="AC24" i="1"/>
  <c r="AF44" i="4"/>
  <c r="P199" i="1"/>
  <c r="AB42" i="4"/>
  <c r="R199" i="1"/>
  <c r="AF199" i="1" s="1"/>
  <c r="AF42" i="4"/>
  <c r="P198" i="1"/>
  <c r="AB41" i="4"/>
  <c r="R198" i="1"/>
  <c r="AF198" i="1" s="1"/>
  <c r="AF41" i="4"/>
  <c r="AD43" i="4"/>
  <c r="AC200" i="1"/>
  <c r="AB40" i="4"/>
  <c r="AB197" i="1" s="1"/>
  <c r="P197" i="1"/>
  <c r="AF40" i="4"/>
  <c r="R197" i="1"/>
  <c r="AF197" i="1" s="1"/>
  <c r="D133" i="1"/>
  <c r="Y33" i="1"/>
  <c r="Y32" i="1"/>
  <c r="V32" i="1"/>
  <c r="V30" i="1"/>
  <c r="V23" i="1"/>
  <c r="V20" i="1"/>
  <c r="Y15" i="1"/>
  <c r="V15" i="1"/>
  <c r="Y14" i="1"/>
  <c r="V14" i="1"/>
  <c r="Y12" i="1"/>
  <c r="V12" i="1"/>
  <c r="Y11" i="1"/>
  <c r="V11" i="1"/>
  <c r="S12" i="1"/>
  <c r="P18" i="1"/>
  <c r="P33" i="1"/>
  <c r="D49" i="1"/>
  <c r="AC44" i="4" l="1"/>
  <c r="AD44" i="4" s="1"/>
  <c r="AC124" i="1"/>
  <c r="AD64" i="2"/>
  <c r="AE23" i="2"/>
  <c r="AE24" i="1" s="1"/>
  <c r="AD24" i="1"/>
  <c r="AC41" i="4"/>
  <c r="AB198" i="1"/>
  <c r="AC42" i="4"/>
  <c r="AB199" i="1"/>
  <c r="AE43" i="4"/>
  <c r="AE200" i="1" s="1"/>
  <c r="AD200" i="1"/>
  <c r="AC40" i="4"/>
  <c r="AC197" i="1" s="1"/>
  <c r="S19" i="1"/>
  <c r="Y19" i="1"/>
  <c r="AC201" i="1" l="1"/>
  <c r="AE64" i="2"/>
  <c r="AE124" i="1" s="1"/>
  <c r="AD124" i="1"/>
  <c r="AD42" i="4"/>
  <c r="AC199" i="1"/>
  <c r="AD41" i="4"/>
  <c r="AC198" i="1"/>
  <c r="AD201" i="1"/>
  <c r="AE44" i="4"/>
  <c r="AE201" i="1" s="1"/>
  <c r="AD40" i="4"/>
  <c r="AE40" i="4" s="1"/>
  <c r="AE197" i="1" s="1"/>
  <c r="P14" i="1"/>
  <c r="D106" i="1"/>
  <c r="AK64" i="2" l="1"/>
  <c r="AE41" i="4"/>
  <c r="AE198" i="1" s="1"/>
  <c r="AD198" i="1"/>
  <c r="AE42" i="4"/>
  <c r="AE199" i="1" s="1"/>
  <c r="AD199" i="1"/>
  <c r="AD197" i="1"/>
  <c r="S14" i="1"/>
  <c r="G14" i="2"/>
  <c r="G16" i="1" s="1"/>
  <c r="AF16" i="1" s="1"/>
  <c r="P123" i="1" l="1"/>
  <c r="S30" i="1"/>
  <c r="S20" i="1"/>
  <c r="S23" i="1"/>
  <c r="C122" i="1" l="1"/>
  <c r="G47" i="4" l="1"/>
  <c r="G204" i="1" s="1"/>
  <c r="C121" i="1" l="1"/>
  <c r="AI121" i="1" s="1"/>
  <c r="C137" i="1" l="1"/>
  <c r="AI137" i="1" s="1"/>
  <c r="C109" i="1"/>
  <c r="C47" i="2"/>
  <c r="C107" i="1" s="1"/>
  <c r="C106" i="1"/>
  <c r="Y23" i="1" l="1"/>
  <c r="G63" i="2" l="1"/>
  <c r="AF63" i="2" s="1"/>
  <c r="G123" i="1" l="1"/>
  <c r="AB63" i="2"/>
  <c r="AC63" i="2" s="1"/>
  <c r="AD63" i="2" s="1"/>
  <c r="AE63" i="2" s="1"/>
  <c r="AB123" i="1" l="1"/>
  <c r="C125" i="1"/>
  <c r="AI125" i="1" s="1"/>
  <c r="D51" i="1" l="1"/>
  <c r="C135" i="1" l="1"/>
  <c r="AI135" i="1" s="1"/>
  <c r="D17" i="1"/>
  <c r="AA76" i="2" l="1"/>
  <c r="AA135" i="1" s="1"/>
  <c r="Z76" i="2"/>
  <c r="Z135" i="1" s="1"/>
  <c r="Y76" i="2"/>
  <c r="Y135" i="1" s="1"/>
  <c r="X76" i="2"/>
  <c r="X135" i="1" s="1"/>
  <c r="Y20" i="1" l="1"/>
  <c r="S32" i="1"/>
  <c r="P32" i="1"/>
  <c r="C105" i="1" l="1"/>
  <c r="C104" i="1" l="1"/>
  <c r="X121" i="1" l="1"/>
  <c r="S7" i="1"/>
  <c r="Y7" i="1"/>
  <c r="S10" i="1"/>
  <c r="V10" i="1"/>
  <c r="Y10" i="1"/>
  <c r="S11" i="1"/>
  <c r="S15" i="1"/>
  <c r="S16" i="1"/>
  <c r="V16" i="1"/>
  <c r="Y16" i="1"/>
  <c r="V19" i="1"/>
  <c r="S21" i="1"/>
  <c r="V21" i="1"/>
  <c r="Y21" i="1"/>
  <c r="P16" i="1"/>
  <c r="AB14" i="2"/>
  <c r="AC14" i="2" s="1"/>
  <c r="AB16" i="1" l="1"/>
  <c r="AF14" i="2"/>
  <c r="AC16" i="1"/>
  <c r="AD14" i="2" l="1"/>
  <c r="AD16" i="1" s="1"/>
  <c r="AE14" i="2" l="1"/>
  <c r="AE16" i="1" s="1"/>
  <c r="D47" i="1"/>
  <c r="AK14" i="2" l="1"/>
  <c r="Y121" i="1"/>
  <c r="Z121" i="1"/>
  <c r="D79" i="1" l="1"/>
  <c r="AB6" i="1" l="1"/>
  <c r="G6" i="1"/>
  <c r="AF6" i="1" s="1"/>
  <c r="G44" i="3"/>
  <c r="G167" i="1" s="1"/>
  <c r="P7" i="1" l="1"/>
  <c r="G19" i="2" l="1"/>
  <c r="G20" i="1" s="1"/>
  <c r="AF20" i="1" s="1"/>
  <c r="C17" i="1"/>
  <c r="C14" i="1" l="1"/>
  <c r="G16" i="2"/>
  <c r="G15" i="1" l="1"/>
  <c r="D47" i="2"/>
  <c r="D107" i="1" s="1"/>
  <c r="D25" i="1"/>
  <c r="G14" i="1" l="1"/>
  <c r="AF14" i="1" s="1"/>
  <c r="P81" i="1"/>
  <c r="Y29" i="2"/>
  <c r="Y30" i="1" s="1"/>
  <c r="AB14" i="1" l="1"/>
  <c r="D126" i="1"/>
  <c r="AC14" i="1" l="1"/>
  <c r="C6" i="1"/>
  <c r="AI6" i="1" s="1"/>
  <c r="G23" i="1"/>
  <c r="X125" i="1"/>
  <c r="AE14" i="1" l="1"/>
  <c r="AD14" i="1"/>
  <c r="AK13" i="2" l="1"/>
  <c r="G46" i="1" l="1"/>
  <c r="C45" i="1"/>
  <c r="H3" i="2"/>
  <c r="P4" i="2" l="1"/>
  <c r="H4" i="1"/>
  <c r="C127" i="1"/>
  <c r="AI127" i="1" s="1"/>
  <c r="P60" i="2" l="1"/>
  <c r="P5" i="1"/>
  <c r="G68" i="2"/>
  <c r="G128" i="1" s="1"/>
  <c r="T35" i="3" l="1"/>
  <c r="P120" i="1"/>
  <c r="C11" i="3"/>
  <c r="C51" i="1" s="1"/>
  <c r="D69" i="2" l="1"/>
  <c r="D129" i="1" s="1"/>
  <c r="AC123" i="1" l="1"/>
  <c r="R123" i="1" l="1"/>
  <c r="AF123" i="1" s="1"/>
  <c r="AD123" i="1" l="1"/>
  <c r="R46" i="2"/>
  <c r="R106" i="1" s="1"/>
  <c r="E121" i="5" s="1"/>
  <c r="F121" i="5" s="1"/>
  <c r="AE123" i="1" l="1"/>
  <c r="AK63" i="2"/>
  <c r="V33" i="2"/>
  <c r="V34" i="1" s="1"/>
  <c r="P15" i="1"/>
  <c r="S33" i="2" l="1"/>
  <c r="S34" i="1" s="1"/>
  <c r="D48" i="2" l="1"/>
  <c r="D108" i="1" s="1"/>
  <c r="P29" i="2" l="1"/>
  <c r="P30" i="1" s="1"/>
  <c r="C81" i="1" l="1"/>
  <c r="P20" i="1" l="1"/>
  <c r="P33" i="2" l="1"/>
  <c r="P34" i="1" s="1"/>
  <c r="P23" i="1"/>
  <c r="V43" i="2" l="1"/>
  <c r="V42" i="2"/>
  <c r="V43" i="1" s="1"/>
  <c r="V41" i="2"/>
  <c r="V42" i="1" s="1"/>
  <c r="V40" i="2"/>
  <c r="V41" i="1" s="1"/>
  <c r="V39" i="2"/>
  <c r="V40" i="1" s="1"/>
  <c r="V38" i="2"/>
  <c r="V39" i="1" s="1"/>
  <c r="V37" i="2"/>
  <c r="V38" i="1" s="1"/>
  <c r="V36" i="2"/>
  <c r="V37" i="1" s="1"/>
  <c r="V35" i="2"/>
  <c r="V36" i="1" s="1"/>
  <c r="V34" i="2"/>
  <c r="V35" i="1" s="1"/>
  <c r="V28" i="2"/>
  <c r="V29" i="1" s="1"/>
  <c r="V26" i="2"/>
  <c r="V27" i="1" s="1"/>
  <c r="V25" i="2"/>
  <c r="V26" i="1" s="1"/>
  <c r="V25" i="1"/>
  <c r="V21" i="2"/>
  <c r="V22" i="1" s="1"/>
  <c r="AA121" i="1"/>
  <c r="Y43" i="2"/>
  <c r="Y42" i="2"/>
  <c r="Y43" i="1" s="1"/>
  <c r="Y41" i="2"/>
  <c r="Y42" i="1" s="1"/>
  <c r="Y40" i="2"/>
  <c r="Y41" i="1" s="1"/>
  <c r="Y39" i="2"/>
  <c r="Y40" i="1" s="1"/>
  <c r="Y38" i="2"/>
  <c r="Y39" i="1" s="1"/>
  <c r="Y37" i="2"/>
  <c r="Y38" i="1" s="1"/>
  <c r="Y36" i="2"/>
  <c r="Y37" i="1" s="1"/>
  <c r="Y35" i="2"/>
  <c r="Y36" i="1" s="1"/>
  <c r="Y34" i="2"/>
  <c r="Y35" i="1" s="1"/>
  <c r="Y33" i="2"/>
  <c r="Y34" i="1" s="1"/>
  <c r="Y28" i="2"/>
  <c r="Y29" i="1" s="1"/>
  <c r="Y26" i="2"/>
  <c r="Y27" i="1" s="1"/>
  <c r="Y25" i="2"/>
  <c r="Y26" i="1" s="1"/>
  <c r="Y25" i="1"/>
  <c r="Y21" i="2"/>
  <c r="Y22" i="1" s="1"/>
  <c r="P43" i="2"/>
  <c r="P42" i="2"/>
  <c r="P43" i="1" s="1"/>
  <c r="P41" i="2"/>
  <c r="P42" i="1" s="1"/>
  <c r="P40" i="2"/>
  <c r="P41" i="1" s="1"/>
  <c r="P39" i="2"/>
  <c r="P40" i="1" s="1"/>
  <c r="P38" i="2"/>
  <c r="P39" i="1" s="1"/>
  <c r="P37" i="2"/>
  <c r="P38" i="1" s="1"/>
  <c r="P36" i="2"/>
  <c r="P37" i="1" s="1"/>
  <c r="P35" i="2"/>
  <c r="P36" i="1" s="1"/>
  <c r="P34" i="2"/>
  <c r="P35" i="1" s="1"/>
  <c r="P11" i="1"/>
  <c r="P28" i="2"/>
  <c r="P29" i="1" s="1"/>
  <c r="P26" i="2"/>
  <c r="P27" i="1" s="1"/>
  <c r="P25" i="2"/>
  <c r="P26" i="1" s="1"/>
  <c r="P25" i="1"/>
  <c r="P21" i="2"/>
  <c r="P22" i="1" s="1"/>
  <c r="P8" i="1"/>
  <c r="P6" i="1"/>
  <c r="G8" i="4" l="1"/>
  <c r="G77" i="1" s="1"/>
  <c r="AF77" i="1" s="1"/>
  <c r="P8" i="4"/>
  <c r="P77" i="1" s="1"/>
  <c r="S77" i="1"/>
  <c r="V8" i="4"/>
  <c r="V77" i="1" s="1"/>
  <c r="Y8" i="4"/>
  <c r="Y77" i="1" s="1"/>
  <c r="O33" i="2"/>
  <c r="O34" i="1" s="1"/>
  <c r="M33" i="2"/>
  <c r="M34" i="1" s="1"/>
  <c r="K33" i="2"/>
  <c r="K34" i="1" s="1"/>
  <c r="I33" i="2"/>
  <c r="I34" i="1" s="1"/>
  <c r="S43" i="2"/>
  <c r="S42" i="2"/>
  <c r="S43" i="1" s="1"/>
  <c r="S41" i="2"/>
  <c r="S42" i="1" s="1"/>
  <c r="S40" i="2"/>
  <c r="S41" i="1" s="1"/>
  <c r="S39" i="2"/>
  <c r="S40" i="1" s="1"/>
  <c r="S38" i="2"/>
  <c r="S39" i="1" s="1"/>
  <c r="S37" i="2"/>
  <c r="S38" i="1" s="1"/>
  <c r="S36" i="2"/>
  <c r="S37" i="1" s="1"/>
  <c r="S35" i="2"/>
  <c r="S36" i="1" s="1"/>
  <c r="S34" i="2"/>
  <c r="S35" i="1" s="1"/>
  <c r="S28" i="2"/>
  <c r="S29" i="1" s="1"/>
  <c r="S26" i="2"/>
  <c r="S27" i="1" s="1"/>
  <c r="S25" i="2"/>
  <c r="S26" i="1" s="1"/>
  <c r="S25" i="1"/>
  <c r="S21" i="2"/>
  <c r="S22" i="1" s="1"/>
  <c r="T35" i="4"/>
  <c r="X35" i="4"/>
  <c r="AB34" i="3"/>
  <c r="Z34" i="4"/>
  <c r="Z103" i="1" s="1"/>
  <c r="Y34" i="4"/>
  <c r="Y103" i="1" s="1"/>
  <c r="Z33" i="4"/>
  <c r="Z102" i="1" s="1"/>
  <c r="Y33" i="4"/>
  <c r="Y102" i="1" s="1"/>
  <c r="Z32" i="4"/>
  <c r="Z101" i="1" s="1"/>
  <c r="Y32" i="4"/>
  <c r="Y101" i="1" s="1"/>
  <c r="Z31" i="4"/>
  <c r="Z100" i="1" s="1"/>
  <c r="Y31" i="4"/>
  <c r="Y100" i="1" s="1"/>
  <c r="Z30" i="4"/>
  <c r="Z99" i="1" s="1"/>
  <c r="Y30" i="4"/>
  <c r="Y99" i="1" s="1"/>
  <c r="Z29" i="4"/>
  <c r="Z98" i="1" s="1"/>
  <c r="Y29" i="4"/>
  <c r="Y98" i="1" s="1"/>
  <c r="Z28" i="4"/>
  <c r="Z97" i="1" s="1"/>
  <c r="Y28" i="4"/>
  <c r="Y97" i="1" s="1"/>
  <c r="Z27" i="4"/>
  <c r="Z96" i="1" s="1"/>
  <c r="Y27" i="4"/>
  <c r="Y96" i="1" s="1"/>
  <c r="Z26" i="4"/>
  <c r="Z95" i="1" s="1"/>
  <c r="Y26" i="4"/>
  <c r="Y95" i="1" s="1"/>
  <c r="Z25" i="4"/>
  <c r="Z94" i="1" s="1"/>
  <c r="Y25" i="4"/>
  <c r="Y94" i="1" s="1"/>
  <c r="Z24" i="4"/>
  <c r="Z93" i="1" s="1"/>
  <c r="Y24" i="4"/>
  <c r="Y93" i="1" s="1"/>
  <c r="Z23" i="4"/>
  <c r="Z92" i="1" s="1"/>
  <c r="Y23" i="4"/>
  <c r="Y92" i="1" s="1"/>
  <c r="Z22" i="4"/>
  <c r="Z91" i="1" s="1"/>
  <c r="Y22" i="4"/>
  <c r="Y91" i="1" s="1"/>
  <c r="Z21" i="4"/>
  <c r="Z90" i="1" s="1"/>
  <c r="Y21" i="4"/>
  <c r="Y90" i="1" s="1"/>
  <c r="Z20" i="4"/>
  <c r="Z89" i="1" s="1"/>
  <c r="Y20" i="4"/>
  <c r="Y89" i="1" s="1"/>
  <c r="Z19" i="4"/>
  <c r="Z88" i="1" s="1"/>
  <c r="Y19" i="4"/>
  <c r="Y88" i="1" s="1"/>
  <c r="Z18" i="4"/>
  <c r="Z87" i="1" s="1"/>
  <c r="Y18" i="4"/>
  <c r="Y87" i="1" s="1"/>
  <c r="Z17" i="4"/>
  <c r="Z86" i="1" s="1"/>
  <c r="Y17" i="4"/>
  <c r="Y86" i="1" s="1"/>
  <c r="Z16" i="4"/>
  <c r="Z85" i="1" s="1"/>
  <c r="Y16" i="4"/>
  <c r="Y85" i="1" s="1"/>
  <c r="Z15" i="4"/>
  <c r="Z84" i="1" s="1"/>
  <c r="Y15" i="4"/>
  <c r="Y84" i="1" s="1"/>
  <c r="Z14" i="4"/>
  <c r="Z83" i="1" s="1"/>
  <c r="Y14" i="4"/>
  <c r="Y83" i="1" s="1"/>
  <c r="Y13" i="4"/>
  <c r="Y82" i="1" s="1"/>
  <c r="Y12" i="4"/>
  <c r="Y81" i="1" s="1"/>
  <c r="Y10" i="4"/>
  <c r="Y79" i="1" s="1"/>
  <c r="Y9" i="4"/>
  <c r="Y78" i="1" s="1"/>
  <c r="Y7" i="4"/>
  <c r="Y76" i="1" s="1"/>
  <c r="Z5" i="4"/>
  <c r="Z74" i="1" s="1"/>
  <c r="Y5" i="4"/>
  <c r="Y74" i="1" s="1"/>
  <c r="W34" i="4"/>
  <c r="W103" i="1" s="1"/>
  <c r="V34" i="4"/>
  <c r="V103" i="1" s="1"/>
  <c r="W33" i="4"/>
  <c r="W102" i="1" s="1"/>
  <c r="V33" i="4"/>
  <c r="V102" i="1" s="1"/>
  <c r="W32" i="4"/>
  <c r="W101" i="1" s="1"/>
  <c r="V32" i="4"/>
  <c r="V101" i="1" s="1"/>
  <c r="W31" i="4"/>
  <c r="W100" i="1" s="1"/>
  <c r="V31" i="4"/>
  <c r="V100" i="1" s="1"/>
  <c r="W30" i="4"/>
  <c r="W99" i="1" s="1"/>
  <c r="V30" i="4"/>
  <c r="V99" i="1" s="1"/>
  <c r="W29" i="4"/>
  <c r="W98" i="1" s="1"/>
  <c r="V29" i="4"/>
  <c r="V98" i="1" s="1"/>
  <c r="W28" i="4"/>
  <c r="W97" i="1" s="1"/>
  <c r="V28" i="4"/>
  <c r="V97" i="1" s="1"/>
  <c r="W27" i="4"/>
  <c r="W96" i="1" s="1"/>
  <c r="V27" i="4"/>
  <c r="V96" i="1" s="1"/>
  <c r="W26" i="4"/>
  <c r="W95" i="1" s="1"/>
  <c r="V26" i="4"/>
  <c r="V95" i="1" s="1"/>
  <c r="W25" i="4"/>
  <c r="W94" i="1" s="1"/>
  <c r="V25" i="4"/>
  <c r="V94" i="1" s="1"/>
  <c r="W24" i="4"/>
  <c r="W93" i="1" s="1"/>
  <c r="V24" i="4"/>
  <c r="V93" i="1" s="1"/>
  <c r="W23" i="4"/>
  <c r="W92" i="1" s="1"/>
  <c r="V23" i="4"/>
  <c r="V92" i="1" s="1"/>
  <c r="W22" i="4"/>
  <c r="W91" i="1" s="1"/>
  <c r="V22" i="4"/>
  <c r="V91" i="1" s="1"/>
  <c r="W21" i="4"/>
  <c r="W90" i="1" s="1"/>
  <c r="V21" i="4"/>
  <c r="V90" i="1" s="1"/>
  <c r="W20" i="4"/>
  <c r="W89" i="1" s="1"/>
  <c r="V20" i="4"/>
  <c r="V89" i="1" s="1"/>
  <c r="W19" i="4"/>
  <c r="W88" i="1" s="1"/>
  <c r="V19" i="4"/>
  <c r="V88" i="1" s="1"/>
  <c r="W18" i="4"/>
  <c r="W87" i="1" s="1"/>
  <c r="V18" i="4"/>
  <c r="V87" i="1" s="1"/>
  <c r="W17" i="4"/>
  <c r="W86" i="1" s="1"/>
  <c r="V17" i="4"/>
  <c r="V86" i="1" s="1"/>
  <c r="W16" i="4"/>
  <c r="W85" i="1" s="1"/>
  <c r="V16" i="4"/>
  <c r="V85" i="1" s="1"/>
  <c r="W15" i="4"/>
  <c r="W84" i="1" s="1"/>
  <c r="V15" i="4"/>
  <c r="V84" i="1" s="1"/>
  <c r="W14" i="4"/>
  <c r="W83" i="1" s="1"/>
  <c r="V14" i="4"/>
  <c r="V83" i="1" s="1"/>
  <c r="V13" i="4"/>
  <c r="V82" i="1" s="1"/>
  <c r="V12" i="4"/>
  <c r="V81" i="1" s="1"/>
  <c r="V10" i="4"/>
  <c r="V79" i="1" s="1"/>
  <c r="V9" i="4"/>
  <c r="V78" i="1" s="1"/>
  <c r="V7" i="4"/>
  <c r="V76" i="1" s="1"/>
  <c r="W5" i="4"/>
  <c r="W74" i="1" s="1"/>
  <c r="V5" i="4"/>
  <c r="V74" i="1" s="1"/>
  <c r="T34" i="4"/>
  <c r="T103" i="1" s="1"/>
  <c r="S34" i="4"/>
  <c r="S103" i="1" s="1"/>
  <c r="T33" i="4"/>
  <c r="T102" i="1" s="1"/>
  <c r="S33" i="4"/>
  <c r="S102" i="1" s="1"/>
  <c r="T32" i="4"/>
  <c r="T101" i="1" s="1"/>
  <c r="S32" i="4"/>
  <c r="S101" i="1" s="1"/>
  <c r="T31" i="4"/>
  <c r="T100" i="1" s="1"/>
  <c r="S31" i="4"/>
  <c r="S100" i="1" s="1"/>
  <c r="T30" i="4"/>
  <c r="T99" i="1" s="1"/>
  <c r="S30" i="4"/>
  <c r="S99" i="1" s="1"/>
  <c r="T29" i="4"/>
  <c r="T98" i="1" s="1"/>
  <c r="S29" i="4"/>
  <c r="S98" i="1" s="1"/>
  <c r="T28" i="4"/>
  <c r="T97" i="1" s="1"/>
  <c r="S28" i="4"/>
  <c r="S97" i="1" s="1"/>
  <c r="T27" i="4"/>
  <c r="T96" i="1" s="1"/>
  <c r="S27" i="4"/>
  <c r="S96" i="1" s="1"/>
  <c r="T26" i="4"/>
  <c r="T95" i="1" s="1"/>
  <c r="S26" i="4"/>
  <c r="S95" i="1" s="1"/>
  <c r="T25" i="4"/>
  <c r="T94" i="1" s="1"/>
  <c r="S25" i="4"/>
  <c r="S94" i="1" s="1"/>
  <c r="T24" i="4"/>
  <c r="T93" i="1" s="1"/>
  <c r="S24" i="4"/>
  <c r="S93" i="1" s="1"/>
  <c r="T23" i="4"/>
  <c r="T92" i="1" s="1"/>
  <c r="S23" i="4"/>
  <c r="S92" i="1" s="1"/>
  <c r="T22" i="4"/>
  <c r="T91" i="1" s="1"/>
  <c r="S22" i="4"/>
  <c r="S91" i="1" s="1"/>
  <c r="T21" i="4"/>
  <c r="T90" i="1" s="1"/>
  <c r="S21" i="4"/>
  <c r="S90" i="1" s="1"/>
  <c r="T20" i="4"/>
  <c r="T89" i="1" s="1"/>
  <c r="S20" i="4"/>
  <c r="S89" i="1" s="1"/>
  <c r="T19" i="4"/>
  <c r="T88" i="1" s="1"/>
  <c r="S19" i="4"/>
  <c r="S88" i="1" s="1"/>
  <c r="T18" i="4"/>
  <c r="T87" i="1" s="1"/>
  <c r="S18" i="4"/>
  <c r="S87" i="1" s="1"/>
  <c r="T17" i="4"/>
  <c r="T86" i="1" s="1"/>
  <c r="S17" i="4"/>
  <c r="S86" i="1" s="1"/>
  <c r="T16" i="4"/>
  <c r="T85" i="1" s="1"/>
  <c r="S16" i="4"/>
  <c r="S85" i="1" s="1"/>
  <c r="T15" i="4"/>
  <c r="T84" i="1" s="1"/>
  <c r="S15" i="4"/>
  <c r="S84" i="1" s="1"/>
  <c r="T14" i="4"/>
  <c r="T83" i="1" s="1"/>
  <c r="S14" i="4"/>
  <c r="S83" i="1" s="1"/>
  <c r="S13" i="4"/>
  <c r="S82" i="1" s="1"/>
  <c r="S12" i="4"/>
  <c r="S81" i="1" s="1"/>
  <c r="S10" i="4"/>
  <c r="S79" i="1" s="1"/>
  <c r="S9" i="4"/>
  <c r="S78" i="1" s="1"/>
  <c r="S76" i="1"/>
  <c r="T5" i="4"/>
  <c r="T74" i="1" s="1"/>
  <c r="S5" i="4"/>
  <c r="S74" i="1" s="1"/>
  <c r="Q34" i="4"/>
  <c r="Q103" i="1" s="1"/>
  <c r="P34" i="4"/>
  <c r="P103" i="1" s="1"/>
  <c r="Q33" i="4"/>
  <c r="Q102" i="1" s="1"/>
  <c r="P33" i="4"/>
  <c r="P102" i="1" s="1"/>
  <c r="Q32" i="4"/>
  <c r="Q101" i="1" s="1"/>
  <c r="P32" i="4"/>
  <c r="P101" i="1" s="1"/>
  <c r="Q31" i="4"/>
  <c r="Q100" i="1" s="1"/>
  <c r="P31" i="4"/>
  <c r="P100" i="1" s="1"/>
  <c r="Q30" i="4"/>
  <c r="Q99" i="1" s="1"/>
  <c r="P30" i="4"/>
  <c r="P99" i="1" s="1"/>
  <c r="Q29" i="4"/>
  <c r="Q98" i="1" s="1"/>
  <c r="P29" i="4"/>
  <c r="P98" i="1" s="1"/>
  <c r="Q28" i="4"/>
  <c r="Q97" i="1" s="1"/>
  <c r="P28" i="4"/>
  <c r="P97" i="1" s="1"/>
  <c r="Q27" i="4"/>
  <c r="Q96" i="1" s="1"/>
  <c r="P27" i="4"/>
  <c r="P96" i="1" s="1"/>
  <c r="Q26" i="4"/>
  <c r="Q95" i="1" s="1"/>
  <c r="P26" i="4"/>
  <c r="P95" i="1" s="1"/>
  <c r="Q25" i="4"/>
  <c r="Q94" i="1" s="1"/>
  <c r="P25" i="4"/>
  <c r="P94" i="1" s="1"/>
  <c r="Q24" i="4"/>
  <c r="Q93" i="1" s="1"/>
  <c r="P24" i="4"/>
  <c r="P93" i="1" s="1"/>
  <c r="Q23" i="4"/>
  <c r="Q92" i="1" s="1"/>
  <c r="P23" i="4"/>
  <c r="P92" i="1" s="1"/>
  <c r="Q22" i="4"/>
  <c r="Q91" i="1" s="1"/>
  <c r="P22" i="4"/>
  <c r="P91" i="1" s="1"/>
  <c r="Q21" i="4"/>
  <c r="Q90" i="1" s="1"/>
  <c r="P21" i="4"/>
  <c r="P90" i="1" s="1"/>
  <c r="Q20" i="4"/>
  <c r="Q89" i="1" s="1"/>
  <c r="P20" i="4"/>
  <c r="P89" i="1" s="1"/>
  <c r="Q19" i="4"/>
  <c r="Q88" i="1" s="1"/>
  <c r="P19" i="4"/>
  <c r="P88" i="1" s="1"/>
  <c r="Q18" i="4"/>
  <c r="Q87" i="1" s="1"/>
  <c r="P18" i="4"/>
  <c r="P87" i="1" s="1"/>
  <c r="Q17" i="4"/>
  <c r="Q86" i="1" s="1"/>
  <c r="P17" i="4"/>
  <c r="P86" i="1" s="1"/>
  <c r="Q16" i="4"/>
  <c r="Q85" i="1" s="1"/>
  <c r="P16" i="4"/>
  <c r="P85" i="1" s="1"/>
  <c r="Q15" i="4"/>
  <c r="Q84" i="1" s="1"/>
  <c r="P15" i="4"/>
  <c r="P84" i="1" s="1"/>
  <c r="Q14" i="4"/>
  <c r="Q83" i="1" s="1"/>
  <c r="P14" i="4"/>
  <c r="P83" i="1" s="1"/>
  <c r="P13" i="4"/>
  <c r="P82" i="1" s="1"/>
  <c r="P10" i="4"/>
  <c r="P79" i="1" s="1"/>
  <c r="P9" i="4"/>
  <c r="P78" i="1" s="1"/>
  <c r="P7" i="4"/>
  <c r="P76" i="1" s="1"/>
  <c r="Q5" i="4"/>
  <c r="Q74" i="1" s="1"/>
  <c r="P5" i="4"/>
  <c r="P74" i="1" s="1"/>
  <c r="Y6" i="4"/>
  <c r="Y75" i="1" s="1"/>
  <c r="V6" i="4"/>
  <c r="V75" i="1" s="1"/>
  <c r="S6" i="4"/>
  <c r="S75" i="1" s="1"/>
  <c r="P6" i="4"/>
  <c r="P75" i="1" s="1"/>
  <c r="J37" i="4"/>
  <c r="L37" i="4"/>
  <c r="N37" i="4"/>
  <c r="S33" i="3" l="1"/>
  <c r="O73" i="1" s="1"/>
  <c r="S32" i="3"/>
  <c r="O72" i="1" s="1"/>
  <c r="S31" i="3"/>
  <c r="O71" i="1" s="1"/>
  <c r="S30" i="3"/>
  <c r="O70" i="1" s="1"/>
  <c r="S29" i="3"/>
  <c r="O69" i="1" s="1"/>
  <c r="S28" i="3"/>
  <c r="O68" i="1" s="1"/>
  <c r="S27" i="3"/>
  <c r="O67" i="1" s="1"/>
  <c r="S26" i="3"/>
  <c r="O66" i="1" s="1"/>
  <c r="S25" i="3"/>
  <c r="O65" i="1" s="1"/>
  <c r="S24" i="3"/>
  <c r="O64" i="1" s="1"/>
  <c r="S23" i="3"/>
  <c r="O63" i="1" s="1"/>
  <c r="S22" i="3"/>
  <c r="O62" i="1" s="1"/>
  <c r="S21" i="3"/>
  <c r="O61" i="1" s="1"/>
  <c r="S20" i="3"/>
  <c r="O60" i="1" s="1"/>
  <c r="S19" i="3"/>
  <c r="O59" i="1" s="1"/>
  <c r="S18" i="3"/>
  <c r="O58" i="1" s="1"/>
  <c r="S17" i="3"/>
  <c r="O57" i="1" s="1"/>
  <c r="S16" i="3"/>
  <c r="O56" i="1" s="1"/>
  <c r="S15" i="3"/>
  <c r="O55" i="1" s="1"/>
  <c r="S14" i="3"/>
  <c r="O54" i="1" s="1"/>
  <c r="S13" i="3"/>
  <c r="O53" i="1" s="1"/>
  <c r="S12" i="3"/>
  <c r="O52" i="1" s="1"/>
  <c r="S11" i="3"/>
  <c r="O51" i="1" s="1"/>
  <c r="S8" i="3"/>
  <c r="O48" i="1" s="1"/>
  <c r="S7" i="3"/>
  <c r="O47" i="1" s="1"/>
  <c r="P33" i="3"/>
  <c r="M73" i="1" s="1"/>
  <c r="P32" i="3"/>
  <c r="M72" i="1" s="1"/>
  <c r="P31" i="3"/>
  <c r="M71" i="1" s="1"/>
  <c r="P30" i="3"/>
  <c r="M70" i="1" s="1"/>
  <c r="P29" i="3"/>
  <c r="M69" i="1" s="1"/>
  <c r="P28" i="3"/>
  <c r="M68" i="1" s="1"/>
  <c r="P27" i="3"/>
  <c r="M67" i="1" s="1"/>
  <c r="P26" i="3"/>
  <c r="M66" i="1" s="1"/>
  <c r="P25" i="3"/>
  <c r="M65" i="1" s="1"/>
  <c r="P24" i="3"/>
  <c r="M64" i="1" s="1"/>
  <c r="P23" i="3"/>
  <c r="M63" i="1" s="1"/>
  <c r="P22" i="3"/>
  <c r="M62" i="1" s="1"/>
  <c r="P21" i="3"/>
  <c r="M61" i="1" s="1"/>
  <c r="P20" i="3"/>
  <c r="M60" i="1" s="1"/>
  <c r="P19" i="3"/>
  <c r="M59" i="1" s="1"/>
  <c r="P18" i="3"/>
  <c r="M58" i="1" s="1"/>
  <c r="P17" i="3"/>
  <c r="M57" i="1" s="1"/>
  <c r="P16" i="3"/>
  <c r="M56" i="1" s="1"/>
  <c r="P15" i="3"/>
  <c r="M55" i="1" s="1"/>
  <c r="P14" i="3"/>
  <c r="M54" i="1" s="1"/>
  <c r="P13" i="3"/>
  <c r="M53" i="1" s="1"/>
  <c r="P12" i="3"/>
  <c r="M52" i="1" s="1"/>
  <c r="P11" i="3"/>
  <c r="M51" i="1" s="1"/>
  <c r="P8" i="3"/>
  <c r="M48" i="1" s="1"/>
  <c r="P7" i="3"/>
  <c r="M47" i="1" s="1"/>
  <c r="J33" i="3"/>
  <c r="I73" i="1" s="1"/>
  <c r="J32" i="3"/>
  <c r="I72" i="1" s="1"/>
  <c r="J31" i="3"/>
  <c r="I71" i="1" s="1"/>
  <c r="J30" i="3"/>
  <c r="I70" i="1" s="1"/>
  <c r="J29" i="3"/>
  <c r="I69" i="1" s="1"/>
  <c r="J28" i="3"/>
  <c r="I68" i="1" s="1"/>
  <c r="J27" i="3"/>
  <c r="I67" i="1" s="1"/>
  <c r="J26" i="3"/>
  <c r="I66" i="1" s="1"/>
  <c r="J25" i="3"/>
  <c r="I65" i="1" s="1"/>
  <c r="J24" i="3"/>
  <c r="I64" i="1" s="1"/>
  <c r="J23" i="3"/>
  <c r="I63" i="1" s="1"/>
  <c r="J22" i="3"/>
  <c r="I62" i="1" s="1"/>
  <c r="J21" i="3"/>
  <c r="I61" i="1" s="1"/>
  <c r="J20" i="3"/>
  <c r="I60" i="1" s="1"/>
  <c r="J19" i="3"/>
  <c r="I59" i="1" s="1"/>
  <c r="J18" i="3"/>
  <c r="I58" i="1" s="1"/>
  <c r="J17" i="3"/>
  <c r="I57" i="1" s="1"/>
  <c r="J16" i="3"/>
  <c r="I56" i="1" s="1"/>
  <c r="J15" i="3"/>
  <c r="I55" i="1" s="1"/>
  <c r="J14" i="3"/>
  <c r="I54" i="1" s="1"/>
  <c r="J13" i="3"/>
  <c r="I53" i="1" s="1"/>
  <c r="J12" i="3"/>
  <c r="I52" i="1" s="1"/>
  <c r="J11" i="3"/>
  <c r="I51" i="1" s="1"/>
  <c r="J10" i="3"/>
  <c r="I50" i="1" s="1"/>
  <c r="J8" i="3"/>
  <c r="J7" i="3"/>
  <c r="I47" i="1" s="1"/>
  <c r="M33" i="3"/>
  <c r="K73" i="1" s="1"/>
  <c r="M32" i="3"/>
  <c r="K72" i="1" s="1"/>
  <c r="M31" i="3"/>
  <c r="K71" i="1" s="1"/>
  <c r="M30" i="3"/>
  <c r="K70" i="1" s="1"/>
  <c r="M29" i="3"/>
  <c r="K69" i="1" s="1"/>
  <c r="M28" i="3"/>
  <c r="K68" i="1" s="1"/>
  <c r="M27" i="3"/>
  <c r="K67" i="1" s="1"/>
  <c r="M26" i="3"/>
  <c r="K66" i="1" s="1"/>
  <c r="M25" i="3"/>
  <c r="K65" i="1" s="1"/>
  <c r="M24" i="3"/>
  <c r="K64" i="1" s="1"/>
  <c r="M23" i="3"/>
  <c r="K63" i="1" s="1"/>
  <c r="M22" i="3"/>
  <c r="K62" i="1" s="1"/>
  <c r="M21" i="3"/>
  <c r="K61" i="1" s="1"/>
  <c r="M20" i="3"/>
  <c r="K60" i="1" s="1"/>
  <c r="M19" i="3"/>
  <c r="K59" i="1" s="1"/>
  <c r="M18" i="3"/>
  <c r="K58" i="1" s="1"/>
  <c r="M17" i="3"/>
  <c r="K57" i="1" s="1"/>
  <c r="M16" i="3"/>
  <c r="K56" i="1" s="1"/>
  <c r="M15" i="3"/>
  <c r="K55" i="1" s="1"/>
  <c r="M14" i="3"/>
  <c r="K54" i="1" s="1"/>
  <c r="M13" i="3"/>
  <c r="K53" i="1" s="1"/>
  <c r="M12" i="3"/>
  <c r="K52" i="1" s="1"/>
  <c r="M11" i="3"/>
  <c r="K51" i="1" s="1"/>
  <c r="M10" i="3"/>
  <c r="K50" i="1" s="1"/>
  <c r="M8" i="3"/>
  <c r="K48" i="1" s="1"/>
  <c r="M7" i="3"/>
  <c r="K47" i="1" s="1"/>
  <c r="I48" i="1" l="1"/>
  <c r="S76" i="4"/>
  <c r="S233" i="1" s="1"/>
  <c r="R76" i="4"/>
  <c r="R233" i="1" s="1"/>
  <c r="AF233" i="1" s="1"/>
  <c r="Q76" i="4"/>
  <c r="Q233" i="1" s="1"/>
  <c r="P76" i="4"/>
  <c r="P233" i="1" s="1"/>
  <c r="S75" i="4"/>
  <c r="S232" i="1" s="1"/>
  <c r="R75" i="4"/>
  <c r="R232" i="1" s="1"/>
  <c r="AF232" i="1" s="1"/>
  <c r="Q75" i="4"/>
  <c r="Q232" i="1" s="1"/>
  <c r="P75" i="4"/>
  <c r="P232" i="1" s="1"/>
  <c r="S74" i="4"/>
  <c r="S231" i="1" s="1"/>
  <c r="R74" i="4"/>
  <c r="R231" i="1" s="1"/>
  <c r="AF231" i="1" s="1"/>
  <c r="Q74" i="4"/>
  <c r="Q231" i="1" s="1"/>
  <c r="P74" i="4"/>
  <c r="P231" i="1" s="1"/>
  <c r="S73" i="4"/>
  <c r="S230" i="1" s="1"/>
  <c r="R73" i="4"/>
  <c r="R230" i="1" s="1"/>
  <c r="AF230" i="1" s="1"/>
  <c r="Q73" i="4"/>
  <c r="Q230" i="1" s="1"/>
  <c r="P73" i="4"/>
  <c r="P230" i="1" s="1"/>
  <c r="S72" i="4"/>
  <c r="S229" i="1" s="1"/>
  <c r="R72" i="4"/>
  <c r="R229" i="1" s="1"/>
  <c r="AF229" i="1" s="1"/>
  <c r="Q72" i="4"/>
  <c r="Q229" i="1" s="1"/>
  <c r="P72" i="4"/>
  <c r="P229" i="1" s="1"/>
  <c r="S71" i="4"/>
  <c r="S228" i="1" s="1"/>
  <c r="R71" i="4"/>
  <c r="R228" i="1" s="1"/>
  <c r="AF228" i="1" s="1"/>
  <c r="Q71" i="4"/>
  <c r="Q228" i="1" s="1"/>
  <c r="P71" i="4"/>
  <c r="P228" i="1" s="1"/>
  <c r="S70" i="4"/>
  <c r="S227" i="1" s="1"/>
  <c r="R70" i="4"/>
  <c r="R227" i="1" s="1"/>
  <c r="AF227" i="1" s="1"/>
  <c r="Q70" i="4"/>
  <c r="Q227" i="1" s="1"/>
  <c r="P70" i="4"/>
  <c r="P227" i="1" s="1"/>
  <c r="S69" i="4"/>
  <c r="S226" i="1" s="1"/>
  <c r="R69" i="4"/>
  <c r="R226" i="1" s="1"/>
  <c r="AF226" i="1" s="1"/>
  <c r="Q69" i="4"/>
  <c r="Q226" i="1" s="1"/>
  <c r="P69" i="4"/>
  <c r="P226" i="1" s="1"/>
  <c r="S68" i="4"/>
  <c r="S225" i="1" s="1"/>
  <c r="R68" i="4"/>
  <c r="R225" i="1" s="1"/>
  <c r="AF225" i="1" s="1"/>
  <c r="Q68" i="4"/>
  <c r="Q225" i="1" s="1"/>
  <c r="P68" i="4"/>
  <c r="P225" i="1" s="1"/>
  <c r="S67" i="4"/>
  <c r="S224" i="1" s="1"/>
  <c r="R67" i="4"/>
  <c r="R224" i="1" s="1"/>
  <c r="AF224" i="1" s="1"/>
  <c r="Q67" i="4"/>
  <c r="Q224" i="1" s="1"/>
  <c r="P67" i="4"/>
  <c r="P224" i="1" s="1"/>
  <c r="S66" i="4"/>
  <c r="S223" i="1" s="1"/>
  <c r="R66" i="4"/>
  <c r="R223" i="1" s="1"/>
  <c r="AF223" i="1" s="1"/>
  <c r="Q66" i="4"/>
  <c r="Q223" i="1" s="1"/>
  <c r="P66" i="4"/>
  <c r="P223" i="1" s="1"/>
  <c r="S65" i="4"/>
  <c r="S222" i="1" s="1"/>
  <c r="R65" i="4"/>
  <c r="R222" i="1" s="1"/>
  <c r="AF222" i="1" s="1"/>
  <c r="Q65" i="4"/>
  <c r="Q222" i="1" s="1"/>
  <c r="P65" i="4"/>
  <c r="P222" i="1" s="1"/>
  <c r="S64" i="4"/>
  <c r="S221" i="1" s="1"/>
  <c r="R64" i="4"/>
  <c r="R221" i="1" s="1"/>
  <c r="AF221" i="1" s="1"/>
  <c r="Q64" i="4"/>
  <c r="Q221" i="1" s="1"/>
  <c r="P64" i="4"/>
  <c r="P221" i="1" s="1"/>
  <c r="S63" i="4"/>
  <c r="S220" i="1" s="1"/>
  <c r="R63" i="4"/>
  <c r="R220" i="1" s="1"/>
  <c r="AF220" i="1" s="1"/>
  <c r="Q63" i="4"/>
  <c r="Q220" i="1" s="1"/>
  <c r="P63" i="4"/>
  <c r="P220" i="1" s="1"/>
  <c r="S62" i="4"/>
  <c r="S219" i="1" s="1"/>
  <c r="R62" i="4"/>
  <c r="R219" i="1" s="1"/>
  <c r="AF219" i="1" s="1"/>
  <c r="Q62" i="4"/>
  <c r="Q219" i="1" s="1"/>
  <c r="P62" i="4"/>
  <c r="P219" i="1" s="1"/>
  <c r="S61" i="4"/>
  <c r="S218" i="1" s="1"/>
  <c r="R61" i="4"/>
  <c r="R218" i="1" s="1"/>
  <c r="AF218" i="1" s="1"/>
  <c r="Q61" i="4"/>
  <c r="Q218" i="1" s="1"/>
  <c r="P61" i="4"/>
  <c r="P218" i="1" s="1"/>
  <c r="S60" i="4"/>
  <c r="S217" i="1" s="1"/>
  <c r="R60" i="4"/>
  <c r="R217" i="1" s="1"/>
  <c r="AF217" i="1" s="1"/>
  <c r="Q60" i="4"/>
  <c r="Q217" i="1" s="1"/>
  <c r="P60" i="4"/>
  <c r="P217" i="1" s="1"/>
  <c r="S59" i="4"/>
  <c r="S216" i="1" s="1"/>
  <c r="R59" i="4"/>
  <c r="R216" i="1" s="1"/>
  <c r="AF216" i="1" s="1"/>
  <c r="Q59" i="4"/>
  <c r="Q216" i="1" s="1"/>
  <c r="P59" i="4"/>
  <c r="P216" i="1" s="1"/>
  <c r="S58" i="4"/>
  <c r="S215" i="1" s="1"/>
  <c r="R58" i="4"/>
  <c r="R215" i="1" s="1"/>
  <c r="AF215" i="1" s="1"/>
  <c r="Q58" i="4"/>
  <c r="Q215" i="1" s="1"/>
  <c r="P58" i="4"/>
  <c r="P215" i="1" s="1"/>
  <c r="S57" i="4"/>
  <c r="S214" i="1" s="1"/>
  <c r="R57" i="4"/>
  <c r="R214" i="1" s="1"/>
  <c r="AF214" i="1" s="1"/>
  <c r="Q57" i="4"/>
  <c r="Q214" i="1" s="1"/>
  <c r="P57" i="4"/>
  <c r="P214" i="1" s="1"/>
  <c r="S56" i="4"/>
  <c r="S213" i="1" s="1"/>
  <c r="R56" i="4"/>
  <c r="R213" i="1" s="1"/>
  <c r="AF213" i="1" s="1"/>
  <c r="Q56" i="4"/>
  <c r="Q213" i="1" s="1"/>
  <c r="P56" i="4"/>
  <c r="P213" i="1" s="1"/>
  <c r="S55" i="4"/>
  <c r="S212" i="1" s="1"/>
  <c r="R55" i="4"/>
  <c r="R212" i="1" s="1"/>
  <c r="AF212" i="1" s="1"/>
  <c r="Q55" i="4"/>
  <c r="Q212" i="1" s="1"/>
  <c r="P55" i="4"/>
  <c r="P212" i="1" s="1"/>
  <c r="S54" i="4"/>
  <c r="S211" i="1" s="1"/>
  <c r="R54" i="4"/>
  <c r="R211" i="1" s="1"/>
  <c r="AF211" i="1" s="1"/>
  <c r="Q54" i="4"/>
  <c r="Q211" i="1" s="1"/>
  <c r="P54" i="4"/>
  <c r="P211" i="1" s="1"/>
  <c r="S53" i="4"/>
  <c r="S210" i="1" s="1"/>
  <c r="R53" i="4"/>
  <c r="R210" i="1" s="1"/>
  <c r="AF210" i="1" s="1"/>
  <c r="Q53" i="4"/>
  <c r="Q210" i="1" s="1"/>
  <c r="P53" i="4"/>
  <c r="P210" i="1" s="1"/>
  <c r="S52" i="4"/>
  <c r="S209" i="1" s="1"/>
  <c r="R52" i="4"/>
  <c r="R209" i="1" s="1"/>
  <c r="AF209" i="1" s="1"/>
  <c r="Q52" i="4"/>
  <c r="Q209" i="1" s="1"/>
  <c r="P52" i="4"/>
  <c r="P209" i="1" s="1"/>
  <c r="S51" i="4"/>
  <c r="S208" i="1" s="1"/>
  <c r="R51" i="4"/>
  <c r="R208" i="1" s="1"/>
  <c r="AF208" i="1" s="1"/>
  <c r="Q51" i="4"/>
  <c r="Q208" i="1" s="1"/>
  <c r="P51" i="4"/>
  <c r="P208" i="1" s="1"/>
  <c r="S50" i="4"/>
  <c r="S207" i="1" s="1"/>
  <c r="R50" i="4"/>
  <c r="R207" i="1" s="1"/>
  <c r="AF207" i="1" s="1"/>
  <c r="Q50" i="4"/>
  <c r="Q207" i="1" s="1"/>
  <c r="P50" i="4"/>
  <c r="P207" i="1" s="1"/>
  <c r="S49" i="4"/>
  <c r="S206" i="1" s="1"/>
  <c r="R49" i="4"/>
  <c r="R206" i="1" s="1"/>
  <c r="AF206" i="1" s="1"/>
  <c r="Q49" i="4"/>
  <c r="Q206" i="1" s="1"/>
  <c r="P49" i="4"/>
  <c r="W71" i="3"/>
  <c r="S194" i="1" s="1"/>
  <c r="V71" i="3"/>
  <c r="R194" i="1" s="1"/>
  <c r="U71" i="3"/>
  <c r="Q194" i="1" s="1"/>
  <c r="T71" i="3"/>
  <c r="P194" i="1" s="1"/>
  <c r="W70" i="3"/>
  <c r="S193" i="1" s="1"/>
  <c r="V70" i="3"/>
  <c r="R193" i="1" s="1"/>
  <c r="U70" i="3"/>
  <c r="Q193" i="1" s="1"/>
  <c r="T70" i="3"/>
  <c r="P193" i="1" s="1"/>
  <c r="W69" i="3"/>
  <c r="S192" i="1" s="1"/>
  <c r="V69" i="3"/>
  <c r="R192" i="1" s="1"/>
  <c r="U69" i="3"/>
  <c r="Q192" i="1" s="1"/>
  <c r="T69" i="3"/>
  <c r="P192" i="1" s="1"/>
  <c r="W68" i="3"/>
  <c r="S191" i="1" s="1"/>
  <c r="V68" i="3"/>
  <c r="R191" i="1" s="1"/>
  <c r="U68" i="3"/>
  <c r="Q191" i="1" s="1"/>
  <c r="T68" i="3"/>
  <c r="P191" i="1" s="1"/>
  <c r="W67" i="3"/>
  <c r="S190" i="1" s="1"/>
  <c r="V67" i="3"/>
  <c r="R190" i="1" s="1"/>
  <c r="U67" i="3"/>
  <c r="Q190" i="1" s="1"/>
  <c r="T67" i="3"/>
  <c r="P190" i="1" s="1"/>
  <c r="W66" i="3"/>
  <c r="S189" i="1" s="1"/>
  <c r="V66" i="3"/>
  <c r="R189" i="1" s="1"/>
  <c r="U66" i="3"/>
  <c r="Q189" i="1" s="1"/>
  <c r="T66" i="3"/>
  <c r="P189" i="1" s="1"/>
  <c r="W65" i="3"/>
  <c r="S188" i="1" s="1"/>
  <c r="V65" i="3"/>
  <c r="R188" i="1" s="1"/>
  <c r="U65" i="3"/>
  <c r="Q188" i="1" s="1"/>
  <c r="T65" i="3"/>
  <c r="P188" i="1" s="1"/>
  <c r="W64" i="3"/>
  <c r="S187" i="1" s="1"/>
  <c r="V64" i="3"/>
  <c r="R187" i="1" s="1"/>
  <c r="U64" i="3"/>
  <c r="Q187" i="1" s="1"/>
  <c r="T64" i="3"/>
  <c r="P187" i="1" s="1"/>
  <c r="W63" i="3"/>
  <c r="S186" i="1" s="1"/>
  <c r="V63" i="3"/>
  <c r="R186" i="1" s="1"/>
  <c r="U63" i="3"/>
  <c r="Q186" i="1" s="1"/>
  <c r="T63" i="3"/>
  <c r="P186" i="1" s="1"/>
  <c r="W62" i="3"/>
  <c r="S185" i="1" s="1"/>
  <c r="V62" i="3"/>
  <c r="R185" i="1" s="1"/>
  <c r="U62" i="3"/>
  <c r="Q185" i="1" s="1"/>
  <c r="T62" i="3"/>
  <c r="P185" i="1" s="1"/>
  <c r="W61" i="3"/>
  <c r="S184" i="1" s="1"/>
  <c r="V61" i="3"/>
  <c r="R184" i="1" s="1"/>
  <c r="U61" i="3"/>
  <c r="Q184" i="1" s="1"/>
  <c r="T61" i="3"/>
  <c r="P184" i="1" s="1"/>
  <c r="W60" i="3"/>
  <c r="S183" i="1" s="1"/>
  <c r="V60" i="3"/>
  <c r="R183" i="1" s="1"/>
  <c r="U60" i="3"/>
  <c r="Q183" i="1" s="1"/>
  <c r="T60" i="3"/>
  <c r="P183" i="1" s="1"/>
  <c r="W59" i="3"/>
  <c r="S182" i="1" s="1"/>
  <c r="V59" i="3"/>
  <c r="R182" i="1" s="1"/>
  <c r="U59" i="3"/>
  <c r="Q182" i="1" s="1"/>
  <c r="T59" i="3"/>
  <c r="P182" i="1" s="1"/>
  <c r="W58" i="3"/>
  <c r="S181" i="1" s="1"/>
  <c r="V58" i="3"/>
  <c r="R181" i="1" s="1"/>
  <c r="U58" i="3"/>
  <c r="Q181" i="1" s="1"/>
  <c r="T58" i="3"/>
  <c r="P181" i="1" s="1"/>
  <c r="W57" i="3"/>
  <c r="S180" i="1" s="1"/>
  <c r="V57" i="3"/>
  <c r="R180" i="1" s="1"/>
  <c r="U57" i="3"/>
  <c r="Q180" i="1" s="1"/>
  <c r="T57" i="3"/>
  <c r="P180" i="1" s="1"/>
  <c r="W56" i="3"/>
  <c r="S179" i="1" s="1"/>
  <c r="V56" i="3"/>
  <c r="R179" i="1" s="1"/>
  <c r="U56" i="3"/>
  <c r="Q179" i="1" s="1"/>
  <c r="T56" i="3"/>
  <c r="P179" i="1" s="1"/>
  <c r="W55" i="3"/>
  <c r="S178" i="1" s="1"/>
  <c r="V55" i="3"/>
  <c r="R178" i="1" s="1"/>
  <c r="U55" i="3"/>
  <c r="Q178" i="1" s="1"/>
  <c r="T55" i="3"/>
  <c r="P178" i="1" s="1"/>
  <c r="W54" i="3"/>
  <c r="S177" i="1" s="1"/>
  <c r="V54" i="3"/>
  <c r="R177" i="1" s="1"/>
  <c r="U54" i="3"/>
  <c r="Q177" i="1" s="1"/>
  <c r="T54" i="3"/>
  <c r="P177" i="1" s="1"/>
  <c r="W53" i="3"/>
  <c r="S176" i="1" s="1"/>
  <c r="V53" i="3"/>
  <c r="R176" i="1" s="1"/>
  <c r="U53" i="3"/>
  <c r="Q176" i="1" s="1"/>
  <c r="T53" i="3"/>
  <c r="P176" i="1" s="1"/>
  <c r="W52" i="3"/>
  <c r="S175" i="1" s="1"/>
  <c r="V52" i="3"/>
  <c r="R175" i="1" s="1"/>
  <c r="U52" i="3"/>
  <c r="Q175" i="1" s="1"/>
  <c r="T52" i="3"/>
  <c r="P175" i="1" s="1"/>
  <c r="W51" i="3"/>
  <c r="S174" i="1" s="1"/>
  <c r="V51" i="3"/>
  <c r="R174" i="1" s="1"/>
  <c r="U51" i="3"/>
  <c r="Q174" i="1" s="1"/>
  <c r="T51" i="3"/>
  <c r="P174" i="1" s="1"/>
  <c r="W50" i="3"/>
  <c r="S173" i="1" s="1"/>
  <c r="V50" i="3"/>
  <c r="R173" i="1" s="1"/>
  <c r="U50" i="3"/>
  <c r="Q173" i="1" s="1"/>
  <c r="T50" i="3"/>
  <c r="P173" i="1" s="1"/>
  <c r="W49" i="3"/>
  <c r="S172" i="1" s="1"/>
  <c r="V49" i="3"/>
  <c r="R172" i="1" s="1"/>
  <c r="U49" i="3"/>
  <c r="Q172" i="1" s="1"/>
  <c r="T49" i="3"/>
  <c r="P172" i="1" s="1"/>
  <c r="W48" i="3"/>
  <c r="S171" i="1" s="1"/>
  <c r="V48" i="3"/>
  <c r="R171" i="1" s="1"/>
  <c r="U48" i="3"/>
  <c r="Q171" i="1" s="1"/>
  <c r="T48" i="3"/>
  <c r="P171" i="1" s="1"/>
  <c r="W47" i="3"/>
  <c r="S170" i="1" s="1"/>
  <c r="V47" i="3"/>
  <c r="R170" i="1" s="1"/>
  <c r="AF170" i="1" s="1"/>
  <c r="U47" i="3"/>
  <c r="Q170" i="1" s="1"/>
  <c r="T47" i="3"/>
  <c r="W46" i="3"/>
  <c r="S169" i="1" s="1"/>
  <c r="V46" i="3"/>
  <c r="R169" i="1" s="1"/>
  <c r="U46" i="3"/>
  <c r="Q169" i="1" s="1"/>
  <c r="T46" i="3"/>
  <c r="P169" i="1" s="1"/>
  <c r="W45" i="3"/>
  <c r="S168" i="1" s="1"/>
  <c r="V45" i="3"/>
  <c r="R168" i="1" s="1"/>
  <c r="U45" i="3"/>
  <c r="Q168" i="1" s="1"/>
  <c r="T45" i="3"/>
  <c r="P168" i="1" s="1"/>
  <c r="W43" i="3"/>
  <c r="S166" i="1" s="1"/>
  <c r="V43" i="3"/>
  <c r="R166" i="1" s="1"/>
  <c r="U43" i="3"/>
  <c r="Q166" i="1" s="1"/>
  <c r="T43" i="3"/>
  <c r="P166" i="1" s="1"/>
  <c r="W39" i="3"/>
  <c r="S162" i="1" s="1"/>
  <c r="V39" i="3"/>
  <c r="R162" i="1" s="1"/>
  <c r="U39" i="3"/>
  <c r="Q162" i="1" s="1"/>
  <c r="T39" i="3"/>
  <c r="P162" i="1" s="1"/>
  <c r="W38" i="3"/>
  <c r="S161" i="1" s="1"/>
  <c r="V38" i="3"/>
  <c r="R161" i="1" s="1"/>
  <c r="U38" i="3"/>
  <c r="Q161" i="1" s="1"/>
  <c r="T38" i="3"/>
  <c r="P161" i="1" s="1"/>
  <c r="W37" i="3"/>
  <c r="S160" i="1" s="1"/>
  <c r="V37" i="3"/>
  <c r="R160" i="1" s="1"/>
  <c r="U37" i="3"/>
  <c r="Q160" i="1" s="1"/>
  <c r="P160" i="1"/>
  <c r="A37" i="4"/>
  <c r="B37" i="4"/>
  <c r="C37" i="4"/>
  <c r="S99" i="2"/>
  <c r="S158" i="1" s="1"/>
  <c r="R99" i="2"/>
  <c r="R158" i="1" s="1"/>
  <c r="Q99" i="2"/>
  <c r="Q158" i="1" s="1"/>
  <c r="P99" i="2"/>
  <c r="P158" i="1" s="1"/>
  <c r="S98" i="2"/>
  <c r="S157" i="1" s="1"/>
  <c r="R98" i="2"/>
  <c r="R157" i="1" s="1"/>
  <c r="Q98" i="2"/>
  <c r="Q157" i="1" s="1"/>
  <c r="P98" i="2"/>
  <c r="P157" i="1" s="1"/>
  <c r="S97" i="2"/>
  <c r="S156" i="1" s="1"/>
  <c r="R97" i="2"/>
  <c r="R156" i="1" s="1"/>
  <c r="Q97" i="2"/>
  <c r="Q156" i="1" s="1"/>
  <c r="P97" i="2"/>
  <c r="P156" i="1" s="1"/>
  <c r="S96" i="2"/>
  <c r="S155" i="1" s="1"/>
  <c r="R96" i="2"/>
  <c r="R155" i="1" s="1"/>
  <c r="Q96" i="2"/>
  <c r="Q155" i="1" s="1"/>
  <c r="P96" i="2"/>
  <c r="P155" i="1" s="1"/>
  <c r="S95" i="2"/>
  <c r="S154" i="1" s="1"/>
  <c r="R95" i="2"/>
  <c r="R154" i="1" s="1"/>
  <c r="Q95" i="2"/>
  <c r="Q154" i="1" s="1"/>
  <c r="P95" i="2"/>
  <c r="P154" i="1" s="1"/>
  <c r="S94" i="2"/>
  <c r="S153" i="1" s="1"/>
  <c r="R94" i="2"/>
  <c r="R153" i="1" s="1"/>
  <c r="Q94" i="2"/>
  <c r="Q153" i="1" s="1"/>
  <c r="P94" i="2"/>
  <c r="P153" i="1" s="1"/>
  <c r="S93" i="2"/>
  <c r="S152" i="1" s="1"/>
  <c r="R93" i="2"/>
  <c r="R152" i="1" s="1"/>
  <c r="Q93" i="2"/>
  <c r="Q152" i="1" s="1"/>
  <c r="P93" i="2"/>
  <c r="P152" i="1" s="1"/>
  <c r="S92" i="2"/>
  <c r="S151" i="1" s="1"/>
  <c r="R92" i="2"/>
  <c r="R151" i="1" s="1"/>
  <c r="Q92" i="2"/>
  <c r="Q151" i="1" s="1"/>
  <c r="P92" i="2"/>
  <c r="P151" i="1" s="1"/>
  <c r="S91" i="2"/>
  <c r="S150" i="1" s="1"/>
  <c r="R91" i="2"/>
  <c r="R150" i="1" s="1"/>
  <c r="Q91" i="2"/>
  <c r="Q150" i="1" s="1"/>
  <c r="P91" i="2"/>
  <c r="P150" i="1" s="1"/>
  <c r="S90" i="2"/>
  <c r="S149" i="1" s="1"/>
  <c r="R90" i="2"/>
  <c r="R149" i="1" s="1"/>
  <c r="Q90" i="2"/>
  <c r="Q149" i="1" s="1"/>
  <c r="P90" i="2"/>
  <c r="P149" i="1" s="1"/>
  <c r="S89" i="2"/>
  <c r="S148" i="1" s="1"/>
  <c r="R89" i="2"/>
  <c r="R148" i="1" s="1"/>
  <c r="Q89" i="2"/>
  <c r="Q148" i="1" s="1"/>
  <c r="P89" i="2"/>
  <c r="P148" i="1" s="1"/>
  <c r="S88" i="2"/>
  <c r="S147" i="1" s="1"/>
  <c r="R88" i="2"/>
  <c r="R147" i="1" s="1"/>
  <c r="Q88" i="2"/>
  <c r="Q147" i="1" s="1"/>
  <c r="P88" i="2"/>
  <c r="P147" i="1" s="1"/>
  <c r="S87" i="2"/>
  <c r="S146" i="1" s="1"/>
  <c r="R87" i="2"/>
  <c r="R146" i="1" s="1"/>
  <c r="Q87" i="2"/>
  <c r="Q146" i="1" s="1"/>
  <c r="P87" i="2"/>
  <c r="P146" i="1" s="1"/>
  <c r="S86" i="2"/>
  <c r="S145" i="1" s="1"/>
  <c r="R86" i="2"/>
  <c r="R145" i="1" s="1"/>
  <c r="Q86" i="2"/>
  <c r="Q145" i="1" s="1"/>
  <c r="P86" i="2"/>
  <c r="P145" i="1" s="1"/>
  <c r="S85" i="2"/>
  <c r="S144" i="1" s="1"/>
  <c r="R85" i="2"/>
  <c r="R144" i="1" s="1"/>
  <c r="Q85" i="2"/>
  <c r="Q144" i="1" s="1"/>
  <c r="P85" i="2"/>
  <c r="P144" i="1" s="1"/>
  <c r="S80" i="2"/>
  <c r="S139" i="1" s="1"/>
  <c r="R80" i="2"/>
  <c r="R139" i="1" s="1"/>
  <c r="Q80" i="2"/>
  <c r="Q139" i="1" s="1"/>
  <c r="P80" i="2"/>
  <c r="P139" i="1" s="1"/>
  <c r="S79" i="2"/>
  <c r="S138" i="1" s="1"/>
  <c r="R79" i="2"/>
  <c r="R138" i="1" s="1"/>
  <c r="Q79" i="2"/>
  <c r="Q138" i="1" s="1"/>
  <c r="P79" i="2"/>
  <c r="P138" i="1" s="1"/>
  <c r="S78" i="2"/>
  <c r="S137" i="1" s="1"/>
  <c r="R78" i="2"/>
  <c r="R137" i="1" s="1"/>
  <c r="Q78" i="2"/>
  <c r="Q137" i="1" s="1"/>
  <c r="P78" i="2"/>
  <c r="P137" i="1" s="1"/>
  <c r="S70" i="2"/>
  <c r="S130" i="1" s="1"/>
  <c r="R70" i="2"/>
  <c r="R130" i="1" s="1"/>
  <c r="Q70" i="2"/>
  <c r="Q130" i="1" s="1"/>
  <c r="P70" i="2"/>
  <c r="O32" i="2"/>
  <c r="O33" i="1" s="1"/>
  <c r="M32" i="2"/>
  <c r="M33" i="1" s="1"/>
  <c r="K32" i="2"/>
  <c r="K33" i="1" s="1"/>
  <c r="I32" i="2"/>
  <c r="I33" i="1" s="1"/>
  <c r="AA50" i="2"/>
  <c r="AA110" i="1" s="1"/>
  <c r="K125" i="5" s="1"/>
  <c r="L125" i="5" s="1"/>
  <c r="X50" i="2"/>
  <c r="U50" i="2"/>
  <c r="R50" i="2"/>
  <c r="R110" i="1" s="1"/>
  <c r="AA54" i="2"/>
  <c r="X54" i="2"/>
  <c r="U54" i="2"/>
  <c r="T54" i="2" s="1"/>
  <c r="T114" i="1" s="1"/>
  <c r="R54" i="2"/>
  <c r="Q54" i="2" s="1"/>
  <c r="Q114" i="1" s="1"/>
  <c r="G54" i="2"/>
  <c r="AA53" i="2"/>
  <c r="X53" i="2"/>
  <c r="U53" i="2"/>
  <c r="R53" i="2"/>
  <c r="P53" i="2" s="1"/>
  <c r="P113" i="1" s="1"/>
  <c r="G53" i="2"/>
  <c r="G113" i="1" s="1"/>
  <c r="AA52" i="2"/>
  <c r="X52" i="2"/>
  <c r="U52" i="2"/>
  <c r="R52" i="2"/>
  <c r="P52" i="2" s="1"/>
  <c r="P112" i="1" s="1"/>
  <c r="G52" i="2"/>
  <c r="G112" i="1" s="1"/>
  <c r="AA51" i="2"/>
  <c r="AA111" i="1" s="1"/>
  <c r="X51" i="2"/>
  <c r="U51" i="2"/>
  <c r="R51" i="2"/>
  <c r="G51" i="2"/>
  <c r="G111" i="1" s="1"/>
  <c r="AB68" i="2"/>
  <c r="Y51" i="2" l="1"/>
  <c r="Y111" i="1" s="1"/>
  <c r="AB73" i="4"/>
  <c r="AB230" i="1" s="1"/>
  <c r="AB65" i="4"/>
  <c r="AC65" i="4" s="1"/>
  <c r="AB61" i="4"/>
  <c r="AB218" i="1" s="1"/>
  <c r="AB69" i="4"/>
  <c r="AB226" i="1" s="1"/>
  <c r="AB75" i="4"/>
  <c r="AB232" i="1" s="1"/>
  <c r="AB67" i="4"/>
  <c r="AC67" i="4" s="1"/>
  <c r="AB55" i="4"/>
  <c r="AB212" i="1" s="1"/>
  <c r="AB71" i="4"/>
  <c r="AB228" i="1" s="1"/>
  <c r="AB63" i="4"/>
  <c r="AB220" i="1" s="1"/>
  <c r="AB74" i="4"/>
  <c r="AB231" i="1" s="1"/>
  <c r="AB70" i="4"/>
  <c r="AB227" i="1" s="1"/>
  <c r="AB66" i="4"/>
  <c r="AB223" i="1" s="1"/>
  <c r="AB62" i="4"/>
  <c r="AC62" i="4" s="1"/>
  <c r="AB51" i="4"/>
  <c r="AC51" i="4" s="1"/>
  <c r="AB76" i="4"/>
  <c r="AB233" i="1" s="1"/>
  <c r="AB72" i="4"/>
  <c r="AB229" i="1" s="1"/>
  <c r="AB68" i="4"/>
  <c r="AC68" i="4" s="1"/>
  <c r="AB64" i="4"/>
  <c r="AC64" i="4" s="1"/>
  <c r="AB59" i="4"/>
  <c r="AC59" i="4" s="1"/>
  <c r="AB57" i="4"/>
  <c r="AB214" i="1" s="1"/>
  <c r="AB53" i="4"/>
  <c r="AC53" i="4" s="1"/>
  <c r="AB58" i="4"/>
  <c r="AB215" i="1" s="1"/>
  <c r="AB54" i="4"/>
  <c r="AC54" i="4" s="1"/>
  <c r="AB50" i="4"/>
  <c r="AB207" i="1" s="1"/>
  <c r="AB60" i="4"/>
  <c r="AB217" i="1" s="1"/>
  <c r="AB56" i="4"/>
  <c r="AC56" i="4" s="1"/>
  <c r="AB52" i="4"/>
  <c r="AB209" i="1" s="1"/>
  <c r="Y50" i="2"/>
  <c r="Y110" i="1" s="1"/>
  <c r="AC68" i="2"/>
  <c r="AB128" i="1"/>
  <c r="U111" i="1"/>
  <c r="K127" i="5"/>
  <c r="L127" i="5" s="1"/>
  <c r="K126" i="5"/>
  <c r="L126" i="5" s="1"/>
  <c r="Q52" i="2"/>
  <c r="Q112" i="1" s="1"/>
  <c r="R112" i="1"/>
  <c r="V52" i="2"/>
  <c r="V112" i="1" s="1"/>
  <c r="X112" i="1"/>
  <c r="T53" i="2"/>
  <c r="T113" i="1" s="1"/>
  <c r="U113" i="1"/>
  <c r="Z53" i="2"/>
  <c r="Z113" i="1" s="1"/>
  <c r="AA113" i="1"/>
  <c r="P54" i="2"/>
  <c r="P114" i="1" s="1"/>
  <c r="R114" i="1"/>
  <c r="W54" i="2"/>
  <c r="W114" i="1" s="1"/>
  <c r="X114" i="1"/>
  <c r="E125" i="5"/>
  <c r="F125" i="5" s="1"/>
  <c r="V50" i="2"/>
  <c r="V110" i="1" s="1"/>
  <c r="X110" i="1"/>
  <c r="I125" i="5" s="1"/>
  <c r="J125" i="5" s="1"/>
  <c r="P51" i="2"/>
  <c r="P111" i="1" s="1"/>
  <c r="R111" i="1"/>
  <c r="V51" i="2"/>
  <c r="V111" i="1" s="1"/>
  <c r="X111" i="1"/>
  <c r="S52" i="2"/>
  <c r="S112" i="1" s="1"/>
  <c r="U112" i="1"/>
  <c r="Y52" i="2"/>
  <c r="Y112" i="1" s="1"/>
  <c r="AA112" i="1"/>
  <c r="Q53" i="2"/>
  <c r="Q113" i="1" s="1"/>
  <c r="R113" i="1"/>
  <c r="V53" i="2"/>
  <c r="V113" i="1" s="1"/>
  <c r="X113" i="1"/>
  <c r="AB54" i="2"/>
  <c r="AB114" i="1" s="1"/>
  <c r="G114" i="1"/>
  <c r="S54" i="2"/>
  <c r="S114" i="1" s="1"/>
  <c r="U114" i="1"/>
  <c r="Y54" i="2"/>
  <c r="Y114" i="1" s="1"/>
  <c r="AA114" i="1"/>
  <c r="S50" i="2"/>
  <c r="S110" i="1" s="1"/>
  <c r="U110" i="1"/>
  <c r="G125" i="5" s="1"/>
  <c r="H125" i="5" s="1"/>
  <c r="S53" i="2"/>
  <c r="S113" i="1" s="1"/>
  <c r="AB70" i="2"/>
  <c r="AB130" i="1" s="1"/>
  <c r="P130" i="1"/>
  <c r="AF47" i="3"/>
  <c r="P170" i="1"/>
  <c r="AB49" i="4"/>
  <c r="AB206" i="1" s="1"/>
  <c r="P206" i="1"/>
  <c r="T52" i="2"/>
  <c r="T112" i="1" s="1"/>
  <c r="Z54" i="2"/>
  <c r="Z114" i="1" s="1"/>
  <c r="W52" i="2"/>
  <c r="W112" i="1" s="1"/>
  <c r="Z52" i="2"/>
  <c r="Z112" i="1" s="1"/>
  <c r="AB53" i="2"/>
  <c r="AB113" i="1" s="1"/>
  <c r="P50" i="2"/>
  <c r="P110" i="1" s="1"/>
  <c r="V54" i="2"/>
  <c r="V114" i="1" s="1"/>
  <c r="Y53" i="2"/>
  <c r="Y113" i="1" s="1"/>
  <c r="S51" i="2"/>
  <c r="AB52" i="2"/>
  <c r="W53" i="2"/>
  <c r="W113" i="1" s="1"/>
  <c r="Q51" i="2"/>
  <c r="Q111" i="1" s="1"/>
  <c r="AB51" i="2"/>
  <c r="AC73" i="4" l="1"/>
  <c r="AC230" i="1" s="1"/>
  <c r="AC69" i="4"/>
  <c r="AC226" i="1" s="1"/>
  <c r="AC60" i="4"/>
  <c r="AC217" i="1" s="1"/>
  <c r="AB225" i="1"/>
  <c r="AC70" i="4"/>
  <c r="AD70" i="4" s="1"/>
  <c r="AC63" i="4"/>
  <c r="AD63" i="4" s="1"/>
  <c r="AC74" i="4"/>
  <c r="AD74" i="4" s="1"/>
  <c r="AC61" i="4"/>
  <c r="AC218" i="1" s="1"/>
  <c r="AB213" i="1"/>
  <c r="AB222" i="1"/>
  <c r="AB221" i="1"/>
  <c r="AB208" i="1"/>
  <c r="AC58" i="4"/>
  <c r="AC215" i="1" s="1"/>
  <c r="AB224" i="1"/>
  <c r="AC75" i="4"/>
  <c r="AD75" i="4" s="1"/>
  <c r="AB219" i="1"/>
  <c r="AC76" i="4"/>
  <c r="AD76" i="4" s="1"/>
  <c r="AB210" i="1"/>
  <c r="AF52" i="2"/>
  <c r="AC55" i="4"/>
  <c r="AC212" i="1" s="1"/>
  <c r="AB216" i="1"/>
  <c r="AC54" i="2"/>
  <c r="AC114" i="1" s="1"/>
  <c r="AC71" i="4"/>
  <c r="AD71" i="4" s="1"/>
  <c r="AC66" i="4"/>
  <c r="AC223" i="1" s="1"/>
  <c r="AC72" i="4"/>
  <c r="AD72" i="4" s="1"/>
  <c r="AC57" i="4"/>
  <c r="AD57" i="4" s="1"/>
  <c r="AC70" i="2"/>
  <c r="AD70" i="2" s="1"/>
  <c r="AD130" i="1" s="1"/>
  <c r="AC50" i="4"/>
  <c r="AD50" i="4" s="1"/>
  <c r="AB211" i="1"/>
  <c r="AC52" i="4"/>
  <c r="AC209" i="1" s="1"/>
  <c r="AF54" i="2"/>
  <c r="AF53" i="2"/>
  <c r="AC53" i="2"/>
  <c r="AC113" i="1" s="1"/>
  <c r="AC52" i="2"/>
  <c r="AC112" i="1" s="1"/>
  <c r="AB112" i="1"/>
  <c r="G126" i="5"/>
  <c r="H126" i="5" s="1"/>
  <c r="G127" i="5"/>
  <c r="H127" i="5" s="1"/>
  <c r="AF113" i="1"/>
  <c r="AC51" i="2"/>
  <c r="AB111" i="1"/>
  <c r="AF114" i="1"/>
  <c r="I126" i="5"/>
  <c r="J126" i="5" s="1"/>
  <c r="I127" i="5"/>
  <c r="J127" i="5" s="1"/>
  <c r="E127" i="5"/>
  <c r="F127" i="5" s="1"/>
  <c r="E126" i="5"/>
  <c r="F126" i="5" s="1"/>
  <c r="S111" i="1"/>
  <c r="AD68" i="2"/>
  <c r="AC128" i="1"/>
  <c r="AF112" i="1"/>
  <c r="AF110" i="1"/>
  <c r="AF111" i="1"/>
  <c r="AB170" i="1"/>
  <c r="AG47" i="3"/>
  <c r="AD54" i="4"/>
  <c r="AC211" i="1"/>
  <c r="AD62" i="4"/>
  <c r="AC219" i="1"/>
  <c r="AD56" i="4"/>
  <c r="AC213" i="1"/>
  <c r="AD64" i="4"/>
  <c r="AC221" i="1"/>
  <c r="AD51" i="4"/>
  <c r="AC208" i="1"/>
  <c r="AD59" i="4"/>
  <c r="AC216" i="1"/>
  <c r="AD67" i="4"/>
  <c r="AC224" i="1"/>
  <c r="AD65" i="4"/>
  <c r="AC222" i="1"/>
  <c r="AC49" i="4"/>
  <c r="AD68" i="4"/>
  <c r="AC225" i="1"/>
  <c r="AD53" i="4"/>
  <c r="AC210" i="1"/>
  <c r="G36" i="2"/>
  <c r="G37" i="1" s="1"/>
  <c r="AF37" i="1" s="1"/>
  <c r="G35" i="2"/>
  <c r="G34" i="2"/>
  <c r="G35" i="1" s="1"/>
  <c r="AF35" i="1" s="1"/>
  <c r="G39" i="2"/>
  <c r="G40" i="1" s="1"/>
  <c r="AF40" i="1" s="1"/>
  <c r="G38" i="2"/>
  <c r="AB38" i="2" s="1"/>
  <c r="G37" i="2"/>
  <c r="AB37" i="2" s="1"/>
  <c r="G41" i="2"/>
  <c r="G42" i="1" s="1"/>
  <c r="AF42" i="1" s="1"/>
  <c r="G40" i="2"/>
  <c r="G41" i="1" s="1"/>
  <c r="AF41" i="1" s="1"/>
  <c r="G42" i="2"/>
  <c r="G43" i="1" s="1"/>
  <c r="AF43" i="1" s="1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G48" i="4"/>
  <c r="G205" i="1" s="1"/>
  <c r="AF205" i="1" s="1"/>
  <c r="G203" i="1"/>
  <c r="G202" i="1"/>
  <c r="G39" i="4"/>
  <c r="G196" i="1" s="1"/>
  <c r="C39" i="4"/>
  <c r="C196" i="1" s="1"/>
  <c r="C195" i="1"/>
  <c r="AF34" i="4"/>
  <c r="AB34" i="4"/>
  <c r="AB103" i="1" s="1"/>
  <c r="AF33" i="4"/>
  <c r="AB33" i="4"/>
  <c r="AF32" i="4"/>
  <c r="AB32" i="4"/>
  <c r="AB101" i="1" s="1"/>
  <c r="AF31" i="4"/>
  <c r="AB31" i="4"/>
  <c r="AF30" i="4"/>
  <c r="AB30" i="4"/>
  <c r="AF29" i="4"/>
  <c r="AB29" i="4"/>
  <c r="AF28" i="4"/>
  <c r="AB28" i="4"/>
  <c r="AF27" i="4"/>
  <c r="AB27" i="4"/>
  <c r="AF26" i="4"/>
  <c r="AB26" i="4"/>
  <c r="AB95" i="1" s="1"/>
  <c r="AF25" i="4"/>
  <c r="AB25" i="4"/>
  <c r="AF24" i="4"/>
  <c r="AB24" i="4"/>
  <c r="AB93" i="1" s="1"/>
  <c r="AF23" i="4"/>
  <c r="AB23" i="4"/>
  <c r="AF22" i="4"/>
  <c r="AB22" i="4"/>
  <c r="AF21" i="4"/>
  <c r="AB21" i="4"/>
  <c r="AF20" i="4"/>
  <c r="AB20" i="4"/>
  <c r="AF19" i="4"/>
  <c r="AB19" i="4"/>
  <c r="AF18" i="4"/>
  <c r="AB18" i="4"/>
  <c r="AB87" i="1" s="1"/>
  <c r="G17" i="4"/>
  <c r="AB17" i="4" s="1"/>
  <c r="G16" i="4"/>
  <c r="G15" i="4"/>
  <c r="G14" i="4"/>
  <c r="G83" i="1" s="1"/>
  <c r="AB13" i="4"/>
  <c r="AB82" i="1" s="1"/>
  <c r="G81" i="1"/>
  <c r="AF81" i="1" s="1"/>
  <c r="G9" i="4"/>
  <c r="AB9" i="4" s="1"/>
  <c r="AF8" i="4"/>
  <c r="G7" i="4"/>
  <c r="AB7" i="4" s="1"/>
  <c r="G6" i="4"/>
  <c r="G5" i="4"/>
  <c r="AA4" i="4"/>
  <c r="X4" i="4"/>
  <c r="U4" i="4"/>
  <c r="R4" i="4"/>
  <c r="O4" i="4"/>
  <c r="N4" i="4"/>
  <c r="M4" i="4"/>
  <c r="L4" i="4"/>
  <c r="K4" i="4"/>
  <c r="J4" i="4"/>
  <c r="I4" i="4"/>
  <c r="H4" i="4"/>
  <c r="E4" i="4"/>
  <c r="E36" i="4" s="1"/>
  <c r="D4" i="4"/>
  <c r="D36" i="4" s="1"/>
  <c r="AB3" i="4"/>
  <c r="P3" i="4"/>
  <c r="G3" i="4"/>
  <c r="AE2" i="4" s="1"/>
  <c r="F3" i="4"/>
  <c r="F35" i="4" s="1"/>
  <c r="E3" i="4"/>
  <c r="E35" i="4" s="1"/>
  <c r="D3" i="4"/>
  <c r="D35" i="4" s="1"/>
  <c r="C3" i="4"/>
  <c r="B3" i="4"/>
  <c r="B35" i="4" s="1"/>
  <c r="A3" i="4"/>
  <c r="AK100" i="2"/>
  <c r="AK30" i="2"/>
  <c r="G195" i="1"/>
  <c r="AB8" i="4"/>
  <c r="AB77" i="1" s="1"/>
  <c r="A3" i="3"/>
  <c r="B3" i="3"/>
  <c r="C3" i="3"/>
  <c r="D3" i="3"/>
  <c r="E3" i="3"/>
  <c r="F3" i="3"/>
  <c r="G3" i="3"/>
  <c r="T3" i="3"/>
  <c r="AF3" i="3"/>
  <c r="D4" i="3"/>
  <c r="E4" i="3"/>
  <c r="H4" i="3"/>
  <c r="J4" i="3"/>
  <c r="K4" i="3"/>
  <c r="M4" i="3"/>
  <c r="N4" i="3"/>
  <c r="P4" i="3"/>
  <c r="Q4" i="3"/>
  <c r="S4" i="3"/>
  <c r="V4" i="3"/>
  <c r="Y4" i="3"/>
  <c r="AB4" i="3"/>
  <c r="AE4" i="3"/>
  <c r="J3" i="2"/>
  <c r="J4" i="1" s="1"/>
  <c r="AD69" i="4" l="1"/>
  <c r="AE69" i="4" s="1"/>
  <c r="AE226" i="1" s="1"/>
  <c r="AD73" i="4"/>
  <c r="AD230" i="1" s="1"/>
  <c r="AD53" i="2"/>
  <c r="AD113" i="1" s="1"/>
  <c r="AD66" i="4"/>
  <c r="AD223" i="1" s="1"/>
  <c r="AD60" i="4"/>
  <c r="AD217" i="1" s="1"/>
  <c r="AD61" i="4"/>
  <c r="AD218" i="1" s="1"/>
  <c r="AC227" i="1"/>
  <c r="AC34" i="4"/>
  <c r="AD34" i="4" s="1"/>
  <c r="AD54" i="2"/>
  <c r="AD114" i="1" s="1"/>
  <c r="AD55" i="4"/>
  <c r="AE55" i="4" s="1"/>
  <c r="AE212" i="1" s="1"/>
  <c r="AC233" i="1"/>
  <c r="AC232" i="1"/>
  <c r="AC220" i="1"/>
  <c r="AC231" i="1"/>
  <c r="AD58" i="4"/>
  <c r="AD215" i="1" s="1"/>
  <c r="AC229" i="1"/>
  <c r="AC228" i="1"/>
  <c r="AC214" i="1"/>
  <c r="AB39" i="2"/>
  <c r="AC39" i="2" s="1"/>
  <c r="AF41" i="2"/>
  <c r="AF34" i="2"/>
  <c r="AB34" i="2"/>
  <c r="AB35" i="1" s="1"/>
  <c r="AC130" i="1"/>
  <c r="AB42" i="2"/>
  <c r="AB43" i="1" s="1"/>
  <c r="AB40" i="2"/>
  <c r="AB41" i="1" s="1"/>
  <c r="AD52" i="4"/>
  <c r="AD209" i="1" s="1"/>
  <c r="AC207" i="1"/>
  <c r="AB86" i="1"/>
  <c r="AC17" i="4"/>
  <c r="AC86" i="1" s="1"/>
  <c r="AC13" i="4"/>
  <c r="AC82" i="1" s="1"/>
  <c r="AF39" i="2"/>
  <c r="AF40" i="2"/>
  <c r="AB36" i="2"/>
  <c r="AC36" i="2" s="1"/>
  <c r="AB39" i="1"/>
  <c r="AC38" i="2"/>
  <c r="AD38" i="2" s="1"/>
  <c r="AD39" i="1" s="1"/>
  <c r="AB12" i="4"/>
  <c r="AC12" i="4" s="1"/>
  <c r="AF12" i="4"/>
  <c r="AF42" i="2"/>
  <c r="AF36" i="2"/>
  <c r="AD52" i="2"/>
  <c r="AF5" i="4"/>
  <c r="G74" i="1"/>
  <c r="AF74" i="1" s="1"/>
  <c r="AF9" i="4"/>
  <c r="G78" i="1"/>
  <c r="AF78" i="1" s="1"/>
  <c r="AC22" i="4"/>
  <c r="AB91" i="1"/>
  <c r="AC30" i="4"/>
  <c r="AB99" i="1"/>
  <c r="AC8" i="4"/>
  <c r="AC7" i="4"/>
  <c r="AB76" i="1"/>
  <c r="AB41" i="2"/>
  <c r="AC41" i="2" s="1"/>
  <c r="AC26" i="4"/>
  <c r="AC24" i="4"/>
  <c r="AF6" i="4"/>
  <c r="G75" i="1"/>
  <c r="AF75" i="1" s="1"/>
  <c r="AF10" i="4"/>
  <c r="G79" i="1"/>
  <c r="AF79" i="1" s="1"/>
  <c r="AB15" i="4"/>
  <c r="G84" i="1"/>
  <c r="AF84" i="1" s="1"/>
  <c r="AC9" i="4"/>
  <c r="AB78" i="1"/>
  <c r="AC20" i="4"/>
  <c r="AB89" i="1"/>
  <c r="AC28" i="4"/>
  <c r="AB97" i="1"/>
  <c r="AB5" i="4"/>
  <c r="AF14" i="4"/>
  <c r="AC18" i="4"/>
  <c r="AC32" i="4"/>
  <c r="AF7" i="4"/>
  <c r="G76" i="1"/>
  <c r="AF76" i="1" s="1"/>
  <c r="AB16" i="4"/>
  <c r="G85" i="1"/>
  <c r="AF85" i="1" s="1"/>
  <c r="AC19" i="4"/>
  <c r="AB88" i="1"/>
  <c r="AC21" i="4"/>
  <c r="AB90" i="1"/>
  <c r="AC23" i="4"/>
  <c r="AB92" i="1"/>
  <c r="AC25" i="4"/>
  <c r="AB94" i="1"/>
  <c r="AC27" i="4"/>
  <c r="AB96" i="1"/>
  <c r="AC29" i="4"/>
  <c r="AB98" i="1"/>
  <c r="AC31" i="4"/>
  <c r="AB100" i="1"/>
  <c r="AC33" i="4"/>
  <c r="AB102" i="1"/>
  <c r="AB14" i="4"/>
  <c r="AF13" i="4"/>
  <c r="G82" i="1"/>
  <c r="AF82" i="1" s="1"/>
  <c r="AF17" i="4"/>
  <c r="G86" i="1"/>
  <c r="AF86" i="1" s="1"/>
  <c r="AF37" i="2"/>
  <c r="G38" i="1"/>
  <c r="AF38" i="1" s="1"/>
  <c r="AB35" i="2"/>
  <c r="G36" i="1"/>
  <c r="AF36" i="1" s="1"/>
  <c r="AE68" i="2"/>
  <c r="AE128" i="1" s="1"/>
  <c r="AD128" i="1"/>
  <c r="AD51" i="2"/>
  <c r="AC111" i="1"/>
  <c r="AC37" i="2"/>
  <c r="AB38" i="1"/>
  <c r="AF38" i="2"/>
  <c r="G39" i="1"/>
  <c r="AF39" i="1" s="1"/>
  <c r="AE53" i="4"/>
  <c r="AE210" i="1" s="1"/>
  <c r="AD210" i="1"/>
  <c r="AE63" i="4"/>
  <c r="AE220" i="1" s="1"/>
  <c r="AD220" i="1"/>
  <c r="AE68" i="4"/>
  <c r="AE225" i="1" s="1"/>
  <c r="AD225" i="1"/>
  <c r="AE65" i="4"/>
  <c r="AE222" i="1" s="1"/>
  <c r="AD222" i="1"/>
  <c r="AE75" i="4"/>
  <c r="AE232" i="1" s="1"/>
  <c r="AD232" i="1"/>
  <c r="AE59" i="4"/>
  <c r="AE216" i="1" s="1"/>
  <c r="AD216" i="1"/>
  <c r="AE72" i="4"/>
  <c r="AE229" i="1" s="1"/>
  <c r="AD229" i="1"/>
  <c r="AE56" i="4"/>
  <c r="AE213" i="1" s="1"/>
  <c r="AD213" i="1"/>
  <c r="AE62" i="4"/>
  <c r="AE219" i="1" s="1"/>
  <c r="AD219" i="1"/>
  <c r="AE76" i="4"/>
  <c r="AE233" i="1" s="1"/>
  <c r="AD233" i="1"/>
  <c r="AE71" i="4"/>
  <c r="AE228" i="1" s="1"/>
  <c r="AD228" i="1"/>
  <c r="AE50" i="4"/>
  <c r="AE207" i="1" s="1"/>
  <c r="AD207" i="1"/>
  <c r="AH47" i="3"/>
  <c r="AC170" i="1"/>
  <c r="AD49" i="4"/>
  <c r="AC206" i="1"/>
  <c r="AE57" i="4"/>
  <c r="AE214" i="1" s="1"/>
  <c r="AD214" i="1"/>
  <c r="AE67" i="4"/>
  <c r="AE224" i="1" s="1"/>
  <c r="AD224" i="1"/>
  <c r="AE51" i="4"/>
  <c r="AE208" i="1" s="1"/>
  <c r="AD208" i="1"/>
  <c r="AE64" i="4"/>
  <c r="AE221" i="1" s="1"/>
  <c r="AD221" i="1"/>
  <c r="AE70" i="4"/>
  <c r="AE227" i="1" s="1"/>
  <c r="AD227" i="1"/>
  <c r="AE54" i="4"/>
  <c r="AE211" i="1" s="1"/>
  <c r="AD211" i="1"/>
  <c r="AE74" i="4"/>
  <c r="AE231" i="1" s="1"/>
  <c r="AD231" i="1"/>
  <c r="AB10" i="4"/>
  <c r="AF16" i="4"/>
  <c r="AF35" i="2"/>
  <c r="AF15" i="4"/>
  <c r="AB6" i="4"/>
  <c r="Y60" i="2"/>
  <c r="AC35" i="3" s="1"/>
  <c r="U60" i="2"/>
  <c r="U120" i="1" s="1"/>
  <c r="AB4" i="2"/>
  <c r="H3" i="4"/>
  <c r="H3" i="3"/>
  <c r="L3" i="2"/>
  <c r="N3" i="3" s="1"/>
  <c r="J3" i="4"/>
  <c r="S4" i="2"/>
  <c r="K3" i="3"/>
  <c r="Q50" i="2"/>
  <c r="Q110" i="1" s="1"/>
  <c r="AC4" i="2"/>
  <c r="A34" i="3"/>
  <c r="A35" i="4" s="1"/>
  <c r="B34" i="3"/>
  <c r="D34" i="3"/>
  <c r="E34" i="3"/>
  <c r="F34" i="3"/>
  <c r="H34" i="3"/>
  <c r="H35" i="4" s="1"/>
  <c r="T34" i="3"/>
  <c r="P35" i="4" s="1"/>
  <c r="AF34" i="3"/>
  <c r="AB35" i="4" s="1"/>
  <c r="B35" i="3"/>
  <c r="D35" i="3"/>
  <c r="E35" i="3"/>
  <c r="F35" i="3"/>
  <c r="AJ47" i="3"/>
  <c r="G71" i="3"/>
  <c r="AJ71" i="3" s="1"/>
  <c r="G70" i="3"/>
  <c r="AJ70" i="3" s="1"/>
  <c r="G69" i="3"/>
  <c r="G68" i="3"/>
  <c r="G67" i="3"/>
  <c r="G66" i="3"/>
  <c r="AJ66" i="3" s="1"/>
  <c r="G65" i="3"/>
  <c r="G64" i="3"/>
  <c r="G63" i="3"/>
  <c r="G62" i="3"/>
  <c r="G61" i="3"/>
  <c r="AJ61" i="3" s="1"/>
  <c r="G60" i="3"/>
  <c r="G59" i="3"/>
  <c r="G58" i="3"/>
  <c r="AJ58" i="3" s="1"/>
  <c r="G57" i="3"/>
  <c r="G56" i="3"/>
  <c r="G55" i="3"/>
  <c r="AJ55" i="3" s="1"/>
  <c r="G54" i="3"/>
  <c r="AJ54" i="3" s="1"/>
  <c r="G53" i="3"/>
  <c r="G52" i="3"/>
  <c r="G51" i="3"/>
  <c r="G50" i="3"/>
  <c r="AJ50" i="3" s="1"/>
  <c r="G49" i="3"/>
  <c r="G48" i="3"/>
  <c r="AJ48" i="3" s="1"/>
  <c r="G46" i="3"/>
  <c r="G45" i="3"/>
  <c r="G43" i="3"/>
  <c r="G164" i="1"/>
  <c r="G40" i="3"/>
  <c r="G163" i="1" s="1"/>
  <c r="G39" i="3"/>
  <c r="AJ39" i="3" s="1"/>
  <c r="G38" i="3"/>
  <c r="G37" i="3"/>
  <c r="G36" i="3"/>
  <c r="C36" i="3"/>
  <c r="C159" i="1" s="1"/>
  <c r="AE33" i="3"/>
  <c r="AB33" i="3"/>
  <c r="X73" i="1" s="1"/>
  <c r="Y33" i="3"/>
  <c r="U73" i="1" s="1"/>
  <c r="V33" i="3"/>
  <c r="G33" i="3"/>
  <c r="G73" i="1" s="1"/>
  <c r="AE32" i="3"/>
  <c r="AB32" i="3"/>
  <c r="X72" i="1" s="1"/>
  <c r="Y32" i="3"/>
  <c r="V32" i="3"/>
  <c r="R72" i="1" s="1"/>
  <c r="G32" i="3"/>
  <c r="G72" i="1" s="1"/>
  <c r="AE31" i="3"/>
  <c r="AA71" i="1" s="1"/>
  <c r="AB31" i="3"/>
  <c r="Y31" i="3"/>
  <c r="V31" i="3"/>
  <c r="G31" i="3"/>
  <c r="G71" i="1" s="1"/>
  <c r="AE30" i="3"/>
  <c r="AB30" i="3"/>
  <c r="Y30" i="3"/>
  <c r="V30" i="3"/>
  <c r="R70" i="1" s="1"/>
  <c r="G30" i="3"/>
  <c r="G70" i="1" s="1"/>
  <c r="AE29" i="3"/>
  <c r="AB29" i="3"/>
  <c r="X69" i="1" s="1"/>
  <c r="Y29" i="3"/>
  <c r="U69" i="1" s="1"/>
  <c r="V29" i="3"/>
  <c r="T29" i="3" s="1"/>
  <c r="P69" i="1" s="1"/>
  <c r="AE28" i="3"/>
  <c r="AB28" i="3"/>
  <c r="Y28" i="3"/>
  <c r="U68" i="1" s="1"/>
  <c r="V28" i="3"/>
  <c r="G28" i="3"/>
  <c r="G68" i="1" s="1"/>
  <c r="AE27" i="3"/>
  <c r="AB27" i="3"/>
  <c r="X67" i="1" s="1"/>
  <c r="Y27" i="3"/>
  <c r="V27" i="3"/>
  <c r="R67" i="1" s="1"/>
  <c r="G27" i="3"/>
  <c r="G67" i="1" s="1"/>
  <c r="AE26" i="3"/>
  <c r="AA66" i="1" s="1"/>
  <c r="AB26" i="3"/>
  <c r="Y26" i="3"/>
  <c r="U66" i="1" s="1"/>
  <c r="V26" i="3"/>
  <c r="G26" i="3"/>
  <c r="G66" i="1" s="1"/>
  <c r="AE25" i="3"/>
  <c r="AB25" i="3"/>
  <c r="Y25" i="3"/>
  <c r="V25" i="3"/>
  <c r="R65" i="1" s="1"/>
  <c r="G25" i="3"/>
  <c r="G65" i="1" s="1"/>
  <c r="AE24" i="3"/>
  <c r="AB24" i="3"/>
  <c r="X64" i="1" s="1"/>
  <c r="Y24" i="3"/>
  <c r="U64" i="1" s="1"/>
  <c r="V24" i="3"/>
  <c r="G24" i="3"/>
  <c r="G64" i="1" s="1"/>
  <c r="AE23" i="3"/>
  <c r="AB23" i="3"/>
  <c r="Y23" i="3"/>
  <c r="V23" i="3"/>
  <c r="G23" i="3"/>
  <c r="G63" i="1" s="1"/>
  <c r="G22" i="3"/>
  <c r="G62" i="1" s="1"/>
  <c r="AF62" i="1" s="1"/>
  <c r="G21" i="3"/>
  <c r="AJ21" i="3" s="1"/>
  <c r="G20" i="3"/>
  <c r="AJ20" i="3" s="1"/>
  <c r="G19" i="3"/>
  <c r="AF19" i="3" s="1"/>
  <c r="AB59" i="1" s="1"/>
  <c r="G18" i="3"/>
  <c r="G58" i="1" s="1"/>
  <c r="AF58" i="1" s="1"/>
  <c r="G17" i="3"/>
  <c r="AF17" i="3" s="1"/>
  <c r="AB57" i="1" s="1"/>
  <c r="G16" i="3"/>
  <c r="G15" i="3"/>
  <c r="G14" i="3"/>
  <c r="G54" i="1" s="1"/>
  <c r="AF54" i="1" s="1"/>
  <c r="G13" i="3"/>
  <c r="G12" i="3"/>
  <c r="G52" i="1" s="1"/>
  <c r="AF52" i="1" s="1"/>
  <c r="G11" i="3"/>
  <c r="G10" i="3"/>
  <c r="G50" i="1" s="1"/>
  <c r="AF50" i="1" s="1"/>
  <c r="G9" i="3"/>
  <c r="G49" i="1" s="1"/>
  <c r="G7" i="3"/>
  <c r="G47" i="1" s="1"/>
  <c r="AF47" i="1" s="1"/>
  <c r="X60" i="2"/>
  <c r="X120" i="1" s="1"/>
  <c r="T60" i="2"/>
  <c r="G5" i="3"/>
  <c r="G45" i="1" s="1"/>
  <c r="P4" i="4"/>
  <c r="T4" i="3"/>
  <c r="AI2" i="3"/>
  <c r="Q10" i="4" l="1"/>
  <c r="Q79" i="1" s="1"/>
  <c r="Q11" i="4"/>
  <c r="Q80" i="1" s="1"/>
  <c r="G159" i="1"/>
  <c r="AF36" i="3"/>
  <c r="W4" i="3"/>
  <c r="T51" i="2"/>
  <c r="T111" i="1" s="1"/>
  <c r="G48" i="1"/>
  <c r="AF48" i="1" s="1"/>
  <c r="AF8" i="3"/>
  <c r="AG8" i="3" s="1"/>
  <c r="AH8" i="3" s="1"/>
  <c r="AI8" i="3" s="1"/>
  <c r="G165" i="1"/>
  <c r="AF42" i="3"/>
  <c r="V60" i="2"/>
  <c r="V120" i="1" s="1"/>
  <c r="AD226" i="1"/>
  <c r="AC34" i="2"/>
  <c r="AD34" i="2" s="1"/>
  <c r="AE34" i="2" s="1"/>
  <c r="AC103" i="1"/>
  <c r="Y35" i="3"/>
  <c r="AE73" i="4"/>
  <c r="AE230" i="1" s="1"/>
  <c r="AE61" i="4"/>
  <c r="AE218" i="1" s="1"/>
  <c r="AD17" i="4"/>
  <c r="AD86" i="1" s="1"/>
  <c r="AE66" i="4"/>
  <c r="AE223" i="1" s="1"/>
  <c r="AB37" i="1"/>
  <c r="AE53" i="2"/>
  <c r="U36" i="4"/>
  <c r="AE60" i="4"/>
  <c r="AE217" i="1" s="1"/>
  <c r="AE54" i="2"/>
  <c r="AE114" i="1" s="1"/>
  <c r="AK114" i="1" s="1"/>
  <c r="AD212" i="1"/>
  <c r="AB42" i="1"/>
  <c r="AB40" i="1"/>
  <c r="AE58" i="4"/>
  <c r="AE215" i="1" s="1"/>
  <c r="Z24" i="3"/>
  <c r="V64" i="1" s="1"/>
  <c r="AC40" i="2"/>
  <c r="AC42" i="2"/>
  <c r="AC39" i="1"/>
  <c r="AC31" i="3"/>
  <c r="Y71" i="1" s="1"/>
  <c r="AJ22" i="3"/>
  <c r="AF22" i="3"/>
  <c r="AB62" i="1" s="1"/>
  <c r="AF14" i="3"/>
  <c r="AB54" i="1" s="1"/>
  <c r="AJ14" i="3"/>
  <c r="AF10" i="3"/>
  <c r="AB50" i="1" s="1"/>
  <c r="AJ10" i="3"/>
  <c r="AC26" i="3"/>
  <c r="Y66" i="1" s="1"/>
  <c r="W29" i="3"/>
  <c r="S69" i="1" s="1"/>
  <c r="Z27" i="3"/>
  <c r="V67" i="1" s="1"/>
  <c r="AE52" i="4"/>
  <c r="AE209" i="1" s="1"/>
  <c r="AB81" i="1"/>
  <c r="AD13" i="4"/>
  <c r="AD82" i="1" s="1"/>
  <c r="T30" i="3"/>
  <c r="P70" i="1" s="1"/>
  <c r="T25" i="3"/>
  <c r="P65" i="1" s="1"/>
  <c r="AJ30" i="3"/>
  <c r="W26" i="3"/>
  <c r="S66" i="1" s="1"/>
  <c r="S4" i="4"/>
  <c r="AD112" i="1"/>
  <c r="AE52" i="2"/>
  <c r="AE112" i="1" s="1"/>
  <c r="AF16" i="3"/>
  <c r="AB56" i="1" s="1"/>
  <c r="G56" i="1"/>
  <c r="AF56" i="1" s="1"/>
  <c r="AF52" i="3"/>
  <c r="AG52" i="3" s="1"/>
  <c r="G175" i="1"/>
  <c r="AF175" i="1" s="1"/>
  <c r="AF56" i="3"/>
  <c r="AG56" i="3" s="1"/>
  <c r="G179" i="1"/>
  <c r="AF179" i="1" s="1"/>
  <c r="AF64" i="3"/>
  <c r="AG64" i="3" s="1"/>
  <c r="G187" i="1"/>
  <c r="AF187" i="1" s="1"/>
  <c r="AF68" i="3"/>
  <c r="AG68" i="3" s="1"/>
  <c r="G191" i="1"/>
  <c r="AF191" i="1" s="1"/>
  <c r="AB83" i="1"/>
  <c r="AC14" i="4"/>
  <c r="AD31" i="4"/>
  <c r="AC100" i="1"/>
  <c r="AD23" i="4"/>
  <c r="AC92" i="1"/>
  <c r="AD19" i="4"/>
  <c r="AC88" i="1"/>
  <c r="AC97" i="1"/>
  <c r="AD28" i="4"/>
  <c r="AC15" i="4"/>
  <c r="AB84" i="1"/>
  <c r="T27" i="3"/>
  <c r="P67" i="1" s="1"/>
  <c r="AJ68" i="3"/>
  <c r="AJ13" i="3"/>
  <c r="G53" i="1"/>
  <c r="AF53" i="1" s="1"/>
  <c r="AJ17" i="3"/>
  <c r="G57" i="1"/>
  <c r="AF57" i="1" s="1"/>
  <c r="AF21" i="3"/>
  <c r="AB61" i="1" s="1"/>
  <c r="G61" i="1"/>
  <c r="AF61" i="1" s="1"/>
  <c r="AF39" i="3"/>
  <c r="AG39" i="3" s="1"/>
  <c r="G162" i="1"/>
  <c r="AF162" i="1" s="1"/>
  <c r="AF43" i="3"/>
  <c r="AB166" i="1" s="1"/>
  <c r="G166" i="1"/>
  <c r="AF166" i="1" s="1"/>
  <c r="AF49" i="3"/>
  <c r="AG49" i="3" s="1"/>
  <c r="G172" i="1"/>
  <c r="AF172" i="1" s="1"/>
  <c r="AF53" i="3"/>
  <c r="AG53" i="3" s="1"/>
  <c r="G176" i="1"/>
  <c r="AF176" i="1" s="1"/>
  <c r="AF57" i="3"/>
  <c r="AG57" i="3" s="1"/>
  <c r="G180" i="1"/>
  <c r="AF180" i="1" s="1"/>
  <c r="AF61" i="3"/>
  <c r="AB184" i="1" s="1"/>
  <c r="G184" i="1"/>
  <c r="AF184" i="1" s="1"/>
  <c r="AF65" i="3"/>
  <c r="AG65" i="3" s="1"/>
  <c r="G188" i="1"/>
  <c r="AF188" i="1" s="1"/>
  <c r="AF69" i="3"/>
  <c r="AG69" i="3" s="1"/>
  <c r="G192" i="1"/>
  <c r="AF192" i="1" s="1"/>
  <c r="AD32" i="4"/>
  <c r="AC101" i="1"/>
  <c r="AD24" i="4"/>
  <c r="AC93" i="1"/>
  <c r="AD7" i="4"/>
  <c r="AC76" i="1"/>
  <c r="AC99" i="1"/>
  <c r="AD30" i="4"/>
  <c r="AF20" i="3"/>
  <c r="AB60" i="1" s="1"/>
  <c r="G60" i="1"/>
  <c r="AF60" i="1" s="1"/>
  <c r="AF38" i="3"/>
  <c r="AG38" i="3" s="1"/>
  <c r="G161" i="1"/>
  <c r="AF161" i="1" s="1"/>
  <c r="AF48" i="3"/>
  <c r="AG48" i="3" s="1"/>
  <c r="G171" i="1"/>
  <c r="AF171" i="1" s="1"/>
  <c r="AF60" i="3"/>
  <c r="AG60" i="3" s="1"/>
  <c r="G183" i="1"/>
  <c r="AF183" i="1" s="1"/>
  <c r="AC10" i="4"/>
  <c r="AD10" i="4" s="1"/>
  <c r="AB79" i="1"/>
  <c r="AD27" i="4"/>
  <c r="AC96" i="1"/>
  <c r="AC5" i="4"/>
  <c r="AB74" i="1"/>
  <c r="AF12" i="3"/>
  <c r="AB52" i="1" s="1"/>
  <c r="T32" i="3"/>
  <c r="P72" i="1" s="1"/>
  <c r="AJ16" i="3"/>
  <c r="AF45" i="3"/>
  <c r="AG45" i="3" s="1"/>
  <c r="G168" i="1"/>
  <c r="AF168" i="1" s="1"/>
  <c r="AF50" i="3"/>
  <c r="AG50" i="3" s="1"/>
  <c r="G173" i="1"/>
  <c r="AF173" i="1" s="1"/>
  <c r="AF54" i="3"/>
  <c r="AG54" i="3" s="1"/>
  <c r="G177" i="1"/>
  <c r="AF177" i="1" s="1"/>
  <c r="AF58" i="3"/>
  <c r="AG58" i="3" s="1"/>
  <c r="G181" i="1"/>
  <c r="AF181" i="1" s="1"/>
  <c r="AF62" i="3"/>
  <c r="AG62" i="3" s="1"/>
  <c r="G185" i="1"/>
  <c r="AF185" i="1" s="1"/>
  <c r="AF66" i="3"/>
  <c r="AB189" i="1" s="1"/>
  <c r="G189" i="1"/>
  <c r="AF189" i="1" s="1"/>
  <c r="AF70" i="3"/>
  <c r="AG70" i="3" s="1"/>
  <c r="G193" i="1"/>
  <c r="AF193" i="1" s="1"/>
  <c r="AD12" i="4"/>
  <c r="AC81" i="1"/>
  <c r="AD33" i="4"/>
  <c r="AC102" i="1"/>
  <c r="AD29" i="4"/>
  <c r="AC98" i="1"/>
  <c r="AD25" i="4"/>
  <c r="AC94" i="1"/>
  <c r="AD21" i="4"/>
  <c r="AC90" i="1"/>
  <c r="AB85" i="1"/>
  <c r="AC16" i="4"/>
  <c r="AD18" i="4"/>
  <c r="AC87" i="1"/>
  <c r="AC89" i="1"/>
  <c r="AD20" i="4"/>
  <c r="AD9" i="4"/>
  <c r="AC78" i="1"/>
  <c r="AC95" i="1"/>
  <c r="AD26" i="4"/>
  <c r="AD8" i="4"/>
  <c r="AC77" i="1"/>
  <c r="AC6" i="4"/>
  <c r="AB75" i="1"/>
  <c r="AE34" i="4"/>
  <c r="AE103" i="1" s="1"/>
  <c r="AD103" i="1"/>
  <c r="AJ64" i="3"/>
  <c r="AJ45" i="3"/>
  <c r="AJ12" i="3"/>
  <c r="AF18" i="3"/>
  <c r="AB58" i="1" s="1"/>
  <c r="AJ18" i="3"/>
  <c r="Z32" i="3"/>
  <c r="V72" i="1" s="1"/>
  <c r="W33" i="3"/>
  <c r="S73" i="1" s="1"/>
  <c r="AJ52" i="3"/>
  <c r="W28" i="3"/>
  <c r="S68" i="1" s="1"/>
  <c r="W24" i="3"/>
  <c r="S64" i="1" s="1"/>
  <c r="AJ62" i="3"/>
  <c r="AF11" i="3"/>
  <c r="AB51" i="1" s="1"/>
  <c r="G51" i="1"/>
  <c r="AF51" i="1" s="1"/>
  <c r="AJ15" i="3"/>
  <c r="G55" i="1"/>
  <c r="AF55" i="1" s="1"/>
  <c r="AJ19" i="3"/>
  <c r="G59" i="1"/>
  <c r="AF59" i="1" s="1"/>
  <c r="AJ26" i="3"/>
  <c r="AF37" i="3"/>
  <c r="AG37" i="3" s="1"/>
  <c r="G160" i="1"/>
  <c r="AF160" i="1" s="1"/>
  <c r="AF46" i="3"/>
  <c r="AG46" i="3" s="1"/>
  <c r="G169" i="1"/>
  <c r="AF169" i="1" s="1"/>
  <c r="AF51" i="3"/>
  <c r="AG51" i="3" s="1"/>
  <c r="G174" i="1"/>
  <c r="AF174" i="1" s="1"/>
  <c r="AF55" i="3"/>
  <c r="AG55" i="3" s="1"/>
  <c r="G178" i="1"/>
  <c r="AF178" i="1" s="1"/>
  <c r="AF59" i="3"/>
  <c r="AG59" i="3" s="1"/>
  <c r="G182" i="1"/>
  <c r="AF182" i="1" s="1"/>
  <c r="AF63" i="3"/>
  <c r="AG63" i="3" s="1"/>
  <c r="G186" i="1"/>
  <c r="AF186" i="1" s="1"/>
  <c r="AF67" i="3"/>
  <c r="AG67" i="3" s="1"/>
  <c r="G190" i="1"/>
  <c r="AF190" i="1" s="1"/>
  <c r="AF71" i="3"/>
  <c r="AG71" i="3" s="1"/>
  <c r="G194" i="1"/>
  <c r="AF194" i="1" s="1"/>
  <c r="AE38" i="2"/>
  <c r="AC91" i="1"/>
  <c r="AD22" i="4"/>
  <c r="Z29" i="3"/>
  <c r="V69" i="1" s="1"/>
  <c r="Z33" i="3"/>
  <c r="V73" i="1" s="1"/>
  <c r="X35" i="3"/>
  <c r="T120" i="1"/>
  <c r="AC4" i="4"/>
  <c r="AC5" i="1"/>
  <c r="G2" i="5" s="1"/>
  <c r="H2" i="5" s="1"/>
  <c r="T50" i="2"/>
  <c r="T110" i="1" s="1"/>
  <c r="S5" i="1"/>
  <c r="N3" i="2"/>
  <c r="N4" i="1" s="1"/>
  <c r="L4" i="1"/>
  <c r="AF4" i="3"/>
  <c r="AB5" i="1"/>
  <c r="E2" i="5" s="1"/>
  <c r="F2" i="5" s="1"/>
  <c r="Y36" i="4"/>
  <c r="Y120" i="1"/>
  <c r="AD36" i="2"/>
  <c r="AC37" i="1"/>
  <c r="AD37" i="2"/>
  <c r="AC38" i="1"/>
  <c r="AD41" i="2"/>
  <c r="AC42" i="1"/>
  <c r="AD111" i="1"/>
  <c r="AE51" i="2"/>
  <c r="AE111" i="1" s="1"/>
  <c r="AC35" i="2"/>
  <c r="AB36" i="1"/>
  <c r="AD39" i="2"/>
  <c r="AC40" i="1"/>
  <c r="AJ33" i="3"/>
  <c r="AF30" i="3"/>
  <c r="AB70" i="1" s="1"/>
  <c r="AC23" i="3"/>
  <c r="Y63" i="1" s="1"/>
  <c r="AA63" i="1"/>
  <c r="W25" i="3"/>
  <c r="S65" i="1" s="1"/>
  <c r="U65" i="1"/>
  <c r="AF26" i="3"/>
  <c r="AB66" i="1" s="1"/>
  <c r="R66" i="1"/>
  <c r="AC27" i="3"/>
  <c r="Y67" i="1" s="1"/>
  <c r="AA67" i="1"/>
  <c r="Z28" i="3"/>
  <c r="V68" i="1" s="1"/>
  <c r="X68" i="1"/>
  <c r="W30" i="3"/>
  <c r="S70" i="1" s="1"/>
  <c r="U70" i="1"/>
  <c r="T31" i="3"/>
  <c r="P71" i="1" s="1"/>
  <c r="R71" i="1"/>
  <c r="AC32" i="3"/>
  <c r="Y72" i="1" s="1"/>
  <c r="AA72" i="1"/>
  <c r="T23" i="3"/>
  <c r="P63" i="1" s="1"/>
  <c r="R63" i="1"/>
  <c r="AC24" i="3"/>
  <c r="Y64" i="1" s="1"/>
  <c r="AA64" i="1"/>
  <c r="Z25" i="3"/>
  <c r="V65" i="1" s="1"/>
  <c r="X65" i="1"/>
  <c r="AC28" i="3"/>
  <c r="Y68" i="1" s="1"/>
  <c r="AA68" i="1"/>
  <c r="AC29" i="3"/>
  <c r="Y69" i="1" s="1"/>
  <c r="AA69" i="1"/>
  <c r="Z30" i="3"/>
  <c r="V70" i="1" s="1"/>
  <c r="X70" i="1"/>
  <c r="W31" i="3"/>
  <c r="S71" i="1" s="1"/>
  <c r="U71" i="1"/>
  <c r="AC33" i="3"/>
  <c r="Y73" i="1" s="1"/>
  <c r="AA73" i="1"/>
  <c r="AE49" i="4"/>
  <c r="AE206" i="1" s="1"/>
  <c r="AD206" i="1"/>
  <c r="W23" i="3"/>
  <c r="S63" i="1" s="1"/>
  <c r="U63" i="1"/>
  <c r="AF24" i="3"/>
  <c r="AB64" i="1" s="1"/>
  <c r="R64" i="1"/>
  <c r="AJ25" i="3"/>
  <c r="AC25" i="3"/>
  <c r="Y65" i="1" s="1"/>
  <c r="AA65" i="1"/>
  <c r="Z26" i="3"/>
  <c r="V66" i="1" s="1"/>
  <c r="X66" i="1"/>
  <c r="W27" i="3"/>
  <c r="S67" i="1" s="1"/>
  <c r="U67" i="1"/>
  <c r="T28" i="3"/>
  <c r="P68" i="1" s="1"/>
  <c r="R68" i="1"/>
  <c r="AF29" i="3"/>
  <c r="AB69" i="1" s="1"/>
  <c r="R69" i="1"/>
  <c r="AC30" i="3"/>
  <c r="Y70" i="1" s="1"/>
  <c r="AA70" i="1"/>
  <c r="Z31" i="3"/>
  <c r="V71" i="1" s="1"/>
  <c r="X71" i="1"/>
  <c r="W32" i="3"/>
  <c r="S72" i="1" s="1"/>
  <c r="U72" i="1"/>
  <c r="T33" i="3"/>
  <c r="P73" i="1" s="1"/>
  <c r="R73" i="1"/>
  <c r="Z23" i="3"/>
  <c r="V63" i="1" s="1"/>
  <c r="X63" i="1"/>
  <c r="AD170" i="1"/>
  <c r="AI47" i="3"/>
  <c r="AE170" i="1" s="1"/>
  <c r="T24" i="3"/>
  <c r="P64" i="1" s="1"/>
  <c r="AF25" i="3"/>
  <c r="AB65" i="1" s="1"/>
  <c r="AF13" i="3"/>
  <c r="AB53" i="1" s="1"/>
  <c r="AJ57" i="3"/>
  <c r="AJ69" i="3"/>
  <c r="AJ53" i="3"/>
  <c r="AJ23" i="3"/>
  <c r="AJ27" i="3"/>
  <c r="AJ29" i="3"/>
  <c r="AJ32" i="3"/>
  <c r="AF33" i="3"/>
  <c r="AB73" i="1" s="1"/>
  <c r="AJ65" i="3"/>
  <c r="AJ49" i="3"/>
  <c r="AB4" i="4"/>
  <c r="AG4" i="3"/>
  <c r="AJ24" i="3"/>
  <c r="AJ28" i="3"/>
  <c r="AF27" i="3"/>
  <c r="AB67" i="1" s="1"/>
  <c r="AF32" i="3"/>
  <c r="AF15" i="3"/>
  <c r="AB55" i="1" s="1"/>
  <c r="AJ67" i="3"/>
  <c r="AJ31" i="3"/>
  <c r="T26" i="3"/>
  <c r="P66" i="1" s="1"/>
  <c r="AJ46" i="3"/>
  <c r="AF23" i="3"/>
  <c r="AF31" i="3"/>
  <c r="AB71" i="1" s="1"/>
  <c r="AJ63" i="3"/>
  <c r="AJ60" i="3"/>
  <c r="AJ51" i="3"/>
  <c r="AJ38" i="3"/>
  <c r="AF28" i="3"/>
  <c r="AB68" i="1" s="1"/>
  <c r="AJ59" i="3"/>
  <c r="AJ56" i="3"/>
  <c r="V4" i="2"/>
  <c r="Z60" i="2"/>
  <c r="Z120" i="1" s="1"/>
  <c r="L3" i="4"/>
  <c r="AD4" i="2"/>
  <c r="Q12" i="4"/>
  <c r="Q81" i="1" s="1"/>
  <c r="Q9" i="4"/>
  <c r="Q78" i="1" s="1"/>
  <c r="Q8" i="4"/>
  <c r="Q77" i="1" s="1"/>
  <c r="Q13" i="4"/>
  <c r="Q82" i="1" s="1"/>
  <c r="Q7" i="4"/>
  <c r="Q76" i="1" s="1"/>
  <c r="Q6" i="4"/>
  <c r="Q75" i="1" s="1"/>
  <c r="T36" i="4"/>
  <c r="AB35" i="3"/>
  <c r="X36" i="4"/>
  <c r="AG19" i="3"/>
  <c r="AC59" i="1" s="1"/>
  <c r="AG17" i="3"/>
  <c r="AC57" i="1" s="1"/>
  <c r="AA58" i="2"/>
  <c r="AA118" i="1" s="1"/>
  <c r="AA57" i="2"/>
  <c r="AA117" i="1" s="1"/>
  <c r="AA56" i="2"/>
  <c r="AA116" i="1" s="1"/>
  <c r="AA55" i="2"/>
  <c r="AA115" i="1" s="1"/>
  <c r="AA49" i="2"/>
  <c r="AA109" i="1" s="1"/>
  <c r="K124" i="5" s="1"/>
  <c r="L124" i="5" s="1"/>
  <c r="AA48" i="2"/>
  <c r="AA108" i="1" s="1"/>
  <c r="K123" i="5" s="1"/>
  <c r="L123" i="5" s="1"/>
  <c r="AA47" i="2"/>
  <c r="AA107" i="1" s="1"/>
  <c r="K122" i="5" s="1"/>
  <c r="L122" i="5" s="1"/>
  <c r="AA46" i="2"/>
  <c r="AA106" i="1" s="1"/>
  <c r="K121" i="5" s="1"/>
  <c r="L121" i="5" s="1"/>
  <c r="S74" i="2" s="1"/>
  <c r="X58" i="2"/>
  <c r="X118" i="1" s="1"/>
  <c r="X57" i="2"/>
  <c r="X117" i="1" s="1"/>
  <c r="X56" i="2"/>
  <c r="X116" i="1" s="1"/>
  <c r="X55" i="2"/>
  <c r="X115" i="1" s="1"/>
  <c r="X49" i="2"/>
  <c r="X109" i="1" s="1"/>
  <c r="I124" i="5" s="1"/>
  <c r="J124" i="5" s="1"/>
  <c r="X48" i="2"/>
  <c r="X108" i="1" s="1"/>
  <c r="I123" i="5" s="1"/>
  <c r="J123" i="5" s="1"/>
  <c r="X47" i="2"/>
  <c r="X107" i="1" s="1"/>
  <c r="I122" i="5" s="1"/>
  <c r="J122" i="5" s="1"/>
  <c r="X46" i="2"/>
  <c r="X106" i="1" s="1"/>
  <c r="I121" i="5" s="1"/>
  <c r="J121" i="5" s="1"/>
  <c r="U58" i="2"/>
  <c r="U118" i="1" s="1"/>
  <c r="U57" i="2"/>
  <c r="U117" i="1" s="1"/>
  <c r="U56" i="2"/>
  <c r="U116" i="1" s="1"/>
  <c r="U55" i="2"/>
  <c r="U115" i="1" s="1"/>
  <c r="U49" i="2"/>
  <c r="U109" i="1" s="1"/>
  <c r="G124" i="5" s="1"/>
  <c r="H124" i="5" s="1"/>
  <c r="Q67" i="2" s="1"/>
  <c r="U48" i="2"/>
  <c r="U108" i="1" s="1"/>
  <c r="G123" i="5" s="1"/>
  <c r="H123" i="5" s="1"/>
  <c r="U47" i="2"/>
  <c r="U107" i="1" s="1"/>
  <c r="G122" i="5" s="1"/>
  <c r="H122" i="5" s="1"/>
  <c r="U46" i="2"/>
  <c r="U106" i="1" s="1"/>
  <c r="G121" i="5" s="1"/>
  <c r="H121" i="5" s="1"/>
  <c r="R58" i="2"/>
  <c r="R118" i="1" s="1"/>
  <c r="R57" i="2"/>
  <c r="R117" i="1" s="1"/>
  <c r="R56" i="2"/>
  <c r="R116" i="1" s="1"/>
  <c r="R55" i="2"/>
  <c r="R115" i="1" s="1"/>
  <c r="R49" i="2"/>
  <c r="R109" i="1" s="1"/>
  <c r="E124" i="5" s="1"/>
  <c r="F124" i="5" s="1"/>
  <c r="R48" i="2"/>
  <c r="R108" i="1" s="1"/>
  <c r="E123" i="5" s="1"/>
  <c r="F123" i="5" s="1"/>
  <c r="R47" i="2"/>
  <c r="R107" i="1" s="1"/>
  <c r="E122" i="5" s="1"/>
  <c r="F122" i="5" s="1"/>
  <c r="P21" i="1"/>
  <c r="P10" i="1"/>
  <c r="P19" i="1"/>
  <c r="T11" i="4" l="1"/>
  <c r="T80" i="1" s="1"/>
  <c r="T6" i="4"/>
  <c r="G12" i="5"/>
  <c r="H12" i="5" s="1"/>
  <c r="G16" i="5"/>
  <c r="H16" i="5" s="1"/>
  <c r="G13" i="5"/>
  <c r="H13" i="5" s="1"/>
  <c r="G17" i="5"/>
  <c r="H17" i="5" s="1"/>
  <c r="G10" i="5"/>
  <c r="H10" i="5" s="1"/>
  <c r="G14" i="5"/>
  <c r="H14" i="5" s="1"/>
  <c r="G18" i="5"/>
  <c r="H18" i="5" s="1"/>
  <c r="G11" i="5"/>
  <c r="H11" i="5" s="1"/>
  <c r="G15" i="5"/>
  <c r="H15" i="5" s="1"/>
  <c r="G19" i="5"/>
  <c r="H19" i="5" s="1"/>
  <c r="E10" i="5"/>
  <c r="F10" i="5" s="1"/>
  <c r="E12" i="5"/>
  <c r="F12" i="5" s="1"/>
  <c r="E14" i="5"/>
  <c r="F14" i="5" s="1"/>
  <c r="E16" i="5"/>
  <c r="F16" i="5" s="1"/>
  <c r="E18" i="5"/>
  <c r="F18" i="5" s="1"/>
  <c r="E11" i="5"/>
  <c r="F11" i="5" s="1"/>
  <c r="E13" i="5"/>
  <c r="F13" i="5" s="1"/>
  <c r="E15" i="5"/>
  <c r="F15" i="5" s="1"/>
  <c r="E17" i="5"/>
  <c r="F17" i="5" s="1"/>
  <c r="E19" i="5"/>
  <c r="F19" i="5" s="1"/>
  <c r="K10" i="5"/>
  <c r="L10" i="5" s="1"/>
  <c r="K14" i="5"/>
  <c r="L14" i="5" s="1"/>
  <c r="K18" i="5"/>
  <c r="L18" i="5" s="1"/>
  <c r="K12" i="5"/>
  <c r="L12" i="5" s="1"/>
  <c r="K16" i="5"/>
  <c r="L16" i="5" s="1"/>
  <c r="K11" i="5"/>
  <c r="L11" i="5" s="1"/>
  <c r="K13" i="5"/>
  <c r="L13" i="5" s="1"/>
  <c r="K15" i="5"/>
  <c r="L15" i="5" s="1"/>
  <c r="K17" i="5"/>
  <c r="L17" i="5" s="1"/>
  <c r="K19" i="5"/>
  <c r="L19" i="5" s="1"/>
  <c r="I11" i="5"/>
  <c r="J11" i="5" s="1"/>
  <c r="I15" i="5"/>
  <c r="J15" i="5" s="1"/>
  <c r="I19" i="5"/>
  <c r="J19" i="5" s="1"/>
  <c r="I10" i="5"/>
  <c r="J10" i="5" s="1"/>
  <c r="I12" i="5"/>
  <c r="J12" i="5" s="1"/>
  <c r="I14" i="5"/>
  <c r="J14" i="5" s="1"/>
  <c r="I16" i="5"/>
  <c r="J16" i="5" s="1"/>
  <c r="I18" i="5"/>
  <c r="J18" i="5" s="1"/>
  <c r="I13" i="5"/>
  <c r="J13" i="5" s="1"/>
  <c r="I17" i="5"/>
  <c r="J17" i="5" s="1"/>
  <c r="Z4" i="3"/>
  <c r="W51" i="2"/>
  <c r="W111" i="1" s="1"/>
  <c r="Z35" i="3"/>
  <c r="T13" i="4"/>
  <c r="T82" i="1" s="1"/>
  <c r="T10" i="4"/>
  <c r="T79" i="1" s="1"/>
  <c r="V36" i="4"/>
  <c r="AD35" i="1"/>
  <c r="AC35" i="1"/>
  <c r="AE17" i="4"/>
  <c r="AE86" i="1" s="1"/>
  <c r="Q3" i="3"/>
  <c r="T8" i="4"/>
  <c r="T77" i="1" s="1"/>
  <c r="N3" i="4"/>
  <c r="T12" i="4"/>
  <c r="T81" i="1" s="1"/>
  <c r="Y4" i="2"/>
  <c r="T75" i="1"/>
  <c r="AK54" i="2"/>
  <c r="AA60" i="2"/>
  <c r="AA120" i="1" s="1"/>
  <c r="T9" i="4"/>
  <c r="T78" i="1" s="1"/>
  <c r="AK53" i="2"/>
  <c r="AE113" i="1"/>
  <c r="AK113" i="1" s="1"/>
  <c r="V4" i="4"/>
  <c r="W11" i="4" s="1"/>
  <c r="W80" i="1" s="1"/>
  <c r="T7" i="4"/>
  <c r="T76" i="1" s="1"/>
  <c r="W60" i="2"/>
  <c r="W120" i="1" s="1"/>
  <c r="AE4" i="2"/>
  <c r="AE5" i="1" s="1"/>
  <c r="K2" i="5" s="1"/>
  <c r="L2" i="5" s="1"/>
  <c r="AK112" i="1"/>
  <c r="AG61" i="3"/>
  <c r="AC184" i="1" s="1"/>
  <c r="AG43" i="3"/>
  <c r="AH43" i="3" s="1"/>
  <c r="AB181" i="1"/>
  <c r="AB161" i="1"/>
  <c r="AG10" i="3"/>
  <c r="AC50" i="1" s="1"/>
  <c r="AB173" i="1"/>
  <c r="AG22" i="3"/>
  <c r="AC62" i="1" s="1"/>
  <c r="AG66" i="3"/>
  <c r="AH66" i="3" s="1"/>
  <c r="AG14" i="3"/>
  <c r="AC54" i="1" s="1"/>
  <c r="AB183" i="1"/>
  <c r="AC43" i="1"/>
  <c r="AD42" i="2"/>
  <c r="AD40" i="2"/>
  <c r="AC41" i="1"/>
  <c r="AE13" i="4"/>
  <c r="AE82" i="1" s="1"/>
  <c r="AG21" i="3"/>
  <c r="AC61" i="1" s="1"/>
  <c r="AB192" i="1"/>
  <c r="AB176" i="1"/>
  <c r="AG16" i="3"/>
  <c r="AC56" i="1" s="1"/>
  <c r="AB191" i="1"/>
  <c r="AB179" i="1"/>
  <c r="AB178" i="1"/>
  <c r="AG12" i="3"/>
  <c r="AC52" i="1" s="1"/>
  <c r="AB169" i="1"/>
  <c r="AB194" i="1"/>
  <c r="AB186" i="1"/>
  <c r="AG33" i="3"/>
  <c r="AC73" i="1" s="1"/>
  <c r="AG27" i="3"/>
  <c r="AC67" i="1" s="1"/>
  <c r="AG29" i="3"/>
  <c r="AC69" i="1" s="1"/>
  <c r="AB190" i="1"/>
  <c r="AB160" i="1"/>
  <c r="AB174" i="1"/>
  <c r="AB175" i="1"/>
  <c r="AB182" i="1"/>
  <c r="AG15" i="3"/>
  <c r="AC55" i="1" s="1"/>
  <c r="AF64" i="1"/>
  <c r="AK52" i="2"/>
  <c r="AG13" i="3"/>
  <c r="AC53" i="1" s="1"/>
  <c r="AD35" i="3"/>
  <c r="AB188" i="1"/>
  <c r="AB180" i="1"/>
  <c r="AB172" i="1"/>
  <c r="AB162" i="1"/>
  <c r="AF72" i="1"/>
  <c r="AF70" i="1"/>
  <c r="AF68" i="1"/>
  <c r="AB187" i="1"/>
  <c r="AB171" i="1"/>
  <c r="AG20" i="3"/>
  <c r="AC60" i="1" s="1"/>
  <c r="AF73" i="1"/>
  <c r="AF69" i="1"/>
  <c r="AF67" i="1"/>
  <c r="AF65" i="1"/>
  <c r="AD97" i="1"/>
  <c r="AE28" i="4"/>
  <c r="AE97" i="1" s="1"/>
  <c r="AD14" i="4"/>
  <c r="AC83" i="1"/>
  <c r="AG18" i="3"/>
  <c r="AC58" i="1" s="1"/>
  <c r="AG26" i="3"/>
  <c r="AC66" i="1" s="1"/>
  <c r="AE39" i="1"/>
  <c r="AK38" i="2"/>
  <c r="AD77" i="1"/>
  <c r="AE8" i="4"/>
  <c r="AE77" i="1" s="1"/>
  <c r="AD78" i="1"/>
  <c r="AE9" i="4"/>
  <c r="AE78" i="1" s="1"/>
  <c r="AE18" i="4"/>
  <c r="AE87" i="1" s="1"/>
  <c r="AD87" i="1"/>
  <c r="AE21" i="4"/>
  <c r="AE90" i="1" s="1"/>
  <c r="AD90" i="1"/>
  <c r="AE29" i="4"/>
  <c r="AE98" i="1" s="1"/>
  <c r="AD98" i="1"/>
  <c r="AD81" i="1"/>
  <c r="AE12" i="4"/>
  <c r="AE81" i="1" s="1"/>
  <c r="AD5" i="4"/>
  <c r="AC74" i="1"/>
  <c r="AC79" i="1"/>
  <c r="AD76" i="1"/>
  <c r="AE7" i="4"/>
  <c r="AE76" i="1" s="1"/>
  <c r="AE32" i="4"/>
  <c r="AE101" i="1" s="1"/>
  <c r="AD101" i="1"/>
  <c r="AE23" i="4"/>
  <c r="AE92" i="1" s="1"/>
  <c r="AD92" i="1"/>
  <c r="AG11" i="3"/>
  <c r="AC51" i="1" s="1"/>
  <c r="AB193" i="1"/>
  <c r="AB185" i="1"/>
  <c r="AB177" i="1"/>
  <c r="AB168" i="1"/>
  <c r="AK51" i="2"/>
  <c r="AD95" i="1"/>
  <c r="AE26" i="4"/>
  <c r="AE95" i="1" s="1"/>
  <c r="AD89" i="1"/>
  <c r="AE20" i="4"/>
  <c r="AE89" i="1" s="1"/>
  <c r="AC85" i="1"/>
  <c r="AD16" i="4"/>
  <c r="AE30" i="4"/>
  <c r="AE99" i="1" s="1"/>
  <c r="AD99" i="1"/>
  <c r="AE22" i="4"/>
  <c r="AE91" i="1" s="1"/>
  <c r="AD91" i="1"/>
  <c r="AD6" i="4"/>
  <c r="AC75" i="1"/>
  <c r="AE25" i="4"/>
  <c r="AE94" i="1" s="1"/>
  <c r="AD94" i="1"/>
  <c r="AE33" i="4"/>
  <c r="AE102" i="1" s="1"/>
  <c r="AD102" i="1"/>
  <c r="AE27" i="4"/>
  <c r="AE96" i="1" s="1"/>
  <c r="AD96" i="1"/>
  <c r="AE24" i="4"/>
  <c r="AE93" i="1" s="1"/>
  <c r="AD93" i="1"/>
  <c r="AD15" i="4"/>
  <c r="AC84" i="1"/>
  <c r="AE19" i="4"/>
  <c r="AE88" i="1" s="1"/>
  <c r="AD88" i="1"/>
  <c r="AE31" i="4"/>
  <c r="AE100" i="1" s="1"/>
  <c r="AD100" i="1"/>
  <c r="AG31" i="3"/>
  <c r="AC71" i="1" s="1"/>
  <c r="AG30" i="3"/>
  <c r="AC70" i="1" s="1"/>
  <c r="AG25" i="3"/>
  <c r="AC65" i="1" s="1"/>
  <c r="AG24" i="3"/>
  <c r="AC64" i="1" s="1"/>
  <c r="W50" i="2"/>
  <c r="W110" i="1" s="1"/>
  <c r="V5" i="1"/>
  <c r="Z36" i="4"/>
  <c r="AD4" i="4"/>
  <c r="AD5" i="1"/>
  <c r="I2" i="5" s="1"/>
  <c r="J2" i="5" s="1"/>
  <c r="AD42" i="1"/>
  <c r="AE41" i="2"/>
  <c r="AE42" i="1" s="1"/>
  <c r="AD38" i="1"/>
  <c r="AE37" i="2"/>
  <c r="AE38" i="1" s="1"/>
  <c r="AD37" i="1"/>
  <c r="AE36" i="2"/>
  <c r="AE37" i="1" s="1"/>
  <c r="AE35" i="1"/>
  <c r="AK34" i="2"/>
  <c r="AD40" i="1"/>
  <c r="AE39" i="2"/>
  <c r="AE40" i="1" s="1"/>
  <c r="AD35" i="2"/>
  <c r="AC36" i="1"/>
  <c r="AG28" i="3"/>
  <c r="AC68" i="1" s="1"/>
  <c r="AK111" i="1"/>
  <c r="G130" i="5"/>
  <c r="H130" i="5" s="1"/>
  <c r="G131" i="5"/>
  <c r="H131" i="5" s="1"/>
  <c r="G117" i="5"/>
  <c r="H117" i="5" s="1"/>
  <c r="G113" i="5"/>
  <c r="H113" i="5" s="1"/>
  <c r="G109" i="5"/>
  <c r="H109" i="5" s="1"/>
  <c r="G105" i="5"/>
  <c r="H105" i="5" s="1"/>
  <c r="K22" i="2" s="1"/>
  <c r="G71" i="5"/>
  <c r="H71" i="5" s="1"/>
  <c r="G67" i="5"/>
  <c r="H67" i="5" s="1"/>
  <c r="G63" i="5"/>
  <c r="H63" i="5" s="1"/>
  <c r="G59" i="5"/>
  <c r="H59" i="5" s="1"/>
  <c r="G55" i="5"/>
  <c r="H55" i="5" s="1"/>
  <c r="G51" i="5"/>
  <c r="H51" i="5" s="1"/>
  <c r="G41" i="5"/>
  <c r="H41" i="5" s="1"/>
  <c r="G40" i="5"/>
  <c r="H40" i="5" s="1"/>
  <c r="G38" i="5"/>
  <c r="H38" i="5" s="1"/>
  <c r="G37" i="5"/>
  <c r="H37" i="5" s="1"/>
  <c r="G43" i="5"/>
  <c r="H43" i="5" s="1"/>
  <c r="G54" i="5"/>
  <c r="H54" i="5" s="1"/>
  <c r="G56" i="5"/>
  <c r="H56" i="5" s="1"/>
  <c r="G62" i="5"/>
  <c r="H62" i="5" s="1"/>
  <c r="G64" i="5"/>
  <c r="H64" i="5" s="1"/>
  <c r="G70" i="5"/>
  <c r="H70" i="5" s="1"/>
  <c r="G72" i="5"/>
  <c r="H72" i="5" s="1"/>
  <c r="G42" i="5"/>
  <c r="H42" i="5" s="1"/>
  <c r="G110" i="5"/>
  <c r="H110" i="5" s="1"/>
  <c r="G111" i="5"/>
  <c r="H111" i="5" s="1"/>
  <c r="G115" i="5"/>
  <c r="H115" i="5" s="1"/>
  <c r="G129" i="5"/>
  <c r="H129" i="5" s="1"/>
  <c r="G108" i="5"/>
  <c r="H108" i="5" s="1"/>
  <c r="G39" i="5"/>
  <c r="H39" i="5" s="1"/>
  <c r="G114" i="5"/>
  <c r="H114" i="5" s="1"/>
  <c r="G52" i="5"/>
  <c r="H52" i="5" s="1"/>
  <c r="G58" i="5"/>
  <c r="H58" i="5" s="1"/>
  <c r="G60" i="5"/>
  <c r="H60" i="5" s="1"/>
  <c r="G66" i="5"/>
  <c r="H66" i="5" s="1"/>
  <c r="G68" i="5"/>
  <c r="H68" i="5" s="1"/>
  <c r="G74" i="5"/>
  <c r="H74" i="5" s="1"/>
  <c r="G104" i="5"/>
  <c r="H104" i="5" s="1"/>
  <c r="K16" i="2" s="1"/>
  <c r="G106" i="5"/>
  <c r="H106" i="5" s="1"/>
  <c r="G118" i="5"/>
  <c r="H118" i="5" s="1"/>
  <c r="G128" i="5"/>
  <c r="H128" i="5" s="1"/>
  <c r="G116" i="5"/>
  <c r="H116" i="5" s="1"/>
  <c r="G133" i="5"/>
  <c r="H133" i="5" s="1"/>
  <c r="G132" i="5"/>
  <c r="H132" i="5" s="1"/>
  <c r="G53" i="5"/>
  <c r="H53" i="5" s="1"/>
  <c r="G57" i="5"/>
  <c r="H57" i="5" s="1"/>
  <c r="G61" i="5"/>
  <c r="H61" i="5" s="1"/>
  <c r="G65" i="5"/>
  <c r="H65" i="5" s="1"/>
  <c r="G69" i="5"/>
  <c r="H69" i="5" s="1"/>
  <c r="G73" i="5"/>
  <c r="H73" i="5" s="1"/>
  <c r="G107" i="5"/>
  <c r="H107" i="5" s="1"/>
  <c r="G112" i="5"/>
  <c r="H112" i="5" s="1"/>
  <c r="E132" i="5"/>
  <c r="F132" i="5" s="1"/>
  <c r="E131" i="5"/>
  <c r="F131" i="5" s="1"/>
  <c r="E130" i="5"/>
  <c r="F130" i="5" s="1"/>
  <c r="E117" i="5"/>
  <c r="F117" i="5" s="1"/>
  <c r="E113" i="5"/>
  <c r="F113" i="5" s="1"/>
  <c r="E109" i="5"/>
  <c r="F109" i="5" s="1"/>
  <c r="E105" i="5"/>
  <c r="F105" i="5" s="1"/>
  <c r="I22" i="2" s="1"/>
  <c r="E71" i="5"/>
  <c r="F71" i="5" s="1"/>
  <c r="E67" i="5"/>
  <c r="F67" i="5" s="1"/>
  <c r="E63" i="5"/>
  <c r="F63" i="5" s="1"/>
  <c r="E59" i="5"/>
  <c r="F59" i="5" s="1"/>
  <c r="E55" i="5"/>
  <c r="F55" i="5" s="1"/>
  <c r="E51" i="5"/>
  <c r="F51" i="5" s="1"/>
  <c r="E38" i="5"/>
  <c r="F38" i="5" s="1"/>
  <c r="E37" i="5"/>
  <c r="F37" i="5" s="1"/>
  <c r="E41" i="5"/>
  <c r="F41" i="5" s="1"/>
  <c r="E53" i="5"/>
  <c r="F53" i="5" s="1"/>
  <c r="E57" i="5"/>
  <c r="F57" i="5" s="1"/>
  <c r="E61" i="5"/>
  <c r="F61" i="5" s="1"/>
  <c r="E65" i="5"/>
  <c r="F65" i="5" s="1"/>
  <c r="E69" i="5"/>
  <c r="F69" i="5" s="1"/>
  <c r="E73" i="5"/>
  <c r="F73" i="5" s="1"/>
  <c r="E107" i="5"/>
  <c r="F107" i="5" s="1"/>
  <c r="E114" i="5"/>
  <c r="F114" i="5" s="1"/>
  <c r="E133" i="5"/>
  <c r="F133" i="5" s="1"/>
  <c r="E52" i="5"/>
  <c r="F52" i="5" s="1"/>
  <c r="E58" i="5"/>
  <c r="F58" i="5" s="1"/>
  <c r="E60" i="5"/>
  <c r="F60" i="5" s="1"/>
  <c r="E66" i="5"/>
  <c r="F66" i="5" s="1"/>
  <c r="E68" i="5"/>
  <c r="F68" i="5" s="1"/>
  <c r="E74" i="5"/>
  <c r="F74" i="5" s="1"/>
  <c r="E104" i="5"/>
  <c r="F104" i="5" s="1"/>
  <c r="I16" i="2" s="1"/>
  <c r="AB16" i="2" s="1"/>
  <c r="E106" i="5"/>
  <c r="F106" i="5" s="1"/>
  <c r="E108" i="5"/>
  <c r="F108" i="5" s="1"/>
  <c r="E112" i="5"/>
  <c r="F112" i="5" s="1"/>
  <c r="E116" i="5"/>
  <c r="F116" i="5" s="1"/>
  <c r="E110" i="5"/>
  <c r="F110" i="5" s="1"/>
  <c r="E115" i="5"/>
  <c r="F115" i="5" s="1"/>
  <c r="E39" i="5"/>
  <c r="F39" i="5" s="1"/>
  <c r="E111" i="5"/>
  <c r="F111" i="5" s="1"/>
  <c r="E42" i="5"/>
  <c r="F42" i="5" s="1"/>
  <c r="E40" i="5"/>
  <c r="F40" i="5" s="1"/>
  <c r="E43" i="5"/>
  <c r="F43" i="5" s="1"/>
  <c r="E54" i="5"/>
  <c r="F54" i="5" s="1"/>
  <c r="E56" i="5"/>
  <c r="F56" i="5" s="1"/>
  <c r="E62" i="5"/>
  <c r="F62" i="5" s="1"/>
  <c r="E64" i="5"/>
  <c r="F64" i="5" s="1"/>
  <c r="E70" i="5"/>
  <c r="F70" i="5" s="1"/>
  <c r="E72" i="5"/>
  <c r="F72" i="5" s="1"/>
  <c r="E129" i="5"/>
  <c r="F129" i="5" s="1"/>
  <c r="E128" i="5"/>
  <c r="F128" i="5" s="1"/>
  <c r="E118" i="5"/>
  <c r="F118" i="5" s="1"/>
  <c r="K118" i="5"/>
  <c r="L118" i="5" s="1"/>
  <c r="K116" i="5"/>
  <c r="L116" i="5" s="1"/>
  <c r="K115" i="5"/>
  <c r="L115" i="5" s="1"/>
  <c r="K114" i="5"/>
  <c r="L114" i="5" s="1"/>
  <c r="K112" i="5"/>
  <c r="L112" i="5" s="1"/>
  <c r="K111" i="5"/>
  <c r="L111" i="5" s="1"/>
  <c r="K110" i="5"/>
  <c r="L110" i="5" s="1"/>
  <c r="K74" i="5"/>
  <c r="L74" i="5" s="1"/>
  <c r="K72" i="5"/>
  <c r="L72" i="5" s="1"/>
  <c r="K70" i="5"/>
  <c r="L70" i="5" s="1"/>
  <c r="K68" i="5"/>
  <c r="L68" i="5" s="1"/>
  <c r="K66" i="5"/>
  <c r="L66" i="5" s="1"/>
  <c r="K64" i="5"/>
  <c r="L64" i="5" s="1"/>
  <c r="K62" i="5"/>
  <c r="L62" i="5" s="1"/>
  <c r="K60" i="5"/>
  <c r="L60" i="5" s="1"/>
  <c r="K58" i="5"/>
  <c r="L58" i="5" s="1"/>
  <c r="K56" i="5"/>
  <c r="L56" i="5" s="1"/>
  <c r="K54" i="5"/>
  <c r="L54" i="5" s="1"/>
  <c r="K52" i="5"/>
  <c r="L52" i="5" s="1"/>
  <c r="K73" i="5"/>
  <c r="L73" i="5" s="1"/>
  <c r="K69" i="5"/>
  <c r="L69" i="5" s="1"/>
  <c r="K65" i="5"/>
  <c r="L65" i="5" s="1"/>
  <c r="K61" i="5"/>
  <c r="L61" i="5" s="1"/>
  <c r="K57" i="5"/>
  <c r="L57" i="5" s="1"/>
  <c r="K53" i="5"/>
  <c r="L53" i="5" s="1"/>
  <c r="K38" i="5"/>
  <c r="L38" i="5" s="1"/>
  <c r="K108" i="5"/>
  <c r="L108" i="5" s="1"/>
  <c r="K43" i="5"/>
  <c r="L43" i="5" s="1"/>
  <c r="K39" i="5"/>
  <c r="L39" i="5" s="1"/>
  <c r="K42" i="5"/>
  <c r="L42" i="5" s="1"/>
  <c r="K40" i="5"/>
  <c r="L40" i="5" s="1"/>
  <c r="K130" i="5"/>
  <c r="L130" i="5" s="1"/>
  <c r="K104" i="5"/>
  <c r="L104" i="5" s="1"/>
  <c r="O16" i="2" s="1"/>
  <c r="O15" i="1" s="1"/>
  <c r="K106" i="5"/>
  <c r="L106" i="5" s="1"/>
  <c r="K131" i="5"/>
  <c r="L131" i="5" s="1"/>
  <c r="K132" i="5"/>
  <c r="L132" i="5" s="1"/>
  <c r="K133" i="5"/>
  <c r="L133" i="5" s="1"/>
  <c r="K41" i="5"/>
  <c r="L41" i="5" s="1"/>
  <c r="K51" i="5"/>
  <c r="L51" i="5" s="1"/>
  <c r="K55" i="5"/>
  <c r="L55" i="5" s="1"/>
  <c r="K59" i="5"/>
  <c r="L59" i="5" s="1"/>
  <c r="K63" i="5"/>
  <c r="L63" i="5" s="1"/>
  <c r="K67" i="5"/>
  <c r="L67" i="5" s="1"/>
  <c r="K71" i="5"/>
  <c r="L71" i="5" s="1"/>
  <c r="K105" i="5"/>
  <c r="L105" i="5" s="1"/>
  <c r="O23" i="1" s="1"/>
  <c r="K107" i="5"/>
  <c r="L107" i="5" s="1"/>
  <c r="K109" i="5"/>
  <c r="L109" i="5" s="1"/>
  <c r="K113" i="5"/>
  <c r="L113" i="5" s="1"/>
  <c r="K117" i="5"/>
  <c r="L117" i="5" s="1"/>
  <c r="K37" i="5"/>
  <c r="L37" i="5" s="1"/>
  <c r="K128" i="5"/>
  <c r="L128" i="5" s="1"/>
  <c r="K129" i="5"/>
  <c r="L129" i="5" s="1"/>
  <c r="I130" i="5"/>
  <c r="J130" i="5" s="1"/>
  <c r="I41" i="5"/>
  <c r="J41" i="5" s="1"/>
  <c r="I117" i="5"/>
  <c r="J117" i="5" s="1"/>
  <c r="I113" i="5"/>
  <c r="J113" i="5" s="1"/>
  <c r="I43" i="5"/>
  <c r="J43" i="5" s="1"/>
  <c r="I40" i="5"/>
  <c r="J40" i="5" s="1"/>
  <c r="I39" i="5"/>
  <c r="J39" i="5" s="1"/>
  <c r="I109" i="5"/>
  <c r="J109" i="5" s="1"/>
  <c r="I105" i="5"/>
  <c r="J105" i="5" s="1"/>
  <c r="M22" i="2" s="1"/>
  <c r="I71" i="5"/>
  <c r="J71" i="5" s="1"/>
  <c r="I67" i="5"/>
  <c r="J67" i="5" s="1"/>
  <c r="I63" i="5"/>
  <c r="J63" i="5" s="1"/>
  <c r="I59" i="5"/>
  <c r="J59" i="5" s="1"/>
  <c r="I55" i="5"/>
  <c r="J55" i="5" s="1"/>
  <c r="I51" i="5"/>
  <c r="J51" i="5" s="1"/>
  <c r="I37" i="5"/>
  <c r="J37" i="5" s="1"/>
  <c r="I111" i="5"/>
  <c r="J111" i="5" s="1"/>
  <c r="I38" i="5"/>
  <c r="J38" i="5" s="1"/>
  <c r="I52" i="5"/>
  <c r="J52" i="5" s="1"/>
  <c r="I60" i="5"/>
  <c r="J60" i="5" s="1"/>
  <c r="I68" i="5"/>
  <c r="J68" i="5" s="1"/>
  <c r="I106" i="5"/>
  <c r="J106" i="5" s="1"/>
  <c r="I129" i="5"/>
  <c r="J129" i="5" s="1"/>
  <c r="I53" i="5"/>
  <c r="J53" i="5" s="1"/>
  <c r="I57" i="5"/>
  <c r="J57" i="5" s="1"/>
  <c r="I61" i="5"/>
  <c r="J61" i="5" s="1"/>
  <c r="I65" i="5"/>
  <c r="J65" i="5" s="1"/>
  <c r="I69" i="5"/>
  <c r="J69" i="5" s="1"/>
  <c r="I73" i="5"/>
  <c r="J73" i="5" s="1"/>
  <c r="I115" i="5"/>
  <c r="J115" i="5" s="1"/>
  <c r="I107" i="5"/>
  <c r="J107" i="5" s="1"/>
  <c r="I54" i="5"/>
  <c r="J54" i="5" s="1"/>
  <c r="I62" i="5"/>
  <c r="J62" i="5" s="1"/>
  <c r="I70" i="5"/>
  <c r="J70" i="5" s="1"/>
  <c r="I42" i="5"/>
  <c r="J42" i="5" s="1"/>
  <c r="I132" i="5"/>
  <c r="J132" i="5" s="1"/>
  <c r="I112" i="5"/>
  <c r="J112" i="5" s="1"/>
  <c r="I56" i="5"/>
  <c r="J56" i="5" s="1"/>
  <c r="I64" i="5"/>
  <c r="J64" i="5" s="1"/>
  <c r="I72" i="5"/>
  <c r="J72" i="5" s="1"/>
  <c r="I131" i="5"/>
  <c r="J131" i="5" s="1"/>
  <c r="I116" i="5"/>
  <c r="J116" i="5" s="1"/>
  <c r="I58" i="5"/>
  <c r="J58" i="5" s="1"/>
  <c r="I66" i="5"/>
  <c r="J66" i="5" s="1"/>
  <c r="I74" i="5"/>
  <c r="J74" i="5" s="1"/>
  <c r="I104" i="5"/>
  <c r="J104" i="5" s="1"/>
  <c r="M16" i="2" s="1"/>
  <c r="M15" i="1" s="1"/>
  <c r="I108" i="5"/>
  <c r="J108" i="5" s="1"/>
  <c r="I110" i="5"/>
  <c r="J110" i="5" s="1"/>
  <c r="I114" i="5"/>
  <c r="J114" i="5" s="1"/>
  <c r="I118" i="5"/>
  <c r="J118" i="5" s="1"/>
  <c r="I128" i="5"/>
  <c r="J128" i="5" s="1"/>
  <c r="I133" i="5"/>
  <c r="J133" i="5" s="1"/>
  <c r="AG32" i="3"/>
  <c r="AC72" i="1" s="1"/>
  <c r="AB72" i="1"/>
  <c r="AH58" i="3"/>
  <c r="AC181" i="1"/>
  <c r="AH50" i="3"/>
  <c r="AC173" i="1"/>
  <c r="AH69" i="3"/>
  <c r="AC192" i="1"/>
  <c r="AH53" i="3"/>
  <c r="AC176" i="1"/>
  <c r="AH68" i="3"/>
  <c r="AC191" i="1"/>
  <c r="AH60" i="3"/>
  <c r="AC183" i="1"/>
  <c r="AH52" i="3"/>
  <c r="AC175" i="1"/>
  <c r="AH38" i="3"/>
  <c r="AC161" i="1"/>
  <c r="AH71" i="3"/>
  <c r="AC194" i="1"/>
  <c r="AH63" i="3"/>
  <c r="AC186" i="1"/>
  <c r="AH55" i="3"/>
  <c r="AC178" i="1"/>
  <c r="AH46" i="3"/>
  <c r="AC169" i="1"/>
  <c r="AG23" i="3"/>
  <c r="AC63" i="1" s="1"/>
  <c r="AB63" i="1"/>
  <c r="AH70" i="3"/>
  <c r="AC193" i="1"/>
  <c r="AH62" i="3"/>
  <c r="AC185" i="1"/>
  <c r="AH54" i="3"/>
  <c r="AC177" i="1"/>
  <c r="AH45" i="3"/>
  <c r="AC168" i="1"/>
  <c r="AH65" i="3"/>
  <c r="AC188" i="1"/>
  <c r="AH57" i="3"/>
  <c r="AC180" i="1"/>
  <c r="AH49" i="3"/>
  <c r="AC172" i="1"/>
  <c r="AH39" i="3"/>
  <c r="AC162" i="1"/>
  <c r="AF63" i="1"/>
  <c r="AF71" i="1"/>
  <c r="AF66" i="1"/>
  <c r="AH64" i="3"/>
  <c r="AC187" i="1"/>
  <c r="AH56" i="3"/>
  <c r="AC179" i="1"/>
  <c r="AH48" i="3"/>
  <c r="AC171" i="1"/>
  <c r="AH67" i="3"/>
  <c r="AC190" i="1"/>
  <c r="AH59" i="3"/>
  <c r="AC182" i="1"/>
  <c r="AH51" i="3"/>
  <c r="AC174" i="1"/>
  <c r="AH37" i="3"/>
  <c r="AC160" i="1"/>
  <c r="AH4" i="3"/>
  <c r="Z50" i="2"/>
  <c r="Z110" i="1" s="1"/>
  <c r="W36" i="4"/>
  <c r="Q58" i="2"/>
  <c r="Q118" i="1" s="1"/>
  <c r="P58" i="2"/>
  <c r="P118" i="1" s="1"/>
  <c r="T57" i="2"/>
  <c r="T117" i="1" s="1"/>
  <c r="S57" i="2"/>
  <c r="S117" i="1" s="1"/>
  <c r="W56" i="2"/>
  <c r="W116" i="1" s="1"/>
  <c r="V56" i="2"/>
  <c r="V116" i="1" s="1"/>
  <c r="Z55" i="2"/>
  <c r="Z115" i="1" s="1"/>
  <c r="Y55" i="2"/>
  <c r="Y115" i="1" s="1"/>
  <c r="P55" i="2"/>
  <c r="P115" i="1" s="1"/>
  <c r="Q55" i="2"/>
  <c r="Q115" i="1" s="1"/>
  <c r="S58" i="2"/>
  <c r="S118" i="1" s="1"/>
  <c r="T58" i="2"/>
  <c r="T118" i="1" s="1"/>
  <c r="V57" i="2"/>
  <c r="V117" i="1" s="1"/>
  <c r="W57" i="2"/>
  <c r="W117" i="1" s="1"/>
  <c r="Y56" i="2"/>
  <c r="Y116" i="1" s="1"/>
  <c r="Z56" i="2"/>
  <c r="Z116" i="1" s="1"/>
  <c r="Q56" i="2"/>
  <c r="Q116" i="1" s="1"/>
  <c r="P56" i="2"/>
  <c r="P116" i="1" s="1"/>
  <c r="T55" i="2"/>
  <c r="T115" i="1" s="1"/>
  <c r="S55" i="2"/>
  <c r="S115" i="1" s="1"/>
  <c r="W58" i="2"/>
  <c r="W118" i="1" s="1"/>
  <c r="V58" i="2"/>
  <c r="V118" i="1" s="1"/>
  <c r="Z57" i="2"/>
  <c r="Z117" i="1" s="1"/>
  <c r="Y57" i="2"/>
  <c r="Y117" i="1" s="1"/>
  <c r="P57" i="2"/>
  <c r="P117" i="1" s="1"/>
  <c r="Q57" i="2"/>
  <c r="Q117" i="1" s="1"/>
  <c r="S56" i="2"/>
  <c r="S116" i="1" s="1"/>
  <c r="T56" i="2"/>
  <c r="T116" i="1" s="1"/>
  <c r="V55" i="2"/>
  <c r="V115" i="1" s="1"/>
  <c r="W55" i="2"/>
  <c r="W115" i="1" s="1"/>
  <c r="Y58" i="2"/>
  <c r="Y118" i="1" s="1"/>
  <c r="Z58" i="2"/>
  <c r="Z118" i="1" s="1"/>
  <c r="W49" i="2"/>
  <c r="W109" i="1" s="1"/>
  <c r="V49" i="2"/>
  <c r="V109" i="1" s="1"/>
  <c r="Z48" i="2"/>
  <c r="Z108" i="1" s="1"/>
  <c r="Y48" i="2"/>
  <c r="Y108" i="1" s="1"/>
  <c r="Q47" i="2"/>
  <c r="Q107" i="1" s="1"/>
  <c r="P47" i="2"/>
  <c r="P107" i="1" s="1"/>
  <c r="T47" i="2"/>
  <c r="T107" i="1" s="1"/>
  <c r="S47" i="2"/>
  <c r="S107" i="1" s="1"/>
  <c r="W46" i="2"/>
  <c r="W106" i="1" s="1"/>
  <c r="V46" i="2"/>
  <c r="V106" i="1" s="1"/>
  <c r="Y49" i="2"/>
  <c r="Y109" i="1" s="1"/>
  <c r="P48" i="2"/>
  <c r="P108" i="1" s="1"/>
  <c r="Q48" i="2"/>
  <c r="Q108" i="1" s="1"/>
  <c r="T48" i="2"/>
  <c r="T108" i="1" s="1"/>
  <c r="S48" i="2"/>
  <c r="S108" i="1" s="1"/>
  <c r="W47" i="2"/>
  <c r="W107" i="1" s="1"/>
  <c r="V47" i="2"/>
  <c r="V107" i="1" s="1"/>
  <c r="Y46" i="2"/>
  <c r="Y106" i="1" s="1"/>
  <c r="T46" i="2"/>
  <c r="T106" i="1" s="1"/>
  <c r="S46" i="2"/>
  <c r="S106" i="1" s="1"/>
  <c r="P49" i="2"/>
  <c r="P109" i="1" s="1"/>
  <c r="Q49" i="2"/>
  <c r="Q109" i="1" s="1"/>
  <c r="T49" i="2"/>
  <c r="T109" i="1" s="1"/>
  <c r="S49" i="2"/>
  <c r="S109" i="1" s="1"/>
  <c r="W48" i="2"/>
  <c r="W108" i="1" s="1"/>
  <c r="V48" i="2"/>
  <c r="V108" i="1" s="1"/>
  <c r="Y47" i="2"/>
  <c r="Y107" i="1" s="1"/>
  <c r="AH17" i="3"/>
  <c r="AD57" i="1" s="1"/>
  <c r="AH19" i="3"/>
  <c r="AD59" i="1" s="1"/>
  <c r="AB50" i="2"/>
  <c r="AB110" i="1" s="1"/>
  <c r="M23" i="1" l="1"/>
  <c r="K23" i="1"/>
  <c r="K15" i="1"/>
  <c r="AC16" i="2"/>
  <c r="I15" i="1"/>
  <c r="AB22" i="2"/>
  <c r="AC22" i="2" s="1"/>
  <c r="AD22" i="2" s="1"/>
  <c r="I23" i="1"/>
  <c r="Y5" i="1"/>
  <c r="Z51" i="2"/>
  <c r="AI4" i="3"/>
  <c r="AE4" i="4"/>
  <c r="AA35" i="3"/>
  <c r="W8" i="4"/>
  <c r="W77" i="1" s="1"/>
  <c r="W10" i="4"/>
  <c r="W79" i="1" s="1"/>
  <c r="AH18" i="3"/>
  <c r="AD58" i="1" s="1"/>
  <c r="AC166" i="1"/>
  <c r="AH27" i="3"/>
  <c r="AD67" i="1" s="1"/>
  <c r="AH16" i="3"/>
  <c r="AD56" i="1" s="1"/>
  <c r="AH15" i="3"/>
  <c r="AD55" i="1" s="1"/>
  <c r="AH33" i="3"/>
  <c r="AD73" i="1" s="1"/>
  <c r="AH26" i="3"/>
  <c r="AD66" i="1" s="1"/>
  <c r="Y4" i="4"/>
  <c r="Z13" i="4" s="1"/>
  <c r="Z82" i="1" s="1"/>
  <c r="AH14" i="3"/>
  <c r="AD54" i="1" s="1"/>
  <c r="AH20" i="3"/>
  <c r="AD60" i="1" s="1"/>
  <c r="AH61" i="3"/>
  <c r="AI61" i="3" s="1"/>
  <c r="AE184" i="1" s="1"/>
  <c r="AH31" i="3"/>
  <c r="AD71" i="1" s="1"/>
  <c r="AH25" i="3"/>
  <c r="AD65" i="1" s="1"/>
  <c r="AH13" i="3"/>
  <c r="AD53" i="1" s="1"/>
  <c r="AH29" i="3"/>
  <c r="AD69" i="1" s="1"/>
  <c r="AH30" i="3"/>
  <c r="AD70" i="1" s="1"/>
  <c r="Z47" i="2"/>
  <c r="Z107" i="1" s="1"/>
  <c r="AC4" i="3"/>
  <c r="Z46" i="2"/>
  <c r="Z106" i="1" s="1"/>
  <c r="Z49" i="2"/>
  <c r="Z109" i="1" s="1"/>
  <c r="W7" i="4"/>
  <c r="W76" i="1" s="1"/>
  <c r="AA36" i="4"/>
  <c r="W12" i="4"/>
  <c r="W81" i="1" s="1"/>
  <c r="W13" i="4"/>
  <c r="W82" i="1" s="1"/>
  <c r="W9" i="4"/>
  <c r="W78" i="1" s="1"/>
  <c r="W6" i="4"/>
  <c r="W75" i="1" s="1"/>
  <c r="AE35" i="3"/>
  <c r="AH21" i="3"/>
  <c r="AD61" i="1" s="1"/>
  <c r="AC189" i="1"/>
  <c r="AH10" i="3"/>
  <c r="AD50" i="1" s="1"/>
  <c r="AH22" i="3"/>
  <c r="AD62" i="1" s="1"/>
  <c r="AH28" i="3"/>
  <c r="AD68" i="1" s="1"/>
  <c r="AH12" i="3"/>
  <c r="AD52" i="1" s="1"/>
  <c r="AH24" i="3"/>
  <c r="AI24" i="3" s="1"/>
  <c r="AE64" i="1" s="1"/>
  <c r="AD41" i="1"/>
  <c r="AE40" i="2"/>
  <c r="AE41" i="1" s="1"/>
  <c r="AD43" i="1"/>
  <c r="AE42" i="2"/>
  <c r="AE43" i="1" s="1"/>
  <c r="AK36" i="2"/>
  <c r="AH32" i="3"/>
  <c r="AD72" i="1" s="1"/>
  <c r="AK41" i="2"/>
  <c r="AH23" i="3"/>
  <c r="AD63" i="1" s="1"/>
  <c r="AE6" i="4"/>
  <c r="AE75" i="1" s="1"/>
  <c r="AD75" i="1"/>
  <c r="AD79" i="1"/>
  <c r="AE10" i="4"/>
  <c r="AE79" i="1" s="1"/>
  <c r="AD83" i="1"/>
  <c r="AE14" i="4"/>
  <c r="AE83" i="1" s="1"/>
  <c r="AE16" i="4"/>
  <c r="AE85" i="1" s="1"/>
  <c r="AD85" i="1"/>
  <c r="AE15" i="4"/>
  <c r="AE84" i="1" s="1"/>
  <c r="AD84" i="1"/>
  <c r="AD74" i="1"/>
  <c r="AE5" i="4"/>
  <c r="AE74" i="1" s="1"/>
  <c r="AD36" i="1"/>
  <c r="AE35" i="2"/>
  <c r="AK39" i="2"/>
  <c r="AK37" i="2"/>
  <c r="F134" i="5"/>
  <c r="E134" i="5"/>
  <c r="H134" i="5"/>
  <c r="G134" i="5"/>
  <c r="J134" i="5"/>
  <c r="I134" i="5"/>
  <c r="L134" i="5"/>
  <c r="K134" i="5"/>
  <c r="AI51" i="3"/>
  <c r="AE174" i="1" s="1"/>
  <c r="AD174" i="1"/>
  <c r="AI67" i="3"/>
  <c r="AE190" i="1" s="1"/>
  <c r="AD190" i="1"/>
  <c r="AI56" i="3"/>
  <c r="AE179" i="1" s="1"/>
  <c r="AD179" i="1"/>
  <c r="AI49" i="3"/>
  <c r="AE172" i="1" s="1"/>
  <c r="AD172" i="1"/>
  <c r="AI65" i="3"/>
  <c r="AE188" i="1" s="1"/>
  <c r="AD188" i="1"/>
  <c r="AI54" i="3"/>
  <c r="AE177" i="1" s="1"/>
  <c r="AD177" i="1"/>
  <c r="AI70" i="3"/>
  <c r="AE193" i="1" s="1"/>
  <c r="AD193" i="1"/>
  <c r="AI46" i="3"/>
  <c r="AE169" i="1" s="1"/>
  <c r="AD169" i="1"/>
  <c r="AI63" i="3"/>
  <c r="AE186" i="1" s="1"/>
  <c r="AD186" i="1"/>
  <c r="AI38" i="3"/>
  <c r="AE161" i="1" s="1"/>
  <c r="AD161" i="1"/>
  <c r="AI60" i="3"/>
  <c r="AE183" i="1" s="1"/>
  <c r="AD183" i="1"/>
  <c r="AI43" i="3"/>
  <c r="AE166" i="1" s="1"/>
  <c r="AD166" i="1"/>
  <c r="AI50" i="3"/>
  <c r="AE173" i="1" s="1"/>
  <c r="AD173" i="1"/>
  <c r="AI66" i="3"/>
  <c r="AE189" i="1" s="1"/>
  <c r="AD189" i="1"/>
  <c r="AI37" i="3"/>
  <c r="AE160" i="1" s="1"/>
  <c r="AD160" i="1"/>
  <c r="AI59" i="3"/>
  <c r="AE182" i="1" s="1"/>
  <c r="AD182" i="1"/>
  <c r="AI48" i="3"/>
  <c r="AE171" i="1" s="1"/>
  <c r="AD171" i="1"/>
  <c r="AI64" i="3"/>
  <c r="AE187" i="1" s="1"/>
  <c r="AD187" i="1"/>
  <c r="AI39" i="3"/>
  <c r="AE162" i="1" s="1"/>
  <c r="AD162" i="1"/>
  <c r="AI57" i="3"/>
  <c r="AE180" i="1" s="1"/>
  <c r="AD180" i="1"/>
  <c r="AI45" i="3"/>
  <c r="AE168" i="1" s="1"/>
  <c r="AD168" i="1"/>
  <c r="AI62" i="3"/>
  <c r="AE185" i="1" s="1"/>
  <c r="AD185" i="1"/>
  <c r="AI55" i="3"/>
  <c r="AE178" i="1" s="1"/>
  <c r="AD178" i="1"/>
  <c r="AI71" i="3"/>
  <c r="AE194" i="1" s="1"/>
  <c r="AD194" i="1"/>
  <c r="AI52" i="3"/>
  <c r="AE175" i="1" s="1"/>
  <c r="AD175" i="1"/>
  <c r="AI68" i="3"/>
  <c r="AE191" i="1" s="1"/>
  <c r="AD191" i="1"/>
  <c r="AI53" i="3"/>
  <c r="AE176" i="1" s="1"/>
  <c r="AD176" i="1"/>
  <c r="AI69" i="3"/>
  <c r="AE192" i="1" s="1"/>
  <c r="AD192" i="1"/>
  <c r="AI58" i="3"/>
  <c r="AE181" i="1" s="1"/>
  <c r="AD181" i="1"/>
  <c r="AC50" i="2"/>
  <c r="AC110" i="1" s="1"/>
  <c r="AI19" i="3"/>
  <c r="AE59" i="1" s="1"/>
  <c r="AI17" i="3"/>
  <c r="AE57" i="1" s="1"/>
  <c r="AF23" i="1" l="1"/>
  <c r="AF15" i="1"/>
  <c r="AC15" i="1"/>
  <c r="AB15" i="1"/>
  <c r="Z12" i="4"/>
  <c r="Z81" i="1" s="1"/>
  <c r="Z11" i="4"/>
  <c r="Z80" i="1" s="1"/>
  <c r="Z111" i="1"/>
  <c r="AF51" i="2"/>
  <c r="Z7" i="4"/>
  <c r="Z76" i="1" s="1"/>
  <c r="Z8" i="4"/>
  <c r="Z77" i="1" s="1"/>
  <c r="Z10" i="4"/>
  <c r="Z79" i="1" s="1"/>
  <c r="AI18" i="3"/>
  <c r="AE58" i="1" s="1"/>
  <c r="AI27" i="3"/>
  <c r="AE67" i="1" s="1"/>
  <c r="AI26" i="3"/>
  <c r="AE66" i="1" s="1"/>
  <c r="AI16" i="3"/>
  <c r="AE56" i="1" s="1"/>
  <c r="AI15" i="3"/>
  <c r="AE55" i="1" s="1"/>
  <c r="Z6" i="4"/>
  <c r="Z75" i="1" s="1"/>
  <c r="Z9" i="4"/>
  <c r="Z78" i="1" s="1"/>
  <c r="AI33" i="3"/>
  <c r="AE73" i="1" s="1"/>
  <c r="AI14" i="3"/>
  <c r="AE54" i="1" s="1"/>
  <c r="AI20" i="3"/>
  <c r="AE60" i="1" s="1"/>
  <c r="AD184" i="1"/>
  <c r="AI25" i="3"/>
  <c r="AE65" i="1" s="1"/>
  <c r="AI31" i="3"/>
  <c r="AE71" i="1" s="1"/>
  <c r="AI13" i="3"/>
  <c r="AE53" i="1" s="1"/>
  <c r="AI30" i="3"/>
  <c r="AE70" i="1" s="1"/>
  <c r="AI29" i="3"/>
  <c r="AE69" i="1" s="1"/>
  <c r="AI10" i="3"/>
  <c r="AE50" i="1" s="1"/>
  <c r="AI21" i="3"/>
  <c r="AE61" i="1" s="1"/>
  <c r="AI22" i="3"/>
  <c r="AE62" i="1" s="1"/>
  <c r="AK40" i="2"/>
  <c r="AK42" i="2"/>
  <c r="AI12" i="3"/>
  <c r="AE52" i="1" s="1"/>
  <c r="AD64" i="1"/>
  <c r="AI28" i="3"/>
  <c r="AE68" i="1" s="1"/>
  <c r="AI32" i="3"/>
  <c r="AE72" i="1" s="1"/>
  <c r="AI23" i="3"/>
  <c r="AE63" i="1" s="1"/>
  <c r="AK35" i="2"/>
  <c r="AE36" i="1"/>
  <c r="AD50" i="2"/>
  <c r="AD110" i="1" s="1"/>
  <c r="AE50" i="2" l="1"/>
  <c r="AE110" i="1" s="1"/>
  <c r="AK50" i="2" l="1"/>
  <c r="G12" i="1" l="1"/>
  <c r="G37" i="4"/>
  <c r="C66" i="2" l="1"/>
  <c r="C126" i="1" s="1"/>
  <c r="AI126" i="1" s="1"/>
  <c r="O70" i="2"/>
  <c r="O130" i="1" s="1"/>
  <c r="AF130" i="1" s="1"/>
  <c r="AE70" i="2" l="1"/>
  <c r="AE130" i="1" s="1"/>
  <c r="O69" i="2"/>
  <c r="O129" i="1" s="1"/>
  <c r="AB19" i="2"/>
  <c r="AB20" i="1" s="1"/>
  <c r="AK70" i="2" l="1"/>
  <c r="AC19" i="2"/>
  <c r="AC20" i="1" s="1"/>
  <c r="AD19" i="2" l="1"/>
  <c r="AD20" i="1" s="1"/>
  <c r="AE19" i="2" l="1"/>
  <c r="AE20" i="1" s="1"/>
  <c r="G69" i="2"/>
  <c r="G129" i="1" s="1"/>
  <c r="AK19" i="2" l="1"/>
  <c r="G67" i="2" l="1"/>
  <c r="G127" i="1" s="1"/>
  <c r="G107" i="1" l="1"/>
  <c r="AF107" i="1" s="1"/>
  <c r="G46" i="2"/>
  <c r="G106" i="1" s="1"/>
  <c r="AF106" i="1" s="1"/>
  <c r="G105" i="1"/>
  <c r="G43" i="2"/>
  <c r="AB43" i="2" s="1"/>
  <c r="AC43" i="2" s="1"/>
  <c r="AD43" i="2" s="1"/>
  <c r="AE43" i="2" s="1"/>
  <c r="AK43" i="2" s="1"/>
  <c r="G10" i="2"/>
  <c r="G11" i="1" s="1"/>
  <c r="AF11" i="1" s="1"/>
  <c r="G33" i="2"/>
  <c r="G34" i="1" s="1"/>
  <c r="AF34" i="1" s="1"/>
  <c r="G32" i="2"/>
  <c r="G33" i="1" s="1"/>
  <c r="AF33" i="1" s="1"/>
  <c r="G31" i="2"/>
  <c r="G32" i="1" s="1"/>
  <c r="AF32" i="1" s="1"/>
  <c r="G29" i="2"/>
  <c r="G30" i="1" s="1"/>
  <c r="AF30" i="1" s="1"/>
  <c r="G28" i="2"/>
  <c r="G27" i="2"/>
  <c r="G26" i="2"/>
  <c r="G25" i="2"/>
  <c r="G26" i="1" s="1"/>
  <c r="AF26" i="1" s="1"/>
  <c r="G24" i="2"/>
  <c r="AB24" i="2" s="1"/>
  <c r="AC24" i="2" s="1"/>
  <c r="AD24" i="2" s="1"/>
  <c r="AE24" i="2" s="1"/>
  <c r="G21" i="2"/>
  <c r="G22" i="1" s="1"/>
  <c r="AF22" i="1" s="1"/>
  <c r="G20" i="2"/>
  <c r="G18" i="2"/>
  <c r="G19" i="1" s="1"/>
  <c r="AF19" i="1" s="1"/>
  <c r="G12" i="2"/>
  <c r="G7" i="2"/>
  <c r="AF7" i="2" s="1"/>
  <c r="G6" i="2"/>
  <c r="AF6" i="2" s="1"/>
  <c r="Q46" i="2"/>
  <c r="Q106" i="1" s="1"/>
  <c r="P46" i="2"/>
  <c r="P106" i="1" s="1"/>
  <c r="G17" i="2"/>
  <c r="G48" i="2"/>
  <c r="G109" i="1"/>
  <c r="AF109" i="1" s="1"/>
  <c r="G15" i="2"/>
  <c r="G17" i="1" s="1"/>
  <c r="AF17" i="1" s="1"/>
  <c r="G7" i="1" l="1"/>
  <c r="AF7" i="1" s="1"/>
  <c r="G25" i="1"/>
  <c r="AF25" i="1" s="1"/>
  <c r="AB47" i="2"/>
  <c r="AB107" i="1" s="1"/>
  <c r="AK18" i="2"/>
  <c r="AB29" i="2"/>
  <c r="AB30" i="1" s="1"/>
  <c r="AB10" i="2"/>
  <c r="AC10" i="2" s="1"/>
  <c r="AC11" i="1" s="1"/>
  <c r="AB25" i="2"/>
  <c r="AB26" i="1" s="1"/>
  <c r="AB32" i="2"/>
  <c r="AC32" i="2" s="1"/>
  <c r="AB21" i="2"/>
  <c r="AC21" i="2" s="1"/>
  <c r="AB46" i="2"/>
  <c r="AC46" i="2" s="1"/>
  <c r="AB48" i="2"/>
  <c r="G108" i="1"/>
  <c r="AF108" i="1" s="1"/>
  <c r="AC23" i="1"/>
  <c r="AB23" i="1"/>
  <c r="AK9" i="2"/>
  <c r="G10" i="1"/>
  <c r="AF10" i="1" s="1"/>
  <c r="AK27" i="2"/>
  <c r="G28" i="1"/>
  <c r="AF28" i="1" s="1"/>
  <c r="AD6" i="1"/>
  <c r="AC6" i="1"/>
  <c r="AB17" i="2"/>
  <c r="G18" i="1"/>
  <c r="AF18" i="1" s="1"/>
  <c r="AK7" i="2"/>
  <c r="G8" i="1"/>
  <c r="AF8" i="1" s="1"/>
  <c r="AK12" i="2"/>
  <c r="G13" i="1"/>
  <c r="AF13" i="1" s="1"/>
  <c r="AK20" i="2"/>
  <c r="G21" i="1"/>
  <c r="AF21" i="1" s="1"/>
  <c r="AB26" i="2"/>
  <c r="G27" i="1"/>
  <c r="AF27" i="1" s="1"/>
  <c r="AB28" i="2"/>
  <c r="G29" i="1"/>
  <c r="AF29" i="1" s="1"/>
  <c r="AK6" i="2"/>
  <c r="AB31" i="2"/>
  <c r="AB49" i="2"/>
  <c r="AB109" i="1" s="1"/>
  <c r="AD16" i="2"/>
  <c r="AB15" i="2"/>
  <c r="G78" i="2"/>
  <c r="AF78" i="2" s="1"/>
  <c r="G77" i="2"/>
  <c r="G136" i="1" s="1"/>
  <c r="G72" i="2"/>
  <c r="G131" i="1" s="1"/>
  <c r="G65" i="2"/>
  <c r="G62" i="2"/>
  <c r="G121" i="1"/>
  <c r="G74" i="2"/>
  <c r="G133" i="1" s="1"/>
  <c r="G73" i="2"/>
  <c r="G66" i="2"/>
  <c r="G126" i="1" s="1"/>
  <c r="Q60" i="2"/>
  <c r="Q120" i="1" s="1"/>
  <c r="G99" i="2"/>
  <c r="AF99" i="2" s="1"/>
  <c r="G98" i="2"/>
  <c r="G157" i="1" s="1"/>
  <c r="AF157" i="1" s="1"/>
  <c r="G97" i="2"/>
  <c r="G156" i="1" s="1"/>
  <c r="AF156" i="1" s="1"/>
  <c r="G96" i="2"/>
  <c r="AF96" i="2" s="1"/>
  <c r="G95" i="2"/>
  <c r="AF95" i="2" s="1"/>
  <c r="G94" i="2"/>
  <c r="G153" i="1" s="1"/>
  <c r="AF153" i="1" s="1"/>
  <c r="G93" i="2"/>
  <c r="G152" i="1" s="1"/>
  <c r="AF152" i="1" s="1"/>
  <c r="G92" i="2"/>
  <c r="AF92" i="2" s="1"/>
  <c r="G91" i="2"/>
  <c r="AF91" i="2" s="1"/>
  <c r="G90" i="2"/>
  <c r="G149" i="1" s="1"/>
  <c r="AF149" i="1" s="1"/>
  <c r="G89" i="2"/>
  <c r="G148" i="1" s="1"/>
  <c r="AF148" i="1" s="1"/>
  <c r="G88" i="2"/>
  <c r="AF88" i="2" s="1"/>
  <c r="G87" i="2"/>
  <c r="AF87" i="2" s="1"/>
  <c r="G86" i="2"/>
  <c r="G145" i="1" s="1"/>
  <c r="AF145" i="1" s="1"/>
  <c r="G85" i="2"/>
  <c r="G144" i="1" s="1"/>
  <c r="AF144" i="1" s="1"/>
  <c r="G84" i="2"/>
  <c r="G143" i="1" s="1"/>
  <c r="G83" i="2"/>
  <c r="G142" i="1" s="1"/>
  <c r="G82" i="2"/>
  <c r="G141" i="1" s="1"/>
  <c r="G81" i="2"/>
  <c r="G140" i="1" s="1"/>
  <c r="G80" i="2"/>
  <c r="AF80" i="2" s="1"/>
  <c r="G79" i="2"/>
  <c r="AF79" i="2" s="1"/>
  <c r="G58" i="2"/>
  <c r="G118" i="1" s="1"/>
  <c r="AF118" i="1" s="1"/>
  <c r="G57" i="2"/>
  <c r="G117" i="1" s="1"/>
  <c r="AF117" i="1" s="1"/>
  <c r="G56" i="2"/>
  <c r="G116" i="1" s="1"/>
  <c r="AF116" i="1" s="1"/>
  <c r="G55" i="2"/>
  <c r="G115" i="1" s="1"/>
  <c r="AF115" i="1" s="1"/>
  <c r="C19" i="2"/>
  <c r="C20" i="1" s="1"/>
  <c r="AI20" i="1" s="1"/>
  <c r="C18" i="1"/>
  <c r="AI18" i="1" s="1"/>
  <c r="AF18" i="2"/>
  <c r="AF20" i="2"/>
  <c r="AF27" i="2"/>
  <c r="C59" i="2"/>
  <c r="C119" i="1" s="1"/>
  <c r="G59" i="2"/>
  <c r="G119" i="1" s="1"/>
  <c r="AF119" i="1" s="1"/>
  <c r="O45" i="2"/>
  <c r="O105" i="1" s="1"/>
  <c r="M45" i="2"/>
  <c r="M105" i="1" s="1"/>
  <c r="K45" i="2"/>
  <c r="K105" i="1" s="1"/>
  <c r="I45" i="2"/>
  <c r="R45" i="2" s="1"/>
  <c r="H131" i="1" s="1"/>
  <c r="S167" i="1"/>
  <c r="O44" i="2"/>
  <c r="O104" i="1" s="1"/>
  <c r="U40" i="3"/>
  <c r="Q163" i="1" s="1"/>
  <c r="S47" i="4"/>
  <c r="S204" i="1" s="1"/>
  <c r="S202" i="1"/>
  <c r="R203" i="1"/>
  <c r="AF203" i="1" s="1"/>
  <c r="Q203" i="1"/>
  <c r="W40" i="3"/>
  <c r="S163" i="1" s="1"/>
  <c r="M44" i="2"/>
  <c r="M104" i="1" s="1"/>
  <c r="S164" i="1"/>
  <c r="S48" i="4"/>
  <c r="S205" i="1" s="1"/>
  <c r="R47" i="4"/>
  <c r="R204" i="1" s="1"/>
  <c r="AF204" i="1" s="1"/>
  <c r="R202" i="1"/>
  <c r="AF202" i="1" s="1"/>
  <c r="Q47" i="4"/>
  <c r="Q204" i="1" s="1"/>
  <c r="Q202" i="1"/>
  <c r="K44" i="2"/>
  <c r="K104" i="1" s="1"/>
  <c r="I44" i="2"/>
  <c r="I104" i="1" s="1"/>
  <c r="T40" i="3"/>
  <c r="Q167" i="1"/>
  <c r="S203" i="1"/>
  <c r="R164" i="1"/>
  <c r="AF164" i="1" s="1"/>
  <c r="Q164" i="1"/>
  <c r="V40" i="3"/>
  <c r="R163" i="1" s="1"/>
  <c r="AF163" i="1" s="1"/>
  <c r="P48" i="4"/>
  <c r="P203" i="1"/>
  <c r="P202" i="1"/>
  <c r="R167" i="1"/>
  <c r="AF167" i="1" s="1"/>
  <c r="R73" i="2"/>
  <c r="R132" i="1" s="1"/>
  <c r="S69" i="2"/>
  <c r="S129" i="1" s="1"/>
  <c r="S133" i="1"/>
  <c r="Q73" i="2"/>
  <c r="Q132" i="1" s="1"/>
  <c r="R69" i="2"/>
  <c r="R129" i="1" s="1"/>
  <c r="AF129" i="1" s="1"/>
  <c r="R74" i="2"/>
  <c r="R133" i="1" s="1"/>
  <c r="P73" i="2"/>
  <c r="P132" i="1" s="1"/>
  <c r="Q69" i="2"/>
  <c r="Q129" i="1" s="1"/>
  <c r="Q74" i="2"/>
  <c r="Q133" i="1" s="1"/>
  <c r="S73" i="2"/>
  <c r="S132" i="1" s="1"/>
  <c r="P69" i="2"/>
  <c r="P74" i="2"/>
  <c r="P133" i="1" s="1"/>
  <c r="AB33" i="2"/>
  <c r="AB34" i="1" s="1"/>
  <c r="AF31" i="2"/>
  <c r="AF15" i="2"/>
  <c r="R60" i="2"/>
  <c r="R120" i="1" s="1"/>
  <c r="AF48" i="2"/>
  <c r="AF16" i="2"/>
  <c r="AF25" i="2"/>
  <c r="AF26" i="2"/>
  <c r="H60" i="2"/>
  <c r="H120" i="1" s="1"/>
  <c r="AF10" i="2"/>
  <c r="AF43" i="2"/>
  <c r="AF49" i="2"/>
  <c r="AF22" i="2"/>
  <c r="AF19" i="2"/>
  <c r="AF28" i="2"/>
  <c r="AF46" i="2"/>
  <c r="AF24" i="2"/>
  <c r="AF50" i="2"/>
  <c r="J60" i="2"/>
  <c r="J120" i="1" s="1"/>
  <c r="AF47" i="2"/>
  <c r="AF33" i="2"/>
  <c r="AF21" i="2"/>
  <c r="AF32" i="2"/>
  <c r="AF17" i="2"/>
  <c r="G122" i="1" l="1"/>
  <c r="G125" i="1"/>
  <c r="G132" i="1"/>
  <c r="AF132" i="1" s="1"/>
  <c r="AB73" i="2"/>
  <c r="AB57" i="2"/>
  <c r="AB117" i="1" s="1"/>
  <c r="AB58" i="2"/>
  <c r="AB118" i="1" s="1"/>
  <c r="I105" i="1"/>
  <c r="AF93" i="2"/>
  <c r="AF57" i="2"/>
  <c r="AF94" i="2"/>
  <c r="AF58" i="2"/>
  <c r="AF86" i="2"/>
  <c r="AB94" i="2"/>
  <c r="AB153" i="1" s="1"/>
  <c r="AC29" i="2"/>
  <c r="AD29" i="2" s="1"/>
  <c r="AE29" i="2" s="1"/>
  <c r="AF55" i="2"/>
  <c r="AB55" i="2"/>
  <c r="AB115" i="1" s="1"/>
  <c r="AF59" i="2"/>
  <c r="AK59" i="2"/>
  <c r="G34" i="3"/>
  <c r="G35" i="4" s="1"/>
  <c r="AF35" i="4" s="1"/>
  <c r="AB11" i="1"/>
  <c r="U35" i="3"/>
  <c r="Q36" i="4" s="1"/>
  <c r="AF133" i="1"/>
  <c r="AC47" i="2"/>
  <c r="AC107" i="1" s="1"/>
  <c r="AB93" i="2"/>
  <c r="AB152" i="1" s="1"/>
  <c r="AB89" i="2"/>
  <c r="AB148" i="1" s="1"/>
  <c r="AF85" i="2"/>
  <c r="AF89" i="2"/>
  <c r="AF97" i="2"/>
  <c r="AB97" i="2"/>
  <c r="AB156" i="1" s="1"/>
  <c r="AC25" i="2"/>
  <c r="AC26" i="1" s="1"/>
  <c r="AB85" i="2"/>
  <c r="AC85" i="2" s="1"/>
  <c r="AB86" i="2"/>
  <c r="AC86" i="2" s="1"/>
  <c r="AD10" i="2"/>
  <c r="AD11" i="1" s="1"/>
  <c r="AB22" i="1"/>
  <c r="AB33" i="1"/>
  <c r="AB25" i="1"/>
  <c r="AF98" i="2"/>
  <c r="AF90" i="2"/>
  <c r="AB106" i="1"/>
  <c r="AE22" i="2"/>
  <c r="AE23" i="1" s="1"/>
  <c r="AB56" i="2"/>
  <c r="AB116" i="1" s="1"/>
  <c r="AF56" i="2"/>
  <c r="AC106" i="1"/>
  <c r="AD46" i="2"/>
  <c r="AE46" i="2" s="1"/>
  <c r="AB98" i="2"/>
  <c r="AB157" i="1" s="1"/>
  <c r="AE6" i="1"/>
  <c r="AC49" i="2"/>
  <c r="AD49" i="2" s="1"/>
  <c r="AB90" i="2"/>
  <c r="AC90" i="2" s="1"/>
  <c r="C34" i="3"/>
  <c r="C35" i="4" s="1"/>
  <c r="AB80" i="2"/>
  <c r="AC80" i="2" s="1"/>
  <c r="G139" i="1"/>
  <c r="AF139" i="1" s="1"/>
  <c r="AB88" i="2"/>
  <c r="AC88" i="2" s="1"/>
  <c r="G147" i="1"/>
  <c r="AF147" i="1" s="1"/>
  <c r="AB92" i="2"/>
  <c r="AC92" i="2" s="1"/>
  <c r="G151" i="1"/>
  <c r="AF151" i="1" s="1"/>
  <c r="AB96" i="2"/>
  <c r="AC96" i="2" s="1"/>
  <c r="G155" i="1"/>
  <c r="AF155" i="1" s="1"/>
  <c r="AB78" i="2"/>
  <c r="AC78" i="2" s="1"/>
  <c r="G137" i="1"/>
  <c r="AF137" i="1" s="1"/>
  <c r="AC15" i="2"/>
  <c r="AB17" i="1"/>
  <c r="AC31" i="2"/>
  <c r="AB32" i="1"/>
  <c r="AC28" i="2"/>
  <c r="AB29" i="1"/>
  <c r="AC26" i="2"/>
  <c r="AB27" i="1"/>
  <c r="AC17" i="2"/>
  <c r="AB18" i="1"/>
  <c r="AD21" i="2"/>
  <c r="AC22" i="1"/>
  <c r="AD32" i="2"/>
  <c r="AC33" i="1"/>
  <c r="AC48" i="2"/>
  <c r="AB108" i="1"/>
  <c r="AB79" i="2"/>
  <c r="AC79" i="2" s="1"/>
  <c r="G138" i="1"/>
  <c r="AF138" i="1" s="1"/>
  <c r="AB87" i="2"/>
  <c r="AB146" i="1" s="1"/>
  <c r="G146" i="1"/>
  <c r="AF146" i="1" s="1"/>
  <c r="AB91" i="2"/>
  <c r="AB150" i="1" s="1"/>
  <c r="G150" i="1"/>
  <c r="AF150" i="1" s="1"/>
  <c r="AB95" i="2"/>
  <c r="AB154" i="1" s="1"/>
  <c r="G154" i="1"/>
  <c r="AF154" i="1" s="1"/>
  <c r="AB99" i="2"/>
  <c r="AB158" i="1" s="1"/>
  <c r="G158" i="1"/>
  <c r="AF158" i="1" s="1"/>
  <c r="AE16" i="2"/>
  <c r="AE15" i="1" s="1"/>
  <c r="AD15" i="1"/>
  <c r="AF44" i="3"/>
  <c r="AB167" i="1" s="1"/>
  <c r="P167" i="1"/>
  <c r="AB48" i="4"/>
  <c r="AB205" i="1" s="1"/>
  <c r="P205" i="1"/>
  <c r="AB69" i="2"/>
  <c r="AB129" i="1" s="1"/>
  <c r="P129" i="1"/>
  <c r="AF40" i="3"/>
  <c r="AB163" i="1" s="1"/>
  <c r="P163" i="1"/>
  <c r="R159" i="1"/>
  <c r="AF159" i="1" s="1"/>
  <c r="S159" i="1"/>
  <c r="H35" i="3"/>
  <c r="H36" i="4" s="1"/>
  <c r="V35" i="3"/>
  <c r="R36" i="4" s="1"/>
  <c r="K35" i="3"/>
  <c r="J36" i="4" s="1"/>
  <c r="AB74" i="2"/>
  <c r="R105" i="1"/>
  <c r="U45" i="2"/>
  <c r="X45" i="2"/>
  <c r="AA45" i="2"/>
  <c r="Q165" i="1"/>
  <c r="S38" i="4"/>
  <c r="S195" i="1" s="1"/>
  <c r="R38" i="4"/>
  <c r="R195" i="1" s="1"/>
  <c r="AF195" i="1" s="1"/>
  <c r="S126" i="1"/>
  <c r="AA44" i="2"/>
  <c r="AA104" i="1" s="1"/>
  <c r="K119" i="5" s="1"/>
  <c r="L119" i="5" s="1"/>
  <c r="S61" i="2" s="1"/>
  <c r="R165" i="1"/>
  <c r="AF165" i="1" s="1"/>
  <c r="X44" i="2"/>
  <c r="X104" i="1" s="1"/>
  <c r="I119" i="5" s="1"/>
  <c r="J119" i="5" s="1"/>
  <c r="Q159" i="1"/>
  <c r="U44" i="2"/>
  <c r="U104" i="1" s="1"/>
  <c r="G119" i="5" s="1"/>
  <c r="H119" i="5" s="1"/>
  <c r="Q61" i="2" s="1"/>
  <c r="R44" i="2"/>
  <c r="R39" i="4"/>
  <c r="R196" i="1" s="1"/>
  <c r="AF196" i="1" s="1"/>
  <c r="Q66" i="2"/>
  <c r="Q126" i="1" s="1"/>
  <c r="P66" i="2"/>
  <c r="P126" i="1" s="1"/>
  <c r="P84" i="2"/>
  <c r="P143" i="1" s="1"/>
  <c r="Q84" i="2"/>
  <c r="Q143" i="1" s="1"/>
  <c r="S84" i="2"/>
  <c r="S143" i="1" s="1"/>
  <c r="R84" i="2"/>
  <c r="R143" i="1" s="1"/>
  <c r="AF143" i="1" s="1"/>
  <c r="P83" i="2"/>
  <c r="P142" i="1" s="1"/>
  <c r="S83" i="2"/>
  <c r="S142" i="1" s="1"/>
  <c r="Q83" i="2"/>
  <c r="Q142" i="1" s="1"/>
  <c r="R83" i="2"/>
  <c r="R142" i="1" s="1"/>
  <c r="AF142" i="1" s="1"/>
  <c r="Q82" i="2"/>
  <c r="Q141" i="1" s="1"/>
  <c r="P82" i="2"/>
  <c r="P141" i="1" s="1"/>
  <c r="S82" i="2"/>
  <c r="S141" i="1" s="1"/>
  <c r="R82" i="2"/>
  <c r="R141" i="1" s="1"/>
  <c r="AF141" i="1" s="1"/>
  <c r="Q38" i="4"/>
  <c r="Q195" i="1" s="1"/>
  <c r="Q39" i="4"/>
  <c r="Q196" i="1" s="1"/>
  <c r="S39" i="4"/>
  <c r="S196" i="1" s="1"/>
  <c r="M11" i="2"/>
  <c r="AD11" i="2" s="1"/>
  <c r="AE11" i="2" s="1"/>
  <c r="AF47" i="4"/>
  <c r="AF69" i="2"/>
  <c r="AF48" i="4"/>
  <c r="R126" i="1"/>
  <c r="AF126" i="1" s="1"/>
  <c r="P81" i="2"/>
  <c r="P140" i="1" s="1"/>
  <c r="Q81" i="2"/>
  <c r="Q140" i="1" s="1"/>
  <c r="S81" i="2"/>
  <c r="S140" i="1" s="1"/>
  <c r="R81" i="2"/>
  <c r="R140" i="1" s="1"/>
  <c r="AF140" i="1" s="1"/>
  <c r="P38" i="4"/>
  <c r="P39" i="4"/>
  <c r="S165" i="1"/>
  <c r="AJ40" i="3"/>
  <c r="G76" i="2"/>
  <c r="G135" i="1" s="1"/>
  <c r="AC33" i="2"/>
  <c r="AC34" i="1" s="1"/>
  <c r="AB60" i="2"/>
  <c r="AB120" i="1" s="1"/>
  <c r="AF73" i="2"/>
  <c r="L60" i="2"/>
  <c r="L120" i="1" s="1"/>
  <c r="AF74" i="2"/>
  <c r="AC60" i="2"/>
  <c r="AC120" i="1" s="1"/>
  <c r="AC57" i="2" l="1"/>
  <c r="AC117" i="1" s="1"/>
  <c r="R104" i="1"/>
  <c r="AF104" i="1" s="1"/>
  <c r="Q44" i="2"/>
  <c r="Q104" i="1" s="1"/>
  <c r="AA105" i="1"/>
  <c r="K120" i="5" s="1"/>
  <c r="L120" i="5" s="1"/>
  <c r="S72" i="2" s="1"/>
  <c r="N131" i="1"/>
  <c r="X105" i="1"/>
  <c r="I120" i="5" s="1"/>
  <c r="J120" i="5" s="1"/>
  <c r="R72" i="2" s="1"/>
  <c r="L131" i="1"/>
  <c r="U105" i="1"/>
  <c r="G120" i="5" s="1"/>
  <c r="H120" i="5" s="1"/>
  <c r="Q72" i="2" s="1"/>
  <c r="J131" i="1"/>
  <c r="AC55" i="2"/>
  <c r="AC115" i="1" s="1"/>
  <c r="AC58" i="2"/>
  <c r="AC118" i="1" s="1"/>
  <c r="O12" i="1"/>
  <c r="AD30" i="1"/>
  <c r="AC94" i="2"/>
  <c r="AC153" i="1" s="1"/>
  <c r="AC30" i="1"/>
  <c r="AJ34" i="3"/>
  <c r="AC93" i="2"/>
  <c r="AC152" i="1" s="1"/>
  <c r="AD47" i="2"/>
  <c r="AE47" i="2" s="1"/>
  <c r="AE107" i="1" s="1"/>
  <c r="AC56" i="2"/>
  <c r="AC116" i="1" s="1"/>
  <c r="AC97" i="2"/>
  <c r="AD97" i="2" s="1"/>
  <c r="AC89" i="2"/>
  <c r="AD89" i="2" s="1"/>
  <c r="AD25" i="2"/>
  <c r="AE25" i="2" s="1"/>
  <c r="AE10" i="2"/>
  <c r="AE11" i="1" s="1"/>
  <c r="AB145" i="1"/>
  <c r="AB144" i="1"/>
  <c r="AC109" i="1"/>
  <c r="AD23" i="1"/>
  <c r="AG40" i="3"/>
  <c r="AH40" i="3" s="1"/>
  <c r="AC98" i="2"/>
  <c r="AD98" i="2" s="1"/>
  <c r="AC25" i="1"/>
  <c r="AC87" i="2"/>
  <c r="AD87" i="2" s="1"/>
  <c r="AB151" i="1"/>
  <c r="AB139" i="1"/>
  <c r="AK22" i="2"/>
  <c r="AC91" i="2"/>
  <c r="AD91" i="2" s="1"/>
  <c r="AC99" i="2"/>
  <c r="AD99" i="2" s="1"/>
  <c r="AC95" i="2"/>
  <c r="AD95" i="2" s="1"/>
  <c r="AB138" i="1"/>
  <c r="AB137" i="1"/>
  <c r="AE106" i="1"/>
  <c r="AK46" i="2"/>
  <c r="AD106" i="1"/>
  <c r="AB149" i="1"/>
  <c r="AB155" i="1"/>
  <c r="AB147" i="1"/>
  <c r="AC69" i="2"/>
  <c r="AD69" i="2" s="1"/>
  <c r="AG44" i="3"/>
  <c r="AH44" i="3" s="1"/>
  <c r="AC48" i="4"/>
  <c r="AD48" i="4" s="1"/>
  <c r="AK16" i="2"/>
  <c r="AK5" i="2"/>
  <c r="AC108" i="1"/>
  <c r="AD48" i="2"/>
  <c r="AK29" i="2"/>
  <c r="AE30" i="1"/>
  <c r="AD33" i="1"/>
  <c r="AE32" i="2"/>
  <c r="AE33" i="1" s="1"/>
  <c r="AD22" i="1"/>
  <c r="AE21" i="2"/>
  <c r="AC18" i="1"/>
  <c r="AD17" i="2"/>
  <c r="AD26" i="2"/>
  <c r="AC27" i="1"/>
  <c r="AC29" i="1"/>
  <c r="AD28" i="2"/>
  <c r="AD31" i="2"/>
  <c r="AC32" i="1"/>
  <c r="AD15" i="2"/>
  <c r="AC17" i="1"/>
  <c r="AE49" i="2"/>
  <c r="AD109" i="1"/>
  <c r="E120" i="5"/>
  <c r="F120" i="5" s="1"/>
  <c r="P72" i="2" s="1"/>
  <c r="I12" i="1"/>
  <c r="R37" i="4"/>
  <c r="AF37" i="4" s="1"/>
  <c r="M12" i="1"/>
  <c r="AC74" i="2"/>
  <c r="AB133" i="1"/>
  <c r="AC73" i="2"/>
  <c r="AB132" i="1"/>
  <c r="AB47" i="4"/>
  <c r="P204" i="1"/>
  <c r="Q37" i="4"/>
  <c r="K12" i="1"/>
  <c r="AG41" i="3"/>
  <c r="P164" i="1"/>
  <c r="AD96" i="2"/>
  <c r="AC155" i="1"/>
  <c r="AD88" i="2"/>
  <c r="AC147" i="1"/>
  <c r="AD79" i="2"/>
  <c r="AC138" i="1"/>
  <c r="AD86" i="2"/>
  <c r="AC145" i="1"/>
  <c r="AD78" i="2"/>
  <c r="AC137" i="1"/>
  <c r="AD90" i="2"/>
  <c r="AC149" i="1"/>
  <c r="AB39" i="4"/>
  <c r="AB196" i="1" s="1"/>
  <c r="P196" i="1"/>
  <c r="AB159" i="1"/>
  <c r="P159" i="1"/>
  <c r="AB38" i="4"/>
  <c r="AB195" i="1" s="1"/>
  <c r="P195" i="1"/>
  <c r="AB165" i="1"/>
  <c r="P165" i="1"/>
  <c r="AD92" i="2"/>
  <c r="AC151" i="1"/>
  <c r="AD80" i="2"/>
  <c r="AC139" i="1"/>
  <c r="AD85" i="2"/>
  <c r="AC144" i="1"/>
  <c r="P67" i="2"/>
  <c r="P127" i="1" s="1"/>
  <c r="R67" i="2"/>
  <c r="R127" i="1" s="1"/>
  <c r="AF127" i="1" s="1"/>
  <c r="Q127" i="1"/>
  <c r="S67" i="2"/>
  <c r="S127" i="1" s="1"/>
  <c r="S37" i="4"/>
  <c r="P37" i="4"/>
  <c r="AF38" i="4"/>
  <c r="AF35" i="3"/>
  <c r="AB36" i="4" s="1"/>
  <c r="AG35" i="3"/>
  <c r="AC36" i="4" s="1"/>
  <c r="N35" i="3"/>
  <c r="L36" i="4" s="1"/>
  <c r="AB81" i="2"/>
  <c r="AB66" i="2"/>
  <c r="AB126" i="1" s="1"/>
  <c r="AB84" i="2"/>
  <c r="AB82" i="2"/>
  <c r="AB83" i="2"/>
  <c r="S44" i="2"/>
  <c r="S104" i="1" s="1"/>
  <c r="T44" i="2"/>
  <c r="T104" i="1" s="1"/>
  <c r="V44" i="2"/>
  <c r="V104" i="1" s="1"/>
  <c r="W44" i="2"/>
  <c r="W104" i="1" s="1"/>
  <c r="Z45" i="2"/>
  <c r="Z105" i="1" s="1"/>
  <c r="Y45" i="2"/>
  <c r="Y105" i="1" s="1"/>
  <c r="T45" i="2"/>
  <c r="T105" i="1" s="1"/>
  <c r="S45" i="2"/>
  <c r="S105" i="1" s="1"/>
  <c r="Y44" i="2"/>
  <c r="Y104" i="1" s="1"/>
  <c r="Z44" i="2"/>
  <c r="Z104" i="1" s="1"/>
  <c r="AB44" i="2"/>
  <c r="AB104" i="1" s="1"/>
  <c r="P44" i="2"/>
  <c r="P104" i="1" s="1"/>
  <c r="W45" i="2"/>
  <c r="W105" i="1" s="1"/>
  <c r="V45" i="2"/>
  <c r="V105" i="1" s="1"/>
  <c r="AB45" i="2"/>
  <c r="P45" i="2"/>
  <c r="P105" i="1" s="1"/>
  <c r="Q45" i="2"/>
  <c r="AF39" i="4"/>
  <c r="AF66" i="2"/>
  <c r="AF84" i="2"/>
  <c r="AF82" i="2"/>
  <c r="AF83" i="2"/>
  <c r="AF81" i="2"/>
  <c r="AD33" i="2"/>
  <c r="AD34" i="1" s="1"/>
  <c r="S60" i="2"/>
  <c r="S120" i="1" s="1"/>
  <c r="N60" i="2"/>
  <c r="AD60" i="2"/>
  <c r="Q121" i="1"/>
  <c r="R61" i="2"/>
  <c r="R121" i="1" s="1"/>
  <c r="AF121" i="1" s="1"/>
  <c r="S121" i="1"/>
  <c r="P36" i="4"/>
  <c r="AE60" i="2"/>
  <c r="AE120" i="1" s="1"/>
  <c r="AD57" i="2" l="1"/>
  <c r="E119" i="5"/>
  <c r="F119" i="5" s="1"/>
  <c r="P61" i="2" s="1"/>
  <c r="AJ131" i="1"/>
  <c r="AF105" i="1"/>
  <c r="AD58" i="2"/>
  <c r="AE58" i="2" s="1"/>
  <c r="AE118" i="1" s="1"/>
  <c r="AD55" i="2"/>
  <c r="AD115" i="1" s="1"/>
  <c r="AD93" i="2"/>
  <c r="AE93" i="2" s="1"/>
  <c r="AE152" i="1" s="1"/>
  <c r="AD94" i="2"/>
  <c r="AD153" i="1" s="1"/>
  <c r="AD56" i="2"/>
  <c r="AD116" i="1" s="1"/>
  <c r="AK47" i="2"/>
  <c r="AD107" i="1"/>
  <c r="AB12" i="1"/>
  <c r="P62" i="2"/>
  <c r="AB62" i="2" s="1"/>
  <c r="AC62" i="2" s="1"/>
  <c r="AC148" i="1"/>
  <c r="AC156" i="1"/>
  <c r="AD26" i="1"/>
  <c r="AC163" i="1"/>
  <c r="AK10" i="2"/>
  <c r="AC157" i="1"/>
  <c r="AC154" i="1"/>
  <c r="AE33" i="2"/>
  <c r="AE34" i="1" s="1"/>
  <c r="AC146" i="1"/>
  <c r="AC129" i="1"/>
  <c r="AD25" i="1"/>
  <c r="AC167" i="1"/>
  <c r="AG42" i="3"/>
  <c r="AC158" i="1"/>
  <c r="AG36" i="3"/>
  <c r="AH36" i="3" s="1"/>
  <c r="AC39" i="4"/>
  <c r="AC196" i="1" s="1"/>
  <c r="AB67" i="2"/>
  <c r="AB127" i="1" s="1"/>
  <c r="AC205" i="1"/>
  <c r="AC150" i="1"/>
  <c r="AC44" i="2"/>
  <c r="AD44" i="2" s="1"/>
  <c r="AC66" i="2"/>
  <c r="AC126" i="1" s="1"/>
  <c r="AK32" i="2"/>
  <c r="AC38" i="4"/>
  <c r="AC195" i="1" s="1"/>
  <c r="W35" i="3"/>
  <c r="S36" i="4" s="1"/>
  <c r="AF60" i="2"/>
  <c r="AH35" i="3"/>
  <c r="AD36" i="4" s="1"/>
  <c r="AD120" i="1"/>
  <c r="Q35" i="3"/>
  <c r="N36" i="4" s="1"/>
  <c r="AF36" i="4" s="1"/>
  <c r="N120" i="1"/>
  <c r="AF120" i="1" s="1"/>
  <c r="AE28" i="2"/>
  <c r="AE29" i="1" s="1"/>
  <c r="AD29" i="1"/>
  <c r="AE17" i="2"/>
  <c r="AD18" i="1"/>
  <c r="AK21" i="2"/>
  <c r="AE22" i="1"/>
  <c r="AE57" i="2"/>
  <c r="AE117" i="1" s="1"/>
  <c r="AD117" i="1"/>
  <c r="AK49" i="2"/>
  <c r="AE109" i="1"/>
  <c r="AD17" i="1"/>
  <c r="AE15" i="2"/>
  <c r="AE26" i="1"/>
  <c r="AK25" i="2"/>
  <c r="AE31" i="2"/>
  <c r="AE32" i="1" s="1"/>
  <c r="AD32" i="1"/>
  <c r="AD27" i="1"/>
  <c r="AE26" i="2"/>
  <c r="AE48" i="2"/>
  <c r="AD108" i="1"/>
  <c r="AF12" i="1"/>
  <c r="AC82" i="2"/>
  <c r="AB141" i="1"/>
  <c r="Q105" i="1"/>
  <c r="AC84" i="2"/>
  <c r="AB143" i="1"/>
  <c r="AE85" i="2"/>
  <c r="AE144" i="1" s="1"/>
  <c r="AD144" i="1"/>
  <c r="AE95" i="2"/>
  <c r="AE154" i="1" s="1"/>
  <c r="AD154" i="1"/>
  <c r="AE80" i="2"/>
  <c r="AE139" i="1" s="1"/>
  <c r="AD139" i="1"/>
  <c r="AI44" i="3"/>
  <c r="AE167" i="1" s="1"/>
  <c r="AD167" i="1"/>
  <c r="AE90" i="2"/>
  <c r="AE149" i="1" s="1"/>
  <c r="AD149" i="1"/>
  <c r="AE86" i="2"/>
  <c r="AE145" i="1" s="1"/>
  <c r="AD145" i="1"/>
  <c r="AE91" i="2"/>
  <c r="AE150" i="1" s="1"/>
  <c r="AD150" i="1"/>
  <c r="AE97" i="2"/>
  <c r="AE156" i="1" s="1"/>
  <c r="AD156" i="1"/>
  <c r="AE96" i="2"/>
  <c r="AE155" i="1" s="1"/>
  <c r="AD155" i="1"/>
  <c r="AB164" i="1"/>
  <c r="AC47" i="4"/>
  <c r="AB204" i="1"/>
  <c r="AI40" i="3"/>
  <c r="AE163" i="1" s="1"/>
  <c r="AD163" i="1"/>
  <c r="AC45" i="2"/>
  <c r="AB105" i="1"/>
  <c r="AB202" i="1"/>
  <c r="AC83" i="2"/>
  <c r="AB142" i="1"/>
  <c r="AC81" i="2"/>
  <c r="AB140" i="1"/>
  <c r="AB203" i="1"/>
  <c r="AE89" i="2"/>
  <c r="AE148" i="1" s="1"/>
  <c r="AD148" i="1"/>
  <c r="AE87" i="2"/>
  <c r="AE146" i="1" s="1"/>
  <c r="AD146" i="1"/>
  <c r="AE98" i="2"/>
  <c r="AE157" i="1" s="1"/>
  <c r="AD157" i="1"/>
  <c r="AE92" i="2"/>
  <c r="AE151" i="1" s="1"/>
  <c r="AD151" i="1"/>
  <c r="AE48" i="4"/>
  <c r="AE205" i="1" s="1"/>
  <c r="AD205" i="1"/>
  <c r="AE69" i="2"/>
  <c r="AE129" i="1" s="1"/>
  <c r="AD129" i="1"/>
  <c r="AE78" i="2"/>
  <c r="AE137" i="1" s="1"/>
  <c r="AD137" i="1"/>
  <c r="AE79" i="2"/>
  <c r="AE138" i="1" s="1"/>
  <c r="AD138" i="1"/>
  <c r="AE99" i="2"/>
  <c r="AE158" i="1" s="1"/>
  <c r="AD158" i="1"/>
  <c r="AE88" i="2"/>
  <c r="AE147" i="1" s="1"/>
  <c r="AD147" i="1"/>
  <c r="AD73" i="2"/>
  <c r="AC132" i="1"/>
  <c r="AD74" i="2"/>
  <c r="AC133" i="1"/>
  <c r="AF45" i="2"/>
  <c r="AF44" i="2"/>
  <c r="AK60" i="2"/>
  <c r="AK68" i="2"/>
  <c r="AH11" i="3"/>
  <c r="AD51" i="1" s="1"/>
  <c r="AB37" i="4"/>
  <c r="AI35" i="3"/>
  <c r="AJ11" i="3"/>
  <c r="AF11" i="2"/>
  <c r="AB61" i="2" l="1"/>
  <c r="AB121" i="1" s="1"/>
  <c r="AC165" i="1"/>
  <c r="AH42" i="3"/>
  <c r="AI42" i="3" s="1"/>
  <c r="AE165" i="1" s="1"/>
  <c r="AD118" i="1"/>
  <c r="AE55" i="2"/>
  <c r="AE115" i="1" s="1"/>
  <c r="AE56" i="2"/>
  <c r="AE116" i="1" s="1"/>
  <c r="AD152" i="1"/>
  <c r="AE94" i="2"/>
  <c r="AE153" i="1" s="1"/>
  <c r="P121" i="1"/>
  <c r="AK57" i="2"/>
  <c r="AK33" i="2"/>
  <c r="AD38" i="4"/>
  <c r="AE38" i="4" s="1"/>
  <c r="AE195" i="1" s="1"/>
  <c r="AJ35" i="3"/>
  <c r="AD66" i="2"/>
  <c r="AD126" i="1" s="1"/>
  <c r="AD39" i="4"/>
  <c r="AE39" i="4" s="1"/>
  <c r="AE196" i="1" s="1"/>
  <c r="AC12" i="1"/>
  <c r="AK58" i="2"/>
  <c r="AC159" i="1"/>
  <c r="AE25" i="1"/>
  <c r="AK24" i="2"/>
  <c r="AC67" i="2"/>
  <c r="AC127" i="1" s="1"/>
  <c r="AC104" i="1"/>
  <c r="AK90" i="2"/>
  <c r="AK31" i="2"/>
  <c r="AD104" i="1"/>
  <c r="AE44" i="2"/>
  <c r="AE104" i="1" s="1"/>
  <c r="AK95" i="2"/>
  <c r="AK89" i="2"/>
  <c r="AK28" i="2"/>
  <c r="AK87" i="2"/>
  <c r="AK86" i="2"/>
  <c r="AK96" i="2"/>
  <c r="AK85" i="2"/>
  <c r="AK91" i="2"/>
  <c r="AK97" i="2"/>
  <c r="AK80" i="2"/>
  <c r="AK48" i="2"/>
  <c r="AE108" i="1"/>
  <c r="AE17" i="1"/>
  <c r="AK15" i="2"/>
  <c r="AK26" i="2"/>
  <c r="AE27" i="1"/>
  <c r="AK17" i="2"/>
  <c r="AE18" i="1"/>
  <c r="AK98" i="2"/>
  <c r="AK93" i="2"/>
  <c r="AK78" i="2"/>
  <c r="AK99" i="2"/>
  <c r="AK79" i="2"/>
  <c r="AK92" i="2"/>
  <c r="AC203" i="1"/>
  <c r="AD81" i="2"/>
  <c r="AC140" i="1"/>
  <c r="AC202" i="1"/>
  <c r="AD45" i="2"/>
  <c r="AC105" i="1"/>
  <c r="AD47" i="4"/>
  <c r="AC204" i="1"/>
  <c r="AE12" i="1"/>
  <c r="AD12" i="1"/>
  <c r="AD82" i="2"/>
  <c r="AC141" i="1"/>
  <c r="AE73" i="2"/>
  <c r="AE132" i="1" s="1"/>
  <c r="AD132" i="1"/>
  <c r="AK88" i="2"/>
  <c r="AE74" i="2"/>
  <c r="AE133" i="1" s="1"/>
  <c r="AD133" i="1"/>
  <c r="AD83" i="2"/>
  <c r="AC142" i="1"/>
  <c r="AH41" i="3"/>
  <c r="AI41" i="3" s="1"/>
  <c r="AC164" i="1"/>
  <c r="AD84" i="2"/>
  <c r="AC143" i="1"/>
  <c r="AI36" i="3"/>
  <c r="AE159" i="1" s="1"/>
  <c r="AD159" i="1"/>
  <c r="AK69" i="2"/>
  <c r="AI11" i="3"/>
  <c r="AE51" i="1" s="1"/>
  <c r="AJ37" i="3"/>
  <c r="AJ44" i="3"/>
  <c r="AJ36" i="3"/>
  <c r="AJ42" i="3"/>
  <c r="AJ43" i="3"/>
  <c r="AJ41" i="3"/>
  <c r="AF67" i="2"/>
  <c r="AB48" i="1"/>
  <c r="AE36" i="4"/>
  <c r="AJ8" i="3"/>
  <c r="AK55" i="2" l="1"/>
  <c r="AK56" i="2"/>
  <c r="AK94" i="2"/>
  <c r="AD195" i="1"/>
  <c r="AE66" i="2"/>
  <c r="AE126" i="1" s="1"/>
  <c r="AD196" i="1"/>
  <c r="AD165" i="1"/>
  <c r="AD67" i="2"/>
  <c r="AE67" i="2" s="1"/>
  <c r="AE127" i="1" s="1"/>
  <c r="AK73" i="2"/>
  <c r="AK74" i="2"/>
  <c r="AK44" i="2"/>
  <c r="AE84" i="2"/>
  <c r="AE143" i="1" s="1"/>
  <c r="AD143" i="1"/>
  <c r="AE164" i="1"/>
  <c r="AD164" i="1"/>
  <c r="AE83" i="2"/>
  <c r="AE142" i="1" s="1"/>
  <c r="AD142" i="1"/>
  <c r="AE82" i="2"/>
  <c r="AE141" i="1" s="1"/>
  <c r="AD141" i="1"/>
  <c r="AE47" i="4"/>
  <c r="AE204" i="1" s="1"/>
  <c r="AD204" i="1"/>
  <c r="AE202" i="1"/>
  <c r="AD202" i="1"/>
  <c r="AE203" i="1"/>
  <c r="AD203" i="1"/>
  <c r="R131" i="1"/>
  <c r="AF131" i="1" s="1"/>
  <c r="AD105" i="1"/>
  <c r="AE45" i="2"/>
  <c r="AE81" i="2"/>
  <c r="AE140" i="1" s="1"/>
  <c r="AD140" i="1"/>
  <c r="S65" i="2"/>
  <c r="S125" i="1" s="1"/>
  <c r="M6" i="3"/>
  <c r="K46" i="1" s="1"/>
  <c r="S6" i="3"/>
  <c r="P6" i="3"/>
  <c r="M46" i="1" s="1"/>
  <c r="J6" i="3"/>
  <c r="AF6" i="3" s="1"/>
  <c r="P65" i="2"/>
  <c r="Q65" i="2"/>
  <c r="R65" i="2"/>
  <c r="R125" i="1" s="1"/>
  <c r="AF125" i="1" s="1"/>
  <c r="AC37" i="4"/>
  <c r="AF7" i="3"/>
  <c r="AB47" i="1" s="1"/>
  <c r="AJ7" i="3"/>
  <c r="AG6" i="3" l="1"/>
  <c r="AH6" i="3" s="1"/>
  <c r="AI6" i="3" s="1"/>
  <c r="AF65" i="2"/>
  <c r="O46" i="1"/>
  <c r="I46" i="1"/>
  <c r="AK84" i="2"/>
  <c r="AK66" i="2"/>
  <c r="AD127" i="1"/>
  <c r="AK82" i="2"/>
  <c r="AK83" i="2"/>
  <c r="AK81" i="2"/>
  <c r="AE105" i="1"/>
  <c r="AK45" i="2"/>
  <c r="AB65" i="2"/>
  <c r="AB125" i="1" s="1"/>
  <c r="P125" i="1"/>
  <c r="AD48" i="1"/>
  <c r="AC48" i="1"/>
  <c r="Q125" i="1"/>
  <c r="S131" i="1"/>
  <c r="AJ6" i="3"/>
  <c r="AD37" i="4"/>
  <c r="AE37" i="4"/>
  <c r="AG7" i="3"/>
  <c r="AC47" i="1" s="1"/>
  <c r="AF46" i="1" l="1"/>
  <c r="AE48" i="1"/>
  <c r="AC65" i="2"/>
  <c r="AD65" i="2" s="1"/>
  <c r="Q131" i="1"/>
  <c r="AF72" i="2"/>
  <c r="AB46" i="1"/>
  <c r="Q77" i="2"/>
  <c r="Q136" i="1" s="1"/>
  <c r="R77" i="2"/>
  <c r="R136" i="1" s="1"/>
  <c r="AF136" i="1" s="1"/>
  <c r="S77" i="2"/>
  <c r="S136" i="1" s="1"/>
  <c r="P77" i="2"/>
  <c r="AK11" i="2"/>
  <c r="AH7" i="3"/>
  <c r="AD47" i="1" s="1"/>
  <c r="AC125" i="1" l="1"/>
  <c r="AC46" i="1"/>
  <c r="AE65" i="2"/>
  <c r="AE125" i="1" s="1"/>
  <c r="AD125" i="1"/>
  <c r="AB77" i="2"/>
  <c r="P136" i="1"/>
  <c r="AB72" i="2"/>
  <c r="P131" i="1"/>
  <c r="S135" i="1"/>
  <c r="AF77" i="2"/>
  <c r="R135" i="1"/>
  <c r="AF135" i="1" s="1"/>
  <c r="AK67" i="2"/>
  <c r="AI7" i="3"/>
  <c r="AE47" i="1" s="1"/>
  <c r="AF61" i="2"/>
  <c r="P135" i="1" l="1"/>
  <c r="AB76" i="2"/>
  <c r="AC76" i="2" s="1"/>
  <c r="AD76" i="2" s="1"/>
  <c r="AE76" i="2" s="1"/>
  <c r="Q135" i="1"/>
  <c r="AK65" i="2"/>
  <c r="AC72" i="2"/>
  <c r="AB131" i="1"/>
  <c r="AC77" i="2"/>
  <c r="AB136" i="1"/>
  <c r="AE46" i="1"/>
  <c r="AD46" i="1"/>
  <c r="AC61" i="2"/>
  <c r="AC121" i="1" s="1"/>
  <c r="AB135" i="1" l="1"/>
  <c r="AB101" i="2"/>
  <c r="AD77" i="2"/>
  <c r="AC136" i="1"/>
  <c r="AD72" i="2"/>
  <c r="AC131" i="1"/>
  <c r="Q75" i="2"/>
  <c r="Q134" i="1" s="1"/>
  <c r="R75" i="2"/>
  <c r="R134" i="1" s="1"/>
  <c r="AF134" i="1" s="1"/>
  <c r="P75" i="2"/>
  <c r="S9" i="3"/>
  <c r="O49" i="1" s="1"/>
  <c r="P9" i="3"/>
  <c r="M49" i="1" s="1"/>
  <c r="M9" i="3"/>
  <c r="K49" i="1" s="1"/>
  <c r="S75" i="2"/>
  <c r="S134" i="1" s="1"/>
  <c r="AD61" i="2"/>
  <c r="AD121" i="1" s="1"/>
  <c r="AF76" i="2"/>
  <c r="AE61" i="2" l="1"/>
  <c r="AB75" i="2"/>
  <c r="P134" i="1"/>
  <c r="AE72" i="2"/>
  <c r="AE131" i="1" s="1"/>
  <c r="AD131" i="1"/>
  <c r="AD135" i="1"/>
  <c r="AC135" i="1"/>
  <c r="AE77" i="2"/>
  <c r="AE136" i="1" s="1"/>
  <c r="AD136" i="1"/>
  <c r="AF75" i="2"/>
  <c r="P5" i="3"/>
  <c r="M45" i="1" s="1"/>
  <c r="J5" i="3"/>
  <c r="I45" i="1" s="1"/>
  <c r="M5" i="3"/>
  <c r="K45" i="1" s="1"/>
  <c r="AC101" i="2"/>
  <c r="AK76" i="2" l="1"/>
  <c r="AD101" i="2"/>
  <c r="AK101" i="2" s="1"/>
  <c r="AK77" i="2"/>
  <c r="AK72" i="2"/>
  <c r="AC75" i="2"/>
  <c r="AB134" i="1"/>
  <c r="AK61" i="2"/>
  <c r="AE121" i="1"/>
  <c r="AF5" i="3"/>
  <c r="J9" i="3"/>
  <c r="I49" i="1" s="1"/>
  <c r="AF49" i="1" s="1"/>
  <c r="S5" i="3"/>
  <c r="AE135" i="1" l="1"/>
  <c r="AG5" i="3"/>
  <c r="AB45" i="1"/>
  <c r="AJ5" i="3"/>
  <c r="O45" i="1"/>
  <c r="AF45" i="1" s="1"/>
  <c r="AD75" i="2"/>
  <c r="AC134" i="1"/>
  <c r="AF9" i="3"/>
  <c r="AJ9" i="3"/>
  <c r="AG9" i="3" l="1"/>
  <c r="AC49" i="1" s="1"/>
  <c r="AB49" i="1"/>
  <c r="AD134" i="1"/>
  <c r="AE75" i="2"/>
  <c r="AE134" i="1" s="1"/>
  <c r="AH5" i="3"/>
  <c r="AC45" i="1"/>
  <c r="AH9" i="3" l="1"/>
  <c r="AD49" i="1" s="1"/>
  <c r="AK75" i="2"/>
  <c r="AD45" i="1"/>
  <c r="AI5" i="3"/>
  <c r="AE45" i="1" s="1"/>
  <c r="S62" i="2"/>
  <c r="S122" i="1" l="1"/>
  <c r="AF62" i="2"/>
  <c r="AI9" i="3"/>
  <c r="AE49" i="1" s="1"/>
  <c r="R62" i="2"/>
  <c r="R122" i="1" s="1"/>
  <c r="AF122" i="1" s="1"/>
  <c r="Q122" i="1" l="1"/>
  <c r="P122" i="1"/>
  <c r="AB122" i="1" l="1"/>
  <c r="AD62" i="2" l="1"/>
  <c r="AC122" i="1"/>
  <c r="AE62" i="2" l="1"/>
  <c r="AE122" i="1" s="1"/>
  <c r="AD122" i="1"/>
  <c r="AK62" i="2" l="1"/>
</calcChain>
</file>

<file path=xl/comments1.xml><?xml version="1.0" encoding="utf-8"?>
<comments xmlns="http://schemas.openxmlformats.org/spreadsheetml/2006/main">
  <authors>
    <author>User</author>
    <author>Una.Lin</author>
    <author>101NB</author>
    <author>鴻勝化學-張嘉峰</author>
    <author>Meeting</author>
  </authors>
  <commentList>
    <comment ref="G4" authorId="0" shapeId="0">
      <text>
        <r>
          <rPr>
            <sz val="14"/>
            <color indexed="81"/>
            <rFont val="微軟正黑體"/>
            <family val="2"/>
            <charset val="136"/>
          </rPr>
          <t xml:space="preserve">已扣除桶底
</t>
        </r>
      </text>
    </comment>
    <comment ref="A45" authorId="1" shapeId="0">
      <text>
        <r>
          <rPr>
            <sz val="9"/>
            <color indexed="81"/>
            <rFont val="Tahoma"/>
            <family val="2"/>
          </rPr>
          <t xml:space="preserve">TSMC
</t>
        </r>
      </text>
    </comment>
    <comment ref="A46" authorId="1" shapeId="0">
      <text>
        <r>
          <rPr>
            <sz val="9"/>
            <color indexed="81"/>
            <rFont val="Tahoma"/>
            <family val="2"/>
          </rPr>
          <t xml:space="preserve">TSMC
</t>
        </r>
      </text>
    </comment>
    <comment ref="A47" authorId="1" shapeId="0">
      <text>
        <r>
          <rPr>
            <sz val="9"/>
            <color indexed="81"/>
            <rFont val="Tahoma"/>
            <family val="2"/>
          </rPr>
          <t xml:space="preserve">中美光
</t>
        </r>
      </text>
    </comment>
    <comment ref="A48" authorId="1" shapeId="0">
      <text>
        <r>
          <rPr>
            <sz val="9"/>
            <color indexed="81"/>
            <rFont val="Tahoma"/>
            <family val="2"/>
          </rPr>
          <t xml:space="preserve">北美光
</t>
        </r>
      </text>
    </comment>
    <comment ref="A49" authorId="1" shapeId="0">
      <text>
        <r>
          <rPr>
            <sz val="9"/>
            <color indexed="81"/>
            <rFont val="Tahoma"/>
            <family val="2"/>
          </rPr>
          <t xml:space="preserve">勝一利安德
</t>
        </r>
      </text>
    </comment>
    <comment ref="A50" authorId="1" shapeId="0">
      <text>
        <r>
          <rPr>
            <sz val="9"/>
            <color indexed="81"/>
            <rFont val="Tahoma"/>
            <family val="2"/>
          </rPr>
          <t xml:space="preserve">勝一利安德
售合牧
</t>
        </r>
      </text>
    </comment>
    <comment ref="A51" authorId="0" shapeId="0">
      <text>
        <r>
          <rPr>
            <sz val="11"/>
            <color indexed="81"/>
            <rFont val="微軟正黑體"/>
            <family val="2"/>
            <charset val="136"/>
          </rPr>
          <t>較2EBR-P1水分較低</t>
        </r>
      </text>
    </comment>
    <comment ref="A75" authorId="1" shapeId="0">
      <text>
        <r>
          <rPr>
            <sz val="9"/>
            <color indexed="81"/>
            <rFont val="Tahoma"/>
            <family val="2"/>
          </rPr>
          <t xml:space="preserve">M82
</t>
        </r>
      </text>
    </comment>
    <comment ref="C75" authorId="1" shapeId="0">
      <text>
        <r>
          <rPr>
            <sz val="9"/>
            <color indexed="81"/>
            <rFont val="細明體"/>
            <family val="3"/>
            <charset val="136"/>
          </rPr>
          <t>安全存量</t>
        </r>
        <r>
          <rPr>
            <sz val="9"/>
            <color indexed="81"/>
            <rFont val="Tahoma"/>
            <family val="2"/>
          </rPr>
          <t xml:space="preserve">280MT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ALLEN</t>
        </r>
        <r>
          <rPr>
            <sz val="9"/>
            <color indexed="81"/>
            <rFont val="細明體"/>
            <family val="3"/>
            <charset val="136"/>
          </rPr>
          <t xml:space="preserve">確認後
</t>
        </r>
        <r>
          <rPr>
            <b/>
            <sz val="9"/>
            <color indexed="81"/>
            <rFont val="Tahoma"/>
            <family val="2"/>
          </rPr>
          <t xml:space="preserve">C775-PC:
2023/1/16 </t>
        </r>
        <r>
          <rPr>
            <b/>
            <sz val="9"/>
            <color indexed="81"/>
            <rFont val="細明體"/>
            <family val="3"/>
            <charset val="136"/>
          </rPr>
          <t>崙尾部分啟用，與業務Allen討論後，更新為</t>
        </r>
        <r>
          <rPr>
            <sz val="9"/>
            <color indexed="81"/>
            <rFont val="Tahoma"/>
            <family val="2"/>
          </rPr>
          <t xml:space="preserve">
NSE-115:115-&gt;200;NSE-1106:250-&gt;300;NSR-716:75-&gt;110
</t>
        </r>
      </text>
    </comment>
    <comment ref="A76" authorId="1" shapeId="0">
      <text>
        <r>
          <rPr>
            <sz val="9"/>
            <color indexed="81"/>
            <rFont val="Tahoma"/>
            <family val="2"/>
          </rPr>
          <t xml:space="preserve">M83
</t>
        </r>
      </text>
    </comment>
    <comment ref="C76" authorId="1" shapeId="0">
      <text>
        <r>
          <rPr>
            <sz val="9"/>
            <color indexed="81"/>
            <rFont val="細明體"/>
            <family val="3"/>
            <charset val="136"/>
          </rPr>
          <t>安全存量</t>
        </r>
        <r>
          <rPr>
            <sz val="9"/>
            <color indexed="81"/>
            <rFont val="Tahoma"/>
            <family val="2"/>
          </rPr>
          <t xml:space="preserve">160MT
(2020/07/06 </t>
        </r>
        <r>
          <rPr>
            <sz val="9"/>
            <color indexed="81"/>
            <rFont val="細明體"/>
            <family val="3"/>
            <charset val="136"/>
          </rPr>
          <t>會議紀錄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C775-PC:</t>
        </r>
        <r>
          <rPr>
            <sz val="9"/>
            <color indexed="81"/>
            <rFont val="Tahoma"/>
            <family val="2"/>
          </rPr>
          <t xml:space="preserve">
2023/1/16 </t>
        </r>
        <r>
          <rPr>
            <sz val="9"/>
            <color indexed="81"/>
            <rFont val="細明體"/>
            <family val="3"/>
            <charset val="136"/>
          </rPr>
          <t>崙尾部分啟用，與業務</t>
        </r>
        <r>
          <rPr>
            <sz val="9"/>
            <color indexed="81"/>
            <rFont val="Tahoma"/>
            <family val="2"/>
          </rPr>
          <t>Allen</t>
        </r>
        <r>
          <rPr>
            <sz val="9"/>
            <color indexed="81"/>
            <rFont val="細明體"/>
            <family val="3"/>
            <charset val="136"/>
          </rPr>
          <t xml:space="preserve">討論後，更新為
</t>
        </r>
        <r>
          <rPr>
            <sz val="9"/>
            <color indexed="81"/>
            <rFont val="Tahoma"/>
            <family val="2"/>
          </rPr>
          <t xml:space="preserve">NSE-115:115-&gt;200;NSE-1106:250-&gt;300;NSR-716:75-&gt;110
</t>
        </r>
      </text>
    </comment>
    <comment ref="A77" authorId="1" shapeId="0">
      <text>
        <r>
          <rPr>
            <sz val="9"/>
            <color indexed="81"/>
            <rFont val="Tahoma"/>
            <family val="2"/>
          </rPr>
          <t>M84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77" authorId="1" shapeId="0">
      <text>
        <r>
          <rPr>
            <sz val="9"/>
            <color indexed="81"/>
            <rFont val="細明體"/>
            <family val="3"/>
            <charset val="136"/>
          </rPr>
          <t>安全存量</t>
        </r>
        <r>
          <rPr>
            <sz val="9"/>
            <color indexed="81"/>
            <rFont val="Tahoma"/>
            <family val="2"/>
          </rPr>
          <t xml:space="preserve">160MT
(2020/07/06 </t>
        </r>
        <r>
          <rPr>
            <sz val="9"/>
            <color indexed="81"/>
            <rFont val="細明體"/>
            <family val="3"/>
            <charset val="136"/>
          </rPr>
          <t>會議紀錄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 xml:space="preserve">C775-PC:
2023/1/16 </t>
        </r>
        <r>
          <rPr>
            <b/>
            <sz val="9"/>
            <color indexed="81"/>
            <rFont val="細明體"/>
            <family val="3"/>
            <charset val="136"/>
          </rPr>
          <t>崙尾部分啟用，與業務</t>
        </r>
        <r>
          <rPr>
            <b/>
            <sz val="9"/>
            <color indexed="81"/>
            <rFont val="Tahoma"/>
            <family val="2"/>
          </rPr>
          <t>Allen</t>
        </r>
        <r>
          <rPr>
            <b/>
            <sz val="9"/>
            <color indexed="81"/>
            <rFont val="細明體"/>
            <family val="3"/>
            <charset val="136"/>
          </rPr>
          <t xml:space="preserve">討論後，更新為
</t>
        </r>
        <r>
          <rPr>
            <b/>
            <sz val="9"/>
            <color indexed="81"/>
            <rFont val="Tahoma"/>
            <family val="2"/>
          </rPr>
          <t>NSE-115:115-&gt;200;NSE-1106:250-&gt;300;NSR-716:75-&gt;110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0" authorId="1" shapeId="0">
      <text>
        <r>
          <rPr>
            <sz val="9"/>
            <color indexed="81"/>
            <rFont val="Tahoma"/>
            <family val="2"/>
          </rPr>
          <t xml:space="preserve">M83
</t>
        </r>
      </text>
    </comment>
    <comment ref="C80" authorId="1" shapeId="0">
      <text>
        <r>
          <rPr>
            <sz val="9"/>
            <color indexed="81"/>
            <rFont val="細明體"/>
            <family val="3"/>
            <charset val="136"/>
          </rPr>
          <t>安全存量</t>
        </r>
        <r>
          <rPr>
            <sz val="9"/>
            <color indexed="81"/>
            <rFont val="Tahoma"/>
            <family val="2"/>
          </rPr>
          <t xml:space="preserve">160MT
(2020/07/06 </t>
        </r>
        <r>
          <rPr>
            <sz val="9"/>
            <color indexed="81"/>
            <rFont val="細明體"/>
            <family val="3"/>
            <charset val="136"/>
          </rPr>
          <t>會議紀錄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C775-PC:</t>
        </r>
        <r>
          <rPr>
            <sz val="9"/>
            <color indexed="81"/>
            <rFont val="Tahoma"/>
            <family val="2"/>
          </rPr>
          <t xml:space="preserve">
2023/1/16 </t>
        </r>
        <r>
          <rPr>
            <sz val="9"/>
            <color indexed="81"/>
            <rFont val="細明體"/>
            <family val="3"/>
            <charset val="136"/>
          </rPr>
          <t>崙尾部分啟用，與業務</t>
        </r>
        <r>
          <rPr>
            <sz val="9"/>
            <color indexed="81"/>
            <rFont val="Tahoma"/>
            <family val="2"/>
          </rPr>
          <t>Allen</t>
        </r>
        <r>
          <rPr>
            <sz val="9"/>
            <color indexed="81"/>
            <rFont val="細明體"/>
            <family val="3"/>
            <charset val="136"/>
          </rPr>
          <t xml:space="preserve">討論後，更新為
</t>
        </r>
        <r>
          <rPr>
            <sz val="9"/>
            <color indexed="81"/>
            <rFont val="Tahoma"/>
            <family val="2"/>
          </rPr>
          <t xml:space="preserve">NSE-115:115-&gt;200;NSE-1106:250-&gt;300;NSR-716:75-&gt;110
</t>
        </r>
      </text>
    </comment>
    <comment ref="S121" authorId="0" shapeId="0">
      <text>
        <r>
          <rPr>
            <sz val="12"/>
            <color indexed="81"/>
            <rFont val="微軟正黑體"/>
            <family val="2"/>
            <charset val="136"/>
          </rPr>
          <t>試產原料再利用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20MT為試產循環量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21" authorId="2" shapeId="0">
      <text>
        <r>
          <rPr>
            <sz val="9"/>
            <color indexed="81"/>
            <rFont val="Tahoma"/>
            <family val="2"/>
          </rPr>
          <t xml:space="preserve">+
</t>
        </r>
      </text>
    </comment>
    <comment ref="X124" authorId="3" shapeId="0">
      <text>
        <r>
          <rPr>
            <b/>
            <sz val="9"/>
            <color indexed="81"/>
            <rFont val="細明體"/>
            <family val="3"/>
            <charset val="136"/>
          </rPr>
          <t>鴻勝化學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細明體"/>
            <family val="3"/>
            <charset val="136"/>
          </rPr>
          <t>張嘉峰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來源</t>
        </r>
        <r>
          <rPr>
            <sz val="9"/>
            <color indexed="81"/>
            <rFont val="Tahoma"/>
            <family val="2"/>
          </rPr>
          <t>TK691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693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611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613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618</t>
        </r>
      </text>
    </comment>
    <comment ref="A129" authorId="4" shapeId="0">
      <text>
        <r>
          <rPr>
            <b/>
            <sz val="9"/>
            <color indexed="81"/>
            <rFont val="Tahoma"/>
            <family val="2"/>
          </rPr>
          <t>Meeting:</t>
        </r>
        <r>
          <rPr>
            <sz val="9"/>
            <color indexed="81"/>
            <rFont val="Tahoma"/>
            <family val="2"/>
          </rPr>
          <t xml:space="preserve">
2:44
ups:22
1:22
</t>
        </r>
      </text>
    </comment>
    <comment ref="T129" authorId="0" shapeId="0">
      <text>
        <r>
          <rPr>
            <sz val="11"/>
            <color indexed="81"/>
            <rFont val="微軟正黑體"/>
            <family val="2"/>
            <charset val="136"/>
          </rPr>
          <t xml:space="preserve">調配入
</t>
        </r>
      </text>
    </comment>
    <comment ref="V129" authorId="0" shapeId="0">
      <text>
        <r>
          <rPr>
            <sz val="12"/>
            <color indexed="81"/>
            <rFont val="微軟正黑體"/>
            <family val="2"/>
            <charset val="136"/>
          </rPr>
          <t xml:space="preserve">調配入
</t>
        </r>
      </text>
    </comment>
    <comment ref="A135" authorId="0" shapeId="0">
      <text>
        <r>
          <rPr>
            <sz val="9"/>
            <color indexed="81"/>
            <rFont val="Tahoma"/>
            <family val="2"/>
          </rPr>
          <t>整合勝一及鴻勝資訊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5" authorId="0" shapeId="0">
      <text>
        <r>
          <rPr>
            <sz val="11"/>
            <color indexed="81"/>
            <rFont val="微軟正黑體"/>
            <family val="2"/>
            <charset val="136"/>
          </rPr>
          <t xml:space="preserve">請改『CPN相關』工作表
</t>
        </r>
      </text>
    </comment>
    <comment ref="A159" authorId="1" shapeId="0">
      <text>
        <r>
          <rPr>
            <sz val="9"/>
            <color indexed="81"/>
            <rFont val="Tahoma"/>
            <family val="2"/>
          </rPr>
          <t xml:space="preserve">TSMC
</t>
        </r>
      </text>
    </comment>
    <comment ref="AC159" authorId="2" shapeId="0">
      <text>
        <r>
          <rPr>
            <sz val="9"/>
            <color indexed="81"/>
            <rFont val="Tahoma"/>
            <family val="2"/>
          </rPr>
          <t xml:space="preserve">+
</t>
        </r>
      </text>
    </comment>
    <comment ref="A160" authorId="1" shapeId="0">
      <text>
        <r>
          <rPr>
            <sz val="9"/>
            <color indexed="81"/>
            <rFont val="Tahoma"/>
            <family val="2"/>
          </rPr>
          <t xml:space="preserve">TSMC
</t>
        </r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台積電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富士電
</t>
        </r>
      </text>
    </comment>
    <comment ref="A161" authorId="1" shapeId="0">
      <text>
        <r>
          <rPr>
            <sz val="9"/>
            <color indexed="81"/>
            <rFont val="Tahoma"/>
            <family val="2"/>
          </rPr>
          <t>富士電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2" authorId="1" shapeId="0">
      <text>
        <r>
          <rPr>
            <sz val="9"/>
            <color indexed="81"/>
            <rFont val="Tahoma"/>
            <family val="2"/>
          </rPr>
          <t xml:space="preserve">JSR
</t>
        </r>
      </text>
    </comment>
    <comment ref="A163" authorId="1" shapeId="0">
      <text>
        <r>
          <rPr>
            <sz val="9"/>
            <color indexed="81"/>
            <rFont val="Tahoma"/>
            <family val="2"/>
          </rPr>
          <t>中美光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4" authorId="1" shapeId="0">
      <text>
        <r>
          <rPr>
            <sz val="9"/>
            <color indexed="81"/>
            <rFont val="Tahoma"/>
            <family val="2"/>
          </rPr>
          <t>北美光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5" authorId="1" shapeId="0">
      <text>
        <r>
          <rPr>
            <sz val="9"/>
            <color indexed="81"/>
            <rFont val="Tahoma"/>
            <family val="2"/>
          </rPr>
          <t xml:space="preserve">勝一利安德
</t>
        </r>
      </text>
    </comment>
    <comment ref="A166" authorId="1" shapeId="0">
      <text>
        <r>
          <rPr>
            <sz val="9"/>
            <color indexed="81"/>
            <rFont val="Tahoma"/>
            <family val="2"/>
          </rPr>
          <t>友達台南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5" authorId="1" shapeId="0">
      <text>
        <r>
          <rPr>
            <sz val="9"/>
            <color indexed="81"/>
            <rFont val="Tahoma"/>
            <family val="2"/>
          </rPr>
          <t>7-9 平均用量80MT/月</t>
        </r>
        <r>
          <rPr>
            <b/>
            <sz val="9"/>
            <color indexed="81"/>
            <rFont val="Tahoma"/>
            <family val="2"/>
          </rPr>
          <t xml:space="preserve">
桶裝品及ISOTANK
存放量80MT*2個月
</t>
        </r>
      </text>
    </comment>
    <comment ref="C196" authorId="1" shapeId="0">
      <text>
        <r>
          <rPr>
            <b/>
            <sz val="9"/>
            <color indexed="81"/>
            <rFont val="Tahoma"/>
            <family val="2"/>
          </rPr>
          <t xml:space="preserve">7-9 </t>
        </r>
        <r>
          <rPr>
            <b/>
            <sz val="9"/>
            <color indexed="81"/>
            <rFont val="Tahoma"/>
            <family val="2"/>
          </rPr>
          <t>平均用量</t>
        </r>
        <r>
          <rPr>
            <b/>
            <sz val="9"/>
            <color indexed="81"/>
            <rFont val="Tahoma"/>
            <family val="2"/>
          </rPr>
          <t>13.2MT/</t>
        </r>
        <r>
          <rPr>
            <b/>
            <sz val="9"/>
            <color indexed="81"/>
            <rFont val="Tahoma"/>
            <family val="2"/>
          </rPr>
          <t>月
桶裝品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存放量13.2</t>
        </r>
        <r>
          <rPr>
            <b/>
            <sz val="9"/>
            <color indexed="81"/>
            <rFont val="Tahoma"/>
            <family val="2"/>
          </rPr>
          <t>MT*2</t>
        </r>
        <r>
          <rPr>
            <b/>
            <sz val="9"/>
            <color indexed="81"/>
            <rFont val="Tahoma"/>
            <family val="2"/>
          </rPr>
          <t xml:space="preserve">個月
</t>
        </r>
      </text>
    </comment>
    <comment ref="C197" authorId="1" shapeId="0">
      <text>
        <r>
          <rPr>
            <b/>
            <sz val="9"/>
            <color indexed="81"/>
            <rFont val="Tahoma"/>
            <family val="2"/>
          </rPr>
          <t xml:space="preserve">7-9 </t>
        </r>
        <r>
          <rPr>
            <b/>
            <sz val="9"/>
            <color indexed="81"/>
            <rFont val="Tahoma"/>
            <family val="2"/>
          </rPr>
          <t>平均用量</t>
        </r>
        <r>
          <rPr>
            <b/>
            <sz val="9"/>
            <color indexed="81"/>
            <rFont val="Tahoma"/>
            <family val="2"/>
          </rPr>
          <t>0.6028MT/</t>
        </r>
        <r>
          <rPr>
            <b/>
            <sz val="9"/>
            <color indexed="81"/>
            <rFont val="Tahoma"/>
            <family val="2"/>
          </rPr>
          <t>月
桶裝品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存放量0.6028</t>
        </r>
        <r>
          <rPr>
            <b/>
            <sz val="9"/>
            <color indexed="81"/>
            <rFont val="Tahoma"/>
            <family val="2"/>
          </rPr>
          <t>MT*2</t>
        </r>
        <r>
          <rPr>
            <b/>
            <sz val="9"/>
            <color indexed="81"/>
            <rFont val="Tahoma"/>
            <family val="2"/>
          </rPr>
          <t xml:space="preserve">個月
</t>
        </r>
      </text>
    </comment>
  </commentList>
</comments>
</file>

<file path=xl/comments2.xml><?xml version="1.0" encoding="utf-8"?>
<comments xmlns="http://schemas.openxmlformats.org/spreadsheetml/2006/main">
  <authors>
    <author>User</author>
    <author>來賓使用者</author>
    <author>USER</author>
    <author>鴻勝化學-張登海</author>
    <author>鴻勝化學專用筆電</author>
    <author>C600</author>
    <author>C606-PC</author>
    <author>鴻勝化學-張嘉峰</author>
    <author>Meeting</author>
    <author>POUND-PC1</author>
  </authors>
  <commentList>
    <comment ref="F3" authorId="0" shapeId="0">
      <text>
        <r>
          <rPr>
            <sz val="11"/>
            <color indexed="81"/>
            <rFont val="微軟正黑體"/>
            <family val="2"/>
            <charset val="136"/>
          </rPr>
          <t>係儲槽及槽車桶底或其他因素以致無法使用或銷售</t>
        </r>
      </text>
    </comment>
    <comment ref="G3" authorId="0" shapeId="0">
      <text>
        <r>
          <rPr>
            <sz val="14"/>
            <color indexed="81"/>
            <rFont val="微軟正黑體"/>
            <family val="2"/>
            <charset val="136"/>
          </rPr>
          <t xml:space="preserve">已扣除桶底
</t>
        </r>
      </text>
    </comment>
    <comment ref="B5" authorId="1" shapeId="0">
      <text>
        <r>
          <rPr>
            <sz val="12"/>
            <rFont val="新細明體"/>
            <family val="1"/>
            <charset val="136"/>
          </rPr>
          <t xml:space="preserve">未知的使用者:
</t>
        </r>
      </text>
    </comment>
    <comment ref="I5" authorId="2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 ISO-TANK FLUSH
 ISO-TANK SOAKING101NB:
</t>
        </r>
      </text>
    </comment>
    <comment ref="K5" authorId="2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ISO-TANK FLUSH </t>
        </r>
      </text>
    </comment>
    <comment ref="M5" authorId="2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ISO-TANK FLUSH </t>
        </r>
      </text>
    </comment>
    <comment ref="O5" authorId="2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FLUSH ISO-TANK
</t>
        </r>
      </text>
    </comment>
    <comment ref="F11" authorId="3" shapeId="0">
      <text>
        <r>
          <rPr>
            <b/>
            <sz val="11"/>
            <color indexed="81"/>
            <rFont val="微軟正黑體"/>
            <family val="2"/>
            <charset val="136"/>
          </rPr>
          <t>鴻勝化學-張登海:</t>
        </r>
        <r>
          <rPr>
            <sz val="11"/>
            <color indexed="81"/>
            <rFont val="微軟正黑體"/>
            <family val="2"/>
            <charset val="136"/>
          </rPr>
          <t xml:space="preserve">
ISO TANK 2.5*8=20
TK-623約3.5~6噸
20+6=26
</t>
        </r>
      </text>
    </comment>
    <comment ref="T12" authorId="4" shapeId="0">
      <text>
        <r>
          <rPr>
            <b/>
            <sz val="9"/>
            <color indexed="81"/>
            <rFont val="細明體"/>
            <family val="3"/>
            <charset val="136"/>
          </rPr>
          <t>鴻勝化學專用筆電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9/12~10/2 770T</t>
        </r>
      </text>
    </comment>
    <comment ref="A16" authorId="0" shapeId="0">
      <text>
        <r>
          <rPr>
            <sz val="9"/>
            <color indexed="81"/>
            <rFont val="Tahoma"/>
            <family val="2"/>
          </rPr>
          <t>整合勝一及鴻勝資訊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3" shapeId="0">
      <text>
        <r>
          <rPr>
            <b/>
            <sz val="12"/>
            <color indexed="81"/>
            <rFont val="微軟正黑體"/>
            <family val="2"/>
            <charset val="136"/>
          </rPr>
          <t>鴻勝化學-張登海:</t>
        </r>
        <r>
          <rPr>
            <sz val="12"/>
            <color indexed="81"/>
            <rFont val="微軟正黑體"/>
            <family val="2"/>
            <charset val="136"/>
          </rPr>
          <t xml:space="preserve">
TK-622：15噸
</t>
        </r>
        <r>
          <rPr>
            <b/>
            <sz val="12"/>
            <color indexed="81"/>
            <rFont val="微軟正黑體"/>
            <family val="2"/>
            <charset val="136"/>
          </rPr>
          <t>C606-PC:
TK-612：2噸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F19" authorId="3" shapeId="0">
      <text>
        <r>
          <rPr>
            <b/>
            <sz val="12"/>
            <color indexed="81"/>
            <rFont val="微軟正黑體"/>
            <family val="2"/>
            <charset val="136"/>
          </rPr>
          <t>鴻勝化學-張登海:</t>
        </r>
        <r>
          <rPr>
            <sz val="12"/>
            <color indexed="81"/>
            <rFont val="微軟正黑體"/>
            <family val="2"/>
            <charset val="136"/>
          </rPr>
          <t xml:space="preserve">
TK-621約10噸
ISO TANK約3~5噸
10+5=15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5" shapeId="0">
      <text>
        <r>
          <rPr>
            <b/>
            <sz val="11"/>
            <color indexed="81"/>
            <rFont val="Tahoma"/>
            <family val="2"/>
          </rPr>
          <t>C600: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 xml:space="preserve">含代工
</t>
        </r>
        <r>
          <rPr>
            <sz val="11"/>
            <color indexed="81"/>
            <rFont val="細明體"/>
            <family val="3"/>
            <charset val="136"/>
          </rPr>
          <t xml:space="preserve">
</t>
        </r>
      </text>
    </comment>
    <comment ref="A23" authorId="6" shapeId="0">
      <text>
        <r>
          <rPr>
            <b/>
            <sz val="9"/>
            <color indexed="81"/>
            <rFont val="Tahoma"/>
            <family val="2"/>
          </rPr>
          <t>C606-PC: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二次餾
</t>
        </r>
      </text>
    </comment>
    <comment ref="V6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日本料不足部分由</t>
        </r>
        <r>
          <rPr>
            <sz val="11"/>
            <color indexed="81"/>
            <rFont val="Tahoma"/>
            <family val="2"/>
          </rPr>
          <t>LG</t>
        </r>
        <r>
          <rPr>
            <sz val="11"/>
            <color indexed="81"/>
            <rFont val="細明體"/>
            <family val="3"/>
            <charset val="136"/>
          </rPr>
          <t>補上</t>
        </r>
      </text>
    </comment>
    <comment ref="X64" authorId="7" shapeId="0">
      <text>
        <r>
          <rPr>
            <b/>
            <sz val="9"/>
            <color indexed="81"/>
            <rFont val="細明體"/>
            <family val="3"/>
            <charset val="136"/>
          </rPr>
          <t>鴻勝化學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細明體"/>
            <family val="3"/>
            <charset val="136"/>
          </rPr>
          <t>張嘉峰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來源</t>
        </r>
        <r>
          <rPr>
            <sz val="9"/>
            <color indexed="81"/>
            <rFont val="Tahoma"/>
            <family val="2"/>
          </rPr>
          <t>TK691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693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611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613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618</t>
        </r>
      </text>
    </comment>
    <comment ref="A69" authorId="8" shapeId="0">
      <text>
        <r>
          <rPr>
            <b/>
            <sz val="9"/>
            <color indexed="81"/>
            <rFont val="Tahoma"/>
            <family val="2"/>
          </rPr>
          <t>Meeting:</t>
        </r>
        <r>
          <rPr>
            <sz val="9"/>
            <color indexed="81"/>
            <rFont val="Tahoma"/>
            <family val="2"/>
          </rPr>
          <t xml:space="preserve">
2:44
ups:22
1:22
</t>
        </r>
      </text>
    </comment>
    <comment ref="T69" authorId="0" shapeId="0">
      <text>
        <r>
          <rPr>
            <sz val="11"/>
            <color indexed="81"/>
            <rFont val="微軟正黑體"/>
            <family val="2"/>
            <charset val="136"/>
          </rPr>
          <t xml:space="preserve">調配入
</t>
        </r>
      </text>
    </comment>
    <comment ref="V69" authorId="0" shapeId="0">
      <text>
        <r>
          <rPr>
            <sz val="12"/>
            <color indexed="81"/>
            <rFont val="微軟正黑體"/>
            <family val="2"/>
            <charset val="136"/>
          </rPr>
          <t xml:space="preserve">調配入
</t>
        </r>
      </text>
    </comment>
    <comment ref="B82" authorId="9" shapeId="0">
      <text>
        <r>
          <rPr>
            <b/>
            <sz val="9"/>
            <color indexed="81"/>
            <rFont val="Tahoma"/>
            <family val="2"/>
          </rPr>
          <t>POUND-PC1:</t>
        </r>
        <r>
          <rPr>
            <b/>
            <sz val="9"/>
            <color indexed="81"/>
            <rFont val="細明體"/>
            <family val="3"/>
            <charset val="136"/>
          </rPr>
          <t xml:space="preserve">進貨後直接使用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3" authorId="9" shapeId="0">
      <text>
        <r>
          <rPr>
            <b/>
            <sz val="9"/>
            <color indexed="81"/>
            <rFont val="Tahoma"/>
            <family val="2"/>
          </rPr>
          <t>POUND-PC1:</t>
        </r>
        <r>
          <rPr>
            <b/>
            <sz val="9"/>
            <color indexed="81"/>
            <rFont val="細明體"/>
            <family val="3"/>
            <charset val="136"/>
          </rPr>
          <t xml:space="preserve">進貨後直接使用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4" authorId="9" shapeId="0">
      <text>
        <r>
          <rPr>
            <b/>
            <sz val="9"/>
            <color indexed="81"/>
            <rFont val="Tahoma"/>
            <family val="2"/>
          </rPr>
          <t>POUND-PC1:</t>
        </r>
        <r>
          <rPr>
            <b/>
            <sz val="9"/>
            <color indexed="81"/>
            <rFont val="細明體"/>
            <family val="3"/>
            <charset val="136"/>
          </rPr>
          <t>進貨吼後直接使用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User</author>
    <author>Una.Lin</author>
    <author>tc={020177C3-88CA-492E-8C58-3476186FA063}</author>
    <author>tc={9812F1E3-FD07-4648-B2C7-3EC43D97E7A0}</author>
    <author>tc={AC7D0A1B-C6F3-484B-AC16-FDAAE08B946B}</author>
    <author>tc={69AD2B85-5AE5-430B-8F92-4F45ED9D2130}</author>
    <author>tc={BB10300A-3392-4818-A0FB-203D4296B298}</author>
    <author>USER</author>
  </authors>
  <commentList>
    <comment ref="F3" authorId="0" shapeId="0">
      <text>
        <r>
          <rPr>
            <sz val="11"/>
            <color indexed="81"/>
            <rFont val="微軟正黑體"/>
            <family val="2"/>
            <charset val="136"/>
          </rPr>
          <t>係儲槽及槽車桶底或其他因素以致無法使用或銷售</t>
        </r>
      </text>
    </comment>
    <comment ref="G3" authorId="0" shapeId="0">
      <text>
        <r>
          <rPr>
            <sz val="14"/>
            <color indexed="81"/>
            <rFont val="微軟正黑體"/>
            <family val="2"/>
            <charset val="136"/>
          </rPr>
          <t xml:space="preserve">已扣除桶底
</t>
        </r>
      </text>
    </comment>
    <comment ref="A5" authorId="1" shapeId="0">
      <text>
        <r>
          <rPr>
            <sz val="9"/>
            <color indexed="81"/>
            <rFont val="Tahoma"/>
            <family val="2"/>
          </rPr>
          <t xml:space="preserve">TSMC
</t>
        </r>
      </text>
    </comment>
    <comment ref="A6" authorId="1" shapeId="0">
      <text>
        <r>
          <rPr>
            <sz val="9"/>
            <color indexed="81"/>
            <rFont val="Tahoma"/>
            <family val="2"/>
          </rPr>
          <t xml:space="preserve">TSMC
</t>
        </r>
      </text>
    </comment>
    <comment ref="E6" authorId="2" shapeId="0">
      <text>
        <r>
          <rPr>
            <sz val="12"/>
            <rFont val="新細明體"/>
            <family val="1"/>
            <charset val="136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洲際</t>
        </r>
      </text>
    </comment>
    <comment ref="V6" authorId="3" shapeId="0">
      <text>
        <r>
          <rPr>
            <sz val="12"/>
            <rFont val="新細明體"/>
            <family val="1"/>
            <charset val="136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預計從洲際拉回200噸</t>
        </r>
      </text>
    </comment>
    <comment ref="Y6" authorId="4" shapeId="0">
      <text>
        <r>
          <rPr>
            <sz val="12"/>
            <rFont val="新細明體"/>
            <family val="1"/>
            <charset val="136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預計從洲際拉回200噸</t>
        </r>
      </text>
    </comment>
    <comment ref="AB6" authorId="5" shapeId="0">
      <text>
        <r>
          <rPr>
            <sz val="12"/>
            <rFont val="新細明體"/>
            <family val="1"/>
            <charset val="136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預計從洲際拉回100噸</t>
        </r>
      </text>
    </comment>
    <comment ref="AE6" authorId="6" shapeId="0">
      <text>
        <r>
          <rPr>
            <sz val="12"/>
            <rFont val="新細明體"/>
            <family val="1"/>
            <charset val="136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預計從洲際拉回100噸</t>
        </r>
      </text>
    </comment>
    <comment ref="A7" authorId="1" shapeId="0">
      <text>
        <r>
          <rPr>
            <sz val="9"/>
            <color indexed="81"/>
            <rFont val="Tahoma"/>
            <family val="2"/>
          </rPr>
          <t xml:space="preserve">中美光
</t>
        </r>
      </text>
    </comment>
    <comment ref="A8" authorId="1" shapeId="0">
      <text>
        <r>
          <rPr>
            <sz val="9"/>
            <color indexed="81"/>
            <rFont val="Tahoma"/>
            <family val="2"/>
          </rPr>
          <t xml:space="preserve">北美光
</t>
        </r>
      </text>
    </comment>
    <comment ref="A9" authorId="1" shapeId="0">
      <text>
        <r>
          <rPr>
            <sz val="9"/>
            <color indexed="81"/>
            <rFont val="Tahoma"/>
            <family val="2"/>
          </rPr>
          <t xml:space="preserve">勝一利安德
</t>
        </r>
      </text>
    </comment>
    <comment ref="A10" authorId="1" shapeId="0">
      <text>
        <r>
          <rPr>
            <sz val="9"/>
            <color indexed="81"/>
            <rFont val="Tahoma"/>
            <family val="2"/>
          </rPr>
          <t xml:space="preserve">勝一利安德
售合牧
</t>
        </r>
      </text>
    </comment>
    <comment ref="A11" authorId="0" shapeId="0">
      <text>
        <r>
          <rPr>
            <sz val="11"/>
            <color indexed="81"/>
            <rFont val="微軟正黑體"/>
            <family val="2"/>
            <charset val="136"/>
          </rPr>
          <t>較2EBR-P1水分較低</t>
        </r>
      </text>
    </comment>
    <comment ref="A36" authorId="1" shapeId="0">
      <text>
        <r>
          <rPr>
            <sz val="9"/>
            <color indexed="81"/>
            <rFont val="Tahoma"/>
            <family val="2"/>
          </rPr>
          <t xml:space="preserve">TSMC
</t>
        </r>
      </text>
    </comment>
    <comment ref="A37" authorId="1" shapeId="0">
      <text>
        <r>
          <rPr>
            <sz val="9"/>
            <color indexed="81"/>
            <rFont val="Tahoma"/>
            <family val="2"/>
          </rPr>
          <t xml:space="preserve">TSMC
</t>
        </r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台積電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富士電
</t>
        </r>
      </text>
    </comment>
    <comment ref="A38" authorId="1" shapeId="0">
      <text>
        <r>
          <rPr>
            <sz val="9"/>
            <color indexed="81"/>
            <rFont val="Tahoma"/>
            <family val="2"/>
          </rPr>
          <t>富士電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1" shapeId="0">
      <text>
        <r>
          <rPr>
            <sz val="9"/>
            <color indexed="81"/>
            <rFont val="Tahoma"/>
            <family val="2"/>
          </rPr>
          <t xml:space="preserve">JSR
</t>
        </r>
      </text>
    </comment>
    <comment ref="A40" authorId="1" shapeId="0">
      <text>
        <r>
          <rPr>
            <sz val="9"/>
            <color indexed="81"/>
            <rFont val="Tahoma"/>
            <family val="2"/>
          </rPr>
          <t>中美光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7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勝一</t>
        </r>
        <r>
          <rPr>
            <sz val="9"/>
            <color indexed="81"/>
            <rFont val="Tahoma"/>
            <family val="2"/>
          </rPr>
          <t>PMA</t>
        </r>
        <r>
          <rPr>
            <sz val="9"/>
            <color indexed="81"/>
            <rFont val="細明體"/>
            <family val="3"/>
            <charset val="136"/>
          </rPr>
          <t xml:space="preserve">塔底液
</t>
        </r>
      </text>
    </comment>
    <comment ref="A42" authorId="1" shapeId="0">
      <text>
        <r>
          <rPr>
            <sz val="9"/>
            <color indexed="81"/>
            <rFont val="Tahoma"/>
            <family val="2"/>
          </rPr>
          <t xml:space="preserve">勝一利安德
</t>
        </r>
      </text>
    </comment>
    <comment ref="A43" authorId="1" shapeId="0">
      <text>
        <r>
          <rPr>
            <sz val="9"/>
            <color indexed="81"/>
            <rFont val="Tahoma"/>
            <family val="2"/>
          </rPr>
          <t>友達台南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User</author>
    <author>Una.Lin</author>
  </authors>
  <commentList>
    <comment ref="F3" authorId="0" shapeId="0">
      <text>
        <r>
          <rPr>
            <sz val="11"/>
            <color indexed="81"/>
            <rFont val="微軟正黑體"/>
            <family val="2"/>
            <charset val="136"/>
          </rPr>
          <t>係儲槽及槽車桶底或其他因素以致無法使用或銷售</t>
        </r>
      </text>
    </comment>
    <comment ref="G3" authorId="0" shapeId="0">
      <text>
        <r>
          <rPr>
            <sz val="14"/>
            <color indexed="81"/>
            <rFont val="微軟正黑體"/>
            <family val="2"/>
            <charset val="136"/>
          </rPr>
          <t xml:space="preserve">已扣除桶底
</t>
        </r>
      </text>
    </comment>
    <comment ref="A6" authorId="1" shapeId="0">
      <text>
        <r>
          <rPr>
            <sz val="9"/>
            <color indexed="81"/>
            <rFont val="Tahoma"/>
            <family val="2"/>
          </rPr>
          <t xml:space="preserve">M82
</t>
        </r>
      </text>
    </comment>
    <comment ref="C6" authorId="1" shapeId="0">
      <text>
        <r>
          <rPr>
            <sz val="9"/>
            <color indexed="81"/>
            <rFont val="細明體"/>
            <family val="3"/>
            <charset val="136"/>
          </rPr>
          <t>安全存量</t>
        </r>
        <r>
          <rPr>
            <sz val="9"/>
            <color indexed="81"/>
            <rFont val="Tahoma"/>
            <family val="2"/>
          </rPr>
          <t xml:space="preserve">280MT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ALLEN</t>
        </r>
        <r>
          <rPr>
            <sz val="9"/>
            <color indexed="81"/>
            <rFont val="細明體"/>
            <family val="3"/>
            <charset val="136"/>
          </rPr>
          <t xml:space="preserve">確認後
</t>
        </r>
        <r>
          <rPr>
            <b/>
            <sz val="9"/>
            <color indexed="81"/>
            <rFont val="Tahoma"/>
            <family val="2"/>
          </rPr>
          <t xml:space="preserve">C775-PC:
2023/1/16 </t>
        </r>
        <r>
          <rPr>
            <b/>
            <sz val="9"/>
            <color indexed="81"/>
            <rFont val="細明體"/>
            <family val="3"/>
            <charset val="136"/>
          </rPr>
          <t>崙尾部分啟用，與業務Allen討論後，更新為</t>
        </r>
        <r>
          <rPr>
            <sz val="9"/>
            <color indexed="81"/>
            <rFont val="Tahoma"/>
            <family val="2"/>
          </rPr>
          <t xml:space="preserve">
NSE-115:115-&gt;200;NSE-1106:250-&gt;300;NSR-716:75-&gt;110
</t>
        </r>
        <r>
          <rPr>
            <b/>
            <sz val="9"/>
            <color indexed="81"/>
            <rFont val="細明體"/>
            <family val="3"/>
            <charset val="136"/>
          </rPr>
          <t>李珈蔚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" authorId="1" shapeId="0">
      <text>
        <r>
          <rPr>
            <sz val="9"/>
            <color indexed="81"/>
            <rFont val="Tahoma"/>
            <family val="2"/>
          </rPr>
          <t xml:space="preserve">M83
</t>
        </r>
      </text>
    </comment>
    <comment ref="C7" authorId="1" shapeId="0">
      <text>
        <r>
          <rPr>
            <sz val="9"/>
            <color indexed="81"/>
            <rFont val="細明體"/>
            <family val="3"/>
            <charset val="136"/>
          </rPr>
          <t>安全存量</t>
        </r>
        <r>
          <rPr>
            <sz val="9"/>
            <color indexed="81"/>
            <rFont val="Tahoma"/>
            <family val="2"/>
          </rPr>
          <t xml:space="preserve">160MT
(2020/07/06 </t>
        </r>
        <r>
          <rPr>
            <sz val="9"/>
            <color indexed="81"/>
            <rFont val="細明體"/>
            <family val="3"/>
            <charset val="136"/>
          </rPr>
          <t>會議紀錄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C775-PC:</t>
        </r>
        <r>
          <rPr>
            <sz val="9"/>
            <color indexed="81"/>
            <rFont val="Tahoma"/>
            <family val="2"/>
          </rPr>
          <t xml:space="preserve">
2023/1/16 </t>
        </r>
        <r>
          <rPr>
            <sz val="9"/>
            <color indexed="81"/>
            <rFont val="細明體"/>
            <family val="3"/>
            <charset val="136"/>
          </rPr>
          <t>崙尾部分啟用，與業務</t>
        </r>
        <r>
          <rPr>
            <sz val="9"/>
            <color indexed="81"/>
            <rFont val="Tahoma"/>
            <family val="2"/>
          </rPr>
          <t>Allen</t>
        </r>
        <r>
          <rPr>
            <sz val="9"/>
            <color indexed="81"/>
            <rFont val="細明體"/>
            <family val="3"/>
            <charset val="136"/>
          </rPr>
          <t xml:space="preserve">討論後，更新為
</t>
        </r>
        <r>
          <rPr>
            <sz val="9"/>
            <color indexed="81"/>
            <rFont val="Tahoma"/>
            <family val="2"/>
          </rPr>
          <t xml:space="preserve">NSE-115:115-&gt;200;NSE-1106:250-&gt;300;NSR-716:75-&gt;110
</t>
        </r>
      </text>
    </comment>
    <comment ref="A8" authorId="1" shapeId="0">
      <text>
        <r>
          <rPr>
            <sz val="9"/>
            <color indexed="81"/>
            <rFont val="Tahoma"/>
            <family val="2"/>
          </rPr>
          <t>M84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8" authorId="1" shapeId="0">
      <text>
        <r>
          <rPr>
            <sz val="9"/>
            <color indexed="81"/>
            <rFont val="細明體"/>
            <family val="3"/>
            <charset val="136"/>
          </rPr>
          <t>安全存量</t>
        </r>
        <r>
          <rPr>
            <sz val="9"/>
            <color indexed="81"/>
            <rFont val="Tahoma"/>
            <family val="2"/>
          </rPr>
          <t xml:space="preserve">160MT
(2020/07/06 </t>
        </r>
        <r>
          <rPr>
            <sz val="9"/>
            <color indexed="81"/>
            <rFont val="細明體"/>
            <family val="3"/>
            <charset val="136"/>
          </rPr>
          <t>會議紀錄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 xml:space="preserve">C775-PC:
2023/1/16 </t>
        </r>
        <r>
          <rPr>
            <b/>
            <sz val="9"/>
            <color indexed="81"/>
            <rFont val="細明體"/>
            <family val="3"/>
            <charset val="136"/>
          </rPr>
          <t>崙尾部分啟用，與業務</t>
        </r>
        <r>
          <rPr>
            <b/>
            <sz val="9"/>
            <color indexed="81"/>
            <rFont val="Tahoma"/>
            <family val="2"/>
          </rPr>
          <t>Allen</t>
        </r>
        <r>
          <rPr>
            <b/>
            <sz val="9"/>
            <color indexed="81"/>
            <rFont val="細明體"/>
            <family val="3"/>
            <charset val="136"/>
          </rPr>
          <t xml:space="preserve">討論後，更新為
</t>
        </r>
        <r>
          <rPr>
            <b/>
            <sz val="9"/>
            <color indexed="81"/>
            <rFont val="Tahoma"/>
            <family val="2"/>
          </rPr>
          <t>NSE-115:115-&gt;200;NSE-1106:250-&gt;300;NSR-716:75-&gt;110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1" shapeId="0">
      <text>
        <r>
          <rPr>
            <sz val="9"/>
            <color indexed="81"/>
            <rFont val="Tahoma"/>
            <family val="2"/>
          </rPr>
          <t xml:space="preserve">M83
</t>
        </r>
      </text>
    </comment>
    <comment ref="C11" authorId="1" shapeId="0">
      <text>
        <r>
          <rPr>
            <sz val="9"/>
            <color indexed="81"/>
            <rFont val="細明體"/>
            <family val="3"/>
            <charset val="136"/>
          </rPr>
          <t>安全存量</t>
        </r>
        <r>
          <rPr>
            <sz val="9"/>
            <color indexed="81"/>
            <rFont val="Tahoma"/>
            <family val="2"/>
          </rPr>
          <t xml:space="preserve">160MT
(2020/07/06 </t>
        </r>
        <r>
          <rPr>
            <sz val="9"/>
            <color indexed="81"/>
            <rFont val="細明體"/>
            <family val="3"/>
            <charset val="136"/>
          </rPr>
          <t>會議紀錄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Tahoma"/>
            <family val="2"/>
          </rPr>
          <t>C775-PC:</t>
        </r>
        <r>
          <rPr>
            <sz val="9"/>
            <color indexed="81"/>
            <rFont val="Tahoma"/>
            <family val="2"/>
          </rPr>
          <t xml:space="preserve">
2023/1/16 </t>
        </r>
        <r>
          <rPr>
            <sz val="9"/>
            <color indexed="81"/>
            <rFont val="細明體"/>
            <family val="3"/>
            <charset val="136"/>
          </rPr>
          <t>崙尾部分啟用，與業務</t>
        </r>
        <r>
          <rPr>
            <sz val="9"/>
            <color indexed="81"/>
            <rFont val="Tahoma"/>
            <family val="2"/>
          </rPr>
          <t>Allen</t>
        </r>
        <r>
          <rPr>
            <sz val="9"/>
            <color indexed="81"/>
            <rFont val="細明體"/>
            <family val="3"/>
            <charset val="136"/>
          </rPr>
          <t xml:space="preserve">討論後，更新為
</t>
        </r>
        <r>
          <rPr>
            <sz val="9"/>
            <color indexed="81"/>
            <rFont val="Tahoma"/>
            <family val="2"/>
          </rPr>
          <t xml:space="preserve">NSE-115:115-&gt;200;NSE-1106:250-&gt;300;NSR-716:75-&gt;110
</t>
        </r>
      </text>
    </comment>
    <comment ref="F35" authorId="0" shapeId="0">
      <text>
        <r>
          <rPr>
            <sz val="11"/>
            <color indexed="81"/>
            <rFont val="微軟正黑體"/>
            <family val="2"/>
            <charset val="136"/>
          </rPr>
          <t>係儲槽及槽車桶底或其他因素以致無法使用或銷售</t>
        </r>
      </text>
    </comment>
    <comment ref="A37" authorId="1" shapeId="0">
      <text>
        <r>
          <rPr>
            <sz val="11"/>
            <color indexed="81"/>
            <rFont val="微軟正黑體"/>
            <family val="2"/>
            <charset val="136"/>
          </rPr>
          <t>資料來源為連結，更新源頭資料即可
耗用來源：N系列產量
其餘來源：精餾產銷</t>
        </r>
      </text>
    </comment>
    <comment ref="C38" authorId="1" shapeId="0">
      <text>
        <r>
          <rPr>
            <b/>
            <sz val="11"/>
            <color indexed="81"/>
            <rFont val="微軟正黑體"/>
            <family val="2"/>
            <charset val="136"/>
          </rPr>
          <t>7-9 平均用量80MT/月
桶裝品及ISOTANK
存放量80MT*2個月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C39" authorId="1" shapeId="0">
      <text>
        <r>
          <rPr>
            <sz val="11"/>
            <color indexed="81"/>
            <rFont val="微軟正黑體"/>
            <family val="2"/>
            <charset val="136"/>
          </rPr>
          <t xml:space="preserve">7-9 平均用量13.2MT/月
桶裝品
存放量13.2MT*2個月
</t>
        </r>
      </text>
    </comment>
  </commentList>
</comments>
</file>

<file path=xl/comments5.xml><?xml version="1.0" encoding="utf-8"?>
<comments xmlns="http://schemas.openxmlformats.org/spreadsheetml/2006/main">
  <authors>
    <author>註：</author>
    <author>Una.Lin</author>
  </authors>
  <commentList>
    <comment ref="C2" authorId="0" shapeId="0">
      <text>
        <r>
          <rPr>
            <b/>
            <sz val="10"/>
            <color indexed="81"/>
            <rFont val="微軟正黑體"/>
            <family val="2"/>
            <charset val="136"/>
          </rPr>
          <t>註：</t>
        </r>
        <r>
          <rPr>
            <sz val="10"/>
            <color indexed="81"/>
            <rFont val="微軟正黑體"/>
            <family val="2"/>
            <charset val="136"/>
          </rPr>
          <t xml:space="preserve">
藍色字體為2022~2023年平均收率
</t>
        </r>
      </text>
    </comment>
    <comment ref="C22" authorId="1" shapeId="0">
      <text>
        <r>
          <rPr>
            <sz val="11"/>
            <color indexed="81"/>
            <rFont val="微軟正黑體"/>
            <family val="2"/>
            <charset val="136"/>
          </rPr>
          <t>佳勝 收率58%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<sst xmlns="http://schemas.openxmlformats.org/spreadsheetml/2006/main" count="413" uniqueCount="268">
  <si>
    <t>鴻勝化學科技股份有限公司</t>
    <phoneticPr fontId="3" type="noConversion"/>
  </si>
  <si>
    <t>產銷計劃表</t>
    <phoneticPr fontId="3" type="noConversion"/>
  </si>
  <si>
    <t>單位：MT</t>
    <phoneticPr fontId="3" type="noConversion"/>
  </si>
  <si>
    <t>成品品名</t>
    <phoneticPr fontId="3" type="noConversion"/>
  </si>
  <si>
    <t>存放位置
(隱藏)</t>
    <phoneticPr fontId="3" type="noConversion"/>
  </si>
  <si>
    <t>安全存量</t>
    <phoneticPr fontId="3" type="noConversion"/>
  </si>
  <si>
    <t>安全存量佔儲槽比例</t>
    <phoneticPr fontId="3" type="noConversion"/>
  </si>
  <si>
    <t>安全存量佔銷售比例</t>
    <phoneticPr fontId="3" type="noConversion"/>
  </si>
  <si>
    <t>200L</t>
    <phoneticPr fontId="3" type="noConversion"/>
  </si>
  <si>
    <t>C40110-PDM-01(03)</t>
    <phoneticPr fontId="3" type="noConversion"/>
  </si>
  <si>
    <t xml:space="preserve">經(副)理：                                         採購經(副理)：                                          資材課長：                                           品管課長：                                        製二副理：                                      製一副理：                                    製表人：張嘉峰  </t>
    <phoneticPr fontId="3" type="noConversion"/>
  </si>
  <si>
    <t>產銷計劃表(精餾)</t>
    <phoneticPr fontId="3" type="noConversion"/>
  </si>
  <si>
    <t>儲槽
容量
(MT)</t>
    <phoneticPr fontId="3" type="noConversion"/>
  </si>
  <si>
    <t>資材</t>
    <phoneticPr fontId="3" type="noConversion"/>
  </si>
  <si>
    <t>製2</t>
    <phoneticPr fontId="3" type="noConversion"/>
  </si>
  <si>
    <t>桶底</t>
    <phoneticPr fontId="3" type="noConversion"/>
  </si>
  <si>
    <t>生產量</t>
    <phoneticPr fontId="3" type="noConversion"/>
  </si>
  <si>
    <t>庫存</t>
    <phoneticPr fontId="3" type="noConversion"/>
  </si>
  <si>
    <t>安全庫存量</t>
    <phoneticPr fontId="3" type="noConversion"/>
  </si>
  <si>
    <t>銷售</t>
  </si>
  <si>
    <t>耗用</t>
  </si>
  <si>
    <t>數量</t>
  </si>
  <si>
    <t>最高</t>
    <phoneticPr fontId="3" type="noConversion"/>
  </si>
  <si>
    <t>最低</t>
    <phoneticPr fontId="3" type="noConversion"/>
  </si>
  <si>
    <t>IPAUPS</t>
  </si>
  <si>
    <t>TK624.TK672.E68.小包</t>
  </si>
  <si>
    <t>IPAUPS(崙尾區日本料)</t>
    <phoneticPr fontId="3" type="noConversion"/>
  </si>
  <si>
    <t>26~31</t>
  </si>
  <si>
    <t>S05</t>
    <phoneticPr fontId="3" type="noConversion"/>
  </si>
  <si>
    <t>1~30</t>
  </si>
  <si>
    <t>1~31</t>
    <phoneticPr fontId="3" type="noConversion"/>
  </si>
  <si>
    <t>IPAUPS(崙尾區LG)</t>
  </si>
  <si>
    <t>S04</t>
    <phoneticPr fontId="3" type="noConversion"/>
  </si>
  <si>
    <t>24~31</t>
  </si>
  <si>
    <t>S04</t>
  </si>
  <si>
    <t>1~31</t>
  </si>
  <si>
    <t>IPAHQ</t>
  </si>
  <si>
    <t>TK-681&amp;TK-682</t>
    <phoneticPr fontId="3" type="noConversion"/>
  </si>
  <si>
    <t>S03</t>
    <phoneticPr fontId="3" type="noConversion"/>
  </si>
  <si>
    <t>EGUPS</t>
    <phoneticPr fontId="3" type="noConversion"/>
  </si>
  <si>
    <t>TK623.E40.E48.E56.E59.E60.E66.E67(E21 外部鏽蝕處理中).TK692.TK689</t>
  </si>
  <si>
    <t>S02</t>
  </si>
  <si>
    <t>純七</t>
  </si>
  <si>
    <t>EGUPS(勝一S07)</t>
  </si>
  <si>
    <t>EGUPS(EG-C)</t>
    <phoneticPr fontId="3" type="noConversion"/>
  </si>
  <si>
    <t>CPNE4(含浸)</t>
    <phoneticPr fontId="3" type="noConversion"/>
  </si>
  <si>
    <t>TK677&amp;TK680</t>
    <phoneticPr fontId="3" type="noConversion"/>
  </si>
  <si>
    <t>CPNE4R(含浸)</t>
    <phoneticPr fontId="3" type="noConversion"/>
  </si>
  <si>
    <t>TK694</t>
    <phoneticPr fontId="3" type="noConversion"/>
  </si>
  <si>
    <t>CPNE4</t>
  </si>
  <si>
    <t>TK677&amp;TK680&amp;勝一</t>
  </si>
  <si>
    <t>24~27</t>
  </si>
  <si>
    <t>S01</t>
  </si>
  <si>
    <t>6~16</t>
  </si>
  <si>
    <t>1~10</t>
  </si>
  <si>
    <t>ACTUPS</t>
  </si>
  <si>
    <t>TK622.TK612.包材</t>
  </si>
  <si>
    <t>4~12</t>
  </si>
  <si>
    <t>外購</t>
  </si>
  <si>
    <t>NMPUPS</t>
  </si>
  <si>
    <t>TK621.E58.E26.E31.包材</t>
  </si>
  <si>
    <t>NMP-E1</t>
    <phoneticPr fontId="3" type="noConversion"/>
  </si>
  <si>
    <t>CPNE3(T)</t>
    <phoneticPr fontId="3" type="noConversion"/>
  </si>
  <si>
    <t xml:space="preserve">TK683.TK694&amp;勝一 </t>
  </si>
  <si>
    <t>(1)24
(1)31</t>
  </si>
  <si>
    <t>(2)1~5
(2)17~21
(2)26~31</t>
  </si>
  <si>
    <t>(2)11~16
(2)21~27
(1)24~30</t>
  </si>
  <si>
    <t>CPNE3</t>
    <phoneticPr fontId="3" type="noConversion"/>
  </si>
  <si>
    <t>TK661&amp;TK662&amp;TK664&amp;TK667&amp;TK668
&amp;[勝一(CPNE3(OEM)]</t>
  </si>
  <si>
    <t>(1)28~30</t>
  </si>
  <si>
    <t>(1)8~13
(1)21~25
(2)22~25</t>
  </si>
  <si>
    <t>(2)17~20
(2)28~30
(1)21~23</t>
  </si>
  <si>
    <t>CPNE3-R</t>
  </si>
  <si>
    <t>TK601</t>
    <phoneticPr fontId="3" type="noConversion"/>
  </si>
  <si>
    <t>(1)7~14
(1)21~30</t>
  </si>
  <si>
    <t>(1)1~7
(1)14~20
(1)26~31</t>
  </si>
  <si>
    <t>(1)1~20</t>
  </si>
  <si>
    <t>2SEP05(E2)</t>
    <phoneticPr fontId="3" type="noConversion"/>
  </si>
  <si>
    <t>2DPM-1</t>
  </si>
  <si>
    <t>委外加工</t>
    <phoneticPr fontId="3" type="noConversion"/>
  </si>
  <si>
    <t>EBRUPS</t>
    <phoneticPr fontId="3" type="noConversion"/>
  </si>
  <si>
    <t>NMP-3</t>
  </si>
  <si>
    <t>包材.TK611</t>
    <phoneticPr fontId="3" type="noConversion"/>
  </si>
  <si>
    <t>外購</t>
    <phoneticPr fontId="3" type="noConversion"/>
  </si>
  <si>
    <t>2IPA</t>
    <phoneticPr fontId="3" type="noConversion"/>
  </si>
  <si>
    <t>2EG</t>
    <phoneticPr fontId="3" type="noConversion"/>
  </si>
  <si>
    <t>2CPN</t>
    <phoneticPr fontId="3" type="noConversion"/>
  </si>
  <si>
    <t>CPNE3-R(一次餾)</t>
    <phoneticPr fontId="3" type="noConversion"/>
  </si>
  <si>
    <t>IPAIF</t>
  </si>
  <si>
    <t>E61 E69</t>
    <phoneticPr fontId="3" type="noConversion"/>
  </si>
  <si>
    <t>ACTIF</t>
  </si>
  <si>
    <t>E51.E70</t>
  </si>
  <si>
    <t>GBLIF(OEM)</t>
    <phoneticPr fontId="3" type="noConversion"/>
  </si>
  <si>
    <t>200L&amp;20L&amp;1GL</t>
    <phoneticPr fontId="3" type="noConversion"/>
  </si>
  <si>
    <t>GAAIF</t>
    <phoneticPr fontId="3" type="noConversion"/>
  </si>
  <si>
    <t>20L&amp;1GL</t>
    <phoneticPr fontId="3" type="noConversion"/>
  </si>
  <si>
    <t>NMPIF-1</t>
  </si>
  <si>
    <t>包材</t>
  </si>
  <si>
    <t>NMPIF-2</t>
  </si>
  <si>
    <t>NMPIF-4</t>
    <phoneticPr fontId="3" type="noConversion"/>
  </si>
  <si>
    <t>GB-014</t>
  </si>
  <si>
    <t>原料品名</t>
    <phoneticPr fontId="3" type="noConversion"/>
  </si>
  <si>
    <t>銷售</t>
    <phoneticPr fontId="3" type="noConversion"/>
  </si>
  <si>
    <t>耗用量</t>
    <phoneticPr fontId="3" type="noConversion"/>
  </si>
  <si>
    <t>進貨</t>
    <phoneticPr fontId="3" type="noConversion"/>
  </si>
  <si>
    <t>其他入庫</t>
  </si>
  <si>
    <t>庫存</t>
  </si>
  <si>
    <t>IPA</t>
    <phoneticPr fontId="3" type="noConversion"/>
  </si>
  <si>
    <t>TK602.TK604A.TK604B.TK663.TK696.TK697</t>
    <phoneticPr fontId="3" type="noConversion"/>
  </si>
  <si>
    <t>IPA(其他)(鴻勝)</t>
    <phoneticPr fontId="3" type="noConversion"/>
  </si>
  <si>
    <t>E77.E84.E106</t>
  </si>
  <si>
    <t>IPA(崙尾區日本料-暫放洲際)</t>
  </si>
  <si>
    <t>洲際+本廠TK663+崙尾TK618</t>
  </si>
  <si>
    <t>IPA(崙尾區LG)</t>
  </si>
  <si>
    <t>TK617</t>
  </si>
  <si>
    <t>EG</t>
  </si>
  <si>
    <t>TK-603&amp;TK689.A009、A010</t>
    <phoneticPr fontId="3" type="noConversion"/>
  </si>
  <si>
    <t>NMP-1</t>
    <phoneticPr fontId="3" type="noConversion"/>
  </si>
  <si>
    <t>200L</t>
  </si>
  <si>
    <t>NMP-2</t>
  </si>
  <si>
    <t>TK-632&amp;TK-633&amp;TK671&amp;E30&amp;E43</t>
    <phoneticPr fontId="3" type="noConversion"/>
  </si>
  <si>
    <t>EG-C</t>
    <phoneticPr fontId="3" type="noConversion"/>
  </si>
  <si>
    <t>洲際T503</t>
  </si>
  <si>
    <t>NMP-4</t>
  </si>
  <si>
    <t>TK671&amp;E30&amp;E43</t>
  </si>
  <si>
    <t>TK633</t>
  </si>
  <si>
    <t>TK671</t>
  </si>
  <si>
    <t>ACETONE</t>
  </si>
  <si>
    <t>TK-657、E13、E36、(S208)</t>
  </si>
  <si>
    <t>GAA</t>
  </si>
  <si>
    <t>TK698</t>
    <phoneticPr fontId="3" type="noConversion"/>
  </si>
  <si>
    <t>GBL(OEM)</t>
    <phoneticPr fontId="3" type="noConversion"/>
  </si>
  <si>
    <t>E39&amp;200L&amp;包材</t>
  </si>
  <si>
    <t>NMP-E1R</t>
  </si>
  <si>
    <t>1CPN</t>
    <phoneticPr fontId="3" type="noConversion"/>
  </si>
  <si>
    <t>TK684&amp;TK685&amp;TK686&amp;TK687&amp;TK688&amp;ISOTANK20T*25</t>
  </si>
  <si>
    <t>MIBC</t>
    <phoneticPr fontId="3" type="noConversion"/>
  </si>
  <si>
    <t>GAAUPS</t>
  </si>
  <si>
    <t>TK669&amp;包材</t>
  </si>
  <si>
    <t>第二庫房</t>
  </si>
  <si>
    <t>備</t>
  </si>
  <si>
    <t>*NMPUPS生產排程後必須避開EGUPS及IPAUPS。</t>
    <phoneticPr fontId="3" type="noConversion"/>
  </si>
  <si>
    <t>*儲槽須重新檢討儲放的利用率，每次產銷須檢討儲槽的存放率，提高儲槽的利用。</t>
    <phoneticPr fontId="3" type="noConversion"/>
  </si>
  <si>
    <t>表示大於儲槽容量</t>
  </si>
  <si>
    <t>*1CPN及CPNE4係整合勝一與鴻勝後之資料。</t>
    <phoneticPr fontId="3" type="noConversion"/>
  </si>
  <si>
    <t>表示小於安全庫存量</t>
  </si>
  <si>
    <t>註</t>
    <phoneticPr fontId="3" type="noConversion"/>
  </si>
  <si>
    <t>經(副)理：                                           資材經(副)理：                                           品管課長：                                           製二副理：                                           製一副理：                                         製表人：張嘉峰</t>
    <phoneticPr fontId="3" type="noConversion"/>
  </si>
  <si>
    <t>產銷計劃表(初餾)</t>
    <phoneticPr fontId="3" type="noConversion"/>
  </si>
  <si>
    <t>代工
入庫</t>
  </si>
  <si>
    <t>EBR-P1</t>
    <phoneticPr fontId="3" type="noConversion"/>
  </si>
  <si>
    <t>TK631&amp;TK699</t>
  </si>
  <si>
    <t>R01</t>
  </si>
  <si>
    <t>R02</t>
  </si>
  <si>
    <t>CPN-P1</t>
    <phoneticPr fontId="3" type="noConversion"/>
  </si>
  <si>
    <t>TK634.TK653</t>
  </si>
  <si>
    <t>9~21</t>
  </si>
  <si>
    <t>EBR-P2</t>
    <phoneticPr fontId="3" type="noConversion"/>
  </si>
  <si>
    <t>TK655</t>
    <phoneticPr fontId="3" type="noConversion"/>
  </si>
  <si>
    <t>EBR95</t>
    <phoneticPr fontId="3" type="noConversion"/>
  </si>
  <si>
    <t>TK653</t>
  </si>
  <si>
    <t>3~7</t>
  </si>
  <si>
    <t>Mixed Ether</t>
  </si>
  <si>
    <t>TK673.TK674</t>
  </si>
  <si>
    <t>15~19</t>
  </si>
  <si>
    <t>DPM-B1</t>
    <phoneticPr fontId="3" type="noConversion"/>
  </si>
  <si>
    <t>TK641</t>
    <phoneticPr fontId="3" type="noConversion"/>
  </si>
  <si>
    <t>22~30</t>
  </si>
  <si>
    <t>EBR-P4</t>
    <phoneticPr fontId="3" type="noConversion"/>
  </si>
  <si>
    <t>TK-673&amp;TK674</t>
  </si>
  <si>
    <t>EBR-P1R</t>
  </si>
  <si>
    <t>TKC01-TKC09</t>
  </si>
  <si>
    <t>NBAC-P1R</t>
  </si>
  <si>
    <t>TK658.TK659</t>
  </si>
  <si>
    <t>1NBAC-P2</t>
    <phoneticPr fontId="3" type="noConversion"/>
  </si>
  <si>
    <t>1EBR-P2</t>
    <phoneticPr fontId="3" type="noConversion"/>
  </si>
  <si>
    <t>EBR(R)</t>
  </si>
  <si>
    <t>TK656</t>
    <phoneticPr fontId="3" type="noConversion"/>
  </si>
  <si>
    <t>HEAVY ENDS</t>
  </si>
  <si>
    <t>TK654</t>
  </si>
  <si>
    <t>1SEP-P1</t>
    <phoneticPr fontId="3" type="noConversion"/>
  </si>
  <si>
    <t>TKC02</t>
    <phoneticPr fontId="3" type="noConversion"/>
  </si>
  <si>
    <t>CPN-P1R</t>
  </si>
  <si>
    <t>TK-643.TK-645</t>
    <phoneticPr fontId="3" type="noConversion"/>
  </si>
  <si>
    <t>經(副)理：                                           資材課長：                                           品管課長：                                           製二副理：                                           製一副理：                                         製表人：</t>
    <phoneticPr fontId="3" type="noConversion"/>
  </si>
  <si>
    <t>產銷計劃表(調配)</t>
    <phoneticPr fontId="3" type="noConversion"/>
  </si>
  <si>
    <t>NSE-115</t>
  </si>
  <si>
    <t>TKM82&amp;200L</t>
  </si>
  <si>
    <t>NSE-1106</t>
  </si>
  <si>
    <t>TKM83&amp;200L</t>
    <phoneticPr fontId="3" type="noConversion"/>
  </si>
  <si>
    <t>NSR-716-V05</t>
  </si>
  <si>
    <t>TKM84&amp;200L</t>
    <phoneticPr fontId="3" type="noConversion"/>
  </si>
  <si>
    <t>NSE-1106A</t>
  </si>
  <si>
    <t>TKM50、TKM51&amp;200L</t>
  </si>
  <si>
    <t>NSE-115A</t>
  </si>
  <si>
    <t>TKM76&amp;200L</t>
  </si>
  <si>
    <t>ACT790</t>
  </si>
  <si>
    <t>TKM83&amp;200L</t>
  </si>
  <si>
    <t>SEP73E3</t>
  </si>
  <si>
    <t>TK665.S35.S38</t>
  </si>
  <si>
    <t>PS300</t>
  </si>
  <si>
    <t>CPNE4R(OEM)</t>
    <phoneticPr fontId="3" type="noConversion"/>
  </si>
  <si>
    <t>MEA</t>
  </si>
  <si>
    <t>第二庫房&amp;E46&amp;S101&amp;E47&amp;S601</t>
  </si>
  <si>
    <t>TMAH-LT</t>
  </si>
  <si>
    <t>第二庫房&amp;異常品倉</t>
    <phoneticPr fontId="3" type="noConversion"/>
  </si>
  <si>
    <t>GLC250</t>
  </si>
  <si>
    <t>RZ-450</t>
  </si>
  <si>
    <t>RSK-718</t>
  </si>
  <si>
    <t>EC-705</t>
  </si>
  <si>
    <t>MLR-102D</t>
  </si>
  <si>
    <t>PMUPS</t>
  </si>
  <si>
    <t>TK666+E79</t>
  </si>
  <si>
    <t>PMAC</t>
  </si>
  <si>
    <t>E80+E78+E79+200L</t>
  </si>
  <si>
    <t>TMAH-GB</t>
  </si>
  <si>
    <t>1PG-GB</t>
    <phoneticPr fontId="3" type="noConversion"/>
  </si>
  <si>
    <t>1M3</t>
  </si>
  <si>
    <t>秏料標準</t>
    <phoneticPr fontId="3" type="noConversion"/>
  </si>
  <si>
    <t>產品\原料</t>
  </si>
  <si>
    <t>原料</t>
  </si>
  <si>
    <t>收率</t>
  </si>
  <si>
    <t>占比</t>
  </si>
  <si>
    <t>IPA</t>
  </si>
  <si>
    <t>IPA(其他)(鴻勝)</t>
  </si>
  <si>
    <t>IPA(其他)(和勝)</t>
  </si>
  <si>
    <t>%</t>
    <phoneticPr fontId="3" type="noConversion"/>
  </si>
  <si>
    <t>1CPN</t>
  </si>
  <si>
    <t>ANONE(SEP11)</t>
  </si>
  <si>
    <t>NBAC(SEP11)</t>
  </si>
  <si>
    <t>PM-R(SEP11)</t>
  </si>
  <si>
    <t>1PMA-98(SEP11)</t>
  </si>
  <si>
    <t>CPNE3-R</t>
    <phoneticPr fontId="3" type="noConversion"/>
  </si>
  <si>
    <t>2SEP-P1</t>
  </si>
  <si>
    <t>1DPM-1</t>
  </si>
  <si>
    <t>2EBR-P1</t>
  </si>
  <si>
    <t>NMPHW</t>
  </si>
  <si>
    <t>IPAHW</t>
  </si>
  <si>
    <t>EGHW</t>
  </si>
  <si>
    <t>CPNHW</t>
  </si>
  <si>
    <t>EGUPS(含浸)</t>
  </si>
  <si>
    <t>CPNE4(含浸)</t>
  </si>
  <si>
    <t>EG-C</t>
  </si>
  <si>
    <t>EGUPS</t>
  </si>
  <si>
    <t>NMP-2</t>
    <phoneticPr fontId="3" type="noConversion"/>
  </si>
  <si>
    <t>1PG-GB</t>
  </si>
  <si>
    <t>CPNE4R</t>
  </si>
  <si>
    <t>CPNE3(T)</t>
  </si>
  <si>
    <t>GBL(OEM)</t>
  </si>
  <si>
    <t>NMP-1</t>
  </si>
  <si>
    <t>小計</t>
  </si>
  <si>
    <t>精餾場別</t>
    <phoneticPr fontId="3" type="noConversion"/>
  </si>
  <si>
    <t>初餾場別</t>
    <phoneticPr fontId="3" type="noConversion"/>
  </si>
  <si>
    <t>S01</t>
    <phoneticPr fontId="3" type="noConversion"/>
  </si>
  <si>
    <t>R01</t>
    <phoneticPr fontId="3" type="noConversion"/>
  </si>
  <si>
    <t>S02</t>
    <phoneticPr fontId="3" type="noConversion"/>
  </si>
  <si>
    <t>R02</t>
    <phoneticPr fontId="3" type="noConversion"/>
  </si>
  <si>
    <t>調配</t>
    <phoneticPr fontId="3" type="noConversion"/>
  </si>
  <si>
    <t>TK689</t>
    <phoneticPr fontId="3" type="noConversion"/>
  </si>
  <si>
    <t>11~21</t>
    <phoneticPr fontId="3" type="noConversion"/>
  </si>
  <si>
    <t>6~7</t>
    <phoneticPr fontId="3" type="noConversion"/>
  </si>
  <si>
    <t>(1)5~6
(1)15~20
(2)28~30</t>
    <phoneticPr fontId="3" type="noConversion"/>
  </si>
  <si>
    <t>(2)22~27
(1)1~4</t>
    <phoneticPr fontId="3" type="noConversion"/>
  </si>
  <si>
    <t>1~5</t>
    <phoneticPr fontId="3" type="noConversion"/>
  </si>
  <si>
    <t>純七</t>
    <phoneticPr fontId="3" type="noConversion"/>
  </si>
  <si>
    <t>*EG其他入庫來源為由勝一代工EGUPS，原料直送勝一以其他入庫列示。</t>
    <phoneticPr fontId="3" type="noConversion"/>
  </si>
  <si>
    <t>*IPA(崙尾區日本料-暫放洲際)其他入庫來源為IPAUPS及IPAHQ FLASH後重新投產的數量。</t>
    <phoneticPr fontId="3" type="noConversion"/>
  </si>
  <si>
    <t>*1CPN於8月底有庫存141MT為義大利貨源，剩餘25MT一課會於8月全數領用。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</si>
</sst>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-* #,##0.00_-;\-* #,##0.00_-;_-* &quot;-&quot;??_-;_-@_-"/>
    <numFmt numFmtId="176" formatCode="#,##0_ "/>
    <numFmt numFmtId="177" formatCode="_-* #,##0_-;\-* #,##0_-;_-* &quot;-&quot;??_-;_-@_-"/>
    <numFmt numFmtId="178" formatCode="m/d"/>
    <numFmt numFmtId="179" formatCode="#,##0_ ;[Red]\-#,##0\ "/>
    <numFmt numFmtId="180" formatCode="0_);[Red]\(0\)"/>
    <numFmt numFmtId="181" formatCode="m/dd"/>
    <numFmt numFmtId="182" formatCode="#,##0.0_ ;[Red]\-#,##0.0\ "/>
    <numFmt numFmtId="183" formatCode="0.0"/>
    <numFmt numFmtId="184" formatCode="#,##0.0_);[Red]\(#,##0.0\)"/>
    <numFmt numFmtId="185" formatCode="#,##0.00_ "/>
    <numFmt numFmtId="186" formatCode="#,##0.0_ "/>
    <numFmt numFmtId="187" formatCode="yyyy/mm/dd"/>
    <numFmt numFmtId="188" formatCode="mm/dd"/>
    <numFmt numFmtId="189" formatCode="0.00_);[Red]\(0.00\)"/>
    <numFmt numFmtId="190" formatCode="#&quot;月&quot;"/>
    <numFmt numFmtId="191" formatCode="#,##0.000_ ;[Red]\-#,##0.000\ "/>
    <numFmt numFmtId="192" formatCode="#,##0.00000_ ;[Red]\-#,##0.00000\ "/>
    <numFmt numFmtId="193" formatCode="#,##0.000_ "/>
    <numFmt numFmtId="194" formatCode="#,##0.000_);[Red]\(#,##0.000\)"/>
    <numFmt numFmtId="195" formatCode="#,##0.0000_ "/>
    <numFmt numFmtId="196" formatCode="#,##0.0000_);[Red]\(#,##0.0000\)"/>
  </numFmts>
  <fonts count="42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13"/>
      <name val="微軟正黑體"/>
      <family val="2"/>
      <charset val="136"/>
    </font>
    <font>
      <sz val="14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微軟正黑體"/>
      <family val="2"/>
      <charset val="136"/>
    </font>
    <font>
      <sz val="13"/>
      <color indexed="8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theme="0" tint="-0.34998626667073579"/>
      <name val="微軟正黑體"/>
      <family val="2"/>
      <charset val="136"/>
    </font>
    <font>
      <sz val="6"/>
      <color theme="0" tint="-0.34998626667073579"/>
      <name val="微軟正黑體"/>
      <family val="2"/>
      <charset val="136"/>
    </font>
    <font>
      <sz val="13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"/>
      <color rgb="FF0000FF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2"/>
      <color indexed="81"/>
      <name val="微軟正黑體"/>
      <family val="2"/>
      <charset val="136"/>
    </font>
    <font>
      <sz val="11"/>
      <color indexed="81"/>
      <name val="微軟正黑體"/>
      <family val="2"/>
      <charset val="136"/>
    </font>
    <font>
      <b/>
      <sz val="11"/>
      <color indexed="81"/>
      <name val="微軟正黑體"/>
      <family val="2"/>
      <charset val="136"/>
    </font>
    <font>
      <b/>
      <sz val="12"/>
      <color indexed="81"/>
      <name val="微軟正黑體"/>
      <family val="2"/>
      <charset val="136"/>
    </font>
    <font>
      <sz val="14"/>
      <color indexed="8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sz val="11"/>
      <color rgb="FF0000FF"/>
      <name val="微軟正黑體"/>
      <family val="2"/>
      <charset val="136"/>
    </font>
    <font>
      <sz val="16"/>
      <name val="微軟正黑體"/>
      <family val="2"/>
      <charset val="136"/>
    </font>
    <font>
      <b/>
      <sz val="13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0"/>
      <name val="微軟正黑體"/>
      <family val="2"/>
      <charset val="136"/>
    </font>
    <font>
      <b/>
      <sz val="10"/>
      <color indexed="81"/>
      <name val="微軟正黑體"/>
      <family val="2"/>
      <charset val="136"/>
    </font>
    <font>
      <sz val="10"/>
      <color indexed="81"/>
      <name val="微軟正黑體"/>
      <family val="2"/>
      <charset val="136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sz val="10"/>
      <color rgb="FF0000FF"/>
      <name val="微軟正黑體"/>
      <family val="2"/>
      <charset val="136"/>
    </font>
    <font>
      <sz val="13"/>
      <name val="微軟正黑體"/>
      <family val="2"/>
    </font>
    <font>
      <sz val="12"/>
      <color indexed="8"/>
      <name val="微軟正黑體"/>
      <family val="2"/>
    </font>
    <font>
      <sz val="13"/>
      <color theme="1"/>
      <name val="微軟正黑體"/>
      <family val="2"/>
      <charset val="136"/>
    </font>
    <font>
      <sz val="12"/>
      <name val="微軟正黑體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4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81">
    <xf numFmtId="0" fontId="0" fillId="0" borderId="0" xfId="0"/>
    <xf numFmtId="0" fontId="4" fillId="0" borderId="0" xfId="0" applyFont="1"/>
    <xf numFmtId="177" fontId="4" fillId="0" borderId="0" xfId="1" applyNumberFormat="1" applyFont="1" applyAlignment="1"/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176" fontId="4" fillId="0" borderId="0" xfId="0" applyNumberFormat="1" applyFont="1"/>
    <xf numFmtId="176" fontId="4" fillId="0" borderId="0" xfId="0" applyNumberFormat="1" applyFont="1" applyAlignment="1">
      <alignment horizontal="center"/>
    </xf>
    <xf numFmtId="0" fontId="6" fillId="0" borderId="8" xfId="0" applyFont="1" applyBorder="1" applyAlignment="1">
      <alignment horizontal="center"/>
    </xf>
    <xf numFmtId="178" fontId="6" fillId="0" borderId="0" xfId="0" applyNumberFormat="1" applyFont="1" applyAlignment="1">
      <alignment horizontal="center"/>
    </xf>
    <xf numFmtId="0" fontId="6" fillId="0" borderId="0" xfId="0" applyFont="1"/>
    <xf numFmtId="0" fontId="4" fillId="0" borderId="9" xfId="0" applyFont="1" applyBorder="1"/>
    <xf numFmtId="0" fontId="6" fillId="0" borderId="9" xfId="0" applyFont="1" applyBorder="1"/>
    <xf numFmtId="177" fontId="4" fillId="0" borderId="0" xfId="1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center" vertical="center"/>
    </xf>
    <xf numFmtId="176" fontId="4" fillId="0" borderId="11" xfId="0" applyNumberFormat="1" applyFont="1" applyBorder="1" applyAlignment="1">
      <alignment vertical="center"/>
    </xf>
    <xf numFmtId="181" fontId="4" fillId="0" borderId="9" xfId="0" applyNumberFormat="1" applyFont="1" applyBorder="1" applyAlignment="1">
      <alignment horizontal="right" vertical="center"/>
    </xf>
    <xf numFmtId="0" fontId="4" fillId="0" borderId="14" xfId="0" applyFont="1" applyBorder="1"/>
    <xf numFmtId="0" fontId="4" fillId="0" borderId="15" xfId="0" applyFont="1" applyBorder="1"/>
    <xf numFmtId="176" fontId="4" fillId="0" borderId="16" xfId="0" applyNumberFormat="1" applyFont="1" applyBorder="1" applyAlignment="1">
      <alignment vertical="center"/>
    </xf>
    <xf numFmtId="176" fontId="8" fillId="0" borderId="17" xfId="0" applyNumberFormat="1" applyFont="1" applyBorder="1" applyAlignment="1">
      <alignment horizontal="right" vertical="center"/>
    </xf>
    <xf numFmtId="176" fontId="8" fillId="0" borderId="18" xfId="0" applyNumberFormat="1" applyFont="1" applyBorder="1" applyAlignment="1">
      <alignment horizontal="right" vertical="center"/>
    </xf>
    <xf numFmtId="179" fontId="4" fillId="0" borderId="19" xfId="0" applyNumberFormat="1" applyFont="1" applyBorder="1" applyAlignment="1">
      <alignment vertical="center"/>
    </xf>
    <xf numFmtId="179" fontId="4" fillId="0" borderId="1" xfId="0" applyNumberFormat="1" applyFont="1" applyBorder="1" applyAlignment="1">
      <alignment vertical="center"/>
    </xf>
    <xf numFmtId="179" fontId="4" fillId="0" borderId="20" xfId="0" applyNumberFormat="1" applyFont="1" applyBorder="1" applyAlignment="1">
      <alignment vertical="center"/>
    </xf>
    <xf numFmtId="176" fontId="4" fillId="0" borderId="21" xfId="0" applyNumberFormat="1" applyFont="1" applyBorder="1" applyAlignment="1">
      <alignment vertical="center"/>
    </xf>
    <xf numFmtId="176" fontId="8" fillId="0" borderId="22" xfId="0" applyNumberFormat="1" applyFont="1" applyBorder="1" applyAlignment="1">
      <alignment horizontal="right" vertical="center"/>
    </xf>
    <xf numFmtId="176" fontId="8" fillId="0" borderId="23" xfId="0" applyNumberFormat="1" applyFont="1" applyBorder="1" applyAlignment="1">
      <alignment horizontal="right" vertical="center"/>
    </xf>
    <xf numFmtId="176" fontId="4" fillId="0" borderId="24" xfId="0" applyNumberFormat="1" applyFont="1" applyBorder="1" applyAlignment="1">
      <alignment vertical="center"/>
    </xf>
    <xf numFmtId="176" fontId="8" fillId="0" borderId="25" xfId="0" applyNumberFormat="1" applyFont="1" applyBorder="1" applyAlignment="1">
      <alignment horizontal="right" vertical="center"/>
    </xf>
    <xf numFmtId="176" fontId="8" fillId="0" borderId="26" xfId="0" applyNumberFormat="1" applyFont="1" applyBorder="1" applyAlignment="1">
      <alignment horizontal="right" vertical="center"/>
    </xf>
    <xf numFmtId="179" fontId="4" fillId="0" borderId="27" xfId="0" applyNumberFormat="1" applyFont="1" applyBorder="1" applyAlignment="1">
      <alignment vertical="center"/>
    </xf>
    <xf numFmtId="179" fontId="4" fillId="0" borderId="28" xfId="0" applyNumberFormat="1" applyFont="1" applyBorder="1" applyAlignment="1">
      <alignment vertical="center"/>
    </xf>
    <xf numFmtId="179" fontId="4" fillId="0" borderId="29" xfId="0" applyNumberFormat="1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176" fontId="8" fillId="0" borderId="22" xfId="0" applyNumberFormat="1" applyFont="1" applyBorder="1" applyAlignment="1">
      <alignment vertical="center"/>
    </xf>
    <xf numFmtId="176" fontId="8" fillId="0" borderId="23" xfId="0" applyNumberFormat="1" applyFont="1" applyBorder="1" applyAlignment="1">
      <alignment vertical="center"/>
    </xf>
    <xf numFmtId="176" fontId="4" fillId="0" borderId="13" xfId="0" applyNumberFormat="1" applyFont="1" applyBorder="1" applyAlignment="1">
      <alignment vertical="center"/>
    </xf>
    <xf numFmtId="176" fontId="8" fillId="0" borderId="12" xfId="0" applyNumberFormat="1" applyFont="1" applyBorder="1" applyAlignment="1">
      <alignment vertical="center"/>
    </xf>
    <xf numFmtId="176" fontId="8" fillId="0" borderId="33" xfId="0" applyNumberFormat="1" applyFont="1" applyBorder="1" applyAlignment="1">
      <alignment vertical="center"/>
    </xf>
    <xf numFmtId="176" fontId="4" fillId="0" borderId="28" xfId="0" applyNumberFormat="1" applyFont="1" applyBorder="1" applyAlignment="1">
      <alignment vertical="center"/>
    </xf>
    <xf numFmtId="176" fontId="8" fillId="0" borderId="25" xfId="0" applyNumberFormat="1" applyFont="1" applyBorder="1" applyAlignment="1">
      <alignment vertical="center"/>
    </xf>
    <xf numFmtId="176" fontId="8" fillId="0" borderId="26" xfId="0" applyNumberFormat="1" applyFont="1" applyBorder="1" applyAlignment="1">
      <alignment vertical="center"/>
    </xf>
    <xf numFmtId="176" fontId="8" fillId="0" borderId="34" xfId="0" applyNumberFormat="1" applyFont="1" applyBorder="1" applyAlignment="1">
      <alignment vertical="center"/>
    </xf>
    <xf numFmtId="176" fontId="8" fillId="0" borderId="37" xfId="0" applyNumberFormat="1" applyFont="1" applyBorder="1" applyAlignment="1">
      <alignment vertical="center"/>
    </xf>
    <xf numFmtId="176" fontId="4" fillId="2" borderId="1" xfId="0" applyNumberFormat="1" applyFont="1" applyFill="1" applyBorder="1" applyAlignment="1">
      <alignment vertical="center"/>
    </xf>
    <xf numFmtId="176" fontId="4" fillId="2" borderId="13" xfId="0" applyNumberFormat="1" applyFont="1" applyFill="1" applyBorder="1" applyAlignment="1">
      <alignment vertical="center"/>
    </xf>
    <xf numFmtId="176" fontId="8" fillId="0" borderId="39" xfId="0" applyNumberFormat="1" applyFont="1" applyBorder="1" applyAlignment="1">
      <alignment vertical="center"/>
    </xf>
    <xf numFmtId="176" fontId="4" fillId="0" borderId="1" xfId="0" quotePrefix="1" applyNumberFormat="1" applyFont="1" applyBorder="1" applyAlignment="1">
      <alignment vertical="center"/>
    </xf>
    <xf numFmtId="176" fontId="8" fillId="0" borderId="44" xfId="0" applyNumberFormat="1" applyFont="1" applyBorder="1" applyAlignment="1">
      <alignment vertical="center"/>
    </xf>
    <xf numFmtId="176" fontId="4" fillId="0" borderId="49" xfId="0" applyNumberFormat="1" applyFont="1" applyBorder="1" applyAlignment="1">
      <alignment vertical="center"/>
    </xf>
    <xf numFmtId="176" fontId="4" fillId="0" borderId="1" xfId="0" quotePrefix="1" applyNumberFormat="1" applyFont="1" applyBorder="1" applyAlignment="1">
      <alignment horizontal="right" vertical="center"/>
    </xf>
    <xf numFmtId="176" fontId="4" fillId="0" borderId="22" xfId="0" applyNumberFormat="1" applyFont="1" applyBorder="1" applyAlignment="1">
      <alignment vertical="center"/>
    </xf>
    <xf numFmtId="179" fontId="4" fillId="0" borderId="22" xfId="0" applyNumberFormat="1" applyFont="1" applyBorder="1" applyAlignment="1">
      <alignment vertical="center"/>
    </xf>
    <xf numFmtId="176" fontId="4" fillId="0" borderId="12" xfId="0" applyNumberFormat="1" applyFont="1" applyBorder="1" applyAlignment="1">
      <alignment vertical="center"/>
    </xf>
    <xf numFmtId="0" fontId="6" fillId="0" borderId="58" xfId="0" applyFont="1" applyBorder="1" applyAlignment="1">
      <alignment horizontal="center"/>
    </xf>
    <xf numFmtId="176" fontId="4" fillId="0" borderId="25" xfId="0" applyNumberFormat="1" applyFont="1" applyBorder="1" applyAlignment="1">
      <alignment vertical="center"/>
    </xf>
    <xf numFmtId="182" fontId="4" fillId="0" borderId="1" xfId="0" applyNumberFormat="1" applyFont="1" applyBorder="1" applyAlignment="1">
      <alignment vertical="center"/>
    </xf>
    <xf numFmtId="184" fontId="4" fillId="0" borderId="0" xfId="0" applyNumberFormat="1" applyFont="1"/>
    <xf numFmtId="176" fontId="8" fillId="4" borderId="23" xfId="0" applyNumberFormat="1" applyFont="1" applyFill="1" applyBorder="1" applyAlignment="1">
      <alignment vertical="center"/>
    </xf>
    <xf numFmtId="176" fontId="8" fillId="4" borderId="23" xfId="0" applyNumberFormat="1" applyFont="1" applyFill="1" applyBorder="1" applyAlignment="1">
      <alignment horizontal="right" vertical="center"/>
    </xf>
    <xf numFmtId="176" fontId="8" fillId="4" borderId="26" xfId="0" applyNumberFormat="1" applyFont="1" applyFill="1" applyBorder="1" applyAlignment="1">
      <alignment horizontal="right" vertical="center"/>
    </xf>
    <xf numFmtId="176" fontId="8" fillId="4" borderId="33" xfId="0" applyNumberFormat="1" applyFont="1" applyFill="1" applyBorder="1" applyAlignment="1">
      <alignment vertical="center"/>
    </xf>
    <xf numFmtId="176" fontId="8" fillId="4" borderId="26" xfId="0" applyNumberFormat="1" applyFont="1" applyFill="1" applyBorder="1" applyAlignment="1">
      <alignment vertical="center"/>
    </xf>
    <xf numFmtId="176" fontId="8" fillId="4" borderId="18" xfId="0" applyNumberFormat="1" applyFont="1" applyFill="1" applyBorder="1" applyAlignment="1">
      <alignment vertical="center"/>
    </xf>
    <xf numFmtId="176" fontId="8" fillId="4" borderId="19" xfId="0" applyNumberFormat="1" applyFont="1" applyFill="1" applyBorder="1" applyAlignment="1">
      <alignment horizontal="right" vertical="center"/>
    </xf>
    <xf numFmtId="176" fontId="8" fillId="4" borderId="27" xfId="0" applyNumberFormat="1" applyFont="1" applyFill="1" applyBorder="1" applyAlignment="1">
      <alignment horizontal="right" vertical="center"/>
    </xf>
    <xf numFmtId="176" fontId="8" fillId="4" borderId="59" xfId="0" applyNumberFormat="1" applyFont="1" applyFill="1" applyBorder="1" applyAlignment="1">
      <alignment horizontal="right" vertical="center"/>
    </xf>
    <xf numFmtId="176" fontId="8" fillId="4" borderId="19" xfId="0" applyNumberFormat="1" applyFont="1" applyFill="1" applyBorder="1" applyAlignment="1">
      <alignment vertical="center"/>
    </xf>
    <xf numFmtId="176" fontId="8" fillId="4" borderId="30" xfId="0" applyNumberFormat="1" applyFont="1" applyFill="1" applyBorder="1" applyAlignment="1">
      <alignment vertical="center"/>
    </xf>
    <xf numFmtId="176" fontId="8" fillId="4" borderId="34" xfId="0" applyNumberFormat="1" applyFont="1" applyFill="1" applyBorder="1" applyAlignment="1">
      <alignment vertical="center"/>
    </xf>
    <xf numFmtId="176" fontId="8" fillId="4" borderId="37" xfId="0" applyNumberFormat="1" applyFont="1" applyFill="1" applyBorder="1" applyAlignment="1">
      <alignment vertical="center"/>
    </xf>
    <xf numFmtId="176" fontId="8" fillId="4" borderId="39" xfId="0" applyNumberFormat="1" applyFont="1" applyFill="1" applyBorder="1" applyAlignment="1">
      <alignment vertical="center"/>
    </xf>
    <xf numFmtId="176" fontId="8" fillId="4" borderId="46" xfId="0" applyNumberFormat="1" applyFont="1" applyFill="1" applyBorder="1" applyAlignment="1">
      <alignment vertical="center"/>
    </xf>
    <xf numFmtId="176" fontId="8" fillId="4" borderId="38" xfId="0" applyNumberFormat="1" applyFont="1" applyFill="1" applyBorder="1" applyAlignment="1">
      <alignment vertical="center"/>
    </xf>
    <xf numFmtId="176" fontId="8" fillId="4" borderId="35" xfId="0" applyNumberFormat="1" applyFont="1" applyFill="1" applyBorder="1" applyAlignment="1">
      <alignment vertical="center"/>
    </xf>
    <xf numFmtId="176" fontId="8" fillId="4" borderId="27" xfId="0" applyNumberFormat="1" applyFont="1" applyFill="1" applyBorder="1" applyAlignment="1">
      <alignment vertical="center"/>
    </xf>
    <xf numFmtId="176" fontId="8" fillId="4" borderId="16" xfId="0" applyNumberFormat="1" applyFont="1" applyFill="1" applyBorder="1" applyAlignment="1">
      <alignment horizontal="right" vertical="center"/>
    </xf>
    <xf numFmtId="176" fontId="8" fillId="4" borderId="11" xfId="0" applyNumberFormat="1" applyFont="1" applyFill="1" applyBorder="1" applyAlignment="1">
      <alignment vertical="center"/>
    </xf>
    <xf numFmtId="176" fontId="8" fillId="4" borderId="60" xfId="0" applyNumberFormat="1" applyFont="1" applyFill="1" applyBorder="1" applyAlignment="1">
      <alignment vertical="center"/>
    </xf>
    <xf numFmtId="176" fontId="8" fillId="4" borderId="61" xfId="0" applyNumberFormat="1" applyFont="1" applyFill="1" applyBorder="1" applyAlignment="1">
      <alignment vertical="center"/>
    </xf>
    <xf numFmtId="176" fontId="8" fillId="4" borderId="62" xfId="0" applyNumberFormat="1" applyFont="1" applyFill="1" applyBorder="1" applyAlignment="1">
      <alignment vertical="center"/>
    </xf>
    <xf numFmtId="176" fontId="8" fillId="0" borderId="44" xfId="0" applyNumberFormat="1" applyFont="1" applyBorder="1" applyAlignment="1">
      <alignment horizontal="right" vertical="center"/>
    </xf>
    <xf numFmtId="176" fontId="8" fillId="0" borderId="33" xfId="0" applyNumberFormat="1" applyFont="1" applyBorder="1" applyAlignment="1">
      <alignment horizontal="right" vertical="center"/>
    </xf>
    <xf numFmtId="176" fontId="8" fillId="0" borderId="43" xfId="0" applyNumberFormat="1" applyFont="1" applyBorder="1" applyAlignment="1">
      <alignment horizontal="right" vertical="center"/>
    </xf>
    <xf numFmtId="176" fontId="8" fillId="0" borderId="12" xfId="0" applyNumberFormat="1" applyFont="1" applyBorder="1" applyAlignment="1">
      <alignment horizontal="right" vertical="center"/>
    </xf>
    <xf numFmtId="178" fontId="6" fillId="0" borderId="0" xfId="0" applyNumberFormat="1" applyFont="1" applyAlignment="1">
      <alignment horizontal="left"/>
    </xf>
    <xf numFmtId="0" fontId="6" fillId="0" borderId="9" xfId="0" applyFont="1" applyBorder="1" applyAlignment="1">
      <alignment horizontal="left"/>
    </xf>
    <xf numFmtId="176" fontId="4" fillId="4" borderId="33" xfId="0" applyNumberFormat="1" applyFont="1" applyFill="1" applyBorder="1" applyAlignment="1">
      <alignment vertical="center"/>
    </xf>
    <xf numFmtId="176" fontId="8" fillId="4" borderId="65" xfId="0" applyNumberFormat="1" applyFont="1" applyFill="1" applyBorder="1" applyAlignment="1">
      <alignment vertical="center"/>
    </xf>
    <xf numFmtId="179" fontId="4" fillId="0" borderId="65" xfId="0" applyNumberFormat="1" applyFont="1" applyBorder="1" applyAlignment="1">
      <alignment vertical="center"/>
    </xf>
    <xf numFmtId="179" fontId="4" fillId="0" borderId="42" xfId="0" applyNumberFormat="1" applyFont="1" applyBorder="1" applyAlignment="1">
      <alignment vertical="center"/>
    </xf>
    <xf numFmtId="179" fontId="4" fillId="0" borderId="66" xfId="0" applyNumberFormat="1" applyFont="1" applyBorder="1" applyAlignment="1">
      <alignment vertical="center"/>
    </xf>
    <xf numFmtId="176" fontId="4" fillId="2" borderId="28" xfId="0" applyNumberFormat="1" applyFont="1" applyFill="1" applyBorder="1" applyAlignment="1">
      <alignment vertical="center"/>
    </xf>
    <xf numFmtId="176" fontId="6" fillId="0" borderId="67" xfId="0" applyNumberFormat="1" applyFont="1" applyBorder="1" applyAlignment="1">
      <alignment vertical="center"/>
    </xf>
    <xf numFmtId="176" fontId="6" fillId="0" borderId="68" xfId="0" applyNumberFormat="1" applyFont="1" applyBorder="1" applyAlignment="1">
      <alignment vertical="center"/>
    </xf>
    <xf numFmtId="176" fontId="6" fillId="0" borderId="69" xfId="0" applyNumberFormat="1" applyFont="1" applyBorder="1" applyAlignment="1">
      <alignment vertical="center"/>
    </xf>
    <xf numFmtId="176" fontId="6" fillId="0" borderId="70" xfId="0" applyNumberFormat="1" applyFont="1" applyBorder="1" applyAlignment="1">
      <alignment vertical="center"/>
    </xf>
    <xf numFmtId="176" fontId="6" fillId="0" borderId="8" xfId="0" applyNumberFormat="1" applyFont="1" applyBorder="1" applyAlignment="1">
      <alignment vertical="center"/>
    </xf>
    <xf numFmtId="176" fontId="6" fillId="0" borderId="69" xfId="0" quotePrefix="1" applyNumberFormat="1" applyFont="1" applyBorder="1" applyAlignment="1">
      <alignment vertical="center"/>
    </xf>
    <xf numFmtId="176" fontId="6" fillId="0" borderId="69" xfId="0" quotePrefix="1" applyNumberFormat="1" applyFont="1" applyBorder="1" applyAlignment="1">
      <alignment horizontal="left" vertical="center"/>
    </xf>
    <xf numFmtId="0" fontId="7" fillId="0" borderId="0" xfId="0" applyFont="1"/>
    <xf numFmtId="177" fontId="7" fillId="0" borderId="0" xfId="1" applyNumberFormat="1" applyFont="1" applyAlignment="1"/>
    <xf numFmtId="176" fontId="8" fillId="4" borderId="71" xfId="0" applyNumberFormat="1" applyFont="1" applyFill="1" applyBorder="1" applyAlignment="1">
      <alignment vertical="center"/>
    </xf>
    <xf numFmtId="176" fontId="8" fillId="4" borderId="72" xfId="0" applyNumberFormat="1" applyFont="1" applyFill="1" applyBorder="1" applyAlignment="1">
      <alignment vertical="center"/>
    </xf>
    <xf numFmtId="179" fontId="8" fillId="4" borderId="23" xfId="0" applyNumberFormat="1" applyFont="1" applyFill="1" applyBorder="1" applyAlignment="1">
      <alignment vertical="center"/>
    </xf>
    <xf numFmtId="176" fontId="6" fillId="0" borderId="0" xfId="0" applyNumberFormat="1" applyFont="1" applyAlignment="1">
      <alignment horizontal="left" vertical="center"/>
    </xf>
    <xf numFmtId="49" fontId="6" fillId="0" borderId="69" xfId="0" applyNumberFormat="1" applyFont="1" applyBorder="1" applyAlignment="1">
      <alignment vertical="center"/>
    </xf>
    <xf numFmtId="176" fontId="6" fillId="0" borderId="69" xfId="0" applyNumberFormat="1" applyFont="1" applyBorder="1" applyAlignment="1">
      <alignment horizontal="left" vertical="center"/>
    </xf>
    <xf numFmtId="182" fontId="6" fillId="0" borderId="69" xfId="0" applyNumberFormat="1" applyFont="1" applyBorder="1" applyAlignment="1">
      <alignment vertical="center"/>
    </xf>
    <xf numFmtId="179" fontId="4" fillId="0" borderId="59" xfId="0" applyNumberFormat="1" applyFont="1" applyBorder="1" applyAlignment="1">
      <alignment vertical="center"/>
    </xf>
    <xf numFmtId="179" fontId="4" fillId="0" borderId="49" xfId="0" applyNumberFormat="1" applyFont="1" applyBorder="1" applyAlignment="1">
      <alignment vertical="center"/>
    </xf>
    <xf numFmtId="179" fontId="4" fillId="0" borderId="80" xfId="0" applyNumberFormat="1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14" xfId="0" applyFont="1" applyBorder="1"/>
    <xf numFmtId="182" fontId="8" fillId="4" borderId="23" xfId="0" applyNumberFormat="1" applyFont="1" applyFill="1" applyBorder="1" applyAlignment="1">
      <alignment vertical="center"/>
    </xf>
    <xf numFmtId="176" fontId="4" fillId="0" borderId="32" xfId="0" applyNumberFormat="1" applyFont="1" applyBorder="1" applyAlignment="1">
      <alignment vertical="center"/>
    </xf>
    <xf numFmtId="187" fontId="16" fillId="0" borderId="0" xfId="1" applyNumberFormat="1" applyFont="1" applyBorder="1" applyAlignment="1"/>
    <xf numFmtId="180" fontId="15" fillId="0" borderId="0" xfId="1" applyNumberFormat="1" applyFont="1" applyBorder="1" applyAlignment="1"/>
    <xf numFmtId="0" fontId="6" fillId="0" borderId="7" xfId="0" applyFont="1" applyBorder="1"/>
    <xf numFmtId="180" fontId="8" fillId="4" borderId="37" xfId="0" applyNumberFormat="1" applyFont="1" applyFill="1" applyBorder="1" applyAlignment="1">
      <alignment vertical="center"/>
    </xf>
    <xf numFmtId="0" fontId="6" fillId="0" borderId="83" xfId="0" applyFont="1" applyBorder="1" applyAlignment="1">
      <alignment vertical="center"/>
    </xf>
    <xf numFmtId="0" fontId="5" fillId="0" borderId="9" xfId="0" applyFont="1" applyBorder="1" applyAlignment="1">
      <alignment horizontal="center"/>
    </xf>
    <xf numFmtId="0" fontId="6" fillId="0" borderId="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176" fontId="4" fillId="4" borderId="59" xfId="0" applyNumberFormat="1" applyFont="1" applyFill="1" applyBorder="1" applyAlignment="1">
      <alignment vertical="center"/>
    </xf>
    <xf numFmtId="184" fontId="6" fillId="0" borderId="0" xfId="0" applyNumberFormat="1" applyFont="1" applyAlignment="1">
      <alignment vertical="center"/>
    </xf>
    <xf numFmtId="184" fontId="7" fillId="0" borderId="0" xfId="0" applyNumberFormat="1" applyFont="1"/>
    <xf numFmtId="38" fontId="4" fillId="0" borderId="65" xfId="0" applyNumberFormat="1" applyFont="1" applyBorder="1" applyAlignment="1">
      <alignment vertical="center"/>
    </xf>
    <xf numFmtId="38" fontId="4" fillId="0" borderId="42" xfId="0" applyNumberFormat="1" applyFont="1" applyBorder="1" applyAlignment="1">
      <alignment vertical="center"/>
    </xf>
    <xf numFmtId="38" fontId="4" fillId="0" borderId="66" xfId="0" applyNumberFormat="1" applyFont="1" applyBorder="1" applyAlignment="1">
      <alignment vertical="center"/>
    </xf>
    <xf numFmtId="38" fontId="4" fillId="0" borderId="27" xfId="0" applyNumberFormat="1" applyFont="1" applyBorder="1" applyAlignment="1">
      <alignment vertical="center"/>
    </xf>
    <xf numFmtId="38" fontId="4" fillId="0" borderId="28" xfId="0" applyNumberFormat="1" applyFont="1" applyBorder="1" applyAlignment="1">
      <alignment vertical="center"/>
    </xf>
    <xf numFmtId="38" fontId="4" fillId="0" borderId="29" xfId="0" applyNumberFormat="1" applyFont="1" applyBorder="1" applyAlignment="1">
      <alignment vertical="center"/>
    </xf>
    <xf numFmtId="38" fontId="4" fillId="0" borderId="19" xfId="0" applyNumberFormat="1" applyFont="1" applyBorder="1" applyAlignment="1">
      <alignment vertical="center"/>
    </xf>
    <xf numFmtId="38" fontId="4" fillId="0" borderId="1" xfId="0" applyNumberFormat="1" applyFont="1" applyBorder="1" applyAlignment="1">
      <alignment vertical="center"/>
    </xf>
    <xf numFmtId="38" fontId="4" fillId="0" borderId="20" xfId="0" applyNumberFormat="1" applyFont="1" applyBorder="1" applyAlignment="1">
      <alignment vertical="center"/>
    </xf>
    <xf numFmtId="178" fontId="6" fillId="0" borderId="9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vertical="center"/>
    </xf>
    <xf numFmtId="176" fontId="8" fillId="4" borderId="44" xfId="0" applyNumberFormat="1" applyFont="1" applyFill="1" applyBorder="1" applyAlignment="1">
      <alignment horizontal="right" vertical="center"/>
    </xf>
    <xf numFmtId="176" fontId="8" fillId="4" borderId="65" xfId="0" applyNumberFormat="1" applyFont="1" applyFill="1" applyBorder="1" applyAlignment="1">
      <alignment horizontal="right" vertical="center"/>
    </xf>
    <xf numFmtId="176" fontId="8" fillId="4" borderId="32" xfId="0" applyNumberFormat="1" applyFont="1" applyFill="1" applyBorder="1" applyAlignment="1">
      <alignment horizontal="right" vertical="center"/>
    </xf>
    <xf numFmtId="176" fontId="8" fillId="4" borderId="21" xfId="0" applyNumberFormat="1" applyFont="1" applyFill="1" applyBorder="1" applyAlignment="1">
      <alignment horizontal="right" vertical="center"/>
    </xf>
    <xf numFmtId="38" fontId="4" fillId="0" borderId="59" xfId="0" applyNumberFormat="1" applyFont="1" applyBorder="1" applyAlignment="1">
      <alignment vertical="center"/>
    </xf>
    <xf numFmtId="38" fontId="4" fillId="0" borderId="49" xfId="0" applyNumberFormat="1" applyFont="1" applyBorder="1" applyAlignment="1">
      <alignment vertical="center"/>
    </xf>
    <xf numFmtId="38" fontId="4" fillId="0" borderId="80" xfId="0" applyNumberFormat="1" applyFont="1" applyBorder="1" applyAlignment="1">
      <alignment vertical="center"/>
    </xf>
    <xf numFmtId="176" fontId="4" fillId="0" borderId="18" xfId="0" applyNumberFormat="1" applyFont="1" applyBorder="1" applyAlignment="1">
      <alignment vertical="center"/>
    </xf>
    <xf numFmtId="49" fontId="6" fillId="0" borderId="67" xfId="0" applyNumberFormat="1" applyFont="1" applyBorder="1" applyAlignment="1">
      <alignment vertical="center"/>
    </xf>
    <xf numFmtId="176" fontId="8" fillId="4" borderId="52" xfId="0" applyNumberFormat="1" applyFont="1" applyFill="1" applyBorder="1" applyAlignment="1">
      <alignment vertical="center"/>
    </xf>
    <xf numFmtId="176" fontId="6" fillId="0" borderId="67" xfId="0" quotePrefix="1" applyNumberFormat="1" applyFont="1" applyBorder="1" applyAlignment="1">
      <alignment horizontal="left" vertical="center"/>
    </xf>
    <xf numFmtId="176" fontId="4" fillId="0" borderId="24" xfId="0" applyNumberFormat="1" applyFont="1" applyBorder="1" applyAlignment="1">
      <alignment horizontal="right" vertical="center"/>
    </xf>
    <xf numFmtId="183" fontId="6" fillId="0" borderId="67" xfId="0" applyNumberFormat="1" applyFont="1" applyBorder="1" applyAlignment="1">
      <alignment vertical="center"/>
    </xf>
    <xf numFmtId="183" fontId="4" fillId="0" borderId="13" xfId="0" applyNumberFormat="1" applyFont="1" applyBorder="1" applyAlignment="1">
      <alignment vertical="center"/>
    </xf>
    <xf numFmtId="176" fontId="6" fillId="0" borderId="85" xfId="0" applyNumberFormat="1" applyFont="1" applyBorder="1" applyAlignment="1">
      <alignment vertical="center"/>
    </xf>
    <xf numFmtId="176" fontId="4" fillId="0" borderId="86" xfId="0" applyNumberFormat="1" applyFont="1" applyBorder="1" applyAlignment="1">
      <alignment vertical="center"/>
    </xf>
    <xf numFmtId="176" fontId="8" fillId="4" borderId="78" xfId="0" applyNumberFormat="1" applyFont="1" applyFill="1" applyBorder="1" applyAlignment="1">
      <alignment vertical="center"/>
    </xf>
    <xf numFmtId="176" fontId="8" fillId="4" borderId="33" xfId="0" applyNumberFormat="1" applyFont="1" applyFill="1" applyBorder="1" applyAlignment="1">
      <alignment horizontal="right" vertical="center"/>
    </xf>
    <xf numFmtId="176" fontId="8" fillId="4" borderId="30" xfId="0" applyNumberFormat="1" applyFont="1" applyFill="1" applyBorder="1" applyAlignment="1">
      <alignment horizontal="right" vertical="center"/>
    </xf>
    <xf numFmtId="176" fontId="8" fillId="4" borderId="11" xfId="0" applyNumberFormat="1" applyFont="1" applyFill="1" applyBorder="1" applyAlignment="1">
      <alignment horizontal="right" vertical="center"/>
    </xf>
    <xf numFmtId="176" fontId="8" fillId="4" borderId="24" xfId="0" applyNumberFormat="1" applyFont="1" applyFill="1" applyBorder="1" applyAlignment="1">
      <alignment horizontal="right" vertical="center"/>
    </xf>
    <xf numFmtId="176" fontId="17" fillId="0" borderId="8" xfId="0" applyNumberFormat="1" applyFont="1" applyBorder="1" applyAlignment="1">
      <alignment vertical="center"/>
    </xf>
    <xf numFmtId="176" fontId="18" fillId="4" borderId="23" xfId="0" applyNumberFormat="1" applyFont="1" applyFill="1" applyBorder="1" applyAlignment="1">
      <alignment vertical="center"/>
    </xf>
    <xf numFmtId="0" fontId="6" fillId="0" borderId="90" xfId="0" applyFont="1" applyBorder="1" applyAlignment="1">
      <alignment horizontal="center"/>
    </xf>
    <xf numFmtId="188" fontId="4" fillId="0" borderId="0" xfId="0" applyNumberFormat="1" applyFont="1"/>
    <xf numFmtId="0" fontId="6" fillId="0" borderId="0" xfId="0" applyFont="1" applyAlignment="1">
      <alignment horizontal="left" vertical="top"/>
    </xf>
    <xf numFmtId="0" fontId="6" fillId="0" borderId="91" xfId="0" applyFont="1" applyBorder="1"/>
    <xf numFmtId="0" fontId="6" fillId="0" borderId="17" xfId="0" applyFont="1" applyBorder="1" applyAlignment="1">
      <alignment horizontal="center"/>
    </xf>
    <xf numFmtId="176" fontId="4" fillId="0" borderId="92" xfId="0" applyNumberFormat="1" applyFont="1" applyBorder="1" applyAlignment="1">
      <alignment vertical="center"/>
    </xf>
    <xf numFmtId="176" fontId="8" fillId="4" borderId="93" xfId="0" applyNumberFormat="1" applyFont="1" applyFill="1" applyBorder="1" applyAlignment="1">
      <alignment vertical="center"/>
    </xf>
    <xf numFmtId="178" fontId="19" fillId="0" borderId="0" xfId="0" applyNumberFormat="1" applyFont="1" applyAlignment="1">
      <alignment horizontal="left"/>
    </xf>
    <xf numFmtId="178" fontId="19" fillId="0" borderId="9" xfId="0" applyNumberFormat="1" applyFont="1" applyBorder="1" applyAlignment="1">
      <alignment horizontal="left"/>
    </xf>
    <xf numFmtId="0" fontId="15" fillId="0" borderId="0" xfId="0" applyFont="1"/>
    <xf numFmtId="176" fontId="4" fillId="2" borderId="12" xfId="0" applyNumberFormat="1" applyFont="1" applyFill="1" applyBorder="1" applyAlignment="1">
      <alignment vertical="center"/>
    </xf>
    <xf numFmtId="176" fontId="4" fillId="2" borderId="22" xfId="0" applyNumberFormat="1" applyFont="1" applyFill="1" applyBorder="1" applyAlignment="1">
      <alignment vertical="center"/>
    </xf>
    <xf numFmtId="176" fontId="4" fillId="2" borderId="25" xfId="0" applyNumberFormat="1" applyFont="1" applyFill="1" applyBorder="1" applyAlignment="1">
      <alignment vertical="center"/>
    </xf>
    <xf numFmtId="186" fontId="8" fillId="4" borderId="71" xfId="0" applyNumberFormat="1" applyFont="1" applyFill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176" fontId="18" fillId="4" borderId="18" xfId="0" applyNumberFormat="1" applyFont="1" applyFill="1" applyBorder="1" applyAlignment="1">
      <alignment vertical="center"/>
    </xf>
    <xf numFmtId="37" fontId="4" fillId="0" borderId="42" xfId="0" applyNumberFormat="1" applyFont="1" applyBorder="1" applyAlignment="1">
      <alignment vertical="center"/>
    </xf>
    <xf numFmtId="0" fontId="6" fillId="0" borderId="8" xfId="0" applyFont="1" applyBorder="1" applyAlignment="1">
      <alignment horizontal="right"/>
    </xf>
    <xf numFmtId="176" fontId="11" fillId="6" borderId="105" xfId="0" applyNumberFormat="1" applyFont="1" applyFill="1" applyBorder="1" applyAlignment="1">
      <alignment horizontal="center" vertical="center" wrapText="1"/>
    </xf>
    <xf numFmtId="176" fontId="11" fillId="6" borderId="81" xfId="0" applyNumberFormat="1" applyFont="1" applyFill="1" applyBorder="1" applyAlignment="1">
      <alignment horizontal="center" vertical="center" wrapText="1"/>
    </xf>
    <xf numFmtId="176" fontId="11" fillId="6" borderId="56" xfId="0" applyNumberFormat="1" applyFont="1" applyFill="1" applyBorder="1" applyAlignment="1">
      <alignment horizontal="center" vertical="center" wrapText="1"/>
    </xf>
    <xf numFmtId="176" fontId="11" fillId="6" borderId="57" xfId="0" applyNumberFormat="1" applyFont="1" applyFill="1" applyBorder="1" applyAlignment="1">
      <alignment horizontal="center" vertical="center" wrapText="1"/>
    </xf>
    <xf numFmtId="176" fontId="4" fillId="6" borderId="17" xfId="0" applyNumberFormat="1" applyFont="1" applyFill="1" applyBorder="1" applyAlignment="1">
      <alignment vertical="center"/>
    </xf>
    <xf numFmtId="176" fontId="4" fillId="6" borderId="49" xfId="0" applyNumberFormat="1" applyFont="1" applyFill="1" applyBorder="1" applyAlignment="1">
      <alignment vertical="center"/>
    </xf>
    <xf numFmtId="176" fontId="4" fillId="6" borderId="12" xfId="0" applyNumberFormat="1" applyFont="1" applyFill="1" applyBorder="1" applyAlignment="1">
      <alignment vertical="center"/>
    </xf>
    <xf numFmtId="176" fontId="4" fillId="6" borderId="13" xfId="0" applyNumberFormat="1" applyFont="1" applyFill="1" applyBorder="1" applyAlignment="1">
      <alignment vertical="center"/>
    </xf>
    <xf numFmtId="176" fontId="4" fillId="6" borderId="42" xfId="0" applyNumberFormat="1" applyFont="1" applyFill="1" applyBorder="1" applyAlignment="1">
      <alignment vertical="center"/>
    </xf>
    <xf numFmtId="176" fontId="4" fillId="6" borderId="106" xfId="0" applyNumberFormat="1" applyFont="1" applyFill="1" applyBorder="1" applyAlignment="1">
      <alignment vertical="center"/>
    </xf>
    <xf numFmtId="176" fontId="4" fillId="6" borderId="1" xfId="0" applyNumberFormat="1" applyFont="1" applyFill="1" applyBorder="1" applyAlignment="1">
      <alignment vertical="center"/>
    </xf>
    <xf numFmtId="176" fontId="4" fillId="6" borderId="43" xfId="0" applyNumberFormat="1" applyFont="1" applyFill="1" applyBorder="1" applyAlignment="1">
      <alignment vertical="center"/>
    </xf>
    <xf numFmtId="176" fontId="4" fillId="6" borderId="107" xfId="0" applyNumberFormat="1" applyFont="1" applyFill="1" applyBorder="1" applyAlignment="1">
      <alignment vertical="center"/>
    </xf>
    <xf numFmtId="176" fontId="4" fillId="6" borderId="53" xfId="0" applyNumberFormat="1" applyFont="1" applyFill="1" applyBorder="1" applyAlignment="1">
      <alignment vertical="center"/>
    </xf>
    <xf numFmtId="176" fontId="4" fillId="6" borderId="108" xfId="0" applyNumberFormat="1" applyFont="1" applyFill="1" applyBorder="1" applyAlignment="1">
      <alignment vertical="center"/>
    </xf>
    <xf numFmtId="176" fontId="4" fillId="6" borderId="28" xfId="0" applyNumberFormat="1" applyFont="1" applyFill="1" applyBorder="1" applyAlignment="1">
      <alignment vertical="center"/>
    </xf>
    <xf numFmtId="176" fontId="4" fillId="6" borderId="22" xfId="0" quotePrefix="1" applyNumberFormat="1" applyFont="1" applyFill="1" applyBorder="1" applyAlignment="1">
      <alignment horizontal="right" vertical="center"/>
    </xf>
    <xf numFmtId="176" fontId="4" fillId="6" borderId="13" xfId="0" quotePrefix="1" applyNumberFormat="1" applyFont="1" applyFill="1" applyBorder="1" applyAlignment="1">
      <alignment vertical="center"/>
    </xf>
    <xf numFmtId="176" fontId="4" fillId="6" borderId="1" xfId="0" quotePrefix="1" applyNumberFormat="1" applyFont="1" applyFill="1" applyBorder="1" applyAlignment="1">
      <alignment horizontal="right" vertical="center"/>
    </xf>
    <xf numFmtId="176" fontId="4" fillId="6" borderId="22" xfId="0" applyNumberFormat="1" applyFont="1" applyFill="1" applyBorder="1" applyAlignment="1">
      <alignment vertical="center"/>
    </xf>
    <xf numFmtId="179" fontId="4" fillId="6" borderId="22" xfId="0" applyNumberFormat="1" applyFont="1" applyFill="1" applyBorder="1" applyAlignment="1">
      <alignment vertical="center"/>
    </xf>
    <xf numFmtId="179" fontId="4" fillId="6" borderId="1" xfId="0" applyNumberFormat="1" applyFont="1" applyFill="1" applyBorder="1" applyAlignment="1">
      <alignment vertical="center"/>
    </xf>
    <xf numFmtId="176" fontId="4" fillId="6" borderId="21" xfId="0" applyNumberFormat="1" applyFont="1" applyFill="1" applyBorder="1" applyAlignment="1">
      <alignment vertical="center"/>
    </xf>
    <xf numFmtId="176" fontId="4" fillId="6" borderId="16" xfId="0" applyNumberFormat="1" applyFont="1" applyFill="1" applyBorder="1" applyAlignment="1">
      <alignment vertical="center"/>
    </xf>
    <xf numFmtId="176" fontId="4" fillId="6" borderId="32" xfId="0" applyNumberFormat="1" applyFont="1" applyFill="1" applyBorder="1" applyAlignment="1">
      <alignment vertical="center"/>
    </xf>
    <xf numFmtId="176" fontId="4" fillId="6" borderId="11" xfId="0" applyNumberFormat="1" applyFont="1" applyFill="1" applyBorder="1" applyAlignment="1">
      <alignment vertical="center"/>
    </xf>
    <xf numFmtId="176" fontId="4" fillId="6" borderId="24" xfId="0" applyNumberFormat="1" applyFont="1" applyFill="1" applyBorder="1" applyAlignment="1">
      <alignment vertical="center"/>
    </xf>
    <xf numFmtId="176" fontId="4" fillId="6" borderId="21" xfId="0" applyNumberFormat="1" applyFont="1" applyFill="1" applyBorder="1" applyAlignment="1">
      <alignment vertical="center" shrinkToFit="1"/>
    </xf>
    <xf numFmtId="176" fontId="4" fillId="6" borderId="16" xfId="0" applyNumberFormat="1" applyFont="1" applyFill="1" applyBorder="1" applyAlignment="1">
      <alignment vertical="center" wrapText="1"/>
    </xf>
    <xf numFmtId="176" fontId="4" fillId="6" borderId="11" xfId="0" applyNumberFormat="1" applyFont="1" applyFill="1" applyBorder="1" applyAlignment="1">
      <alignment horizontal="left" vertical="center"/>
    </xf>
    <xf numFmtId="176" fontId="4" fillId="6" borderId="21" xfId="0" quotePrefix="1" applyNumberFormat="1" applyFont="1" applyFill="1" applyBorder="1" applyAlignment="1">
      <alignment vertical="center"/>
    </xf>
    <xf numFmtId="176" fontId="6" fillId="6" borderId="10" xfId="0" applyNumberFormat="1" applyFont="1" applyFill="1" applyBorder="1" applyAlignment="1">
      <alignment horizontal="center" vertical="center"/>
    </xf>
    <xf numFmtId="176" fontId="6" fillId="6" borderId="54" xfId="0" applyNumberFormat="1" applyFont="1" applyFill="1" applyBorder="1" applyAlignment="1">
      <alignment horizontal="center" vertical="center"/>
    </xf>
    <xf numFmtId="176" fontId="4" fillId="6" borderId="1" xfId="0" quotePrefix="1" applyNumberFormat="1" applyFont="1" applyFill="1" applyBorder="1" applyAlignment="1">
      <alignment horizontal="left" vertical="center"/>
    </xf>
    <xf numFmtId="176" fontId="6" fillId="6" borderId="105" xfId="0" applyNumberFormat="1" applyFont="1" applyFill="1" applyBorder="1" applyAlignment="1">
      <alignment horizontal="center" vertical="center" wrapText="1"/>
    </xf>
    <xf numFmtId="176" fontId="4" fillId="6" borderId="28" xfId="0" applyNumberFormat="1" applyFont="1" applyFill="1" applyBorder="1" applyAlignment="1">
      <alignment horizontal="right" vertical="center"/>
    </xf>
    <xf numFmtId="176" fontId="4" fillId="6" borderId="25" xfId="0" applyNumberFormat="1" applyFont="1" applyFill="1" applyBorder="1" applyAlignment="1">
      <alignment vertical="center"/>
    </xf>
    <xf numFmtId="176" fontId="4" fillId="6" borderId="22" xfId="0" quotePrefix="1" applyNumberFormat="1" applyFont="1" applyFill="1" applyBorder="1" applyAlignment="1">
      <alignment vertical="center"/>
    </xf>
    <xf numFmtId="176" fontId="6" fillId="6" borderId="56" xfId="0" applyNumberFormat="1" applyFont="1" applyFill="1" applyBorder="1" applyAlignment="1">
      <alignment horizontal="center" vertical="center" wrapText="1"/>
    </xf>
    <xf numFmtId="176" fontId="6" fillId="6" borderId="57" xfId="0" applyNumberFormat="1" applyFont="1" applyFill="1" applyBorder="1" applyAlignment="1">
      <alignment horizontal="center" vertical="center" wrapText="1"/>
    </xf>
    <xf numFmtId="176" fontId="4" fillId="6" borderId="90" xfId="0" applyNumberFormat="1" applyFont="1" applyFill="1" applyBorder="1" applyAlignment="1">
      <alignment vertical="center"/>
    </xf>
    <xf numFmtId="38" fontId="13" fillId="0" borderId="20" xfId="0" applyNumberFormat="1" applyFont="1" applyBorder="1" applyAlignment="1">
      <alignment vertical="center"/>
    </xf>
    <xf numFmtId="176" fontId="8" fillId="5" borderId="44" xfId="0" applyNumberFormat="1" applyFont="1" applyFill="1" applyBorder="1" applyAlignment="1">
      <alignment vertical="center"/>
    </xf>
    <xf numFmtId="176" fontId="12" fillId="0" borderId="22" xfId="0" applyNumberFormat="1" applyFont="1" applyBorder="1" applyAlignment="1">
      <alignment horizontal="left" vertical="center" shrinkToFit="1"/>
    </xf>
    <xf numFmtId="0" fontId="5" fillId="0" borderId="0" xfId="0" applyFont="1"/>
    <xf numFmtId="176" fontId="12" fillId="0" borderId="106" xfId="0" applyNumberFormat="1" applyFont="1" applyBorder="1" applyAlignment="1">
      <alignment horizontal="left" vertical="center" shrinkToFit="1"/>
    </xf>
    <xf numFmtId="179" fontId="18" fillId="4" borderId="23" xfId="0" applyNumberFormat="1" applyFont="1" applyFill="1" applyBorder="1" applyAlignment="1">
      <alignment vertical="center"/>
    </xf>
    <xf numFmtId="176" fontId="4" fillId="0" borderId="69" xfId="0" applyNumberFormat="1" applyFont="1" applyBorder="1" applyAlignment="1">
      <alignment vertical="center"/>
    </xf>
    <xf numFmtId="176" fontId="4" fillId="0" borderId="67" xfId="0" applyNumberFormat="1" applyFont="1" applyBorder="1" applyAlignment="1">
      <alignment vertical="center"/>
    </xf>
    <xf numFmtId="176" fontId="5" fillId="0" borderId="69" xfId="0" applyNumberFormat="1" applyFont="1" applyBorder="1" applyAlignment="1">
      <alignment vertical="center"/>
    </xf>
    <xf numFmtId="176" fontId="11" fillId="0" borderId="67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38" fontId="4" fillId="0" borderId="0" xfId="1" applyNumberFormat="1" applyFont="1" applyAlignment="1"/>
    <xf numFmtId="38" fontId="4" fillId="0" borderId="0" xfId="1" applyNumberFormat="1" applyFont="1" applyBorder="1" applyAlignment="1">
      <alignment vertical="center"/>
    </xf>
    <xf numFmtId="38" fontId="4" fillId="0" borderId="0" xfId="1" applyNumberFormat="1" applyFont="1" applyFill="1" applyAlignment="1"/>
    <xf numFmtId="38" fontId="7" fillId="0" borderId="0" xfId="1" applyNumberFormat="1" applyFont="1" applyAlignment="1"/>
    <xf numFmtId="176" fontId="18" fillId="4" borderId="33" xfId="0" applyNumberFormat="1" applyFont="1" applyFill="1" applyBorder="1" applyAlignment="1">
      <alignment vertical="center"/>
    </xf>
    <xf numFmtId="176" fontId="8" fillId="4" borderId="88" xfId="0" applyNumberFormat="1" applyFont="1" applyFill="1" applyBorder="1" applyAlignment="1">
      <alignment horizontal="right" vertical="center"/>
    </xf>
    <xf numFmtId="176" fontId="8" fillId="0" borderId="78" xfId="0" applyNumberFormat="1" applyFont="1" applyBorder="1" applyAlignment="1">
      <alignment horizontal="right" vertical="center"/>
    </xf>
    <xf numFmtId="176" fontId="8" fillId="4" borderId="87" xfId="0" applyNumberFormat="1" applyFont="1" applyFill="1" applyBorder="1" applyAlignment="1">
      <alignment horizontal="right" vertical="center"/>
    </xf>
    <xf numFmtId="179" fontId="4" fillId="0" borderId="92" xfId="0" applyNumberFormat="1" applyFont="1" applyBorder="1" applyAlignment="1">
      <alignment vertical="center"/>
    </xf>
    <xf numFmtId="182" fontId="4" fillId="6" borderId="1" xfId="0" applyNumberFormat="1" applyFont="1" applyFill="1" applyBorder="1" applyAlignment="1">
      <alignment vertical="center"/>
    </xf>
    <xf numFmtId="176" fontId="4" fillId="6" borderId="43" xfId="0" applyNumberFormat="1" applyFont="1" applyFill="1" applyBorder="1" applyAlignment="1">
      <alignment horizontal="right" vertical="center"/>
    </xf>
    <xf numFmtId="176" fontId="4" fillId="6" borderId="108" xfId="0" applyNumberFormat="1" applyFont="1" applyFill="1" applyBorder="1" applyAlignment="1">
      <alignment horizontal="right" vertical="center"/>
    </xf>
    <xf numFmtId="176" fontId="8" fillId="4" borderId="28" xfId="0" applyNumberFormat="1" applyFont="1" applyFill="1" applyBorder="1" applyAlignment="1">
      <alignment vertical="center"/>
    </xf>
    <xf numFmtId="0" fontId="5" fillId="0" borderId="88" xfId="0" applyFont="1" applyBorder="1" applyAlignment="1">
      <alignment vertical="center"/>
    </xf>
    <xf numFmtId="0" fontId="5" fillId="0" borderId="86" xfId="0" applyFont="1" applyBorder="1" applyAlignment="1">
      <alignment horizontal="center" vertical="center"/>
    </xf>
    <xf numFmtId="38" fontId="5" fillId="0" borderId="86" xfId="0" applyNumberFormat="1" applyFont="1" applyBorder="1" applyAlignment="1">
      <alignment horizontal="center" vertical="center"/>
    </xf>
    <xf numFmtId="38" fontId="5" fillId="0" borderId="78" xfId="0" applyNumberFormat="1" applyFont="1" applyBorder="1" applyAlignment="1">
      <alignment horizontal="center" vertical="center"/>
    </xf>
    <xf numFmtId="189" fontId="5" fillId="0" borderId="86" xfId="0" applyNumberFormat="1" applyFont="1" applyBorder="1" applyAlignment="1">
      <alignment horizontal="center" vertical="center"/>
    </xf>
    <xf numFmtId="9" fontId="5" fillId="0" borderId="86" xfId="2" applyFont="1" applyFill="1" applyBorder="1" applyAlignment="1">
      <alignment horizontal="center" vertical="center"/>
    </xf>
    <xf numFmtId="176" fontId="4" fillId="6" borderId="86" xfId="0" applyNumberFormat="1" applyFont="1" applyFill="1" applyBorder="1" applyAlignment="1">
      <alignment vertical="center"/>
    </xf>
    <xf numFmtId="176" fontId="4" fillId="6" borderId="77" xfId="0" applyNumberFormat="1" applyFont="1" applyFill="1" applyBorder="1" applyAlignment="1">
      <alignment vertical="center"/>
    </xf>
    <xf numFmtId="176" fontId="4" fillId="0" borderId="26" xfId="0" applyNumberFormat="1" applyFont="1" applyBorder="1" applyAlignment="1">
      <alignment vertical="center"/>
    </xf>
    <xf numFmtId="176" fontId="6" fillId="0" borderId="58" xfId="0" applyNumberFormat="1" applyFont="1" applyBorder="1" applyAlignment="1">
      <alignment vertical="center"/>
    </xf>
    <xf numFmtId="176" fontId="8" fillId="4" borderId="119" xfId="0" applyNumberFormat="1" applyFont="1" applyFill="1" applyBorder="1" applyAlignment="1">
      <alignment vertical="center"/>
    </xf>
    <xf numFmtId="176" fontId="8" fillId="0" borderId="90" xfId="0" applyNumberFormat="1" applyFont="1" applyBorder="1" applyAlignment="1">
      <alignment vertical="center"/>
    </xf>
    <xf numFmtId="176" fontId="8" fillId="0" borderId="93" xfId="0" applyNumberFormat="1" applyFont="1" applyBorder="1" applyAlignment="1">
      <alignment vertical="center"/>
    </xf>
    <xf numFmtId="176" fontId="4" fillId="0" borderId="117" xfId="0" applyNumberFormat="1" applyFont="1" applyBorder="1" applyAlignment="1">
      <alignment vertical="center"/>
    </xf>
    <xf numFmtId="176" fontId="4" fillId="0" borderId="90" xfId="0" applyNumberFormat="1" applyFont="1" applyBorder="1" applyAlignment="1">
      <alignment vertical="center"/>
    </xf>
    <xf numFmtId="38" fontId="4" fillId="0" borderId="118" xfId="0" applyNumberFormat="1" applyFont="1" applyBorder="1" applyAlignment="1">
      <alignment vertical="center"/>
    </xf>
    <xf numFmtId="38" fontId="4" fillId="0" borderId="92" xfId="0" applyNumberFormat="1" applyFont="1" applyBorder="1" applyAlignment="1">
      <alignment vertical="center"/>
    </xf>
    <xf numFmtId="38" fontId="4" fillId="0" borderId="121" xfId="0" applyNumberFormat="1" applyFont="1" applyBorder="1" applyAlignment="1">
      <alignment vertical="center"/>
    </xf>
    <xf numFmtId="176" fontId="6" fillId="0" borderId="122" xfId="0" applyNumberFormat="1" applyFont="1" applyBorder="1" applyAlignment="1">
      <alignment vertical="center"/>
    </xf>
    <xf numFmtId="176" fontId="8" fillId="4" borderId="89" xfId="0" applyNumberFormat="1" applyFont="1" applyFill="1" applyBorder="1" applyAlignment="1">
      <alignment horizontal="right" vertical="center"/>
    </xf>
    <xf numFmtId="176" fontId="8" fillId="4" borderId="76" xfId="0" applyNumberFormat="1" applyFont="1" applyFill="1" applyBorder="1" applyAlignment="1">
      <alignment horizontal="right" vertical="center"/>
    </xf>
    <xf numFmtId="176" fontId="8" fillId="4" borderId="50" xfId="0" applyNumberFormat="1" applyFont="1" applyFill="1" applyBorder="1" applyAlignment="1">
      <alignment horizontal="right" vertical="center"/>
    </xf>
    <xf numFmtId="176" fontId="8" fillId="4" borderId="40" xfId="0" applyNumberFormat="1" applyFont="1" applyFill="1" applyBorder="1" applyAlignment="1">
      <alignment horizontal="right" vertical="center"/>
    </xf>
    <xf numFmtId="176" fontId="8" fillId="4" borderId="40" xfId="0" applyNumberFormat="1" applyFont="1" applyFill="1" applyBorder="1" applyAlignment="1">
      <alignment horizontal="left" vertical="center"/>
    </xf>
    <xf numFmtId="176" fontId="8" fillId="4" borderId="50" xfId="0" applyNumberFormat="1" applyFont="1" applyFill="1" applyBorder="1" applyAlignment="1">
      <alignment horizontal="left" vertical="center"/>
    </xf>
    <xf numFmtId="176" fontId="12" fillId="0" borderId="12" xfId="0" applyNumberFormat="1" applyFont="1" applyBorder="1" applyAlignment="1">
      <alignment horizontal="left" vertical="center" shrinkToFit="1"/>
    </xf>
    <xf numFmtId="176" fontId="12" fillId="0" borderId="53" xfId="0" applyNumberFormat="1" applyFont="1" applyBorder="1" applyAlignment="1">
      <alignment horizontal="left" vertical="center" shrinkToFit="1"/>
    </xf>
    <xf numFmtId="176" fontId="4" fillId="0" borderId="109" xfId="0" applyNumberFormat="1" applyFont="1" applyBorder="1" applyAlignment="1">
      <alignment vertical="center"/>
    </xf>
    <xf numFmtId="176" fontId="4" fillId="0" borderId="106" xfId="0" applyNumberFormat="1" applyFont="1" applyBorder="1" applyAlignment="1">
      <alignment vertical="center"/>
    </xf>
    <xf numFmtId="176" fontId="8" fillId="4" borderId="71" xfId="0" applyNumberFormat="1" applyFont="1" applyFill="1" applyBorder="1" applyAlignment="1">
      <alignment horizontal="right" vertical="center"/>
    </xf>
    <xf numFmtId="176" fontId="8" fillId="4" borderId="72" xfId="0" applyNumberFormat="1" applyFont="1" applyFill="1" applyBorder="1" applyAlignment="1">
      <alignment horizontal="right" vertical="center"/>
    </xf>
    <xf numFmtId="176" fontId="8" fillId="4" borderId="86" xfId="0" applyNumberFormat="1" applyFont="1" applyFill="1" applyBorder="1" applyAlignment="1">
      <alignment horizontal="right" vertical="center"/>
    </xf>
    <xf numFmtId="176" fontId="8" fillId="4" borderId="1" xfId="0" applyNumberFormat="1" applyFont="1" applyFill="1" applyBorder="1" applyAlignment="1">
      <alignment horizontal="right" vertical="center"/>
    </xf>
    <xf numFmtId="176" fontId="8" fillId="4" borderId="28" xfId="0" applyNumberFormat="1" applyFont="1" applyFill="1" applyBorder="1" applyAlignment="1">
      <alignment horizontal="right" vertical="center"/>
    </xf>
    <xf numFmtId="176" fontId="8" fillId="4" borderId="110" xfId="0" applyNumberFormat="1" applyFont="1" applyFill="1" applyBorder="1" applyAlignment="1">
      <alignment horizontal="right" vertical="center"/>
    </xf>
    <xf numFmtId="176" fontId="12" fillId="0" borderId="108" xfId="0" applyNumberFormat="1" applyFont="1" applyBorder="1" applyAlignment="1">
      <alignment horizontal="left" vertical="center" shrinkToFit="1"/>
    </xf>
    <xf numFmtId="176" fontId="4" fillId="0" borderId="132" xfId="0" applyNumberFormat="1" applyFont="1" applyBorder="1" applyAlignment="1">
      <alignment vertical="center"/>
    </xf>
    <xf numFmtId="176" fontId="8" fillId="4" borderId="52" xfId="0" applyNumberFormat="1" applyFont="1" applyFill="1" applyBorder="1" applyAlignment="1">
      <alignment horizontal="right" vertical="center"/>
    </xf>
    <xf numFmtId="176" fontId="8" fillId="4" borderId="13" xfId="0" applyNumberFormat="1" applyFont="1" applyFill="1" applyBorder="1" applyAlignment="1">
      <alignment horizontal="right" vertical="center"/>
    </xf>
    <xf numFmtId="176" fontId="8" fillId="0" borderId="77" xfId="0" applyNumberFormat="1" applyFont="1" applyBorder="1" applyAlignment="1">
      <alignment horizontal="right" vertical="center"/>
    </xf>
    <xf numFmtId="176" fontId="12" fillId="0" borderId="71" xfId="0" applyNumberFormat="1" applyFont="1" applyBorder="1" applyAlignment="1">
      <alignment horizontal="left" vertical="center" shrinkToFit="1"/>
    </xf>
    <xf numFmtId="176" fontId="8" fillId="4" borderId="51" xfId="0" applyNumberFormat="1" applyFont="1" applyFill="1" applyBorder="1" applyAlignment="1">
      <alignment horizontal="right" vertical="center"/>
    </xf>
    <xf numFmtId="176" fontId="12" fillId="0" borderId="72" xfId="0" applyNumberFormat="1" applyFont="1" applyBorder="1" applyAlignment="1">
      <alignment horizontal="left" vertical="center" shrinkToFit="1"/>
    </xf>
    <xf numFmtId="176" fontId="8" fillId="4" borderId="48" xfId="0" applyNumberFormat="1" applyFont="1" applyFill="1" applyBorder="1" applyAlignment="1">
      <alignment horizontal="right" vertical="center"/>
    </xf>
    <xf numFmtId="176" fontId="12" fillId="0" borderId="52" xfId="0" applyNumberFormat="1" applyFont="1" applyBorder="1" applyAlignment="1">
      <alignment horizontal="left" vertical="center" shrinkToFit="1"/>
    </xf>
    <xf numFmtId="176" fontId="8" fillId="4" borderId="41" xfId="0" applyNumberFormat="1" applyFont="1" applyFill="1" applyBorder="1" applyAlignment="1">
      <alignment horizontal="right" vertical="center"/>
    </xf>
    <xf numFmtId="176" fontId="8" fillId="0" borderId="50" xfId="0" applyNumberFormat="1" applyFont="1" applyBorder="1" applyAlignment="1">
      <alignment horizontal="left" vertical="center"/>
    </xf>
    <xf numFmtId="176" fontId="8" fillId="0" borderId="47" xfId="0" applyNumberFormat="1" applyFont="1" applyBorder="1" applyAlignment="1">
      <alignment horizontal="left" vertical="center"/>
    </xf>
    <xf numFmtId="176" fontId="8" fillId="0" borderId="40" xfId="0" applyNumberFormat="1" applyFont="1" applyBorder="1" applyAlignment="1">
      <alignment horizontal="left" vertical="center"/>
    </xf>
    <xf numFmtId="176" fontId="8" fillId="0" borderId="50" xfId="0" applyNumberFormat="1" applyFont="1" applyBorder="1" applyAlignment="1">
      <alignment horizontal="right" vertical="center"/>
    </xf>
    <xf numFmtId="176" fontId="8" fillId="0" borderId="47" xfId="0" applyNumberFormat="1" applyFont="1" applyBorder="1" applyAlignment="1">
      <alignment horizontal="right" vertical="center"/>
    </xf>
    <xf numFmtId="176" fontId="8" fillId="0" borderId="40" xfId="0" applyNumberFormat="1" applyFont="1" applyBorder="1" applyAlignment="1">
      <alignment horizontal="right" vertical="center"/>
    </xf>
    <xf numFmtId="181" fontId="19" fillId="0" borderId="79" xfId="0" quotePrefix="1" applyNumberFormat="1" applyFont="1" applyBorder="1" applyAlignment="1">
      <alignment horizontal="center" vertical="center" shrinkToFit="1"/>
    </xf>
    <xf numFmtId="181" fontId="19" fillId="0" borderId="56" xfId="0" quotePrefix="1" applyNumberFormat="1" applyFont="1" applyBorder="1" applyAlignment="1">
      <alignment horizontal="center" vertical="center"/>
    </xf>
    <xf numFmtId="181" fontId="19" fillId="0" borderId="56" xfId="0" quotePrefix="1" applyNumberFormat="1" applyFont="1" applyBorder="1" applyAlignment="1">
      <alignment horizontal="center" vertical="center" shrinkToFit="1"/>
    </xf>
    <xf numFmtId="181" fontId="19" fillId="0" borderId="57" xfId="0" quotePrefix="1" applyNumberFormat="1" applyFont="1" applyBorder="1" applyAlignment="1">
      <alignment horizontal="center" vertical="center" shrinkToFit="1"/>
    </xf>
    <xf numFmtId="178" fontId="19" fillId="0" borderId="63" xfId="0" applyNumberFormat="1" applyFont="1" applyBorder="1" applyAlignment="1">
      <alignment horizontal="center" vertical="center"/>
    </xf>
    <xf numFmtId="178" fontId="19" fillId="0" borderId="57" xfId="0" applyNumberFormat="1" applyFont="1" applyBorder="1" applyAlignment="1">
      <alignment horizontal="center" vertical="center"/>
    </xf>
    <xf numFmtId="178" fontId="19" fillId="0" borderId="64" xfId="0" applyNumberFormat="1" applyFont="1" applyBorder="1" applyAlignment="1">
      <alignment horizontal="center" vertical="center"/>
    </xf>
    <xf numFmtId="181" fontId="19" fillId="0" borderId="55" xfId="0" quotePrefix="1" applyNumberFormat="1" applyFont="1" applyBorder="1" applyAlignment="1">
      <alignment horizontal="center" vertical="center"/>
    </xf>
    <xf numFmtId="181" fontId="19" fillId="0" borderId="82" xfId="0" quotePrefix="1" applyNumberFormat="1" applyFont="1" applyBorder="1" applyAlignment="1">
      <alignment horizontal="center" vertical="center"/>
    </xf>
    <xf numFmtId="181" fontId="19" fillId="0" borderId="79" xfId="0" quotePrefix="1" applyNumberFormat="1" applyFont="1" applyBorder="1" applyAlignment="1">
      <alignment horizontal="center" vertical="center"/>
    </xf>
    <xf numFmtId="181" fontId="19" fillId="0" borderId="57" xfId="0" quotePrefix="1" applyNumberFormat="1" applyFont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shrinkToFit="1"/>
    </xf>
    <xf numFmtId="38" fontId="14" fillId="0" borderId="2" xfId="0" applyNumberFormat="1" applyFont="1" applyBorder="1" applyAlignment="1">
      <alignment horizontal="center" vertical="center" shrinkToFit="1"/>
    </xf>
    <xf numFmtId="176" fontId="19" fillId="0" borderId="130" xfId="0" applyNumberFormat="1" applyFont="1" applyBorder="1" applyAlignment="1">
      <alignment horizontal="center" vertical="center"/>
    </xf>
    <xf numFmtId="178" fontId="19" fillId="0" borderId="4" xfId="0" applyNumberFormat="1" applyFont="1" applyBorder="1" applyAlignment="1">
      <alignment horizontal="center" vertical="center"/>
    </xf>
    <xf numFmtId="178" fontId="19" fillId="0" borderId="5" xfId="0" quotePrefix="1" applyNumberFormat="1" applyFont="1" applyBorder="1" applyAlignment="1">
      <alignment horizontal="center" vertical="center"/>
    </xf>
    <xf numFmtId="178" fontId="19" fillId="0" borderId="5" xfId="0" applyNumberFormat="1" applyFont="1" applyBorder="1" applyAlignment="1">
      <alignment horizontal="center" vertical="center"/>
    </xf>
    <xf numFmtId="178" fontId="19" fillId="0" borderId="6" xfId="0" applyNumberFormat="1" applyFont="1" applyBorder="1" applyAlignment="1">
      <alignment horizontal="center" vertical="center"/>
    </xf>
    <xf numFmtId="176" fontId="19" fillId="0" borderId="2" xfId="0" applyNumberFormat="1" applyFont="1" applyBorder="1" applyAlignment="1">
      <alignment vertical="center" shrinkToFit="1"/>
    </xf>
    <xf numFmtId="181" fontId="19" fillId="0" borderId="55" xfId="0" quotePrefix="1" applyNumberFormat="1" applyFont="1" applyBorder="1" applyAlignment="1">
      <alignment horizontal="center" vertical="center" shrinkToFit="1"/>
    </xf>
    <xf numFmtId="181" fontId="19" fillId="0" borderId="82" xfId="0" quotePrefix="1" applyNumberFormat="1" applyFont="1" applyBorder="1" applyAlignment="1">
      <alignment horizontal="center" vertical="center" shrinkToFit="1"/>
    </xf>
    <xf numFmtId="181" fontId="19" fillId="0" borderId="4" xfId="0" quotePrefix="1" applyNumberFormat="1" applyFont="1" applyBorder="1" applyAlignment="1">
      <alignment horizontal="center" vertical="center" shrinkToFit="1"/>
    </xf>
    <xf numFmtId="176" fontId="4" fillId="4" borderId="13" xfId="0" applyNumberFormat="1" applyFont="1" applyFill="1" applyBorder="1" applyAlignment="1">
      <alignment vertical="center"/>
    </xf>
    <xf numFmtId="176" fontId="4" fillId="4" borderId="1" xfId="0" applyNumberFormat="1" applyFont="1" applyFill="1" applyBorder="1" applyAlignment="1">
      <alignment vertical="center"/>
    </xf>
    <xf numFmtId="176" fontId="4" fillId="4" borderId="28" xfId="0" applyNumberFormat="1" applyFont="1" applyFill="1" applyBorder="1" applyAlignment="1">
      <alignment vertical="center"/>
    </xf>
    <xf numFmtId="176" fontId="8" fillId="0" borderId="86" xfId="0" applyNumberFormat="1" applyFont="1" applyBorder="1" applyAlignment="1">
      <alignment horizontal="right" vertical="center"/>
    </xf>
    <xf numFmtId="176" fontId="8" fillId="0" borderId="1" xfId="0" applyNumberFormat="1" applyFont="1" applyBorder="1" applyAlignment="1">
      <alignment horizontal="right" vertical="center"/>
    </xf>
    <xf numFmtId="176" fontId="8" fillId="0" borderId="28" xfId="0" applyNumberFormat="1" applyFont="1" applyBorder="1" applyAlignment="1">
      <alignment horizontal="right" vertical="center"/>
    </xf>
    <xf numFmtId="176" fontId="8" fillId="0" borderId="87" xfId="0" applyNumberFormat="1" applyFont="1" applyBorder="1" applyAlignment="1">
      <alignment horizontal="right" vertical="center"/>
    </xf>
    <xf numFmtId="176" fontId="8" fillId="0" borderId="21" xfId="0" applyNumberFormat="1" applyFont="1" applyBorder="1" applyAlignment="1">
      <alignment horizontal="right" vertical="center"/>
    </xf>
    <xf numFmtId="176" fontId="8" fillId="0" borderId="24" xfId="0" applyNumberFormat="1" applyFont="1" applyBorder="1" applyAlignment="1">
      <alignment horizontal="right" vertical="center"/>
    </xf>
    <xf numFmtId="176" fontId="4" fillId="4" borderId="86" xfId="0" applyNumberFormat="1" applyFont="1" applyFill="1" applyBorder="1" applyAlignment="1">
      <alignment vertical="center"/>
    </xf>
    <xf numFmtId="176" fontId="4" fillId="4" borderId="23" xfId="0" applyNumberFormat="1" applyFont="1" applyFill="1" applyBorder="1" applyAlignment="1">
      <alignment vertical="center"/>
    </xf>
    <xf numFmtId="176" fontId="4" fillId="4" borderId="26" xfId="0" applyNumberFormat="1" applyFont="1" applyFill="1" applyBorder="1" applyAlignment="1">
      <alignment vertical="center"/>
    </xf>
    <xf numFmtId="176" fontId="8" fillId="4" borderId="119" xfId="0" applyNumberFormat="1" applyFont="1" applyFill="1" applyBorder="1" applyAlignment="1">
      <alignment horizontal="right" vertical="center"/>
    </xf>
    <xf numFmtId="176" fontId="4" fillId="4" borderId="92" xfId="0" applyNumberFormat="1" applyFont="1" applyFill="1" applyBorder="1" applyAlignment="1">
      <alignment vertical="center"/>
    </xf>
    <xf numFmtId="176" fontId="8" fillId="4" borderId="92" xfId="0" applyNumberFormat="1" applyFont="1" applyFill="1" applyBorder="1" applyAlignment="1">
      <alignment horizontal="right" vertical="center"/>
    </xf>
    <xf numFmtId="176" fontId="4" fillId="4" borderId="95" xfId="0" applyNumberFormat="1" applyFont="1" applyFill="1" applyBorder="1" applyAlignment="1">
      <alignment vertical="center"/>
    </xf>
    <xf numFmtId="176" fontId="4" fillId="0" borderId="94" xfId="0" applyNumberFormat="1" applyFont="1" applyBorder="1" applyAlignment="1">
      <alignment vertical="center"/>
    </xf>
    <xf numFmtId="176" fontId="4" fillId="0" borderId="135" xfId="0" applyNumberFormat="1" applyFont="1" applyBorder="1" applyAlignment="1">
      <alignment vertical="center"/>
    </xf>
    <xf numFmtId="176" fontId="8" fillId="0" borderId="11" xfId="0" applyNumberFormat="1" applyFont="1" applyBorder="1" applyAlignment="1">
      <alignment horizontal="right" vertical="center"/>
    </xf>
    <xf numFmtId="176" fontId="8" fillId="0" borderId="13" xfId="0" applyNumberFormat="1" applyFont="1" applyBorder="1" applyAlignment="1">
      <alignment horizontal="right" vertical="center"/>
    </xf>
    <xf numFmtId="176" fontId="8" fillId="0" borderId="94" xfId="0" applyNumberFormat="1" applyFont="1" applyBorder="1" applyAlignment="1">
      <alignment horizontal="right" vertical="center"/>
    </xf>
    <xf numFmtId="178" fontId="6" fillId="10" borderId="0" xfId="0" applyNumberFormat="1" applyFont="1" applyFill="1" applyAlignment="1">
      <alignment horizontal="center" vertical="top"/>
    </xf>
    <xf numFmtId="0" fontId="6" fillId="11" borderId="0" xfId="0" applyFont="1" applyFill="1"/>
    <xf numFmtId="176" fontId="6" fillId="0" borderId="42" xfId="0" applyNumberFormat="1" applyFont="1" applyBorder="1" applyAlignment="1">
      <alignment vertical="center"/>
    </xf>
    <xf numFmtId="176" fontId="6" fillId="6" borderId="17" xfId="0" applyNumberFormat="1" applyFont="1" applyFill="1" applyBorder="1" applyAlignment="1">
      <alignment vertical="center"/>
    </xf>
    <xf numFmtId="176" fontId="6" fillId="6" borderId="49" xfId="0" applyNumberFormat="1" applyFont="1" applyFill="1" applyBorder="1" applyAlignment="1">
      <alignment vertical="center"/>
    </xf>
    <xf numFmtId="38" fontId="6" fillId="0" borderId="65" xfId="0" applyNumberFormat="1" applyFont="1" applyBorder="1" applyAlignment="1">
      <alignment vertical="center"/>
    </xf>
    <xf numFmtId="38" fontId="6" fillId="0" borderId="42" xfId="0" applyNumberFormat="1" applyFont="1" applyBorder="1" applyAlignment="1">
      <alignment vertical="center"/>
    </xf>
    <xf numFmtId="38" fontId="6" fillId="0" borderId="66" xfId="0" applyNumberFormat="1" applyFont="1" applyBorder="1" applyAlignment="1">
      <alignment vertical="center"/>
    </xf>
    <xf numFmtId="176" fontId="6" fillId="0" borderId="0" xfId="0" applyNumberFormat="1" applyFont="1"/>
    <xf numFmtId="177" fontId="6" fillId="0" borderId="0" xfId="1" applyNumberFormat="1" applyFont="1" applyAlignment="1"/>
    <xf numFmtId="176" fontId="6" fillId="0" borderId="49" xfId="0" applyNumberFormat="1" applyFont="1" applyBorder="1" applyAlignment="1">
      <alignment vertical="center"/>
    </xf>
    <xf numFmtId="38" fontId="6" fillId="0" borderId="59" xfId="0" applyNumberFormat="1" applyFont="1" applyBorder="1" applyAlignment="1">
      <alignment vertical="center"/>
    </xf>
    <xf numFmtId="38" fontId="6" fillId="0" borderId="49" xfId="0" applyNumberFormat="1" applyFont="1" applyBorder="1" applyAlignment="1">
      <alignment vertical="center"/>
    </xf>
    <xf numFmtId="38" fontId="6" fillId="0" borderId="80" xfId="0" applyNumberFormat="1" applyFont="1" applyBorder="1" applyAlignment="1">
      <alignment vertical="center"/>
    </xf>
    <xf numFmtId="179" fontId="6" fillId="0" borderId="59" xfId="0" applyNumberFormat="1" applyFont="1" applyBorder="1" applyAlignment="1">
      <alignment vertical="center"/>
    </xf>
    <xf numFmtId="179" fontId="6" fillId="0" borderId="49" xfId="0" applyNumberFormat="1" applyFont="1" applyBorder="1" applyAlignment="1">
      <alignment vertical="center"/>
    </xf>
    <xf numFmtId="179" fontId="6" fillId="0" borderId="80" xfId="0" applyNumberFormat="1" applyFont="1" applyBorder="1" applyAlignment="1">
      <alignment vertical="center"/>
    </xf>
    <xf numFmtId="176" fontId="6" fillId="0" borderId="13" xfId="0" applyNumberFormat="1" applyFont="1" applyBorder="1" applyAlignment="1">
      <alignment vertical="center"/>
    </xf>
    <xf numFmtId="176" fontId="6" fillId="6" borderId="12" xfId="0" applyNumberFormat="1" applyFont="1" applyFill="1" applyBorder="1" applyAlignment="1">
      <alignment vertical="center"/>
    </xf>
    <xf numFmtId="176" fontId="6" fillId="6" borderId="13" xfId="0" applyNumberFormat="1" applyFont="1" applyFill="1" applyBorder="1" applyAlignment="1">
      <alignment vertical="center"/>
    </xf>
    <xf numFmtId="38" fontId="6" fillId="0" borderId="30" xfId="0" applyNumberFormat="1" applyFont="1" applyBorder="1" applyAlignment="1">
      <alignment vertical="center"/>
    </xf>
    <xf numFmtId="38" fontId="6" fillId="0" borderId="13" xfId="0" applyNumberFormat="1" applyFont="1" applyBorder="1" applyAlignment="1">
      <alignment vertical="center"/>
    </xf>
    <xf numFmtId="38" fontId="6" fillId="0" borderId="31" xfId="0" applyNumberFormat="1" applyFont="1" applyBorder="1" applyAlignment="1">
      <alignment vertical="center"/>
    </xf>
    <xf numFmtId="176" fontId="6" fillId="6" borderId="42" xfId="0" applyNumberFormat="1" applyFont="1" applyFill="1" applyBorder="1" applyAlignment="1">
      <alignment vertical="center"/>
    </xf>
    <xf numFmtId="176" fontId="6" fillId="6" borderId="21" xfId="0" applyNumberFormat="1" applyFont="1" applyFill="1" applyBorder="1" applyAlignment="1">
      <alignment vertical="center"/>
    </xf>
    <xf numFmtId="176" fontId="6" fillId="0" borderId="21" xfId="0" applyNumberFormat="1" applyFont="1" applyBorder="1" applyAlignment="1">
      <alignment vertical="center"/>
    </xf>
    <xf numFmtId="176" fontId="6" fillId="6" borderId="106" xfId="0" applyNumberFormat="1" applyFont="1" applyFill="1" applyBorder="1" applyAlignment="1">
      <alignment vertical="center"/>
    </xf>
    <xf numFmtId="176" fontId="6" fillId="6" borderId="1" xfId="0" applyNumberFormat="1" applyFont="1" applyFill="1" applyBorder="1" applyAlignment="1">
      <alignment vertical="center"/>
    </xf>
    <xf numFmtId="176" fontId="6" fillId="6" borderId="42" xfId="0" applyNumberFormat="1" applyFont="1" applyFill="1" applyBorder="1" applyAlignment="1">
      <alignment vertical="center" wrapText="1"/>
    </xf>
    <xf numFmtId="176" fontId="6" fillId="6" borderId="43" xfId="0" applyNumberFormat="1" applyFont="1" applyFill="1" applyBorder="1" applyAlignment="1">
      <alignment vertical="center"/>
    </xf>
    <xf numFmtId="176" fontId="6" fillId="6" borderId="13" xfId="0" applyNumberFormat="1" applyFont="1" applyFill="1" applyBorder="1" applyAlignment="1">
      <alignment vertical="center" wrapText="1"/>
    </xf>
    <xf numFmtId="176" fontId="6" fillId="4" borderId="59" xfId="0" applyNumberFormat="1" applyFont="1" applyFill="1" applyBorder="1" applyAlignment="1">
      <alignment vertical="center"/>
    </xf>
    <xf numFmtId="176" fontId="6" fillId="0" borderId="18" xfId="0" applyNumberFormat="1" applyFont="1" applyBorder="1" applyAlignment="1">
      <alignment vertical="center"/>
    </xf>
    <xf numFmtId="176" fontId="6" fillId="4" borderId="33" xfId="0" applyNumberFormat="1" applyFont="1" applyFill="1" applyBorder="1" applyAlignment="1">
      <alignment vertical="center"/>
    </xf>
    <xf numFmtId="176" fontId="6" fillId="4" borderId="30" xfId="0" applyNumberFormat="1" applyFont="1" applyFill="1" applyBorder="1" applyAlignment="1">
      <alignment vertical="center"/>
    </xf>
    <xf numFmtId="176" fontId="6" fillId="0" borderId="33" xfId="0" applyNumberFormat="1" applyFont="1" applyBorder="1" applyAlignment="1">
      <alignment vertical="center"/>
    </xf>
    <xf numFmtId="176" fontId="6" fillId="4" borderId="76" xfId="0" applyNumberFormat="1" applyFont="1" applyFill="1" applyBorder="1" applyAlignment="1">
      <alignment vertical="center"/>
    </xf>
    <xf numFmtId="176" fontId="6" fillId="4" borderId="40" xfId="0" applyNumberFormat="1" applyFont="1" applyFill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76" fontId="6" fillId="6" borderId="0" xfId="0" applyNumberFormat="1" applyFont="1" applyFill="1" applyAlignment="1">
      <alignment vertical="center"/>
    </xf>
    <xf numFmtId="179" fontId="6" fillId="0" borderId="65" xfId="0" applyNumberFormat="1" applyFont="1" applyBorder="1" applyAlignment="1">
      <alignment vertical="center"/>
    </xf>
    <xf numFmtId="179" fontId="6" fillId="0" borderId="42" xfId="0" applyNumberFormat="1" applyFont="1" applyBorder="1" applyAlignment="1">
      <alignment vertical="center"/>
    </xf>
    <xf numFmtId="179" fontId="6" fillId="0" borderId="66" xfId="0" applyNumberFormat="1" applyFont="1" applyBorder="1" applyAlignment="1">
      <alignment vertical="center"/>
    </xf>
    <xf numFmtId="176" fontId="6" fillId="6" borderId="32" xfId="0" applyNumberFormat="1" applyFont="1" applyFill="1" applyBorder="1" applyAlignment="1">
      <alignment vertical="center"/>
    </xf>
    <xf numFmtId="176" fontId="6" fillId="0" borderId="32" xfId="0" applyNumberFormat="1" applyFont="1" applyBorder="1" applyAlignment="1">
      <alignment vertical="center"/>
    </xf>
    <xf numFmtId="176" fontId="6" fillId="6" borderId="107" xfId="0" applyNumberFormat="1" applyFont="1" applyFill="1" applyBorder="1" applyAlignment="1">
      <alignment vertical="center"/>
    </xf>
    <xf numFmtId="176" fontId="6" fillId="6" borderId="11" xfId="0" applyNumberFormat="1" applyFont="1" applyFill="1" applyBorder="1" applyAlignment="1">
      <alignment vertical="center"/>
    </xf>
    <xf numFmtId="176" fontId="6" fillId="0" borderId="11" xfId="0" applyNumberFormat="1" applyFont="1" applyBorder="1" applyAlignment="1">
      <alignment vertical="center"/>
    </xf>
    <xf numFmtId="176" fontId="6" fillId="6" borderId="53" xfId="0" applyNumberFormat="1" applyFont="1" applyFill="1" applyBorder="1" applyAlignment="1">
      <alignment vertical="center"/>
    </xf>
    <xf numFmtId="38" fontId="6" fillId="0" borderId="19" xfId="0" applyNumberFormat="1" applyFont="1" applyBorder="1" applyAlignment="1">
      <alignment vertical="center"/>
    </xf>
    <xf numFmtId="38" fontId="6" fillId="0" borderId="1" xfId="0" applyNumberFormat="1" applyFont="1" applyBorder="1" applyAlignment="1">
      <alignment vertical="center"/>
    </xf>
    <xf numFmtId="38" fontId="6" fillId="0" borderId="20" xfId="0" applyNumberFormat="1" applyFont="1" applyBorder="1" applyAlignment="1">
      <alignment vertical="center"/>
    </xf>
    <xf numFmtId="179" fontId="6" fillId="0" borderId="19" xfId="0" applyNumberFormat="1" applyFont="1" applyBorder="1" applyAlignment="1">
      <alignment vertical="center"/>
    </xf>
    <xf numFmtId="179" fontId="6" fillId="0" borderId="1" xfId="0" applyNumberFormat="1" applyFont="1" applyBorder="1" applyAlignment="1">
      <alignment vertical="center"/>
    </xf>
    <xf numFmtId="179" fontId="6" fillId="0" borderId="20" xfId="0" applyNumberFormat="1" applyFont="1" applyBorder="1" applyAlignment="1">
      <alignment vertical="center"/>
    </xf>
    <xf numFmtId="176" fontId="6" fillId="6" borderId="117" xfId="0" applyNumberFormat="1" applyFont="1" applyFill="1" applyBorder="1" applyAlignment="1">
      <alignment vertical="center"/>
    </xf>
    <xf numFmtId="176" fontId="6" fillId="0" borderId="16" xfId="0" applyNumberFormat="1" applyFont="1" applyBorder="1" applyAlignment="1">
      <alignment vertical="center"/>
    </xf>
    <xf numFmtId="176" fontId="6" fillId="6" borderId="9" xfId="0" applyNumberFormat="1" applyFont="1" applyFill="1" applyBorder="1" applyAlignment="1">
      <alignment vertical="center"/>
    </xf>
    <xf numFmtId="176" fontId="6" fillId="6" borderId="92" xfId="0" applyNumberFormat="1" applyFont="1" applyFill="1" applyBorder="1" applyAlignment="1">
      <alignment vertical="center"/>
    </xf>
    <xf numFmtId="176" fontId="6" fillId="6" borderId="16" xfId="0" applyNumberFormat="1" applyFont="1" applyFill="1" applyBorder="1" applyAlignment="1">
      <alignment vertical="center"/>
    </xf>
    <xf numFmtId="38" fontId="6" fillId="0" borderId="115" xfId="0" applyNumberFormat="1" applyFont="1" applyBorder="1" applyAlignment="1">
      <alignment vertical="center"/>
    </xf>
    <xf numFmtId="38" fontId="6" fillId="0" borderId="114" xfId="0" applyNumberFormat="1" applyFont="1" applyBorder="1" applyAlignment="1">
      <alignment vertical="center"/>
    </xf>
    <xf numFmtId="38" fontId="6" fillId="0" borderId="128" xfId="0" applyNumberFormat="1" applyFont="1" applyBorder="1" applyAlignment="1">
      <alignment vertical="center"/>
    </xf>
    <xf numFmtId="176" fontId="6" fillId="0" borderId="1" xfId="0" quotePrefix="1" applyNumberFormat="1" applyFont="1" applyBorder="1" applyAlignment="1">
      <alignment horizontal="right" vertical="center"/>
    </xf>
    <xf numFmtId="176" fontId="6" fillId="6" borderId="22" xfId="0" quotePrefix="1" applyNumberFormat="1" applyFont="1" applyFill="1" applyBorder="1" applyAlignment="1">
      <alignment horizontal="right" vertical="center"/>
    </xf>
    <xf numFmtId="176" fontId="6" fillId="6" borderId="13" xfId="0" quotePrefix="1" applyNumberFormat="1" applyFont="1" applyFill="1" applyBorder="1" applyAlignment="1">
      <alignment vertical="center"/>
    </xf>
    <xf numFmtId="176" fontId="6" fillId="6" borderId="1" xfId="0" quotePrefix="1" applyNumberFormat="1" applyFont="1" applyFill="1" applyBorder="1" applyAlignment="1">
      <alignment horizontal="right" vertical="center"/>
    </xf>
    <xf numFmtId="176" fontId="6" fillId="6" borderId="22" xfId="0" applyNumberFormat="1" applyFont="1" applyFill="1" applyBorder="1" applyAlignment="1">
      <alignment vertical="center"/>
    </xf>
    <xf numFmtId="176" fontId="6" fillId="6" borderId="21" xfId="0" quotePrefix="1" applyNumberFormat="1" applyFont="1" applyFill="1" applyBorder="1" applyAlignment="1">
      <alignment vertical="center"/>
    </xf>
    <xf numFmtId="177" fontId="6" fillId="0" borderId="0" xfId="1" applyNumberFormat="1" applyFont="1" applyBorder="1" applyAlignment="1">
      <alignment vertical="center"/>
    </xf>
    <xf numFmtId="176" fontId="6" fillId="0" borderId="0" xfId="0" applyNumberFormat="1" applyFont="1" applyAlignment="1">
      <alignment horizontal="center"/>
    </xf>
    <xf numFmtId="177" fontId="6" fillId="0" borderId="0" xfId="1" applyNumberFormat="1" applyFont="1" applyFill="1" applyAlignment="1"/>
    <xf numFmtId="176" fontId="6" fillId="4" borderId="13" xfId="0" applyNumberFormat="1" applyFont="1" applyFill="1" applyBorder="1" applyAlignment="1">
      <alignment vertical="center"/>
    </xf>
    <xf numFmtId="176" fontId="6" fillId="4" borderId="12" xfId="0" applyNumberFormat="1" applyFont="1" applyFill="1" applyBorder="1" applyAlignment="1">
      <alignment vertical="center"/>
    </xf>
    <xf numFmtId="176" fontId="6" fillId="0" borderId="30" xfId="0" applyNumberFormat="1" applyFont="1" applyBorder="1" applyAlignment="1">
      <alignment vertical="center"/>
    </xf>
    <xf numFmtId="176" fontId="6" fillId="0" borderId="133" xfId="0" applyNumberFormat="1" applyFont="1" applyBorder="1" applyAlignment="1">
      <alignment vertical="center"/>
    </xf>
    <xf numFmtId="176" fontId="6" fillId="4" borderId="1" xfId="0" applyNumberFormat="1" applyFont="1" applyFill="1" applyBorder="1" applyAlignment="1">
      <alignment vertical="center"/>
    </xf>
    <xf numFmtId="176" fontId="6" fillId="4" borderId="22" xfId="0" applyNumberFormat="1" applyFont="1" applyFill="1" applyBorder="1" applyAlignment="1">
      <alignment vertical="center"/>
    </xf>
    <xf numFmtId="176" fontId="6" fillId="0" borderId="19" xfId="0" applyNumberFormat="1" applyFont="1" applyBorder="1" applyAlignment="1">
      <alignment vertical="center"/>
    </xf>
    <xf numFmtId="176" fontId="6" fillId="0" borderId="134" xfId="0" applyNumberFormat="1" applyFont="1" applyBorder="1" applyAlignment="1">
      <alignment vertical="center"/>
    </xf>
    <xf numFmtId="176" fontId="6" fillId="0" borderId="22" xfId="0" applyNumberFormat="1" applyFont="1" applyBorder="1" applyAlignment="1">
      <alignment vertical="center"/>
    </xf>
    <xf numFmtId="176" fontId="29" fillId="0" borderId="0" xfId="0" applyNumberFormat="1" applyFont="1"/>
    <xf numFmtId="0" fontId="29" fillId="0" borderId="0" xfId="0" applyFont="1"/>
    <xf numFmtId="177" fontId="29" fillId="0" borderId="0" xfId="1" applyNumberFormat="1" applyFont="1" applyAlignment="1"/>
    <xf numFmtId="176" fontId="6" fillId="6" borderId="1" xfId="0" applyNumberFormat="1" applyFont="1" applyFill="1" applyBorder="1" applyAlignment="1">
      <alignment horizontal="left" vertical="center"/>
    </xf>
    <xf numFmtId="179" fontId="6" fillId="6" borderId="22" xfId="0" applyNumberFormat="1" applyFont="1" applyFill="1" applyBorder="1" applyAlignment="1">
      <alignment vertical="center"/>
    </xf>
    <xf numFmtId="179" fontId="6" fillId="6" borderId="1" xfId="0" applyNumberFormat="1" applyFont="1" applyFill="1" applyBorder="1" applyAlignment="1">
      <alignment vertical="center"/>
    </xf>
    <xf numFmtId="176" fontId="6" fillId="0" borderId="109" xfId="0" applyNumberFormat="1" applyFont="1" applyBorder="1" applyAlignment="1">
      <alignment vertical="center"/>
    </xf>
    <xf numFmtId="179" fontId="6" fillId="0" borderId="22" xfId="0" applyNumberFormat="1" applyFont="1" applyBorder="1" applyAlignment="1">
      <alignment vertical="center"/>
    </xf>
    <xf numFmtId="176" fontId="6" fillId="2" borderId="12" xfId="0" applyNumberFormat="1" applyFont="1" applyFill="1" applyBorder="1" applyAlignment="1">
      <alignment vertical="center"/>
    </xf>
    <xf numFmtId="176" fontId="6" fillId="2" borderId="13" xfId="0" applyNumberFormat="1" applyFont="1" applyFill="1" applyBorder="1" applyAlignment="1">
      <alignment vertical="center"/>
    </xf>
    <xf numFmtId="176" fontId="6" fillId="0" borderId="12" xfId="0" applyNumberFormat="1" applyFont="1" applyBorder="1" applyAlignment="1">
      <alignment vertical="center"/>
    </xf>
    <xf numFmtId="176" fontId="6" fillId="2" borderId="22" xfId="0" applyNumberFormat="1" applyFont="1" applyFill="1" applyBorder="1" applyAlignment="1">
      <alignment vertical="center"/>
    </xf>
    <xf numFmtId="176" fontId="6" fillId="2" borderId="1" xfId="0" applyNumberFormat="1" applyFont="1" applyFill="1" applyBorder="1" applyAlignment="1">
      <alignment vertical="center"/>
    </xf>
    <xf numFmtId="176" fontId="6" fillId="6" borderId="5" xfId="0" applyNumberFormat="1" applyFont="1" applyFill="1" applyBorder="1" applyAlignment="1">
      <alignment vertical="center"/>
    </xf>
    <xf numFmtId="176" fontId="6" fillId="0" borderId="28" xfId="0" applyNumberFormat="1" applyFont="1" applyBorder="1" applyAlignment="1">
      <alignment vertical="center"/>
    </xf>
    <xf numFmtId="176" fontId="6" fillId="6" borderId="25" xfId="0" applyNumberFormat="1" applyFont="1" applyFill="1" applyBorder="1" applyAlignment="1">
      <alignment vertical="center"/>
    </xf>
    <xf numFmtId="176" fontId="6" fillId="6" borderId="28" xfId="0" applyNumberFormat="1" applyFont="1" applyFill="1" applyBorder="1" applyAlignment="1">
      <alignment vertical="center"/>
    </xf>
    <xf numFmtId="176" fontId="6" fillId="0" borderId="24" xfId="0" applyNumberFormat="1" applyFont="1" applyBorder="1" applyAlignment="1">
      <alignment vertical="center"/>
    </xf>
    <xf numFmtId="176" fontId="6" fillId="0" borderId="25" xfId="0" applyNumberFormat="1" applyFont="1" applyBorder="1" applyAlignment="1">
      <alignment vertical="center"/>
    </xf>
    <xf numFmtId="176" fontId="6" fillId="4" borderId="28" xfId="0" applyNumberFormat="1" applyFont="1" applyFill="1" applyBorder="1" applyAlignment="1">
      <alignment vertical="center"/>
    </xf>
    <xf numFmtId="176" fontId="6" fillId="4" borderId="25" xfId="0" applyNumberFormat="1" applyFont="1" applyFill="1" applyBorder="1" applyAlignment="1">
      <alignment vertical="center"/>
    </xf>
    <xf numFmtId="176" fontId="6" fillId="0" borderId="27" xfId="0" applyNumberFormat="1" applyFont="1" applyBorder="1" applyAlignment="1">
      <alignment vertical="center"/>
    </xf>
    <xf numFmtId="176" fontId="6" fillId="0" borderId="132" xfId="0" applyNumberFormat="1" applyFont="1" applyBorder="1" applyAlignment="1">
      <alignment vertical="center"/>
    </xf>
    <xf numFmtId="38" fontId="6" fillId="0" borderId="27" xfId="0" applyNumberFormat="1" applyFont="1" applyBorder="1" applyAlignment="1">
      <alignment vertical="center"/>
    </xf>
    <xf numFmtId="38" fontId="6" fillId="0" borderId="28" xfId="0" applyNumberFormat="1" applyFont="1" applyBorder="1" applyAlignment="1">
      <alignment vertical="center"/>
    </xf>
    <xf numFmtId="38" fontId="6" fillId="0" borderId="29" xfId="0" applyNumberFormat="1" applyFont="1" applyBorder="1" applyAlignment="1">
      <alignment vertical="center"/>
    </xf>
    <xf numFmtId="176" fontId="6" fillId="6" borderId="1" xfId="0" quotePrefix="1" applyNumberFormat="1" applyFont="1" applyFill="1" applyBorder="1" applyAlignment="1">
      <alignment horizontal="left" vertical="center"/>
    </xf>
    <xf numFmtId="176" fontId="6" fillId="6" borderId="24" xfId="0" applyNumberFormat="1" applyFont="1" applyFill="1" applyBorder="1" applyAlignment="1">
      <alignment vertical="center"/>
    </xf>
    <xf numFmtId="176" fontId="6" fillId="2" borderId="25" xfId="0" applyNumberFormat="1" applyFont="1" applyFill="1" applyBorder="1" applyAlignment="1">
      <alignment vertical="center"/>
    </xf>
    <xf numFmtId="176" fontId="6" fillId="2" borderId="28" xfId="0" applyNumberFormat="1" applyFont="1" applyFill="1" applyBorder="1" applyAlignment="1">
      <alignment vertical="center"/>
    </xf>
    <xf numFmtId="176" fontId="6" fillId="0" borderId="72" xfId="0" applyNumberFormat="1" applyFont="1" applyBorder="1" applyAlignment="1">
      <alignment vertical="center"/>
    </xf>
    <xf numFmtId="176" fontId="6" fillId="0" borderId="26" xfId="0" applyNumberFormat="1" applyFont="1" applyBorder="1" applyAlignment="1">
      <alignment vertical="center"/>
    </xf>
    <xf numFmtId="179" fontId="6" fillId="0" borderId="27" xfId="0" applyNumberFormat="1" applyFont="1" applyBorder="1" applyAlignment="1">
      <alignment vertical="center"/>
    </xf>
    <xf numFmtId="179" fontId="6" fillId="0" borderId="28" xfId="0" applyNumberFormat="1" applyFont="1" applyBorder="1" applyAlignment="1">
      <alignment vertical="center"/>
    </xf>
    <xf numFmtId="179" fontId="6" fillId="0" borderId="29" xfId="0" applyNumberFormat="1" applyFont="1" applyBorder="1" applyAlignment="1">
      <alignment vertical="center"/>
    </xf>
    <xf numFmtId="186" fontId="8" fillId="4" borderId="71" xfId="0" applyNumberFormat="1" applyFont="1" applyFill="1" applyBorder="1" applyAlignment="1">
      <alignment horizontal="right" vertical="center"/>
    </xf>
    <xf numFmtId="186" fontId="4" fillId="4" borderId="1" xfId="0" applyNumberFormat="1" applyFont="1" applyFill="1" applyBorder="1" applyAlignment="1">
      <alignment vertical="center"/>
    </xf>
    <xf numFmtId="186" fontId="8" fillId="4" borderId="1" xfId="0" applyNumberFormat="1" applyFont="1" applyFill="1" applyBorder="1" applyAlignment="1">
      <alignment horizontal="right" vertical="center"/>
    </xf>
    <xf numFmtId="186" fontId="4" fillId="4" borderId="23" xfId="0" applyNumberFormat="1" applyFont="1" applyFill="1" applyBorder="1" applyAlignment="1">
      <alignment vertical="center"/>
    </xf>
    <xf numFmtId="185" fontId="4" fillId="4" borderId="1" xfId="0" applyNumberFormat="1" applyFont="1" applyFill="1" applyBorder="1" applyAlignment="1">
      <alignment vertical="center"/>
    </xf>
    <xf numFmtId="38" fontId="6" fillId="0" borderId="0" xfId="0" applyNumberFormat="1" applyFont="1"/>
    <xf numFmtId="176" fontId="5" fillId="0" borderId="67" xfId="0" applyNumberFormat="1" applyFont="1" applyBorder="1" applyAlignment="1">
      <alignment vertical="center"/>
    </xf>
    <xf numFmtId="176" fontId="30" fillId="0" borderId="70" xfId="0" applyNumberFormat="1" applyFont="1" applyBorder="1" applyAlignment="1">
      <alignment vertical="center"/>
    </xf>
    <xf numFmtId="180" fontId="6" fillId="0" borderId="1" xfId="0" applyNumberFormat="1" applyFont="1" applyBorder="1" applyAlignment="1">
      <alignment vertical="center"/>
    </xf>
    <xf numFmtId="176" fontId="4" fillId="0" borderId="23" xfId="0" applyNumberFormat="1" applyFont="1" applyBorder="1" applyAlignment="1">
      <alignment vertical="center"/>
    </xf>
    <xf numFmtId="176" fontId="8" fillId="4" borderId="107" xfId="0" applyNumberFormat="1" applyFont="1" applyFill="1" applyBorder="1" applyAlignment="1">
      <alignment vertical="center"/>
    </xf>
    <xf numFmtId="176" fontId="8" fillId="4" borderId="106" xfId="0" applyNumberFormat="1" applyFont="1" applyFill="1" applyBorder="1" applyAlignment="1">
      <alignment horizontal="right" vertical="center"/>
    </xf>
    <xf numFmtId="176" fontId="8" fillId="4" borderId="106" xfId="0" applyNumberFormat="1" applyFont="1" applyFill="1" applyBorder="1" applyAlignment="1">
      <alignment vertical="center"/>
    </xf>
    <xf numFmtId="176" fontId="4" fillId="4" borderId="0" xfId="0" applyNumberFormat="1" applyFont="1" applyFill="1" applyAlignment="1">
      <alignment vertical="center"/>
    </xf>
    <xf numFmtId="176" fontId="8" fillId="4" borderId="107" xfId="0" applyNumberFormat="1" applyFont="1" applyFill="1" applyBorder="1" applyAlignment="1">
      <alignment horizontal="right" vertical="center"/>
    </xf>
    <xf numFmtId="176" fontId="8" fillId="4" borderId="53" xfId="0" applyNumberFormat="1" applyFont="1" applyFill="1" applyBorder="1" applyAlignment="1">
      <alignment horizontal="right" vertical="center"/>
    </xf>
    <xf numFmtId="176" fontId="8" fillId="4" borderId="12" xfId="0" applyNumberFormat="1" applyFont="1" applyFill="1" applyBorder="1" applyAlignment="1">
      <alignment vertical="center"/>
    </xf>
    <xf numFmtId="176" fontId="8" fillId="4" borderId="22" xfId="0" applyNumberFormat="1" applyFont="1" applyFill="1" applyBorder="1" applyAlignment="1">
      <alignment vertical="center"/>
    </xf>
    <xf numFmtId="180" fontId="8" fillId="4" borderId="12" xfId="0" applyNumberFormat="1" applyFont="1" applyFill="1" applyBorder="1" applyAlignment="1">
      <alignment vertical="center"/>
    </xf>
    <xf numFmtId="176" fontId="8" fillId="4" borderId="25" xfId="0" applyNumberFormat="1" applyFont="1" applyFill="1" applyBorder="1" applyAlignment="1">
      <alignment vertical="center"/>
    </xf>
    <xf numFmtId="176" fontId="8" fillId="4" borderId="108" xfId="0" applyNumberFormat="1" applyFont="1" applyFill="1" applyBorder="1" applyAlignment="1">
      <alignment vertical="center"/>
    </xf>
    <xf numFmtId="176" fontId="8" fillId="4" borderId="53" xfId="0" applyNumberFormat="1" applyFont="1" applyFill="1" applyBorder="1" applyAlignment="1">
      <alignment vertical="center"/>
    </xf>
    <xf numFmtId="186" fontId="8" fillId="4" borderId="106" xfId="0" applyNumberFormat="1" applyFont="1" applyFill="1" applyBorder="1" applyAlignment="1">
      <alignment vertical="center"/>
    </xf>
    <xf numFmtId="181" fontId="19" fillId="0" borderId="5" xfId="0" quotePrefix="1" applyNumberFormat="1" applyFont="1" applyBorder="1" applyAlignment="1">
      <alignment horizontal="center" vertical="center" wrapText="1"/>
    </xf>
    <xf numFmtId="176" fontId="6" fillId="6" borderId="11" xfId="0" applyNumberFormat="1" applyFont="1" applyFill="1" applyBorder="1" applyAlignment="1">
      <alignment horizontal="left" vertical="center" wrapText="1"/>
    </xf>
    <xf numFmtId="176" fontId="6" fillId="0" borderId="81" xfId="0" applyNumberFormat="1" applyFont="1" applyBorder="1" applyAlignment="1">
      <alignment vertical="center"/>
    </xf>
    <xf numFmtId="176" fontId="6" fillId="0" borderId="1" xfId="0" quotePrefix="1" applyNumberFormat="1" applyFont="1" applyBorder="1" applyAlignment="1">
      <alignment vertical="center"/>
    </xf>
    <xf numFmtId="176" fontId="6" fillId="4" borderId="84" xfId="0" applyNumberFormat="1" applyFont="1" applyFill="1" applyBorder="1" applyAlignment="1">
      <alignment vertical="center"/>
    </xf>
    <xf numFmtId="176" fontId="6" fillId="4" borderId="76" xfId="0" applyNumberFormat="1" applyFont="1" applyFill="1" applyBorder="1" applyAlignment="1">
      <alignment horizontal="right" vertical="center"/>
    </xf>
    <xf numFmtId="176" fontId="6" fillId="4" borderId="74" xfId="0" applyNumberFormat="1" applyFont="1" applyFill="1" applyBorder="1" applyAlignment="1">
      <alignment vertical="center"/>
    </xf>
    <xf numFmtId="176" fontId="6" fillId="4" borderId="89" xfId="0" applyNumberFormat="1" applyFont="1" applyFill="1" applyBorder="1" applyAlignment="1">
      <alignment horizontal="right" vertical="center"/>
    </xf>
    <xf numFmtId="176" fontId="6" fillId="0" borderId="14" xfId="0" applyNumberFormat="1" applyFont="1" applyBorder="1"/>
    <xf numFmtId="0" fontId="3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6" fillId="6" borderId="81" xfId="0" applyNumberFormat="1" applyFont="1" applyFill="1" applyBorder="1" applyAlignment="1">
      <alignment horizontal="center" vertical="center" wrapText="1"/>
    </xf>
    <xf numFmtId="176" fontId="6" fillId="6" borderId="12" xfId="0" applyNumberFormat="1" applyFont="1" applyFill="1" applyBorder="1" applyAlignment="1">
      <alignment horizontal="center" vertical="center" wrapText="1"/>
    </xf>
    <xf numFmtId="176" fontId="6" fillId="6" borderId="13" xfId="0" applyNumberFormat="1" applyFont="1" applyFill="1" applyBorder="1" applyAlignment="1">
      <alignment horizontal="center" vertical="center" wrapText="1"/>
    </xf>
    <xf numFmtId="181" fontId="19" fillId="0" borderId="52" xfId="0" quotePrefix="1" applyNumberFormat="1" applyFont="1" applyBorder="1" applyAlignment="1">
      <alignment horizontal="center" vertical="center"/>
    </xf>
    <xf numFmtId="181" fontId="19" fillId="0" borderId="12" xfId="0" quotePrefix="1" applyNumberFormat="1" applyFont="1" applyBorder="1" applyAlignment="1">
      <alignment horizontal="center" vertical="center"/>
    </xf>
    <xf numFmtId="181" fontId="19" fillId="0" borderId="33" xfId="0" quotePrefix="1" applyNumberFormat="1" applyFont="1" applyBorder="1" applyAlignment="1">
      <alignment horizontal="center" vertical="center"/>
    </xf>
    <xf numFmtId="181" fontId="19" fillId="0" borderId="53" xfId="0" quotePrefix="1" applyNumberFormat="1" applyFont="1" applyBorder="1" applyAlignment="1">
      <alignment horizontal="center" vertical="center"/>
    </xf>
    <xf numFmtId="181" fontId="19" fillId="0" borderId="13" xfId="0" quotePrefix="1" applyNumberFormat="1" applyFont="1" applyBorder="1" applyAlignment="1">
      <alignment horizontal="center" vertical="center"/>
    </xf>
    <xf numFmtId="176" fontId="19" fillId="0" borderId="89" xfId="0" applyNumberFormat="1" applyFont="1" applyBorder="1" applyAlignment="1">
      <alignment horizontal="center" vertical="center" shrinkToFit="1"/>
    </xf>
    <xf numFmtId="38" fontId="14" fillId="0" borderId="89" xfId="0" applyNumberFormat="1" applyFont="1" applyBorder="1" applyAlignment="1">
      <alignment horizontal="center" vertical="center" shrinkToFit="1"/>
    </xf>
    <xf numFmtId="176" fontId="19" fillId="0" borderId="89" xfId="0" applyNumberFormat="1" applyFont="1" applyBorder="1" applyAlignment="1">
      <alignment vertical="center" shrinkToFit="1"/>
    </xf>
    <xf numFmtId="178" fontId="19" fillId="0" borderId="19" xfId="0" applyNumberFormat="1" applyFont="1" applyBorder="1" applyAlignment="1">
      <alignment horizontal="center" vertical="center"/>
    </xf>
    <xf numFmtId="178" fontId="19" fillId="0" borderId="1" xfId="0" quotePrefix="1" applyNumberFormat="1" applyFont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137" xfId="0" applyNumberFormat="1" applyFont="1" applyBorder="1" applyAlignment="1">
      <alignment horizontal="center" vertical="center"/>
    </xf>
    <xf numFmtId="38" fontId="4" fillId="0" borderId="0" xfId="1" applyNumberFormat="1" applyFont="1" applyAlignment="1">
      <alignment horizontal="center"/>
    </xf>
    <xf numFmtId="38" fontId="6" fillId="0" borderId="59" xfId="0" applyNumberFormat="1" applyFont="1" applyBorder="1" applyAlignment="1">
      <alignment horizontal="right" vertical="center"/>
    </xf>
    <xf numFmtId="38" fontId="6" fillId="0" borderId="49" xfId="0" applyNumberFormat="1" applyFont="1" applyBorder="1" applyAlignment="1">
      <alignment horizontal="right" vertical="center"/>
    </xf>
    <xf numFmtId="38" fontId="6" fillId="0" borderId="80" xfId="0" applyNumberFormat="1" applyFont="1" applyBorder="1" applyAlignment="1">
      <alignment horizontal="right" vertical="center"/>
    </xf>
    <xf numFmtId="179" fontId="6" fillId="0" borderId="59" xfId="0" applyNumberFormat="1" applyFont="1" applyBorder="1" applyAlignment="1">
      <alignment horizontal="right" vertical="center"/>
    </xf>
    <xf numFmtId="179" fontId="6" fillId="0" borderId="49" xfId="0" applyNumberFormat="1" applyFont="1" applyBorder="1" applyAlignment="1">
      <alignment horizontal="right" vertical="center"/>
    </xf>
    <xf numFmtId="179" fontId="6" fillId="0" borderId="80" xfId="0" applyNumberFormat="1" applyFont="1" applyBorder="1" applyAlignment="1">
      <alignment horizontal="right" vertical="center"/>
    </xf>
    <xf numFmtId="38" fontId="6" fillId="0" borderId="30" xfId="0" applyNumberFormat="1" applyFont="1" applyBorder="1" applyAlignment="1">
      <alignment horizontal="right" vertical="center"/>
    </xf>
    <xf numFmtId="38" fontId="6" fillId="0" borderId="13" xfId="0" applyNumberFormat="1" applyFont="1" applyBorder="1" applyAlignment="1">
      <alignment horizontal="right" vertical="center"/>
    </xf>
    <xf numFmtId="38" fontId="6" fillId="0" borderId="31" xfId="0" applyNumberFormat="1" applyFont="1" applyBorder="1" applyAlignment="1">
      <alignment horizontal="right" vertical="center"/>
    </xf>
    <xf numFmtId="179" fontId="6" fillId="0" borderId="19" xfId="0" applyNumberFormat="1" applyFon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179" fontId="6" fillId="0" borderId="20" xfId="0" applyNumberFormat="1" applyFont="1" applyBorder="1" applyAlignment="1">
      <alignment horizontal="right" vertical="center"/>
    </xf>
    <xf numFmtId="38" fontId="6" fillId="0" borderId="65" xfId="0" applyNumberFormat="1" applyFont="1" applyBorder="1" applyAlignment="1">
      <alignment horizontal="right" vertical="center"/>
    </xf>
    <xf numFmtId="38" fontId="6" fillId="0" borderId="42" xfId="0" applyNumberFormat="1" applyFont="1" applyBorder="1" applyAlignment="1">
      <alignment horizontal="right" vertical="center"/>
    </xf>
    <xf numFmtId="38" fontId="6" fillId="0" borderId="66" xfId="0" applyNumberFormat="1" applyFont="1" applyBorder="1" applyAlignment="1">
      <alignment horizontal="right" vertical="center"/>
    </xf>
    <xf numFmtId="179" fontId="6" fillId="0" borderId="30" xfId="0" applyNumberFormat="1" applyFont="1" applyBorder="1" applyAlignment="1">
      <alignment horizontal="right" vertical="center"/>
    </xf>
    <xf numFmtId="179" fontId="6" fillId="0" borderId="13" xfId="0" applyNumberFormat="1" applyFont="1" applyBorder="1" applyAlignment="1">
      <alignment horizontal="right" vertical="center"/>
    </xf>
    <xf numFmtId="179" fontId="6" fillId="0" borderId="31" xfId="0" applyNumberFormat="1" applyFont="1" applyBorder="1" applyAlignment="1">
      <alignment horizontal="right" vertical="center"/>
    </xf>
    <xf numFmtId="176" fontId="6" fillId="4" borderId="59" xfId="0" applyNumberFormat="1" applyFont="1" applyFill="1" applyBorder="1" applyAlignment="1">
      <alignment horizontal="right" vertical="center"/>
    </xf>
    <xf numFmtId="176" fontId="6" fillId="0" borderId="18" xfId="0" applyNumberFormat="1" applyFont="1" applyBorder="1" applyAlignment="1">
      <alignment horizontal="right" vertical="center"/>
    </xf>
    <xf numFmtId="176" fontId="6" fillId="4" borderId="33" xfId="0" applyNumberFormat="1" applyFont="1" applyFill="1" applyBorder="1" applyAlignment="1">
      <alignment horizontal="right" vertical="center"/>
    </xf>
    <xf numFmtId="176" fontId="6" fillId="4" borderId="30" xfId="0" applyNumberFormat="1" applyFont="1" applyFill="1" applyBorder="1" applyAlignment="1">
      <alignment horizontal="right" vertical="center"/>
    </xf>
    <xf numFmtId="176" fontId="6" fillId="0" borderId="33" xfId="0" applyNumberFormat="1" applyFont="1" applyBorder="1" applyAlignment="1">
      <alignment horizontal="right" vertical="center"/>
    </xf>
    <xf numFmtId="179" fontId="6" fillId="0" borderId="65" xfId="0" applyNumberFormat="1" applyFont="1" applyBorder="1" applyAlignment="1">
      <alignment horizontal="right" vertical="center"/>
    </xf>
    <xf numFmtId="179" fontId="6" fillId="0" borderId="42" xfId="0" applyNumberFormat="1" applyFont="1" applyBorder="1" applyAlignment="1">
      <alignment horizontal="right" vertical="center"/>
    </xf>
    <xf numFmtId="179" fontId="6" fillId="0" borderId="66" xfId="0" applyNumberFormat="1" applyFont="1" applyBorder="1" applyAlignment="1">
      <alignment horizontal="right" vertical="center"/>
    </xf>
    <xf numFmtId="38" fontId="6" fillId="0" borderId="19" xfId="0" applyNumberFormat="1" applyFont="1" applyBorder="1" applyAlignment="1">
      <alignment horizontal="right" vertical="center"/>
    </xf>
    <xf numFmtId="38" fontId="6" fillId="0" borderId="1" xfId="0" applyNumberFormat="1" applyFont="1" applyBorder="1" applyAlignment="1">
      <alignment horizontal="right" vertical="center"/>
    </xf>
    <xf numFmtId="38" fontId="6" fillId="0" borderId="20" xfId="0" applyNumberFormat="1" applyFont="1" applyBorder="1" applyAlignment="1">
      <alignment horizontal="right" vertical="center"/>
    </xf>
    <xf numFmtId="176" fontId="6" fillId="6" borderId="108" xfId="0" applyNumberFormat="1" applyFont="1" applyFill="1" applyBorder="1" applyAlignment="1">
      <alignment vertical="center"/>
    </xf>
    <xf numFmtId="179" fontId="6" fillId="0" borderId="27" xfId="0" applyNumberFormat="1" applyFont="1" applyBorder="1" applyAlignment="1">
      <alignment horizontal="right" vertical="center"/>
    </xf>
    <xf numFmtId="179" fontId="6" fillId="0" borderId="28" xfId="0" applyNumberFormat="1" applyFont="1" applyBorder="1" applyAlignment="1">
      <alignment horizontal="right" vertical="center"/>
    </xf>
    <xf numFmtId="179" fontId="6" fillId="0" borderId="29" xfId="0" applyNumberFormat="1" applyFont="1" applyBorder="1" applyAlignment="1">
      <alignment horizontal="right" vertical="center"/>
    </xf>
    <xf numFmtId="176" fontId="6" fillId="6" borderId="11" xfId="0" applyNumberFormat="1" applyFont="1" applyFill="1" applyBorder="1" applyAlignment="1">
      <alignment horizontal="left" vertical="center"/>
    </xf>
    <xf numFmtId="176" fontId="6" fillId="6" borderId="22" xfId="0" quotePrefix="1" applyNumberFormat="1" applyFont="1" applyFill="1" applyBorder="1" applyAlignment="1">
      <alignment vertical="center"/>
    </xf>
    <xf numFmtId="176" fontId="6" fillId="0" borderId="70" xfId="0" quotePrefix="1" applyNumberFormat="1" applyFont="1" applyBorder="1" applyAlignment="1">
      <alignment vertical="center"/>
    </xf>
    <xf numFmtId="176" fontId="6" fillId="6" borderId="24" xfId="0" quotePrefix="1" applyNumberFormat="1" applyFont="1" applyFill="1" applyBorder="1" applyAlignment="1">
      <alignment vertical="center"/>
    </xf>
    <xf numFmtId="176" fontId="6" fillId="0" borderId="1" xfId="0" applyNumberFormat="1" applyFont="1" applyBorder="1" applyAlignment="1">
      <alignment horizontal="right" vertical="center"/>
    </xf>
    <xf numFmtId="176" fontId="6" fillId="6" borderId="43" xfId="0" applyNumberFormat="1" applyFont="1" applyFill="1" applyBorder="1" applyAlignment="1">
      <alignment horizontal="right" vertical="center"/>
    </xf>
    <xf numFmtId="176" fontId="6" fillId="0" borderId="114" xfId="0" applyNumberFormat="1" applyFont="1" applyBorder="1" applyAlignment="1">
      <alignment vertical="center"/>
    </xf>
    <xf numFmtId="38" fontId="6" fillId="0" borderId="139" xfId="0" applyNumberFormat="1" applyFont="1" applyBorder="1" applyAlignment="1">
      <alignment horizontal="right" vertical="center"/>
    </xf>
    <xf numFmtId="38" fontId="6" fillId="0" borderId="81" xfId="0" applyNumberFormat="1" applyFont="1" applyBorder="1" applyAlignment="1">
      <alignment horizontal="right" vertical="center"/>
    </xf>
    <xf numFmtId="38" fontId="6" fillId="0" borderId="140" xfId="0" applyNumberFormat="1" applyFont="1" applyBorder="1" applyAlignment="1">
      <alignment horizontal="right" vertical="center"/>
    </xf>
    <xf numFmtId="176" fontId="6" fillId="6" borderId="21" xfId="0" applyNumberFormat="1" applyFont="1" applyFill="1" applyBorder="1" applyAlignment="1">
      <alignment vertical="center" shrinkToFit="1"/>
    </xf>
    <xf numFmtId="176" fontId="6" fillId="6" borderId="16" xfId="0" applyNumberFormat="1" applyFont="1" applyFill="1" applyBorder="1" applyAlignment="1">
      <alignment vertical="center" wrapText="1"/>
    </xf>
    <xf numFmtId="176" fontId="6" fillId="0" borderId="24" xfId="0" applyNumberFormat="1" applyFont="1" applyBorder="1" applyAlignment="1">
      <alignment horizontal="right" vertical="center"/>
    </xf>
    <xf numFmtId="176" fontId="6" fillId="6" borderId="108" xfId="0" applyNumberFormat="1" applyFont="1" applyFill="1" applyBorder="1" applyAlignment="1">
      <alignment horizontal="right" vertical="center"/>
    </xf>
    <xf numFmtId="176" fontId="6" fillId="6" borderId="28" xfId="0" applyNumberFormat="1" applyFont="1" applyFill="1" applyBorder="1" applyAlignment="1">
      <alignment horizontal="right" vertical="center"/>
    </xf>
    <xf numFmtId="176" fontId="6" fillId="0" borderId="11" xfId="0" applyNumberFormat="1" applyFont="1" applyBorder="1" applyAlignment="1">
      <alignment horizontal="right" vertical="center"/>
    </xf>
    <xf numFmtId="176" fontId="6" fillId="4" borderId="11" xfId="0" applyNumberFormat="1" applyFont="1" applyFill="1" applyBorder="1" applyAlignment="1">
      <alignment horizontal="right" vertical="center"/>
    </xf>
    <xf numFmtId="176" fontId="6" fillId="4" borderId="13" xfId="0" applyNumberFormat="1" applyFont="1" applyFill="1" applyBorder="1" applyAlignment="1">
      <alignment horizontal="right" vertical="center"/>
    </xf>
    <xf numFmtId="176" fontId="6" fillId="4" borderId="12" xfId="0" applyNumberFormat="1" applyFont="1" applyFill="1" applyBorder="1" applyAlignment="1">
      <alignment horizontal="right" vertical="center"/>
    </xf>
    <xf numFmtId="176" fontId="6" fillId="0" borderId="30" xfId="0" applyNumberFormat="1" applyFont="1" applyBorder="1" applyAlignment="1">
      <alignment horizontal="right" vertical="center"/>
    </xf>
    <xf numFmtId="176" fontId="6" fillId="0" borderId="13" xfId="0" applyNumberFormat="1" applyFont="1" applyBorder="1" applyAlignment="1">
      <alignment horizontal="right" vertical="center"/>
    </xf>
    <xf numFmtId="176" fontId="6" fillId="0" borderId="133" xfId="0" applyNumberFormat="1" applyFont="1" applyBorder="1" applyAlignment="1">
      <alignment horizontal="right" vertical="center"/>
    </xf>
    <xf numFmtId="176" fontId="6" fillId="0" borderId="21" xfId="0" applyNumberFormat="1" applyFont="1" applyBorder="1" applyAlignment="1">
      <alignment horizontal="right" vertical="center"/>
    </xf>
    <xf numFmtId="176" fontId="6" fillId="4" borderId="19" xfId="0" applyNumberFormat="1" applyFont="1" applyFill="1" applyBorder="1" applyAlignment="1">
      <alignment horizontal="right" vertical="center"/>
    </xf>
    <xf numFmtId="176" fontId="6" fillId="4" borderId="21" xfId="0" applyNumberFormat="1" applyFont="1" applyFill="1" applyBorder="1" applyAlignment="1">
      <alignment horizontal="right" vertical="center"/>
    </xf>
    <xf numFmtId="176" fontId="6" fillId="4" borderId="1" xfId="0" applyNumberFormat="1" applyFont="1" applyFill="1" applyBorder="1" applyAlignment="1">
      <alignment horizontal="right" vertical="center"/>
    </xf>
    <xf numFmtId="176" fontId="6" fillId="4" borderId="22" xfId="0" applyNumberFormat="1" applyFont="1" applyFill="1" applyBorder="1" applyAlignment="1">
      <alignment horizontal="right" vertical="center"/>
    </xf>
    <xf numFmtId="176" fontId="6" fillId="0" borderId="19" xfId="0" applyNumberFormat="1" applyFont="1" applyBorder="1" applyAlignment="1">
      <alignment horizontal="right" vertical="center"/>
    </xf>
    <xf numFmtId="176" fontId="6" fillId="0" borderId="134" xfId="0" applyNumberFormat="1" applyFont="1" applyBorder="1" applyAlignment="1">
      <alignment horizontal="right" vertical="center"/>
    </xf>
    <xf numFmtId="176" fontId="6" fillId="0" borderId="22" xfId="0" applyNumberFormat="1" applyFont="1" applyBorder="1" applyAlignment="1">
      <alignment horizontal="right" vertical="center"/>
    </xf>
    <xf numFmtId="176" fontId="6" fillId="0" borderId="109" xfId="0" applyNumberFormat="1" applyFont="1" applyBorder="1" applyAlignment="1">
      <alignment horizontal="right" vertical="center"/>
    </xf>
    <xf numFmtId="179" fontId="6" fillId="0" borderId="22" xfId="0" applyNumberFormat="1" applyFont="1" applyBorder="1" applyAlignment="1">
      <alignment horizontal="right" vertical="center"/>
    </xf>
    <xf numFmtId="176" fontId="6" fillId="0" borderId="12" xfId="0" applyNumberFormat="1" applyFont="1" applyBorder="1" applyAlignment="1">
      <alignment horizontal="right" vertical="center"/>
    </xf>
    <xf numFmtId="176" fontId="6" fillId="0" borderId="28" xfId="0" applyNumberFormat="1" applyFont="1" applyBorder="1" applyAlignment="1">
      <alignment horizontal="right" vertical="center"/>
    </xf>
    <xf numFmtId="176" fontId="6" fillId="0" borderId="25" xfId="0" applyNumberFormat="1" applyFont="1" applyBorder="1" applyAlignment="1">
      <alignment horizontal="right" vertical="center"/>
    </xf>
    <xf numFmtId="176" fontId="6" fillId="4" borderId="27" xfId="0" applyNumberFormat="1" applyFont="1" applyFill="1" applyBorder="1" applyAlignment="1">
      <alignment horizontal="right" vertical="center"/>
    </xf>
    <xf numFmtId="176" fontId="6" fillId="4" borderId="24" xfId="0" applyNumberFormat="1" applyFont="1" applyFill="1" applyBorder="1" applyAlignment="1">
      <alignment horizontal="right" vertical="center"/>
    </xf>
    <xf numFmtId="176" fontId="6" fillId="4" borderId="28" xfId="0" applyNumberFormat="1" applyFont="1" applyFill="1" applyBorder="1" applyAlignment="1">
      <alignment horizontal="right" vertical="center"/>
    </xf>
    <xf numFmtId="176" fontId="6" fillId="4" borderId="25" xfId="0" applyNumberFormat="1" applyFont="1" applyFill="1" applyBorder="1" applyAlignment="1">
      <alignment horizontal="right" vertical="center"/>
    </xf>
    <xf numFmtId="176" fontId="6" fillId="0" borderId="27" xfId="0" applyNumberFormat="1" applyFont="1" applyBorder="1" applyAlignment="1">
      <alignment horizontal="right" vertical="center"/>
    </xf>
    <xf numFmtId="176" fontId="6" fillId="0" borderId="132" xfId="0" applyNumberFormat="1" applyFont="1" applyBorder="1" applyAlignment="1">
      <alignment horizontal="right" vertical="center"/>
    </xf>
    <xf numFmtId="176" fontId="6" fillId="4" borderId="108" xfId="0" applyNumberFormat="1" applyFont="1" applyFill="1" applyBorder="1" applyAlignment="1">
      <alignment horizontal="right" vertical="center"/>
    </xf>
    <xf numFmtId="176" fontId="6" fillId="0" borderId="72" xfId="0" applyNumberFormat="1" applyFont="1" applyBorder="1" applyAlignment="1">
      <alignment horizontal="right" vertical="center"/>
    </xf>
    <xf numFmtId="176" fontId="6" fillId="0" borderId="26" xfId="0" applyNumberFormat="1" applyFont="1" applyBorder="1" applyAlignment="1">
      <alignment horizontal="right" vertical="center"/>
    </xf>
    <xf numFmtId="38" fontId="6" fillId="0" borderId="27" xfId="0" applyNumberFormat="1" applyFont="1" applyBorder="1" applyAlignment="1">
      <alignment horizontal="right" vertical="center"/>
    </xf>
    <xf numFmtId="38" fontId="6" fillId="0" borderId="28" xfId="0" applyNumberFormat="1" applyFont="1" applyBorder="1" applyAlignment="1">
      <alignment horizontal="right" vertical="center"/>
    </xf>
    <xf numFmtId="38" fontId="6" fillId="0" borderId="29" xfId="0" applyNumberFormat="1" applyFont="1" applyBorder="1" applyAlignment="1">
      <alignment horizontal="right" vertical="center"/>
    </xf>
    <xf numFmtId="37" fontId="6" fillId="0" borderId="42" xfId="0" applyNumberFormat="1" applyFont="1" applyBorder="1" applyAlignment="1">
      <alignment horizontal="right" vertical="center"/>
    </xf>
    <xf numFmtId="183" fontId="6" fillId="0" borderId="13" xfId="0" applyNumberFormat="1" applyFont="1" applyBorder="1" applyAlignment="1">
      <alignment vertical="center"/>
    </xf>
    <xf numFmtId="1" fontId="6" fillId="6" borderId="12" xfId="0" applyNumberFormat="1" applyFont="1" applyFill="1" applyBorder="1" applyAlignment="1">
      <alignment vertical="center"/>
    </xf>
    <xf numFmtId="182" fontId="6" fillId="6" borderId="1" xfId="0" applyNumberFormat="1" applyFont="1" applyFill="1" applyBorder="1" applyAlignment="1">
      <alignment vertical="center"/>
    </xf>
    <xf numFmtId="182" fontId="6" fillId="0" borderId="1" xfId="0" applyNumberFormat="1" applyFont="1" applyBorder="1" applyAlignment="1">
      <alignment vertical="center"/>
    </xf>
    <xf numFmtId="176" fontId="6" fillId="0" borderId="23" xfId="0" applyNumberFormat="1" applyFont="1" applyBorder="1" applyAlignment="1">
      <alignment horizontal="right" vertical="center"/>
    </xf>
    <xf numFmtId="176" fontId="6" fillId="6" borderId="90" xfId="0" applyNumberFormat="1" applyFont="1" applyFill="1" applyBorder="1" applyAlignment="1">
      <alignment vertical="center"/>
    </xf>
    <xf numFmtId="176" fontId="6" fillId="0" borderId="92" xfId="0" applyNumberFormat="1" applyFont="1" applyBorder="1" applyAlignment="1">
      <alignment vertical="center"/>
    </xf>
    <xf numFmtId="176" fontId="6" fillId="0" borderId="117" xfId="0" applyNumberFormat="1" applyFont="1" applyBorder="1" applyAlignment="1">
      <alignment horizontal="right" vertical="center"/>
    </xf>
    <xf numFmtId="179" fontId="6" fillId="0" borderId="92" xfId="0" applyNumberFormat="1" applyFont="1" applyBorder="1" applyAlignment="1">
      <alignment horizontal="right" vertical="center"/>
    </xf>
    <xf numFmtId="176" fontId="6" fillId="0" borderId="92" xfId="0" applyNumberFormat="1" applyFont="1" applyBorder="1" applyAlignment="1">
      <alignment horizontal="right" vertical="center"/>
    </xf>
    <xf numFmtId="176" fontId="6" fillId="0" borderId="90" xfId="0" applyNumberFormat="1" applyFont="1" applyBorder="1" applyAlignment="1">
      <alignment horizontal="right" vertical="center"/>
    </xf>
    <xf numFmtId="176" fontId="6" fillId="4" borderId="118" xfId="0" applyNumberFormat="1" applyFont="1" applyFill="1" applyBorder="1" applyAlignment="1">
      <alignment horizontal="right" vertical="center"/>
    </xf>
    <xf numFmtId="176" fontId="6" fillId="4" borderId="117" xfId="0" applyNumberFormat="1" applyFont="1" applyFill="1" applyBorder="1" applyAlignment="1">
      <alignment horizontal="right" vertical="center"/>
    </xf>
    <xf numFmtId="176" fontId="6" fillId="4" borderId="92" xfId="0" applyNumberFormat="1" applyFont="1" applyFill="1" applyBorder="1" applyAlignment="1">
      <alignment horizontal="right" vertical="center"/>
    </xf>
    <xf numFmtId="176" fontId="6" fillId="4" borderId="90" xfId="0" applyNumberFormat="1" applyFont="1" applyFill="1" applyBorder="1" applyAlignment="1">
      <alignment horizontal="right" vertical="center"/>
    </xf>
    <xf numFmtId="176" fontId="6" fillId="0" borderId="118" xfId="0" applyNumberFormat="1" applyFont="1" applyBorder="1" applyAlignment="1">
      <alignment horizontal="right" vertical="center"/>
    </xf>
    <xf numFmtId="176" fontId="6" fillId="0" borderId="141" xfId="0" applyNumberFormat="1" applyFont="1" applyBorder="1" applyAlignment="1">
      <alignment horizontal="right" vertical="center"/>
    </xf>
    <xf numFmtId="38" fontId="6" fillId="0" borderId="118" xfId="0" applyNumberFormat="1" applyFont="1" applyBorder="1" applyAlignment="1">
      <alignment horizontal="right" vertical="center"/>
    </xf>
    <xf numFmtId="38" fontId="6" fillId="0" borderId="92" xfId="0" applyNumberFormat="1" applyFont="1" applyBorder="1" applyAlignment="1">
      <alignment horizontal="right" vertical="center"/>
    </xf>
    <xf numFmtId="38" fontId="6" fillId="0" borderId="121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/>
    </xf>
    <xf numFmtId="176" fontId="4" fillId="0" borderId="0" xfId="0" applyNumberFormat="1" applyFont="1" applyAlignment="1">
      <alignment vertical="center"/>
    </xf>
    <xf numFmtId="176" fontId="8" fillId="0" borderId="0" xfId="0" applyNumberFormat="1" applyFont="1" applyAlignment="1">
      <alignment vertical="center"/>
    </xf>
    <xf numFmtId="179" fontId="4" fillId="0" borderId="0" xfId="0" applyNumberFormat="1" applyFont="1" applyAlignment="1">
      <alignment vertical="center"/>
    </xf>
    <xf numFmtId="38" fontId="4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38" fontId="0" fillId="0" borderId="0" xfId="0" applyNumberFormat="1" applyAlignment="1">
      <alignment horizontal="center"/>
    </xf>
    <xf numFmtId="0" fontId="5" fillId="3" borderId="19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89" fontId="5" fillId="0" borderId="1" xfId="0" applyNumberFormat="1" applyFont="1" applyBorder="1" applyAlignment="1">
      <alignment horizontal="right" vertical="center"/>
    </xf>
    <xf numFmtId="38" fontId="5" fillId="0" borderId="1" xfId="0" applyNumberFormat="1" applyFont="1" applyBorder="1" applyAlignment="1">
      <alignment horizontal="right" vertical="center"/>
    </xf>
    <xf numFmtId="38" fontId="5" fillId="12" borderId="1" xfId="0" applyNumberFormat="1" applyFont="1" applyFill="1" applyBorder="1" applyAlignment="1">
      <alignment horizontal="right" vertical="center"/>
    </xf>
    <xf numFmtId="0" fontId="5" fillId="13" borderId="19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38" fontId="5" fillId="13" borderId="1" xfId="0" applyNumberFormat="1" applyFont="1" applyFill="1" applyBorder="1" applyAlignment="1">
      <alignment horizontal="right" vertical="center"/>
    </xf>
    <xf numFmtId="49" fontId="5" fillId="3" borderId="19" xfId="0" applyNumberFormat="1" applyFont="1" applyFill="1" applyBorder="1" applyAlignment="1">
      <alignment vertical="center"/>
    </xf>
    <xf numFmtId="38" fontId="5" fillId="0" borderId="1" xfId="0" applyNumberFormat="1" applyFont="1" applyBorder="1" applyAlignment="1">
      <alignment vertical="center"/>
    </xf>
    <xf numFmtId="0" fontId="5" fillId="7" borderId="19" xfId="0" applyFont="1" applyFill="1" applyBorder="1" applyAlignment="1">
      <alignment vertical="center"/>
    </xf>
    <xf numFmtId="0" fontId="5" fillId="7" borderId="19" xfId="0" quotePrefix="1" applyFont="1" applyFill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49" fontId="5" fillId="7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27" xfId="0" applyFont="1" applyFill="1" applyBorder="1" applyAlignment="1">
      <alignment vertical="center"/>
    </xf>
    <xf numFmtId="0" fontId="5" fillId="0" borderId="28" xfId="0" applyFont="1" applyBorder="1" applyAlignment="1">
      <alignment vertical="center"/>
    </xf>
    <xf numFmtId="189" fontId="5" fillId="0" borderId="28" xfId="0" applyNumberFormat="1" applyFont="1" applyBorder="1" applyAlignment="1">
      <alignment horizontal="right" vertical="center"/>
    </xf>
    <xf numFmtId="38" fontId="5" fillId="0" borderId="28" xfId="0" applyNumberFormat="1" applyFont="1" applyBorder="1" applyAlignment="1">
      <alignment horizontal="right" vertical="center"/>
    </xf>
    <xf numFmtId="38" fontId="5" fillId="0" borderId="28" xfId="0" applyNumberFormat="1" applyFont="1" applyBorder="1" applyAlignment="1">
      <alignment vertical="center"/>
    </xf>
    <xf numFmtId="0" fontId="5" fillId="9" borderId="19" xfId="0" applyFont="1" applyFill="1" applyBorder="1" applyAlignment="1">
      <alignment vertical="center"/>
    </xf>
    <xf numFmtId="0" fontId="5" fillId="9" borderId="27" xfId="0" applyFont="1" applyFill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89" fontId="5" fillId="0" borderId="13" xfId="0" applyNumberFormat="1" applyFont="1" applyBorder="1" applyAlignment="1">
      <alignment horizontal="right" vertical="center"/>
    </xf>
    <xf numFmtId="38" fontId="5" fillId="0" borderId="13" xfId="0" applyNumberFormat="1" applyFont="1" applyBorder="1" applyAlignment="1">
      <alignment horizontal="right" vertical="center"/>
    </xf>
    <xf numFmtId="189" fontId="5" fillId="0" borderId="0" xfId="0" applyNumberFormat="1" applyFont="1" applyAlignment="1">
      <alignment horizontal="right" vertical="center"/>
    </xf>
    <xf numFmtId="38" fontId="5" fillId="0" borderId="0" xfId="0" applyNumberFormat="1" applyFont="1" applyAlignment="1">
      <alignment horizontal="center" vertical="center"/>
    </xf>
    <xf numFmtId="38" fontId="5" fillId="0" borderId="0" xfId="0" applyNumberFormat="1" applyFont="1" applyAlignment="1">
      <alignment vertical="center"/>
    </xf>
    <xf numFmtId="38" fontId="5" fillId="14" borderId="1" xfId="0" applyNumberFormat="1" applyFont="1" applyFill="1" applyBorder="1" applyAlignment="1">
      <alignment horizontal="right" vertical="center"/>
    </xf>
    <xf numFmtId="176" fontId="8" fillId="4" borderId="89" xfId="0" applyNumberFormat="1" applyFont="1" applyFill="1" applyBorder="1" applyAlignment="1">
      <alignment vertical="center"/>
    </xf>
    <xf numFmtId="176" fontId="8" fillId="4" borderId="110" xfId="0" applyNumberFormat="1" applyFont="1" applyFill="1" applyBorder="1" applyAlignment="1">
      <alignment vertical="center"/>
    </xf>
    <xf numFmtId="186" fontId="8" fillId="4" borderId="1" xfId="0" applyNumberFormat="1" applyFont="1" applyFill="1" applyBorder="1" applyAlignment="1">
      <alignment vertical="center"/>
    </xf>
    <xf numFmtId="184" fontId="4" fillId="0" borderId="142" xfId="0" applyNumberFormat="1" applyFont="1" applyBorder="1" applyAlignment="1">
      <alignment horizontal="center"/>
    </xf>
    <xf numFmtId="184" fontId="6" fillId="0" borderId="143" xfId="0" applyNumberFormat="1" applyFont="1" applyBorder="1"/>
    <xf numFmtId="0" fontId="6" fillId="0" borderId="143" xfId="0" applyFont="1" applyBorder="1"/>
    <xf numFmtId="184" fontId="6" fillId="0" borderId="143" xfId="0" applyNumberFormat="1" applyFont="1" applyBorder="1" applyAlignment="1">
      <alignment vertical="center"/>
    </xf>
    <xf numFmtId="184" fontId="6" fillId="0" borderId="143" xfId="0" applyNumberFormat="1" applyFont="1" applyBorder="1" applyAlignment="1">
      <alignment horizontal="center"/>
    </xf>
    <xf numFmtId="184" fontId="29" fillId="0" borderId="143" xfId="0" applyNumberFormat="1" applyFont="1" applyBorder="1"/>
    <xf numFmtId="0" fontId="6" fillId="0" borderId="144" xfId="0" applyFont="1" applyBorder="1"/>
    <xf numFmtId="0" fontId="4" fillId="0" borderId="143" xfId="0" applyFont="1" applyBorder="1"/>
    <xf numFmtId="0" fontId="7" fillId="0" borderId="143" xfId="0" applyFont="1" applyBorder="1"/>
    <xf numFmtId="0" fontId="4" fillId="0" borderId="144" xfId="0" applyFont="1" applyBorder="1"/>
    <xf numFmtId="38" fontId="4" fillId="0" borderId="0" xfId="0" applyNumberFormat="1" applyFont="1"/>
    <xf numFmtId="38" fontId="6" fillId="0" borderId="0" xfId="0" applyNumberFormat="1" applyFont="1" applyAlignment="1">
      <alignment vertical="center"/>
    </xf>
    <xf numFmtId="38" fontId="4" fillId="0" borderId="142" xfId="0" applyNumberFormat="1" applyFont="1" applyBorder="1" applyAlignment="1">
      <alignment horizontal="center"/>
    </xf>
    <xf numFmtId="38" fontId="4" fillId="0" borderId="143" xfId="0" applyNumberFormat="1" applyFont="1" applyBorder="1"/>
    <xf numFmtId="176" fontId="8" fillId="4" borderId="120" xfId="0" applyNumberFormat="1" applyFont="1" applyFill="1" applyBorder="1" applyAlignment="1">
      <alignment vertical="center"/>
    </xf>
    <xf numFmtId="176" fontId="6" fillId="0" borderId="43" xfId="0" applyNumberFormat="1" applyFont="1" applyBorder="1" applyAlignment="1">
      <alignment vertical="center" shrinkToFit="1"/>
    </xf>
    <xf numFmtId="176" fontId="6" fillId="0" borderId="107" xfId="0" applyNumberFormat="1" applyFont="1" applyBorder="1" applyAlignment="1">
      <alignment vertical="center" shrinkToFit="1"/>
    </xf>
    <xf numFmtId="180" fontId="6" fillId="0" borderId="0" xfId="0" applyNumberFormat="1" applyFont="1"/>
    <xf numFmtId="176" fontId="6" fillId="4" borderId="18" xfId="0" applyNumberFormat="1" applyFont="1" applyFill="1" applyBorder="1" applyAlignment="1">
      <alignment vertical="center"/>
    </xf>
    <xf numFmtId="176" fontId="6" fillId="0" borderId="17" xfId="0" applyNumberFormat="1" applyFont="1" applyBorder="1" applyAlignment="1">
      <alignment vertical="center" shrinkToFit="1"/>
    </xf>
    <xf numFmtId="176" fontId="6" fillId="4" borderId="75" xfId="0" applyNumberFormat="1" applyFont="1" applyFill="1" applyBorder="1" applyAlignment="1">
      <alignment horizontal="left" vertical="center"/>
    </xf>
    <xf numFmtId="176" fontId="6" fillId="0" borderId="0" xfId="0" applyNumberFormat="1" applyFont="1" applyAlignment="1">
      <alignment vertical="center" shrinkToFit="1"/>
    </xf>
    <xf numFmtId="176" fontId="6" fillId="4" borderId="75" xfId="0" applyNumberFormat="1" applyFont="1" applyFill="1" applyBorder="1" applyAlignment="1">
      <alignment vertical="center"/>
    </xf>
    <xf numFmtId="176" fontId="6" fillId="4" borderId="75" xfId="0" applyNumberFormat="1" applyFont="1" applyFill="1" applyBorder="1" applyAlignment="1">
      <alignment horizontal="center" vertical="center" wrapText="1"/>
    </xf>
    <xf numFmtId="176" fontId="6" fillId="4" borderId="75" xfId="0" applyNumberFormat="1" applyFont="1" applyFill="1" applyBorder="1" applyAlignment="1">
      <alignment horizontal="center" vertical="center"/>
    </xf>
    <xf numFmtId="176" fontId="6" fillId="0" borderId="12" xfId="0" applyNumberFormat="1" applyFont="1" applyBorder="1" applyAlignment="1">
      <alignment vertical="center" shrinkToFit="1"/>
    </xf>
    <xf numFmtId="176" fontId="6" fillId="0" borderId="53" xfId="0" applyNumberFormat="1" applyFont="1" applyBorder="1" applyAlignment="1">
      <alignment vertical="center" shrinkToFit="1"/>
    </xf>
    <xf numFmtId="176" fontId="6" fillId="4" borderId="40" xfId="0" applyNumberFormat="1" applyFont="1" applyFill="1" applyBorder="1" applyAlignment="1">
      <alignment horizontal="center" vertical="center"/>
    </xf>
    <xf numFmtId="176" fontId="6" fillId="0" borderId="52" xfId="0" applyNumberFormat="1" applyFont="1" applyBorder="1" applyAlignment="1">
      <alignment horizontal="left" vertical="center" shrinkToFit="1"/>
    </xf>
    <xf numFmtId="176" fontId="6" fillId="0" borderId="53" xfId="0" applyNumberFormat="1" applyFont="1" applyBorder="1" applyAlignment="1">
      <alignment horizontal="left" vertical="center" shrinkToFit="1"/>
    </xf>
    <xf numFmtId="176" fontId="6" fillId="4" borderId="23" xfId="0" applyNumberFormat="1" applyFont="1" applyFill="1" applyBorder="1" applyAlignment="1">
      <alignment vertical="center"/>
    </xf>
    <xf numFmtId="176" fontId="6" fillId="4" borderId="19" xfId="0" applyNumberFormat="1" applyFont="1" applyFill="1" applyBorder="1" applyAlignment="1">
      <alignment vertical="center"/>
    </xf>
    <xf numFmtId="176" fontId="6" fillId="0" borderId="23" xfId="0" applyNumberFormat="1" applyFont="1" applyBorder="1" applyAlignment="1">
      <alignment vertical="center"/>
    </xf>
    <xf numFmtId="176" fontId="6" fillId="4" borderId="50" xfId="0" applyNumberFormat="1" applyFont="1" applyFill="1" applyBorder="1" applyAlignment="1">
      <alignment horizontal="center" vertical="center"/>
    </xf>
    <xf numFmtId="38" fontId="6" fillId="0" borderId="0" xfId="0" applyNumberFormat="1" applyFont="1" applyAlignment="1">
      <alignment horizontal="center"/>
    </xf>
    <xf numFmtId="176" fontId="6" fillId="0" borderId="52" xfId="0" applyNumberFormat="1" applyFont="1" applyBorder="1" applyAlignment="1">
      <alignment vertical="center" shrinkToFit="1"/>
    </xf>
    <xf numFmtId="176" fontId="6" fillId="5" borderId="37" xfId="0" applyNumberFormat="1" applyFont="1" applyFill="1" applyBorder="1" applyAlignment="1">
      <alignment vertical="center" shrinkToFit="1"/>
    </xf>
    <xf numFmtId="180" fontId="6" fillId="0" borderId="0" xfId="1" applyNumberFormat="1" applyFont="1" applyBorder="1" applyAlignment="1"/>
    <xf numFmtId="176" fontId="6" fillId="4" borderId="11" xfId="0" applyNumberFormat="1" applyFont="1" applyFill="1" applyBorder="1" applyAlignment="1">
      <alignment vertical="center"/>
    </xf>
    <xf numFmtId="176" fontId="6" fillId="5" borderId="53" xfId="0" applyNumberFormat="1" applyFont="1" applyFill="1" applyBorder="1" applyAlignment="1">
      <alignment vertical="center" shrinkToFit="1"/>
    </xf>
    <xf numFmtId="176" fontId="6" fillId="4" borderId="23" xfId="0" applyNumberFormat="1" applyFont="1" applyFill="1" applyBorder="1" applyAlignment="1">
      <alignment horizontal="right" vertical="center"/>
    </xf>
    <xf numFmtId="176" fontId="6" fillId="0" borderId="106" xfId="0" applyNumberFormat="1" applyFont="1" applyBorder="1" applyAlignment="1">
      <alignment horizontal="left" vertical="center" shrinkToFit="1"/>
    </xf>
    <xf numFmtId="176" fontId="6" fillId="4" borderId="45" xfId="0" applyNumberFormat="1" applyFont="1" applyFill="1" applyBorder="1" applyAlignment="1">
      <alignment horizontal="center" vertical="center" wrapText="1"/>
    </xf>
    <xf numFmtId="176" fontId="6" fillId="4" borderId="45" xfId="0" applyNumberFormat="1" applyFont="1" applyFill="1" applyBorder="1" applyAlignment="1">
      <alignment horizontal="center" vertical="center"/>
    </xf>
    <xf numFmtId="176" fontId="6" fillId="0" borderId="22" xfId="0" applyNumberFormat="1" applyFont="1" applyBorder="1" applyAlignment="1">
      <alignment horizontal="left" vertical="center" shrinkToFit="1"/>
    </xf>
    <xf numFmtId="176" fontId="6" fillId="0" borderId="71" xfId="0" applyNumberFormat="1" applyFont="1" applyBorder="1" applyAlignment="1">
      <alignment vertical="center" shrinkToFit="1"/>
    </xf>
    <xf numFmtId="176" fontId="6" fillId="0" borderId="106" xfId="0" applyNumberFormat="1" applyFont="1" applyBorder="1" applyAlignment="1">
      <alignment vertical="center" shrinkToFit="1"/>
    </xf>
    <xf numFmtId="176" fontId="6" fillId="6" borderId="49" xfId="0" applyNumberFormat="1" applyFont="1" applyFill="1" applyBorder="1" applyAlignment="1">
      <alignment vertical="center" wrapText="1"/>
    </xf>
    <xf numFmtId="176" fontId="6" fillId="4" borderId="44" xfId="0" applyNumberFormat="1" applyFont="1" applyFill="1" applyBorder="1" applyAlignment="1">
      <alignment vertical="center"/>
    </xf>
    <xf numFmtId="176" fontId="6" fillId="4" borderId="50" xfId="0" applyNumberFormat="1" applyFont="1" applyFill="1" applyBorder="1" applyAlignment="1">
      <alignment horizontal="right" vertical="center"/>
    </xf>
    <xf numFmtId="176" fontId="6" fillId="4" borderId="44" xfId="0" applyNumberFormat="1" applyFont="1" applyFill="1" applyBorder="1" applyAlignment="1">
      <alignment horizontal="right" vertical="center"/>
    </xf>
    <xf numFmtId="176" fontId="6" fillId="4" borderId="65" xfId="0" applyNumberFormat="1" applyFont="1" applyFill="1" applyBorder="1" applyAlignment="1">
      <alignment horizontal="right" vertical="center"/>
    </xf>
    <xf numFmtId="176" fontId="6" fillId="0" borderId="43" xfId="0" applyNumberFormat="1" applyFont="1" applyBorder="1" applyAlignment="1">
      <alignment horizontal="right" vertical="center"/>
    </xf>
    <xf numFmtId="176" fontId="6" fillId="0" borderId="44" xfId="0" applyNumberFormat="1" applyFont="1" applyBorder="1" applyAlignment="1">
      <alignment horizontal="right" vertical="center"/>
    </xf>
    <xf numFmtId="176" fontId="6" fillId="4" borderId="32" xfId="0" applyNumberFormat="1" applyFont="1" applyFill="1" applyBorder="1" applyAlignment="1">
      <alignment horizontal="right" vertical="center"/>
    </xf>
    <xf numFmtId="176" fontId="6" fillId="0" borderId="111" xfId="0" applyNumberFormat="1" applyFont="1" applyBorder="1" applyAlignment="1">
      <alignment vertical="center" shrinkToFit="1"/>
    </xf>
    <xf numFmtId="176" fontId="6" fillId="4" borderId="45" xfId="0" applyNumberFormat="1" applyFont="1" applyFill="1" applyBorder="1" applyAlignment="1">
      <alignment horizontal="right" vertical="center"/>
    </xf>
    <xf numFmtId="176" fontId="6" fillId="4" borderId="74" xfId="0" applyNumberFormat="1" applyFont="1" applyFill="1" applyBorder="1" applyAlignment="1">
      <alignment horizontal="right" vertical="center"/>
    </xf>
    <xf numFmtId="176" fontId="6" fillId="4" borderId="40" xfId="0" applyNumberFormat="1" applyFont="1" applyFill="1" applyBorder="1" applyAlignment="1">
      <alignment horizontal="right" vertical="center"/>
    </xf>
    <xf numFmtId="176" fontId="6" fillId="0" borderId="71" xfId="0" applyNumberFormat="1" applyFont="1" applyBorder="1" applyAlignment="1">
      <alignment horizontal="left" vertical="center" shrinkToFit="1"/>
    </xf>
    <xf numFmtId="176" fontId="6" fillId="0" borderId="111" xfId="0" applyNumberFormat="1" applyFont="1" applyBorder="1" applyAlignment="1">
      <alignment horizontal="left" vertical="center" shrinkToFit="1"/>
    </xf>
    <xf numFmtId="176" fontId="6" fillId="0" borderId="107" xfId="0" applyNumberFormat="1" applyFont="1" applyBorder="1" applyAlignment="1">
      <alignment horizontal="left" vertical="center" shrinkToFit="1"/>
    </xf>
    <xf numFmtId="176" fontId="6" fillId="4" borderId="18" xfId="0" applyNumberFormat="1" applyFont="1" applyFill="1" applyBorder="1" applyAlignment="1">
      <alignment horizontal="right" vertical="center"/>
    </xf>
    <xf numFmtId="176" fontId="6" fillId="0" borderId="17" xfId="0" applyNumberFormat="1" applyFont="1" applyBorder="1" applyAlignment="1">
      <alignment horizontal="right" vertical="center"/>
    </xf>
    <xf numFmtId="176" fontId="6" fillId="4" borderId="16" xfId="0" applyNumberFormat="1" applyFont="1" applyFill="1" applyBorder="1" applyAlignment="1">
      <alignment horizontal="right" vertical="center"/>
    </xf>
    <xf numFmtId="176" fontId="6" fillId="0" borderId="116" xfId="0" applyNumberFormat="1" applyFont="1" applyBorder="1" applyAlignment="1">
      <alignment horizontal="left" vertical="center" shrinkToFit="1"/>
    </xf>
    <xf numFmtId="176" fontId="6" fillId="4" borderId="131" xfId="0" applyNumberFormat="1" applyFont="1" applyFill="1" applyBorder="1" applyAlignment="1">
      <alignment horizontal="right" vertical="center"/>
    </xf>
    <xf numFmtId="176" fontId="6" fillId="4" borderId="120" xfId="0" applyNumberFormat="1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left" vertical="center" shrinkToFit="1"/>
    </xf>
    <xf numFmtId="176" fontId="6" fillId="4" borderId="123" xfId="0" applyNumberFormat="1" applyFont="1" applyFill="1" applyBorder="1" applyAlignment="1">
      <alignment vertical="center"/>
    </xf>
    <xf numFmtId="176" fontId="6" fillId="4" borderId="124" xfId="0" applyNumberFormat="1" applyFont="1" applyFill="1" applyBorder="1" applyAlignment="1">
      <alignment vertical="center"/>
    </xf>
    <xf numFmtId="176" fontId="6" fillId="0" borderId="36" xfId="0" applyNumberFormat="1" applyFont="1" applyBorder="1" applyAlignment="1">
      <alignment vertical="center"/>
    </xf>
    <xf numFmtId="176" fontId="6" fillId="4" borderId="125" xfId="0" applyNumberFormat="1" applyFont="1" applyFill="1" applyBorder="1" applyAlignment="1">
      <alignment vertical="center"/>
    </xf>
    <xf numFmtId="176" fontId="6" fillId="0" borderId="123" xfId="0" applyNumberFormat="1" applyFont="1" applyBorder="1" applyAlignment="1">
      <alignment vertical="center"/>
    </xf>
    <xf numFmtId="176" fontId="6" fillId="4" borderId="115" xfId="0" applyNumberFormat="1" applyFont="1" applyFill="1" applyBorder="1" applyAlignment="1">
      <alignment vertical="center"/>
    </xf>
    <xf numFmtId="176" fontId="6" fillId="4" borderId="113" xfId="0" applyNumberFormat="1" applyFont="1" applyFill="1" applyBorder="1" applyAlignment="1">
      <alignment vertical="center"/>
    </xf>
    <xf numFmtId="176" fontId="6" fillId="0" borderId="124" xfId="0" applyNumberFormat="1" applyFont="1" applyBorder="1" applyAlignment="1">
      <alignment vertical="center"/>
    </xf>
    <xf numFmtId="176" fontId="6" fillId="0" borderId="73" xfId="0" applyNumberFormat="1" applyFont="1" applyBorder="1" applyAlignment="1">
      <alignment vertical="center" shrinkToFit="1"/>
    </xf>
    <xf numFmtId="176" fontId="6" fillId="0" borderId="113" xfId="0" applyNumberFormat="1" applyFont="1" applyBorder="1" applyAlignment="1">
      <alignment vertical="center" shrinkToFit="1"/>
    </xf>
    <xf numFmtId="176" fontId="6" fillId="0" borderId="126" xfId="0" quotePrefix="1" applyNumberFormat="1" applyFont="1" applyBorder="1" applyAlignment="1">
      <alignment horizontal="right" vertical="center" shrinkToFit="1"/>
    </xf>
    <xf numFmtId="176" fontId="6" fillId="0" borderId="105" xfId="0" applyNumberFormat="1" applyFont="1" applyBorder="1" applyAlignment="1">
      <alignment vertical="center" shrinkToFit="1"/>
    </xf>
    <xf numFmtId="176" fontId="6" fillId="0" borderId="129" xfId="0" applyNumberFormat="1" applyFont="1" applyBorder="1" applyAlignment="1">
      <alignment horizontal="center" vertical="center" shrinkToFit="1"/>
    </xf>
    <xf numFmtId="176" fontId="6" fillId="0" borderId="36" xfId="0" applyNumberFormat="1" applyFont="1" applyBorder="1" applyAlignment="1">
      <alignment vertical="center" shrinkToFit="1"/>
    </xf>
    <xf numFmtId="176" fontId="6" fillId="0" borderId="113" xfId="0" applyNumberFormat="1" applyFont="1" applyBorder="1" applyAlignment="1">
      <alignment horizontal="center" vertical="center" shrinkToFit="1"/>
    </xf>
    <xf numFmtId="176" fontId="6" fillId="0" borderId="127" xfId="0" quotePrefix="1" applyNumberFormat="1" applyFont="1" applyBorder="1" applyAlignment="1">
      <alignment horizontal="right" vertical="center" shrinkToFit="1"/>
    </xf>
    <xf numFmtId="176" fontId="6" fillId="4" borderId="39" xfId="0" applyNumberFormat="1" applyFont="1" applyFill="1" applyBorder="1" applyAlignment="1">
      <alignment vertical="center"/>
    </xf>
    <xf numFmtId="176" fontId="6" fillId="4" borderId="35" xfId="0" applyNumberFormat="1" applyFont="1" applyFill="1" applyBorder="1" applyAlignment="1">
      <alignment vertical="center"/>
    </xf>
    <xf numFmtId="176" fontId="6" fillId="4" borderId="62" xfId="0" applyNumberFormat="1" applyFont="1" applyFill="1" applyBorder="1" applyAlignment="1">
      <alignment vertical="center"/>
    </xf>
    <xf numFmtId="176" fontId="6" fillId="0" borderId="39" xfId="0" applyNumberFormat="1" applyFont="1" applyBorder="1" applyAlignment="1">
      <alignment vertical="center"/>
    </xf>
    <xf numFmtId="176" fontId="6" fillId="0" borderId="62" xfId="0" applyNumberFormat="1" applyFont="1" applyBorder="1" applyAlignment="1">
      <alignment vertical="center" shrinkToFit="1"/>
    </xf>
    <xf numFmtId="38" fontId="6" fillId="0" borderId="50" xfId="0" quotePrefix="1" applyNumberFormat="1" applyFont="1" applyBorder="1" applyAlignment="1">
      <alignment horizontal="right" vertical="center" shrinkToFit="1"/>
    </xf>
    <xf numFmtId="176" fontId="6" fillId="0" borderId="22" xfId="0" applyNumberFormat="1" applyFont="1" applyBorder="1" applyAlignment="1">
      <alignment vertical="center" shrinkToFit="1"/>
    </xf>
    <xf numFmtId="176" fontId="6" fillId="0" borderId="62" xfId="0" applyNumberFormat="1" applyFont="1" applyBorder="1" applyAlignment="1">
      <alignment horizontal="center" vertical="center" shrinkToFit="1"/>
    </xf>
    <xf numFmtId="38" fontId="6" fillId="0" borderId="89" xfId="0" quotePrefix="1" applyNumberFormat="1" applyFont="1" applyBorder="1" applyAlignment="1">
      <alignment horizontal="right" vertical="center" shrinkToFit="1"/>
    </xf>
    <xf numFmtId="180" fontId="6" fillId="4" borderId="37" xfId="0" applyNumberFormat="1" applyFont="1" applyFill="1" applyBorder="1" applyAlignment="1">
      <alignment vertical="center"/>
    </xf>
    <xf numFmtId="176" fontId="6" fillId="4" borderId="38" xfId="0" applyNumberFormat="1" applyFont="1" applyFill="1" applyBorder="1" applyAlignment="1">
      <alignment vertical="center"/>
    </xf>
    <xf numFmtId="176" fontId="6" fillId="4" borderId="61" xfId="0" applyNumberFormat="1" applyFont="1" applyFill="1" applyBorder="1" applyAlignment="1">
      <alignment vertical="center"/>
    </xf>
    <xf numFmtId="176" fontId="6" fillId="0" borderId="37" xfId="0" applyNumberFormat="1" applyFont="1" applyBorder="1" applyAlignment="1">
      <alignment vertical="center"/>
    </xf>
    <xf numFmtId="38" fontId="6" fillId="0" borderId="40" xfId="0" applyNumberFormat="1" applyFont="1" applyBorder="1" applyAlignment="1">
      <alignment horizontal="right" vertical="center" shrinkToFit="1"/>
    </xf>
    <xf numFmtId="38" fontId="6" fillId="0" borderId="76" xfId="0" applyNumberFormat="1" applyFont="1" applyBorder="1" applyAlignment="1">
      <alignment horizontal="right" vertical="center" shrinkToFit="1"/>
    </xf>
    <xf numFmtId="176" fontId="6" fillId="4" borderId="37" xfId="0" applyNumberFormat="1" applyFont="1" applyFill="1" applyBorder="1" applyAlignment="1">
      <alignment vertical="center"/>
    </xf>
    <xf numFmtId="176" fontId="6" fillId="0" borderId="61" xfId="0" applyNumberFormat="1" applyFont="1" applyBorder="1" applyAlignment="1">
      <alignment horizontal="center" vertical="center" shrinkToFit="1"/>
    </xf>
    <xf numFmtId="38" fontId="6" fillId="0" borderId="75" xfId="0" quotePrefix="1" applyNumberFormat="1" applyFont="1" applyBorder="1" applyAlignment="1">
      <alignment horizontal="right" vertical="center" shrinkToFit="1"/>
    </xf>
    <xf numFmtId="38" fontId="6" fillId="0" borderId="50" xfId="0" applyNumberFormat="1" applyFont="1" applyBorder="1" applyAlignment="1">
      <alignment horizontal="right" vertical="center" shrinkToFit="1"/>
    </xf>
    <xf numFmtId="38" fontId="6" fillId="0" borderId="89" xfId="0" applyNumberFormat="1" applyFont="1" applyBorder="1" applyAlignment="1">
      <alignment horizontal="right" vertical="center" shrinkToFit="1"/>
    </xf>
    <xf numFmtId="38" fontId="6" fillId="0" borderId="40" xfId="0" quotePrefix="1" applyNumberFormat="1" applyFont="1" applyBorder="1" applyAlignment="1">
      <alignment horizontal="right" vertical="center" shrinkToFit="1"/>
    </xf>
    <xf numFmtId="38" fontId="6" fillId="0" borderId="76" xfId="0" quotePrefix="1" applyNumberFormat="1" applyFont="1" applyBorder="1" applyAlignment="1">
      <alignment horizontal="right" vertical="center" shrinkToFit="1"/>
    </xf>
    <xf numFmtId="176" fontId="6" fillId="4" borderId="34" xfId="0" applyNumberFormat="1" applyFont="1" applyFill="1" applyBorder="1" applyAlignment="1">
      <alignment vertical="center"/>
    </xf>
    <xf numFmtId="176" fontId="6" fillId="4" borderId="46" xfId="0" applyNumberFormat="1" applyFont="1" applyFill="1" applyBorder="1" applyAlignment="1">
      <alignment vertical="center"/>
    </xf>
    <xf numFmtId="176" fontId="6" fillId="4" borderId="27" xfId="0" applyNumberFormat="1" applyFont="1" applyFill="1" applyBorder="1" applyAlignment="1">
      <alignment vertical="center"/>
    </xf>
    <xf numFmtId="176" fontId="6" fillId="4" borderId="60" xfId="0" applyNumberFormat="1" applyFont="1" applyFill="1" applyBorder="1" applyAlignment="1">
      <alignment vertical="center"/>
    </xf>
    <xf numFmtId="176" fontId="6" fillId="0" borderId="34" xfId="0" applyNumberFormat="1" applyFont="1" applyBorder="1" applyAlignment="1">
      <alignment vertical="center"/>
    </xf>
    <xf numFmtId="38" fontId="6" fillId="0" borderId="47" xfId="0" applyNumberFormat="1" applyFont="1" applyBorder="1" applyAlignment="1">
      <alignment horizontal="right" vertical="center" shrinkToFit="1"/>
    </xf>
    <xf numFmtId="38" fontId="6" fillId="0" borderId="110" xfId="0" applyNumberFormat="1" applyFont="1" applyBorder="1" applyAlignment="1">
      <alignment horizontal="right" vertical="center" shrinkToFit="1"/>
    </xf>
    <xf numFmtId="181" fontId="6" fillId="0" borderId="79" xfId="0" quotePrefix="1" applyNumberFormat="1" applyFont="1" applyBorder="1" applyAlignment="1">
      <alignment horizontal="center" vertical="center" shrinkToFit="1"/>
    </xf>
    <xf numFmtId="181" fontId="6" fillId="0" borderId="56" xfId="0" quotePrefix="1" applyNumberFormat="1" applyFont="1" applyBorder="1" applyAlignment="1">
      <alignment horizontal="center" vertical="center"/>
    </xf>
    <xf numFmtId="181" fontId="6" fillId="0" borderId="56" xfId="0" quotePrefix="1" applyNumberFormat="1" applyFont="1" applyBorder="1" applyAlignment="1">
      <alignment horizontal="center" vertical="center" shrinkToFit="1"/>
    </xf>
    <xf numFmtId="181" fontId="6" fillId="0" borderId="99" xfId="0" quotePrefix="1" applyNumberFormat="1" applyFont="1" applyBorder="1" applyAlignment="1">
      <alignment horizontal="center" vertical="center" shrinkToFit="1"/>
    </xf>
    <xf numFmtId="181" fontId="6" fillId="0" borderId="5" xfId="0" quotePrefix="1" applyNumberFormat="1" applyFont="1" applyBorder="1" applyAlignment="1">
      <alignment horizontal="center" vertical="center"/>
    </xf>
    <xf numFmtId="181" fontId="6" fillId="0" borderId="55" xfId="0" quotePrefix="1" applyNumberFormat="1" applyFont="1" applyBorder="1" applyAlignment="1">
      <alignment horizontal="center" vertical="center" shrinkToFit="1"/>
    </xf>
    <xf numFmtId="181" fontId="6" fillId="0" borderId="82" xfId="0" quotePrefix="1" applyNumberFormat="1" applyFont="1" applyBorder="1" applyAlignment="1">
      <alignment horizontal="center" vertical="center" shrinkToFit="1"/>
    </xf>
    <xf numFmtId="178" fontId="6" fillId="0" borderId="63" xfId="0" applyNumberFormat="1" applyFont="1" applyBorder="1" applyAlignment="1">
      <alignment horizontal="center" vertical="center"/>
    </xf>
    <xf numFmtId="178" fontId="6" fillId="0" borderId="57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176" fontId="6" fillId="4" borderId="71" xfId="0" applyNumberFormat="1" applyFont="1" applyFill="1" applyBorder="1" applyAlignment="1">
      <alignment vertical="center"/>
    </xf>
    <xf numFmtId="176" fontId="6" fillId="4" borderId="86" xfId="0" applyNumberFormat="1" applyFont="1" applyFill="1" applyBorder="1" applyAlignment="1">
      <alignment vertical="center"/>
    </xf>
    <xf numFmtId="177" fontId="6" fillId="0" borderId="0" xfId="0" applyNumberFormat="1" applyFont="1"/>
    <xf numFmtId="179" fontId="6" fillId="4" borderId="23" xfId="0" applyNumberFormat="1" applyFont="1" applyFill="1" applyBorder="1" applyAlignment="1">
      <alignment vertical="center"/>
    </xf>
    <xf numFmtId="176" fontId="6" fillId="4" borderId="52" xfId="0" applyNumberFormat="1" applyFont="1" applyFill="1" applyBorder="1" applyAlignment="1">
      <alignment vertical="center"/>
    </xf>
    <xf numFmtId="176" fontId="6" fillId="4" borderId="26" xfId="0" applyNumberFormat="1" applyFont="1" applyFill="1" applyBorder="1" applyAlignment="1">
      <alignment vertical="center"/>
    </xf>
    <xf numFmtId="176" fontId="6" fillId="4" borderId="72" xfId="0" applyNumberFormat="1" applyFont="1" applyFill="1" applyBorder="1" applyAlignment="1">
      <alignment vertical="center"/>
    </xf>
    <xf numFmtId="180" fontId="4" fillId="0" borderId="0" xfId="1" applyNumberFormat="1" applyFont="1" applyBorder="1" applyAlignment="1"/>
    <xf numFmtId="180" fontId="7" fillId="0" borderId="0" xfId="1" applyNumberFormat="1" applyFont="1" applyBorder="1" applyAlignment="1"/>
    <xf numFmtId="189" fontId="37" fillId="0" borderId="1" xfId="0" applyNumberFormat="1" applyFont="1" applyBorder="1" applyAlignment="1">
      <alignment horizontal="right" vertical="center"/>
    </xf>
    <xf numFmtId="189" fontId="37" fillId="13" borderId="1" xfId="0" applyNumberFormat="1" applyFont="1" applyFill="1" applyBorder="1" applyAlignment="1">
      <alignment horizontal="right" vertical="center"/>
    </xf>
    <xf numFmtId="9" fontId="5" fillId="0" borderId="1" xfId="2" applyFont="1" applyFill="1" applyBorder="1" applyAlignment="1">
      <alignment horizontal="right" vertical="center"/>
    </xf>
    <xf numFmtId="9" fontId="5" fillId="13" borderId="1" xfId="2" applyFont="1" applyFill="1" applyBorder="1" applyAlignment="1">
      <alignment horizontal="right" vertical="center"/>
    </xf>
    <xf numFmtId="10" fontId="5" fillId="0" borderId="1" xfId="2" applyNumberFormat="1" applyFont="1" applyFill="1" applyBorder="1" applyAlignment="1">
      <alignment horizontal="right" vertical="center"/>
    </xf>
    <xf numFmtId="9" fontId="5" fillId="0" borderId="28" xfId="2" applyFont="1" applyFill="1" applyBorder="1" applyAlignment="1">
      <alignment horizontal="right" vertical="center"/>
    </xf>
    <xf numFmtId="9" fontId="5" fillId="0" borderId="13" xfId="2" applyFont="1" applyFill="1" applyBorder="1" applyAlignment="1">
      <alignment horizontal="right" vertical="center"/>
    </xf>
    <xf numFmtId="9" fontId="5" fillId="0" borderId="0" xfId="2" applyFont="1" applyFill="1" applyAlignment="1">
      <alignment horizontal="right" vertical="center"/>
    </xf>
    <xf numFmtId="40" fontId="4" fillId="0" borderId="0" xfId="0" applyNumberFormat="1" applyFont="1" applyAlignment="1">
      <alignment vertical="center"/>
    </xf>
    <xf numFmtId="40" fontId="4" fillId="0" borderId="145" xfId="0" applyNumberFormat="1" applyFont="1" applyBorder="1" applyAlignment="1">
      <alignment horizontal="center" vertical="center"/>
    </xf>
    <xf numFmtId="40" fontId="4" fillId="0" borderId="145" xfId="0" applyNumberFormat="1" applyFont="1" applyBorder="1" applyAlignment="1">
      <alignment vertical="center"/>
    </xf>
    <xf numFmtId="40" fontId="7" fillId="0" borderId="145" xfId="0" applyNumberFormat="1" applyFont="1" applyBorder="1" applyAlignment="1">
      <alignment vertical="center"/>
    </xf>
    <xf numFmtId="40" fontId="7" fillId="0" borderId="0" xfId="0" applyNumberFormat="1" applyFont="1" applyAlignment="1">
      <alignment vertical="center"/>
    </xf>
    <xf numFmtId="176" fontId="6" fillId="5" borderId="18" xfId="0" applyNumberFormat="1" applyFont="1" applyFill="1" applyBorder="1" applyAlignment="1">
      <alignment horizontal="right" vertical="center"/>
    </xf>
    <xf numFmtId="176" fontId="6" fillId="4" borderId="107" xfId="0" applyNumberFormat="1" applyFont="1" applyFill="1" applyBorder="1" applyAlignment="1">
      <alignment horizontal="center" vertical="center"/>
    </xf>
    <xf numFmtId="176" fontId="6" fillId="0" borderId="116" xfId="0" applyNumberFormat="1" applyFont="1" applyBorder="1" applyAlignment="1">
      <alignment vertical="center" shrinkToFit="1"/>
    </xf>
    <xf numFmtId="176" fontId="6" fillId="4" borderId="0" xfId="0" applyNumberFormat="1" applyFont="1" applyFill="1" applyAlignment="1">
      <alignment horizontal="center" vertical="center"/>
    </xf>
    <xf numFmtId="176" fontId="6" fillId="4" borderId="84" xfId="0" applyNumberFormat="1" applyFont="1" applyFill="1" applyBorder="1" applyAlignment="1">
      <alignment horizontal="right" vertical="center"/>
    </xf>
    <xf numFmtId="176" fontId="6" fillId="4" borderId="106" xfId="0" applyNumberFormat="1" applyFont="1" applyFill="1" applyBorder="1" applyAlignment="1">
      <alignment horizontal="center" vertical="center" shrinkToFit="1"/>
    </xf>
    <xf numFmtId="38" fontId="6" fillId="4" borderId="89" xfId="0" applyNumberFormat="1" applyFont="1" applyFill="1" applyBorder="1" applyAlignment="1">
      <alignment horizontal="right" vertical="center" shrinkToFit="1"/>
    </xf>
    <xf numFmtId="38" fontId="6" fillId="4" borderId="51" xfId="0" applyNumberFormat="1" applyFont="1" applyFill="1" applyBorder="1" applyAlignment="1">
      <alignment horizontal="right" vertical="center" shrinkToFit="1"/>
    </xf>
    <xf numFmtId="176" fontId="6" fillId="5" borderId="43" xfId="0" applyNumberFormat="1" applyFont="1" applyFill="1" applyBorder="1" applyAlignment="1">
      <alignment vertical="center" shrinkToFit="1"/>
    </xf>
    <xf numFmtId="176" fontId="6" fillId="4" borderId="107" xfId="0" applyNumberFormat="1" applyFont="1" applyFill="1" applyBorder="1" applyAlignment="1">
      <alignment horizontal="center" vertical="center" shrinkToFit="1"/>
    </xf>
    <xf numFmtId="38" fontId="6" fillId="4" borderId="74" xfId="0" applyNumberFormat="1" applyFont="1" applyFill="1" applyBorder="1" applyAlignment="1">
      <alignment horizontal="right" vertical="center" shrinkToFit="1"/>
    </xf>
    <xf numFmtId="176" fontId="6" fillId="5" borderId="107" xfId="0" applyNumberFormat="1" applyFont="1" applyFill="1" applyBorder="1" applyAlignment="1">
      <alignment vertical="center" shrinkToFit="1"/>
    </xf>
    <xf numFmtId="176" fontId="6" fillId="4" borderId="53" xfId="0" applyNumberFormat="1" applyFont="1" applyFill="1" applyBorder="1" applyAlignment="1">
      <alignment horizontal="center" vertical="center" shrinkToFit="1"/>
    </xf>
    <xf numFmtId="38" fontId="6" fillId="4" borderId="76" xfId="0" applyNumberFormat="1" applyFont="1" applyFill="1" applyBorder="1" applyAlignment="1">
      <alignment horizontal="right" vertical="center" shrinkToFit="1"/>
    </xf>
    <xf numFmtId="176" fontId="6" fillId="4" borderId="0" xfId="0" applyNumberFormat="1" applyFont="1" applyFill="1" applyAlignment="1">
      <alignment horizontal="center" vertical="center" shrinkToFit="1"/>
    </xf>
    <xf numFmtId="38" fontId="6" fillId="4" borderId="84" xfId="0" applyNumberFormat="1" applyFont="1" applyFill="1" applyBorder="1" applyAlignment="1">
      <alignment horizontal="right" vertical="center" shrinkToFit="1"/>
    </xf>
    <xf numFmtId="176" fontId="6" fillId="4" borderId="62" xfId="0" applyNumberFormat="1" applyFont="1" applyFill="1" applyBorder="1" applyAlignment="1">
      <alignment horizontal="center" vertical="center" shrinkToFit="1"/>
    </xf>
    <xf numFmtId="176" fontId="6" fillId="4" borderId="26" xfId="0" applyNumberFormat="1" applyFont="1" applyFill="1" applyBorder="1" applyAlignment="1">
      <alignment horizontal="right" vertical="center"/>
    </xf>
    <xf numFmtId="176" fontId="6" fillId="0" borderId="72" xfId="0" applyNumberFormat="1" applyFont="1" applyBorder="1" applyAlignment="1">
      <alignment horizontal="left" vertical="center" shrinkToFit="1"/>
    </xf>
    <xf numFmtId="176" fontId="6" fillId="4" borderId="108" xfId="0" applyNumberFormat="1" applyFont="1" applyFill="1" applyBorder="1" applyAlignment="1">
      <alignment horizontal="center" vertical="center" shrinkToFit="1"/>
    </xf>
    <xf numFmtId="38" fontId="6" fillId="4" borderId="110" xfId="0" applyNumberFormat="1" applyFont="1" applyFill="1" applyBorder="1" applyAlignment="1">
      <alignment horizontal="right" vertical="center" shrinkToFit="1"/>
    </xf>
    <xf numFmtId="176" fontId="6" fillId="0" borderId="108" xfId="0" applyNumberFormat="1" applyFont="1" applyBorder="1" applyAlignment="1">
      <alignment horizontal="left" vertical="center" shrinkToFit="1"/>
    </xf>
    <xf numFmtId="176" fontId="6" fillId="4" borderId="61" xfId="0" applyNumberFormat="1" applyFont="1" applyFill="1" applyBorder="1" applyAlignment="1">
      <alignment horizontal="center" vertical="center" shrinkToFit="1"/>
    </xf>
    <xf numFmtId="176" fontId="6" fillId="4" borderId="37" xfId="0" applyNumberFormat="1" applyFont="1" applyFill="1" applyBorder="1" applyAlignment="1">
      <alignment horizontal="right" vertical="center"/>
    </xf>
    <xf numFmtId="176" fontId="6" fillId="4" borderId="38" xfId="0" applyNumberFormat="1" applyFont="1" applyFill="1" applyBorder="1" applyAlignment="1">
      <alignment horizontal="right" vertical="center"/>
    </xf>
    <xf numFmtId="176" fontId="6" fillId="4" borderId="61" xfId="0" applyNumberFormat="1" applyFont="1" applyFill="1" applyBorder="1" applyAlignment="1">
      <alignment horizontal="right" vertical="center"/>
    </xf>
    <xf numFmtId="176" fontId="6" fillId="0" borderId="37" xfId="0" applyNumberFormat="1" applyFont="1" applyBorder="1" applyAlignment="1">
      <alignment horizontal="right" vertical="center"/>
    </xf>
    <xf numFmtId="176" fontId="6" fillId="4" borderId="113" xfId="0" applyNumberFormat="1" applyFont="1" applyFill="1" applyBorder="1" applyAlignment="1">
      <alignment horizontal="center" vertical="center" shrinkToFit="1"/>
    </xf>
    <xf numFmtId="176" fontId="6" fillId="4" borderId="138" xfId="0" quotePrefix="1" applyNumberFormat="1" applyFont="1" applyFill="1" applyBorder="1" applyAlignment="1">
      <alignment horizontal="right" vertical="center" shrinkToFit="1"/>
    </xf>
    <xf numFmtId="176" fontId="6" fillId="4" borderId="39" xfId="0" applyNumberFormat="1" applyFont="1" applyFill="1" applyBorder="1" applyAlignment="1">
      <alignment horizontal="right" vertical="center"/>
    </xf>
    <xf numFmtId="176" fontId="6" fillId="4" borderId="35" xfId="0" applyNumberFormat="1" applyFont="1" applyFill="1" applyBorder="1" applyAlignment="1">
      <alignment horizontal="right" vertical="center"/>
    </xf>
    <xf numFmtId="176" fontId="6" fillId="4" borderId="62" xfId="0" applyNumberFormat="1" applyFont="1" applyFill="1" applyBorder="1" applyAlignment="1">
      <alignment horizontal="right" vertical="center"/>
    </xf>
    <xf numFmtId="176" fontId="6" fillId="0" borderId="39" xfId="0" applyNumberFormat="1" applyFont="1" applyBorder="1" applyAlignment="1">
      <alignment horizontal="right" vertical="center"/>
    </xf>
    <xf numFmtId="38" fontId="6" fillId="4" borderId="50" xfId="0" quotePrefix="1" applyNumberFormat="1" applyFont="1" applyFill="1" applyBorder="1" applyAlignment="1">
      <alignment horizontal="right" vertical="center" shrinkToFit="1"/>
    </xf>
    <xf numFmtId="180" fontId="6" fillId="4" borderId="37" xfId="0" applyNumberFormat="1" applyFont="1" applyFill="1" applyBorder="1" applyAlignment="1">
      <alignment horizontal="right" vertical="center"/>
    </xf>
    <xf numFmtId="38" fontId="6" fillId="4" borderId="40" xfId="0" applyNumberFormat="1" applyFont="1" applyFill="1" applyBorder="1" applyAlignment="1">
      <alignment horizontal="right" vertical="center" shrinkToFit="1"/>
    </xf>
    <xf numFmtId="38" fontId="6" fillId="4" borderId="75" xfId="0" quotePrefix="1" applyNumberFormat="1" applyFont="1" applyFill="1" applyBorder="1" applyAlignment="1">
      <alignment horizontal="right" vertical="center" shrinkToFit="1"/>
    </xf>
    <xf numFmtId="38" fontId="6" fillId="4" borderId="50" xfId="0" applyNumberFormat="1" applyFont="1" applyFill="1" applyBorder="1" applyAlignment="1">
      <alignment horizontal="right" vertical="center" shrinkToFit="1"/>
    </xf>
    <xf numFmtId="176" fontId="6" fillId="4" borderId="34" xfId="0" applyNumberFormat="1" applyFont="1" applyFill="1" applyBorder="1" applyAlignment="1">
      <alignment horizontal="right" vertical="center"/>
    </xf>
    <xf numFmtId="176" fontId="6" fillId="4" borderId="46" xfId="0" applyNumberFormat="1" applyFont="1" applyFill="1" applyBorder="1" applyAlignment="1">
      <alignment horizontal="right" vertical="center"/>
    </xf>
    <xf numFmtId="176" fontId="6" fillId="4" borderId="60" xfId="0" applyNumberFormat="1" applyFont="1" applyFill="1" applyBorder="1" applyAlignment="1">
      <alignment horizontal="right" vertical="center"/>
    </xf>
    <xf numFmtId="176" fontId="6" fillId="0" borderId="34" xfId="0" applyNumberFormat="1" applyFont="1" applyBorder="1" applyAlignment="1">
      <alignment horizontal="right" vertical="center"/>
    </xf>
    <xf numFmtId="176" fontId="6" fillId="4" borderId="60" xfId="0" applyNumberFormat="1" applyFont="1" applyFill="1" applyBorder="1" applyAlignment="1">
      <alignment horizontal="center" vertical="center"/>
    </xf>
    <xf numFmtId="38" fontId="6" fillId="4" borderId="47" xfId="0" applyNumberFormat="1" applyFont="1" applyFill="1" applyBorder="1" applyAlignment="1">
      <alignment horizontal="right" vertical="center" shrinkToFit="1"/>
    </xf>
    <xf numFmtId="176" fontId="6" fillId="4" borderId="88" xfId="0" applyNumberFormat="1" applyFont="1" applyFill="1" applyBorder="1" applyAlignment="1">
      <alignment horizontal="right" vertical="center"/>
    </xf>
    <xf numFmtId="176" fontId="6" fillId="0" borderId="78" xfId="0" applyNumberFormat="1" applyFont="1" applyBorder="1" applyAlignment="1">
      <alignment horizontal="right" vertical="center"/>
    </xf>
    <xf numFmtId="176" fontId="6" fillId="4" borderId="87" xfId="0" applyNumberFormat="1" applyFont="1" applyFill="1" applyBorder="1" applyAlignment="1">
      <alignment horizontal="right" vertical="center"/>
    </xf>
    <xf numFmtId="38" fontId="6" fillId="4" borderId="45" xfId="0" applyNumberFormat="1" applyFont="1" applyFill="1" applyBorder="1" applyAlignment="1">
      <alignment horizontal="right" vertical="center" shrinkToFit="1"/>
    </xf>
    <xf numFmtId="176" fontId="6" fillId="4" borderId="123" xfId="0" applyNumberFormat="1" applyFont="1" applyFill="1" applyBorder="1" applyAlignment="1">
      <alignment horizontal="right" vertical="center"/>
    </xf>
    <xf numFmtId="176" fontId="6" fillId="4" borderId="115" xfId="0" applyNumberFormat="1" applyFont="1" applyFill="1" applyBorder="1" applyAlignment="1">
      <alignment horizontal="right" vertical="center"/>
    </xf>
    <xf numFmtId="176" fontId="6" fillId="0" borderId="36" xfId="0" applyNumberFormat="1" applyFont="1" applyBorder="1" applyAlignment="1">
      <alignment horizontal="right" vertical="center"/>
    </xf>
    <xf numFmtId="176" fontId="6" fillId="0" borderId="123" xfId="0" applyNumberFormat="1" applyFont="1" applyBorder="1" applyAlignment="1">
      <alignment horizontal="right" vertical="center"/>
    </xf>
    <xf numFmtId="38" fontId="6" fillId="4" borderId="138" xfId="0" applyNumberFormat="1" applyFont="1" applyFill="1" applyBorder="1" applyAlignment="1">
      <alignment horizontal="right" vertical="center" shrinkToFit="1"/>
    </xf>
    <xf numFmtId="38" fontId="6" fillId="4" borderId="75" xfId="0" applyNumberFormat="1" applyFont="1" applyFill="1" applyBorder="1" applyAlignment="1">
      <alignment horizontal="right" vertical="center" shrinkToFit="1"/>
    </xf>
    <xf numFmtId="176" fontId="6" fillId="0" borderId="72" xfId="0" applyNumberFormat="1" applyFont="1" applyBorder="1" applyAlignment="1">
      <alignment vertical="center" shrinkToFit="1"/>
    </xf>
    <xf numFmtId="176" fontId="6" fillId="4" borderId="60" xfId="0" applyNumberFormat="1" applyFont="1" applyFill="1" applyBorder="1" applyAlignment="1">
      <alignment horizontal="center" vertical="center" shrinkToFit="1"/>
    </xf>
    <xf numFmtId="176" fontId="6" fillId="0" borderId="25" xfId="0" applyNumberFormat="1" applyFont="1" applyBorder="1" applyAlignment="1">
      <alignment vertical="center" shrinkToFit="1"/>
    </xf>
    <xf numFmtId="176" fontId="6" fillId="4" borderId="75" xfId="0" quotePrefix="1" applyNumberFormat="1" applyFont="1" applyFill="1" applyBorder="1" applyAlignment="1">
      <alignment horizontal="right" vertical="center" shrinkToFit="1"/>
    </xf>
    <xf numFmtId="38" fontId="6" fillId="0" borderId="84" xfId="0" quotePrefix="1" applyNumberFormat="1" applyFont="1" applyBorder="1" applyAlignment="1">
      <alignment horizontal="right" vertical="center" shrinkToFit="1"/>
    </xf>
    <xf numFmtId="176" fontId="6" fillId="0" borderId="71" xfId="0" applyNumberFormat="1" applyFont="1" applyBorder="1" applyAlignment="1">
      <alignment vertical="center"/>
    </xf>
    <xf numFmtId="176" fontId="6" fillId="0" borderId="62" xfId="0" applyNumberFormat="1" applyFont="1" applyBorder="1" applyAlignment="1">
      <alignment horizontal="center" vertical="center"/>
    </xf>
    <xf numFmtId="176" fontId="6" fillId="0" borderId="62" xfId="0" applyNumberFormat="1" applyFont="1" applyBorder="1" applyAlignment="1">
      <alignment vertical="center"/>
    </xf>
    <xf numFmtId="176" fontId="6" fillId="0" borderId="61" xfId="0" applyNumberFormat="1" applyFont="1" applyBorder="1" applyAlignment="1">
      <alignment vertical="center" shrinkToFit="1"/>
    </xf>
    <xf numFmtId="176" fontId="6" fillId="0" borderId="60" xfId="0" applyNumberFormat="1" applyFont="1" applyBorder="1" applyAlignment="1">
      <alignment horizontal="center" vertical="center"/>
    </xf>
    <xf numFmtId="176" fontId="6" fillId="0" borderId="60" xfId="0" applyNumberFormat="1" applyFont="1" applyBorder="1" applyAlignment="1">
      <alignment vertical="center"/>
    </xf>
    <xf numFmtId="176" fontId="6" fillId="4" borderId="52" xfId="0" applyNumberFormat="1" applyFont="1" applyFill="1" applyBorder="1" applyAlignment="1">
      <alignment horizontal="right" vertical="center"/>
    </xf>
    <xf numFmtId="176" fontId="6" fillId="4" borderId="71" xfId="0" applyNumberFormat="1" applyFont="1" applyFill="1" applyBorder="1" applyAlignment="1">
      <alignment horizontal="right" vertical="center"/>
    </xf>
    <xf numFmtId="186" fontId="6" fillId="4" borderId="71" xfId="0" applyNumberFormat="1" applyFont="1" applyFill="1" applyBorder="1" applyAlignment="1">
      <alignment horizontal="right" vertical="center"/>
    </xf>
    <xf numFmtId="179" fontId="6" fillId="4" borderId="23" xfId="0" applyNumberFormat="1" applyFont="1" applyFill="1" applyBorder="1" applyAlignment="1">
      <alignment horizontal="right" vertical="center"/>
    </xf>
    <xf numFmtId="176" fontId="6" fillId="4" borderId="72" xfId="0" applyNumberFormat="1" applyFont="1" applyFill="1" applyBorder="1" applyAlignment="1">
      <alignment horizontal="right" vertical="center"/>
    </xf>
    <xf numFmtId="184" fontId="6" fillId="4" borderId="33" xfId="0" applyNumberFormat="1" applyFont="1" applyFill="1" applyBorder="1" applyAlignment="1">
      <alignment horizontal="right" vertical="center"/>
    </xf>
    <xf numFmtId="182" fontId="6" fillId="4" borderId="23" xfId="0" applyNumberFormat="1" applyFont="1" applyFill="1" applyBorder="1" applyAlignment="1">
      <alignment horizontal="right" vertical="center"/>
    </xf>
    <xf numFmtId="176" fontId="6" fillId="4" borderId="93" xfId="0" applyNumberFormat="1" applyFont="1" applyFill="1" applyBorder="1" applyAlignment="1">
      <alignment horizontal="right" vertical="center"/>
    </xf>
    <xf numFmtId="176" fontId="6" fillId="4" borderId="119" xfId="0" applyNumberFormat="1" applyFont="1" applyFill="1" applyBorder="1" applyAlignment="1">
      <alignment horizontal="right" vertical="center"/>
    </xf>
    <xf numFmtId="176" fontId="6" fillId="0" borderId="93" xfId="0" applyNumberFormat="1" applyFont="1" applyBorder="1" applyAlignment="1">
      <alignment horizontal="right" vertical="center"/>
    </xf>
    <xf numFmtId="0" fontId="6" fillId="0" borderId="102" xfId="0" applyFont="1" applyBorder="1" applyAlignment="1">
      <alignment horizontal="center"/>
    </xf>
    <xf numFmtId="178" fontId="6" fillId="0" borderId="91" xfId="0" applyNumberFormat="1" applyFont="1" applyBorder="1" applyAlignment="1">
      <alignment horizontal="left"/>
    </xf>
    <xf numFmtId="0" fontId="4" fillId="0" borderId="91" xfId="0" applyFont="1" applyBorder="1"/>
    <xf numFmtId="178" fontId="6" fillId="0" borderId="91" xfId="0" applyNumberFormat="1" applyFont="1" applyBorder="1" applyAlignment="1">
      <alignment horizontal="center"/>
    </xf>
    <xf numFmtId="0" fontId="6" fillId="0" borderId="146" xfId="0" applyFont="1" applyBorder="1"/>
    <xf numFmtId="0" fontId="4" fillId="0" borderId="91" xfId="0" applyFont="1" applyBorder="1" applyAlignment="1">
      <alignment horizontal="center"/>
    </xf>
    <xf numFmtId="181" fontId="19" fillId="0" borderId="0" xfId="0" quotePrefix="1" applyNumberFormat="1" applyFont="1" applyAlignment="1">
      <alignment horizontal="center" vertical="center" shrinkToFit="1"/>
    </xf>
    <xf numFmtId="181" fontId="19" fillId="0" borderId="17" xfId="0" quotePrefix="1" applyNumberFormat="1" applyFont="1" applyBorder="1" applyAlignment="1">
      <alignment horizontal="center" vertical="center"/>
    </xf>
    <xf numFmtId="181" fontId="19" fillId="0" borderId="17" xfId="0" quotePrefix="1" applyNumberFormat="1" applyFont="1" applyBorder="1" applyAlignment="1">
      <alignment horizontal="center" vertical="center" shrinkToFit="1"/>
    </xf>
    <xf numFmtId="181" fontId="19" fillId="0" borderId="49" xfId="0" quotePrefix="1" applyNumberFormat="1" applyFont="1" applyBorder="1" applyAlignment="1">
      <alignment horizontal="center" vertical="center" shrinkToFit="1"/>
    </xf>
    <xf numFmtId="181" fontId="19" fillId="0" borderId="65" xfId="0" quotePrefix="1" applyNumberFormat="1" applyFont="1" applyBorder="1" applyAlignment="1">
      <alignment horizontal="center" vertical="center" shrinkToFit="1"/>
    </xf>
    <xf numFmtId="181" fontId="19" fillId="0" borderId="116" xfId="0" quotePrefix="1" applyNumberFormat="1" applyFont="1" applyBorder="1" applyAlignment="1">
      <alignment horizontal="center" vertical="center" shrinkToFit="1"/>
    </xf>
    <xf numFmtId="181" fontId="19" fillId="0" borderId="18" xfId="0" quotePrefix="1" applyNumberFormat="1" applyFont="1" applyBorder="1" applyAlignment="1">
      <alignment horizontal="center" vertical="center" shrinkToFit="1"/>
    </xf>
    <xf numFmtId="178" fontId="19" fillId="0" borderId="59" xfId="0" applyNumberFormat="1" applyFont="1" applyBorder="1" applyAlignment="1">
      <alignment horizontal="center" vertical="center"/>
    </xf>
    <xf numFmtId="178" fontId="19" fillId="0" borderId="49" xfId="0" applyNumberFormat="1" applyFont="1" applyBorder="1" applyAlignment="1">
      <alignment horizontal="center" vertical="center"/>
    </xf>
    <xf numFmtId="178" fontId="19" fillId="0" borderId="14" xfId="0" applyNumberFormat="1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vertical="center"/>
    </xf>
    <xf numFmtId="176" fontId="6" fillId="4" borderId="40" xfId="0" applyNumberFormat="1" applyFont="1" applyFill="1" applyBorder="1" applyAlignment="1">
      <alignment horizontal="center" vertical="center" wrapText="1"/>
    </xf>
    <xf numFmtId="191" fontId="4" fillId="6" borderId="1" xfId="0" applyNumberFormat="1" applyFont="1" applyFill="1" applyBorder="1" applyAlignment="1">
      <alignment vertical="center"/>
    </xf>
    <xf numFmtId="184" fontId="4" fillId="0" borderId="65" xfId="0" applyNumberFormat="1" applyFont="1" applyBorder="1" applyAlignment="1">
      <alignment vertical="center"/>
    </xf>
    <xf numFmtId="184" fontId="4" fillId="0" borderId="42" xfId="0" applyNumberFormat="1" applyFont="1" applyBorder="1" applyAlignment="1">
      <alignment vertical="center"/>
    </xf>
    <xf numFmtId="184" fontId="4" fillId="0" borderId="66" xfId="0" applyNumberFormat="1" applyFont="1" applyBorder="1" applyAlignment="1">
      <alignment vertical="center"/>
    </xf>
    <xf numFmtId="176" fontId="8" fillId="4" borderId="22" xfId="0" applyNumberFormat="1" applyFont="1" applyFill="1" applyBorder="1" applyAlignment="1">
      <alignment horizontal="right" vertical="center"/>
    </xf>
    <xf numFmtId="192" fontId="4" fillId="6" borderId="1" xfId="0" applyNumberFormat="1" applyFont="1" applyFill="1" applyBorder="1" applyAlignment="1">
      <alignment vertical="center"/>
    </xf>
    <xf numFmtId="193" fontId="4" fillId="4" borderId="1" xfId="0" applyNumberFormat="1" applyFont="1" applyFill="1" applyBorder="1" applyAlignment="1">
      <alignment vertical="center"/>
    </xf>
    <xf numFmtId="185" fontId="4" fillId="0" borderId="21" xfId="0" applyNumberFormat="1" applyFont="1" applyBorder="1" applyAlignment="1">
      <alignment vertical="center"/>
    </xf>
    <xf numFmtId="193" fontId="8" fillId="4" borderId="71" xfId="0" applyNumberFormat="1" applyFont="1" applyFill="1" applyBorder="1" applyAlignment="1">
      <alignment horizontal="right" vertical="center"/>
    </xf>
    <xf numFmtId="185" fontId="8" fillId="4" borderId="71" xfId="0" applyNumberFormat="1" applyFont="1" applyFill="1" applyBorder="1" applyAlignment="1">
      <alignment horizontal="right" vertical="center"/>
    </xf>
    <xf numFmtId="191" fontId="8" fillId="4" borderId="23" xfId="0" applyNumberFormat="1" applyFont="1" applyFill="1" applyBorder="1" applyAlignment="1">
      <alignment vertical="center"/>
    </xf>
    <xf numFmtId="176" fontId="6" fillId="0" borderId="9" xfId="0" applyNumberFormat="1" applyFont="1" applyBorder="1" applyAlignment="1">
      <alignment horizontal="left"/>
    </xf>
    <xf numFmtId="176" fontId="6" fillId="0" borderId="9" xfId="0" applyNumberFormat="1" applyFont="1" applyBorder="1" applyAlignment="1">
      <alignment vertical="center"/>
    </xf>
    <xf numFmtId="185" fontId="8" fillId="4" borderId="71" xfId="0" applyNumberFormat="1" applyFont="1" applyFill="1" applyBorder="1" applyAlignment="1">
      <alignment vertical="center"/>
    </xf>
    <xf numFmtId="179" fontId="6" fillId="0" borderId="1" xfId="0" quotePrefix="1" applyNumberFormat="1" applyFont="1" applyBorder="1" applyAlignment="1">
      <alignment vertical="center"/>
    </xf>
    <xf numFmtId="176" fontId="6" fillId="0" borderId="22" xfId="0" quotePrefix="1" applyNumberFormat="1" applyFont="1" applyBorder="1" applyAlignment="1">
      <alignment vertical="center"/>
    </xf>
    <xf numFmtId="194" fontId="4" fillId="0" borderId="65" xfId="0" applyNumberFormat="1" applyFont="1" applyBorder="1" applyAlignment="1">
      <alignment vertical="center"/>
    </xf>
    <xf numFmtId="194" fontId="4" fillId="0" borderId="42" xfId="0" applyNumberFormat="1" applyFont="1" applyBorder="1" applyAlignment="1">
      <alignment vertical="center"/>
    </xf>
    <xf numFmtId="194" fontId="4" fillId="0" borderId="66" xfId="0" applyNumberFormat="1" applyFont="1" applyBorder="1" applyAlignment="1">
      <alignment vertical="center"/>
    </xf>
    <xf numFmtId="176" fontId="18" fillId="6" borderId="21" xfId="0" applyNumberFormat="1" applyFont="1" applyFill="1" applyBorder="1" applyAlignment="1">
      <alignment vertical="center" wrapText="1"/>
    </xf>
    <xf numFmtId="176" fontId="8" fillId="4" borderId="50" xfId="0" applyNumberFormat="1" applyFont="1" applyFill="1" applyBorder="1" applyAlignment="1">
      <alignment horizontal="left" vertical="center" wrapText="1"/>
    </xf>
    <xf numFmtId="176" fontId="4" fillId="0" borderId="86" xfId="0" applyNumberFormat="1" applyFont="1" applyBorder="1" applyAlignment="1">
      <alignment horizontal="right" vertical="center"/>
    </xf>
    <xf numFmtId="38" fontId="6" fillId="4" borderId="126" xfId="0" applyNumberFormat="1" applyFont="1" applyFill="1" applyBorder="1" applyAlignment="1">
      <alignment horizontal="right" vertical="center" shrinkToFit="1"/>
    </xf>
    <xf numFmtId="38" fontId="6" fillId="4" borderId="127" xfId="0" applyNumberFormat="1" applyFont="1" applyFill="1" applyBorder="1" applyAlignment="1">
      <alignment horizontal="right" vertical="center" shrinkToFit="1"/>
    </xf>
    <xf numFmtId="176" fontId="6" fillId="4" borderId="147" xfId="0" applyNumberFormat="1" applyFont="1" applyFill="1" applyBorder="1" applyAlignment="1">
      <alignment horizontal="center" vertical="center" shrinkToFit="1"/>
    </xf>
    <xf numFmtId="176" fontId="6" fillId="0" borderId="50" xfId="0" quotePrefix="1" applyNumberFormat="1" applyFont="1" applyBorder="1" applyAlignment="1">
      <alignment horizontal="right" vertical="center" shrinkToFit="1"/>
    </xf>
    <xf numFmtId="176" fontId="6" fillId="0" borderId="51" xfId="0" quotePrefix="1" applyNumberFormat="1" applyFont="1" applyBorder="1" applyAlignment="1">
      <alignment horizontal="right" vertical="center" shrinkToFit="1"/>
    </xf>
    <xf numFmtId="176" fontId="38" fillId="6" borderId="106" xfId="0" applyNumberFormat="1" applyFont="1" applyFill="1" applyBorder="1" applyAlignment="1">
      <alignment vertical="center"/>
    </xf>
    <xf numFmtId="176" fontId="6" fillId="6" borderId="22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right" vertical="center"/>
    </xf>
    <xf numFmtId="176" fontId="4" fillId="4" borderId="23" xfId="0" applyNumberFormat="1" applyFont="1" applyFill="1" applyBorder="1" applyAlignment="1">
      <alignment horizontal="right" vertical="center"/>
    </xf>
    <xf numFmtId="195" fontId="4" fillId="0" borderId="21" xfId="0" applyNumberFormat="1" applyFont="1" applyBorder="1" applyAlignment="1">
      <alignment vertical="center"/>
    </xf>
    <xf numFmtId="179" fontId="4" fillId="0" borderId="0" xfId="0" applyNumberFormat="1" applyFont="1" applyAlignment="1">
      <alignment horizontal="right" vertical="center"/>
    </xf>
    <xf numFmtId="176" fontId="40" fillId="0" borderId="8" xfId="0" applyNumberFormat="1" applyFont="1" applyBorder="1" applyAlignment="1">
      <alignment vertical="center"/>
    </xf>
    <xf numFmtId="196" fontId="5" fillId="0" borderId="1" xfId="0" applyNumberFormat="1" applyFont="1" applyBorder="1" applyAlignment="1">
      <alignment vertical="center"/>
    </xf>
    <xf numFmtId="176" fontId="39" fillId="4" borderId="23" xfId="0" applyNumberFormat="1" applyFont="1" applyFill="1" applyBorder="1" applyAlignment="1">
      <alignment vertical="center"/>
    </xf>
    <xf numFmtId="185" fontId="8" fillId="4" borderId="1" xfId="0" applyNumberFormat="1" applyFont="1" applyFill="1" applyBorder="1" applyAlignment="1">
      <alignment horizontal="right" vertical="center"/>
    </xf>
    <xf numFmtId="185" fontId="4" fillId="4" borderId="23" xfId="0" applyNumberFormat="1" applyFont="1" applyFill="1" applyBorder="1" applyAlignment="1">
      <alignment vertical="center"/>
    </xf>
    <xf numFmtId="176" fontId="19" fillId="0" borderId="109" xfId="0" applyNumberFormat="1" applyFont="1" applyBorder="1" applyAlignment="1">
      <alignment horizontal="center" vertical="center"/>
    </xf>
    <xf numFmtId="176" fontId="6" fillId="4" borderId="53" xfId="0" applyNumberFormat="1" applyFont="1" applyFill="1" applyBorder="1" applyAlignment="1">
      <alignment horizontal="center" vertical="center"/>
    </xf>
    <xf numFmtId="176" fontId="6" fillId="4" borderId="41" xfId="0" applyNumberFormat="1" applyFont="1" applyFill="1" applyBorder="1" applyAlignment="1">
      <alignment horizontal="right" vertical="center"/>
    </xf>
    <xf numFmtId="176" fontId="41" fillId="6" borderId="43" xfId="0" applyNumberFormat="1" applyFont="1" applyFill="1" applyBorder="1" applyAlignment="1">
      <alignment vertical="center"/>
    </xf>
    <xf numFmtId="176" fontId="38" fillId="6" borderId="1" xfId="0" applyNumberFormat="1" applyFont="1" applyFill="1" applyBorder="1" applyAlignment="1">
      <alignment vertical="center"/>
    </xf>
    <xf numFmtId="38" fontId="38" fillId="0" borderId="148" xfId="0" applyNumberFormat="1" applyFont="1" applyBorder="1" applyAlignment="1">
      <alignment vertical="center"/>
    </xf>
    <xf numFmtId="38" fontId="38" fillId="0" borderId="149" xfId="0" applyNumberFormat="1" applyFont="1" applyBorder="1" applyAlignment="1">
      <alignment vertical="center"/>
    </xf>
    <xf numFmtId="38" fontId="38" fillId="0" borderId="150" xfId="0" applyNumberFormat="1" applyFont="1" applyBorder="1" applyAlignment="1">
      <alignment vertical="center"/>
    </xf>
    <xf numFmtId="176" fontId="6" fillId="0" borderId="53" xfId="0" applyNumberFormat="1" applyFont="1" applyBorder="1" applyAlignment="1">
      <alignment horizontal="center" vertical="center" shrinkToFit="1"/>
    </xf>
    <xf numFmtId="176" fontId="6" fillId="0" borderId="86" xfId="0" applyNumberFormat="1" applyFont="1" applyBorder="1" applyAlignment="1">
      <alignment vertical="center"/>
    </xf>
    <xf numFmtId="176" fontId="6" fillId="4" borderId="78" xfId="0" applyNumberFormat="1" applyFont="1" applyFill="1" applyBorder="1" applyAlignment="1">
      <alignment vertical="center"/>
    </xf>
    <xf numFmtId="176" fontId="6" fillId="4" borderId="88" xfId="0" applyNumberFormat="1" applyFont="1" applyFill="1" applyBorder="1" applyAlignment="1">
      <alignment vertical="center"/>
    </xf>
    <xf numFmtId="176" fontId="6" fillId="0" borderId="78" xfId="0" applyNumberFormat="1" applyFont="1" applyBorder="1" applyAlignment="1">
      <alignment vertical="center"/>
    </xf>
    <xf numFmtId="176" fontId="6" fillId="5" borderId="78" xfId="0" applyNumberFormat="1" applyFont="1" applyFill="1" applyBorder="1" applyAlignment="1">
      <alignment vertical="center"/>
    </xf>
    <xf numFmtId="176" fontId="6" fillId="0" borderId="151" xfId="0" applyNumberFormat="1" applyFont="1" applyBorder="1" applyAlignment="1">
      <alignment vertical="center" shrinkToFit="1"/>
    </xf>
    <xf numFmtId="176" fontId="6" fillId="4" borderId="152" xfId="0" applyNumberFormat="1" applyFont="1" applyFill="1" applyBorder="1" applyAlignment="1">
      <alignment horizontal="center" vertical="center" wrapText="1"/>
    </xf>
    <xf numFmtId="176" fontId="6" fillId="4" borderId="153" xfId="0" applyNumberFormat="1" applyFont="1" applyFill="1" applyBorder="1" applyAlignment="1">
      <alignment vertical="center"/>
    </xf>
    <xf numFmtId="176" fontId="6" fillId="4" borderId="154" xfId="0" applyNumberFormat="1" applyFont="1" applyFill="1" applyBorder="1" applyAlignment="1">
      <alignment vertical="center"/>
    </xf>
    <xf numFmtId="38" fontId="6" fillId="0" borderId="88" xfId="0" applyNumberFormat="1" applyFont="1" applyBorder="1" applyAlignment="1">
      <alignment vertical="center"/>
    </xf>
    <xf numFmtId="38" fontId="6" fillId="0" borderId="86" xfId="0" applyNumberFormat="1" applyFont="1" applyBorder="1" applyAlignment="1">
      <alignment vertical="center"/>
    </xf>
    <xf numFmtId="38" fontId="6" fillId="0" borderId="155" xfId="0" applyNumberFormat="1" applyFont="1" applyBorder="1" applyAlignment="1">
      <alignment vertical="center"/>
    </xf>
    <xf numFmtId="0" fontId="38" fillId="0" borderId="49" xfId="0" applyFont="1" applyBorder="1"/>
    <xf numFmtId="176" fontId="6" fillId="0" borderId="0" xfId="0" applyNumberFormat="1" applyFont="1" applyAlignment="1">
      <alignment horizontal="center" vertical="center" shrinkToFit="1"/>
    </xf>
    <xf numFmtId="40" fontId="4" fillId="0" borderId="65" xfId="0" applyNumberFormat="1" applyFont="1" applyBorder="1" applyAlignment="1">
      <alignment vertical="center"/>
    </xf>
    <xf numFmtId="40" fontId="4" fillId="0" borderId="42" xfId="0" applyNumberFormat="1" applyFont="1" applyBorder="1" applyAlignment="1">
      <alignment vertical="center"/>
    </xf>
    <xf numFmtId="40" fontId="4" fillId="0" borderId="66" xfId="0" applyNumberFormat="1" applyFont="1" applyBorder="1" applyAlignment="1">
      <alignment vertical="center"/>
    </xf>
    <xf numFmtId="176" fontId="6" fillId="4" borderId="106" xfId="0" applyNumberFormat="1" applyFont="1" applyFill="1" applyBorder="1" applyAlignment="1">
      <alignment horizontal="center" vertical="center" wrapText="1" shrinkToFit="1"/>
    </xf>
    <xf numFmtId="176" fontId="6" fillId="4" borderId="107" xfId="0" applyNumberFormat="1" applyFont="1" applyFill="1" applyBorder="1" applyAlignment="1">
      <alignment horizontal="center" vertical="center" wrapText="1" shrinkToFit="1"/>
    </xf>
    <xf numFmtId="176" fontId="40" fillId="0" borderId="53" xfId="0" applyNumberFormat="1" applyFont="1" applyBorder="1" applyAlignment="1">
      <alignment vertical="center" shrinkToFit="1"/>
    </xf>
    <xf numFmtId="176" fontId="40" fillId="0" borderId="53" xfId="0" applyNumberFormat="1" applyFont="1" applyBorder="1" applyAlignment="1">
      <alignment horizontal="left" vertical="center" shrinkToFit="1"/>
    </xf>
    <xf numFmtId="176" fontId="40" fillId="5" borderId="106" xfId="0" applyNumberFormat="1" applyFont="1" applyFill="1" applyBorder="1" applyAlignment="1">
      <alignment vertical="center" shrinkToFit="1"/>
    </xf>
    <xf numFmtId="176" fontId="40" fillId="4" borderId="50" xfId="0" applyNumberFormat="1" applyFont="1" applyFill="1" applyBorder="1" applyAlignment="1">
      <alignment horizontal="center" vertical="center"/>
    </xf>
    <xf numFmtId="176" fontId="40" fillId="4" borderId="89" xfId="0" applyNumberFormat="1" applyFont="1" applyFill="1" applyBorder="1" applyAlignment="1">
      <alignment vertical="center"/>
    </xf>
    <xf numFmtId="176" fontId="40" fillId="0" borderId="106" xfId="0" applyNumberFormat="1" applyFont="1" applyBorder="1" applyAlignment="1">
      <alignment horizontal="left" vertical="center" shrinkToFit="1"/>
    </xf>
    <xf numFmtId="176" fontId="40" fillId="4" borderId="50" xfId="0" applyNumberFormat="1" applyFont="1" applyFill="1" applyBorder="1" applyAlignment="1">
      <alignment horizontal="center" vertical="center" wrapText="1"/>
    </xf>
    <xf numFmtId="176" fontId="40" fillId="4" borderId="89" xfId="0" applyNumberFormat="1" applyFont="1" applyFill="1" applyBorder="1" applyAlignment="1">
      <alignment horizontal="right" vertical="center"/>
    </xf>
    <xf numFmtId="176" fontId="40" fillId="4" borderId="136" xfId="0" applyNumberFormat="1" applyFont="1" applyFill="1" applyBorder="1" applyAlignment="1">
      <alignment horizontal="center" vertical="center" wrapText="1"/>
    </xf>
    <xf numFmtId="176" fontId="40" fillId="4" borderId="74" xfId="0" applyNumberFormat="1" applyFont="1" applyFill="1" applyBorder="1" applyAlignment="1">
      <alignment vertical="center"/>
    </xf>
    <xf numFmtId="176" fontId="40" fillId="4" borderId="45" xfId="0" applyNumberFormat="1" applyFont="1" applyFill="1" applyBorder="1" applyAlignment="1">
      <alignment horizontal="center" vertical="center" wrapText="1"/>
    </xf>
    <xf numFmtId="176" fontId="40" fillId="0" borderId="106" xfId="0" applyNumberFormat="1" applyFont="1" applyBorder="1" applyAlignment="1">
      <alignment vertical="center" shrinkToFit="1"/>
    </xf>
    <xf numFmtId="176" fontId="40" fillId="4" borderId="40" xfId="0" applyNumberFormat="1" applyFont="1" applyFill="1" applyBorder="1" applyAlignment="1">
      <alignment horizontal="center" vertical="center"/>
    </xf>
    <xf numFmtId="176" fontId="40" fillId="4" borderId="76" xfId="0" applyNumberFormat="1" applyFont="1" applyFill="1" applyBorder="1" applyAlignment="1">
      <alignment vertical="center"/>
    </xf>
    <xf numFmtId="176" fontId="40" fillId="0" borderId="0" xfId="0" applyNumberFormat="1" applyFont="1" applyAlignment="1">
      <alignment vertical="center" shrinkToFit="1"/>
    </xf>
    <xf numFmtId="176" fontId="40" fillId="0" borderId="43" xfId="0" applyNumberFormat="1" applyFont="1" applyBorder="1" applyAlignment="1">
      <alignment vertical="center" shrinkToFit="1"/>
    </xf>
    <xf numFmtId="176" fontId="40" fillId="4" borderId="136" xfId="0" applyNumberFormat="1" applyFont="1" applyFill="1" applyBorder="1" applyAlignment="1">
      <alignment horizontal="center" vertical="center"/>
    </xf>
    <xf numFmtId="176" fontId="40" fillId="4" borderId="32" xfId="0" applyNumberFormat="1" applyFont="1" applyFill="1" applyBorder="1" applyAlignment="1">
      <alignment horizontal="right" vertical="center"/>
    </xf>
    <xf numFmtId="176" fontId="40" fillId="0" borderId="107" xfId="0" applyNumberFormat="1" applyFont="1" applyBorder="1" applyAlignment="1">
      <alignment vertical="center" shrinkToFit="1"/>
    </xf>
    <xf numFmtId="176" fontId="40" fillId="4" borderId="74" xfId="0" applyNumberFormat="1" applyFont="1" applyFill="1" applyBorder="1" applyAlignment="1">
      <alignment horizontal="right" vertical="center"/>
    </xf>
    <xf numFmtId="176" fontId="40" fillId="4" borderId="45" xfId="0" applyNumberFormat="1" applyFont="1" applyFill="1" applyBorder="1" applyAlignment="1">
      <alignment horizontal="center" vertical="center"/>
    </xf>
    <xf numFmtId="176" fontId="40" fillId="4" borderId="107" xfId="0" applyNumberFormat="1" applyFont="1" applyFill="1" applyBorder="1" applyAlignment="1">
      <alignment horizontal="center" vertical="center" wrapText="1"/>
    </xf>
    <xf numFmtId="176" fontId="38" fillId="0" borderId="22" xfId="0" applyNumberFormat="1" applyFont="1" applyBorder="1" applyAlignment="1">
      <alignment vertical="center"/>
    </xf>
    <xf numFmtId="176" fontId="6" fillId="6" borderId="21" xfId="0" applyNumberFormat="1" applyFont="1" applyFill="1" applyBorder="1" applyAlignment="1">
      <alignment vertical="center" wrapText="1"/>
    </xf>
    <xf numFmtId="49" fontId="40" fillId="4" borderId="45" xfId="0" applyNumberFormat="1" applyFont="1" applyFill="1" applyBorder="1" applyAlignment="1">
      <alignment horizontal="center" vertical="center" wrapText="1"/>
    </xf>
    <xf numFmtId="176" fontId="40" fillId="0" borderId="52" xfId="0" applyNumberFormat="1" applyFont="1" applyBorder="1" applyAlignment="1">
      <alignment horizontal="left" vertical="center" shrinkToFit="1"/>
    </xf>
    <xf numFmtId="176" fontId="40" fillId="0" borderId="39" xfId="0" applyNumberFormat="1" applyFont="1" applyBorder="1" applyAlignment="1">
      <alignment vertical="center" shrinkToFit="1"/>
    </xf>
    <xf numFmtId="176" fontId="4" fillId="4" borderId="50" xfId="0" applyNumberFormat="1" applyFont="1" applyFill="1" applyBorder="1" applyAlignment="1">
      <alignment horizontal="left" vertical="center" wrapText="1"/>
    </xf>
    <xf numFmtId="176" fontId="4" fillId="4" borderId="89" xfId="0" applyNumberFormat="1" applyFont="1" applyFill="1" applyBorder="1" applyAlignment="1">
      <alignment horizontal="right" vertical="center"/>
    </xf>
    <xf numFmtId="178" fontId="6" fillId="0" borderId="0" xfId="0" applyNumberFormat="1" applyFont="1" applyBorder="1" applyAlignment="1">
      <alignment horizontal="left"/>
    </xf>
    <xf numFmtId="178" fontId="19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4" fillId="0" borderId="0" xfId="0" applyFont="1" applyBorder="1"/>
    <xf numFmtId="38" fontId="6" fillId="15" borderId="74" xfId="0" applyNumberFormat="1" applyFont="1" applyFill="1" applyBorder="1" applyAlignment="1">
      <alignment horizontal="right" vertical="center" shrinkToFit="1"/>
    </xf>
    <xf numFmtId="38" fontId="6" fillId="15" borderId="76" xfId="0" applyNumberFormat="1" applyFont="1" applyFill="1" applyBorder="1" applyAlignment="1">
      <alignment horizontal="right" vertical="center" shrinkToFit="1"/>
    </xf>
    <xf numFmtId="38" fontId="6" fillId="15" borderId="89" xfId="0" applyNumberFormat="1" applyFont="1" applyFill="1" applyBorder="1" applyAlignment="1">
      <alignment horizontal="right" vertical="center" shrinkToFit="1"/>
    </xf>
    <xf numFmtId="176" fontId="14" fillId="0" borderId="71" xfId="0" quotePrefix="1" applyNumberFormat="1" applyFont="1" applyBorder="1" applyAlignment="1">
      <alignment horizontal="center" vertical="center" shrinkToFit="1"/>
    </xf>
    <xf numFmtId="176" fontId="14" fillId="0" borderId="106" xfId="0" quotePrefix="1" applyNumberFormat="1" applyFont="1" applyBorder="1" applyAlignment="1">
      <alignment horizontal="center" vertical="center" shrinkToFit="1"/>
    </xf>
    <xf numFmtId="190" fontId="19" fillId="0" borderId="106" xfId="0" applyNumberFormat="1" applyFont="1" applyBorder="1" applyAlignment="1">
      <alignment horizontal="center" vertical="center"/>
    </xf>
    <xf numFmtId="190" fontId="19" fillId="0" borderId="62" xfId="0" applyNumberFormat="1" applyFont="1" applyBorder="1" applyAlignment="1">
      <alignment horizontal="center" vertical="center"/>
    </xf>
    <xf numFmtId="190" fontId="19" fillId="0" borderId="22" xfId="0" applyNumberFormat="1" applyFont="1" applyBorder="1" applyAlignment="1">
      <alignment horizontal="center" vertical="center"/>
    </xf>
    <xf numFmtId="181" fontId="19" fillId="0" borderId="111" xfId="0" quotePrefix="1" applyNumberFormat="1" applyFont="1" applyBorder="1" applyAlignment="1">
      <alignment horizontal="center" vertical="center"/>
    </xf>
    <xf numFmtId="181" fontId="19" fillId="0" borderId="107" xfId="0" quotePrefix="1" applyNumberFormat="1" applyFont="1" applyBorder="1" applyAlignment="1">
      <alignment horizontal="center" vertical="center"/>
    </xf>
    <xf numFmtId="181" fontId="19" fillId="0" borderId="134" xfId="0" quotePrefix="1" applyNumberFormat="1" applyFont="1" applyBorder="1" applyAlignment="1">
      <alignment horizontal="center" vertical="center"/>
    </xf>
    <xf numFmtId="176" fontId="19" fillId="0" borderId="102" xfId="0" applyNumberFormat="1" applyFont="1" applyBorder="1" applyAlignment="1">
      <alignment horizontal="center" vertical="center"/>
    </xf>
    <xf numFmtId="176" fontId="19" fillId="0" borderId="8" xfId="0" applyNumberFormat="1" applyFont="1" applyBorder="1" applyAlignment="1">
      <alignment horizontal="center" vertical="center"/>
    </xf>
    <xf numFmtId="176" fontId="6" fillId="6" borderId="81" xfId="0" applyNumberFormat="1" applyFont="1" applyFill="1" applyBorder="1" applyAlignment="1">
      <alignment horizontal="center" vertical="center" wrapText="1"/>
    </xf>
    <xf numFmtId="176" fontId="6" fillId="6" borderId="57" xfId="0" applyNumberFormat="1" applyFont="1" applyFill="1" applyBorder="1" applyAlignment="1">
      <alignment horizontal="center" vertical="center"/>
    </xf>
    <xf numFmtId="176" fontId="19" fillId="0" borderId="81" xfId="0" applyNumberFormat="1" applyFont="1" applyBorder="1" applyAlignment="1">
      <alignment horizontal="center" vertical="center" wrapText="1"/>
    </xf>
    <xf numFmtId="176" fontId="19" fillId="0" borderId="49" xfId="0" applyNumberFormat="1" applyFont="1" applyBorder="1" applyAlignment="1">
      <alignment horizontal="center" vertical="center" wrapText="1"/>
    </xf>
    <xf numFmtId="188" fontId="19" fillId="0" borderId="104" xfId="0" quotePrefix="1" applyNumberFormat="1" applyFont="1" applyBorder="1" applyAlignment="1">
      <alignment horizontal="center" vertical="center" wrapText="1"/>
    </xf>
    <xf numFmtId="188" fontId="19" fillId="0" borderId="18" xfId="0" quotePrefix="1" applyNumberFormat="1" applyFont="1" applyBorder="1" applyAlignment="1">
      <alignment horizontal="center" vertical="center" wrapText="1"/>
    </xf>
    <xf numFmtId="181" fontId="19" fillId="0" borderId="73" xfId="0" quotePrefix="1" applyNumberFormat="1" applyFont="1" applyBorder="1" applyAlignment="1">
      <alignment horizontal="center" vertical="center"/>
    </xf>
    <xf numFmtId="181" fontId="19" fillId="0" borderId="96" xfId="0" quotePrefix="1" applyNumberFormat="1" applyFont="1" applyBorder="1" applyAlignment="1">
      <alignment horizontal="center" vertical="center"/>
    </xf>
    <xf numFmtId="181" fontId="19" fillId="0" borderId="97" xfId="0" quotePrefix="1" applyNumberFormat="1" applyFont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19" fillId="0" borderId="73" xfId="0" applyNumberFormat="1" applyFont="1" applyBorder="1" applyAlignment="1">
      <alignment horizontal="center" vertical="center"/>
    </xf>
    <xf numFmtId="176" fontId="19" fillId="0" borderId="96" xfId="0" applyNumberFormat="1" applyFont="1" applyBorder="1" applyAlignment="1">
      <alignment horizontal="center" vertical="center"/>
    </xf>
    <xf numFmtId="176" fontId="19" fillId="0" borderId="97" xfId="0" applyNumberFormat="1" applyFont="1" applyBorder="1" applyAlignment="1">
      <alignment horizontal="center" vertical="center"/>
    </xf>
    <xf numFmtId="181" fontId="19" fillId="0" borderId="73" xfId="0" quotePrefix="1" applyNumberFormat="1" applyFont="1" applyBorder="1" applyAlignment="1">
      <alignment horizontal="center" vertical="center" shrinkToFit="1"/>
    </xf>
    <xf numFmtId="181" fontId="19" fillId="0" borderId="96" xfId="0" quotePrefix="1" applyNumberFormat="1" applyFont="1" applyBorder="1" applyAlignment="1">
      <alignment horizontal="center" vertical="center" shrinkToFit="1"/>
    </xf>
    <xf numFmtId="181" fontId="19" fillId="0" borderId="97" xfId="0" quotePrefix="1" applyNumberFormat="1" applyFont="1" applyBorder="1" applyAlignment="1">
      <alignment horizontal="center" vertical="center" shrinkToFit="1"/>
    </xf>
    <xf numFmtId="176" fontId="19" fillId="0" borderId="98" xfId="0" applyNumberFormat="1" applyFont="1" applyBorder="1" applyAlignment="1">
      <alignment horizontal="center" vertical="center"/>
    </xf>
    <xf numFmtId="176" fontId="19" fillId="0" borderId="67" xfId="0" applyNumberFormat="1" applyFont="1" applyBorder="1" applyAlignment="1">
      <alignment horizontal="center" vertical="center"/>
    </xf>
    <xf numFmtId="176" fontId="6" fillId="6" borderId="13" xfId="0" applyNumberFormat="1" applyFont="1" applyFill="1" applyBorder="1" applyAlignment="1">
      <alignment horizontal="center" vertical="center"/>
    </xf>
    <xf numFmtId="176" fontId="19" fillId="0" borderId="13" xfId="0" applyNumberFormat="1" applyFont="1" applyBorder="1" applyAlignment="1">
      <alignment horizontal="center" vertical="center" wrapText="1"/>
    </xf>
    <xf numFmtId="188" fontId="19" fillId="0" borderId="33" xfId="0" applyNumberFormat="1" applyFont="1" applyBorder="1" applyAlignment="1">
      <alignment horizontal="center" vertical="center" wrapText="1"/>
    </xf>
    <xf numFmtId="188" fontId="19" fillId="0" borderId="73" xfId="0" quotePrefix="1" applyNumberFormat="1" applyFont="1" applyBorder="1" applyAlignment="1">
      <alignment horizontal="center" vertical="center"/>
    </xf>
    <xf numFmtId="188" fontId="19" fillId="0" borderId="97" xfId="0" quotePrefix="1" applyNumberFormat="1" applyFont="1" applyBorder="1" applyAlignment="1">
      <alignment horizontal="center" vertical="center"/>
    </xf>
    <xf numFmtId="188" fontId="19" fillId="0" borderId="96" xfId="0" quotePrefix="1" applyNumberFormat="1" applyFont="1" applyBorder="1" applyAlignment="1">
      <alignment horizontal="center" vertical="center"/>
    </xf>
    <xf numFmtId="176" fontId="19" fillId="0" borderId="73" xfId="0" quotePrefix="1" applyNumberFormat="1" applyFont="1" applyBorder="1" applyAlignment="1">
      <alignment horizontal="center" vertical="center"/>
    </xf>
    <xf numFmtId="176" fontId="19" fillId="0" borderId="96" xfId="0" quotePrefix="1" applyNumberFormat="1" applyFont="1" applyBorder="1" applyAlignment="1">
      <alignment horizontal="center" vertical="center"/>
    </xf>
    <xf numFmtId="176" fontId="19" fillId="0" borderId="97" xfId="0" quotePrefix="1" applyNumberFormat="1" applyFont="1" applyBorder="1" applyAlignment="1">
      <alignment horizontal="center" vertical="center"/>
    </xf>
    <xf numFmtId="176" fontId="6" fillId="6" borderId="42" xfId="0" applyNumberFormat="1" applyFont="1" applyFill="1" applyBorder="1" applyAlignment="1">
      <alignment horizontal="left" vertical="center" wrapText="1"/>
    </xf>
    <xf numFmtId="176" fontId="6" fillId="6" borderId="13" xfId="0" applyNumberFormat="1" applyFont="1" applyFill="1" applyBorder="1" applyAlignment="1">
      <alignment horizontal="left" vertical="center" wrapText="1"/>
    </xf>
    <xf numFmtId="176" fontId="6" fillId="6" borderId="112" xfId="0" applyNumberFormat="1" applyFont="1" applyFill="1" applyBorder="1" applyAlignment="1">
      <alignment horizontal="left" vertical="top" wrapText="1"/>
    </xf>
    <xf numFmtId="176" fontId="6" fillId="6" borderId="49" xfId="0" applyNumberFormat="1" applyFont="1" applyFill="1" applyBorder="1" applyAlignment="1">
      <alignment horizontal="left" vertical="top" wrapText="1"/>
    </xf>
    <xf numFmtId="176" fontId="6" fillId="6" borderId="13" xfId="0" applyNumberFormat="1" applyFont="1" applyFill="1" applyBorder="1" applyAlignment="1">
      <alignment horizontal="left" vertical="top" wrapText="1"/>
    </xf>
    <xf numFmtId="190" fontId="19" fillId="0" borderId="100" xfId="0" applyNumberFormat="1" applyFont="1" applyBorder="1" applyAlignment="1">
      <alignment horizontal="center" vertical="center"/>
    </xf>
    <xf numFmtId="190" fontId="19" fillId="0" borderId="3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19" fillId="0" borderId="103" xfId="0" applyNumberFormat="1" applyFont="1" applyBorder="1" applyAlignment="1">
      <alignment horizontal="center" vertical="center"/>
    </xf>
    <xf numFmtId="176" fontId="27" fillId="0" borderId="81" xfId="0" applyNumberFormat="1" applyFont="1" applyBorder="1" applyAlignment="1">
      <alignment horizontal="center" vertical="center" wrapText="1"/>
    </xf>
    <xf numFmtId="176" fontId="27" fillId="0" borderId="57" xfId="0" applyNumberFormat="1" applyFont="1" applyBorder="1" applyAlignment="1">
      <alignment horizontal="center" vertical="center" wrapText="1"/>
    </xf>
    <xf numFmtId="188" fontId="19" fillId="0" borderId="82" xfId="0" applyNumberFormat="1" applyFont="1" applyBorder="1" applyAlignment="1">
      <alignment horizontal="center" vertical="center" wrapText="1"/>
    </xf>
    <xf numFmtId="176" fontId="11" fillId="6" borderId="81" xfId="0" applyNumberFormat="1" applyFont="1" applyFill="1" applyBorder="1" applyAlignment="1">
      <alignment horizontal="center" vertical="center"/>
    </xf>
    <xf numFmtId="176" fontId="11" fillId="6" borderId="57" xfId="0" applyNumberFormat="1" applyFont="1" applyFill="1" applyBorder="1" applyAlignment="1">
      <alignment horizontal="center" vertical="center"/>
    </xf>
    <xf numFmtId="176" fontId="6" fillId="0" borderId="102" xfId="0" applyNumberFormat="1" applyFont="1" applyBorder="1" applyAlignment="1">
      <alignment horizontal="center" vertical="center"/>
    </xf>
    <xf numFmtId="176" fontId="6" fillId="0" borderId="103" xfId="0" applyNumberFormat="1" applyFont="1" applyBorder="1" applyAlignment="1">
      <alignment horizontal="center" vertical="center"/>
    </xf>
    <xf numFmtId="176" fontId="6" fillId="0" borderId="81" xfId="0" applyNumberFormat="1" applyFont="1" applyBorder="1" applyAlignment="1">
      <alignment horizontal="center" vertical="center" wrapText="1"/>
    </xf>
    <xf numFmtId="176" fontId="6" fillId="0" borderId="57" xfId="0" applyNumberFormat="1" applyFont="1" applyBorder="1" applyAlignment="1">
      <alignment horizontal="center" vertical="center" wrapText="1"/>
    </xf>
    <xf numFmtId="188" fontId="6" fillId="0" borderId="104" xfId="0" quotePrefix="1" applyNumberFormat="1" applyFont="1" applyBorder="1" applyAlignment="1">
      <alignment horizontal="center" vertical="center" wrapText="1"/>
    </xf>
    <xf numFmtId="188" fontId="6" fillId="0" borderId="82" xfId="0" quotePrefix="1" applyNumberFormat="1" applyFont="1" applyBorder="1" applyAlignment="1">
      <alignment horizontal="center" vertical="center" wrapText="1"/>
    </xf>
    <xf numFmtId="181" fontId="6" fillId="0" borderId="73" xfId="0" quotePrefix="1" applyNumberFormat="1" applyFont="1" applyBorder="1" applyAlignment="1">
      <alignment horizontal="center" vertical="center"/>
    </xf>
    <xf numFmtId="181" fontId="6" fillId="0" borderId="96" xfId="0" quotePrefix="1" applyNumberFormat="1" applyFont="1" applyBorder="1" applyAlignment="1">
      <alignment horizontal="center" vertical="center"/>
    </xf>
    <xf numFmtId="181" fontId="6" fillId="0" borderId="97" xfId="0" quotePrefix="1" applyNumberFormat="1" applyFont="1" applyBorder="1" applyAlignment="1">
      <alignment horizontal="center" vertical="center"/>
    </xf>
    <xf numFmtId="176" fontId="6" fillId="0" borderId="73" xfId="0" applyNumberFormat="1" applyFont="1" applyBorder="1" applyAlignment="1">
      <alignment horizontal="center" vertical="center"/>
    </xf>
    <xf numFmtId="176" fontId="6" fillId="0" borderId="96" xfId="0" applyNumberFormat="1" applyFont="1" applyBorder="1" applyAlignment="1">
      <alignment horizontal="center" vertical="center"/>
    </xf>
    <xf numFmtId="176" fontId="6" fillId="0" borderId="97" xfId="0" applyNumberFormat="1" applyFont="1" applyBorder="1" applyAlignment="1">
      <alignment horizontal="center" vertical="center"/>
    </xf>
    <xf numFmtId="176" fontId="6" fillId="0" borderId="98" xfId="0" applyNumberFormat="1" applyFont="1" applyBorder="1" applyAlignment="1">
      <alignment horizontal="center" vertical="center"/>
    </xf>
    <xf numFmtId="181" fontId="6" fillId="0" borderId="99" xfId="0" quotePrefix="1" applyNumberFormat="1" applyFont="1" applyBorder="1" applyAlignment="1">
      <alignment horizontal="center" vertical="center"/>
    </xf>
    <xf numFmtId="181" fontId="6" fillId="0" borderId="100" xfId="0" quotePrefix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76" fontId="19" fillId="0" borderId="99" xfId="0" quotePrefix="1" applyNumberFormat="1" applyFont="1" applyBorder="1" applyAlignment="1">
      <alignment horizontal="center" vertical="center" shrinkToFit="1"/>
    </xf>
    <xf numFmtId="176" fontId="19" fillId="0" borderId="100" xfId="0" quotePrefix="1" applyNumberFormat="1" applyFont="1" applyBorder="1" applyAlignment="1">
      <alignment horizontal="center" vertical="center" shrinkToFit="1"/>
    </xf>
    <xf numFmtId="181" fontId="6" fillId="0" borderId="73" xfId="0" quotePrefix="1" applyNumberFormat="1" applyFont="1" applyBorder="1" applyAlignment="1">
      <alignment horizontal="center" vertical="center" shrinkToFit="1"/>
    </xf>
    <xf numFmtId="181" fontId="6" fillId="0" borderId="96" xfId="0" quotePrefix="1" applyNumberFormat="1" applyFont="1" applyBorder="1" applyAlignment="1">
      <alignment horizontal="center" vertical="center" shrinkToFit="1"/>
    </xf>
    <xf numFmtId="181" fontId="6" fillId="0" borderId="97" xfId="0" quotePrefix="1" applyNumberFormat="1" applyFont="1" applyBorder="1" applyAlignment="1">
      <alignment horizontal="center" vertical="center" shrinkToFit="1"/>
    </xf>
    <xf numFmtId="181" fontId="6" fillId="0" borderId="101" xfId="0" quotePrefix="1" applyNumberFormat="1" applyFont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14" fillId="0" borderId="99" xfId="0" quotePrefix="1" applyNumberFormat="1" applyFont="1" applyBorder="1" applyAlignment="1">
      <alignment horizontal="center" vertical="center" shrinkToFit="1"/>
    </xf>
    <xf numFmtId="176" fontId="14" fillId="0" borderId="100" xfId="0" quotePrefix="1" applyNumberFormat="1" applyFont="1" applyBorder="1" applyAlignment="1">
      <alignment horizontal="center" vertical="center" shrinkToFit="1"/>
    </xf>
    <xf numFmtId="190" fontId="19" fillId="0" borderId="100" xfId="0" applyNumberFormat="1" applyFont="1" applyBorder="1" applyAlignment="1">
      <alignment horizontal="center" vertical="center" shrinkToFit="1"/>
    </xf>
    <xf numFmtId="188" fontId="19" fillId="0" borderId="82" xfId="0" quotePrefix="1" applyNumberFormat="1" applyFont="1" applyBorder="1" applyAlignment="1">
      <alignment horizontal="center" vertical="center" wrapText="1"/>
    </xf>
    <xf numFmtId="181" fontId="19" fillId="0" borderId="99" xfId="0" quotePrefix="1" applyNumberFormat="1" applyFont="1" applyBorder="1" applyAlignment="1">
      <alignment horizontal="center" vertical="center"/>
    </xf>
    <xf numFmtId="181" fontId="19" fillId="0" borderId="100" xfId="0" quotePrefix="1" applyNumberFormat="1" applyFont="1" applyBorder="1" applyAlignment="1">
      <alignment horizontal="center" vertical="center"/>
    </xf>
    <xf numFmtId="181" fontId="19" fillId="0" borderId="101" xfId="0" quotePrefix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4" borderId="156" xfId="0" applyNumberFormat="1" applyFont="1" applyFill="1" applyBorder="1" applyAlignment="1">
      <alignment horizontal="right" vertical="center"/>
    </xf>
  </cellXfs>
  <cellStyles count="4">
    <cellStyle name="一般" xfId="0" builtinId="0"/>
    <cellStyle name="一般 3" xfId="3"/>
    <cellStyle name="千分位" xfId="1" builtinId="3"/>
    <cellStyle name="百分比" xfId="2" builtinId="5"/>
  </cellStyles>
  <dxfs count="14"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FF"/>
      <color rgb="FFB4FFFF"/>
      <color rgb="FFFFFF99"/>
      <color rgb="FF99CCFF"/>
      <color rgb="FFCCECFF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29986;&#37559;&#26371;&#35696;\&#27511;&#24180;&#29986;&#37559;&#22739;&#32302;&#27284;\2024&#24180;&#24230;\2024.01\20240108%20&#29986;&#37559;&#35336;&#3005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線別參照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來賓使用者" id="{39D1394C-EF1C-4F11-9479-92F6DDF65BDD}" userId="S::urn:spo:tenantanon#a46d9e33-ad01-451a-aec5-2ee61979c6d0::" providerId="AD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6-08-10T01:32:11.16" personId="{39D1394C-EF1C-4F11-9479-92F6DDF65BDD}" id="{020177C3-88CA-492E-8C58-3476186FA063}">
    <text>洲際</text>
  </threadedComment>
  <threadedComment ref="V6" dT="2026-06-08T03:23:05.42" personId="{39D1394C-EF1C-4F11-9479-92F6DDF65BDD}" id="{9812F1E3-FD07-4648-B2C7-3EC43D97E7A0}">
    <text>預計從洲際拉回200噸</text>
  </threadedComment>
  <threadedComment ref="Y6" dT="2026-06-08T03:23:38.39" personId="{39D1394C-EF1C-4F11-9479-92F6DDF65BDD}" id="{AC7D0A1B-C6F3-484B-AC16-FDAAE08B946B}">
    <text>預計從洲際拉回200噸</text>
  </threadedComment>
  <threadedComment ref="AB6" dT="2026-06-08T03:23:48.69" personId="{39D1394C-EF1C-4F11-9479-92F6DDF65BDD}" id="{69AD2B85-5AE5-430B-8F92-4F45ED9D2130}">
    <text>預計從洲際拉回100噸</text>
  </threadedComment>
  <threadedComment ref="AE6" dT="2026-06-08T03:23:59.25" personId="{39D1394C-EF1C-4F11-9479-92F6DDF65BDD}" id="{BB10300A-3392-4818-A0FB-203D4296B298}">
    <text>預計從洲際拉回100噸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38.bin"/><Relationship Id="rId18" Type="http://schemas.openxmlformats.org/officeDocument/2006/relationships/printerSettings" Target="../printerSettings/printerSettings43.bin"/><Relationship Id="rId26" Type="http://schemas.openxmlformats.org/officeDocument/2006/relationships/printerSettings" Target="../printerSettings/printerSettings51.bin"/><Relationship Id="rId39" Type="http://schemas.openxmlformats.org/officeDocument/2006/relationships/printerSettings" Target="../printerSettings/printerSettings64.bin"/><Relationship Id="rId21" Type="http://schemas.openxmlformats.org/officeDocument/2006/relationships/printerSettings" Target="../printerSettings/printerSettings46.bin"/><Relationship Id="rId34" Type="http://schemas.openxmlformats.org/officeDocument/2006/relationships/printerSettings" Target="../printerSettings/printerSettings59.bin"/><Relationship Id="rId42" Type="http://schemas.openxmlformats.org/officeDocument/2006/relationships/printerSettings" Target="../printerSettings/printerSettings67.bin"/><Relationship Id="rId7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27.bin"/><Relationship Id="rId16" Type="http://schemas.openxmlformats.org/officeDocument/2006/relationships/printerSettings" Target="../printerSettings/printerSettings41.bin"/><Relationship Id="rId20" Type="http://schemas.openxmlformats.org/officeDocument/2006/relationships/printerSettings" Target="../printerSettings/printerSettings45.bin"/><Relationship Id="rId29" Type="http://schemas.openxmlformats.org/officeDocument/2006/relationships/printerSettings" Target="../printerSettings/printerSettings54.bin"/><Relationship Id="rId41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26.bin"/><Relationship Id="rId6" Type="http://schemas.openxmlformats.org/officeDocument/2006/relationships/printerSettings" Target="../printerSettings/printerSettings31.bin"/><Relationship Id="rId11" Type="http://schemas.openxmlformats.org/officeDocument/2006/relationships/printerSettings" Target="../printerSettings/printerSettings36.bin"/><Relationship Id="rId24" Type="http://schemas.openxmlformats.org/officeDocument/2006/relationships/printerSettings" Target="../printerSettings/printerSettings49.bin"/><Relationship Id="rId32" Type="http://schemas.openxmlformats.org/officeDocument/2006/relationships/printerSettings" Target="../printerSettings/printerSettings57.bin"/><Relationship Id="rId37" Type="http://schemas.openxmlformats.org/officeDocument/2006/relationships/printerSettings" Target="../printerSettings/printerSettings62.bin"/><Relationship Id="rId40" Type="http://schemas.openxmlformats.org/officeDocument/2006/relationships/printerSettings" Target="../printerSettings/printerSettings65.bin"/><Relationship Id="rId5" Type="http://schemas.openxmlformats.org/officeDocument/2006/relationships/printerSettings" Target="../printerSettings/printerSettings30.bin"/><Relationship Id="rId15" Type="http://schemas.openxmlformats.org/officeDocument/2006/relationships/printerSettings" Target="../printerSettings/printerSettings40.bin"/><Relationship Id="rId23" Type="http://schemas.openxmlformats.org/officeDocument/2006/relationships/printerSettings" Target="../printerSettings/printerSettings48.bin"/><Relationship Id="rId28" Type="http://schemas.openxmlformats.org/officeDocument/2006/relationships/printerSettings" Target="../printerSettings/printerSettings53.bin"/><Relationship Id="rId36" Type="http://schemas.openxmlformats.org/officeDocument/2006/relationships/printerSettings" Target="../printerSettings/printerSettings61.bin"/><Relationship Id="rId10" Type="http://schemas.openxmlformats.org/officeDocument/2006/relationships/printerSettings" Target="../printerSettings/printerSettings35.bin"/><Relationship Id="rId19" Type="http://schemas.openxmlformats.org/officeDocument/2006/relationships/printerSettings" Target="../printerSettings/printerSettings44.bin"/><Relationship Id="rId31" Type="http://schemas.openxmlformats.org/officeDocument/2006/relationships/printerSettings" Target="../printerSettings/printerSettings56.bin"/><Relationship Id="rId44" Type="http://schemas.openxmlformats.org/officeDocument/2006/relationships/comments" Target="../comments2.xml"/><Relationship Id="rId4" Type="http://schemas.openxmlformats.org/officeDocument/2006/relationships/printerSettings" Target="../printerSettings/printerSettings29.bin"/><Relationship Id="rId9" Type="http://schemas.openxmlformats.org/officeDocument/2006/relationships/printerSettings" Target="../printerSettings/printerSettings34.bin"/><Relationship Id="rId14" Type="http://schemas.openxmlformats.org/officeDocument/2006/relationships/printerSettings" Target="../printerSettings/printerSettings39.bin"/><Relationship Id="rId22" Type="http://schemas.openxmlformats.org/officeDocument/2006/relationships/printerSettings" Target="../printerSettings/printerSettings47.bin"/><Relationship Id="rId27" Type="http://schemas.openxmlformats.org/officeDocument/2006/relationships/printerSettings" Target="../printerSettings/printerSettings52.bin"/><Relationship Id="rId30" Type="http://schemas.openxmlformats.org/officeDocument/2006/relationships/printerSettings" Target="../printerSettings/printerSettings55.bin"/><Relationship Id="rId35" Type="http://schemas.openxmlformats.org/officeDocument/2006/relationships/printerSettings" Target="../printerSettings/printerSettings60.bin"/><Relationship Id="rId43" Type="http://schemas.openxmlformats.org/officeDocument/2006/relationships/vmlDrawing" Target="../drawings/vmlDrawing2.vml"/><Relationship Id="rId8" Type="http://schemas.openxmlformats.org/officeDocument/2006/relationships/printerSettings" Target="../printerSettings/printerSettings33.bin"/><Relationship Id="rId3" Type="http://schemas.openxmlformats.org/officeDocument/2006/relationships/printerSettings" Target="../printerSettings/printerSettings28.bin"/><Relationship Id="rId12" Type="http://schemas.openxmlformats.org/officeDocument/2006/relationships/printerSettings" Target="../printerSettings/printerSettings37.bin"/><Relationship Id="rId17" Type="http://schemas.openxmlformats.org/officeDocument/2006/relationships/printerSettings" Target="../printerSettings/printerSettings42.bin"/><Relationship Id="rId25" Type="http://schemas.openxmlformats.org/officeDocument/2006/relationships/printerSettings" Target="../printerSettings/printerSettings50.bin"/><Relationship Id="rId33" Type="http://schemas.openxmlformats.org/officeDocument/2006/relationships/printerSettings" Target="../printerSettings/printerSettings58.bin"/><Relationship Id="rId38" Type="http://schemas.openxmlformats.org/officeDocument/2006/relationships/printerSettings" Target="../printerSettings/printerSettings63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80.bin"/><Relationship Id="rId18" Type="http://schemas.openxmlformats.org/officeDocument/2006/relationships/printerSettings" Target="../printerSettings/printerSettings85.bin"/><Relationship Id="rId26" Type="http://schemas.openxmlformats.org/officeDocument/2006/relationships/printerSettings" Target="../printerSettings/printerSettings93.bin"/><Relationship Id="rId39" Type="http://schemas.openxmlformats.org/officeDocument/2006/relationships/printerSettings" Target="../printerSettings/printerSettings106.bin"/><Relationship Id="rId21" Type="http://schemas.openxmlformats.org/officeDocument/2006/relationships/printerSettings" Target="../printerSettings/printerSettings88.bin"/><Relationship Id="rId34" Type="http://schemas.openxmlformats.org/officeDocument/2006/relationships/printerSettings" Target="../printerSettings/printerSettings101.bin"/><Relationship Id="rId42" Type="http://schemas.openxmlformats.org/officeDocument/2006/relationships/printerSettings" Target="../printerSettings/printerSettings109.bin"/><Relationship Id="rId7" Type="http://schemas.openxmlformats.org/officeDocument/2006/relationships/printerSettings" Target="../printerSettings/printerSettings74.bin"/><Relationship Id="rId2" Type="http://schemas.openxmlformats.org/officeDocument/2006/relationships/printerSettings" Target="../printerSettings/printerSettings69.bin"/><Relationship Id="rId16" Type="http://schemas.openxmlformats.org/officeDocument/2006/relationships/printerSettings" Target="../printerSettings/printerSettings83.bin"/><Relationship Id="rId29" Type="http://schemas.openxmlformats.org/officeDocument/2006/relationships/printerSettings" Target="../printerSettings/printerSettings96.bin"/><Relationship Id="rId1" Type="http://schemas.openxmlformats.org/officeDocument/2006/relationships/printerSettings" Target="../printerSettings/printerSettings68.bin"/><Relationship Id="rId6" Type="http://schemas.openxmlformats.org/officeDocument/2006/relationships/printerSettings" Target="../printerSettings/printerSettings73.bin"/><Relationship Id="rId11" Type="http://schemas.openxmlformats.org/officeDocument/2006/relationships/printerSettings" Target="../printerSettings/printerSettings78.bin"/><Relationship Id="rId24" Type="http://schemas.openxmlformats.org/officeDocument/2006/relationships/printerSettings" Target="../printerSettings/printerSettings91.bin"/><Relationship Id="rId32" Type="http://schemas.openxmlformats.org/officeDocument/2006/relationships/printerSettings" Target="../printerSettings/printerSettings99.bin"/><Relationship Id="rId37" Type="http://schemas.openxmlformats.org/officeDocument/2006/relationships/printerSettings" Target="../printerSettings/printerSettings104.bin"/><Relationship Id="rId40" Type="http://schemas.openxmlformats.org/officeDocument/2006/relationships/printerSettings" Target="../printerSettings/printerSettings107.bin"/><Relationship Id="rId45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72.bin"/><Relationship Id="rId15" Type="http://schemas.openxmlformats.org/officeDocument/2006/relationships/printerSettings" Target="../printerSettings/printerSettings82.bin"/><Relationship Id="rId23" Type="http://schemas.openxmlformats.org/officeDocument/2006/relationships/printerSettings" Target="../printerSettings/printerSettings90.bin"/><Relationship Id="rId28" Type="http://schemas.openxmlformats.org/officeDocument/2006/relationships/printerSettings" Target="../printerSettings/printerSettings95.bin"/><Relationship Id="rId36" Type="http://schemas.openxmlformats.org/officeDocument/2006/relationships/printerSettings" Target="../printerSettings/printerSettings103.bin"/><Relationship Id="rId10" Type="http://schemas.openxmlformats.org/officeDocument/2006/relationships/printerSettings" Target="../printerSettings/printerSettings77.bin"/><Relationship Id="rId19" Type="http://schemas.openxmlformats.org/officeDocument/2006/relationships/printerSettings" Target="../printerSettings/printerSettings86.bin"/><Relationship Id="rId31" Type="http://schemas.openxmlformats.org/officeDocument/2006/relationships/printerSettings" Target="../printerSettings/printerSettings98.bin"/><Relationship Id="rId44" Type="http://schemas.openxmlformats.org/officeDocument/2006/relationships/comments" Target="../comments3.xml"/><Relationship Id="rId4" Type="http://schemas.openxmlformats.org/officeDocument/2006/relationships/printerSettings" Target="../printerSettings/printerSettings71.bin"/><Relationship Id="rId9" Type="http://schemas.openxmlformats.org/officeDocument/2006/relationships/printerSettings" Target="../printerSettings/printerSettings76.bin"/><Relationship Id="rId14" Type="http://schemas.openxmlformats.org/officeDocument/2006/relationships/printerSettings" Target="../printerSettings/printerSettings81.bin"/><Relationship Id="rId22" Type="http://schemas.openxmlformats.org/officeDocument/2006/relationships/printerSettings" Target="../printerSettings/printerSettings89.bin"/><Relationship Id="rId27" Type="http://schemas.openxmlformats.org/officeDocument/2006/relationships/printerSettings" Target="../printerSettings/printerSettings94.bin"/><Relationship Id="rId30" Type="http://schemas.openxmlformats.org/officeDocument/2006/relationships/printerSettings" Target="../printerSettings/printerSettings97.bin"/><Relationship Id="rId35" Type="http://schemas.openxmlformats.org/officeDocument/2006/relationships/printerSettings" Target="../printerSettings/printerSettings102.bin"/><Relationship Id="rId43" Type="http://schemas.openxmlformats.org/officeDocument/2006/relationships/vmlDrawing" Target="../drawings/vmlDrawing3.vml"/><Relationship Id="rId8" Type="http://schemas.openxmlformats.org/officeDocument/2006/relationships/printerSettings" Target="../printerSettings/printerSettings75.bin"/><Relationship Id="rId3" Type="http://schemas.openxmlformats.org/officeDocument/2006/relationships/printerSettings" Target="../printerSettings/printerSettings70.bin"/><Relationship Id="rId12" Type="http://schemas.openxmlformats.org/officeDocument/2006/relationships/printerSettings" Target="../printerSettings/printerSettings79.bin"/><Relationship Id="rId17" Type="http://schemas.openxmlformats.org/officeDocument/2006/relationships/printerSettings" Target="../printerSettings/printerSettings84.bin"/><Relationship Id="rId25" Type="http://schemas.openxmlformats.org/officeDocument/2006/relationships/printerSettings" Target="../printerSettings/printerSettings92.bin"/><Relationship Id="rId33" Type="http://schemas.openxmlformats.org/officeDocument/2006/relationships/printerSettings" Target="../printerSettings/printerSettings100.bin"/><Relationship Id="rId38" Type="http://schemas.openxmlformats.org/officeDocument/2006/relationships/printerSettings" Target="../printerSettings/printerSettings105.bin"/><Relationship Id="rId20" Type="http://schemas.openxmlformats.org/officeDocument/2006/relationships/printerSettings" Target="../printerSettings/printerSettings87.bin"/><Relationship Id="rId41" Type="http://schemas.openxmlformats.org/officeDocument/2006/relationships/printerSettings" Target="../printerSettings/printerSettings108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22.bin"/><Relationship Id="rId18" Type="http://schemas.openxmlformats.org/officeDocument/2006/relationships/printerSettings" Target="../printerSettings/printerSettings127.bin"/><Relationship Id="rId26" Type="http://schemas.openxmlformats.org/officeDocument/2006/relationships/printerSettings" Target="../printerSettings/printerSettings135.bin"/><Relationship Id="rId39" Type="http://schemas.openxmlformats.org/officeDocument/2006/relationships/printerSettings" Target="../printerSettings/printerSettings148.bin"/><Relationship Id="rId21" Type="http://schemas.openxmlformats.org/officeDocument/2006/relationships/printerSettings" Target="../printerSettings/printerSettings130.bin"/><Relationship Id="rId34" Type="http://schemas.openxmlformats.org/officeDocument/2006/relationships/printerSettings" Target="../printerSettings/printerSettings143.bin"/><Relationship Id="rId42" Type="http://schemas.openxmlformats.org/officeDocument/2006/relationships/printerSettings" Target="../printerSettings/printerSettings151.bin"/><Relationship Id="rId7" Type="http://schemas.openxmlformats.org/officeDocument/2006/relationships/printerSettings" Target="../printerSettings/printerSettings116.bin"/><Relationship Id="rId2" Type="http://schemas.openxmlformats.org/officeDocument/2006/relationships/printerSettings" Target="../printerSettings/printerSettings111.bin"/><Relationship Id="rId16" Type="http://schemas.openxmlformats.org/officeDocument/2006/relationships/printerSettings" Target="../printerSettings/printerSettings125.bin"/><Relationship Id="rId20" Type="http://schemas.openxmlformats.org/officeDocument/2006/relationships/printerSettings" Target="../printerSettings/printerSettings129.bin"/><Relationship Id="rId29" Type="http://schemas.openxmlformats.org/officeDocument/2006/relationships/printerSettings" Target="../printerSettings/printerSettings138.bin"/><Relationship Id="rId41" Type="http://schemas.openxmlformats.org/officeDocument/2006/relationships/printerSettings" Target="../printerSettings/printerSettings150.bin"/><Relationship Id="rId1" Type="http://schemas.openxmlformats.org/officeDocument/2006/relationships/printerSettings" Target="../printerSettings/printerSettings110.bin"/><Relationship Id="rId6" Type="http://schemas.openxmlformats.org/officeDocument/2006/relationships/printerSettings" Target="../printerSettings/printerSettings115.bin"/><Relationship Id="rId11" Type="http://schemas.openxmlformats.org/officeDocument/2006/relationships/printerSettings" Target="../printerSettings/printerSettings120.bin"/><Relationship Id="rId24" Type="http://schemas.openxmlformats.org/officeDocument/2006/relationships/printerSettings" Target="../printerSettings/printerSettings133.bin"/><Relationship Id="rId32" Type="http://schemas.openxmlformats.org/officeDocument/2006/relationships/printerSettings" Target="../printerSettings/printerSettings141.bin"/><Relationship Id="rId37" Type="http://schemas.openxmlformats.org/officeDocument/2006/relationships/printerSettings" Target="../printerSettings/printerSettings146.bin"/><Relationship Id="rId40" Type="http://schemas.openxmlformats.org/officeDocument/2006/relationships/printerSettings" Target="../printerSettings/printerSettings149.bin"/><Relationship Id="rId5" Type="http://schemas.openxmlformats.org/officeDocument/2006/relationships/printerSettings" Target="../printerSettings/printerSettings114.bin"/><Relationship Id="rId15" Type="http://schemas.openxmlformats.org/officeDocument/2006/relationships/printerSettings" Target="../printerSettings/printerSettings124.bin"/><Relationship Id="rId23" Type="http://schemas.openxmlformats.org/officeDocument/2006/relationships/printerSettings" Target="../printerSettings/printerSettings132.bin"/><Relationship Id="rId28" Type="http://schemas.openxmlformats.org/officeDocument/2006/relationships/printerSettings" Target="../printerSettings/printerSettings137.bin"/><Relationship Id="rId36" Type="http://schemas.openxmlformats.org/officeDocument/2006/relationships/printerSettings" Target="../printerSettings/printerSettings145.bin"/><Relationship Id="rId10" Type="http://schemas.openxmlformats.org/officeDocument/2006/relationships/printerSettings" Target="../printerSettings/printerSettings119.bin"/><Relationship Id="rId19" Type="http://schemas.openxmlformats.org/officeDocument/2006/relationships/printerSettings" Target="../printerSettings/printerSettings128.bin"/><Relationship Id="rId31" Type="http://schemas.openxmlformats.org/officeDocument/2006/relationships/printerSettings" Target="../printerSettings/printerSettings140.bin"/><Relationship Id="rId44" Type="http://schemas.openxmlformats.org/officeDocument/2006/relationships/comments" Target="../comments4.xml"/><Relationship Id="rId4" Type="http://schemas.openxmlformats.org/officeDocument/2006/relationships/printerSettings" Target="../printerSettings/printerSettings113.bin"/><Relationship Id="rId9" Type="http://schemas.openxmlformats.org/officeDocument/2006/relationships/printerSettings" Target="../printerSettings/printerSettings118.bin"/><Relationship Id="rId14" Type="http://schemas.openxmlformats.org/officeDocument/2006/relationships/printerSettings" Target="../printerSettings/printerSettings123.bin"/><Relationship Id="rId22" Type="http://schemas.openxmlformats.org/officeDocument/2006/relationships/printerSettings" Target="../printerSettings/printerSettings131.bin"/><Relationship Id="rId27" Type="http://schemas.openxmlformats.org/officeDocument/2006/relationships/printerSettings" Target="../printerSettings/printerSettings136.bin"/><Relationship Id="rId30" Type="http://schemas.openxmlformats.org/officeDocument/2006/relationships/printerSettings" Target="../printerSettings/printerSettings139.bin"/><Relationship Id="rId35" Type="http://schemas.openxmlformats.org/officeDocument/2006/relationships/printerSettings" Target="../printerSettings/printerSettings144.bin"/><Relationship Id="rId43" Type="http://schemas.openxmlformats.org/officeDocument/2006/relationships/vmlDrawing" Target="../drawings/vmlDrawing4.vml"/><Relationship Id="rId8" Type="http://schemas.openxmlformats.org/officeDocument/2006/relationships/printerSettings" Target="../printerSettings/printerSettings117.bin"/><Relationship Id="rId3" Type="http://schemas.openxmlformats.org/officeDocument/2006/relationships/printerSettings" Target="../printerSettings/printerSettings112.bin"/><Relationship Id="rId12" Type="http://schemas.openxmlformats.org/officeDocument/2006/relationships/printerSettings" Target="../printerSettings/printerSettings121.bin"/><Relationship Id="rId17" Type="http://schemas.openxmlformats.org/officeDocument/2006/relationships/printerSettings" Target="../printerSettings/printerSettings126.bin"/><Relationship Id="rId25" Type="http://schemas.openxmlformats.org/officeDocument/2006/relationships/printerSettings" Target="../printerSettings/printerSettings134.bin"/><Relationship Id="rId33" Type="http://schemas.openxmlformats.org/officeDocument/2006/relationships/printerSettings" Target="../printerSettings/printerSettings142.bin"/><Relationship Id="rId38" Type="http://schemas.openxmlformats.org/officeDocument/2006/relationships/printerSettings" Target="../printerSettings/printerSettings147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64.bin"/><Relationship Id="rId18" Type="http://schemas.openxmlformats.org/officeDocument/2006/relationships/printerSettings" Target="../printerSettings/printerSettings169.bin"/><Relationship Id="rId26" Type="http://schemas.openxmlformats.org/officeDocument/2006/relationships/printerSettings" Target="../printerSettings/printerSettings177.bin"/><Relationship Id="rId39" Type="http://schemas.openxmlformats.org/officeDocument/2006/relationships/printerSettings" Target="../printerSettings/printerSettings190.bin"/><Relationship Id="rId21" Type="http://schemas.openxmlformats.org/officeDocument/2006/relationships/printerSettings" Target="../printerSettings/printerSettings172.bin"/><Relationship Id="rId34" Type="http://schemas.openxmlformats.org/officeDocument/2006/relationships/printerSettings" Target="../printerSettings/printerSettings185.bin"/><Relationship Id="rId7" Type="http://schemas.openxmlformats.org/officeDocument/2006/relationships/printerSettings" Target="../printerSettings/printerSettings158.bin"/><Relationship Id="rId2" Type="http://schemas.openxmlformats.org/officeDocument/2006/relationships/printerSettings" Target="../printerSettings/printerSettings153.bin"/><Relationship Id="rId16" Type="http://schemas.openxmlformats.org/officeDocument/2006/relationships/printerSettings" Target="../printerSettings/printerSettings167.bin"/><Relationship Id="rId20" Type="http://schemas.openxmlformats.org/officeDocument/2006/relationships/printerSettings" Target="../printerSettings/printerSettings171.bin"/><Relationship Id="rId29" Type="http://schemas.openxmlformats.org/officeDocument/2006/relationships/printerSettings" Target="../printerSettings/printerSettings180.bin"/><Relationship Id="rId41" Type="http://schemas.openxmlformats.org/officeDocument/2006/relationships/comments" Target="../comments5.xml"/><Relationship Id="rId1" Type="http://schemas.openxmlformats.org/officeDocument/2006/relationships/printerSettings" Target="../printerSettings/printerSettings152.bin"/><Relationship Id="rId6" Type="http://schemas.openxmlformats.org/officeDocument/2006/relationships/printerSettings" Target="../printerSettings/printerSettings157.bin"/><Relationship Id="rId11" Type="http://schemas.openxmlformats.org/officeDocument/2006/relationships/printerSettings" Target="../printerSettings/printerSettings162.bin"/><Relationship Id="rId24" Type="http://schemas.openxmlformats.org/officeDocument/2006/relationships/printerSettings" Target="../printerSettings/printerSettings175.bin"/><Relationship Id="rId32" Type="http://schemas.openxmlformats.org/officeDocument/2006/relationships/printerSettings" Target="../printerSettings/printerSettings183.bin"/><Relationship Id="rId37" Type="http://schemas.openxmlformats.org/officeDocument/2006/relationships/printerSettings" Target="../printerSettings/printerSettings188.bin"/><Relationship Id="rId40" Type="http://schemas.openxmlformats.org/officeDocument/2006/relationships/vmlDrawing" Target="../drawings/vmlDrawing5.vml"/><Relationship Id="rId5" Type="http://schemas.openxmlformats.org/officeDocument/2006/relationships/printerSettings" Target="../printerSettings/printerSettings156.bin"/><Relationship Id="rId15" Type="http://schemas.openxmlformats.org/officeDocument/2006/relationships/printerSettings" Target="../printerSettings/printerSettings166.bin"/><Relationship Id="rId23" Type="http://schemas.openxmlformats.org/officeDocument/2006/relationships/printerSettings" Target="../printerSettings/printerSettings174.bin"/><Relationship Id="rId28" Type="http://schemas.openxmlformats.org/officeDocument/2006/relationships/printerSettings" Target="../printerSettings/printerSettings179.bin"/><Relationship Id="rId36" Type="http://schemas.openxmlformats.org/officeDocument/2006/relationships/printerSettings" Target="../printerSettings/printerSettings187.bin"/><Relationship Id="rId10" Type="http://schemas.openxmlformats.org/officeDocument/2006/relationships/printerSettings" Target="../printerSettings/printerSettings161.bin"/><Relationship Id="rId19" Type="http://schemas.openxmlformats.org/officeDocument/2006/relationships/printerSettings" Target="../printerSettings/printerSettings170.bin"/><Relationship Id="rId31" Type="http://schemas.openxmlformats.org/officeDocument/2006/relationships/printerSettings" Target="../printerSettings/printerSettings182.bin"/><Relationship Id="rId4" Type="http://schemas.openxmlformats.org/officeDocument/2006/relationships/printerSettings" Target="../printerSettings/printerSettings155.bin"/><Relationship Id="rId9" Type="http://schemas.openxmlformats.org/officeDocument/2006/relationships/printerSettings" Target="../printerSettings/printerSettings160.bin"/><Relationship Id="rId14" Type="http://schemas.openxmlformats.org/officeDocument/2006/relationships/printerSettings" Target="../printerSettings/printerSettings165.bin"/><Relationship Id="rId22" Type="http://schemas.openxmlformats.org/officeDocument/2006/relationships/printerSettings" Target="../printerSettings/printerSettings173.bin"/><Relationship Id="rId27" Type="http://schemas.openxmlformats.org/officeDocument/2006/relationships/printerSettings" Target="../printerSettings/printerSettings178.bin"/><Relationship Id="rId30" Type="http://schemas.openxmlformats.org/officeDocument/2006/relationships/printerSettings" Target="../printerSettings/printerSettings181.bin"/><Relationship Id="rId35" Type="http://schemas.openxmlformats.org/officeDocument/2006/relationships/printerSettings" Target="../printerSettings/printerSettings186.bin"/><Relationship Id="rId8" Type="http://schemas.openxmlformats.org/officeDocument/2006/relationships/printerSettings" Target="../printerSettings/printerSettings159.bin"/><Relationship Id="rId3" Type="http://schemas.openxmlformats.org/officeDocument/2006/relationships/printerSettings" Target="../printerSettings/printerSettings154.bin"/><Relationship Id="rId12" Type="http://schemas.openxmlformats.org/officeDocument/2006/relationships/printerSettings" Target="../printerSettings/printerSettings163.bin"/><Relationship Id="rId17" Type="http://schemas.openxmlformats.org/officeDocument/2006/relationships/printerSettings" Target="../printerSettings/printerSettings168.bin"/><Relationship Id="rId25" Type="http://schemas.openxmlformats.org/officeDocument/2006/relationships/printerSettings" Target="../printerSettings/printerSettings176.bin"/><Relationship Id="rId33" Type="http://schemas.openxmlformats.org/officeDocument/2006/relationships/printerSettings" Target="../printerSettings/printerSettings184.bin"/><Relationship Id="rId38" Type="http://schemas.openxmlformats.org/officeDocument/2006/relationships/printerSettings" Target="../printerSettings/printerSettings18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1"/>
    <pageSetUpPr autoPageBreaks="0" fitToPage="1"/>
  </sheetPr>
  <dimension ref="A1:AK306"/>
  <sheetViews>
    <sheetView showGridLines="0" showZeros="0" showOutlineSymbols="0" view="pageBreakPreview" zoomScale="75" zoomScaleNormal="75" zoomScaleSheetLayoutView="75" zoomScalePageLayoutView="72" workbookViewId="0">
      <pane xSplit="6" ySplit="5" topLeftCell="G164" activePane="bottomRight" state="frozen"/>
      <selection pane="topRight" activeCell="Z135" sqref="Z135"/>
      <selection pane="bottomLeft" activeCell="Z135" sqref="Z135"/>
      <selection pane="bottomRight" activeCell="N238" sqref="N238"/>
    </sheetView>
  </sheetViews>
  <sheetFormatPr defaultColWidth="8.875" defaultRowHeight="17.25" x14ac:dyDescent="0.3"/>
  <cols>
    <col min="1" max="1" width="28.25" style="12" customWidth="1"/>
    <col min="2" max="2" width="27.375" style="1" hidden="1" customWidth="1"/>
    <col min="3" max="3" width="8.875" style="12" customWidth="1"/>
    <col min="4" max="6" width="7.625" style="12" hidden="1" customWidth="1"/>
    <col min="7" max="7" width="8.875" style="1" customWidth="1"/>
    <col min="8" max="8" width="9.125" style="1" customWidth="1"/>
    <col min="9" max="9" width="9" style="1" customWidth="1"/>
    <col min="10" max="10" width="9.125" style="1" customWidth="1"/>
    <col min="11" max="11" width="9" style="1" customWidth="1"/>
    <col min="12" max="12" width="9.125" style="1" customWidth="1"/>
    <col min="13" max="13" width="9" style="1" customWidth="1"/>
    <col min="14" max="14" width="9.125" style="1" customWidth="1"/>
    <col min="15" max="15" width="9" style="1" customWidth="1"/>
    <col min="16" max="16" width="9" style="1" bestFit="1" customWidth="1"/>
    <col min="17" max="17" width="9" style="493" bestFit="1" customWidth="1"/>
    <col min="18" max="18" width="9.125" style="1" bestFit="1" customWidth="1"/>
    <col min="19" max="19" width="9" style="1" bestFit="1" customWidth="1"/>
    <col min="20" max="20" width="11.125" style="1" customWidth="1"/>
    <col min="21" max="21" width="9.125" style="1" bestFit="1" customWidth="1"/>
    <col min="22" max="23" width="9" style="1" bestFit="1" customWidth="1"/>
    <col min="24" max="24" width="9.125" style="1" bestFit="1" customWidth="1"/>
    <col min="25" max="26" width="9" style="1" bestFit="1" customWidth="1"/>
    <col min="27" max="31" width="9.125" style="1" bestFit="1" customWidth="1"/>
    <col min="32" max="32" width="9.125" style="493" bestFit="1" customWidth="1"/>
    <col min="33" max="33" width="8.875" style="1"/>
    <col min="34" max="34" width="9.125" style="794" bestFit="1" customWidth="1"/>
    <col min="35" max="36" width="21.5" style="794" bestFit="1" customWidth="1"/>
    <col min="37" max="16384" width="8.875" style="1"/>
  </cols>
  <sheetData>
    <row r="1" spans="1:36" ht="28.5" customHeight="1" x14ac:dyDescent="0.25">
      <c r="A1" s="1015" t="s">
        <v>0</v>
      </c>
      <c r="B1" s="1016"/>
      <c r="C1" s="1015"/>
      <c r="D1" s="1015"/>
      <c r="E1" s="1015"/>
      <c r="F1" s="1015"/>
      <c r="G1" s="1015"/>
      <c r="H1" s="1015"/>
      <c r="I1" s="1015"/>
      <c r="J1" s="1015"/>
      <c r="K1" s="1015"/>
      <c r="L1" s="1015"/>
      <c r="M1" s="1015"/>
      <c r="N1" s="1015"/>
      <c r="O1" s="1015"/>
      <c r="P1" s="1015"/>
      <c r="Q1" s="1015"/>
      <c r="R1" s="1015"/>
      <c r="S1" s="1015"/>
      <c r="T1" s="1015"/>
      <c r="U1" s="1015"/>
      <c r="V1" s="1015"/>
      <c r="W1" s="1015"/>
      <c r="X1" s="1015"/>
      <c r="Y1" s="1015"/>
      <c r="Z1" s="1015"/>
      <c r="AA1" s="1015"/>
      <c r="AB1" s="1015"/>
      <c r="AC1" s="1015"/>
      <c r="AD1" s="1015"/>
      <c r="AE1" s="1015"/>
    </row>
    <row r="2" spans="1:36" ht="28.5" customHeight="1" x14ac:dyDescent="0.25">
      <c r="A2" s="1015" t="s">
        <v>1</v>
      </c>
      <c r="B2" s="1016"/>
      <c r="C2" s="1015"/>
      <c r="D2" s="1015"/>
      <c r="E2" s="1015"/>
      <c r="F2" s="1015"/>
      <c r="G2" s="1015"/>
      <c r="H2" s="1015"/>
      <c r="I2" s="1015"/>
      <c r="J2" s="1015"/>
      <c r="K2" s="1015"/>
      <c r="L2" s="1015"/>
      <c r="M2" s="1015"/>
      <c r="N2" s="1015"/>
      <c r="O2" s="1015"/>
      <c r="P2" s="1015"/>
      <c r="Q2" s="1015"/>
      <c r="R2" s="1015"/>
      <c r="S2" s="1015"/>
      <c r="T2" s="1015"/>
      <c r="U2" s="1015"/>
      <c r="V2" s="1015"/>
      <c r="W2" s="1015"/>
      <c r="X2" s="1015"/>
      <c r="Y2" s="1015"/>
      <c r="Z2" s="1015"/>
      <c r="AA2" s="1015"/>
      <c r="AB2" s="1015"/>
      <c r="AC2" s="1015"/>
      <c r="AD2" s="1015"/>
      <c r="AE2" s="1015"/>
    </row>
    <row r="3" spans="1:36" ht="28.5" customHeight="1" thickBot="1" x14ac:dyDescent="0.3">
      <c r="A3" s="109" t="s">
        <v>2</v>
      </c>
      <c r="B3" s="3"/>
      <c r="C3" s="17"/>
      <c r="D3" s="17"/>
      <c r="E3" s="17"/>
      <c r="F3" s="17"/>
      <c r="AE3" s="19" t="str">
        <f>精餾產銷!$AE$2</f>
        <v>日期：2026/08/24</v>
      </c>
    </row>
    <row r="4" spans="1:36" ht="28.5" customHeight="1" thickTop="1" x14ac:dyDescent="0.25">
      <c r="A4" s="1004" t="s">
        <v>3</v>
      </c>
      <c r="B4" s="1006" t="s">
        <v>4</v>
      </c>
      <c r="C4" s="1008" t="str">
        <f>精餾產銷!C3</f>
        <v>儲槽
容量
(MT)</v>
      </c>
      <c r="D4" s="218" t="str">
        <f>精餾產銷!D3</f>
        <v>資材</v>
      </c>
      <c r="E4" s="494" t="str">
        <f>精餾產銷!E3</f>
        <v>製2</v>
      </c>
      <c r="F4" s="494" t="str">
        <f>精餾產銷!F3</f>
        <v>桶底</v>
      </c>
      <c r="G4" s="1010">
        <f>精餾產銷!G3</f>
        <v>46258</v>
      </c>
      <c r="H4" s="1012" t="str">
        <f>精餾產銷!H3</f>
        <v>08/24~08/31</v>
      </c>
      <c r="I4" s="1013"/>
      <c r="J4" s="1028">
        <f>精餾產銷!J3</f>
        <v>46295</v>
      </c>
      <c r="K4" s="1029"/>
      <c r="L4" s="1028">
        <f>精餾產銷!L3</f>
        <v>46326</v>
      </c>
      <c r="M4" s="1029"/>
      <c r="N4" s="1030">
        <f>精餾產銷!N3</f>
        <v>46356</v>
      </c>
      <c r="O4" s="1029"/>
      <c r="P4" s="1031" t="str">
        <f>精餾產銷!P3</f>
        <v>生產量</v>
      </c>
      <c r="Q4" s="1032"/>
      <c r="R4" s="1032"/>
      <c r="S4" s="1032"/>
      <c r="T4" s="1032"/>
      <c r="U4" s="1032"/>
      <c r="V4" s="1032"/>
      <c r="W4" s="1032"/>
      <c r="X4" s="1032"/>
      <c r="Y4" s="1032"/>
      <c r="Z4" s="1032"/>
      <c r="AA4" s="1033"/>
      <c r="AB4" s="1017" t="str">
        <f>精餾產銷!AB3</f>
        <v>庫存</v>
      </c>
      <c r="AC4" s="1018"/>
      <c r="AD4" s="1018"/>
      <c r="AE4" s="1023"/>
    </row>
    <row r="5" spans="1:36" ht="28.5" customHeight="1" x14ac:dyDescent="0.25">
      <c r="A5" s="1024"/>
      <c r="B5" s="1025"/>
      <c r="C5" s="1026"/>
      <c r="D5" s="495" t="str">
        <f>精餾產銷!D4</f>
        <v>庫存</v>
      </c>
      <c r="E5" s="496" t="str">
        <f>精餾產銷!E4</f>
        <v>庫存</v>
      </c>
      <c r="F5" s="496">
        <f>精餾產銷!F4</f>
        <v>0</v>
      </c>
      <c r="G5" s="1027"/>
      <c r="H5" s="497" t="str">
        <f>精餾產銷!H4</f>
        <v>銷售</v>
      </c>
      <c r="I5" s="498" t="str">
        <f>精餾產銷!I4</f>
        <v>耗用</v>
      </c>
      <c r="J5" s="497" t="str">
        <f>精餾產銷!J4</f>
        <v>銷售</v>
      </c>
      <c r="K5" s="499" t="str">
        <f>精餾產銷!K4</f>
        <v>耗用</v>
      </c>
      <c r="L5" s="497" t="str">
        <f>精餾產銷!L4</f>
        <v>銷售</v>
      </c>
      <c r="M5" s="499" t="str">
        <f>精餾產銷!M4</f>
        <v>耗用</v>
      </c>
      <c r="N5" s="500" t="str">
        <f>精餾產銷!N4</f>
        <v>銷售</v>
      </c>
      <c r="O5" s="501" t="str">
        <f>精餾產銷!O4</f>
        <v>耗用</v>
      </c>
      <c r="P5" s="996" t="str">
        <f>精餾產銷!P4</f>
        <v>24~31</v>
      </c>
      <c r="Q5" s="997"/>
      <c r="R5" s="502" t="str">
        <f>精餾產銷!R4</f>
        <v>數量</v>
      </c>
      <c r="S5" s="998" t="str">
        <f>精餾產銷!S4</f>
        <v>9月</v>
      </c>
      <c r="T5" s="999"/>
      <c r="U5" s="503" t="str">
        <f>精餾產銷!U4</f>
        <v>數量</v>
      </c>
      <c r="V5" s="998" t="str">
        <f>精餾產銷!V4</f>
        <v>10月</v>
      </c>
      <c r="W5" s="999"/>
      <c r="X5" s="504" t="str">
        <f>精餾產銷!X4</f>
        <v>數量</v>
      </c>
      <c r="Y5" s="1000" t="str">
        <f>精餾產銷!Y4</f>
        <v>11月</v>
      </c>
      <c r="Z5" s="999"/>
      <c r="AA5" s="930" t="str">
        <f>精餾產銷!AA4</f>
        <v>數量</v>
      </c>
      <c r="AB5" s="505" t="str">
        <f>精餾產銷!AB4</f>
        <v>8/31</v>
      </c>
      <c r="AC5" s="506">
        <f>精餾產銷!AC4</f>
        <v>46295</v>
      </c>
      <c r="AD5" s="507">
        <f>精餾產銷!AD4</f>
        <v>46326</v>
      </c>
      <c r="AE5" s="508">
        <f>精餾產銷!AE4</f>
        <v>46356</v>
      </c>
      <c r="AF5" s="509"/>
      <c r="AH5" s="795" t="s">
        <v>5</v>
      </c>
      <c r="AI5" s="795" t="s">
        <v>6</v>
      </c>
      <c r="AJ5" s="795" t="s">
        <v>7</v>
      </c>
    </row>
    <row r="6" spans="1:36" ht="24" customHeight="1" x14ac:dyDescent="0.25">
      <c r="A6" s="101" t="str">
        <f>精餾產銷!A5</f>
        <v>IPAUPS</v>
      </c>
      <c r="B6" s="348" t="str">
        <f>精餾產銷!B5</f>
        <v>TK624.TK672.E68.小包</v>
      </c>
      <c r="C6" s="354">
        <f>精餾產銷!C5</f>
        <v>455</v>
      </c>
      <c r="D6" s="347">
        <f>精餾產銷!D5</f>
        <v>100.34100000000001</v>
      </c>
      <c r="E6" s="348">
        <f>精餾產銷!E5</f>
        <v>0</v>
      </c>
      <c r="F6" s="348">
        <f>精餾產銷!F5</f>
        <v>25</v>
      </c>
      <c r="G6" s="715">
        <f>精餾產銷!G5</f>
        <v>75.341000000000008</v>
      </c>
      <c r="H6" s="528">
        <f>精餾產銷!H5</f>
        <v>0</v>
      </c>
      <c r="I6" s="529">
        <f>精餾產銷!I5</f>
        <v>0</v>
      </c>
      <c r="J6" s="528">
        <f>精餾產銷!J5</f>
        <v>0</v>
      </c>
      <c r="K6" s="799">
        <f>精餾產銷!K5</f>
        <v>0</v>
      </c>
      <c r="L6" s="528">
        <f>精餾產銷!L5</f>
        <v>0</v>
      </c>
      <c r="M6" s="799">
        <f>精餾產銷!M5</f>
        <v>0</v>
      </c>
      <c r="N6" s="528">
        <f>精餾產銷!N5</f>
        <v>0</v>
      </c>
      <c r="O6" s="799">
        <f>精餾產銷!O5</f>
        <v>0</v>
      </c>
      <c r="P6" s="672">
        <f>精餾產銷!P5</f>
        <v>0</v>
      </c>
      <c r="Q6" s="800">
        <f>精餾產銷!Q5</f>
        <v>0</v>
      </c>
      <c r="R6" s="710">
        <f>精餾產銷!R5</f>
        <v>0</v>
      </c>
      <c r="S6" s="672">
        <f>精餾產銷!S5</f>
        <v>0</v>
      </c>
      <c r="T6" s="800">
        <f>精餾產銷!T5</f>
        <v>0</v>
      </c>
      <c r="U6" s="710">
        <f>精餾產銷!U5</f>
        <v>0</v>
      </c>
      <c r="V6" s="672">
        <f>精餾產銷!V5</f>
        <v>0</v>
      </c>
      <c r="W6" s="800">
        <f>精餾產銷!W5</f>
        <v>0</v>
      </c>
      <c r="X6" s="710">
        <f>精餾產銷!X5</f>
        <v>0</v>
      </c>
      <c r="Y6" s="672">
        <f>精餾產銷!Y5</f>
        <v>0</v>
      </c>
      <c r="Z6" s="800">
        <f>精餾產銷!Z5</f>
        <v>0</v>
      </c>
      <c r="AA6" s="710">
        <f>精餾產銷!AA5</f>
        <v>0</v>
      </c>
      <c r="AB6" s="510">
        <f>精餾產銷!AB5</f>
        <v>75.341000000000008</v>
      </c>
      <c r="AC6" s="511">
        <f>精餾產銷!AC5</f>
        <v>75.341000000000008</v>
      </c>
      <c r="AD6" s="511">
        <f>精餾產銷!AD5</f>
        <v>75.341000000000008</v>
      </c>
      <c r="AE6" s="512">
        <f>精餾產銷!AE5</f>
        <v>75.341000000000008</v>
      </c>
      <c r="AF6" s="493">
        <f t="shared" ref="AF6" si="0">+IF(SUM(G6,H6:O6,R6,U6,X6,AA6)=0,0,1)</f>
        <v>1</v>
      </c>
      <c r="AH6" s="796">
        <f>精餾產銷!AH5</f>
        <v>150</v>
      </c>
      <c r="AI6" s="796">
        <f>IF(AH6=0,0,AH6/C6)</f>
        <v>0.32967032967032966</v>
      </c>
      <c r="AJ6" s="796" t="e">
        <f>IF(AH6=0,0,AH6/((H6+J6+L6+N6)/4))</f>
        <v>#DIV/0!</v>
      </c>
    </row>
    <row r="7" spans="1:36" ht="28.5" hidden="1" customHeight="1" x14ac:dyDescent="0.25">
      <c r="A7" s="101">
        <f>精餾產銷!A6</f>
        <v>0</v>
      </c>
      <c r="B7" s="348"/>
      <c r="C7" s="354">
        <f>精餾產銷!C6</f>
        <v>0</v>
      </c>
      <c r="D7" s="347"/>
      <c r="E7" s="348"/>
      <c r="F7" s="348"/>
      <c r="G7" s="715">
        <f>精餾產銷!G6</f>
        <v>0</v>
      </c>
      <c r="H7" s="528">
        <f>精餾產銷!H6</f>
        <v>0</v>
      </c>
      <c r="I7" s="529">
        <f>精餾產銷!I6</f>
        <v>0</v>
      </c>
      <c r="J7" s="528">
        <f>精餾產銷!J6</f>
        <v>0</v>
      </c>
      <c r="K7" s="529">
        <f>精餾產銷!K6</f>
        <v>0</v>
      </c>
      <c r="L7" s="528">
        <f>精餾產銷!L6</f>
        <v>0</v>
      </c>
      <c r="M7" s="529">
        <f>精餾產銷!M6</f>
        <v>0</v>
      </c>
      <c r="N7" s="528">
        <f>精餾產銷!N6</f>
        <v>0</v>
      </c>
      <c r="O7" s="529">
        <f>精餾產銷!O6</f>
        <v>0</v>
      </c>
      <c r="P7" s="801">
        <f>精餾產銷!P6</f>
        <v>0</v>
      </c>
      <c r="Q7" s="802">
        <f>精餾產銷!Q6</f>
        <v>0</v>
      </c>
      <c r="R7" s="803">
        <f>精餾產銷!R6</f>
        <v>0</v>
      </c>
      <c r="S7" s="672">
        <f>精餾產銷!S6</f>
        <v>0</v>
      </c>
      <c r="T7" s="802">
        <f>精餾產銷!T6</f>
        <v>0</v>
      </c>
      <c r="U7" s="803">
        <f>精餾產銷!U6</f>
        <v>0</v>
      </c>
      <c r="V7" s="672">
        <f>精餾產銷!V6</f>
        <v>0</v>
      </c>
      <c r="W7" s="802">
        <f>精餾產銷!W6</f>
        <v>0</v>
      </c>
      <c r="X7" s="803">
        <f>精餾產銷!X6</f>
        <v>0</v>
      </c>
      <c r="Y7" s="672">
        <f>精餾產銷!Y6</f>
        <v>0</v>
      </c>
      <c r="Z7" s="802">
        <f>精餾產銷!Z6</f>
        <v>0</v>
      </c>
      <c r="AA7" s="803">
        <f>精餾產銷!AA6</f>
        <v>0</v>
      </c>
      <c r="AB7" s="510">
        <f>精餾產銷!AB6</f>
        <v>0</v>
      </c>
      <c r="AC7" s="511">
        <f>精餾產銷!AC6</f>
        <v>0</v>
      </c>
      <c r="AD7" s="511">
        <f>精餾產銷!AD6</f>
        <v>0</v>
      </c>
      <c r="AE7" s="512">
        <f>精餾產銷!AE6</f>
        <v>0</v>
      </c>
      <c r="AF7" s="493">
        <f t="shared" ref="AF7:AF18" si="1">+IF(SUM(G7,H7:O7,R7,U7,X7,AA7)=0,0,1)</f>
        <v>0</v>
      </c>
      <c r="AH7" s="796">
        <f>精餾產銷!AH6</f>
        <v>0</v>
      </c>
      <c r="AI7" s="796">
        <f t="shared" ref="AI7:AI72" si="2">IF(AH7=0,0,AH7/C7)</f>
        <v>0</v>
      </c>
      <c r="AJ7" s="796">
        <f t="shared" ref="AJ7:AJ72" si="3">IF(AH7=0,0,AH7/((H7+J7+L7+N7)/4))</f>
        <v>0</v>
      </c>
    </row>
    <row r="8" spans="1:36" ht="24" hidden="1" customHeight="1" x14ac:dyDescent="0.25">
      <c r="A8" s="164" t="str">
        <f>精餾產銷!A7</f>
        <v>IPAUPS</v>
      </c>
      <c r="B8" s="348"/>
      <c r="C8" s="354">
        <f>精餾產銷!C7</f>
        <v>0</v>
      </c>
      <c r="D8" s="347">
        <f>精餾產銷!D7</f>
        <v>0</v>
      </c>
      <c r="E8" s="348">
        <f>精餾產銷!E7</f>
        <v>0</v>
      </c>
      <c r="F8" s="348">
        <f>精餾產銷!F7</f>
        <v>0</v>
      </c>
      <c r="G8" s="715">
        <f>精餾產銷!G7</f>
        <v>0</v>
      </c>
      <c r="H8" s="528">
        <f>精餾產銷!H7</f>
        <v>0</v>
      </c>
      <c r="I8" s="529">
        <f>精餾產銷!I7</f>
        <v>0</v>
      </c>
      <c r="J8" s="528">
        <f>精餾產銷!J7</f>
        <v>0</v>
      </c>
      <c r="K8" s="529">
        <f>精餾產銷!K7</f>
        <v>0</v>
      </c>
      <c r="L8" s="528">
        <f>精餾產銷!L7</f>
        <v>0</v>
      </c>
      <c r="M8" s="529">
        <f>精餾產銷!M7</f>
        <v>0</v>
      </c>
      <c r="N8" s="528">
        <f>精餾產銷!N7</f>
        <v>0</v>
      </c>
      <c r="O8" s="529">
        <f>精餾產銷!O7</f>
        <v>0</v>
      </c>
      <c r="P8" s="801">
        <f>精餾產銷!P7</f>
        <v>0</v>
      </c>
      <c r="Q8" s="802">
        <f>精餾產銷!Q7</f>
        <v>0</v>
      </c>
      <c r="R8" s="803">
        <f>精餾產銷!R7</f>
        <v>0</v>
      </c>
      <c r="S8" s="672">
        <f>精餾產銷!S7</f>
        <v>0</v>
      </c>
      <c r="T8" s="802">
        <f>精餾產銷!T7</f>
        <v>0</v>
      </c>
      <c r="U8" s="803">
        <f>精餾產銷!U7</f>
        <v>0</v>
      </c>
      <c r="V8" s="672">
        <f>精餾產銷!V7</f>
        <v>0</v>
      </c>
      <c r="W8" s="802">
        <f>精餾產銷!W7</f>
        <v>0</v>
      </c>
      <c r="X8" s="803">
        <f>精餾產銷!X7</f>
        <v>0</v>
      </c>
      <c r="Y8" s="672">
        <f>精餾產銷!Y7</f>
        <v>0</v>
      </c>
      <c r="Z8" s="802">
        <f>精餾產銷!Z7</f>
        <v>0</v>
      </c>
      <c r="AA8" s="803">
        <f>精餾產銷!AA7</f>
        <v>0</v>
      </c>
      <c r="AB8" s="513">
        <f>精餾產銷!AB7</f>
        <v>0</v>
      </c>
      <c r="AC8" s="514">
        <f>精餾產銷!AC7</f>
        <v>0</v>
      </c>
      <c r="AD8" s="514">
        <f>精餾產銷!AD7</f>
        <v>0</v>
      </c>
      <c r="AE8" s="515">
        <f>精餾產銷!AE7</f>
        <v>0</v>
      </c>
      <c r="AF8" s="493">
        <f t="shared" si="1"/>
        <v>0</v>
      </c>
      <c r="AH8" s="796">
        <f>精餾產銷!AH7</f>
        <v>0</v>
      </c>
      <c r="AI8" s="796">
        <f t="shared" si="2"/>
        <v>0</v>
      </c>
      <c r="AJ8" s="796">
        <f t="shared" si="3"/>
        <v>0</v>
      </c>
    </row>
    <row r="9" spans="1:36" ht="28.5" customHeight="1" x14ac:dyDescent="0.25">
      <c r="A9" s="98" t="str">
        <f>精餾產銷!A8</f>
        <v>IPAUPS(崙尾區日本料)</v>
      </c>
      <c r="B9" s="363">
        <f>精餾產銷!B8</f>
        <v>0</v>
      </c>
      <c r="C9" s="346">
        <f>精餾產銷!C8</f>
        <v>0</v>
      </c>
      <c r="D9" s="362">
        <f>精餾產銷!D8</f>
        <v>0</v>
      </c>
      <c r="E9" s="363">
        <f>精餾產銷!E8</f>
        <v>0</v>
      </c>
      <c r="F9" s="363">
        <f>精餾產銷!F8</f>
        <v>0</v>
      </c>
      <c r="G9" s="703">
        <f>精餾產銷!G8</f>
        <v>0</v>
      </c>
      <c r="H9" s="704">
        <f>精餾產銷!H8</f>
        <v>0</v>
      </c>
      <c r="I9" s="706">
        <f>精餾產銷!I8</f>
        <v>0</v>
      </c>
      <c r="J9" s="704">
        <f>精餾產銷!J8</f>
        <v>0</v>
      </c>
      <c r="K9" s="706">
        <f>精餾產銷!K8</f>
        <v>10</v>
      </c>
      <c r="L9" s="704">
        <f>精餾產銷!L8</f>
        <v>0</v>
      </c>
      <c r="M9" s="706">
        <f>精餾產銷!M8</f>
        <v>30</v>
      </c>
      <c r="N9" s="704">
        <f>精餾產銷!N8</f>
        <v>0</v>
      </c>
      <c r="O9" s="706">
        <f>精餾產銷!O8</f>
        <v>30</v>
      </c>
      <c r="P9" s="708" t="str">
        <f>精餾產銷!P8</f>
        <v>S05</v>
      </c>
      <c r="Q9" s="800" t="str">
        <f>精餾產銷!Q8</f>
        <v>26~31</v>
      </c>
      <c r="R9" s="710">
        <f>精餾產銷!R8</f>
        <v>100</v>
      </c>
      <c r="S9" s="668" t="str">
        <f>精餾產銷!S8</f>
        <v>S05</v>
      </c>
      <c r="T9" s="800" t="str">
        <f>精餾產銷!T8</f>
        <v>1~30</v>
      </c>
      <c r="U9" s="710">
        <f>精餾產銷!U8</f>
        <v>500</v>
      </c>
      <c r="V9" s="668" t="str">
        <f>精餾產銷!V8</f>
        <v>S05</v>
      </c>
      <c r="W9" s="800" t="str">
        <f>精餾產銷!W8</f>
        <v>1~31</v>
      </c>
      <c r="X9" s="710">
        <f>精餾產銷!X8</f>
        <v>500</v>
      </c>
      <c r="Y9" s="668" t="str">
        <f>精餾產銷!Y8</f>
        <v>S05</v>
      </c>
      <c r="Z9" s="800" t="str">
        <f>精餾產銷!Z8</f>
        <v>1~31</v>
      </c>
      <c r="AA9" s="1080">
        <f>精餾產銷!AA8</f>
        <v>500</v>
      </c>
      <c r="AB9" s="522">
        <f>精餾產銷!AB8</f>
        <v>0</v>
      </c>
      <c r="AC9" s="523">
        <f>精餾產銷!AC8</f>
        <v>0</v>
      </c>
      <c r="AD9" s="523">
        <f>精餾產銷!AD8</f>
        <v>0</v>
      </c>
      <c r="AE9" s="524">
        <f>精餾產銷!AE8</f>
        <v>0</v>
      </c>
      <c r="AF9" s="493">
        <f t="shared" ref="AF9" si="4">+IF(SUM(G9,H9:O9,R9,U9,X9,AA9)=0,0,1)</f>
        <v>1</v>
      </c>
      <c r="AH9" s="796">
        <f>精餾產銷!AH8</f>
        <v>0</v>
      </c>
      <c r="AI9" s="796">
        <f t="shared" ref="AI9" si="5">IF(AH9=0,0,AH9/C9)</f>
        <v>0</v>
      </c>
      <c r="AJ9" s="796">
        <f t="shared" ref="AJ9" si="6">IF(AH9=0,0,AH9/((H9+J9+L9+N9)/4))</f>
        <v>0</v>
      </c>
    </row>
    <row r="10" spans="1:36" ht="28.5" customHeight="1" x14ac:dyDescent="0.25">
      <c r="A10" s="97" t="str">
        <f>精餾產銷!A9</f>
        <v>IPAUPS(崙尾區LG)</v>
      </c>
      <c r="B10" s="363">
        <f>精餾產銷!B9</f>
        <v>0</v>
      </c>
      <c r="C10" s="361">
        <f>精餾產銷!C9</f>
        <v>0</v>
      </c>
      <c r="D10" s="362">
        <f>精餾產銷!D9</f>
        <v>101.2</v>
      </c>
      <c r="E10" s="363">
        <f>精餾產銷!E9</f>
        <v>0</v>
      </c>
      <c r="F10" s="363">
        <f>精餾產銷!F9</f>
        <v>0</v>
      </c>
      <c r="G10" s="530">
        <f>精餾產銷!G9</f>
        <v>101.2</v>
      </c>
      <c r="H10" s="531">
        <f>精餾產銷!H9</f>
        <v>266</v>
      </c>
      <c r="I10" s="532">
        <f>精餾產銷!I9</f>
        <v>5</v>
      </c>
      <c r="J10" s="531">
        <f>精餾產銷!J9</f>
        <v>1000</v>
      </c>
      <c r="K10" s="532">
        <f>精餾產銷!K9</f>
        <v>40</v>
      </c>
      <c r="L10" s="531">
        <f>精餾產銷!L9</f>
        <v>1100</v>
      </c>
      <c r="M10" s="532">
        <f>精餾產銷!M9</f>
        <v>30</v>
      </c>
      <c r="N10" s="531">
        <f>精餾產銷!N9</f>
        <v>1100</v>
      </c>
      <c r="O10" s="532">
        <f>精餾產銷!O9</f>
        <v>30</v>
      </c>
      <c r="P10" s="688" t="str">
        <f>精餾產銷!P9</f>
        <v>S04</v>
      </c>
      <c r="Q10" s="931" t="str">
        <f>精餾產銷!Q9</f>
        <v>24~31</v>
      </c>
      <c r="R10" s="488">
        <f>精餾產銷!R9</f>
        <v>210</v>
      </c>
      <c r="S10" s="678" t="str">
        <f>精餾產銷!S9</f>
        <v>S04</v>
      </c>
      <c r="T10" s="931" t="str">
        <f>精餾產銷!T9</f>
        <v>1~30</v>
      </c>
      <c r="U10" s="488">
        <f>精餾產銷!U9</f>
        <v>900</v>
      </c>
      <c r="V10" s="678" t="str">
        <f>精餾產銷!V9</f>
        <v>S04</v>
      </c>
      <c r="W10" s="931" t="str">
        <f>精餾產銷!W9</f>
        <v>1~31</v>
      </c>
      <c r="X10" s="488">
        <f>精餾產銷!X9</f>
        <v>900</v>
      </c>
      <c r="Y10" s="678" t="str">
        <f>精餾產銷!Y9</f>
        <v>S04</v>
      </c>
      <c r="Z10" s="931" t="str">
        <f>精餾產銷!Z9</f>
        <v>1~31</v>
      </c>
      <c r="AA10" s="932">
        <f>精餾產銷!AA9</f>
        <v>900</v>
      </c>
      <c r="AB10" s="516">
        <f>精餾產銷!AB9</f>
        <v>140.19999999999999</v>
      </c>
      <c r="AC10" s="517">
        <f>精餾產銷!AC9</f>
        <v>490.20000000000005</v>
      </c>
      <c r="AD10" s="517">
        <f>精餾產銷!AD9</f>
        <v>730.2</v>
      </c>
      <c r="AE10" s="518">
        <f>精餾產銷!AE9</f>
        <v>970.2</v>
      </c>
      <c r="AF10" s="493">
        <f t="shared" si="1"/>
        <v>1</v>
      </c>
      <c r="AH10" s="796">
        <f>精餾產銷!AH9</f>
        <v>0</v>
      </c>
      <c r="AI10" s="796">
        <f t="shared" si="2"/>
        <v>0</v>
      </c>
      <c r="AJ10" s="796">
        <f t="shared" si="3"/>
        <v>0</v>
      </c>
    </row>
    <row r="11" spans="1:36" ht="24" customHeight="1" x14ac:dyDescent="0.25">
      <c r="A11" s="99" t="str">
        <f>精餾產銷!A10</f>
        <v>IPAHQ</v>
      </c>
      <c r="B11" s="368" t="str">
        <f>精餾產銷!B10</f>
        <v>TK-681&amp;TK-682</v>
      </c>
      <c r="C11" s="369">
        <f>精餾產銷!C10</f>
        <v>156</v>
      </c>
      <c r="D11" s="371">
        <f>精餾產銷!D10</f>
        <v>91.5</v>
      </c>
      <c r="E11" s="371">
        <f>精餾產銷!E10</f>
        <v>0</v>
      </c>
      <c r="F11" s="371">
        <f>精餾產銷!F10</f>
        <v>0</v>
      </c>
      <c r="G11" s="693">
        <f>精餾產銷!G10</f>
        <v>91.5</v>
      </c>
      <c r="H11" s="566">
        <f>精餾產銷!H10</f>
        <v>140</v>
      </c>
      <c r="I11" s="572">
        <f>精餾產銷!I10</f>
        <v>22</v>
      </c>
      <c r="J11" s="566">
        <f>精餾產銷!J10</f>
        <v>600</v>
      </c>
      <c r="K11" s="595">
        <f>精餾產銷!K10</f>
        <v>85</v>
      </c>
      <c r="L11" s="566">
        <f>精餾產銷!L10</f>
        <v>600</v>
      </c>
      <c r="M11" s="595">
        <f>精餾產銷!M10</f>
        <v>85</v>
      </c>
      <c r="N11" s="567">
        <f>精餾產銷!N10</f>
        <v>600</v>
      </c>
      <c r="O11" s="595">
        <f>精餾產銷!O10</f>
        <v>85</v>
      </c>
      <c r="P11" s="712" t="str">
        <f>精餾產銷!P10</f>
        <v>S03</v>
      </c>
      <c r="Q11" s="804" t="str">
        <f>精餾產銷!Q10</f>
        <v>24~31</v>
      </c>
      <c r="R11" s="805">
        <f>精餾產銷!R10</f>
        <v>240</v>
      </c>
      <c r="S11" s="694" t="str">
        <f>精餾產銷!S10</f>
        <v>S03</v>
      </c>
      <c r="T11" s="804" t="str">
        <f>精餾產銷!T10</f>
        <v>1~30</v>
      </c>
      <c r="U11" s="805">
        <f>精餾產銷!U10</f>
        <v>960</v>
      </c>
      <c r="V11" s="694" t="str">
        <f>精餾產銷!V10</f>
        <v>S03</v>
      </c>
      <c r="W11" s="804" t="str">
        <f>精餾產銷!W10</f>
        <v>1~31</v>
      </c>
      <c r="X11" s="805">
        <f>精餾產銷!X10</f>
        <v>990</v>
      </c>
      <c r="Y11" s="694" t="str">
        <f>精餾產銷!Y10</f>
        <v>S03</v>
      </c>
      <c r="Z11" s="804" t="str">
        <f>精餾產銷!Z10</f>
        <v>1~30</v>
      </c>
      <c r="AA11" s="806">
        <f>精餾產銷!AA10</f>
        <v>960</v>
      </c>
      <c r="AB11" s="519">
        <f>精餾產銷!AB10</f>
        <v>169.5</v>
      </c>
      <c r="AC11" s="520">
        <f>精餾產銷!AC10</f>
        <v>444.5</v>
      </c>
      <c r="AD11" s="520">
        <f>精餾產銷!AD10</f>
        <v>749.5</v>
      </c>
      <c r="AE11" s="521">
        <f>精餾產銷!AE10</f>
        <v>1024.5</v>
      </c>
      <c r="AF11" s="509">
        <f>+IF(SUM(G11,H11:O11,R11,U11,X11,AA11)=0,0,1)</f>
        <v>1</v>
      </c>
      <c r="AH11" s="796">
        <f>精餾產銷!AH10</f>
        <v>40</v>
      </c>
      <c r="AI11" s="796">
        <f t="shared" si="2"/>
        <v>0.25641025641025639</v>
      </c>
      <c r="AJ11" s="796">
        <f>IF(AH11=0,0,AH11/((H11+J11+L11+N11)/4))</f>
        <v>8.247422680412371E-2</v>
      </c>
    </row>
    <row r="12" spans="1:36" ht="24" customHeight="1" x14ac:dyDescent="0.25">
      <c r="A12" s="98" t="str">
        <f>精餾產銷!A11</f>
        <v>EGUPS</v>
      </c>
      <c r="B12" s="367" t="str">
        <f>精餾產銷!B11</f>
        <v>TK623.E40.E48.E56.E59.E60.E66.E67(E21 外部鏽蝕處理中).TK692.TK689</v>
      </c>
      <c r="C12" s="346">
        <f>精餾產銷!C11</f>
        <v>537</v>
      </c>
      <c r="D12" s="373" t="e">
        <f>精餾產銷!#REF!</f>
        <v>#REF!</v>
      </c>
      <c r="E12" s="371">
        <f>精餾產銷!E11</f>
        <v>0</v>
      </c>
      <c r="F12" s="373">
        <f>精餾產銷!F11</f>
        <v>14</v>
      </c>
      <c r="G12" s="703">
        <f>精餾產銷!G11</f>
        <v>6.8999999999999986</v>
      </c>
      <c r="H12" s="704">
        <f>精餾產銷!H11</f>
        <v>5</v>
      </c>
      <c r="I12" s="706">
        <f>精餾產銷!I11</f>
        <v>52.436</v>
      </c>
      <c r="J12" s="704">
        <f>精餾產銷!J11</f>
        <v>20</v>
      </c>
      <c r="K12" s="706">
        <f>精餾產銷!K11</f>
        <v>291.005</v>
      </c>
      <c r="L12" s="704">
        <f>精餾產銷!L11</f>
        <v>20</v>
      </c>
      <c r="M12" s="706">
        <f>精餾產銷!M11</f>
        <v>291.005</v>
      </c>
      <c r="N12" s="704">
        <f>精餾產銷!N11</f>
        <v>20</v>
      </c>
      <c r="O12" s="706">
        <f>精餾產銷!O11</f>
        <v>291.005</v>
      </c>
      <c r="P12" s="807" t="str">
        <f>精餾產銷!P11</f>
        <v>S02</v>
      </c>
      <c r="Q12" s="808" t="str">
        <f>精餾產銷!Q11</f>
        <v>24~31</v>
      </c>
      <c r="R12" s="809">
        <f>精餾產銷!R11</f>
        <v>200</v>
      </c>
      <c r="S12" s="810" t="str">
        <f>精餾產銷!S11</f>
        <v>S02</v>
      </c>
      <c r="T12" s="808" t="str">
        <f>精餾產銷!T11</f>
        <v>1~5</v>
      </c>
      <c r="U12" s="993">
        <f>精餾產銷!U11</f>
        <v>140</v>
      </c>
      <c r="V12" s="810">
        <f>精餾產銷!V11</f>
        <v>0</v>
      </c>
      <c r="W12" s="808">
        <f>精餾產銷!W11</f>
        <v>0</v>
      </c>
      <c r="X12" s="809">
        <f>精餾產銷!X11</f>
        <v>0</v>
      </c>
      <c r="Y12" s="810">
        <f>精餾產銷!Y11</f>
        <v>0</v>
      </c>
      <c r="Z12" s="808" t="str">
        <f>精餾產銷!Z11</f>
        <v>純七</v>
      </c>
      <c r="AA12" s="809">
        <f>精餾產銷!AA11</f>
        <v>675</v>
      </c>
      <c r="AB12" s="522">
        <f>精餾產銷!AB11</f>
        <v>149.464</v>
      </c>
      <c r="AC12" s="523">
        <f>精餾產銷!AC11</f>
        <v>748.45900000000006</v>
      </c>
      <c r="AD12" s="523">
        <f>精餾產銷!AD11</f>
        <v>437.45400000000006</v>
      </c>
      <c r="AE12" s="524">
        <f>精餾產銷!AE11</f>
        <v>801.44900000000007</v>
      </c>
      <c r="AF12" s="493">
        <f t="shared" si="1"/>
        <v>1</v>
      </c>
      <c r="AH12" s="796">
        <f>精餾產銷!AH11</f>
        <v>24.94</v>
      </c>
      <c r="AI12" s="796">
        <f t="shared" si="2"/>
        <v>4.6443202979515832E-2</v>
      </c>
      <c r="AJ12" s="796">
        <f t="shared" si="3"/>
        <v>1.5347692307692309</v>
      </c>
    </row>
    <row r="13" spans="1:36" ht="24" customHeight="1" x14ac:dyDescent="0.25">
      <c r="A13" s="97" t="str">
        <f>精餾產銷!A12</f>
        <v>EGUPS(勝一S07)</v>
      </c>
      <c r="B13" s="363">
        <f>精餾產銷!B12</f>
        <v>0</v>
      </c>
      <c r="C13" s="361">
        <f>精餾產銷!C12</f>
        <v>0</v>
      </c>
      <c r="D13" s="362">
        <f>精餾產銷!D12</f>
        <v>0</v>
      </c>
      <c r="E13" s="362">
        <f>精餾產銷!E12</f>
        <v>0</v>
      </c>
      <c r="F13" s="362">
        <f>精餾產銷!F12</f>
        <v>0</v>
      </c>
      <c r="G13" s="530">
        <f>精餾產銷!G12</f>
        <v>0</v>
      </c>
      <c r="H13" s="531">
        <f>精餾產銷!H12</f>
        <v>0</v>
      </c>
      <c r="I13" s="532">
        <f>精餾產銷!I12</f>
        <v>0</v>
      </c>
      <c r="J13" s="531">
        <f>精餾產銷!J12</f>
        <v>0</v>
      </c>
      <c r="K13" s="532">
        <f>精餾產銷!K12</f>
        <v>0</v>
      </c>
      <c r="L13" s="531">
        <f>精餾產銷!L12</f>
        <v>0</v>
      </c>
      <c r="M13" s="532">
        <f>精餾產銷!M12</f>
        <v>0</v>
      </c>
      <c r="N13" s="531">
        <f>精餾產銷!N12</f>
        <v>0</v>
      </c>
      <c r="O13" s="532">
        <f>精餾產銷!O12</f>
        <v>0</v>
      </c>
      <c r="P13" s="688">
        <f>精餾產銷!P12</f>
        <v>0</v>
      </c>
      <c r="Q13" s="811">
        <f>精餾產銷!Q12</f>
        <v>0</v>
      </c>
      <c r="R13" s="812">
        <f>精餾產銷!R12</f>
        <v>0</v>
      </c>
      <c r="S13" s="679">
        <f>精餾產銷!S12</f>
        <v>0</v>
      </c>
      <c r="T13" s="811" t="str">
        <f>精餾產銷!T12</f>
        <v>純七</v>
      </c>
      <c r="U13" s="994">
        <f>精餾產銷!U12</f>
        <v>770</v>
      </c>
      <c r="V13" s="679">
        <f>精餾產銷!V12</f>
        <v>0</v>
      </c>
      <c r="W13" s="811">
        <f>精餾產銷!W12</f>
        <v>0</v>
      </c>
      <c r="X13" s="812">
        <f>精餾產銷!X12</f>
        <v>0</v>
      </c>
      <c r="Y13" s="679">
        <f>精餾產銷!Y12</f>
        <v>0</v>
      </c>
      <c r="Z13" s="811">
        <f>精餾產銷!Z12</f>
        <v>0</v>
      </c>
      <c r="AA13" s="812">
        <f>精餾產銷!AA12</f>
        <v>0</v>
      </c>
      <c r="AB13" s="525">
        <f>精餾產銷!AB12</f>
        <v>0</v>
      </c>
      <c r="AC13" s="526">
        <f>精餾產銷!AC12</f>
        <v>0</v>
      </c>
      <c r="AD13" s="526">
        <f>精餾產銷!AD12</f>
        <v>0</v>
      </c>
      <c r="AE13" s="527">
        <f>精餾產銷!AE12</f>
        <v>0</v>
      </c>
      <c r="AF13" s="493">
        <f t="shared" si="1"/>
        <v>1</v>
      </c>
      <c r="AH13" s="796">
        <f>精餾產銷!AH12</f>
        <v>0</v>
      </c>
      <c r="AI13" s="796">
        <f t="shared" si="2"/>
        <v>0</v>
      </c>
      <c r="AJ13" s="796">
        <f t="shared" si="3"/>
        <v>0</v>
      </c>
    </row>
    <row r="14" spans="1:36" ht="28.5" hidden="1" customHeight="1" x14ac:dyDescent="0.25">
      <c r="A14" s="99" t="str">
        <f>精餾產銷!A13</f>
        <v>EGUPS(EG-C)</v>
      </c>
      <c r="B14" s="390" t="str">
        <f>精餾產銷!B13</f>
        <v>TK689</v>
      </c>
      <c r="C14" s="369">
        <f>精餾產銷!C13</f>
        <v>0</v>
      </c>
      <c r="D14" s="392">
        <f>精餾產銷!D11</f>
        <v>20.9</v>
      </c>
      <c r="E14" s="362">
        <f>精餾產銷!E13</f>
        <v>0</v>
      </c>
      <c r="F14" s="362">
        <f>精餾產銷!F13</f>
        <v>0</v>
      </c>
      <c r="G14" s="693">
        <f>精餾產銷!G13</f>
        <v>0</v>
      </c>
      <c r="H14" s="566">
        <f>精餾產銷!H13</f>
        <v>0</v>
      </c>
      <c r="I14" s="595">
        <f>精餾產銷!I13</f>
        <v>0</v>
      </c>
      <c r="J14" s="566">
        <f>精餾產銷!J13</f>
        <v>0</v>
      </c>
      <c r="K14" s="595">
        <f>精餾產銷!K13</f>
        <v>0</v>
      </c>
      <c r="L14" s="567">
        <f>精餾產銷!L13</f>
        <v>0</v>
      </c>
      <c r="M14" s="595">
        <f>精餾產銷!M13</f>
        <v>0</v>
      </c>
      <c r="N14" s="567">
        <f>精餾產銷!N13</f>
        <v>0</v>
      </c>
      <c r="O14" s="595">
        <f>精餾產銷!O13</f>
        <v>0</v>
      </c>
      <c r="P14" s="699">
        <f>精餾產銷!P13</f>
        <v>0</v>
      </c>
      <c r="Q14" s="804">
        <f>精餾產銷!Q13</f>
        <v>0</v>
      </c>
      <c r="R14" s="805">
        <f>精餾產銷!R13</f>
        <v>0</v>
      </c>
      <c r="S14" s="699">
        <f>精餾產銷!S13</f>
        <v>0</v>
      </c>
      <c r="T14" s="804">
        <f>精餾產銷!T13</f>
        <v>0</v>
      </c>
      <c r="U14" s="805">
        <f>精餾產銷!U13</f>
        <v>0</v>
      </c>
      <c r="V14" s="699">
        <f>精餾產銷!V13</f>
        <v>0</v>
      </c>
      <c r="W14" s="804">
        <f>精餾產銷!W13</f>
        <v>0</v>
      </c>
      <c r="X14" s="805">
        <f>精餾產銷!X13</f>
        <v>0</v>
      </c>
      <c r="Y14" s="699">
        <f>精餾產銷!Y13</f>
        <v>0</v>
      </c>
      <c r="Z14" s="804">
        <f>精餾產銷!Z13</f>
        <v>0</v>
      </c>
      <c r="AA14" s="805">
        <f>精餾產銷!AA13</f>
        <v>0</v>
      </c>
      <c r="AB14" s="519">
        <f>精餾產銷!AB13</f>
        <v>0</v>
      </c>
      <c r="AC14" s="520">
        <f>精餾產銷!AC13</f>
        <v>0</v>
      </c>
      <c r="AD14" s="520">
        <f>精餾產銷!AD13</f>
        <v>0</v>
      </c>
      <c r="AE14" s="521">
        <f>精餾產銷!AE13</f>
        <v>0</v>
      </c>
      <c r="AF14" s="493">
        <f t="shared" si="1"/>
        <v>0</v>
      </c>
      <c r="AH14" s="796"/>
      <c r="AI14" s="796">
        <f t="shared" si="2"/>
        <v>0</v>
      </c>
      <c r="AJ14" s="796">
        <f t="shared" si="3"/>
        <v>0</v>
      </c>
    </row>
    <row r="15" spans="1:36" ht="24" customHeight="1" x14ac:dyDescent="0.25">
      <c r="A15" s="99" t="str">
        <f>精餾產銷!A16</f>
        <v>CPNE4</v>
      </c>
      <c r="B15" s="368" t="str">
        <f>精餾產銷!B16</f>
        <v>TK677&amp;TK680&amp;勝一</v>
      </c>
      <c r="C15" s="369">
        <f>精餾產銷!C16</f>
        <v>355</v>
      </c>
      <c r="D15" s="370">
        <f>精餾產銷!D16</f>
        <v>22</v>
      </c>
      <c r="E15" s="371">
        <f>精餾產銷!E16</f>
        <v>0</v>
      </c>
      <c r="F15" s="371">
        <f>精餾產銷!F16</f>
        <v>21</v>
      </c>
      <c r="G15" s="693">
        <f>精餾產銷!G16</f>
        <v>1</v>
      </c>
      <c r="H15" s="566">
        <f>精餾產銷!H16</f>
        <v>130</v>
      </c>
      <c r="I15" s="595">
        <f>精餾產銷!I16</f>
        <v>0</v>
      </c>
      <c r="J15" s="566">
        <f>精餾產銷!J16</f>
        <v>300</v>
      </c>
      <c r="K15" s="595">
        <f>精餾產銷!K16</f>
        <v>0</v>
      </c>
      <c r="L15" s="567">
        <f>精餾產銷!L16</f>
        <v>300</v>
      </c>
      <c r="M15" s="595">
        <f>精餾產銷!M16</f>
        <v>0</v>
      </c>
      <c r="N15" s="567">
        <f>精餾產銷!N16</f>
        <v>300</v>
      </c>
      <c r="O15" s="595">
        <f>精餾產銷!O16</f>
        <v>0</v>
      </c>
      <c r="P15" s="694" t="str">
        <f>精餾產銷!P16</f>
        <v>S01</v>
      </c>
      <c r="Q15" s="804" t="str">
        <f>精餾產銷!Q16</f>
        <v>24~27</v>
      </c>
      <c r="R15" s="805">
        <f>精餾產銷!R16</f>
        <v>110</v>
      </c>
      <c r="S15" s="694" t="str">
        <f>精餾產銷!S16</f>
        <v>S02</v>
      </c>
      <c r="T15" s="804" t="str">
        <f>精餾產銷!T16</f>
        <v>11~21</v>
      </c>
      <c r="U15" s="995">
        <f>精餾產銷!U16</f>
        <v>300</v>
      </c>
      <c r="V15" s="694" t="str">
        <f>精餾產銷!V16</f>
        <v>S02</v>
      </c>
      <c r="W15" s="804" t="str">
        <f>精餾產銷!W16</f>
        <v>6~16</v>
      </c>
      <c r="X15" s="805">
        <f>精餾產銷!X16</f>
        <v>320</v>
      </c>
      <c r="Y15" s="694" t="str">
        <f>精餾產銷!Y16</f>
        <v>S02</v>
      </c>
      <c r="Z15" s="804" t="str">
        <f>精餾產銷!Z16</f>
        <v>1~10</v>
      </c>
      <c r="AA15" s="805">
        <f>精餾產銷!AA16</f>
        <v>290</v>
      </c>
      <c r="AB15" s="522">
        <f>精餾產銷!AB16</f>
        <v>-19</v>
      </c>
      <c r="AC15" s="523">
        <f>精餾產銷!AC16</f>
        <v>-19</v>
      </c>
      <c r="AD15" s="523">
        <f>精餾產銷!AD16</f>
        <v>1</v>
      </c>
      <c r="AE15" s="524">
        <f>精餾產銷!AE16</f>
        <v>-9</v>
      </c>
      <c r="AF15" s="493">
        <f t="shared" si="1"/>
        <v>1</v>
      </c>
      <c r="AH15" s="796">
        <f>精餾產銷!AH16</f>
        <v>90</v>
      </c>
      <c r="AI15" s="796">
        <f t="shared" si="2"/>
        <v>0.25352112676056338</v>
      </c>
      <c r="AJ15" s="796">
        <f t="shared" si="3"/>
        <v>0.34951456310679613</v>
      </c>
    </row>
    <row r="16" spans="1:36" ht="28.5" hidden="1" customHeight="1" x14ac:dyDescent="0.25">
      <c r="A16" s="99" t="str">
        <f>精餾產銷!A14</f>
        <v>CPNE4(含浸)</v>
      </c>
      <c r="B16" s="368" t="str">
        <f>精餾產銷!B14</f>
        <v>TK677&amp;TK680</v>
      </c>
      <c r="C16" s="369">
        <f>精餾產銷!C14</f>
        <v>72</v>
      </c>
      <c r="D16" s="370">
        <f>精餾產銷!D14</f>
        <v>0</v>
      </c>
      <c r="E16" s="371">
        <f>精餾產銷!E14</f>
        <v>0</v>
      </c>
      <c r="F16" s="371">
        <f>精餾產銷!F14</f>
        <v>0</v>
      </c>
      <c r="G16" s="693">
        <f>精餾產銷!G14</f>
        <v>0</v>
      </c>
      <c r="H16" s="566">
        <f>精餾產銷!H14</f>
        <v>0</v>
      </c>
      <c r="I16" s="595">
        <f>精餾產銷!I14</f>
        <v>0</v>
      </c>
      <c r="J16" s="566">
        <f>精餾產銷!J14</f>
        <v>0</v>
      </c>
      <c r="K16" s="595">
        <f>精餾產銷!K14</f>
        <v>0</v>
      </c>
      <c r="L16" s="567">
        <f>精餾產銷!L14</f>
        <v>0</v>
      </c>
      <c r="M16" s="595">
        <f>精餾產銷!M14</f>
        <v>0</v>
      </c>
      <c r="N16" s="567">
        <f>精餾產銷!N14</f>
        <v>0</v>
      </c>
      <c r="O16" s="595">
        <f>精餾產銷!O14</f>
        <v>0</v>
      </c>
      <c r="P16" s="694">
        <f>精餾產銷!P14</f>
        <v>0</v>
      </c>
      <c r="Q16" s="804">
        <f>精餾產銷!Q14</f>
        <v>0</v>
      </c>
      <c r="R16" s="805">
        <f>精餾產銷!R14</f>
        <v>0</v>
      </c>
      <c r="S16" s="694">
        <f>精餾產銷!S14</f>
        <v>0</v>
      </c>
      <c r="T16" s="804">
        <f>精餾產銷!T14</f>
        <v>0</v>
      </c>
      <c r="U16" s="805">
        <f>精餾產銷!U14</f>
        <v>0</v>
      </c>
      <c r="V16" s="694">
        <f>精餾產銷!V14</f>
        <v>0</v>
      </c>
      <c r="W16" s="804">
        <f>精餾產銷!W14</f>
        <v>0</v>
      </c>
      <c r="X16" s="805">
        <f>精餾產銷!X14</f>
        <v>0</v>
      </c>
      <c r="Y16" s="694">
        <f>精餾產銷!Y14</f>
        <v>0</v>
      </c>
      <c r="Z16" s="804">
        <f>精餾產銷!Z14</f>
        <v>0</v>
      </c>
      <c r="AA16" s="805">
        <f>精餾產銷!AA14</f>
        <v>0</v>
      </c>
      <c r="AB16" s="522">
        <f>精餾產銷!AB14</f>
        <v>0</v>
      </c>
      <c r="AC16" s="523">
        <f>精餾產銷!AC14</f>
        <v>0</v>
      </c>
      <c r="AD16" s="523">
        <f>精餾產銷!AD14</f>
        <v>0</v>
      </c>
      <c r="AE16" s="524">
        <f>精餾產銷!AE14</f>
        <v>0</v>
      </c>
      <c r="AF16" s="493">
        <f t="shared" si="1"/>
        <v>0</v>
      </c>
      <c r="AH16" s="796">
        <f>精餾產銷!AH14</f>
        <v>0</v>
      </c>
      <c r="AI16" s="796">
        <f t="shared" si="2"/>
        <v>0</v>
      </c>
      <c r="AJ16" s="796">
        <f t="shared" si="3"/>
        <v>0</v>
      </c>
    </row>
    <row r="17" spans="1:36" ht="28.5" hidden="1" customHeight="1" x14ac:dyDescent="0.25">
      <c r="A17" s="110" t="str">
        <f>精餾產銷!A15</f>
        <v>CPNE4R(含浸)</v>
      </c>
      <c r="B17" s="368" t="str">
        <f>精餾產銷!B15</f>
        <v>TK694</v>
      </c>
      <c r="C17" s="369">
        <f>精餾產銷!C15</f>
        <v>230</v>
      </c>
      <c r="D17" s="370">
        <f>精餾產銷!D15</f>
        <v>0</v>
      </c>
      <c r="E17" s="371">
        <f>精餾產銷!E15</f>
        <v>0</v>
      </c>
      <c r="F17" s="371">
        <f>精餾產銷!F15</f>
        <v>1</v>
      </c>
      <c r="G17" s="693">
        <f>精餾產銷!G15</f>
        <v>0</v>
      </c>
      <c r="H17" s="566">
        <f>精餾產銷!H15</f>
        <v>0</v>
      </c>
      <c r="I17" s="572">
        <f>精餾產銷!I15</f>
        <v>0</v>
      </c>
      <c r="J17" s="566">
        <f>精餾產銷!J15</f>
        <v>0</v>
      </c>
      <c r="K17" s="595">
        <f>精餾產銷!K15</f>
        <v>0</v>
      </c>
      <c r="L17" s="566">
        <f>精餾產銷!L15</f>
        <v>0</v>
      </c>
      <c r="M17" s="595">
        <f>精餾產銷!M15</f>
        <v>0</v>
      </c>
      <c r="N17" s="567">
        <f>精餾產銷!N15</f>
        <v>0</v>
      </c>
      <c r="O17" s="595">
        <f>精餾產銷!O15</f>
        <v>0</v>
      </c>
      <c r="P17" s="697">
        <f>精餾產銷!P15</f>
        <v>0</v>
      </c>
      <c r="Q17" s="804">
        <f>精餾產銷!Q15</f>
        <v>0</v>
      </c>
      <c r="R17" s="805">
        <f>精餾產銷!R15</f>
        <v>0</v>
      </c>
      <c r="S17" s="694">
        <f>精餾產銷!S15</f>
        <v>0</v>
      </c>
      <c r="T17" s="804">
        <f>精餾產銷!T15</f>
        <v>0</v>
      </c>
      <c r="U17" s="805">
        <f>精餾產銷!U15</f>
        <v>0</v>
      </c>
      <c r="V17" s="694">
        <f>精餾產銷!V15</f>
        <v>0</v>
      </c>
      <c r="W17" s="804">
        <f>精餾產銷!W15</f>
        <v>0</v>
      </c>
      <c r="X17" s="805">
        <f>精餾產銷!X15</f>
        <v>0</v>
      </c>
      <c r="Y17" s="694">
        <f>精餾產銷!Y15</f>
        <v>0</v>
      </c>
      <c r="Z17" s="804">
        <f>精餾產銷!Z15</f>
        <v>0</v>
      </c>
      <c r="AA17" s="805">
        <f>精餾產銷!AA15</f>
        <v>0</v>
      </c>
      <c r="AB17" s="522">
        <f>精餾產銷!AB15</f>
        <v>0</v>
      </c>
      <c r="AC17" s="523">
        <f>精餾產銷!AC15</f>
        <v>0</v>
      </c>
      <c r="AD17" s="523">
        <f>精餾產銷!AD15</f>
        <v>0</v>
      </c>
      <c r="AE17" s="524">
        <f>精餾產銷!AE15</f>
        <v>0</v>
      </c>
      <c r="AF17" s="493">
        <f t="shared" si="1"/>
        <v>0</v>
      </c>
      <c r="AH17" s="796">
        <f>精餾產銷!AH15</f>
        <v>0</v>
      </c>
      <c r="AI17" s="796">
        <f t="shared" si="2"/>
        <v>0</v>
      </c>
      <c r="AJ17" s="796">
        <f t="shared" si="3"/>
        <v>0</v>
      </c>
    </row>
    <row r="18" spans="1:36" ht="24" customHeight="1" x14ac:dyDescent="0.25">
      <c r="A18" s="99" t="str">
        <f>精餾產銷!A17</f>
        <v>ACTUPS</v>
      </c>
      <c r="B18" s="372" t="str">
        <f>精餾產銷!B17</f>
        <v>TK622.TK612.包材</v>
      </c>
      <c r="C18" s="382">
        <f>精餾產銷!C17</f>
        <v>192</v>
      </c>
      <c r="D18" s="373">
        <f>精餾產銷!D17</f>
        <v>110.86799999999999</v>
      </c>
      <c r="E18" s="367">
        <f>精餾產銷!E17</f>
        <v>0</v>
      </c>
      <c r="F18" s="367">
        <f>精餾產銷!F17</f>
        <v>17</v>
      </c>
      <c r="G18" s="693">
        <f>精餾產銷!G17</f>
        <v>93.867999999999995</v>
      </c>
      <c r="H18" s="566">
        <f>精餾產銷!H17</f>
        <v>5</v>
      </c>
      <c r="I18" s="595">
        <f>精餾產銷!I17</f>
        <v>0</v>
      </c>
      <c r="J18" s="566">
        <f>精餾產銷!J17</f>
        <v>50</v>
      </c>
      <c r="K18" s="595">
        <f>精餾產銷!K17</f>
        <v>0</v>
      </c>
      <c r="L18" s="566">
        <f>精餾產銷!L17</f>
        <v>50</v>
      </c>
      <c r="M18" s="595">
        <f>精餾產銷!M17</f>
        <v>0</v>
      </c>
      <c r="N18" s="566">
        <f>精餾產銷!N17</f>
        <v>50</v>
      </c>
      <c r="O18" s="595">
        <f>精餾產銷!O17</f>
        <v>0</v>
      </c>
      <c r="P18" s="698">
        <f>精餾產銷!P17</f>
        <v>0</v>
      </c>
      <c r="Q18" s="804">
        <f>精餾產銷!Q17</f>
        <v>0</v>
      </c>
      <c r="R18" s="805">
        <f>精餾產銷!R17</f>
        <v>0</v>
      </c>
      <c r="S18" s="699">
        <f>精餾產銷!S17</f>
        <v>0</v>
      </c>
      <c r="T18" s="804">
        <f>精餾產銷!T17</f>
        <v>0</v>
      </c>
      <c r="U18" s="805">
        <f>精餾產銷!U17</f>
        <v>0</v>
      </c>
      <c r="V18" s="699" t="str">
        <f>精餾產銷!V17</f>
        <v>S01</v>
      </c>
      <c r="W18" s="804" t="str">
        <f>精餾產銷!W17</f>
        <v>4~12</v>
      </c>
      <c r="X18" s="805">
        <f>精餾產銷!X17</f>
        <v>210</v>
      </c>
      <c r="Y18" s="699">
        <f>精餾產銷!Y17</f>
        <v>0</v>
      </c>
      <c r="Z18" s="804">
        <f>精餾產銷!Z17</f>
        <v>0</v>
      </c>
      <c r="AA18" s="805">
        <f>精餾產銷!AA17</f>
        <v>0</v>
      </c>
      <c r="AB18" s="536">
        <f>精餾產銷!AB17</f>
        <v>88.867999999999995</v>
      </c>
      <c r="AC18" s="537">
        <f>精餾產銷!AC17</f>
        <v>38.867999999999995</v>
      </c>
      <c r="AD18" s="537">
        <f>精餾產銷!AD17</f>
        <v>198.86799999999999</v>
      </c>
      <c r="AE18" s="538">
        <f>精餾產銷!AE17</f>
        <v>148.86799999999999</v>
      </c>
      <c r="AF18" s="493">
        <f t="shared" si="1"/>
        <v>1</v>
      </c>
      <c r="AH18" s="796">
        <f>精餾產銷!AH17</f>
        <v>35.200000000000003</v>
      </c>
      <c r="AI18" s="796">
        <f t="shared" si="2"/>
        <v>0.18333333333333335</v>
      </c>
      <c r="AJ18" s="796">
        <f t="shared" si="3"/>
        <v>0.9083870967741936</v>
      </c>
    </row>
    <row r="19" spans="1:36" ht="28.5" hidden="1" customHeight="1" x14ac:dyDescent="0.25">
      <c r="A19" s="97" t="str">
        <f>精餾產銷!A18</f>
        <v>外購</v>
      </c>
      <c r="B19" s="374">
        <f>精餾產銷!B18</f>
        <v>0</v>
      </c>
      <c r="C19" s="361">
        <f>精餾產銷!C18</f>
        <v>0</v>
      </c>
      <c r="D19" s="362">
        <f>精餾產銷!D18</f>
        <v>0</v>
      </c>
      <c r="E19" s="363">
        <f>精餾產銷!E18</f>
        <v>0</v>
      </c>
      <c r="F19" s="363">
        <f>精餾產銷!F18</f>
        <v>0</v>
      </c>
      <c r="G19" s="530">
        <f>精餾產銷!G18</f>
        <v>0</v>
      </c>
      <c r="H19" s="531">
        <f>精餾產銷!H18</f>
        <v>0</v>
      </c>
      <c r="I19" s="532">
        <f>精餾產銷!I18</f>
        <v>0</v>
      </c>
      <c r="J19" s="531">
        <f>精餾產銷!J18</f>
        <v>0</v>
      </c>
      <c r="K19" s="532">
        <f>精餾產銷!K18</f>
        <v>0</v>
      </c>
      <c r="L19" s="531">
        <f>精餾產銷!L18</f>
        <v>0</v>
      </c>
      <c r="M19" s="532">
        <f>精餾產銷!M18</f>
        <v>0</v>
      </c>
      <c r="N19" s="531">
        <f>精餾產銷!N18</f>
        <v>0</v>
      </c>
      <c r="O19" s="532">
        <f>精餾產銷!O18</f>
        <v>0</v>
      </c>
      <c r="P19" s="688">
        <f>精餾產銷!P18</f>
        <v>0</v>
      </c>
      <c r="Q19" s="811">
        <f>精餾產銷!Q18</f>
        <v>0</v>
      </c>
      <c r="R19" s="812">
        <f>精餾產銷!R18</f>
        <v>0</v>
      </c>
      <c r="S19" s="679">
        <f>精餾產銷!S18</f>
        <v>0</v>
      </c>
      <c r="T19" s="811">
        <f>精餾產銷!T18</f>
        <v>0</v>
      </c>
      <c r="U19" s="812">
        <f>精餾產銷!U18</f>
        <v>0</v>
      </c>
      <c r="V19" s="679">
        <f>精餾產銷!V18</f>
        <v>0</v>
      </c>
      <c r="W19" s="811">
        <f>精餾產銷!W18</f>
        <v>0</v>
      </c>
      <c r="X19" s="812">
        <f>精餾產銷!X18</f>
        <v>0</v>
      </c>
      <c r="Y19" s="679">
        <f>精餾產銷!Y18</f>
        <v>0</v>
      </c>
      <c r="Z19" s="811">
        <f>精餾產銷!Z18</f>
        <v>0</v>
      </c>
      <c r="AA19" s="812">
        <f>精餾產銷!AA18</f>
        <v>0</v>
      </c>
      <c r="AB19" s="516">
        <f>精餾產銷!AB18</f>
        <v>0</v>
      </c>
      <c r="AC19" s="517">
        <f>精餾產銷!AC18</f>
        <v>0</v>
      </c>
      <c r="AD19" s="517">
        <f>精餾產銷!AD18</f>
        <v>0</v>
      </c>
      <c r="AE19" s="518">
        <f>精餾產銷!AE18</f>
        <v>0</v>
      </c>
      <c r="AF19" s="509">
        <f>+IF(SUM(G19,H19:O19,R19,U19,X19,AA19)=0,0,1)</f>
        <v>0</v>
      </c>
      <c r="AH19" s="796">
        <f>精餾產銷!AH18</f>
        <v>0</v>
      </c>
      <c r="AI19" s="796">
        <f t="shared" si="2"/>
        <v>0</v>
      </c>
      <c r="AJ19" s="796">
        <f t="shared" si="3"/>
        <v>0</v>
      </c>
    </row>
    <row r="20" spans="1:36" ht="24" customHeight="1" x14ac:dyDescent="0.25">
      <c r="A20" s="101" t="str">
        <f>精餾產銷!A19</f>
        <v>NMPUPS</v>
      </c>
      <c r="B20" s="700" t="str">
        <f>精餾產銷!B19</f>
        <v>TK621.E58.E26.E31.包材</v>
      </c>
      <c r="C20" s="382">
        <f>精餾產銷!C19</f>
        <v>243.5</v>
      </c>
      <c r="D20" s="371">
        <f>精餾產銷!D19</f>
        <v>148.9</v>
      </c>
      <c r="E20" s="371">
        <f>精餾產銷!E19</f>
        <v>10</v>
      </c>
      <c r="F20" s="371">
        <f>精餾產銷!F19</f>
        <v>15</v>
      </c>
      <c r="G20" s="703">
        <f>精餾產銷!G19</f>
        <v>143.9</v>
      </c>
      <c r="H20" s="528">
        <f>精餾產銷!H19</f>
        <v>0</v>
      </c>
      <c r="I20" s="529">
        <f>精餾產銷!I19</f>
        <v>0</v>
      </c>
      <c r="J20" s="528">
        <f>精餾產銷!J19</f>
        <v>42</v>
      </c>
      <c r="K20" s="529">
        <f>精餾產銷!K19</f>
        <v>0</v>
      </c>
      <c r="L20" s="528">
        <f>精餾產銷!L19</f>
        <v>30</v>
      </c>
      <c r="M20" s="529">
        <f>精餾產銷!M19</f>
        <v>0</v>
      </c>
      <c r="N20" s="528">
        <f>精餾產銷!N19</f>
        <v>42</v>
      </c>
      <c r="O20" s="529">
        <f>精餾產銷!O19</f>
        <v>0</v>
      </c>
      <c r="P20" s="672">
        <f>精餾產銷!P19</f>
        <v>0</v>
      </c>
      <c r="Q20" s="813">
        <f>精餾產銷!Q19</f>
        <v>0</v>
      </c>
      <c r="R20" s="814">
        <f>精餾產銷!R19</f>
        <v>0</v>
      </c>
      <c r="S20" s="674">
        <f>精餾產銷!S19</f>
        <v>0</v>
      </c>
      <c r="T20" s="813">
        <f>精餾產銷!T19</f>
        <v>0</v>
      </c>
      <c r="U20" s="814">
        <f>精餾產銷!U19</f>
        <v>0</v>
      </c>
      <c r="V20" s="674">
        <f>精餾產銷!V19</f>
        <v>0</v>
      </c>
      <c r="W20" s="813">
        <f>精餾產銷!W19</f>
        <v>0</v>
      </c>
      <c r="X20" s="814">
        <f>精餾產銷!X19</f>
        <v>0</v>
      </c>
      <c r="Y20" s="674">
        <f>精餾產銷!Y19</f>
        <v>0</v>
      </c>
      <c r="Z20" s="813">
        <f>精餾產銷!Z19</f>
        <v>0</v>
      </c>
      <c r="AA20" s="814">
        <f>精餾產銷!AA19</f>
        <v>0</v>
      </c>
      <c r="AB20" s="510">
        <f>精餾產銷!AB19</f>
        <v>143.9</v>
      </c>
      <c r="AC20" s="511">
        <f>精餾產銷!AC19</f>
        <v>101.9</v>
      </c>
      <c r="AD20" s="511">
        <f>精餾產銷!AD19</f>
        <v>71.900000000000006</v>
      </c>
      <c r="AE20" s="512">
        <f>精餾產銷!AE19</f>
        <v>29.900000000000006</v>
      </c>
      <c r="AF20" s="509">
        <f t="shared" ref="AF20:AF85" si="7">+IF(SUM(G20,H20:O20,R20,U20,X20,AA20)=0,0,1)</f>
        <v>1</v>
      </c>
      <c r="AH20" s="796">
        <f>精餾產銷!AH19</f>
        <v>46.2</v>
      </c>
      <c r="AI20" s="796">
        <f t="shared" si="2"/>
        <v>0.18973305954825465</v>
      </c>
      <c r="AJ20" s="796">
        <f t="shared" si="3"/>
        <v>1.6210526315789475</v>
      </c>
    </row>
    <row r="21" spans="1:36" ht="28.5" hidden="1" customHeight="1" x14ac:dyDescent="0.25">
      <c r="A21" s="97" t="str">
        <f>精餾產銷!A20</f>
        <v>外購</v>
      </c>
      <c r="B21" s="374">
        <f>精餾產銷!B20</f>
        <v>0</v>
      </c>
      <c r="C21" s="361">
        <f>精餾產銷!C20</f>
        <v>0</v>
      </c>
      <c r="D21" s="371">
        <f>精餾產銷!D20</f>
        <v>0</v>
      </c>
      <c r="E21" s="371">
        <f>精餾產銷!E20</f>
        <v>0</v>
      </c>
      <c r="F21" s="371">
        <f>精餾產銷!F20</f>
        <v>0</v>
      </c>
      <c r="G21" s="530">
        <f>精餾產銷!G20</f>
        <v>0</v>
      </c>
      <c r="H21" s="531">
        <f>精餾產銷!H20</f>
        <v>0</v>
      </c>
      <c r="I21" s="532">
        <f>精餾產銷!I20</f>
        <v>0</v>
      </c>
      <c r="J21" s="531">
        <f>精餾產銷!J20</f>
        <v>0</v>
      </c>
      <c r="K21" s="532">
        <f>精餾產銷!K20</f>
        <v>0</v>
      </c>
      <c r="L21" s="531">
        <f>精餾產銷!L20</f>
        <v>0</v>
      </c>
      <c r="M21" s="532">
        <f>精餾產銷!M20</f>
        <v>0</v>
      </c>
      <c r="N21" s="531">
        <f>精餾產銷!N20</f>
        <v>0</v>
      </c>
      <c r="O21" s="532">
        <f>精餾產銷!O20</f>
        <v>0</v>
      </c>
      <c r="P21" s="688">
        <f>精餾產銷!P20</f>
        <v>0</v>
      </c>
      <c r="Q21" s="811">
        <f>精餾產銷!Q20</f>
        <v>0</v>
      </c>
      <c r="R21" s="812">
        <f>精餾產銷!R20</f>
        <v>0</v>
      </c>
      <c r="S21" s="679">
        <f>精餾產銷!S20</f>
        <v>0</v>
      </c>
      <c r="T21" s="811">
        <f>精餾產銷!T20</f>
        <v>0</v>
      </c>
      <c r="U21" s="812">
        <f>精餾產銷!U20</f>
        <v>0</v>
      </c>
      <c r="V21" s="679">
        <f>精餾產銷!V20</f>
        <v>0</v>
      </c>
      <c r="W21" s="811">
        <f>精餾產銷!W20</f>
        <v>0</v>
      </c>
      <c r="X21" s="812">
        <f>精餾產銷!X20</f>
        <v>0</v>
      </c>
      <c r="Y21" s="679">
        <f>精餾產銷!Y20</f>
        <v>0</v>
      </c>
      <c r="Z21" s="811">
        <f>精餾產銷!Z20</f>
        <v>0</v>
      </c>
      <c r="AA21" s="812">
        <f>精餾產銷!AA20</f>
        <v>0</v>
      </c>
      <c r="AB21" s="513">
        <f>精餾產銷!AB20</f>
        <v>0</v>
      </c>
      <c r="AC21" s="514">
        <f>精餾產銷!AC20</f>
        <v>0</v>
      </c>
      <c r="AD21" s="514">
        <f>精餾產銷!AD20</f>
        <v>0</v>
      </c>
      <c r="AE21" s="515">
        <f>精餾產銷!AE20</f>
        <v>0</v>
      </c>
      <c r="AF21" s="509">
        <f t="shared" si="7"/>
        <v>0</v>
      </c>
      <c r="AH21" s="796">
        <f>精餾產銷!AH20</f>
        <v>0</v>
      </c>
      <c r="AI21" s="796">
        <f t="shared" si="2"/>
        <v>0</v>
      </c>
      <c r="AJ21" s="796">
        <f t="shared" si="3"/>
        <v>0</v>
      </c>
    </row>
    <row r="22" spans="1:36" ht="28.5" hidden="1" customHeight="1" x14ac:dyDescent="0.25">
      <c r="A22" s="99" t="str">
        <f>精餾產銷!A21</f>
        <v>NMP-E1</v>
      </c>
      <c r="B22" s="368">
        <f>精餾產銷!B21</f>
        <v>0</v>
      </c>
      <c r="C22" s="369">
        <f>精餾產銷!C21</f>
        <v>0</v>
      </c>
      <c r="D22" s="371">
        <f>精餾產銷!D21</f>
        <v>0</v>
      </c>
      <c r="E22" s="371">
        <f>精餾產銷!E21</f>
        <v>0</v>
      </c>
      <c r="F22" s="371">
        <f>精餾產銷!F21</f>
        <v>0</v>
      </c>
      <c r="G22" s="693">
        <f>精餾產銷!G21</f>
        <v>0</v>
      </c>
      <c r="H22" s="566">
        <f>精餾產銷!H21</f>
        <v>0</v>
      </c>
      <c r="I22" s="572">
        <f>精餾產銷!I21</f>
        <v>0</v>
      </c>
      <c r="J22" s="566">
        <f>精餾產銷!J21</f>
        <v>0</v>
      </c>
      <c r="K22" s="595">
        <f>精餾產銷!K21</f>
        <v>0</v>
      </c>
      <c r="L22" s="566">
        <f>精餾產銷!L21</f>
        <v>0</v>
      </c>
      <c r="M22" s="595">
        <f>精餾產銷!M21</f>
        <v>0</v>
      </c>
      <c r="N22" s="567">
        <f>精餾產銷!N21</f>
        <v>0</v>
      </c>
      <c r="O22" s="595">
        <f>精餾產銷!O21</f>
        <v>0</v>
      </c>
      <c r="P22" s="698">
        <f>精餾產銷!P21</f>
        <v>0</v>
      </c>
      <c r="Q22" s="804">
        <f>精餾產銷!Q21</f>
        <v>0</v>
      </c>
      <c r="R22" s="805">
        <f>精餾產銷!R21</f>
        <v>0</v>
      </c>
      <c r="S22" s="699">
        <f>精餾產銷!S21</f>
        <v>0</v>
      </c>
      <c r="T22" s="804">
        <f>精餾產銷!T21</f>
        <v>0</v>
      </c>
      <c r="U22" s="805">
        <f>精餾產銷!U21</f>
        <v>0</v>
      </c>
      <c r="V22" s="699">
        <f>精餾產銷!V21</f>
        <v>0</v>
      </c>
      <c r="W22" s="804">
        <f>精餾產銷!W21</f>
        <v>0</v>
      </c>
      <c r="X22" s="805">
        <f>精餾產銷!X21</f>
        <v>0</v>
      </c>
      <c r="Y22" s="699">
        <f>精餾產銷!Y21</f>
        <v>0</v>
      </c>
      <c r="Z22" s="804">
        <f>精餾產銷!Z21</f>
        <v>0</v>
      </c>
      <c r="AA22" s="805">
        <f>精餾產銷!AA21</f>
        <v>0</v>
      </c>
      <c r="AB22" s="522">
        <f>精餾產銷!AB21</f>
        <v>0</v>
      </c>
      <c r="AC22" s="523">
        <f>精餾產銷!AC21</f>
        <v>0</v>
      </c>
      <c r="AD22" s="523">
        <f>精餾產銷!AD21</f>
        <v>0</v>
      </c>
      <c r="AE22" s="524">
        <f>精餾產銷!AE21</f>
        <v>0</v>
      </c>
      <c r="AF22" s="509">
        <f t="shared" si="7"/>
        <v>0</v>
      </c>
      <c r="AH22" s="796">
        <f>精餾產銷!AH21</f>
        <v>0</v>
      </c>
      <c r="AI22" s="796">
        <f t="shared" si="2"/>
        <v>0</v>
      </c>
      <c r="AJ22" s="796">
        <f t="shared" si="3"/>
        <v>0</v>
      </c>
    </row>
    <row r="23" spans="1:36" ht="50.25" customHeight="1" x14ac:dyDescent="0.25">
      <c r="A23" s="98" t="str">
        <f>精餾產銷!A22</f>
        <v>CPNE3(T)</v>
      </c>
      <c r="B23" s="403" t="str">
        <f>精餾產銷!B22</f>
        <v xml:space="preserve">TK683.TK694&amp;勝一 </v>
      </c>
      <c r="C23" s="400">
        <f>精餾產銷!C22</f>
        <v>320</v>
      </c>
      <c r="D23" s="371">
        <f>精餾產銷!D22</f>
        <v>1.9</v>
      </c>
      <c r="E23" s="371">
        <f>精餾產銷!E22</f>
        <v>0</v>
      </c>
      <c r="F23" s="371">
        <f>精餾產銷!F22</f>
        <v>20</v>
      </c>
      <c r="G23" s="693">
        <f>精餾產銷!G22</f>
        <v>0</v>
      </c>
      <c r="H23" s="566">
        <f>精餾產銷!H22</f>
        <v>15</v>
      </c>
      <c r="I23" s="572">
        <f>精餾產銷!I22</f>
        <v>0</v>
      </c>
      <c r="J23" s="566">
        <f>精餾產銷!J22</f>
        <v>280</v>
      </c>
      <c r="K23" s="595">
        <f>精餾產銷!K22</f>
        <v>0</v>
      </c>
      <c r="L23" s="566">
        <f>精餾產銷!L22</f>
        <v>280</v>
      </c>
      <c r="M23" s="595">
        <f>精餾產銷!M22</f>
        <v>0</v>
      </c>
      <c r="N23" s="567">
        <f>精餾產銷!N22</f>
        <v>280</v>
      </c>
      <c r="O23" s="595">
        <f>精餾產銷!O22</f>
        <v>0</v>
      </c>
      <c r="P23" s="712" t="str">
        <f>精餾產銷!P22</f>
        <v>S01</v>
      </c>
      <c r="Q23" s="804" t="str">
        <f>精餾產銷!Q22</f>
        <v>(1)24
(1)31</v>
      </c>
      <c r="R23" s="805">
        <f>精餾產銷!R22</f>
        <v>36</v>
      </c>
      <c r="S23" s="694" t="str">
        <f>精餾產銷!S22</f>
        <v>S01+S02</v>
      </c>
      <c r="T23" s="956" t="str">
        <f>精餾產銷!T22</f>
        <v>(2)22~27
(1)1~4</v>
      </c>
      <c r="U23" s="995">
        <f>精餾產銷!U22</f>
        <v>300</v>
      </c>
      <c r="V23" s="694" t="str">
        <f>精餾產銷!V22</f>
        <v>S01+S02</v>
      </c>
      <c r="W23" s="956" t="str">
        <f>精餾產銷!W22</f>
        <v>(2)1~5
(2)17~21
(2)26~31</v>
      </c>
      <c r="X23" s="805">
        <f>精餾產銷!X22</f>
        <v>450</v>
      </c>
      <c r="Y23" s="694" t="str">
        <f>精餾產銷!Y22</f>
        <v>S02+S01</v>
      </c>
      <c r="Z23" s="956" t="str">
        <f>精餾產銷!Z22</f>
        <v>(2)11~16
(2)21~27
(1)24~30</v>
      </c>
      <c r="AA23" s="805">
        <f>精餾產銷!AA22</f>
        <v>530</v>
      </c>
      <c r="AB23" s="522">
        <f>精餾產銷!AB22</f>
        <v>21</v>
      </c>
      <c r="AC23" s="523">
        <f>精餾產銷!AC22</f>
        <v>41</v>
      </c>
      <c r="AD23" s="523">
        <f>精餾產銷!AD22</f>
        <v>211</v>
      </c>
      <c r="AE23" s="524">
        <f>精餾產銷!AE22</f>
        <v>461</v>
      </c>
      <c r="AF23" s="509">
        <f t="shared" si="7"/>
        <v>1</v>
      </c>
      <c r="AH23" s="796">
        <f>精餾產銷!AH22</f>
        <v>40</v>
      </c>
      <c r="AI23" s="796">
        <f t="shared" si="2"/>
        <v>0.125</v>
      </c>
      <c r="AJ23" s="796">
        <f t="shared" si="3"/>
        <v>0.1871345029239766</v>
      </c>
    </row>
    <row r="24" spans="1:36" ht="50.25" customHeight="1" x14ac:dyDescent="0.25">
      <c r="A24" s="98" t="str">
        <f>精餾產銷!A23</f>
        <v>CPNE3</v>
      </c>
      <c r="B24" s="403" t="str">
        <f>精餾產銷!B23</f>
        <v>TK661&amp;TK662&amp;TK664&amp;TK667&amp;TK668
&amp;[勝一(CPNE3(OEM)]</v>
      </c>
      <c r="C24" s="382">
        <f>精餾產銷!C23</f>
        <v>285</v>
      </c>
      <c r="D24" s="371">
        <f>精餾產銷!D23</f>
        <v>109</v>
      </c>
      <c r="E24" s="371">
        <f>精餾產銷!E23</f>
        <v>0</v>
      </c>
      <c r="F24" s="371">
        <f>精餾產銷!F23</f>
        <v>0</v>
      </c>
      <c r="G24" s="693">
        <f>精餾產銷!G23</f>
        <v>109</v>
      </c>
      <c r="H24" s="566">
        <f>精餾產銷!H23</f>
        <v>30</v>
      </c>
      <c r="I24" s="572">
        <f>精餾產銷!I23</f>
        <v>40</v>
      </c>
      <c r="J24" s="566">
        <f>精餾產銷!J23</f>
        <v>80</v>
      </c>
      <c r="K24" s="595">
        <f>精餾產銷!K23</f>
        <v>330</v>
      </c>
      <c r="L24" s="566">
        <f>精餾產銷!L23</f>
        <v>80</v>
      </c>
      <c r="M24" s="595">
        <f>精餾產銷!M23</f>
        <v>495</v>
      </c>
      <c r="N24" s="567">
        <f>精餾產銷!N23</f>
        <v>80</v>
      </c>
      <c r="O24" s="595">
        <f>精餾產銷!O23</f>
        <v>583</v>
      </c>
      <c r="P24" s="712" t="str">
        <f>精餾產銷!P23</f>
        <v>S01</v>
      </c>
      <c r="Q24" s="804" t="str">
        <f>精餾產銷!Q23</f>
        <v>(1)28~30</v>
      </c>
      <c r="R24" s="805">
        <f>精餾產銷!R23</f>
        <v>135</v>
      </c>
      <c r="S24" s="694" t="str">
        <f>精餾產銷!S23</f>
        <v>S01</v>
      </c>
      <c r="T24" s="956" t="str">
        <f>精餾產銷!T23</f>
        <v>(1)5~6
(1)15~20
(2)28~30</v>
      </c>
      <c r="U24" s="995">
        <f>精餾產銷!U23</f>
        <v>565</v>
      </c>
      <c r="V24" s="694" t="str">
        <f>精餾產銷!V23</f>
        <v>S01+S02</v>
      </c>
      <c r="W24" s="956" t="str">
        <f>精餾產銷!W23</f>
        <v>(1)8~13
(1)21~25
(2)22~25</v>
      </c>
      <c r="X24" s="805">
        <f>精餾產銷!X23</f>
        <v>607.5</v>
      </c>
      <c r="Y24" s="694" t="str">
        <f>精餾產銷!Y23</f>
        <v>S02</v>
      </c>
      <c r="Z24" s="956" t="str">
        <f>精餾產銷!Z23</f>
        <v>(2)17~20
(2)28~30
(1)21~23</v>
      </c>
      <c r="AA24" s="805">
        <f>精餾產銷!AA23</f>
        <v>520</v>
      </c>
      <c r="AB24" s="533">
        <f>精餾產銷!AB23</f>
        <v>174</v>
      </c>
      <c r="AC24" s="534">
        <f>精餾產銷!AC23</f>
        <v>329</v>
      </c>
      <c r="AD24" s="534">
        <f>精餾產銷!AD23</f>
        <v>361.5</v>
      </c>
      <c r="AE24" s="535">
        <f>精餾產銷!AE23</f>
        <v>218.5</v>
      </c>
      <c r="AF24" s="509">
        <f t="shared" ref="AF24" si="8">+IF(SUM(G24,H24:O24,R24,U24,X24,AA24)=0,0,1)</f>
        <v>1</v>
      </c>
      <c r="AH24" s="796"/>
      <c r="AI24" s="796"/>
      <c r="AJ24" s="796"/>
    </row>
    <row r="25" spans="1:36" ht="50.25" customHeight="1" x14ac:dyDescent="0.25">
      <c r="A25" s="99" t="str">
        <f>精餾產銷!A24</f>
        <v>CPNE3-R</v>
      </c>
      <c r="B25" s="368" t="str">
        <f>精餾產銷!B24</f>
        <v>TK601</v>
      </c>
      <c r="C25" s="369">
        <f>精餾產銷!C24</f>
        <v>225.625</v>
      </c>
      <c r="D25" s="371">
        <f>精餾產銷!D24</f>
        <v>222</v>
      </c>
      <c r="E25" s="371">
        <f>精餾產銷!E24</f>
        <v>0</v>
      </c>
      <c r="F25" s="371">
        <f>精餾產銷!F24</f>
        <v>0</v>
      </c>
      <c r="G25" s="693">
        <f>精餾產銷!G24</f>
        <v>222</v>
      </c>
      <c r="H25" s="566">
        <f>精餾產銷!H24</f>
        <v>0</v>
      </c>
      <c r="I25" s="572">
        <f>精餾產銷!I24</f>
        <v>153</v>
      </c>
      <c r="J25" s="566">
        <f>精餾產銷!J24</f>
        <v>0</v>
      </c>
      <c r="K25" s="595">
        <f>精餾產銷!K24</f>
        <v>638</v>
      </c>
      <c r="L25" s="566">
        <f>精餾產銷!L24</f>
        <v>0</v>
      </c>
      <c r="M25" s="595">
        <f>精餾產銷!M24</f>
        <v>686</v>
      </c>
      <c r="N25" s="567">
        <f>精餾產銷!N24</f>
        <v>0</v>
      </c>
      <c r="O25" s="595">
        <f>精餾產銷!O24</f>
        <v>588</v>
      </c>
      <c r="P25" s="698">
        <f>精餾產銷!P24</f>
        <v>0</v>
      </c>
      <c r="Q25" s="804">
        <f>精餾產銷!Q24</f>
        <v>0</v>
      </c>
      <c r="R25" s="805">
        <f>精餾產銷!R24</f>
        <v>0</v>
      </c>
      <c r="S25" s="699" t="str">
        <f>精餾產銷!S24</f>
        <v>S01</v>
      </c>
      <c r="T25" s="804" t="str">
        <f>精餾產銷!T24</f>
        <v>(1)7~14
(1)21~30</v>
      </c>
      <c r="U25" s="995">
        <f>精餾產銷!U24</f>
        <v>620</v>
      </c>
      <c r="V25" s="699" t="str">
        <f>精餾產銷!V24</f>
        <v>S01</v>
      </c>
      <c r="W25" s="956" t="str">
        <f>精餾產銷!W24</f>
        <v>(1)1~7
(1)14~20
(1)26~31</v>
      </c>
      <c r="X25" s="805">
        <f>精餾產銷!X24</f>
        <v>700</v>
      </c>
      <c r="Y25" s="699" t="str">
        <f>精餾產銷!Y24</f>
        <v>S01</v>
      </c>
      <c r="Z25" s="956" t="str">
        <f>精餾產銷!Z24</f>
        <v>(1)1~20</v>
      </c>
      <c r="AA25" s="805">
        <f>精餾產銷!AA24</f>
        <v>700</v>
      </c>
      <c r="AB25" s="522">
        <f>精餾產銷!AB24</f>
        <v>69</v>
      </c>
      <c r="AC25" s="523">
        <f>精餾產銷!AC24</f>
        <v>51</v>
      </c>
      <c r="AD25" s="523">
        <f>精餾產銷!AD24</f>
        <v>65</v>
      </c>
      <c r="AE25" s="524">
        <f>精餾產銷!AE24</f>
        <v>177</v>
      </c>
      <c r="AF25" s="509">
        <f t="shared" si="7"/>
        <v>1</v>
      </c>
      <c r="AH25" s="796">
        <f>精餾產銷!AH24</f>
        <v>0</v>
      </c>
      <c r="AI25" s="796">
        <f t="shared" si="2"/>
        <v>0</v>
      </c>
      <c r="AJ25" s="796">
        <f t="shared" si="3"/>
        <v>0</v>
      </c>
    </row>
    <row r="26" spans="1:36" ht="28.5" hidden="1" customHeight="1" x14ac:dyDescent="0.25">
      <c r="A26" s="99" t="str">
        <f>精餾產銷!A25</f>
        <v>2SEP05(E2)</v>
      </c>
      <c r="B26" s="368">
        <f>精餾產銷!B25</f>
        <v>0</v>
      </c>
      <c r="C26" s="369">
        <f>精餾產銷!C25</f>
        <v>57</v>
      </c>
      <c r="D26" s="371">
        <f>精餾產銷!D25</f>
        <v>0</v>
      </c>
      <c r="E26" s="371">
        <f>精餾產銷!E25</f>
        <v>0</v>
      </c>
      <c r="F26" s="371">
        <f>精餾產銷!F25</f>
        <v>0</v>
      </c>
      <c r="G26" s="693">
        <f>精餾產銷!G25</f>
        <v>0</v>
      </c>
      <c r="H26" s="566">
        <f>精餾產銷!H25</f>
        <v>0</v>
      </c>
      <c r="I26" s="572">
        <f>精餾產銷!I25</f>
        <v>0</v>
      </c>
      <c r="J26" s="566">
        <f>精餾產銷!J25</f>
        <v>0</v>
      </c>
      <c r="K26" s="595">
        <f>精餾產銷!K25</f>
        <v>0</v>
      </c>
      <c r="L26" s="566">
        <f>精餾產銷!L25</f>
        <v>0</v>
      </c>
      <c r="M26" s="595">
        <f>精餾產銷!M25</f>
        <v>0</v>
      </c>
      <c r="N26" s="567">
        <f>精餾產銷!N25</f>
        <v>0</v>
      </c>
      <c r="O26" s="595">
        <f>精餾產銷!O25</f>
        <v>0</v>
      </c>
      <c r="P26" s="698">
        <f>精餾產銷!P25</f>
        <v>0</v>
      </c>
      <c r="Q26" s="804">
        <f>精餾產銷!Q25</f>
        <v>0</v>
      </c>
      <c r="R26" s="805">
        <f>精餾產銷!R25</f>
        <v>0</v>
      </c>
      <c r="S26" s="699">
        <f>精餾產銷!S25</f>
        <v>0</v>
      </c>
      <c r="T26" s="804">
        <f>精餾產銷!T25</f>
        <v>0</v>
      </c>
      <c r="U26" s="805">
        <f>精餾產銷!U25</f>
        <v>0</v>
      </c>
      <c r="V26" s="699">
        <f>精餾產銷!V25</f>
        <v>0</v>
      </c>
      <c r="W26" s="804">
        <f>精餾產銷!W25</f>
        <v>0</v>
      </c>
      <c r="X26" s="805">
        <f>精餾產銷!X25</f>
        <v>0</v>
      </c>
      <c r="Y26" s="699">
        <f>精餾產銷!Y25</f>
        <v>0</v>
      </c>
      <c r="Z26" s="804">
        <f>精餾產銷!Z25</f>
        <v>0</v>
      </c>
      <c r="AA26" s="805">
        <f>精餾產銷!AA25</f>
        <v>0</v>
      </c>
      <c r="AB26" s="522">
        <f>精餾產銷!AB25</f>
        <v>0</v>
      </c>
      <c r="AC26" s="523">
        <f>精餾產銷!AC25</f>
        <v>0</v>
      </c>
      <c r="AD26" s="523">
        <f>精餾產銷!AD25</f>
        <v>0</v>
      </c>
      <c r="AE26" s="524">
        <f>精餾產銷!AE25</f>
        <v>0</v>
      </c>
      <c r="AF26" s="509">
        <f t="shared" si="7"/>
        <v>0</v>
      </c>
      <c r="AH26" s="796">
        <f>精餾產銷!AH25</f>
        <v>0</v>
      </c>
      <c r="AI26" s="796">
        <f t="shared" si="2"/>
        <v>0</v>
      </c>
      <c r="AJ26" s="796">
        <f t="shared" si="3"/>
        <v>0</v>
      </c>
    </row>
    <row r="27" spans="1:36" ht="28.5" hidden="1" customHeight="1" x14ac:dyDescent="0.25">
      <c r="A27" s="98" t="str">
        <f>精餾產銷!A26</f>
        <v>2DPM-1</v>
      </c>
      <c r="B27" s="387">
        <f>精餾產銷!B26</f>
        <v>0</v>
      </c>
      <c r="C27" s="388">
        <f>精餾產銷!C26</f>
        <v>0</v>
      </c>
      <c r="D27" s="367">
        <f>精餾產銷!D26</f>
        <v>0</v>
      </c>
      <c r="E27" s="367">
        <f>精餾產銷!E26</f>
        <v>0</v>
      </c>
      <c r="F27" s="367">
        <f>精餾產銷!F26</f>
        <v>0</v>
      </c>
      <c r="G27" s="703">
        <f>精餾產銷!G26</f>
        <v>0</v>
      </c>
      <c r="H27" s="704">
        <f>精餾產銷!H26</f>
        <v>0</v>
      </c>
      <c r="I27" s="705">
        <f>精餾產銷!I26</f>
        <v>0</v>
      </c>
      <c r="J27" s="704">
        <f>精餾產銷!J26</f>
        <v>0</v>
      </c>
      <c r="K27" s="706">
        <f>精餾產銷!K26</f>
        <v>0</v>
      </c>
      <c r="L27" s="704">
        <f>精餾產銷!L26</f>
        <v>0</v>
      </c>
      <c r="M27" s="706">
        <f>精餾產銷!M26</f>
        <v>0</v>
      </c>
      <c r="N27" s="707">
        <f>精餾產銷!N26</f>
        <v>0</v>
      </c>
      <c r="O27" s="706">
        <f>精餾產銷!O26</f>
        <v>0</v>
      </c>
      <c r="P27" s="708">
        <f>精餾產銷!P26</f>
        <v>0</v>
      </c>
      <c r="Q27" s="808">
        <f>精餾產銷!Q26</f>
        <v>0</v>
      </c>
      <c r="R27" s="809">
        <f>精餾產銷!R26</f>
        <v>0</v>
      </c>
      <c r="S27" s="669">
        <f>精餾產銷!S26</f>
        <v>0</v>
      </c>
      <c r="T27" s="808">
        <f>精餾產銷!T26</f>
        <v>0</v>
      </c>
      <c r="U27" s="809">
        <f>精餾產銷!U26</f>
        <v>0</v>
      </c>
      <c r="V27" s="669">
        <f>精餾產銷!V26</f>
        <v>0</v>
      </c>
      <c r="W27" s="808">
        <f>精餾產銷!W26</f>
        <v>0</v>
      </c>
      <c r="X27" s="809">
        <f>精餾產銷!X26</f>
        <v>0</v>
      </c>
      <c r="Y27" s="669">
        <f>精餾產銷!Y26</f>
        <v>0</v>
      </c>
      <c r="Z27" s="808">
        <f>精餾產銷!Z26</f>
        <v>0</v>
      </c>
      <c r="AA27" s="809">
        <f>精餾產銷!AA26</f>
        <v>0</v>
      </c>
      <c r="AB27" s="522">
        <f>精餾產銷!AB26</f>
        <v>0</v>
      </c>
      <c r="AC27" s="523">
        <f>精餾產銷!AC26</f>
        <v>0</v>
      </c>
      <c r="AD27" s="523">
        <f>精餾產銷!AD26</f>
        <v>0</v>
      </c>
      <c r="AE27" s="524">
        <f>精餾產銷!AE26</f>
        <v>0</v>
      </c>
      <c r="AF27" s="509">
        <f t="shared" si="7"/>
        <v>0</v>
      </c>
      <c r="AH27" s="796">
        <f>精餾產銷!AH26</f>
        <v>0</v>
      </c>
      <c r="AI27" s="796">
        <f t="shared" si="2"/>
        <v>0</v>
      </c>
      <c r="AJ27" s="796">
        <f t="shared" si="3"/>
        <v>0</v>
      </c>
    </row>
    <row r="28" spans="1:36" ht="28.5" hidden="1" customHeight="1" x14ac:dyDescent="0.25">
      <c r="A28" s="97" t="str">
        <f>精餾產銷!A27</f>
        <v>委外加工</v>
      </c>
      <c r="B28" s="390">
        <f>精餾產銷!B27</f>
        <v>0</v>
      </c>
      <c r="C28" s="391">
        <f>精餾產銷!C27</f>
        <v>0</v>
      </c>
      <c r="D28" s="363">
        <f>精餾產銷!D27</f>
        <v>0</v>
      </c>
      <c r="E28" s="363">
        <f>精餾產銷!E27</f>
        <v>0</v>
      </c>
      <c r="F28" s="363">
        <f>精餾產銷!F27</f>
        <v>0</v>
      </c>
      <c r="G28" s="530">
        <f>精餾產銷!G27</f>
        <v>0</v>
      </c>
      <c r="H28" s="531">
        <f>精餾產銷!H27</f>
        <v>0</v>
      </c>
      <c r="I28" s="575">
        <f>精餾產銷!I27</f>
        <v>0</v>
      </c>
      <c r="J28" s="531">
        <f>精餾產銷!J27</f>
        <v>0</v>
      </c>
      <c r="K28" s="532">
        <f>精餾產銷!K27</f>
        <v>0</v>
      </c>
      <c r="L28" s="531">
        <f>精餾產銷!L27</f>
        <v>0</v>
      </c>
      <c r="M28" s="532">
        <f>精餾產銷!M27</f>
        <v>0</v>
      </c>
      <c r="N28" s="559">
        <f>精餾產銷!N27</f>
        <v>0</v>
      </c>
      <c r="O28" s="532">
        <f>精餾產銷!O27</f>
        <v>0</v>
      </c>
      <c r="P28" s="681">
        <f>精餾產銷!P27</f>
        <v>0</v>
      </c>
      <c r="Q28" s="811">
        <f>精餾產銷!Q27</f>
        <v>0</v>
      </c>
      <c r="R28" s="812">
        <f>精餾產銷!R27</f>
        <v>0</v>
      </c>
      <c r="S28" s="682">
        <f>精餾產銷!S27</f>
        <v>0</v>
      </c>
      <c r="T28" s="811">
        <f>精餾產銷!T27</f>
        <v>0</v>
      </c>
      <c r="U28" s="812">
        <f>精餾產銷!U27</f>
        <v>0</v>
      </c>
      <c r="V28" s="682">
        <f>精餾產銷!V27</f>
        <v>0</v>
      </c>
      <c r="W28" s="811">
        <f>精餾產銷!W27</f>
        <v>0</v>
      </c>
      <c r="X28" s="812">
        <f>精餾產銷!X27</f>
        <v>0</v>
      </c>
      <c r="Y28" s="682">
        <f>精餾產銷!Y27</f>
        <v>0</v>
      </c>
      <c r="Z28" s="811">
        <f>精餾產銷!Z27</f>
        <v>0</v>
      </c>
      <c r="AA28" s="812">
        <f>精餾產銷!AA27</f>
        <v>0</v>
      </c>
      <c r="AB28" s="513">
        <f>精餾產銷!AB27</f>
        <v>0</v>
      </c>
      <c r="AC28" s="514">
        <f>精餾產銷!AC27</f>
        <v>0</v>
      </c>
      <c r="AD28" s="514">
        <f>精餾產銷!AD27</f>
        <v>0</v>
      </c>
      <c r="AE28" s="515">
        <f>精餾產銷!AE27</f>
        <v>0</v>
      </c>
      <c r="AF28" s="509">
        <f t="shared" si="7"/>
        <v>0</v>
      </c>
      <c r="AH28" s="796">
        <f>精餾產銷!AH27</f>
        <v>0</v>
      </c>
      <c r="AI28" s="796">
        <f t="shared" si="2"/>
        <v>0</v>
      </c>
      <c r="AJ28" s="796">
        <f t="shared" si="3"/>
        <v>0</v>
      </c>
    </row>
    <row r="29" spans="1:36" ht="28.5" hidden="1" customHeight="1" x14ac:dyDescent="0.25">
      <c r="A29" s="99" t="str">
        <f>精餾產銷!A28</f>
        <v>EBRUPS</v>
      </c>
      <c r="B29" s="368">
        <f>精餾產銷!B28</f>
        <v>0</v>
      </c>
      <c r="C29" s="369">
        <f>精餾產銷!C28</f>
        <v>75</v>
      </c>
      <c r="D29" s="371">
        <f>精餾產銷!D28</f>
        <v>0</v>
      </c>
      <c r="E29" s="371">
        <f>精餾產銷!E28</f>
        <v>0</v>
      </c>
      <c r="F29" s="371">
        <f>精餾產銷!F28</f>
        <v>0</v>
      </c>
      <c r="G29" s="693">
        <f>精餾產銷!G28</f>
        <v>0</v>
      </c>
      <c r="H29" s="566">
        <f>精餾產銷!H28</f>
        <v>0</v>
      </c>
      <c r="I29" s="572">
        <f>精餾產銷!I28</f>
        <v>0</v>
      </c>
      <c r="J29" s="566">
        <f>精餾產銷!J28</f>
        <v>0</v>
      </c>
      <c r="K29" s="595">
        <f>精餾產銷!K28</f>
        <v>0</v>
      </c>
      <c r="L29" s="566">
        <f>精餾產銷!L28</f>
        <v>0</v>
      </c>
      <c r="M29" s="595">
        <f>精餾產銷!M28</f>
        <v>0</v>
      </c>
      <c r="N29" s="567">
        <f>精餾產銷!N28</f>
        <v>0</v>
      </c>
      <c r="O29" s="595">
        <f>精餾產銷!O28</f>
        <v>0</v>
      </c>
      <c r="P29" s="712">
        <f>精餾產銷!P28</f>
        <v>0</v>
      </c>
      <c r="Q29" s="804">
        <f>精餾產銷!Q28</f>
        <v>0</v>
      </c>
      <c r="R29" s="805">
        <f>精餾產銷!R28</f>
        <v>0</v>
      </c>
      <c r="S29" s="694">
        <f>精餾產銷!S28</f>
        <v>0</v>
      </c>
      <c r="T29" s="804">
        <f>精餾產銷!T28</f>
        <v>0</v>
      </c>
      <c r="U29" s="805">
        <f>精餾產銷!U28</f>
        <v>0</v>
      </c>
      <c r="V29" s="694">
        <f>精餾產銷!V28</f>
        <v>0</v>
      </c>
      <c r="W29" s="804">
        <f>精餾產銷!W28</f>
        <v>0</v>
      </c>
      <c r="X29" s="805">
        <f>精餾產銷!X28</f>
        <v>0</v>
      </c>
      <c r="Y29" s="694">
        <f>精餾產銷!Y28</f>
        <v>0</v>
      </c>
      <c r="Z29" s="804">
        <f>精餾產銷!Z28</f>
        <v>0</v>
      </c>
      <c r="AA29" s="805">
        <f>精餾產銷!AA28</f>
        <v>0</v>
      </c>
      <c r="AB29" s="533">
        <f>精餾產銷!AB28</f>
        <v>0</v>
      </c>
      <c r="AC29" s="534">
        <f>精餾產銷!AC28</f>
        <v>0</v>
      </c>
      <c r="AD29" s="534">
        <f>精餾產銷!AD28</f>
        <v>0</v>
      </c>
      <c r="AE29" s="535">
        <f>精餾產銷!AE28</f>
        <v>0</v>
      </c>
      <c r="AF29" s="509">
        <f t="shared" si="7"/>
        <v>0</v>
      </c>
      <c r="AH29" s="796">
        <f>精餾產銷!AH28</f>
        <v>0</v>
      </c>
      <c r="AI29" s="796">
        <f t="shared" si="2"/>
        <v>0</v>
      </c>
      <c r="AJ29" s="796">
        <f t="shared" si="3"/>
        <v>0</v>
      </c>
    </row>
    <row r="30" spans="1:36" ht="24" customHeight="1" x14ac:dyDescent="0.25">
      <c r="A30" s="99" t="str">
        <f>精餾產銷!A29</f>
        <v>NMP-3</v>
      </c>
      <c r="B30" s="367" t="str">
        <f>精餾產銷!B29</f>
        <v>包材.TK611</v>
      </c>
      <c r="C30" s="369">
        <f>精餾產銷!C29</f>
        <v>23</v>
      </c>
      <c r="D30" s="367">
        <f>精餾產銷!D29</f>
        <v>5</v>
      </c>
      <c r="E30" s="367">
        <f>精餾產銷!E29</f>
        <v>0</v>
      </c>
      <c r="F30" s="367">
        <f>精餾產銷!F29</f>
        <v>0</v>
      </c>
      <c r="G30" s="693">
        <f>精餾產銷!G29</f>
        <v>5</v>
      </c>
      <c r="H30" s="566">
        <f>精餾產銷!H29</f>
        <v>0</v>
      </c>
      <c r="I30" s="572">
        <f>精餾產銷!I29</f>
        <v>0</v>
      </c>
      <c r="J30" s="566">
        <f>精餾產銷!J29</f>
        <v>0</v>
      </c>
      <c r="K30" s="595">
        <f>精餾產銷!K29</f>
        <v>0</v>
      </c>
      <c r="L30" s="566">
        <f>精餾產銷!L29</f>
        <v>0</v>
      </c>
      <c r="M30" s="595">
        <f>精餾產銷!M29</f>
        <v>0</v>
      </c>
      <c r="N30" s="567">
        <f>精餾產銷!N29</f>
        <v>0</v>
      </c>
      <c r="O30" s="595">
        <f>精餾產銷!O29</f>
        <v>0</v>
      </c>
      <c r="P30" s="744">
        <f>精餾產銷!P29</f>
        <v>0</v>
      </c>
      <c r="Q30" s="804">
        <f>精餾產銷!Q29</f>
        <v>0</v>
      </c>
      <c r="R30" s="805">
        <f>精餾產銷!R29</f>
        <v>0</v>
      </c>
      <c r="S30" s="699">
        <f>精餾產銷!S29</f>
        <v>0</v>
      </c>
      <c r="T30" s="804">
        <f>精餾產銷!T29</f>
        <v>0</v>
      </c>
      <c r="U30" s="805">
        <f>精餾產銷!U29</f>
        <v>0</v>
      </c>
      <c r="V30" s="699">
        <f>精餾產銷!V29</f>
        <v>0</v>
      </c>
      <c r="W30" s="804">
        <f>精餾產銷!W29</f>
        <v>0</v>
      </c>
      <c r="X30" s="805">
        <f>精餾產銷!X29</f>
        <v>0</v>
      </c>
      <c r="Y30" s="699">
        <f>精餾產銷!Y29</f>
        <v>0</v>
      </c>
      <c r="Z30" s="804">
        <f>精餾產銷!Z29</f>
        <v>0</v>
      </c>
      <c r="AA30" s="805">
        <f>精餾產銷!AA29</f>
        <v>0</v>
      </c>
      <c r="AB30" s="536">
        <f>精餾產銷!AB29</f>
        <v>5</v>
      </c>
      <c r="AC30" s="537">
        <f>精餾產銷!AC29</f>
        <v>5</v>
      </c>
      <c r="AD30" s="537">
        <f>精餾產銷!AD29</f>
        <v>5</v>
      </c>
      <c r="AE30" s="538">
        <f>精餾產銷!AE29</f>
        <v>5</v>
      </c>
      <c r="AF30" s="509">
        <f t="shared" si="7"/>
        <v>1</v>
      </c>
      <c r="AH30" s="796">
        <f>精餾產銷!AH29</f>
        <v>0</v>
      </c>
      <c r="AI30" s="796">
        <f t="shared" si="2"/>
        <v>0</v>
      </c>
      <c r="AJ30" s="796">
        <f t="shared" si="3"/>
        <v>0</v>
      </c>
    </row>
    <row r="31" spans="1:36" ht="28.5" hidden="1" customHeight="1" x14ac:dyDescent="0.25">
      <c r="A31" s="97" t="str">
        <f>精餾產銷!A30</f>
        <v>外購</v>
      </c>
      <c r="B31" s="390">
        <f>精餾產銷!B30</f>
        <v>0</v>
      </c>
      <c r="C31" s="391">
        <f>精餾產銷!C30</f>
        <v>0</v>
      </c>
      <c r="D31" s="363">
        <f>精餾產銷!D30</f>
        <v>0</v>
      </c>
      <c r="E31" s="363">
        <f>精餾產銷!E30</f>
        <v>0</v>
      </c>
      <c r="F31" s="363">
        <f>精餾產銷!F30</f>
        <v>0</v>
      </c>
      <c r="G31" s="530">
        <f>精餾產銷!G30</f>
        <v>0</v>
      </c>
      <c r="H31" s="531">
        <f>精餾產銷!H30</f>
        <v>0</v>
      </c>
      <c r="I31" s="575">
        <f>精餾產銷!I30</f>
        <v>0</v>
      </c>
      <c r="J31" s="531">
        <f>精餾產銷!J30</f>
        <v>0</v>
      </c>
      <c r="K31" s="532">
        <f>精餾產銷!K30</f>
        <v>0</v>
      </c>
      <c r="L31" s="531">
        <f>精餾產銷!L30</f>
        <v>0</v>
      </c>
      <c r="M31" s="532">
        <f>精餾產銷!M30</f>
        <v>0</v>
      </c>
      <c r="N31" s="559">
        <f>精餾產銷!N30</f>
        <v>0</v>
      </c>
      <c r="O31" s="532">
        <f>精餾產銷!O30</f>
        <v>0</v>
      </c>
      <c r="P31" s="679">
        <f>精餾產銷!P30</f>
        <v>0</v>
      </c>
      <c r="Q31" s="811">
        <f>精餾產銷!Q30</f>
        <v>0</v>
      </c>
      <c r="R31" s="812">
        <f>精餾產銷!R30</f>
        <v>0</v>
      </c>
      <c r="S31" s="679">
        <f>精餾產銷!S30</f>
        <v>0</v>
      </c>
      <c r="T31" s="811">
        <f>精餾產銷!T30</f>
        <v>0</v>
      </c>
      <c r="U31" s="812">
        <f>精餾產銷!U30</f>
        <v>0</v>
      </c>
      <c r="V31" s="679">
        <f>精餾產銷!V30</f>
        <v>0</v>
      </c>
      <c r="W31" s="811">
        <f>精餾產銷!W30</f>
        <v>0</v>
      </c>
      <c r="X31" s="812">
        <f>精餾產銷!X30</f>
        <v>0</v>
      </c>
      <c r="Y31" s="679">
        <f>精餾產銷!Y30</f>
        <v>0</v>
      </c>
      <c r="Z31" s="811">
        <f>精餾產銷!Z30</f>
        <v>0</v>
      </c>
      <c r="AA31" s="812">
        <f>精餾產銷!AA30</f>
        <v>0</v>
      </c>
      <c r="AB31" s="516">
        <f>精餾產銷!AB30</f>
        <v>0</v>
      </c>
      <c r="AC31" s="517">
        <f>精餾產銷!AC30</f>
        <v>0</v>
      </c>
      <c r="AD31" s="517">
        <f>精餾產銷!AD30</f>
        <v>0</v>
      </c>
      <c r="AE31" s="518">
        <f>精餾產銷!AE30</f>
        <v>0</v>
      </c>
      <c r="AF31" s="509">
        <f t="shared" si="7"/>
        <v>0</v>
      </c>
      <c r="AH31" s="796">
        <f>精餾產銷!AH30</f>
        <v>0</v>
      </c>
      <c r="AI31" s="796">
        <f t="shared" si="2"/>
        <v>0</v>
      </c>
      <c r="AJ31" s="796">
        <f t="shared" si="3"/>
        <v>0</v>
      </c>
    </row>
    <row r="32" spans="1:36" ht="28.5" hidden="1" customHeight="1" x14ac:dyDescent="0.25">
      <c r="A32" s="99" t="str">
        <f>精餾產銷!A31</f>
        <v>2IPA</v>
      </c>
      <c r="B32" s="390">
        <f>精餾產銷!B31</f>
        <v>0</v>
      </c>
      <c r="C32" s="369">
        <f>精餾產銷!C31</f>
        <v>0</v>
      </c>
      <c r="D32" s="363">
        <f>精餾產銷!D31</f>
        <v>0</v>
      </c>
      <c r="E32" s="363">
        <f>精餾產銷!E31</f>
        <v>0</v>
      </c>
      <c r="F32" s="363">
        <f>精餾產銷!F31</f>
        <v>0</v>
      </c>
      <c r="G32" s="693">
        <f>精餾產銷!G31</f>
        <v>0</v>
      </c>
      <c r="H32" s="566">
        <f>精餾產銷!H31</f>
        <v>0</v>
      </c>
      <c r="I32" s="572">
        <f>精餾產銷!I31</f>
        <v>0</v>
      </c>
      <c r="J32" s="566">
        <f>精餾產銷!J31</f>
        <v>0</v>
      </c>
      <c r="K32" s="595">
        <f>精餾產銷!K31</f>
        <v>0</v>
      </c>
      <c r="L32" s="566">
        <f>精餾產銷!L31</f>
        <v>0</v>
      </c>
      <c r="M32" s="595">
        <f>精餾產銷!M31</f>
        <v>0</v>
      </c>
      <c r="N32" s="567">
        <f>精餾產銷!N31</f>
        <v>0</v>
      </c>
      <c r="O32" s="595">
        <f>精餾產銷!O31</f>
        <v>0</v>
      </c>
      <c r="P32" s="712">
        <f>精餾產銷!P31</f>
        <v>0</v>
      </c>
      <c r="Q32" s="804">
        <f>精餾產銷!Q31</f>
        <v>0</v>
      </c>
      <c r="R32" s="805">
        <f>精餾產銷!R31</f>
        <v>0</v>
      </c>
      <c r="S32" s="694">
        <f>精餾產銷!S31</f>
        <v>0</v>
      </c>
      <c r="T32" s="804">
        <f>精餾產銷!T31</f>
        <v>0</v>
      </c>
      <c r="U32" s="805">
        <f>精餾產銷!U31</f>
        <v>0</v>
      </c>
      <c r="V32" s="694">
        <f>精餾產銷!V31</f>
        <v>0</v>
      </c>
      <c r="W32" s="804">
        <f>精餾產銷!W31</f>
        <v>0</v>
      </c>
      <c r="X32" s="805">
        <f>精餾產銷!X31</f>
        <v>0</v>
      </c>
      <c r="Y32" s="694">
        <f>精餾產銷!Y31</f>
        <v>0</v>
      </c>
      <c r="Z32" s="804">
        <f>精餾產銷!Z31</f>
        <v>0</v>
      </c>
      <c r="AA32" s="805">
        <f>精餾產銷!AA31</f>
        <v>0</v>
      </c>
      <c r="AB32" s="519">
        <f>精餾產銷!AB31</f>
        <v>0</v>
      </c>
      <c r="AC32" s="520">
        <f>精餾產銷!AC31</f>
        <v>0</v>
      </c>
      <c r="AD32" s="520">
        <f>精餾產銷!AD31</f>
        <v>0</v>
      </c>
      <c r="AE32" s="521">
        <f>精餾產銷!AE31</f>
        <v>0</v>
      </c>
      <c r="AF32" s="509">
        <f t="shared" si="7"/>
        <v>0</v>
      </c>
      <c r="AH32" s="796">
        <f>精餾產銷!AH31</f>
        <v>0</v>
      </c>
      <c r="AI32" s="796">
        <f t="shared" si="2"/>
        <v>0</v>
      </c>
      <c r="AJ32" s="796">
        <f t="shared" si="3"/>
        <v>0</v>
      </c>
    </row>
    <row r="33" spans="1:36" ht="28.5" customHeight="1" x14ac:dyDescent="0.25">
      <c r="A33" s="99" t="str">
        <f>精餾產銷!A32</f>
        <v>2EG</v>
      </c>
      <c r="B33" s="368">
        <f>精餾產銷!B32</f>
        <v>0</v>
      </c>
      <c r="C33" s="369">
        <f>精餾產銷!C32</f>
        <v>249</v>
      </c>
      <c r="D33" s="371">
        <f>精餾產銷!D32</f>
        <v>0</v>
      </c>
      <c r="E33" s="371">
        <f>精餾產銷!E32</f>
        <v>0</v>
      </c>
      <c r="F33" s="371">
        <f>精餾產銷!F32</f>
        <v>0</v>
      </c>
      <c r="G33" s="693">
        <f>精餾產銷!G32</f>
        <v>0</v>
      </c>
      <c r="H33" s="566">
        <f>精餾產銷!H32</f>
        <v>0</v>
      </c>
      <c r="I33" s="572">
        <f>精餾產銷!I32</f>
        <v>0</v>
      </c>
      <c r="J33" s="566">
        <f>精餾產銷!J32</f>
        <v>0</v>
      </c>
      <c r="K33" s="595">
        <f>精餾產銷!K32</f>
        <v>35</v>
      </c>
      <c r="L33" s="566">
        <f>精餾產銷!L32</f>
        <v>0</v>
      </c>
      <c r="M33" s="595">
        <f>精餾產銷!M32</f>
        <v>0</v>
      </c>
      <c r="N33" s="567">
        <f>精餾產銷!N32</f>
        <v>0</v>
      </c>
      <c r="O33" s="595">
        <f>精餾產銷!O32</f>
        <v>0</v>
      </c>
      <c r="P33" s="744">
        <f>精餾產銷!P32</f>
        <v>0</v>
      </c>
      <c r="Q33" s="815">
        <f>精餾產銷!Q32</f>
        <v>0</v>
      </c>
      <c r="R33" s="805">
        <f>精餾產銷!R32</f>
        <v>0</v>
      </c>
      <c r="S33" s="699" t="str">
        <f>精餾產銷!S32</f>
        <v>S02</v>
      </c>
      <c r="T33" s="815" t="str">
        <f>精餾產銷!T32</f>
        <v>6~7</v>
      </c>
      <c r="U33" s="995">
        <f>精餾產銷!U32</f>
        <v>35</v>
      </c>
      <c r="V33" s="699">
        <f>精餾產銷!V32</f>
        <v>0</v>
      </c>
      <c r="W33" s="815">
        <f>精餾產銷!W32</f>
        <v>0</v>
      </c>
      <c r="X33" s="805">
        <f>精餾產銷!X32</f>
        <v>0</v>
      </c>
      <c r="Y33" s="699">
        <f>精餾產銷!Y32</f>
        <v>0</v>
      </c>
      <c r="Z33" s="815">
        <f>精餾產銷!Z32</f>
        <v>0</v>
      </c>
      <c r="AA33" s="805">
        <f>精餾產銷!AA32</f>
        <v>0</v>
      </c>
      <c r="AB33" s="536">
        <f>精餾產銷!AB32</f>
        <v>0</v>
      </c>
      <c r="AC33" s="537">
        <f>精餾產銷!AC32</f>
        <v>0</v>
      </c>
      <c r="AD33" s="537">
        <f>精餾產銷!AD32</f>
        <v>0</v>
      </c>
      <c r="AE33" s="538">
        <f>精餾產銷!AE32</f>
        <v>0</v>
      </c>
      <c r="AF33" s="509">
        <f t="shared" si="7"/>
        <v>1</v>
      </c>
      <c r="AH33" s="796">
        <f>精餾產銷!AH32</f>
        <v>0</v>
      </c>
      <c r="AI33" s="796">
        <f t="shared" si="2"/>
        <v>0</v>
      </c>
      <c r="AJ33" s="796">
        <f t="shared" si="3"/>
        <v>0</v>
      </c>
    </row>
    <row r="34" spans="1:36" ht="28.5" hidden="1" customHeight="1" x14ac:dyDescent="0.25">
      <c r="A34" s="99" t="str">
        <f>精餾產銷!A33</f>
        <v>2CPN</v>
      </c>
      <c r="B34" s="368">
        <f>精餾產銷!B33</f>
        <v>0</v>
      </c>
      <c r="C34" s="369">
        <f>精餾產銷!C33</f>
        <v>0</v>
      </c>
      <c r="D34" s="371">
        <f>精餾產銷!D33</f>
        <v>0</v>
      </c>
      <c r="E34" s="371">
        <f>精餾產銷!E33</f>
        <v>0</v>
      </c>
      <c r="F34" s="371">
        <f>精餾產銷!F33</f>
        <v>0</v>
      </c>
      <c r="G34" s="693">
        <f>精餾產銷!G33</f>
        <v>0</v>
      </c>
      <c r="H34" s="566">
        <f>精餾產銷!H33</f>
        <v>0</v>
      </c>
      <c r="I34" s="572">
        <f>精餾產銷!I33</f>
        <v>0</v>
      </c>
      <c r="J34" s="566">
        <f>精餾產銷!J33</f>
        <v>0</v>
      </c>
      <c r="K34" s="595">
        <f>精餾產銷!K33</f>
        <v>0</v>
      </c>
      <c r="L34" s="566">
        <f>精餾產銷!L33</f>
        <v>0</v>
      </c>
      <c r="M34" s="595">
        <f>精餾產銷!M33</f>
        <v>0</v>
      </c>
      <c r="N34" s="567">
        <f>精餾產銷!N33</f>
        <v>0</v>
      </c>
      <c r="O34" s="595">
        <f>精餾產銷!O33</f>
        <v>0</v>
      </c>
      <c r="P34" s="698">
        <f>精餾產銷!P33</f>
        <v>0</v>
      </c>
      <c r="Q34" s="804">
        <f>精餾產銷!Q33</f>
        <v>0</v>
      </c>
      <c r="R34" s="805">
        <f>精餾產銷!R33</f>
        <v>0</v>
      </c>
      <c r="S34" s="699">
        <f>精餾產銷!S33</f>
        <v>0</v>
      </c>
      <c r="T34" s="804">
        <f>精餾產銷!T33</f>
        <v>0</v>
      </c>
      <c r="U34" s="805">
        <f>精餾產銷!U33</f>
        <v>0</v>
      </c>
      <c r="V34" s="699">
        <f>精餾產銷!V33</f>
        <v>0</v>
      </c>
      <c r="W34" s="804">
        <f>精餾產銷!W33</f>
        <v>0</v>
      </c>
      <c r="X34" s="805">
        <f>精餾產銷!X33</f>
        <v>0</v>
      </c>
      <c r="Y34" s="699">
        <f>精餾產銷!Y33</f>
        <v>0</v>
      </c>
      <c r="Z34" s="804">
        <f>精餾產銷!Z33</f>
        <v>0</v>
      </c>
      <c r="AA34" s="805">
        <f>精餾產銷!AA33</f>
        <v>0</v>
      </c>
      <c r="AB34" s="536">
        <f>精餾產銷!AB33</f>
        <v>0</v>
      </c>
      <c r="AC34" s="537">
        <f>精餾產銷!AC33</f>
        <v>0</v>
      </c>
      <c r="AD34" s="537">
        <f>精餾產銷!AD33</f>
        <v>0</v>
      </c>
      <c r="AE34" s="538">
        <f>精餾產銷!AE33</f>
        <v>0</v>
      </c>
      <c r="AF34" s="509">
        <f t="shared" si="7"/>
        <v>0</v>
      </c>
      <c r="AH34" s="796">
        <f>精餾產銷!AH33</f>
        <v>0</v>
      </c>
      <c r="AI34" s="796">
        <f t="shared" si="2"/>
        <v>0</v>
      </c>
      <c r="AJ34" s="796">
        <f t="shared" si="3"/>
        <v>0</v>
      </c>
    </row>
    <row r="35" spans="1:36" ht="28.5" hidden="1" customHeight="1" x14ac:dyDescent="0.25">
      <c r="A35" s="98" t="str">
        <f>精餾產銷!A34</f>
        <v>CPNE3-R(一次餾)</v>
      </c>
      <c r="B35" s="387">
        <f>精餾產銷!B34</f>
        <v>0</v>
      </c>
      <c r="C35" s="388">
        <f>精餾產銷!C34</f>
        <v>0</v>
      </c>
      <c r="D35" s="389">
        <f>精餾產銷!D34</f>
        <v>0</v>
      </c>
      <c r="E35" s="367">
        <f>精餾產銷!E34</f>
        <v>0</v>
      </c>
      <c r="F35" s="367">
        <f>精餾產銷!F34</f>
        <v>0</v>
      </c>
      <c r="G35" s="703">
        <f>精餾產銷!G34</f>
        <v>0</v>
      </c>
      <c r="H35" s="704">
        <f>精餾產銷!H34</f>
        <v>0</v>
      </c>
      <c r="I35" s="705">
        <f>精餾產銷!I34</f>
        <v>0</v>
      </c>
      <c r="J35" s="704">
        <f>精餾產銷!J34</f>
        <v>0</v>
      </c>
      <c r="K35" s="706">
        <f>精餾產銷!K34</f>
        <v>0</v>
      </c>
      <c r="L35" s="704">
        <f>精餾產銷!L34</f>
        <v>0</v>
      </c>
      <c r="M35" s="706">
        <f>精餾產銷!M34</f>
        <v>0</v>
      </c>
      <c r="N35" s="707">
        <f>精餾產銷!N34</f>
        <v>0</v>
      </c>
      <c r="O35" s="706">
        <f>精餾產銷!O34</f>
        <v>0</v>
      </c>
      <c r="P35" s="713">
        <f>精餾產銷!P34</f>
        <v>0</v>
      </c>
      <c r="Q35" s="808">
        <f>精餾產銷!Q34</f>
        <v>0</v>
      </c>
      <c r="R35" s="809">
        <f>精餾產銷!R34</f>
        <v>0</v>
      </c>
      <c r="S35" s="714">
        <f>精餾產銷!S34</f>
        <v>0</v>
      </c>
      <c r="T35" s="808">
        <f>精餾產銷!T34</f>
        <v>0</v>
      </c>
      <c r="U35" s="809">
        <f>精餾產銷!U34</f>
        <v>0</v>
      </c>
      <c r="V35" s="714">
        <f>精餾產銷!V34</f>
        <v>0</v>
      </c>
      <c r="W35" s="808">
        <f>精餾產銷!W34</f>
        <v>0</v>
      </c>
      <c r="X35" s="809">
        <f>精餾產銷!X34</f>
        <v>0</v>
      </c>
      <c r="Y35" s="714">
        <f>精餾產銷!Y34</f>
        <v>0</v>
      </c>
      <c r="Z35" s="808">
        <f>精餾產銷!Z34</f>
        <v>0</v>
      </c>
      <c r="AA35" s="809">
        <f>精餾產銷!AA34</f>
        <v>0</v>
      </c>
      <c r="AB35" s="533">
        <f>精餾產銷!AB34</f>
        <v>0</v>
      </c>
      <c r="AC35" s="534">
        <f>精餾產銷!AC34</f>
        <v>0</v>
      </c>
      <c r="AD35" s="534">
        <f>精餾產銷!AD34</f>
        <v>0</v>
      </c>
      <c r="AE35" s="535">
        <f>精餾產銷!AE34</f>
        <v>0</v>
      </c>
      <c r="AF35" s="509">
        <f t="shared" si="7"/>
        <v>0</v>
      </c>
      <c r="AH35" s="796">
        <f>精餾產銷!AH34</f>
        <v>0</v>
      </c>
      <c r="AI35" s="796">
        <f t="shared" si="2"/>
        <v>0</v>
      </c>
      <c r="AJ35" s="796">
        <f t="shared" si="3"/>
        <v>0</v>
      </c>
    </row>
    <row r="36" spans="1:36" ht="28.5" hidden="1" customHeight="1" x14ac:dyDescent="0.25">
      <c r="A36" s="99">
        <f>精餾產銷!A35</f>
        <v>0</v>
      </c>
      <c r="B36" s="368">
        <f>精餾產銷!B35</f>
        <v>0</v>
      </c>
      <c r="C36" s="369">
        <f>精餾產銷!C35</f>
        <v>0</v>
      </c>
      <c r="D36" s="370">
        <f>精餾產銷!D35</f>
        <v>0</v>
      </c>
      <c r="E36" s="371">
        <f>精餾產銷!E35</f>
        <v>0</v>
      </c>
      <c r="F36" s="371">
        <f>精餾產銷!F35</f>
        <v>0</v>
      </c>
      <c r="G36" s="693">
        <f>精餾產銷!G35</f>
        <v>0</v>
      </c>
      <c r="H36" s="566">
        <f>精餾產銷!H35</f>
        <v>0</v>
      </c>
      <c r="I36" s="572">
        <f>精餾產銷!I35</f>
        <v>0</v>
      </c>
      <c r="J36" s="566">
        <f>精餾產銷!J35</f>
        <v>0</v>
      </c>
      <c r="K36" s="595">
        <f>精餾產銷!K35</f>
        <v>0</v>
      </c>
      <c r="L36" s="566">
        <f>精餾產銷!L35</f>
        <v>0</v>
      </c>
      <c r="M36" s="595">
        <f>精餾產銷!M35</f>
        <v>0</v>
      </c>
      <c r="N36" s="567">
        <f>精餾產銷!N35</f>
        <v>0</v>
      </c>
      <c r="O36" s="595">
        <f>精餾產銷!O35</f>
        <v>0</v>
      </c>
      <c r="P36" s="712">
        <f>精餾產銷!P35</f>
        <v>0</v>
      </c>
      <c r="Q36" s="804">
        <f>精餾產銷!Q35</f>
        <v>0</v>
      </c>
      <c r="R36" s="805">
        <f>精餾產銷!R35</f>
        <v>0</v>
      </c>
      <c r="S36" s="694">
        <f>精餾產銷!S35</f>
        <v>0</v>
      </c>
      <c r="T36" s="804">
        <f>精餾產銷!T35</f>
        <v>0</v>
      </c>
      <c r="U36" s="805">
        <f>精餾產銷!U35</f>
        <v>0</v>
      </c>
      <c r="V36" s="694">
        <f>精餾產銷!V35</f>
        <v>0</v>
      </c>
      <c r="W36" s="804">
        <f>精餾產銷!W35</f>
        <v>0</v>
      </c>
      <c r="X36" s="805">
        <f>精餾產銷!X35</f>
        <v>0</v>
      </c>
      <c r="Y36" s="694">
        <f>精餾產銷!Y35</f>
        <v>0</v>
      </c>
      <c r="Z36" s="804">
        <f>精餾產銷!Z35</f>
        <v>0</v>
      </c>
      <c r="AA36" s="805">
        <f>精餾產銷!AA35</f>
        <v>0</v>
      </c>
      <c r="AB36" s="519">
        <f>精餾產銷!AB35</f>
        <v>0</v>
      </c>
      <c r="AC36" s="520">
        <f>精餾產銷!AC35</f>
        <v>0</v>
      </c>
      <c r="AD36" s="520">
        <f>精餾產銷!AD35</f>
        <v>0</v>
      </c>
      <c r="AE36" s="521">
        <f>精餾產銷!AE35</f>
        <v>0</v>
      </c>
      <c r="AF36" s="509">
        <f t="shared" si="7"/>
        <v>0</v>
      </c>
      <c r="AH36" s="796">
        <f>精餾產銷!AH35</f>
        <v>0</v>
      </c>
      <c r="AI36" s="796">
        <f t="shared" si="2"/>
        <v>0</v>
      </c>
      <c r="AJ36" s="796">
        <f t="shared" si="3"/>
        <v>0</v>
      </c>
    </row>
    <row r="37" spans="1:36" ht="28.5" hidden="1" customHeight="1" x14ac:dyDescent="0.25">
      <c r="A37" s="99">
        <f>精餾產銷!A36</f>
        <v>0</v>
      </c>
      <c r="B37" s="368">
        <f>精餾產銷!B36</f>
        <v>0</v>
      </c>
      <c r="C37" s="369">
        <f>精餾產銷!C36</f>
        <v>0</v>
      </c>
      <c r="D37" s="370">
        <f>精餾產銷!D36</f>
        <v>0</v>
      </c>
      <c r="E37" s="371">
        <f>精餾產銷!E36</f>
        <v>0</v>
      </c>
      <c r="F37" s="371">
        <f>精餾產銷!F36</f>
        <v>0</v>
      </c>
      <c r="G37" s="693">
        <f>精餾產銷!G36</f>
        <v>0</v>
      </c>
      <c r="H37" s="566">
        <f>精餾產銷!H36</f>
        <v>0</v>
      </c>
      <c r="I37" s="572">
        <f>精餾產銷!I36</f>
        <v>0</v>
      </c>
      <c r="J37" s="566">
        <f>精餾產銷!J36</f>
        <v>0</v>
      </c>
      <c r="K37" s="595">
        <f>精餾產銷!K36</f>
        <v>0</v>
      </c>
      <c r="L37" s="566">
        <f>精餾產銷!L36</f>
        <v>0</v>
      </c>
      <c r="M37" s="595">
        <f>精餾產銷!M36</f>
        <v>0</v>
      </c>
      <c r="N37" s="567">
        <f>精餾產銷!N36</f>
        <v>0</v>
      </c>
      <c r="O37" s="595">
        <f>精餾產銷!O36</f>
        <v>0</v>
      </c>
      <c r="P37" s="712">
        <f>精餾產銷!P36</f>
        <v>0</v>
      </c>
      <c r="Q37" s="804">
        <f>精餾產銷!Q36</f>
        <v>0</v>
      </c>
      <c r="R37" s="805">
        <f>精餾產銷!R36</f>
        <v>0</v>
      </c>
      <c r="S37" s="694">
        <f>精餾產銷!S36</f>
        <v>0</v>
      </c>
      <c r="T37" s="804">
        <f>精餾產銷!T36</f>
        <v>0</v>
      </c>
      <c r="U37" s="805">
        <f>精餾產銷!U36</f>
        <v>0</v>
      </c>
      <c r="V37" s="694">
        <f>精餾產銷!V36</f>
        <v>0</v>
      </c>
      <c r="W37" s="804">
        <f>精餾產銷!W36</f>
        <v>0</v>
      </c>
      <c r="X37" s="805">
        <f>精餾產銷!X36</f>
        <v>0</v>
      </c>
      <c r="Y37" s="694">
        <f>精餾產銷!Y36</f>
        <v>0</v>
      </c>
      <c r="Z37" s="804">
        <f>精餾產銷!Z36</f>
        <v>0</v>
      </c>
      <c r="AA37" s="805">
        <f>精餾產銷!AA36</f>
        <v>0</v>
      </c>
      <c r="AB37" s="519">
        <f>精餾產銷!AB36</f>
        <v>0</v>
      </c>
      <c r="AC37" s="520">
        <f>精餾產銷!AC36</f>
        <v>0</v>
      </c>
      <c r="AD37" s="520">
        <f>精餾產銷!AD36</f>
        <v>0</v>
      </c>
      <c r="AE37" s="521">
        <f>精餾產銷!AE36</f>
        <v>0</v>
      </c>
      <c r="AF37" s="509">
        <f t="shared" si="7"/>
        <v>0</v>
      </c>
      <c r="AH37" s="796">
        <f>精餾產銷!AH36</f>
        <v>0</v>
      </c>
      <c r="AI37" s="796">
        <f t="shared" si="2"/>
        <v>0</v>
      </c>
      <c r="AJ37" s="796">
        <f t="shared" si="3"/>
        <v>0</v>
      </c>
    </row>
    <row r="38" spans="1:36" ht="28.5" hidden="1" customHeight="1" x14ac:dyDescent="0.25">
      <c r="A38" s="98">
        <f>精餾產銷!A37</f>
        <v>0</v>
      </c>
      <c r="B38" s="387">
        <f>精餾產銷!B37</f>
        <v>0</v>
      </c>
      <c r="C38" s="388">
        <f>精餾產銷!C37</f>
        <v>0</v>
      </c>
      <c r="D38" s="389">
        <f>精餾產銷!D37</f>
        <v>0</v>
      </c>
      <c r="E38" s="367">
        <f>精餾產銷!E37</f>
        <v>0</v>
      </c>
      <c r="F38" s="367">
        <f>精餾產銷!F37</f>
        <v>0</v>
      </c>
      <c r="G38" s="703">
        <f>精餾產銷!G37</f>
        <v>0</v>
      </c>
      <c r="H38" s="704">
        <f>精餾產銷!H37</f>
        <v>0</v>
      </c>
      <c r="I38" s="705">
        <f>精餾產銷!I37</f>
        <v>0</v>
      </c>
      <c r="J38" s="704">
        <f>精餾產銷!J37</f>
        <v>0</v>
      </c>
      <c r="K38" s="706">
        <f>精餾產銷!K37</f>
        <v>0</v>
      </c>
      <c r="L38" s="704">
        <f>精餾產銷!L37</f>
        <v>0</v>
      </c>
      <c r="M38" s="706">
        <f>精餾產銷!M37</f>
        <v>0</v>
      </c>
      <c r="N38" s="707">
        <f>精餾產銷!N37</f>
        <v>0</v>
      </c>
      <c r="O38" s="706">
        <f>精餾產銷!O37</f>
        <v>0</v>
      </c>
      <c r="P38" s="713">
        <f>精餾產銷!P37</f>
        <v>0</v>
      </c>
      <c r="Q38" s="808">
        <f>精餾產銷!Q37</f>
        <v>0</v>
      </c>
      <c r="R38" s="809">
        <f>精餾產銷!R37</f>
        <v>0</v>
      </c>
      <c r="S38" s="714">
        <f>精餾產銷!S37</f>
        <v>0</v>
      </c>
      <c r="T38" s="808">
        <f>精餾產銷!T37</f>
        <v>0</v>
      </c>
      <c r="U38" s="809">
        <f>精餾產銷!U37</f>
        <v>0</v>
      </c>
      <c r="V38" s="714">
        <f>精餾產銷!V37</f>
        <v>0</v>
      </c>
      <c r="W38" s="808">
        <f>精餾產銷!W37</f>
        <v>0</v>
      </c>
      <c r="X38" s="809">
        <f>精餾產銷!X37</f>
        <v>0</v>
      </c>
      <c r="Y38" s="714">
        <f>精餾產銷!Y37</f>
        <v>0</v>
      </c>
      <c r="Z38" s="808">
        <f>精餾產銷!Z37</f>
        <v>0</v>
      </c>
      <c r="AA38" s="809">
        <f>精餾產銷!AA37</f>
        <v>0</v>
      </c>
      <c r="AB38" s="533">
        <f>精餾產銷!AB37</f>
        <v>0</v>
      </c>
      <c r="AC38" s="534">
        <f>精餾產銷!AC37</f>
        <v>0</v>
      </c>
      <c r="AD38" s="534">
        <f>精餾產銷!AD37</f>
        <v>0</v>
      </c>
      <c r="AE38" s="535">
        <f>精餾產銷!AE37</f>
        <v>0</v>
      </c>
      <c r="AF38" s="509">
        <f t="shared" si="7"/>
        <v>0</v>
      </c>
      <c r="AH38" s="796">
        <f>精餾產銷!AH37</f>
        <v>0</v>
      </c>
      <c r="AI38" s="796">
        <f t="shared" si="2"/>
        <v>0</v>
      </c>
      <c r="AJ38" s="796">
        <f t="shared" si="3"/>
        <v>0</v>
      </c>
    </row>
    <row r="39" spans="1:36" ht="28.5" hidden="1" customHeight="1" x14ac:dyDescent="0.25">
      <c r="A39" s="99">
        <f>精餾產銷!A38</f>
        <v>0</v>
      </c>
      <c r="B39" s="368">
        <f>精餾產銷!B38</f>
        <v>0</v>
      </c>
      <c r="C39" s="369">
        <f>精餾產銷!C38</f>
        <v>0</v>
      </c>
      <c r="D39" s="370">
        <f>精餾產銷!D38</f>
        <v>0</v>
      </c>
      <c r="E39" s="371">
        <f>精餾產銷!E38</f>
        <v>0</v>
      </c>
      <c r="F39" s="371">
        <f>精餾產銷!F38</f>
        <v>0</v>
      </c>
      <c r="G39" s="693">
        <f>精餾產銷!G38</f>
        <v>0</v>
      </c>
      <c r="H39" s="566">
        <f>精餾產銷!H38</f>
        <v>0</v>
      </c>
      <c r="I39" s="572">
        <f>精餾產銷!I38</f>
        <v>0</v>
      </c>
      <c r="J39" s="566">
        <f>精餾產銷!J38</f>
        <v>0</v>
      </c>
      <c r="K39" s="595">
        <f>精餾產銷!K38</f>
        <v>0</v>
      </c>
      <c r="L39" s="566">
        <f>精餾產銷!L38</f>
        <v>0</v>
      </c>
      <c r="M39" s="595">
        <f>精餾產銷!M38</f>
        <v>0</v>
      </c>
      <c r="N39" s="567">
        <f>精餾產銷!N38</f>
        <v>0</v>
      </c>
      <c r="O39" s="595">
        <f>精餾產銷!O38</f>
        <v>0</v>
      </c>
      <c r="P39" s="712">
        <f>精餾產銷!P38</f>
        <v>0</v>
      </c>
      <c r="Q39" s="804">
        <f>精餾產銷!Q38</f>
        <v>0</v>
      </c>
      <c r="R39" s="805">
        <f>精餾產銷!R38</f>
        <v>0</v>
      </c>
      <c r="S39" s="694">
        <f>精餾產銷!S38</f>
        <v>0</v>
      </c>
      <c r="T39" s="804">
        <f>精餾產銷!T38</f>
        <v>0</v>
      </c>
      <c r="U39" s="805">
        <f>精餾產銷!U38</f>
        <v>0</v>
      </c>
      <c r="V39" s="694">
        <f>精餾產銷!V38</f>
        <v>0</v>
      </c>
      <c r="W39" s="804">
        <f>精餾產銷!W38</f>
        <v>0</v>
      </c>
      <c r="X39" s="805">
        <f>精餾產銷!X38</f>
        <v>0</v>
      </c>
      <c r="Y39" s="694">
        <f>精餾產銷!Y38</f>
        <v>0</v>
      </c>
      <c r="Z39" s="804">
        <f>精餾產銷!Z38</f>
        <v>0</v>
      </c>
      <c r="AA39" s="805">
        <f>精餾產銷!AA38</f>
        <v>0</v>
      </c>
      <c r="AB39" s="519">
        <f>精餾產銷!AB38</f>
        <v>0</v>
      </c>
      <c r="AC39" s="520">
        <f>精餾產銷!AC38</f>
        <v>0</v>
      </c>
      <c r="AD39" s="520">
        <f>精餾產銷!AD38</f>
        <v>0</v>
      </c>
      <c r="AE39" s="521">
        <f>精餾產銷!AE38</f>
        <v>0</v>
      </c>
      <c r="AF39" s="509">
        <f t="shared" si="7"/>
        <v>0</v>
      </c>
      <c r="AH39" s="796">
        <f>精餾產銷!AH38</f>
        <v>0</v>
      </c>
      <c r="AI39" s="796">
        <f t="shared" si="2"/>
        <v>0</v>
      </c>
      <c r="AJ39" s="796">
        <f t="shared" si="3"/>
        <v>0</v>
      </c>
    </row>
    <row r="40" spans="1:36" ht="28.5" hidden="1" customHeight="1" x14ac:dyDescent="0.25">
      <c r="A40" s="99">
        <f>精餾產銷!A39</f>
        <v>0</v>
      </c>
      <c r="B40" s="368">
        <f>精餾產銷!B39</f>
        <v>0</v>
      </c>
      <c r="C40" s="369">
        <f>精餾產銷!C39</f>
        <v>0</v>
      </c>
      <c r="D40" s="370">
        <f>精餾產銷!D39</f>
        <v>0</v>
      </c>
      <c r="E40" s="371">
        <f>精餾產銷!E39</f>
        <v>0</v>
      </c>
      <c r="F40" s="371">
        <f>精餾產銷!F39</f>
        <v>0</v>
      </c>
      <c r="G40" s="693">
        <f>精餾產銷!G39</f>
        <v>0</v>
      </c>
      <c r="H40" s="566">
        <f>精餾產銷!H39</f>
        <v>0</v>
      </c>
      <c r="I40" s="572">
        <f>精餾產銷!I39</f>
        <v>0</v>
      </c>
      <c r="J40" s="566">
        <f>精餾產銷!J39</f>
        <v>0</v>
      </c>
      <c r="K40" s="595">
        <f>精餾產銷!K39</f>
        <v>0</v>
      </c>
      <c r="L40" s="566">
        <f>精餾產銷!L39</f>
        <v>0</v>
      </c>
      <c r="M40" s="595">
        <f>精餾產銷!M39</f>
        <v>0</v>
      </c>
      <c r="N40" s="567">
        <f>精餾產銷!N39</f>
        <v>0</v>
      </c>
      <c r="O40" s="595">
        <f>精餾產銷!O39</f>
        <v>0</v>
      </c>
      <c r="P40" s="712">
        <f>精餾產銷!P39</f>
        <v>0</v>
      </c>
      <c r="Q40" s="804">
        <f>精餾產銷!Q39</f>
        <v>0</v>
      </c>
      <c r="R40" s="805">
        <f>精餾產銷!R39</f>
        <v>0</v>
      </c>
      <c r="S40" s="694">
        <f>精餾產銷!S39</f>
        <v>0</v>
      </c>
      <c r="T40" s="804">
        <f>精餾產銷!T39</f>
        <v>0</v>
      </c>
      <c r="U40" s="805">
        <f>精餾產銷!U39</f>
        <v>0</v>
      </c>
      <c r="V40" s="694">
        <f>精餾產銷!V39</f>
        <v>0</v>
      </c>
      <c r="W40" s="804">
        <f>精餾產銷!W39</f>
        <v>0</v>
      </c>
      <c r="X40" s="805">
        <f>精餾產銷!X39</f>
        <v>0</v>
      </c>
      <c r="Y40" s="694">
        <f>精餾產銷!Y39</f>
        <v>0</v>
      </c>
      <c r="Z40" s="804">
        <f>精餾產銷!Z39</f>
        <v>0</v>
      </c>
      <c r="AA40" s="805">
        <f>精餾產銷!AA39</f>
        <v>0</v>
      </c>
      <c r="AB40" s="519">
        <f>精餾產銷!AB39</f>
        <v>0</v>
      </c>
      <c r="AC40" s="520">
        <f>精餾產銷!AC39</f>
        <v>0</v>
      </c>
      <c r="AD40" s="520">
        <f>精餾產銷!AD39</f>
        <v>0</v>
      </c>
      <c r="AE40" s="521">
        <f>精餾產銷!AE39</f>
        <v>0</v>
      </c>
      <c r="AF40" s="509">
        <f t="shared" si="7"/>
        <v>0</v>
      </c>
      <c r="AH40" s="796">
        <f>精餾產銷!AH39</f>
        <v>0</v>
      </c>
      <c r="AI40" s="796">
        <f t="shared" si="2"/>
        <v>0</v>
      </c>
      <c r="AJ40" s="796">
        <f t="shared" si="3"/>
        <v>0</v>
      </c>
    </row>
    <row r="41" spans="1:36" ht="28.5" hidden="1" customHeight="1" x14ac:dyDescent="0.25">
      <c r="A41" s="98">
        <f>精餾產銷!A40</f>
        <v>0</v>
      </c>
      <c r="B41" s="387">
        <f>精餾產銷!B40</f>
        <v>0</v>
      </c>
      <c r="C41" s="388">
        <f>精餾產銷!C40</f>
        <v>0</v>
      </c>
      <c r="D41" s="389">
        <f>精餾產銷!D40</f>
        <v>0</v>
      </c>
      <c r="E41" s="367">
        <f>精餾產銷!E40</f>
        <v>0</v>
      </c>
      <c r="F41" s="367">
        <f>精餾產銷!F40</f>
        <v>0</v>
      </c>
      <c r="G41" s="703">
        <f>精餾產銷!G40</f>
        <v>0</v>
      </c>
      <c r="H41" s="704">
        <f>精餾產銷!H40</f>
        <v>0</v>
      </c>
      <c r="I41" s="705">
        <f>精餾產銷!I40</f>
        <v>0</v>
      </c>
      <c r="J41" s="704">
        <f>精餾產銷!J40</f>
        <v>0</v>
      </c>
      <c r="K41" s="706">
        <f>精餾產銷!K40</f>
        <v>0</v>
      </c>
      <c r="L41" s="704">
        <f>精餾產銷!L40</f>
        <v>0</v>
      </c>
      <c r="M41" s="706">
        <f>精餾產銷!M40</f>
        <v>0</v>
      </c>
      <c r="N41" s="707">
        <f>精餾產銷!N40</f>
        <v>0</v>
      </c>
      <c r="O41" s="706">
        <f>精餾產銷!O40</f>
        <v>0</v>
      </c>
      <c r="P41" s="713">
        <f>精餾產銷!P40</f>
        <v>0</v>
      </c>
      <c r="Q41" s="808">
        <f>精餾產銷!Q40</f>
        <v>0</v>
      </c>
      <c r="R41" s="809">
        <f>精餾產銷!R40</f>
        <v>0</v>
      </c>
      <c r="S41" s="714">
        <f>精餾產銷!S40</f>
        <v>0</v>
      </c>
      <c r="T41" s="808">
        <f>精餾產銷!T40</f>
        <v>0</v>
      </c>
      <c r="U41" s="809">
        <f>精餾產銷!U40</f>
        <v>0</v>
      </c>
      <c r="V41" s="714">
        <f>精餾產銷!V40</f>
        <v>0</v>
      </c>
      <c r="W41" s="808">
        <f>精餾產銷!W40</f>
        <v>0</v>
      </c>
      <c r="X41" s="809">
        <f>精餾產銷!X40</f>
        <v>0</v>
      </c>
      <c r="Y41" s="714">
        <f>精餾產銷!Y40</f>
        <v>0</v>
      </c>
      <c r="Z41" s="808">
        <f>精餾產銷!Z40</f>
        <v>0</v>
      </c>
      <c r="AA41" s="809">
        <f>精餾產銷!AA40</f>
        <v>0</v>
      </c>
      <c r="AB41" s="533">
        <f>精餾產銷!AB40</f>
        <v>0</v>
      </c>
      <c r="AC41" s="534">
        <f>精餾產銷!AC40</f>
        <v>0</v>
      </c>
      <c r="AD41" s="534">
        <f>精餾產銷!AD40</f>
        <v>0</v>
      </c>
      <c r="AE41" s="535">
        <f>精餾產銷!AE40</f>
        <v>0</v>
      </c>
      <c r="AF41" s="509">
        <f t="shared" si="7"/>
        <v>0</v>
      </c>
      <c r="AH41" s="796">
        <f>精餾產銷!AH40</f>
        <v>0</v>
      </c>
      <c r="AI41" s="796">
        <f t="shared" si="2"/>
        <v>0</v>
      </c>
      <c r="AJ41" s="796">
        <f t="shared" si="3"/>
        <v>0</v>
      </c>
    </row>
    <row r="42" spans="1:36" ht="28.5" hidden="1" customHeight="1" x14ac:dyDescent="0.25">
      <c r="A42" s="99">
        <f>精餾產銷!A41</f>
        <v>0</v>
      </c>
      <c r="B42" s="368">
        <f>精餾產銷!B41</f>
        <v>0</v>
      </c>
      <c r="C42" s="369">
        <f>精餾產銷!C41</f>
        <v>0</v>
      </c>
      <c r="D42" s="370">
        <f>精餾產銷!D41</f>
        <v>0</v>
      </c>
      <c r="E42" s="371">
        <f>精餾產銷!E41</f>
        <v>0</v>
      </c>
      <c r="F42" s="371">
        <f>精餾產銷!F41</f>
        <v>0</v>
      </c>
      <c r="G42" s="693">
        <f>精餾產銷!G41</f>
        <v>0</v>
      </c>
      <c r="H42" s="566">
        <f>精餾產銷!H41</f>
        <v>0</v>
      </c>
      <c r="I42" s="572">
        <f>精餾產銷!I41</f>
        <v>0</v>
      </c>
      <c r="J42" s="566">
        <f>精餾產銷!J41</f>
        <v>0</v>
      </c>
      <c r="K42" s="595">
        <f>精餾產銷!K41</f>
        <v>0</v>
      </c>
      <c r="L42" s="566">
        <f>精餾產銷!L41</f>
        <v>0</v>
      </c>
      <c r="M42" s="595">
        <f>精餾產銷!M41</f>
        <v>0</v>
      </c>
      <c r="N42" s="567">
        <f>精餾產銷!N41</f>
        <v>0</v>
      </c>
      <c r="O42" s="595">
        <f>精餾產銷!O41</f>
        <v>0</v>
      </c>
      <c r="P42" s="712">
        <f>精餾產銷!P41</f>
        <v>0</v>
      </c>
      <c r="Q42" s="804">
        <f>精餾產銷!Q41</f>
        <v>0</v>
      </c>
      <c r="R42" s="805">
        <f>精餾產銷!R41</f>
        <v>0</v>
      </c>
      <c r="S42" s="694">
        <f>精餾產銷!S41</f>
        <v>0</v>
      </c>
      <c r="T42" s="804">
        <f>精餾產銷!T41</f>
        <v>0</v>
      </c>
      <c r="U42" s="805">
        <f>精餾產銷!U41</f>
        <v>0</v>
      </c>
      <c r="V42" s="694">
        <f>精餾產銷!V41</f>
        <v>0</v>
      </c>
      <c r="W42" s="804">
        <f>精餾產銷!W41</f>
        <v>0</v>
      </c>
      <c r="X42" s="805">
        <f>精餾產銷!X41</f>
        <v>0</v>
      </c>
      <c r="Y42" s="694">
        <f>精餾產銷!Y41</f>
        <v>0</v>
      </c>
      <c r="Z42" s="804">
        <f>精餾產銷!Z41</f>
        <v>0</v>
      </c>
      <c r="AA42" s="805">
        <f>精餾產銷!AA41</f>
        <v>0</v>
      </c>
      <c r="AB42" s="519">
        <f>精餾產銷!AB41</f>
        <v>0</v>
      </c>
      <c r="AC42" s="520">
        <f>精餾產銷!AC41</f>
        <v>0</v>
      </c>
      <c r="AD42" s="520">
        <f>精餾產銷!AD41</f>
        <v>0</v>
      </c>
      <c r="AE42" s="521">
        <f>精餾產銷!AE41</f>
        <v>0</v>
      </c>
      <c r="AF42" s="509">
        <f t="shared" si="7"/>
        <v>0</v>
      </c>
      <c r="AH42" s="796">
        <f>精餾產銷!AH41</f>
        <v>0</v>
      </c>
      <c r="AI42" s="796">
        <f t="shared" si="2"/>
        <v>0</v>
      </c>
      <c r="AJ42" s="796">
        <f t="shared" si="3"/>
        <v>0</v>
      </c>
    </row>
    <row r="43" spans="1:36" ht="28.5" hidden="1" customHeight="1" x14ac:dyDescent="0.25">
      <c r="A43" s="99">
        <f>精餾產銷!A42</f>
        <v>0</v>
      </c>
      <c r="B43" s="368">
        <f>精餾產銷!B42</f>
        <v>0</v>
      </c>
      <c r="C43" s="369">
        <f>精餾產銷!C42</f>
        <v>0</v>
      </c>
      <c r="D43" s="370">
        <f>精餾產銷!D42</f>
        <v>0</v>
      </c>
      <c r="E43" s="371">
        <f>精餾產銷!E42</f>
        <v>0</v>
      </c>
      <c r="F43" s="371">
        <f>精餾產銷!F42</f>
        <v>0</v>
      </c>
      <c r="G43" s="693">
        <f>精餾產銷!G42</f>
        <v>0</v>
      </c>
      <c r="H43" s="566">
        <f>精餾產銷!H42</f>
        <v>0</v>
      </c>
      <c r="I43" s="572">
        <f>精餾產銷!I42</f>
        <v>0</v>
      </c>
      <c r="J43" s="566">
        <f>精餾產銷!J42</f>
        <v>0</v>
      </c>
      <c r="K43" s="595">
        <f>精餾產銷!K42</f>
        <v>0</v>
      </c>
      <c r="L43" s="566">
        <f>精餾產銷!L42</f>
        <v>0</v>
      </c>
      <c r="M43" s="595">
        <f>精餾產銷!M42</f>
        <v>0</v>
      </c>
      <c r="N43" s="567">
        <f>精餾產銷!N42</f>
        <v>0</v>
      </c>
      <c r="O43" s="595">
        <f>精餾產銷!O42</f>
        <v>0</v>
      </c>
      <c r="P43" s="712">
        <f>精餾產銷!P42</f>
        <v>0</v>
      </c>
      <c r="Q43" s="804">
        <f>精餾產銷!Q42</f>
        <v>0</v>
      </c>
      <c r="R43" s="805">
        <f>精餾產銷!R42</f>
        <v>0</v>
      </c>
      <c r="S43" s="694">
        <f>精餾產銷!S42</f>
        <v>0</v>
      </c>
      <c r="T43" s="804">
        <f>精餾產銷!T42</f>
        <v>0</v>
      </c>
      <c r="U43" s="805">
        <f>精餾產銷!U42</f>
        <v>0</v>
      </c>
      <c r="V43" s="694">
        <f>精餾產銷!V42</f>
        <v>0</v>
      </c>
      <c r="W43" s="804">
        <f>精餾產銷!W42</f>
        <v>0</v>
      </c>
      <c r="X43" s="805">
        <f>精餾產銷!X42</f>
        <v>0</v>
      </c>
      <c r="Y43" s="694">
        <f>精餾產銷!Y42</f>
        <v>0</v>
      </c>
      <c r="Z43" s="804">
        <f>精餾產銷!Z42</f>
        <v>0</v>
      </c>
      <c r="AA43" s="805">
        <f>精餾產銷!AA42</f>
        <v>0</v>
      </c>
      <c r="AB43" s="519">
        <f>精餾產銷!AB42</f>
        <v>0</v>
      </c>
      <c r="AC43" s="520">
        <f>精餾產銷!AC42</f>
        <v>0</v>
      </c>
      <c r="AD43" s="520">
        <f>精餾產銷!AD42</f>
        <v>0</v>
      </c>
      <c r="AE43" s="521">
        <f>精餾產銷!AE42</f>
        <v>0</v>
      </c>
      <c r="AF43" s="509">
        <f t="shared" si="7"/>
        <v>0</v>
      </c>
      <c r="AH43" s="796">
        <f>精餾產銷!AH42</f>
        <v>0</v>
      </c>
      <c r="AI43" s="796">
        <f t="shared" si="2"/>
        <v>0</v>
      </c>
      <c r="AJ43" s="796">
        <f t="shared" si="3"/>
        <v>0</v>
      </c>
    </row>
    <row r="44" spans="1:36" ht="28.5" hidden="1" customHeight="1" thickBot="1" x14ac:dyDescent="0.3">
      <c r="A44" s="100"/>
      <c r="B44" s="452"/>
      <c r="C44" s="442"/>
      <c r="D44" s="539"/>
      <c r="E44" s="441"/>
      <c r="F44" s="441"/>
      <c r="G44" s="816">
        <f t="shared" ref="G44" si="9">IF(+D44+E44-F44&lt;=0,0,+D44+E44-F44)</f>
        <v>0</v>
      </c>
      <c r="H44" s="578"/>
      <c r="I44" s="577"/>
      <c r="J44" s="578"/>
      <c r="K44" s="586"/>
      <c r="L44" s="578"/>
      <c r="M44" s="586"/>
      <c r="N44" s="579"/>
      <c r="O44" s="586"/>
      <c r="P44" s="817">
        <f t="shared" ref="P44" si="10">+IF(Q44&lt;&gt;0,"S02",0)</f>
        <v>0</v>
      </c>
      <c r="Q44" s="818"/>
      <c r="R44" s="819"/>
      <c r="S44" s="820">
        <f t="shared" ref="S44" si="11">+IF(T44&lt;&gt;0,"S02",0)</f>
        <v>0</v>
      </c>
      <c r="T44" s="818"/>
      <c r="U44" s="819"/>
      <c r="V44" s="820">
        <f t="shared" ref="V44" si="12">+IF(W44&lt;&gt;0,"S02",0)</f>
        <v>0</v>
      </c>
      <c r="W44" s="818"/>
      <c r="X44" s="819"/>
      <c r="Y44" s="820">
        <f t="shared" ref="Y44" si="13">+IF(Z44&lt;&gt;0,"S02",0)</f>
        <v>0</v>
      </c>
      <c r="Z44" s="818"/>
      <c r="AA44" s="819"/>
      <c r="AB44" s="540">
        <f t="shared" ref="AB44" si="14">+G44-SUM(H44:I44)+SUM(R44)</f>
        <v>0</v>
      </c>
      <c r="AC44" s="541">
        <f t="shared" ref="AC44" si="15">+AB44-SUM(J44:K44)+SUM(U44)</f>
        <v>0</v>
      </c>
      <c r="AD44" s="541">
        <f t="shared" ref="AD44" si="16">+AC44-SUM(L44:M44)+SUM(X44)</f>
        <v>0</v>
      </c>
      <c r="AE44" s="542">
        <f t="shared" ref="AE44" si="17">+AD44-SUM(N44:O44)+SUM(AA44)</f>
        <v>0</v>
      </c>
      <c r="AF44" s="509">
        <f t="shared" si="7"/>
        <v>0</v>
      </c>
      <c r="AH44" s="796">
        <f>精餾產銷!AH43</f>
        <v>0</v>
      </c>
      <c r="AI44" s="796">
        <f t="shared" si="2"/>
        <v>0</v>
      </c>
      <c r="AJ44" s="796">
        <f t="shared" si="3"/>
        <v>0</v>
      </c>
    </row>
    <row r="45" spans="1:36" ht="24" customHeight="1" x14ac:dyDescent="0.25">
      <c r="A45" s="97" t="str">
        <f>初餾產銷!A5</f>
        <v>EBR-P1</v>
      </c>
      <c r="B45" s="363" t="str">
        <f>初餾產銷!B5</f>
        <v>TK631&amp;TK699</v>
      </c>
      <c r="C45" s="361">
        <f>初餾產銷!C5</f>
        <v>685</v>
      </c>
      <c r="D45" s="362">
        <f>初餾產銷!D5</f>
        <v>213.9</v>
      </c>
      <c r="E45" s="362">
        <f>初餾產銷!E5</f>
        <v>0</v>
      </c>
      <c r="F45" s="362">
        <f>初餾產銷!F5</f>
        <v>2</v>
      </c>
      <c r="G45" s="530">
        <f>初餾產銷!G5</f>
        <v>211.9</v>
      </c>
      <c r="H45" s="528">
        <f>初餾產銷!H5</f>
        <v>306</v>
      </c>
      <c r="I45" s="529">
        <f>初餾產銷!J5</f>
        <v>0</v>
      </c>
      <c r="J45" s="528">
        <f>初餾產銷!K5</f>
        <v>1550</v>
      </c>
      <c r="K45" s="799">
        <f>初餾產銷!M5</f>
        <v>0</v>
      </c>
      <c r="L45" s="528">
        <f>初餾產銷!N5</f>
        <v>1550</v>
      </c>
      <c r="M45" s="799">
        <f>初餾產銷!P5</f>
        <v>0</v>
      </c>
      <c r="N45" s="528">
        <f>初餾產銷!Q5</f>
        <v>1550</v>
      </c>
      <c r="O45" s="799">
        <f>初餾產銷!S5</f>
        <v>0</v>
      </c>
      <c r="P45" s="672" t="str">
        <f>初餾產銷!T5</f>
        <v>R01</v>
      </c>
      <c r="Q45" s="821" t="str">
        <f>初餾產銷!U5</f>
        <v>24~31</v>
      </c>
      <c r="R45" s="814">
        <f>初餾產銷!V5</f>
        <v>350</v>
      </c>
      <c r="S45" s="672" t="str">
        <f>初餾產銷!W5</f>
        <v>R02</v>
      </c>
      <c r="T45" s="821" t="str">
        <f>初餾產銷!X5</f>
        <v>1~31</v>
      </c>
      <c r="U45" s="814">
        <f>初餾產銷!Y5</f>
        <v>1500</v>
      </c>
      <c r="V45" s="672" t="str">
        <f>初餾產銷!Z5</f>
        <v>R02</v>
      </c>
      <c r="W45" s="821" t="str">
        <f>初餾產銷!AA5</f>
        <v>1~31</v>
      </c>
      <c r="X45" s="814">
        <f>初餾產銷!AB5</f>
        <v>1500</v>
      </c>
      <c r="Y45" s="672" t="str">
        <f>初餾產銷!AC5</f>
        <v>R02</v>
      </c>
      <c r="Z45" s="821" t="str">
        <f>初餾產銷!AD5</f>
        <v>1~30</v>
      </c>
      <c r="AA45" s="814">
        <f>初餾產銷!AE5</f>
        <v>1500</v>
      </c>
      <c r="AB45" s="510">
        <f>初餾產銷!AF5</f>
        <v>255.9</v>
      </c>
      <c r="AC45" s="511">
        <f>初餾產銷!AG5</f>
        <v>205.90000000000009</v>
      </c>
      <c r="AD45" s="511">
        <f>初餾產銷!AH5</f>
        <v>155.90000000000009</v>
      </c>
      <c r="AE45" s="512">
        <f>初餾產銷!AI5</f>
        <v>105.90000000000009</v>
      </c>
      <c r="AF45" s="509">
        <f t="shared" si="7"/>
        <v>1</v>
      </c>
      <c r="AH45" s="796"/>
      <c r="AI45" s="796">
        <f t="shared" si="2"/>
        <v>0</v>
      </c>
      <c r="AJ45" s="796">
        <f t="shared" si="3"/>
        <v>0</v>
      </c>
    </row>
    <row r="46" spans="1:36" ht="50.25" customHeight="1" x14ac:dyDescent="0.25">
      <c r="A46" s="99" t="str">
        <f>初餾產銷!A6</f>
        <v>CPN-P1</v>
      </c>
      <c r="B46" s="368" t="str">
        <f>初餾產銷!B6</f>
        <v>TK634.TK653</v>
      </c>
      <c r="C46" s="382">
        <f>初餾產銷!C6</f>
        <v>450</v>
      </c>
      <c r="D46" s="362">
        <f>初餾產銷!D6</f>
        <v>187</v>
      </c>
      <c r="E46" s="362">
        <f>初餾產銷!E6</f>
        <v>511</v>
      </c>
      <c r="F46" s="362">
        <f>初餾產銷!F6</f>
        <v>0</v>
      </c>
      <c r="G46" s="530">
        <f>初餾產銷!G6</f>
        <v>698</v>
      </c>
      <c r="H46" s="704">
        <f>初餾產銷!H6</f>
        <v>0</v>
      </c>
      <c r="I46" s="706">
        <f>初餾產銷!J6</f>
        <v>0</v>
      </c>
      <c r="J46" s="704">
        <f>初餾產銷!K6</f>
        <v>0</v>
      </c>
      <c r="K46" s="706">
        <f>初餾產銷!M6</f>
        <v>763</v>
      </c>
      <c r="L46" s="704">
        <f>初餾產銷!N6</f>
        <v>0</v>
      </c>
      <c r="M46" s="706">
        <f>初餾產銷!P6</f>
        <v>861</v>
      </c>
      <c r="N46" s="704">
        <f>初餾產銷!Q6</f>
        <v>0</v>
      </c>
      <c r="O46" s="706">
        <f>初餾產銷!S6</f>
        <v>861</v>
      </c>
      <c r="P46" s="668" t="str">
        <f>初餾產銷!T6</f>
        <v>R02</v>
      </c>
      <c r="Q46" s="957" t="str">
        <f>初餾產銷!U6</f>
        <v>24~31</v>
      </c>
      <c r="R46" s="809">
        <f>初餾產銷!V6</f>
        <v>160</v>
      </c>
      <c r="S46" s="668" t="str">
        <f>初餾產銷!W6</f>
        <v>R01</v>
      </c>
      <c r="T46" s="808" t="str">
        <f>初餾產銷!X6</f>
        <v>1~31</v>
      </c>
      <c r="U46" s="809">
        <f>初餾產銷!Y6</f>
        <v>350</v>
      </c>
      <c r="V46" s="668" t="str">
        <f>初餾產銷!Z6</f>
        <v>R01</v>
      </c>
      <c r="W46" s="808" t="str">
        <f>初餾產銷!AA6</f>
        <v>9~21</v>
      </c>
      <c r="X46" s="809">
        <f>初餾產銷!AB6</f>
        <v>340</v>
      </c>
      <c r="Y46" s="668" t="str">
        <f>初餾產銷!AC6</f>
        <v>R01</v>
      </c>
      <c r="Z46" s="808" t="str">
        <f>初餾產銷!AD6</f>
        <v>1~30</v>
      </c>
      <c r="AA46" s="809">
        <f>初餾產銷!AE6</f>
        <v>340</v>
      </c>
      <c r="AB46" s="522">
        <f>初餾產銷!AF6</f>
        <v>1058</v>
      </c>
      <c r="AC46" s="523">
        <f>初餾產銷!AG6</f>
        <v>845</v>
      </c>
      <c r="AD46" s="523">
        <f>初餾產銷!AH6</f>
        <v>424</v>
      </c>
      <c r="AE46" s="524">
        <f>初餾產銷!AI6</f>
        <v>3</v>
      </c>
      <c r="AF46" s="509">
        <f t="shared" si="7"/>
        <v>1</v>
      </c>
      <c r="AH46" s="796"/>
      <c r="AI46" s="796">
        <f t="shared" si="2"/>
        <v>0</v>
      </c>
      <c r="AJ46" s="796">
        <f t="shared" si="3"/>
        <v>0</v>
      </c>
    </row>
    <row r="47" spans="1:36" ht="28.5" hidden="1" customHeight="1" x14ac:dyDescent="0.25">
      <c r="A47" s="97" t="str">
        <f>初餾產銷!A7</f>
        <v>EBR-P2</v>
      </c>
      <c r="B47" s="543" t="str">
        <f>初餾產銷!B7</f>
        <v>TK655</v>
      </c>
      <c r="C47" s="361">
        <f>初餾產銷!C7</f>
        <v>48</v>
      </c>
      <c r="D47" s="362">
        <f>初餾產銷!D7</f>
        <v>0</v>
      </c>
      <c r="E47" s="362">
        <f>初餾產銷!E7</f>
        <v>0</v>
      </c>
      <c r="F47" s="362">
        <f>初餾產銷!F7</f>
        <v>1</v>
      </c>
      <c r="G47" s="530">
        <f>初餾產銷!G7</f>
        <v>0</v>
      </c>
      <c r="H47" s="566">
        <f>初餾產銷!H7</f>
        <v>0</v>
      </c>
      <c r="I47" s="595">
        <f>初餾產銷!J7</f>
        <v>0</v>
      </c>
      <c r="J47" s="566">
        <f>初餾產銷!K7</f>
        <v>0</v>
      </c>
      <c r="K47" s="595">
        <f>初餾產銷!M7</f>
        <v>0</v>
      </c>
      <c r="L47" s="567">
        <f>初餾產銷!N7</f>
        <v>0</v>
      </c>
      <c r="M47" s="595">
        <f>初餾產銷!P7</f>
        <v>0</v>
      </c>
      <c r="N47" s="567">
        <f>初餾產銷!Q7</f>
        <v>0</v>
      </c>
      <c r="O47" s="595">
        <f>初餾產銷!S7</f>
        <v>0</v>
      </c>
      <c r="P47" s="668">
        <f>初餾產銷!T7</f>
        <v>0</v>
      </c>
      <c r="Q47" s="804">
        <f>初餾產銷!U7</f>
        <v>0</v>
      </c>
      <c r="R47" s="805">
        <f>初餾產銷!V7</f>
        <v>0</v>
      </c>
      <c r="S47" s="668">
        <f>初餾產銷!W7</f>
        <v>0</v>
      </c>
      <c r="T47" s="804">
        <f>初餾產銷!X7</f>
        <v>0</v>
      </c>
      <c r="U47" s="805">
        <f>初餾產銷!Y7</f>
        <v>0</v>
      </c>
      <c r="V47" s="668">
        <f>初餾產銷!Z7</f>
        <v>0</v>
      </c>
      <c r="W47" s="804">
        <f>初餾產銷!AA7</f>
        <v>0</v>
      </c>
      <c r="X47" s="805">
        <f>初餾產銷!AB7</f>
        <v>0</v>
      </c>
      <c r="Y47" s="668">
        <f>初餾產銷!AC7</f>
        <v>0</v>
      </c>
      <c r="Z47" s="804">
        <f>初餾產銷!AD7</f>
        <v>0</v>
      </c>
      <c r="AA47" s="805">
        <f>初餾產銷!AE7</f>
        <v>0</v>
      </c>
      <c r="AB47" s="522">
        <f>初餾產銷!AF7</f>
        <v>0</v>
      </c>
      <c r="AC47" s="523">
        <f>初餾產銷!AG7</f>
        <v>0</v>
      </c>
      <c r="AD47" s="523">
        <f>初餾產銷!AH7</f>
        <v>0</v>
      </c>
      <c r="AE47" s="524">
        <f>初餾產銷!AI7</f>
        <v>0</v>
      </c>
      <c r="AF47" s="509">
        <f t="shared" si="7"/>
        <v>0</v>
      </c>
      <c r="AH47" s="796"/>
      <c r="AI47" s="796">
        <f t="shared" si="2"/>
        <v>0</v>
      </c>
      <c r="AJ47" s="796">
        <f t="shared" si="3"/>
        <v>0</v>
      </c>
    </row>
    <row r="48" spans="1:36" ht="24" customHeight="1" x14ac:dyDescent="0.25">
      <c r="A48" s="97" t="str">
        <f>初餾產銷!A8</f>
        <v>EBR95</v>
      </c>
      <c r="B48" s="543" t="str">
        <f>初餾產銷!B8</f>
        <v>TK653</v>
      </c>
      <c r="C48" s="361">
        <f>初餾產銷!C8</f>
        <v>50</v>
      </c>
      <c r="D48" s="362">
        <f>初餾產銷!D8</f>
        <v>36.9</v>
      </c>
      <c r="E48" s="362">
        <f>初餾產銷!E8</f>
        <v>0</v>
      </c>
      <c r="F48" s="362">
        <f>初餾產銷!F8</f>
        <v>1</v>
      </c>
      <c r="G48" s="693">
        <f>初餾產銷!G8</f>
        <v>37</v>
      </c>
      <c r="H48" s="566">
        <f>初餾產銷!H8</f>
        <v>37</v>
      </c>
      <c r="I48" s="572">
        <f>初餾產銷!J8</f>
        <v>0</v>
      </c>
      <c r="J48" s="566">
        <f>初餾產銷!K8</f>
        <v>0</v>
      </c>
      <c r="K48" s="595">
        <f>初餾產銷!M8</f>
        <v>0</v>
      </c>
      <c r="L48" s="566">
        <f>初餾產銷!N8</f>
        <v>35</v>
      </c>
      <c r="M48" s="595">
        <f>初餾產銷!P8</f>
        <v>0</v>
      </c>
      <c r="N48" s="567">
        <f>初餾產銷!Q8</f>
        <v>0</v>
      </c>
      <c r="O48" s="595">
        <f>初餾產銷!S8</f>
        <v>0</v>
      </c>
      <c r="P48" s="668">
        <f>初餾產銷!T8</f>
        <v>0</v>
      </c>
      <c r="Q48" s="804">
        <f>初餾產銷!U8</f>
        <v>0</v>
      </c>
      <c r="R48" s="805">
        <f>初餾產銷!V8</f>
        <v>0</v>
      </c>
      <c r="S48" s="668">
        <f>初餾產銷!W8</f>
        <v>0</v>
      </c>
      <c r="T48" s="804">
        <f>初餾產銷!X8</f>
        <v>0</v>
      </c>
      <c r="U48" s="805">
        <f>初餾產銷!Y8</f>
        <v>0</v>
      </c>
      <c r="V48" s="668" t="str">
        <f>初餾產銷!Z8</f>
        <v>R01</v>
      </c>
      <c r="W48" s="804" t="str">
        <f>初餾產銷!AA8</f>
        <v>3~7</v>
      </c>
      <c r="X48" s="805">
        <f>初餾產銷!AB8</f>
        <v>35</v>
      </c>
      <c r="Y48" s="668">
        <f>初餾產銷!AC8</f>
        <v>0</v>
      </c>
      <c r="Z48" s="804">
        <f>初餾產銷!AD8</f>
        <v>0</v>
      </c>
      <c r="AA48" s="805">
        <f>初餾產銷!AE8</f>
        <v>0</v>
      </c>
      <c r="AB48" s="536">
        <f>初餾產銷!AF8</f>
        <v>0</v>
      </c>
      <c r="AC48" s="537">
        <f>初餾產銷!AG8</f>
        <v>0</v>
      </c>
      <c r="AD48" s="537">
        <f>初餾產銷!AH8</f>
        <v>0</v>
      </c>
      <c r="AE48" s="538">
        <f>初餾產銷!AI8</f>
        <v>0</v>
      </c>
      <c r="AF48" s="509">
        <f t="shared" si="7"/>
        <v>1</v>
      </c>
      <c r="AH48" s="796"/>
      <c r="AI48" s="796">
        <f t="shared" si="2"/>
        <v>0</v>
      </c>
      <c r="AJ48" s="796">
        <f t="shared" si="3"/>
        <v>0</v>
      </c>
    </row>
    <row r="49" spans="1:36" ht="24" customHeight="1" x14ac:dyDescent="0.25">
      <c r="A49" s="99" t="str">
        <f>初餾產銷!A9</f>
        <v>Mixed Ether</v>
      </c>
      <c r="B49" s="368" t="str">
        <f>初餾產銷!B9</f>
        <v>TK673.TK674</v>
      </c>
      <c r="C49" s="382">
        <f>初餾產銷!C9</f>
        <v>116</v>
      </c>
      <c r="D49" s="411">
        <f>初餾產銷!D9</f>
        <v>0</v>
      </c>
      <c r="E49" s="411">
        <f>初餾產銷!E9</f>
        <v>0</v>
      </c>
      <c r="F49" s="411">
        <f>初餾產銷!F9</f>
        <v>1</v>
      </c>
      <c r="G49" s="693">
        <f>初餾產銷!G9</f>
        <v>0</v>
      </c>
      <c r="H49" s="566">
        <f>初餾產銷!H9</f>
        <v>0</v>
      </c>
      <c r="I49" s="595">
        <f>初餾產銷!J9</f>
        <v>0</v>
      </c>
      <c r="J49" s="566">
        <f>初餾產銷!K9</f>
        <v>0</v>
      </c>
      <c r="K49" s="595">
        <f>初餾產銷!M9</f>
        <v>0</v>
      </c>
      <c r="L49" s="566">
        <f>初餾產銷!N9</f>
        <v>0</v>
      </c>
      <c r="M49" s="595">
        <f>初餾產銷!P9</f>
        <v>0</v>
      </c>
      <c r="N49" s="566">
        <f>初餾產銷!Q9</f>
        <v>0</v>
      </c>
      <c r="O49" s="595">
        <f>初餾產銷!S9</f>
        <v>0</v>
      </c>
      <c r="P49" s="668">
        <f>初餾產銷!T9</f>
        <v>0</v>
      </c>
      <c r="Q49" s="804">
        <f>初餾產銷!U9</f>
        <v>0</v>
      </c>
      <c r="R49" s="805">
        <f>初餾產銷!V9</f>
        <v>0</v>
      </c>
      <c r="S49" s="668" t="str">
        <f>初餾產銷!W9</f>
        <v>R01</v>
      </c>
      <c r="T49" s="804" t="str">
        <f>初餾產銷!X9</f>
        <v>15~19</v>
      </c>
      <c r="U49" s="995">
        <f>初餾產銷!Y9</f>
        <v>80</v>
      </c>
      <c r="V49" s="668">
        <f>初餾產銷!Z9</f>
        <v>0</v>
      </c>
      <c r="W49" s="804">
        <f>初餾產銷!AA9</f>
        <v>0</v>
      </c>
      <c r="X49" s="805">
        <f>初餾產銷!AB9</f>
        <v>0</v>
      </c>
      <c r="Y49" s="668">
        <f>初餾產銷!AC9</f>
        <v>0</v>
      </c>
      <c r="Z49" s="804">
        <f>初餾產銷!AD9</f>
        <v>0</v>
      </c>
      <c r="AA49" s="805">
        <f>初餾產銷!AE9</f>
        <v>0</v>
      </c>
      <c r="AB49" s="536">
        <f>初餾產銷!AF9</f>
        <v>0</v>
      </c>
      <c r="AC49" s="537">
        <f>初餾產銷!AG9</f>
        <v>80</v>
      </c>
      <c r="AD49" s="537">
        <f>初餾產銷!AH9</f>
        <v>80</v>
      </c>
      <c r="AE49" s="538">
        <f>初餾產銷!AI9</f>
        <v>80</v>
      </c>
      <c r="AF49" s="509">
        <f t="shared" si="7"/>
        <v>1</v>
      </c>
      <c r="AH49" s="796"/>
      <c r="AI49" s="796">
        <f t="shared" si="2"/>
        <v>0</v>
      </c>
      <c r="AJ49" s="796">
        <f t="shared" si="3"/>
        <v>0</v>
      </c>
    </row>
    <row r="50" spans="1:36" ht="24" customHeight="1" thickBot="1" x14ac:dyDescent="0.3">
      <c r="A50" s="99" t="str">
        <f>初餾產銷!A10</f>
        <v>DPM-B1</v>
      </c>
      <c r="B50" s="390" t="str">
        <f>初餾產銷!B10</f>
        <v>TK641</v>
      </c>
      <c r="C50" s="382">
        <f>初餾產銷!C10</f>
        <v>115</v>
      </c>
      <c r="D50" s="362">
        <f>初餾產銷!D10</f>
        <v>46.6</v>
      </c>
      <c r="E50" s="362">
        <f>初餾產銷!E10</f>
        <v>0</v>
      </c>
      <c r="F50" s="362">
        <f>初餾產銷!F10</f>
        <v>1</v>
      </c>
      <c r="G50" s="530">
        <f>初餾產銷!G10</f>
        <v>45.6</v>
      </c>
      <c r="H50" s="528">
        <f>初餾產銷!H10</f>
        <v>0</v>
      </c>
      <c r="I50" s="529">
        <f>初餾產銷!J10</f>
        <v>0</v>
      </c>
      <c r="J50" s="528">
        <f>初餾產銷!K10</f>
        <v>40</v>
      </c>
      <c r="K50" s="529">
        <f>初餾產銷!M10</f>
        <v>0</v>
      </c>
      <c r="L50" s="528">
        <f>初餾產銷!N10</f>
        <v>20</v>
      </c>
      <c r="M50" s="529">
        <f>初餾產銷!P10</f>
        <v>0</v>
      </c>
      <c r="N50" s="528">
        <f>初餾產銷!Q10</f>
        <v>20</v>
      </c>
      <c r="O50" s="529">
        <f>初餾產銷!S10</f>
        <v>0</v>
      </c>
      <c r="P50" s="668">
        <f>初餾產銷!T10</f>
        <v>0</v>
      </c>
      <c r="Q50" s="813">
        <f>初餾產銷!U10</f>
        <v>0</v>
      </c>
      <c r="R50" s="814">
        <f>初餾產銷!V10</f>
        <v>0</v>
      </c>
      <c r="S50" s="668">
        <f>初餾產銷!W10</f>
        <v>0</v>
      </c>
      <c r="T50" s="813">
        <f>初餾產銷!X10</f>
        <v>0</v>
      </c>
      <c r="U50" s="814">
        <f>初餾產銷!Y10</f>
        <v>0</v>
      </c>
      <c r="V50" s="668" t="str">
        <f>初餾產銷!Z10</f>
        <v>R01</v>
      </c>
      <c r="W50" s="813" t="str">
        <f>初餾產銷!AA10</f>
        <v>22~30</v>
      </c>
      <c r="X50" s="814">
        <f>初餾產銷!AB10</f>
        <v>60</v>
      </c>
      <c r="Y50" s="668">
        <f>初餾產銷!AC10</f>
        <v>0</v>
      </c>
      <c r="Z50" s="813">
        <f>初餾產銷!AD10</f>
        <v>0</v>
      </c>
      <c r="AA50" s="814">
        <f>初餾產銷!AE10</f>
        <v>0</v>
      </c>
      <c r="AB50" s="510">
        <f>初餾產銷!AF10</f>
        <v>45.6</v>
      </c>
      <c r="AC50" s="511">
        <f>初餾產銷!AG10</f>
        <v>5.6000000000000014</v>
      </c>
      <c r="AD50" s="511">
        <f>初餾產銷!AH10</f>
        <v>45.6</v>
      </c>
      <c r="AE50" s="512">
        <f>初餾產銷!AI10</f>
        <v>25.6</v>
      </c>
      <c r="AF50" s="509">
        <f t="shared" si="7"/>
        <v>1</v>
      </c>
      <c r="AH50" s="796"/>
      <c r="AI50" s="796">
        <f t="shared" si="2"/>
        <v>0</v>
      </c>
      <c r="AJ50" s="796">
        <f t="shared" si="3"/>
        <v>0</v>
      </c>
    </row>
    <row r="51" spans="1:36" ht="28.5" hidden="1" customHeight="1" x14ac:dyDescent="0.25">
      <c r="A51" s="151" t="str">
        <f>初餾產銷!A11</f>
        <v>EBR-P4</v>
      </c>
      <c r="B51" s="363" t="str">
        <f>初餾產銷!B11</f>
        <v>TK-673&amp;TK674</v>
      </c>
      <c r="C51" s="361">
        <f>初餾產銷!C11</f>
        <v>119</v>
      </c>
      <c r="D51" s="362">
        <f>初餾產銷!D11</f>
        <v>0</v>
      </c>
      <c r="E51" s="362">
        <f>初餾產銷!E11</f>
        <v>0</v>
      </c>
      <c r="F51" s="362">
        <f>初餾產銷!F11</f>
        <v>1</v>
      </c>
      <c r="G51" s="530">
        <f>初餾產銷!G11</f>
        <v>0</v>
      </c>
      <c r="H51" s="566">
        <f>初餾產銷!H11</f>
        <v>0</v>
      </c>
      <c r="I51" s="572">
        <f>初餾產銷!J11</f>
        <v>0</v>
      </c>
      <c r="J51" s="566">
        <f>初餾產銷!K11</f>
        <v>0</v>
      </c>
      <c r="K51" s="595">
        <f>初餾產銷!M11</f>
        <v>0</v>
      </c>
      <c r="L51" s="566">
        <f>初餾產銷!N11</f>
        <v>0</v>
      </c>
      <c r="M51" s="595">
        <f>初餾產銷!P11</f>
        <v>0</v>
      </c>
      <c r="N51" s="567">
        <f>初餾產銷!Q11</f>
        <v>0</v>
      </c>
      <c r="O51" s="595">
        <f>初餾產銷!S11</f>
        <v>0</v>
      </c>
      <c r="P51" s="668">
        <f>初餾產銷!T11</f>
        <v>0</v>
      </c>
      <c r="Q51" s="804">
        <f>初餾產銷!U11</f>
        <v>0</v>
      </c>
      <c r="R51" s="805">
        <f>初餾產銷!V11</f>
        <v>0</v>
      </c>
      <c r="S51" s="668">
        <f>初餾產銷!W11</f>
        <v>0</v>
      </c>
      <c r="T51" s="804">
        <f>初餾產銷!X11</f>
        <v>0</v>
      </c>
      <c r="U51" s="805">
        <f>初餾產銷!Y11</f>
        <v>0</v>
      </c>
      <c r="V51" s="668">
        <f>初餾產銷!Z11</f>
        <v>0</v>
      </c>
      <c r="W51" s="804">
        <f>初餾產銷!AA11</f>
        <v>0</v>
      </c>
      <c r="X51" s="805">
        <f>初餾產銷!AB11</f>
        <v>0</v>
      </c>
      <c r="Y51" s="668">
        <f>初餾產銷!AC11</f>
        <v>0</v>
      </c>
      <c r="Z51" s="804">
        <f>初餾產銷!AD11</f>
        <v>0</v>
      </c>
      <c r="AA51" s="805">
        <f>初餾產銷!AE11</f>
        <v>0</v>
      </c>
      <c r="AB51" s="522">
        <f>初餾產銷!AF11</f>
        <v>0</v>
      </c>
      <c r="AC51" s="523">
        <f>初餾產銷!AG11</f>
        <v>0</v>
      </c>
      <c r="AD51" s="523">
        <f>初餾產銷!AH11</f>
        <v>0</v>
      </c>
      <c r="AE51" s="524">
        <f>初餾產銷!AI11</f>
        <v>0</v>
      </c>
      <c r="AF51" s="509">
        <f t="shared" si="7"/>
        <v>0</v>
      </c>
      <c r="AH51" s="796"/>
      <c r="AI51" s="796">
        <f t="shared" si="2"/>
        <v>0</v>
      </c>
      <c r="AJ51" s="796">
        <f t="shared" si="3"/>
        <v>0</v>
      </c>
    </row>
    <row r="52" spans="1:36" ht="28.5" hidden="1" customHeight="1" x14ac:dyDescent="0.25">
      <c r="A52" s="97">
        <f>初餾產銷!A12</f>
        <v>0</v>
      </c>
      <c r="B52" s="390">
        <f>初餾產銷!B12</f>
        <v>0</v>
      </c>
      <c r="C52" s="361">
        <f>初餾產銷!C12</f>
        <v>0</v>
      </c>
      <c r="D52" s="362">
        <f>初餾產銷!D12</f>
        <v>0</v>
      </c>
      <c r="E52" s="362">
        <f>初餾產銷!E12</f>
        <v>0</v>
      </c>
      <c r="F52" s="362">
        <f>初餾產銷!F12</f>
        <v>0</v>
      </c>
      <c r="G52" s="530">
        <f>初餾產銷!G12</f>
        <v>0</v>
      </c>
      <c r="H52" s="566">
        <f>初餾產銷!H12</f>
        <v>0</v>
      </c>
      <c r="I52" s="572">
        <f>初餾產銷!J12</f>
        <v>0</v>
      </c>
      <c r="J52" s="566">
        <f>初餾產銷!K12</f>
        <v>0</v>
      </c>
      <c r="K52" s="595">
        <f>初餾產銷!M12</f>
        <v>0</v>
      </c>
      <c r="L52" s="566">
        <f>初餾產銷!N12</f>
        <v>0</v>
      </c>
      <c r="M52" s="595">
        <f>初餾產銷!P12</f>
        <v>0</v>
      </c>
      <c r="N52" s="567">
        <f>初餾產銷!Q12</f>
        <v>0</v>
      </c>
      <c r="O52" s="595">
        <f>初餾產銷!S12</f>
        <v>0</v>
      </c>
      <c r="P52" s="668">
        <f>初餾產銷!T12</f>
        <v>0</v>
      </c>
      <c r="Q52" s="804">
        <f>初餾產銷!U12</f>
        <v>0</v>
      </c>
      <c r="R52" s="805">
        <f>初餾產銷!V12</f>
        <v>0</v>
      </c>
      <c r="S52" s="668">
        <f>初餾產銷!W12</f>
        <v>0</v>
      </c>
      <c r="T52" s="804">
        <f>初餾產銷!X12</f>
        <v>0</v>
      </c>
      <c r="U52" s="805">
        <f>初餾產銷!Y12</f>
        <v>0</v>
      </c>
      <c r="V52" s="668">
        <f>初餾產銷!Z12</f>
        <v>0</v>
      </c>
      <c r="W52" s="804">
        <f>初餾產銷!AA12</f>
        <v>0</v>
      </c>
      <c r="X52" s="805">
        <f>初餾產銷!AB12</f>
        <v>0</v>
      </c>
      <c r="Y52" s="668">
        <f>初餾產銷!AC12</f>
        <v>0</v>
      </c>
      <c r="Z52" s="804">
        <f>初餾產銷!AD12</f>
        <v>0</v>
      </c>
      <c r="AA52" s="805">
        <f>初餾產銷!AE12</f>
        <v>0</v>
      </c>
      <c r="AB52" s="533">
        <f>初餾產銷!AF12</f>
        <v>0</v>
      </c>
      <c r="AC52" s="534">
        <f>初餾產銷!AG12</f>
        <v>0</v>
      </c>
      <c r="AD52" s="534">
        <f>初餾產銷!AH12</f>
        <v>0</v>
      </c>
      <c r="AE52" s="535">
        <f>初餾產銷!AI12</f>
        <v>0</v>
      </c>
      <c r="AF52" s="509">
        <f t="shared" si="7"/>
        <v>0</v>
      </c>
      <c r="AH52" s="796"/>
      <c r="AI52" s="796">
        <f t="shared" si="2"/>
        <v>0</v>
      </c>
      <c r="AJ52" s="796">
        <f t="shared" si="3"/>
        <v>0</v>
      </c>
    </row>
    <row r="53" spans="1:36" ht="28.5" hidden="1" customHeight="1" x14ac:dyDescent="0.25">
      <c r="A53" s="99">
        <f>初餾產銷!A13</f>
        <v>0</v>
      </c>
      <c r="B53" s="368">
        <f>初餾產銷!B13</f>
        <v>0</v>
      </c>
      <c r="C53" s="486">
        <f>初餾產銷!C13</f>
        <v>0</v>
      </c>
      <c r="D53" s="544">
        <f>初餾產銷!D13</f>
        <v>0</v>
      </c>
      <c r="E53" s="544">
        <f>初餾產銷!E13</f>
        <v>0</v>
      </c>
      <c r="F53" s="544">
        <f>初餾產銷!F13</f>
        <v>0</v>
      </c>
      <c r="G53" s="693">
        <f>初餾產銷!G13</f>
        <v>0</v>
      </c>
      <c r="H53" s="566">
        <f>初餾產銷!H13</f>
        <v>0</v>
      </c>
      <c r="I53" s="572">
        <f>初餾產銷!J13</f>
        <v>0</v>
      </c>
      <c r="J53" s="566">
        <f>初餾產銷!K13</f>
        <v>0</v>
      </c>
      <c r="K53" s="595">
        <f>初餾產銷!M13</f>
        <v>0</v>
      </c>
      <c r="L53" s="566">
        <f>初餾產銷!N13</f>
        <v>0</v>
      </c>
      <c r="M53" s="595">
        <f>初餾產銷!P13</f>
        <v>0</v>
      </c>
      <c r="N53" s="567">
        <f>初餾產銷!Q13</f>
        <v>0</v>
      </c>
      <c r="O53" s="595">
        <f>初餾產銷!S13</f>
        <v>0</v>
      </c>
      <c r="P53" s="668">
        <f>初餾產銷!T13</f>
        <v>0</v>
      </c>
      <c r="Q53" s="804">
        <f>初餾產銷!U13</f>
        <v>0</v>
      </c>
      <c r="R53" s="805">
        <f>初餾產銷!V13</f>
        <v>0</v>
      </c>
      <c r="S53" s="668">
        <f>初餾產銷!W13</f>
        <v>0</v>
      </c>
      <c r="T53" s="804">
        <f>初餾產銷!X13</f>
        <v>0</v>
      </c>
      <c r="U53" s="805">
        <f>初餾產銷!Y13</f>
        <v>0</v>
      </c>
      <c r="V53" s="668">
        <f>初餾產銷!Z13</f>
        <v>0</v>
      </c>
      <c r="W53" s="804">
        <f>初餾產銷!AA13</f>
        <v>0</v>
      </c>
      <c r="X53" s="805">
        <f>初餾產銷!AB13</f>
        <v>0</v>
      </c>
      <c r="Y53" s="668">
        <f>初餾產銷!AC13</f>
        <v>0</v>
      </c>
      <c r="Z53" s="804">
        <f>初餾產銷!AD13</f>
        <v>0</v>
      </c>
      <c r="AA53" s="805">
        <f>初餾產銷!AE13</f>
        <v>0</v>
      </c>
      <c r="AB53" s="522">
        <f>初餾產銷!AF13</f>
        <v>0</v>
      </c>
      <c r="AC53" s="523">
        <f>初餾產銷!AG13</f>
        <v>0</v>
      </c>
      <c r="AD53" s="523">
        <f>初餾產銷!AH13</f>
        <v>0</v>
      </c>
      <c r="AE53" s="524">
        <f>初餾產銷!AI13</f>
        <v>0</v>
      </c>
      <c r="AF53" s="509">
        <f t="shared" si="7"/>
        <v>0</v>
      </c>
      <c r="AH53" s="796"/>
      <c r="AI53" s="796">
        <f t="shared" si="2"/>
        <v>0</v>
      </c>
      <c r="AJ53" s="796">
        <f t="shared" si="3"/>
        <v>0</v>
      </c>
    </row>
    <row r="54" spans="1:36" ht="28.5" hidden="1" customHeight="1" x14ac:dyDescent="0.25">
      <c r="A54" s="99">
        <f>初餾產銷!A14</f>
        <v>0</v>
      </c>
      <c r="B54" s="368">
        <f>初餾產銷!B14</f>
        <v>0</v>
      </c>
      <c r="C54" s="369">
        <f>初餾產銷!C14</f>
        <v>0</v>
      </c>
      <c r="D54" s="370">
        <f>初餾產銷!D14</f>
        <v>0</v>
      </c>
      <c r="E54" s="371">
        <f>初餾產銷!E14</f>
        <v>0</v>
      </c>
      <c r="F54" s="371">
        <f>初餾產銷!F14</f>
        <v>0</v>
      </c>
      <c r="G54" s="693">
        <f>初餾產銷!G14</f>
        <v>0</v>
      </c>
      <c r="H54" s="566">
        <f>初餾產銷!H14</f>
        <v>0</v>
      </c>
      <c r="I54" s="572">
        <f>初餾產銷!J14</f>
        <v>0</v>
      </c>
      <c r="J54" s="566">
        <f>初餾產銷!K14</f>
        <v>0</v>
      </c>
      <c r="K54" s="595">
        <f>初餾產銷!M14</f>
        <v>0</v>
      </c>
      <c r="L54" s="566">
        <f>初餾產銷!N14</f>
        <v>0</v>
      </c>
      <c r="M54" s="595">
        <f>初餾產銷!P14</f>
        <v>0</v>
      </c>
      <c r="N54" s="567">
        <f>初餾產銷!Q14</f>
        <v>0</v>
      </c>
      <c r="O54" s="595">
        <f>初餾產銷!S14</f>
        <v>0</v>
      </c>
      <c r="P54" s="668">
        <f>初餾產銷!T14</f>
        <v>0</v>
      </c>
      <c r="Q54" s="804">
        <f>初餾產銷!U14</f>
        <v>0</v>
      </c>
      <c r="R54" s="805">
        <f>初餾產銷!V14</f>
        <v>0</v>
      </c>
      <c r="S54" s="668">
        <f>初餾產銷!W14</f>
        <v>0</v>
      </c>
      <c r="T54" s="804">
        <f>初餾產銷!X14</f>
        <v>0</v>
      </c>
      <c r="U54" s="805">
        <f>初餾產銷!Y14</f>
        <v>0</v>
      </c>
      <c r="V54" s="668">
        <f>初餾產銷!Z14</f>
        <v>0</v>
      </c>
      <c r="W54" s="804">
        <f>初餾產銷!AA14</f>
        <v>0</v>
      </c>
      <c r="X54" s="805">
        <f>初餾產銷!AB14</f>
        <v>0</v>
      </c>
      <c r="Y54" s="668">
        <f>初餾產銷!AC14</f>
        <v>0</v>
      </c>
      <c r="Z54" s="804">
        <f>初餾產銷!AD14</f>
        <v>0</v>
      </c>
      <c r="AA54" s="805">
        <f>初餾產銷!AE14</f>
        <v>0</v>
      </c>
      <c r="AB54" s="522">
        <f>初餾產銷!AF14</f>
        <v>0</v>
      </c>
      <c r="AC54" s="523">
        <f>初餾產銷!AG14</f>
        <v>0</v>
      </c>
      <c r="AD54" s="523">
        <f>初餾產銷!AH14</f>
        <v>0</v>
      </c>
      <c r="AE54" s="524">
        <f>初餾產銷!AI14</f>
        <v>0</v>
      </c>
      <c r="AF54" s="509">
        <f t="shared" si="7"/>
        <v>0</v>
      </c>
      <c r="AH54" s="796"/>
      <c r="AI54" s="796">
        <f t="shared" si="2"/>
        <v>0</v>
      </c>
      <c r="AJ54" s="796">
        <f t="shared" si="3"/>
        <v>0</v>
      </c>
    </row>
    <row r="55" spans="1:36" ht="28.5" hidden="1" customHeight="1" x14ac:dyDescent="0.25">
      <c r="A55" s="98">
        <f>初餾產銷!A15</f>
        <v>0</v>
      </c>
      <c r="B55" s="387">
        <f>初餾產銷!B15</f>
        <v>0</v>
      </c>
      <c r="C55" s="388">
        <f>初餾產銷!C15</f>
        <v>0</v>
      </c>
      <c r="D55" s="389">
        <f>初餾產銷!D15</f>
        <v>0</v>
      </c>
      <c r="E55" s="367">
        <f>初餾產銷!E15</f>
        <v>0</v>
      </c>
      <c r="F55" s="367">
        <f>初餾產銷!F15</f>
        <v>0</v>
      </c>
      <c r="G55" s="703">
        <f>初餾產銷!G15</f>
        <v>0</v>
      </c>
      <c r="H55" s="704">
        <f>初餾產銷!H15</f>
        <v>0</v>
      </c>
      <c r="I55" s="705">
        <f>初餾產銷!J15</f>
        <v>0</v>
      </c>
      <c r="J55" s="704">
        <f>初餾產銷!K15</f>
        <v>0</v>
      </c>
      <c r="K55" s="706">
        <f>初餾產銷!M15</f>
        <v>0</v>
      </c>
      <c r="L55" s="704">
        <f>初餾產銷!N15</f>
        <v>0</v>
      </c>
      <c r="M55" s="706">
        <f>初餾產銷!P15</f>
        <v>0</v>
      </c>
      <c r="N55" s="707">
        <f>初餾產銷!Q15</f>
        <v>0</v>
      </c>
      <c r="O55" s="706">
        <f>初餾產銷!S15</f>
        <v>0</v>
      </c>
      <c r="P55" s="668">
        <f>初餾產銷!T15</f>
        <v>0</v>
      </c>
      <c r="Q55" s="808">
        <f>初餾產銷!U15</f>
        <v>0</v>
      </c>
      <c r="R55" s="809">
        <f>初餾產銷!V15</f>
        <v>0</v>
      </c>
      <c r="S55" s="668">
        <f>初餾產銷!W15</f>
        <v>0</v>
      </c>
      <c r="T55" s="808">
        <f>初餾產銷!X15</f>
        <v>0</v>
      </c>
      <c r="U55" s="809">
        <f>初餾產銷!Y15</f>
        <v>0</v>
      </c>
      <c r="V55" s="668">
        <f>初餾產銷!Z15</f>
        <v>0</v>
      </c>
      <c r="W55" s="808">
        <f>初餾產銷!AA15</f>
        <v>0</v>
      </c>
      <c r="X55" s="809">
        <f>初餾產銷!AB15</f>
        <v>0</v>
      </c>
      <c r="Y55" s="668">
        <f>初餾產銷!AC15</f>
        <v>0</v>
      </c>
      <c r="Z55" s="808">
        <f>初餾產銷!AD15</f>
        <v>0</v>
      </c>
      <c r="AA55" s="809">
        <f>初餾產銷!AE15</f>
        <v>0</v>
      </c>
      <c r="AB55" s="522">
        <f>初餾產銷!AF15</f>
        <v>0</v>
      </c>
      <c r="AC55" s="523">
        <f>初餾產銷!AG15</f>
        <v>0</v>
      </c>
      <c r="AD55" s="523">
        <f>初餾產銷!AH15</f>
        <v>0</v>
      </c>
      <c r="AE55" s="524">
        <f>初餾產銷!AI15</f>
        <v>0</v>
      </c>
      <c r="AF55" s="509">
        <f t="shared" si="7"/>
        <v>0</v>
      </c>
      <c r="AH55" s="796"/>
      <c r="AI55" s="796">
        <f t="shared" si="2"/>
        <v>0</v>
      </c>
      <c r="AJ55" s="796">
        <f t="shared" si="3"/>
        <v>0</v>
      </c>
    </row>
    <row r="56" spans="1:36" ht="28.5" hidden="1" customHeight="1" x14ac:dyDescent="0.25">
      <c r="A56" s="99">
        <f>初餾產銷!A16</f>
        <v>0</v>
      </c>
      <c r="B56" s="368">
        <f>初餾產銷!B16</f>
        <v>0</v>
      </c>
      <c r="C56" s="369">
        <f>初餾產銷!C16</f>
        <v>0</v>
      </c>
      <c r="D56" s="370">
        <f>初餾產銷!D16</f>
        <v>0</v>
      </c>
      <c r="E56" s="371">
        <f>初餾產銷!E16</f>
        <v>0</v>
      </c>
      <c r="F56" s="371">
        <f>初餾產銷!F16</f>
        <v>0</v>
      </c>
      <c r="G56" s="693">
        <f>初餾產銷!G16</f>
        <v>0</v>
      </c>
      <c r="H56" s="566">
        <f>初餾產銷!H16</f>
        <v>0</v>
      </c>
      <c r="I56" s="572">
        <f>初餾產銷!J16</f>
        <v>0</v>
      </c>
      <c r="J56" s="566">
        <f>初餾產銷!K16</f>
        <v>0</v>
      </c>
      <c r="K56" s="595">
        <f>初餾產銷!M16</f>
        <v>0</v>
      </c>
      <c r="L56" s="566">
        <f>初餾產銷!N16</f>
        <v>0</v>
      </c>
      <c r="M56" s="595">
        <f>初餾產銷!P16</f>
        <v>0</v>
      </c>
      <c r="N56" s="567">
        <f>初餾產銷!Q16</f>
        <v>0</v>
      </c>
      <c r="O56" s="595">
        <f>初餾產銷!S16</f>
        <v>0</v>
      </c>
      <c r="P56" s="668">
        <f>初餾產銷!T16</f>
        <v>0</v>
      </c>
      <c r="Q56" s="804">
        <f>初餾產銷!U16</f>
        <v>0</v>
      </c>
      <c r="R56" s="805">
        <f>初餾產銷!V16</f>
        <v>0</v>
      </c>
      <c r="S56" s="668">
        <f>初餾產銷!W16</f>
        <v>0</v>
      </c>
      <c r="T56" s="804">
        <f>初餾產銷!X16</f>
        <v>0</v>
      </c>
      <c r="U56" s="805">
        <f>初餾產銷!Y16</f>
        <v>0</v>
      </c>
      <c r="V56" s="668">
        <f>初餾產銷!Z16</f>
        <v>0</v>
      </c>
      <c r="W56" s="804">
        <f>初餾產銷!AA16</f>
        <v>0</v>
      </c>
      <c r="X56" s="805">
        <f>初餾產銷!AB16</f>
        <v>0</v>
      </c>
      <c r="Y56" s="668">
        <f>初餾產銷!AC16</f>
        <v>0</v>
      </c>
      <c r="Z56" s="804">
        <f>初餾產銷!AD16</f>
        <v>0</v>
      </c>
      <c r="AA56" s="805">
        <f>初餾產銷!AE16</f>
        <v>0</v>
      </c>
      <c r="AB56" s="533">
        <f>初餾產銷!AF16</f>
        <v>0</v>
      </c>
      <c r="AC56" s="534">
        <f>初餾產銷!AG16</f>
        <v>0</v>
      </c>
      <c r="AD56" s="534">
        <f>初餾產銷!AH16</f>
        <v>0</v>
      </c>
      <c r="AE56" s="535">
        <f>初餾產銷!AI16</f>
        <v>0</v>
      </c>
      <c r="AF56" s="509">
        <f t="shared" si="7"/>
        <v>0</v>
      </c>
      <c r="AH56" s="796"/>
      <c r="AI56" s="796">
        <f t="shared" si="2"/>
        <v>0</v>
      </c>
      <c r="AJ56" s="796">
        <f t="shared" si="3"/>
        <v>0</v>
      </c>
    </row>
    <row r="57" spans="1:36" ht="28.5" hidden="1" customHeight="1" x14ac:dyDescent="0.25">
      <c r="A57" s="99">
        <f>初餾產銷!A17</f>
        <v>0</v>
      </c>
      <c r="B57" s="371">
        <f>初餾產銷!B17</f>
        <v>0</v>
      </c>
      <c r="C57" s="369">
        <f>初餾產銷!C17</f>
        <v>0</v>
      </c>
      <c r="D57" s="370">
        <f>初餾產銷!D17</f>
        <v>0</v>
      </c>
      <c r="E57" s="371">
        <f>初餾產銷!E17</f>
        <v>0</v>
      </c>
      <c r="F57" s="371">
        <f>初餾產銷!F17</f>
        <v>0</v>
      </c>
      <c r="G57" s="693">
        <f>初餾產銷!G17</f>
        <v>0</v>
      </c>
      <c r="H57" s="566">
        <f>初餾產銷!H17</f>
        <v>0</v>
      </c>
      <c r="I57" s="572">
        <f>初餾產銷!J17</f>
        <v>0</v>
      </c>
      <c r="J57" s="566">
        <f>初餾產銷!K17</f>
        <v>0</v>
      </c>
      <c r="K57" s="595">
        <f>初餾產銷!M17</f>
        <v>0</v>
      </c>
      <c r="L57" s="566">
        <f>初餾產銷!N17</f>
        <v>0</v>
      </c>
      <c r="M57" s="595">
        <f>初餾產銷!P17</f>
        <v>0</v>
      </c>
      <c r="N57" s="567">
        <f>初餾產銷!Q17</f>
        <v>0</v>
      </c>
      <c r="O57" s="595">
        <f>初餾產銷!S17</f>
        <v>0</v>
      </c>
      <c r="P57" s="744">
        <f>初餾產銷!T17</f>
        <v>0</v>
      </c>
      <c r="Q57" s="804">
        <f>初餾產銷!U17</f>
        <v>0</v>
      </c>
      <c r="R57" s="805">
        <f>初餾產銷!V17</f>
        <v>0</v>
      </c>
      <c r="S57" s="744">
        <f>初餾產銷!W17</f>
        <v>0</v>
      </c>
      <c r="T57" s="804">
        <f>初餾產銷!X17</f>
        <v>0</v>
      </c>
      <c r="U57" s="805">
        <f>初餾產銷!Y17</f>
        <v>0</v>
      </c>
      <c r="V57" s="744">
        <f>初餾產銷!Z17</f>
        <v>0</v>
      </c>
      <c r="W57" s="804">
        <f>初餾產銷!AA17</f>
        <v>0</v>
      </c>
      <c r="X57" s="805">
        <f>初餾產銷!AB17</f>
        <v>0</v>
      </c>
      <c r="Y57" s="744">
        <f>初餾產銷!AC17</f>
        <v>0</v>
      </c>
      <c r="Z57" s="804">
        <f>初餾產銷!AD17</f>
        <v>0</v>
      </c>
      <c r="AA57" s="805">
        <f>初餾產銷!AE17</f>
        <v>0</v>
      </c>
      <c r="AB57" s="536">
        <f>初餾產銷!AF17</f>
        <v>0</v>
      </c>
      <c r="AC57" s="537">
        <f>初餾產銷!AG17</f>
        <v>0</v>
      </c>
      <c r="AD57" s="537">
        <f>初餾產銷!AH17</f>
        <v>0</v>
      </c>
      <c r="AE57" s="538">
        <f>初餾產銷!AI17</f>
        <v>0</v>
      </c>
      <c r="AF57" s="509">
        <f t="shared" si="7"/>
        <v>0</v>
      </c>
      <c r="AH57" s="796"/>
      <c r="AI57" s="796">
        <f t="shared" si="2"/>
        <v>0</v>
      </c>
      <c r="AJ57" s="796">
        <f t="shared" si="3"/>
        <v>0</v>
      </c>
    </row>
    <row r="58" spans="1:36" ht="28.5" hidden="1" customHeight="1" x14ac:dyDescent="0.25">
      <c r="A58" s="97">
        <f>初餾產銷!A18</f>
        <v>0</v>
      </c>
      <c r="B58" s="390">
        <f>初餾產銷!B18</f>
        <v>0</v>
      </c>
      <c r="C58" s="391">
        <f>初餾產銷!C18</f>
        <v>0</v>
      </c>
      <c r="D58" s="392">
        <f>初餾產銷!D18</f>
        <v>0</v>
      </c>
      <c r="E58" s="363">
        <f>初餾產銷!E18</f>
        <v>0</v>
      </c>
      <c r="F58" s="363">
        <f>初餾產銷!F18</f>
        <v>0</v>
      </c>
      <c r="G58" s="530">
        <f>初餾產銷!G18</f>
        <v>0</v>
      </c>
      <c r="H58" s="531">
        <f>初餾產銷!H18</f>
        <v>0</v>
      </c>
      <c r="I58" s="575">
        <f>初餾產銷!J18</f>
        <v>0</v>
      </c>
      <c r="J58" s="531">
        <f>初餾產銷!K18</f>
        <v>0</v>
      </c>
      <c r="K58" s="532">
        <f>初餾產銷!M18</f>
        <v>0</v>
      </c>
      <c r="L58" s="531">
        <f>初餾產銷!N18</f>
        <v>0</v>
      </c>
      <c r="M58" s="532">
        <f>初餾產銷!P18</f>
        <v>0</v>
      </c>
      <c r="N58" s="559">
        <f>初餾產銷!Q18</f>
        <v>0</v>
      </c>
      <c r="O58" s="532">
        <f>初餾產銷!S18</f>
        <v>0</v>
      </c>
      <c r="P58" s="672">
        <f>初餾產銷!T18</f>
        <v>0</v>
      </c>
      <c r="Q58" s="811">
        <f>初餾產銷!U18</f>
        <v>0</v>
      </c>
      <c r="R58" s="812">
        <f>初餾產銷!V18</f>
        <v>0</v>
      </c>
      <c r="S58" s="672">
        <f>初餾產銷!W18</f>
        <v>0</v>
      </c>
      <c r="T58" s="811">
        <f>初餾產銷!X18</f>
        <v>0</v>
      </c>
      <c r="U58" s="812">
        <f>初餾產銷!Y18</f>
        <v>0</v>
      </c>
      <c r="V58" s="672">
        <f>初餾產銷!Z18</f>
        <v>0</v>
      </c>
      <c r="W58" s="811">
        <f>初餾產銷!AA18</f>
        <v>0</v>
      </c>
      <c r="X58" s="812">
        <f>初餾產銷!AB18</f>
        <v>0</v>
      </c>
      <c r="Y58" s="672">
        <f>初餾產銷!AC18</f>
        <v>0</v>
      </c>
      <c r="Z58" s="811">
        <f>初餾產銷!AD18</f>
        <v>0</v>
      </c>
      <c r="AA58" s="812">
        <f>初餾產銷!AE18</f>
        <v>0</v>
      </c>
      <c r="AB58" s="513">
        <f>初餾產銷!AF18</f>
        <v>0</v>
      </c>
      <c r="AC58" s="514">
        <f>初餾產銷!AG18</f>
        <v>0</v>
      </c>
      <c r="AD58" s="514">
        <f>初餾產銷!AH18</f>
        <v>0</v>
      </c>
      <c r="AE58" s="515">
        <f>初餾產銷!AI18</f>
        <v>0</v>
      </c>
      <c r="AF58" s="509">
        <f t="shared" si="7"/>
        <v>0</v>
      </c>
      <c r="AH58" s="796"/>
      <c r="AI58" s="796">
        <f t="shared" si="2"/>
        <v>0</v>
      </c>
      <c r="AJ58" s="796">
        <f t="shared" si="3"/>
        <v>0</v>
      </c>
    </row>
    <row r="59" spans="1:36" ht="28.5" hidden="1" customHeight="1" x14ac:dyDescent="0.25">
      <c r="A59" s="99">
        <f>初餾產銷!A19</f>
        <v>0</v>
      </c>
      <c r="B59" s="368">
        <f>初餾產銷!B19</f>
        <v>0</v>
      </c>
      <c r="C59" s="369">
        <f>初餾產銷!C19</f>
        <v>0</v>
      </c>
      <c r="D59" s="370">
        <f>初餾產銷!D19</f>
        <v>0</v>
      </c>
      <c r="E59" s="371">
        <f>初餾產銷!E19</f>
        <v>0</v>
      </c>
      <c r="F59" s="371">
        <f>初餾產銷!F19</f>
        <v>0</v>
      </c>
      <c r="G59" s="693">
        <f>初餾產銷!G19</f>
        <v>0</v>
      </c>
      <c r="H59" s="566">
        <f>初餾產銷!H19</f>
        <v>0</v>
      </c>
      <c r="I59" s="572">
        <f>初餾產銷!J19</f>
        <v>0</v>
      </c>
      <c r="J59" s="566">
        <f>初餾產銷!K19</f>
        <v>0</v>
      </c>
      <c r="K59" s="595">
        <f>初餾產銷!M19</f>
        <v>0</v>
      </c>
      <c r="L59" s="566">
        <f>初餾產銷!N19</f>
        <v>0</v>
      </c>
      <c r="M59" s="595">
        <f>初餾產銷!P19</f>
        <v>0</v>
      </c>
      <c r="N59" s="567">
        <f>初餾產銷!Q19</f>
        <v>0</v>
      </c>
      <c r="O59" s="595">
        <f>初餾產銷!S19</f>
        <v>0</v>
      </c>
      <c r="P59" s="668">
        <f>初餾產銷!T19</f>
        <v>0</v>
      </c>
      <c r="Q59" s="804">
        <f>初餾產銷!U19</f>
        <v>0</v>
      </c>
      <c r="R59" s="805">
        <f>初餾產銷!V19</f>
        <v>0</v>
      </c>
      <c r="S59" s="668">
        <f>初餾產銷!W19</f>
        <v>0</v>
      </c>
      <c r="T59" s="804">
        <f>初餾產銷!X19</f>
        <v>0</v>
      </c>
      <c r="U59" s="805">
        <f>初餾產銷!Y19</f>
        <v>0</v>
      </c>
      <c r="V59" s="668">
        <f>初餾產銷!Z19</f>
        <v>0</v>
      </c>
      <c r="W59" s="804">
        <f>初餾產銷!AA19</f>
        <v>0</v>
      </c>
      <c r="X59" s="805">
        <f>初餾產銷!AB19</f>
        <v>0</v>
      </c>
      <c r="Y59" s="668">
        <f>初餾產銷!AC19</f>
        <v>0</v>
      </c>
      <c r="Z59" s="804">
        <f>初餾產銷!AD19</f>
        <v>0</v>
      </c>
      <c r="AA59" s="805">
        <f>初餾產銷!AE19</f>
        <v>0</v>
      </c>
      <c r="AB59" s="536">
        <f>初餾產銷!AF19</f>
        <v>0</v>
      </c>
      <c r="AC59" s="537">
        <f>初餾產銷!AG19</f>
        <v>0</v>
      </c>
      <c r="AD59" s="537">
        <f>初餾產銷!AH19</f>
        <v>0</v>
      </c>
      <c r="AE59" s="538">
        <f>初餾產銷!AI19</f>
        <v>0</v>
      </c>
      <c r="AF59" s="509">
        <f t="shared" si="7"/>
        <v>0</v>
      </c>
      <c r="AH59" s="796"/>
      <c r="AI59" s="796">
        <f t="shared" si="2"/>
        <v>0</v>
      </c>
      <c r="AJ59" s="796">
        <f t="shared" si="3"/>
        <v>0</v>
      </c>
    </row>
    <row r="60" spans="1:36" ht="28.5" hidden="1" customHeight="1" x14ac:dyDescent="0.25">
      <c r="A60" s="99">
        <f>初餾產銷!A20</f>
        <v>0</v>
      </c>
      <c r="B60" s="368">
        <f>初餾產銷!B20</f>
        <v>0</v>
      </c>
      <c r="C60" s="382">
        <f>初餾產銷!C20</f>
        <v>0</v>
      </c>
      <c r="D60" s="370">
        <f>初餾產銷!D20</f>
        <v>0</v>
      </c>
      <c r="E60" s="371">
        <f>初餾產銷!E20</f>
        <v>0</v>
      </c>
      <c r="F60" s="371">
        <f>初餾產銷!F20</f>
        <v>0</v>
      </c>
      <c r="G60" s="693">
        <f>初餾產銷!G20</f>
        <v>0</v>
      </c>
      <c r="H60" s="566">
        <f>初餾產銷!H20</f>
        <v>0</v>
      </c>
      <c r="I60" s="572">
        <f>初餾產銷!J20</f>
        <v>0</v>
      </c>
      <c r="J60" s="566">
        <f>初餾產銷!K20</f>
        <v>0</v>
      </c>
      <c r="K60" s="595">
        <f>初餾產銷!M20</f>
        <v>0</v>
      </c>
      <c r="L60" s="566">
        <f>初餾產銷!N20</f>
        <v>0</v>
      </c>
      <c r="M60" s="595">
        <f>初餾產銷!P20</f>
        <v>0</v>
      </c>
      <c r="N60" s="567">
        <f>初餾產銷!Q20</f>
        <v>0</v>
      </c>
      <c r="O60" s="595">
        <f>初餾產銷!S20</f>
        <v>0</v>
      </c>
      <c r="P60" s="668">
        <f>初餾產銷!T20</f>
        <v>0</v>
      </c>
      <c r="Q60" s="804">
        <f>初餾產銷!U20</f>
        <v>0</v>
      </c>
      <c r="R60" s="805">
        <f>初餾產銷!V20</f>
        <v>0</v>
      </c>
      <c r="S60" s="668">
        <f>初餾產銷!W20</f>
        <v>0</v>
      </c>
      <c r="T60" s="804">
        <f>初餾產銷!X20</f>
        <v>0</v>
      </c>
      <c r="U60" s="805">
        <f>初餾產銷!Y20</f>
        <v>0</v>
      </c>
      <c r="V60" s="668">
        <f>初餾產銷!Z20</f>
        <v>0</v>
      </c>
      <c r="W60" s="804">
        <f>初餾產銷!AA20</f>
        <v>0</v>
      </c>
      <c r="X60" s="805">
        <f>初餾產銷!AB20</f>
        <v>0</v>
      </c>
      <c r="Y60" s="668">
        <f>初餾產銷!AC20</f>
        <v>0</v>
      </c>
      <c r="Z60" s="804">
        <f>初餾產銷!AD20</f>
        <v>0</v>
      </c>
      <c r="AA60" s="805">
        <f>初餾產銷!AE20</f>
        <v>0</v>
      </c>
      <c r="AB60" s="536">
        <f>初餾產銷!AF20</f>
        <v>0</v>
      </c>
      <c r="AC60" s="537">
        <f>初餾產銷!AG20</f>
        <v>0</v>
      </c>
      <c r="AD60" s="537">
        <f>初餾產銷!AH20</f>
        <v>0</v>
      </c>
      <c r="AE60" s="538">
        <f>初餾產銷!AI20</f>
        <v>0</v>
      </c>
      <c r="AF60" s="509">
        <f t="shared" si="7"/>
        <v>0</v>
      </c>
      <c r="AH60" s="796"/>
      <c r="AI60" s="796">
        <f t="shared" si="2"/>
        <v>0</v>
      </c>
      <c r="AJ60" s="796">
        <f t="shared" si="3"/>
        <v>0</v>
      </c>
    </row>
    <row r="61" spans="1:36" ht="28.5" hidden="1" customHeight="1" x14ac:dyDescent="0.25">
      <c r="A61" s="97">
        <f>初餾產銷!A21</f>
        <v>0</v>
      </c>
      <c r="B61" s="368">
        <f>初餾產銷!B21</f>
        <v>0</v>
      </c>
      <c r="C61" s="391">
        <f>初餾產銷!C21</f>
        <v>0</v>
      </c>
      <c r="D61" s="370">
        <f>初餾產銷!D21</f>
        <v>0</v>
      </c>
      <c r="E61" s="363">
        <f>初餾產銷!E21</f>
        <v>0</v>
      </c>
      <c r="F61" s="363">
        <f>初餾產銷!F21</f>
        <v>0</v>
      </c>
      <c r="G61" s="530">
        <f>初餾產銷!G21</f>
        <v>0</v>
      </c>
      <c r="H61" s="531">
        <f>初餾產銷!H21</f>
        <v>0</v>
      </c>
      <c r="I61" s="575">
        <f>初餾產銷!J21</f>
        <v>0</v>
      </c>
      <c r="J61" s="531">
        <f>初餾產銷!K21</f>
        <v>0</v>
      </c>
      <c r="K61" s="532">
        <f>初餾產銷!M21</f>
        <v>0</v>
      </c>
      <c r="L61" s="531">
        <f>初餾產銷!N21</f>
        <v>0</v>
      </c>
      <c r="M61" s="532">
        <f>初餾產銷!P21</f>
        <v>0</v>
      </c>
      <c r="N61" s="559">
        <f>初餾產銷!Q21</f>
        <v>0</v>
      </c>
      <c r="O61" s="532">
        <f>初餾產銷!S21</f>
        <v>0</v>
      </c>
      <c r="P61" s="668">
        <f>初餾產銷!T21</f>
        <v>0</v>
      </c>
      <c r="Q61" s="811">
        <f>初餾產銷!U21</f>
        <v>0</v>
      </c>
      <c r="R61" s="812">
        <f>初餾產銷!V21</f>
        <v>0</v>
      </c>
      <c r="S61" s="668">
        <f>初餾產銷!W21</f>
        <v>0</v>
      </c>
      <c r="T61" s="811">
        <f>初餾產銷!X21</f>
        <v>0</v>
      </c>
      <c r="U61" s="812">
        <f>初餾產銷!Y21</f>
        <v>0</v>
      </c>
      <c r="V61" s="668">
        <f>初餾產銷!Z21</f>
        <v>0</v>
      </c>
      <c r="W61" s="811">
        <f>初餾產銷!AA21</f>
        <v>0</v>
      </c>
      <c r="X61" s="812">
        <f>初餾產銷!AB21</f>
        <v>0</v>
      </c>
      <c r="Y61" s="668">
        <f>初餾產銷!AC21</f>
        <v>0</v>
      </c>
      <c r="Z61" s="811">
        <f>初餾產銷!AD21</f>
        <v>0</v>
      </c>
      <c r="AA61" s="812">
        <f>初餾產銷!AE21</f>
        <v>0</v>
      </c>
      <c r="AB61" s="513">
        <f>初餾產銷!AF21</f>
        <v>0</v>
      </c>
      <c r="AC61" s="514">
        <f>初餾產銷!AG21</f>
        <v>0</v>
      </c>
      <c r="AD61" s="514">
        <f>初餾產銷!AH21</f>
        <v>0</v>
      </c>
      <c r="AE61" s="515">
        <f>初餾產銷!AI21</f>
        <v>0</v>
      </c>
      <c r="AF61" s="509">
        <f t="shared" si="7"/>
        <v>0</v>
      </c>
      <c r="AH61" s="796"/>
      <c r="AI61" s="796">
        <f t="shared" si="2"/>
        <v>0</v>
      </c>
      <c r="AJ61" s="796">
        <f t="shared" si="3"/>
        <v>0</v>
      </c>
    </row>
    <row r="62" spans="1:36" ht="28.5" hidden="1" customHeight="1" thickBot="1" x14ac:dyDescent="0.3">
      <c r="A62" s="100">
        <f>初餾產銷!A22</f>
        <v>0</v>
      </c>
      <c r="B62" s="452">
        <f>初餾產銷!B22</f>
        <v>0</v>
      </c>
      <c r="C62" s="442">
        <f>初餾產銷!C22</f>
        <v>0</v>
      </c>
      <c r="D62" s="539">
        <f>初餾產銷!D22</f>
        <v>0</v>
      </c>
      <c r="E62" s="441">
        <f>初餾產銷!E22</f>
        <v>0</v>
      </c>
      <c r="F62" s="441">
        <f>初餾產銷!F22</f>
        <v>0</v>
      </c>
      <c r="G62" s="816">
        <f>初餾產銷!G22</f>
        <v>0</v>
      </c>
      <c r="H62" s="578">
        <f>初餾產銷!H22</f>
        <v>0</v>
      </c>
      <c r="I62" s="577">
        <f>初餾產銷!J22</f>
        <v>0</v>
      </c>
      <c r="J62" s="578">
        <f>初餾產銷!K22</f>
        <v>0</v>
      </c>
      <c r="K62" s="586">
        <f>初餾產銷!M22</f>
        <v>0</v>
      </c>
      <c r="L62" s="578">
        <f>初餾產銷!N22</f>
        <v>0</v>
      </c>
      <c r="M62" s="586">
        <f>初餾產銷!P22</f>
        <v>0</v>
      </c>
      <c r="N62" s="579">
        <f>初餾產銷!Q22</f>
        <v>0</v>
      </c>
      <c r="O62" s="586">
        <f>初餾產銷!S22</f>
        <v>0</v>
      </c>
      <c r="P62" s="668">
        <f>初餾產銷!T22</f>
        <v>0</v>
      </c>
      <c r="Q62" s="818">
        <f>初餾產銷!U22</f>
        <v>0</v>
      </c>
      <c r="R62" s="819">
        <f>初餾產銷!V22</f>
        <v>0</v>
      </c>
      <c r="S62" s="668">
        <f>初餾產銷!W22</f>
        <v>0</v>
      </c>
      <c r="T62" s="818">
        <f>初餾產銷!X22</f>
        <v>0</v>
      </c>
      <c r="U62" s="819">
        <f>初餾產銷!Y22</f>
        <v>0</v>
      </c>
      <c r="V62" s="668">
        <f>初餾產銷!Z22</f>
        <v>0</v>
      </c>
      <c r="W62" s="818">
        <f>初餾產銷!AA22</f>
        <v>0</v>
      </c>
      <c r="X62" s="819">
        <f>初餾產銷!AB22</f>
        <v>0</v>
      </c>
      <c r="Y62" s="668">
        <f>初餾產銷!AC22</f>
        <v>0</v>
      </c>
      <c r="Z62" s="818">
        <f>初餾產銷!AD22</f>
        <v>0</v>
      </c>
      <c r="AA62" s="819">
        <f>初餾產銷!AE22</f>
        <v>0</v>
      </c>
      <c r="AB62" s="540">
        <f>初餾產銷!AF22</f>
        <v>0</v>
      </c>
      <c r="AC62" s="541">
        <f>初餾產銷!AG22</f>
        <v>0</v>
      </c>
      <c r="AD62" s="541">
        <f>初餾產銷!AH22</f>
        <v>0</v>
      </c>
      <c r="AE62" s="542">
        <f>初餾產銷!AI22</f>
        <v>0</v>
      </c>
      <c r="AF62" s="509">
        <f t="shared" si="7"/>
        <v>0</v>
      </c>
      <c r="AH62" s="796"/>
      <c r="AI62" s="796">
        <f t="shared" si="2"/>
        <v>0</v>
      </c>
      <c r="AJ62" s="796">
        <f t="shared" si="3"/>
        <v>0</v>
      </c>
    </row>
    <row r="63" spans="1:36" ht="28.5" hidden="1" customHeight="1" thickTop="1" x14ac:dyDescent="0.25">
      <c r="A63" s="101">
        <f>初餾產銷!A23</f>
        <v>0</v>
      </c>
      <c r="B63" s="403">
        <f>初餾產銷!B23</f>
        <v>0</v>
      </c>
      <c r="C63" s="354">
        <f>初餾產銷!C23</f>
        <v>0</v>
      </c>
      <c r="D63" s="347">
        <f>初餾產銷!D23</f>
        <v>0</v>
      </c>
      <c r="E63" s="371">
        <f>初餾產銷!E23</f>
        <v>0</v>
      </c>
      <c r="F63" s="371">
        <f>初餾產銷!F23</f>
        <v>0</v>
      </c>
      <c r="G63" s="715">
        <f>初餾產銷!G23</f>
        <v>0</v>
      </c>
      <c r="H63" s="822">
        <f>初餾產銷!H23</f>
        <v>0</v>
      </c>
      <c r="I63" s="575">
        <f>初餾產銷!J23</f>
        <v>0</v>
      </c>
      <c r="J63" s="823">
        <f>初餾產銷!K23</f>
        <v>0</v>
      </c>
      <c r="K63" s="532">
        <f>初餾產銷!M23</f>
        <v>0</v>
      </c>
      <c r="L63" s="531">
        <f>初餾產銷!N23</f>
        <v>0</v>
      </c>
      <c r="M63" s="532">
        <f>初餾產銷!P23</f>
        <v>0</v>
      </c>
      <c r="N63" s="824">
        <f>初餾產銷!Q23</f>
        <v>0</v>
      </c>
      <c r="O63" s="825">
        <f>初餾產銷!S23</f>
        <v>0</v>
      </c>
      <c r="P63" s="730">
        <f>初餾產銷!T23</f>
        <v>0</v>
      </c>
      <c r="Q63" s="826">
        <f>初餾產銷!U23</f>
        <v>0</v>
      </c>
      <c r="R63" s="827">
        <f>初餾產銷!V23</f>
        <v>0</v>
      </c>
      <c r="S63" s="735">
        <f>初餾產銷!W23</f>
        <v>0</v>
      </c>
      <c r="T63" s="826">
        <f>初餾產銷!X23</f>
        <v>0</v>
      </c>
      <c r="U63" s="827">
        <f>初餾產銷!Y23</f>
        <v>0</v>
      </c>
      <c r="V63" s="735">
        <f>初餾產銷!Z23</f>
        <v>0</v>
      </c>
      <c r="W63" s="826">
        <f>初餾產銷!AA23</f>
        <v>0</v>
      </c>
      <c r="X63" s="827">
        <f>初餾產銷!AB23</f>
        <v>0</v>
      </c>
      <c r="Y63" s="735">
        <f>初餾產銷!AC23</f>
        <v>0</v>
      </c>
      <c r="Z63" s="826">
        <f>初餾產銷!AD23</f>
        <v>0</v>
      </c>
      <c r="AA63" s="827">
        <f>初餾產銷!AE23</f>
        <v>0</v>
      </c>
      <c r="AB63" s="522">
        <f>初餾產銷!AF23</f>
        <v>0</v>
      </c>
      <c r="AC63" s="523">
        <f>初餾產銷!AG23</f>
        <v>0</v>
      </c>
      <c r="AD63" s="523">
        <f>初餾產銷!AH23</f>
        <v>0</v>
      </c>
      <c r="AE63" s="524">
        <f>初餾產銷!AI23</f>
        <v>0</v>
      </c>
      <c r="AF63" s="509">
        <f t="shared" si="7"/>
        <v>0</v>
      </c>
      <c r="AH63" s="796"/>
      <c r="AI63" s="796">
        <f t="shared" si="2"/>
        <v>0</v>
      </c>
      <c r="AJ63" s="796">
        <f t="shared" si="3"/>
        <v>0</v>
      </c>
    </row>
    <row r="64" spans="1:36" ht="28.5" hidden="1" customHeight="1" x14ac:dyDescent="0.25">
      <c r="A64" s="99">
        <f>初餾產銷!A24</f>
        <v>0</v>
      </c>
      <c r="B64" s="368">
        <f>初餾產銷!B24</f>
        <v>0</v>
      </c>
      <c r="C64" s="407">
        <f>初餾產銷!C24</f>
        <v>0</v>
      </c>
      <c r="D64" s="408">
        <f>初餾產銷!D24</f>
        <v>0</v>
      </c>
      <c r="E64" s="409">
        <f>初餾產銷!E24</f>
        <v>0</v>
      </c>
      <c r="F64" s="409">
        <f>初餾產銷!F24</f>
        <v>0</v>
      </c>
      <c r="G64" s="693">
        <f>初餾產銷!G24</f>
        <v>0</v>
      </c>
      <c r="H64" s="828">
        <f>初餾產銷!H24</f>
        <v>0</v>
      </c>
      <c r="I64" s="572">
        <f>初餾產銷!J24</f>
        <v>0</v>
      </c>
      <c r="J64" s="829">
        <f>初餾產銷!K24</f>
        <v>0</v>
      </c>
      <c r="K64" s="595">
        <f>初餾產銷!M24</f>
        <v>0</v>
      </c>
      <c r="L64" s="566">
        <f>初餾產銷!N24</f>
        <v>0</v>
      </c>
      <c r="M64" s="595">
        <f>初餾產銷!P24</f>
        <v>0</v>
      </c>
      <c r="N64" s="830">
        <f>初餾產銷!Q24</f>
        <v>0</v>
      </c>
      <c r="O64" s="831">
        <f>初餾產銷!S24</f>
        <v>0</v>
      </c>
      <c r="P64" s="698">
        <f>初餾產銷!T24</f>
        <v>0</v>
      </c>
      <c r="Q64" s="815">
        <f>初餾產銷!U24</f>
        <v>0</v>
      </c>
      <c r="R64" s="832">
        <f>初餾產銷!V24</f>
        <v>0</v>
      </c>
      <c r="S64" s="744">
        <f>初餾產銷!W24</f>
        <v>0</v>
      </c>
      <c r="T64" s="815">
        <f>初餾產銷!X24</f>
        <v>0</v>
      </c>
      <c r="U64" s="832">
        <f>初餾產銷!Y24</f>
        <v>0</v>
      </c>
      <c r="V64" s="744">
        <f>初餾產銷!Z24</f>
        <v>0</v>
      </c>
      <c r="W64" s="815">
        <f>初餾產銷!AA24</f>
        <v>0</v>
      </c>
      <c r="X64" s="832">
        <f>初餾產銷!AB24</f>
        <v>0</v>
      </c>
      <c r="Y64" s="744">
        <f>初餾產銷!AC24</f>
        <v>0</v>
      </c>
      <c r="Z64" s="815">
        <f>初餾產銷!AD24</f>
        <v>0</v>
      </c>
      <c r="AA64" s="832">
        <f>初餾產銷!AE24</f>
        <v>0</v>
      </c>
      <c r="AB64" s="522">
        <f>初餾產銷!AF24</f>
        <v>0</v>
      </c>
      <c r="AC64" s="523">
        <f>初餾產銷!AG24</f>
        <v>0</v>
      </c>
      <c r="AD64" s="523">
        <f>初餾產銷!AH24</f>
        <v>0</v>
      </c>
      <c r="AE64" s="524">
        <f>初餾產銷!AI24</f>
        <v>0</v>
      </c>
      <c r="AF64" s="509">
        <f t="shared" si="7"/>
        <v>0</v>
      </c>
      <c r="AH64" s="796"/>
      <c r="AI64" s="796">
        <f t="shared" si="2"/>
        <v>0</v>
      </c>
      <c r="AJ64" s="796">
        <f t="shared" si="3"/>
        <v>0</v>
      </c>
    </row>
    <row r="65" spans="1:36" ht="28.5" hidden="1" customHeight="1" x14ac:dyDescent="0.25">
      <c r="A65" s="97">
        <f>初餾產銷!A25</f>
        <v>0</v>
      </c>
      <c r="B65" s="390">
        <f>初餾產銷!B25</f>
        <v>0</v>
      </c>
      <c r="C65" s="361">
        <f>初餾產銷!C25</f>
        <v>0</v>
      </c>
      <c r="D65" s="408">
        <f>初餾產銷!D25</f>
        <v>0</v>
      </c>
      <c r="E65" s="363">
        <f>初餾產銷!E25</f>
        <v>0</v>
      </c>
      <c r="F65" s="363">
        <f>初餾產銷!F25</f>
        <v>0</v>
      </c>
      <c r="G65" s="530">
        <f>初餾產銷!G25</f>
        <v>0</v>
      </c>
      <c r="H65" s="833">
        <f>初餾產銷!H25</f>
        <v>0</v>
      </c>
      <c r="I65" s="575">
        <f>初餾產銷!J25</f>
        <v>0</v>
      </c>
      <c r="J65" s="823">
        <f>初餾產銷!K25</f>
        <v>0</v>
      </c>
      <c r="K65" s="532">
        <f>初餾產銷!M25</f>
        <v>0</v>
      </c>
      <c r="L65" s="531">
        <f>初餾產銷!N25</f>
        <v>0</v>
      </c>
      <c r="M65" s="532">
        <f>初餾產銷!P25</f>
        <v>0</v>
      </c>
      <c r="N65" s="824">
        <f>初餾產銷!Q25</f>
        <v>0</v>
      </c>
      <c r="O65" s="825">
        <f>初餾產銷!S25</f>
        <v>0</v>
      </c>
      <c r="P65" s="698">
        <f>初餾產銷!T25</f>
        <v>0</v>
      </c>
      <c r="Q65" s="815">
        <f>初餾產銷!U25</f>
        <v>0</v>
      </c>
      <c r="R65" s="834">
        <f>初餾產銷!V25</f>
        <v>0</v>
      </c>
      <c r="S65" s="744">
        <f>初餾產銷!W25</f>
        <v>0</v>
      </c>
      <c r="T65" s="815">
        <f>初餾產銷!X25</f>
        <v>0</v>
      </c>
      <c r="U65" s="834">
        <f>初餾產銷!Y25</f>
        <v>0</v>
      </c>
      <c r="V65" s="744">
        <f>初餾產銷!Z25</f>
        <v>0</v>
      </c>
      <c r="W65" s="815">
        <f>初餾產銷!AA25</f>
        <v>0</v>
      </c>
      <c r="X65" s="834">
        <f>初餾產銷!AB25</f>
        <v>0</v>
      </c>
      <c r="Y65" s="744">
        <f>初餾產銷!AC25</f>
        <v>0</v>
      </c>
      <c r="Z65" s="815">
        <f>初餾產銷!AD25</f>
        <v>0</v>
      </c>
      <c r="AA65" s="834">
        <f>初餾產銷!AE25</f>
        <v>0</v>
      </c>
      <c r="AB65" s="522">
        <f>初餾產銷!AF25</f>
        <v>0</v>
      </c>
      <c r="AC65" s="523">
        <f>初餾產銷!AG25</f>
        <v>0</v>
      </c>
      <c r="AD65" s="523">
        <f>初餾產銷!AH25</f>
        <v>0</v>
      </c>
      <c r="AE65" s="524">
        <f>初餾產銷!AI25</f>
        <v>0</v>
      </c>
      <c r="AF65" s="509">
        <f t="shared" si="7"/>
        <v>0</v>
      </c>
      <c r="AH65" s="796"/>
      <c r="AI65" s="796">
        <f t="shared" si="2"/>
        <v>0</v>
      </c>
      <c r="AJ65" s="796">
        <f t="shared" si="3"/>
        <v>0</v>
      </c>
    </row>
    <row r="66" spans="1:36" ht="28.5" hidden="1" customHeight="1" x14ac:dyDescent="0.25">
      <c r="A66" s="101">
        <f>初餾產銷!A26</f>
        <v>0</v>
      </c>
      <c r="B66" s="403">
        <f>初餾產銷!B26</f>
        <v>0</v>
      </c>
      <c r="C66" s="354">
        <f>初餾產銷!C26</f>
        <v>0</v>
      </c>
      <c r="D66" s="347">
        <f>初餾產銷!D26</f>
        <v>0</v>
      </c>
      <c r="E66" s="348">
        <f>初餾產銷!E26</f>
        <v>0</v>
      </c>
      <c r="F66" s="348">
        <f>初餾產銷!F26</f>
        <v>0</v>
      </c>
      <c r="G66" s="715">
        <f>初餾產銷!G26</f>
        <v>0</v>
      </c>
      <c r="H66" s="822">
        <f>初餾產銷!H26</f>
        <v>0</v>
      </c>
      <c r="I66" s="575">
        <f>初餾產銷!J26</f>
        <v>0</v>
      </c>
      <c r="J66" s="823">
        <f>初餾產銷!K26</f>
        <v>0</v>
      </c>
      <c r="K66" s="532">
        <f>初餾產銷!M26</f>
        <v>0</v>
      </c>
      <c r="L66" s="531">
        <f>初餾產銷!N26</f>
        <v>0</v>
      </c>
      <c r="M66" s="532">
        <f>初餾產銷!P26</f>
        <v>0</v>
      </c>
      <c r="N66" s="824">
        <f>初餾產銷!Q26</f>
        <v>0</v>
      </c>
      <c r="O66" s="825">
        <f>初餾產銷!S26</f>
        <v>0</v>
      </c>
      <c r="P66" s="698">
        <f>初餾產銷!T26</f>
        <v>0</v>
      </c>
      <c r="Q66" s="815">
        <f>初餾產銷!U26</f>
        <v>0</v>
      </c>
      <c r="R66" s="835">
        <f>初餾產銷!V26</f>
        <v>0</v>
      </c>
      <c r="S66" s="744">
        <f>初餾產銷!W26</f>
        <v>0</v>
      </c>
      <c r="T66" s="815">
        <f>初餾產銷!X26</f>
        <v>0</v>
      </c>
      <c r="U66" s="835">
        <f>初餾產銷!Y26</f>
        <v>0</v>
      </c>
      <c r="V66" s="744">
        <f>初餾產銷!Z26</f>
        <v>0</v>
      </c>
      <c r="W66" s="815">
        <f>初餾產銷!AA26</f>
        <v>0</v>
      </c>
      <c r="X66" s="835">
        <f>初餾產銷!AB26</f>
        <v>0</v>
      </c>
      <c r="Y66" s="744">
        <f>初餾產銷!AC26</f>
        <v>0</v>
      </c>
      <c r="Z66" s="815">
        <f>初餾產銷!AD26</f>
        <v>0</v>
      </c>
      <c r="AA66" s="835">
        <f>初餾產銷!AE26</f>
        <v>0</v>
      </c>
      <c r="AB66" s="522">
        <f>初餾產銷!AF26</f>
        <v>0</v>
      </c>
      <c r="AC66" s="523">
        <f>初餾產銷!AG26</f>
        <v>0</v>
      </c>
      <c r="AD66" s="523">
        <f>初餾產銷!AH26</f>
        <v>0</v>
      </c>
      <c r="AE66" s="524">
        <f>初餾產銷!AI26</f>
        <v>0</v>
      </c>
      <c r="AF66" s="509">
        <f t="shared" si="7"/>
        <v>0</v>
      </c>
      <c r="AH66" s="796"/>
      <c r="AI66" s="796">
        <f t="shared" si="2"/>
        <v>0</v>
      </c>
      <c r="AJ66" s="796">
        <f t="shared" si="3"/>
        <v>0</v>
      </c>
    </row>
    <row r="67" spans="1:36" ht="28.5" hidden="1" customHeight="1" x14ac:dyDescent="0.25">
      <c r="A67" s="99">
        <f>初餾產銷!A27</f>
        <v>0</v>
      </c>
      <c r="B67" s="368">
        <f>初餾產銷!B27</f>
        <v>0</v>
      </c>
      <c r="C67" s="407">
        <f>初餾產銷!C27</f>
        <v>0</v>
      </c>
      <c r="D67" s="408">
        <f>初餾產銷!D27</f>
        <v>0</v>
      </c>
      <c r="E67" s="410">
        <f>初餾產銷!E27</f>
        <v>0</v>
      </c>
      <c r="F67" s="410">
        <f>初餾產銷!F27</f>
        <v>0</v>
      </c>
      <c r="G67" s="693">
        <f>初餾產銷!G27</f>
        <v>0</v>
      </c>
      <c r="H67" s="828">
        <f>初餾產銷!H27</f>
        <v>0</v>
      </c>
      <c r="I67" s="572">
        <f>初餾產銷!J27</f>
        <v>0</v>
      </c>
      <c r="J67" s="829">
        <f>初餾產銷!K27</f>
        <v>0</v>
      </c>
      <c r="K67" s="595">
        <f>初餾產銷!M27</f>
        <v>0</v>
      </c>
      <c r="L67" s="566">
        <f>初餾產銷!N27</f>
        <v>0</v>
      </c>
      <c r="M67" s="595">
        <f>初餾產銷!P27</f>
        <v>0</v>
      </c>
      <c r="N67" s="830">
        <f>初餾產銷!Q27</f>
        <v>0</v>
      </c>
      <c r="O67" s="831">
        <f>初餾產銷!S27</f>
        <v>0</v>
      </c>
      <c r="P67" s="698">
        <f>初餾產銷!T27</f>
        <v>0</v>
      </c>
      <c r="Q67" s="815">
        <f>初餾產銷!U27</f>
        <v>0</v>
      </c>
      <c r="R67" s="832">
        <f>初餾產銷!V27</f>
        <v>0</v>
      </c>
      <c r="S67" s="744">
        <f>初餾產銷!W27</f>
        <v>0</v>
      </c>
      <c r="T67" s="815">
        <f>初餾產銷!X27</f>
        <v>0</v>
      </c>
      <c r="U67" s="832">
        <f>初餾產銷!Y27</f>
        <v>0</v>
      </c>
      <c r="V67" s="744">
        <f>初餾產銷!Z27</f>
        <v>0</v>
      </c>
      <c r="W67" s="815">
        <f>初餾產銷!AA27</f>
        <v>0</v>
      </c>
      <c r="X67" s="832">
        <f>初餾產銷!AB27</f>
        <v>0</v>
      </c>
      <c r="Y67" s="744">
        <f>初餾產銷!AC27</f>
        <v>0</v>
      </c>
      <c r="Z67" s="815">
        <f>初餾產銷!AD27</f>
        <v>0</v>
      </c>
      <c r="AA67" s="832">
        <f>初餾產銷!AE27</f>
        <v>0</v>
      </c>
      <c r="AB67" s="522">
        <f>初餾產銷!AF27</f>
        <v>0</v>
      </c>
      <c r="AC67" s="523">
        <f>初餾產銷!AG27</f>
        <v>0</v>
      </c>
      <c r="AD67" s="523">
        <f>初餾產銷!AH27</f>
        <v>0</v>
      </c>
      <c r="AE67" s="524">
        <f>初餾產銷!AI27</f>
        <v>0</v>
      </c>
      <c r="AF67" s="509">
        <f t="shared" si="7"/>
        <v>0</v>
      </c>
      <c r="AH67" s="796"/>
      <c r="AI67" s="796">
        <f t="shared" si="2"/>
        <v>0</v>
      </c>
      <c r="AJ67" s="796">
        <f t="shared" si="3"/>
        <v>0</v>
      </c>
    </row>
    <row r="68" spans="1:36" ht="28.5" hidden="1" customHeight="1" x14ac:dyDescent="0.25">
      <c r="A68" s="97">
        <f>初餾產銷!A28</f>
        <v>0</v>
      </c>
      <c r="B68" s="390">
        <f>初餾產銷!B28</f>
        <v>0</v>
      </c>
      <c r="C68" s="361">
        <f>初餾產銷!C28</f>
        <v>0</v>
      </c>
      <c r="D68" s="362">
        <f>初餾產銷!D28</f>
        <v>0</v>
      </c>
      <c r="E68" s="363">
        <f>初餾產銷!E28</f>
        <v>0</v>
      </c>
      <c r="F68" s="363">
        <f>初餾產銷!F28</f>
        <v>0</v>
      </c>
      <c r="G68" s="530">
        <f>初餾產銷!G28</f>
        <v>0</v>
      </c>
      <c r="H68" s="822">
        <f>初餾產銷!H28</f>
        <v>0</v>
      </c>
      <c r="I68" s="575">
        <f>初餾產銷!J28</f>
        <v>0</v>
      </c>
      <c r="J68" s="823">
        <f>初餾產銷!K28</f>
        <v>0</v>
      </c>
      <c r="K68" s="532">
        <f>初餾產銷!M28</f>
        <v>0</v>
      </c>
      <c r="L68" s="531">
        <f>初餾產銷!N28</f>
        <v>0</v>
      </c>
      <c r="M68" s="532">
        <f>初餾產銷!P28</f>
        <v>0</v>
      </c>
      <c r="N68" s="824">
        <f>初餾產銷!Q28</f>
        <v>0</v>
      </c>
      <c r="O68" s="825">
        <f>初餾產銷!S28</f>
        <v>0</v>
      </c>
      <c r="P68" s="698">
        <f>初餾產銷!T28</f>
        <v>0</v>
      </c>
      <c r="Q68" s="815">
        <f>初餾產銷!U28</f>
        <v>0</v>
      </c>
      <c r="R68" s="834">
        <f>初餾產銷!V28</f>
        <v>0</v>
      </c>
      <c r="S68" s="744">
        <f>初餾產銷!W28</f>
        <v>0</v>
      </c>
      <c r="T68" s="815">
        <f>初餾產銷!X28</f>
        <v>0</v>
      </c>
      <c r="U68" s="834">
        <f>初餾產銷!Y28</f>
        <v>0</v>
      </c>
      <c r="V68" s="744">
        <f>初餾產銷!Z28</f>
        <v>0</v>
      </c>
      <c r="W68" s="815">
        <f>初餾產銷!AA28</f>
        <v>0</v>
      </c>
      <c r="X68" s="834">
        <f>初餾產銷!AB28</f>
        <v>0</v>
      </c>
      <c r="Y68" s="744">
        <f>初餾產銷!AC28</f>
        <v>0</v>
      </c>
      <c r="Z68" s="815">
        <f>初餾產銷!AD28</f>
        <v>0</v>
      </c>
      <c r="AA68" s="834">
        <f>初餾產銷!AE28</f>
        <v>0</v>
      </c>
      <c r="AB68" s="522">
        <f>初餾產銷!AF28</f>
        <v>0</v>
      </c>
      <c r="AC68" s="523">
        <f>初餾產銷!AG28</f>
        <v>0</v>
      </c>
      <c r="AD68" s="523">
        <f>初餾產銷!AH28</f>
        <v>0</v>
      </c>
      <c r="AE68" s="524">
        <f>初餾產銷!AI28</f>
        <v>0</v>
      </c>
      <c r="AF68" s="509">
        <f t="shared" si="7"/>
        <v>0</v>
      </c>
      <c r="AH68" s="796"/>
      <c r="AI68" s="796">
        <f t="shared" si="2"/>
        <v>0</v>
      </c>
      <c r="AJ68" s="796">
        <f t="shared" si="3"/>
        <v>0</v>
      </c>
    </row>
    <row r="69" spans="1:36" ht="28.5" hidden="1" customHeight="1" x14ac:dyDescent="0.25">
      <c r="A69" s="97">
        <f>初餾產銷!A29</f>
        <v>0</v>
      </c>
      <c r="B69" s="403">
        <f>初餾產銷!B29</f>
        <v>0</v>
      </c>
      <c r="C69" s="354">
        <f>初餾產銷!C29</f>
        <v>0</v>
      </c>
      <c r="D69" s="347">
        <f>初餾產銷!D29</f>
        <v>0</v>
      </c>
      <c r="E69" s="348">
        <f>初餾產銷!E29</f>
        <v>0</v>
      </c>
      <c r="F69" s="348">
        <f>初餾產銷!F29</f>
        <v>0</v>
      </c>
      <c r="G69" s="715">
        <f>初餾產銷!G29</f>
        <v>0</v>
      </c>
      <c r="H69" s="822">
        <f>初餾產銷!H29</f>
        <v>0</v>
      </c>
      <c r="I69" s="575">
        <f>初餾產銷!J29</f>
        <v>0</v>
      </c>
      <c r="J69" s="823">
        <f>初餾產銷!K29</f>
        <v>0</v>
      </c>
      <c r="K69" s="532">
        <f>初餾產銷!M29</f>
        <v>0</v>
      </c>
      <c r="L69" s="531">
        <f>初餾產銷!N29</f>
        <v>0</v>
      </c>
      <c r="M69" s="532">
        <f>初餾產銷!P29</f>
        <v>0</v>
      </c>
      <c r="N69" s="824">
        <f>初餾產銷!Q29</f>
        <v>0</v>
      </c>
      <c r="O69" s="825">
        <f>初餾產銷!S29</f>
        <v>0</v>
      </c>
      <c r="P69" s="698">
        <f>初餾產銷!T29</f>
        <v>0</v>
      </c>
      <c r="Q69" s="815">
        <f>初餾產銷!U29</f>
        <v>0</v>
      </c>
      <c r="R69" s="835">
        <f>初餾產銷!V29</f>
        <v>0</v>
      </c>
      <c r="S69" s="744">
        <f>初餾產銷!W29</f>
        <v>0</v>
      </c>
      <c r="T69" s="815">
        <f>初餾產銷!X29</f>
        <v>0</v>
      </c>
      <c r="U69" s="835">
        <f>初餾產銷!Y29</f>
        <v>0</v>
      </c>
      <c r="V69" s="744">
        <f>初餾產銷!Z29</f>
        <v>0</v>
      </c>
      <c r="W69" s="815">
        <f>初餾產銷!AA29</f>
        <v>0</v>
      </c>
      <c r="X69" s="835">
        <f>初餾產銷!AB29</f>
        <v>0</v>
      </c>
      <c r="Y69" s="744">
        <f>初餾產銷!AC29</f>
        <v>0</v>
      </c>
      <c r="Z69" s="815">
        <f>初餾產銷!AD29</f>
        <v>0</v>
      </c>
      <c r="AA69" s="835">
        <f>初餾產銷!AE29</f>
        <v>0</v>
      </c>
      <c r="AB69" s="533">
        <f>初餾產銷!AF29</f>
        <v>0</v>
      </c>
      <c r="AC69" s="534">
        <f>初餾產銷!AG29</f>
        <v>0</v>
      </c>
      <c r="AD69" s="534">
        <f>初餾產銷!AH29</f>
        <v>0</v>
      </c>
      <c r="AE69" s="535">
        <f>初餾產銷!AI29</f>
        <v>0</v>
      </c>
      <c r="AF69" s="509">
        <f t="shared" si="7"/>
        <v>0</v>
      </c>
      <c r="AH69" s="796"/>
      <c r="AI69" s="796">
        <f t="shared" si="2"/>
        <v>0</v>
      </c>
      <c r="AJ69" s="796">
        <f t="shared" si="3"/>
        <v>0</v>
      </c>
    </row>
    <row r="70" spans="1:36" ht="28.5" hidden="1" customHeight="1" x14ac:dyDescent="0.25">
      <c r="A70" s="99">
        <f>初餾產銷!A30</f>
        <v>0</v>
      </c>
      <c r="B70" s="368">
        <f>初餾產銷!B30</f>
        <v>0</v>
      </c>
      <c r="C70" s="407">
        <f>初餾產銷!C30</f>
        <v>0</v>
      </c>
      <c r="D70" s="408">
        <f>初餾產銷!D30</f>
        <v>0</v>
      </c>
      <c r="E70" s="410">
        <f>初餾產銷!E30</f>
        <v>0</v>
      </c>
      <c r="F70" s="410">
        <f>初餾產銷!F30</f>
        <v>0</v>
      </c>
      <c r="G70" s="693">
        <f>初餾產銷!G30</f>
        <v>0</v>
      </c>
      <c r="H70" s="828">
        <f>初餾產銷!H30</f>
        <v>0</v>
      </c>
      <c r="I70" s="572">
        <f>初餾產銷!J30</f>
        <v>0</v>
      </c>
      <c r="J70" s="829">
        <f>初餾產銷!K30</f>
        <v>0</v>
      </c>
      <c r="K70" s="595">
        <f>初餾產銷!M30</f>
        <v>0</v>
      </c>
      <c r="L70" s="566">
        <f>初餾產銷!N30</f>
        <v>0</v>
      </c>
      <c r="M70" s="595">
        <f>初餾產銷!P30</f>
        <v>0</v>
      </c>
      <c r="N70" s="830">
        <f>初餾產銷!Q30</f>
        <v>0</v>
      </c>
      <c r="O70" s="831">
        <f>初餾產銷!S30</f>
        <v>0</v>
      </c>
      <c r="P70" s="698">
        <f>初餾產銷!T30</f>
        <v>0</v>
      </c>
      <c r="Q70" s="815">
        <f>初餾產銷!U30</f>
        <v>0</v>
      </c>
      <c r="R70" s="832">
        <f>初餾產銷!V30</f>
        <v>0</v>
      </c>
      <c r="S70" s="744">
        <f>初餾產銷!W30</f>
        <v>0</v>
      </c>
      <c r="T70" s="815">
        <f>初餾產銷!X30</f>
        <v>0</v>
      </c>
      <c r="U70" s="832">
        <f>初餾產銷!Y30</f>
        <v>0</v>
      </c>
      <c r="V70" s="744">
        <f>初餾產銷!Z30</f>
        <v>0</v>
      </c>
      <c r="W70" s="815">
        <f>初餾產銷!AA30</f>
        <v>0</v>
      </c>
      <c r="X70" s="832">
        <f>初餾產銷!AB30</f>
        <v>0</v>
      </c>
      <c r="Y70" s="744">
        <f>初餾產銷!AC30</f>
        <v>0</v>
      </c>
      <c r="Z70" s="815">
        <f>初餾產銷!AD30</f>
        <v>0</v>
      </c>
      <c r="AA70" s="832">
        <f>初餾產銷!AE30</f>
        <v>0</v>
      </c>
      <c r="AB70" s="533">
        <f>初餾產銷!AF30</f>
        <v>0</v>
      </c>
      <c r="AC70" s="534">
        <f>初餾產銷!AG30</f>
        <v>0</v>
      </c>
      <c r="AD70" s="534">
        <f>初餾產銷!AH30</f>
        <v>0</v>
      </c>
      <c r="AE70" s="535">
        <f>初餾產銷!AI30</f>
        <v>0</v>
      </c>
      <c r="AF70" s="509">
        <f t="shared" si="7"/>
        <v>0</v>
      </c>
      <c r="AH70" s="796"/>
      <c r="AI70" s="796">
        <f t="shared" si="2"/>
        <v>0</v>
      </c>
      <c r="AJ70" s="796">
        <f t="shared" si="3"/>
        <v>0</v>
      </c>
    </row>
    <row r="71" spans="1:36" ht="28.5" hidden="1" customHeight="1" x14ac:dyDescent="0.25">
      <c r="A71" s="97">
        <f>初餾產銷!A31</f>
        <v>0</v>
      </c>
      <c r="B71" s="390">
        <f>初餾產銷!B31</f>
        <v>0</v>
      </c>
      <c r="C71" s="361">
        <f>初餾產銷!C31</f>
        <v>0</v>
      </c>
      <c r="D71" s="362">
        <f>初餾產銷!D31</f>
        <v>0</v>
      </c>
      <c r="E71" s="363">
        <f>初餾產銷!E31</f>
        <v>0</v>
      </c>
      <c r="F71" s="363">
        <f>初餾產銷!F31</f>
        <v>0</v>
      </c>
      <c r="G71" s="530">
        <f>初餾產銷!G31</f>
        <v>0</v>
      </c>
      <c r="H71" s="822">
        <f>初餾產銷!H31</f>
        <v>0</v>
      </c>
      <c r="I71" s="575">
        <f>初餾產銷!J31</f>
        <v>0</v>
      </c>
      <c r="J71" s="823">
        <f>初餾產銷!K31</f>
        <v>0</v>
      </c>
      <c r="K71" s="532">
        <f>初餾產銷!M31</f>
        <v>0</v>
      </c>
      <c r="L71" s="531">
        <f>初餾產銷!N31</f>
        <v>0</v>
      </c>
      <c r="M71" s="532">
        <f>初餾產銷!P31</f>
        <v>0</v>
      </c>
      <c r="N71" s="824">
        <f>初餾產銷!Q31</f>
        <v>0</v>
      </c>
      <c r="O71" s="825">
        <f>初餾產銷!S31</f>
        <v>0</v>
      </c>
      <c r="P71" s="698">
        <f>初餾產銷!T31</f>
        <v>0</v>
      </c>
      <c r="Q71" s="815">
        <f>初餾產銷!U31</f>
        <v>0</v>
      </c>
      <c r="R71" s="834">
        <f>初餾產銷!V31</f>
        <v>0</v>
      </c>
      <c r="S71" s="744">
        <f>初餾產銷!W31</f>
        <v>0</v>
      </c>
      <c r="T71" s="815">
        <f>初餾產銷!X31</f>
        <v>0</v>
      </c>
      <c r="U71" s="834">
        <f>初餾產銷!Y31</f>
        <v>0</v>
      </c>
      <c r="V71" s="744">
        <f>初餾產銷!Z31</f>
        <v>0</v>
      </c>
      <c r="W71" s="815">
        <f>初餾產銷!AA31</f>
        <v>0</v>
      </c>
      <c r="X71" s="834">
        <f>初餾產銷!AB31</f>
        <v>0</v>
      </c>
      <c r="Y71" s="744">
        <f>初餾產銷!AC31</f>
        <v>0</v>
      </c>
      <c r="Z71" s="815">
        <f>初餾產銷!AD31</f>
        <v>0</v>
      </c>
      <c r="AA71" s="834">
        <f>初餾產銷!AE31</f>
        <v>0</v>
      </c>
      <c r="AB71" s="533">
        <f>初餾產銷!AF31</f>
        <v>0</v>
      </c>
      <c r="AC71" s="534">
        <f>初餾產銷!AG31</f>
        <v>0</v>
      </c>
      <c r="AD71" s="534">
        <f>初餾產銷!AH31</f>
        <v>0</v>
      </c>
      <c r="AE71" s="535">
        <f>初餾產銷!AI31</f>
        <v>0</v>
      </c>
      <c r="AF71" s="509">
        <f t="shared" si="7"/>
        <v>0</v>
      </c>
      <c r="AH71" s="796"/>
      <c r="AI71" s="796">
        <f t="shared" si="2"/>
        <v>0</v>
      </c>
      <c r="AJ71" s="796">
        <f t="shared" si="3"/>
        <v>0</v>
      </c>
    </row>
    <row r="72" spans="1:36" ht="28.5" hidden="1" customHeight="1" x14ac:dyDescent="0.25">
      <c r="A72" s="99">
        <f>初餾產銷!A32</f>
        <v>0</v>
      </c>
      <c r="B72" s="368">
        <f>初餾產銷!B32</f>
        <v>0</v>
      </c>
      <c r="C72" s="382">
        <f>初餾產銷!C32</f>
        <v>0</v>
      </c>
      <c r="D72" s="411">
        <f>初餾產銷!D32</f>
        <v>0</v>
      </c>
      <c r="E72" s="371">
        <f>初餾產銷!E32</f>
        <v>0</v>
      </c>
      <c r="F72" s="371">
        <f>初餾產銷!F32</f>
        <v>0</v>
      </c>
      <c r="G72" s="693">
        <f>初餾產銷!G32</f>
        <v>0</v>
      </c>
      <c r="H72" s="828">
        <f>初餾產銷!H32</f>
        <v>0</v>
      </c>
      <c r="I72" s="572">
        <f>初餾產銷!J32</f>
        <v>0</v>
      </c>
      <c r="J72" s="829">
        <f>初餾產銷!K32</f>
        <v>0</v>
      </c>
      <c r="K72" s="595">
        <f>初餾產銷!M32</f>
        <v>0</v>
      </c>
      <c r="L72" s="566">
        <f>初餾產銷!N32</f>
        <v>0</v>
      </c>
      <c r="M72" s="595">
        <f>初餾產銷!P32</f>
        <v>0</v>
      </c>
      <c r="N72" s="830">
        <f>初餾產銷!Q32</f>
        <v>0</v>
      </c>
      <c r="O72" s="831">
        <f>初餾產銷!S32</f>
        <v>0</v>
      </c>
      <c r="P72" s="698">
        <f>初餾產銷!T32</f>
        <v>0</v>
      </c>
      <c r="Q72" s="815">
        <f>初餾產銷!U32</f>
        <v>0</v>
      </c>
      <c r="R72" s="836">
        <f>初餾產銷!V32</f>
        <v>0</v>
      </c>
      <c r="S72" s="744">
        <f>初餾產銷!W32</f>
        <v>0</v>
      </c>
      <c r="T72" s="815">
        <f>初餾產銷!X32</f>
        <v>0</v>
      </c>
      <c r="U72" s="836">
        <f>初餾產銷!Y32</f>
        <v>0</v>
      </c>
      <c r="V72" s="744">
        <f>初餾產銷!Z32</f>
        <v>0</v>
      </c>
      <c r="W72" s="815">
        <f>初餾產銷!AA32</f>
        <v>0</v>
      </c>
      <c r="X72" s="836">
        <f>初餾產銷!AB32</f>
        <v>0</v>
      </c>
      <c r="Y72" s="744">
        <f>初餾產銷!AC32</f>
        <v>0</v>
      </c>
      <c r="Z72" s="815">
        <f>初餾產銷!AD32</f>
        <v>0</v>
      </c>
      <c r="AA72" s="836">
        <f>初餾產銷!AE32</f>
        <v>0</v>
      </c>
      <c r="AB72" s="533">
        <f>初餾產銷!AF32</f>
        <v>0</v>
      </c>
      <c r="AC72" s="534">
        <f>初餾產銷!AG32</f>
        <v>0</v>
      </c>
      <c r="AD72" s="534">
        <f>初餾產銷!AH32</f>
        <v>0</v>
      </c>
      <c r="AE72" s="535">
        <f>初餾產銷!AI32</f>
        <v>0</v>
      </c>
      <c r="AF72" s="509">
        <f t="shared" si="7"/>
        <v>0</v>
      </c>
      <c r="AH72" s="796"/>
      <c r="AI72" s="796">
        <f t="shared" si="2"/>
        <v>0</v>
      </c>
      <c r="AJ72" s="796">
        <f t="shared" si="3"/>
        <v>0</v>
      </c>
    </row>
    <row r="73" spans="1:36" ht="28.5" hidden="1" customHeight="1" thickBot="1" x14ac:dyDescent="0.3">
      <c r="A73" s="545">
        <f>初餾產銷!A33</f>
        <v>0</v>
      </c>
      <c r="B73" s="546">
        <f>初餾產銷!B33</f>
        <v>0</v>
      </c>
      <c r="C73" s="439">
        <f>初餾產銷!C33</f>
        <v>0</v>
      </c>
      <c r="D73" s="440">
        <f>初餾產銷!D33</f>
        <v>0</v>
      </c>
      <c r="E73" s="441">
        <f>初餾產銷!E33</f>
        <v>0</v>
      </c>
      <c r="F73" s="441">
        <f>初餾產銷!F33</f>
        <v>0</v>
      </c>
      <c r="G73" s="816">
        <f>初餾產銷!G33</f>
        <v>0</v>
      </c>
      <c r="H73" s="837">
        <f>初餾產銷!H33</f>
        <v>0</v>
      </c>
      <c r="I73" s="577">
        <f>初餾產銷!J33</f>
        <v>0</v>
      </c>
      <c r="J73" s="838">
        <f>初餾產銷!K33</f>
        <v>0</v>
      </c>
      <c r="K73" s="586">
        <f>初餾產銷!M33</f>
        <v>0</v>
      </c>
      <c r="L73" s="578">
        <f>初餾產銷!N33</f>
        <v>0</v>
      </c>
      <c r="M73" s="586">
        <f>初餾產銷!P33</f>
        <v>0</v>
      </c>
      <c r="N73" s="839">
        <f>初餾產銷!Q33</f>
        <v>0</v>
      </c>
      <c r="O73" s="840">
        <f>初餾產銷!S33</f>
        <v>0</v>
      </c>
      <c r="P73" s="455">
        <f>初餾產銷!T33</f>
        <v>0</v>
      </c>
      <c r="Q73" s="841">
        <f>初餾產銷!U33</f>
        <v>0</v>
      </c>
      <c r="R73" s="842">
        <f>初餾產銷!V33</f>
        <v>0</v>
      </c>
      <c r="S73" s="443">
        <f>初餾產銷!W33</f>
        <v>0</v>
      </c>
      <c r="T73" s="841">
        <f>初餾產銷!X33</f>
        <v>0</v>
      </c>
      <c r="U73" s="842">
        <f>初餾產銷!Y33</f>
        <v>0</v>
      </c>
      <c r="V73" s="443">
        <f>初餾產銷!Z33</f>
        <v>0</v>
      </c>
      <c r="W73" s="841">
        <f>初餾產銷!AA33</f>
        <v>0</v>
      </c>
      <c r="X73" s="842">
        <f>初餾產銷!AB33</f>
        <v>0</v>
      </c>
      <c r="Y73" s="443">
        <f>初餾產銷!AC33</f>
        <v>0</v>
      </c>
      <c r="Z73" s="841">
        <f>初餾產銷!AD33</f>
        <v>0</v>
      </c>
      <c r="AA73" s="842">
        <f>初餾產銷!AE33</f>
        <v>0</v>
      </c>
      <c r="AB73" s="540">
        <f>初餾產銷!AF33</f>
        <v>0</v>
      </c>
      <c r="AC73" s="541">
        <f>初餾產銷!AG33</f>
        <v>0</v>
      </c>
      <c r="AD73" s="541">
        <f>初餾產銷!AH33</f>
        <v>0</v>
      </c>
      <c r="AE73" s="542">
        <f>初餾產銷!AI33</f>
        <v>0</v>
      </c>
      <c r="AF73" s="509">
        <f t="shared" si="7"/>
        <v>0</v>
      </c>
      <c r="AH73" s="796"/>
      <c r="AI73" s="796">
        <f t="shared" ref="AI73:AI138" si="18">IF(AH73=0,0,AH73/C73)</f>
        <v>0</v>
      </c>
      <c r="AJ73" s="796">
        <f t="shared" ref="AJ73:AJ138" si="19">IF(AH73=0,0,AH73/((H73+J73+L73+N73)/4))</f>
        <v>0</v>
      </c>
    </row>
    <row r="74" spans="1:36" ht="28.5" hidden="1" customHeight="1" thickTop="1" thickBot="1" x14ac:dyDescent="0.3">
      <c r="A74" s="98">
        <f>調配產銷!A5</f>
        <v>0</v>
      </c>
      <c r="B74" s="387">
        <f>調配產銷!B5</f>
        <v>0</v>
      </c>
      <c r="C74" s="547">
        <f>調配產銷!C5</f>
        <v>0</v>
      </c>
      <c r="D74" s="411">
        <f>調配產銷!D5</f>
        <v>0</v>
      </c>
      <c r="E74" s="548">
        <f>調配產銷!E5</f>
        <v>0</v>
      </c>
      <c r="F74" s="548">
        <f>調配產銷!F5</f>
        <v>0</v>
      </c>
      <c r="G74" s="703">
        <f>調配產銷!G5</f>
        <v>0</v>
      </c>
      <c r="H74" s="704">
        <f>調配產銷!H5</f>
        <v>0</v>
      </c>
      <c r="I74" s="705">
        <f>調配產銷!I5</f>
        <v>0</v>
      </c>
      <c r="J74" s="843">
        <f>調配產銷!J5</f>
        <v>0</v>
      </c>
      <c r="K74" s="844">
        <f>調配產銷!K5</f>
        <v>0</v>
      </c>
      <c r="L74" s="843">
        <f>調配產銷!L5</f>
        <v>0</v>
      </c>
      <c r="M74" s="844">
        <f>調配產銷!M5</f>
        <v>0</v>
      </c>
      <c r="N74" s="845">
        <f>調配產銷!N5</f>
        <v>0</v>
      </c>
      <c r="O74" s="844">
        <f>調配產銷!O5</f>
        <v>0</v>
      </c>
      <c r="P74" s="730">
        <f>調配產銷!P5</f>
        <v>0</v>
      </c>
      <c r="Q74" s="826">
        <f>調配產銷!Q5</f>
        <v>0</v>
      </c>
      <c r="R74" s="846">
        <f>調配產銷!R5</f>
        <v>0</v>
      </c>
      <c r="S74" s="735">
        <f>調配產銷!S5</f>
        <v>0</v>
      </c>
      <c r="T74" s="826">
        <f>調配產銷!T5</f>
        <v>0</v>
      </c>
      <c r="U74" s="846">
        <f>調配產銷!U5</f>
        <v>0</v>
      </c>
      <c r="V74" s="735">
        <f>調配產銷!V5</f>
        <v>0</v>
      </c>
      <c r="W74" s="826">
        <f>調配產銷!W5</f>
        <v>0</v>
      </c>
      <c r="X74" s="846">
        <f>調配產銷!X5</f>
        <v>0</v>
      </c>
      <c r="Y74" s="735">
        <f>調配產銷!Y5</f>
        <v>0</v>
      </c>
      <c r="Z74" s="826">
        <f>調配產銷!Z5</f>
        <v>0</v>
      </c>
      <c r="AA74" s="846">
        <f>調配產銷!AA5</f>
        <v>0</v>
      </c>
      <c r="AB74" s="522">
        <f>調配產銷!AB5</f>
        <v>0</v>
      </c>
      <c r="AC74" s="523">
        <f>調配產銷!AC5</f>
        <v>0</v>
      </c>
      <c r="AD74" s="523">
        <f>調配產銷!AD5</f>
        <v>0</v>
      </c>
      <c r="AE74" s="524">
        <f>調配產銷!AE5</f>
        <v>0</v>
      </c>
      <c r="AF74" s="509">
        <f t="shared" si="7"/>
        <v>0</v>
      </c>
      <c r="AH74" s="796"/>
      <c r="AI74" s="796">
        <f t="shared" si="18"/>
        <v>0</v>
      </c>
      <c r="AJ74" s="796">
        <f t="shared" si="19"/>
        <v>0</v>
      </c>
    </row>
    <row r="75" spans="1:36" ht="24" customHeight="1" thickTop="1" x14ac:dyDescent="0.25">
      <c r="A75" s="267" t="str">
        <f>調配產銷!A6</f>
        <v>NSE-115</v>
      </c>
      <c r="B75" s="368" t="str">
        <f>調配產銷!B6</f>
        <v>TKM82&amp;200L</v>
      </c>
      <c r="C75" s="549">
        <v>200</v>
      </c>
      <c r="D75" s="411">
        <f>調配產銷!D6</f>
        <v>157.58600000000001</v>
      </c>
      <c r="E75" s="411">
        <f>調配產銷!E6</f>
        <v>0</v>
      </c>
      <c r="F75" s="411">
        <f>調配產銷!F6</f>
        <v>0</v>
      </c>
      <c r="G75" s="847">
        <f>調配產銷!G6</f>
        <v>157.58600000000001</v>
      </c>
      <c r="H75" s="848">
        <f>調配產銷!H6</f>
        <v>29</v>
      </c>
      <c r="I75" s="849">
        <f>調配產銷!I6</f>
        <v>0</v>
      </c>
      <c r="J75" s="848">
        <f>調配產銷!J6</f>
        <v>110</v>
      </c>
      <c r="K75" s="850">
        <f>調配產銷!K6</f>
        <v>0</v>
      </c>
      <c r="L75" s="848">
        <f>調配產銷!L6</f>
        <v>110</v>
      </c>
      <c r="M75" s="850">
        <f>調配產銷!M6</f>
        <v>0</v>
      </c>
      <c r="N75" s="848">
        <f>調配產銷!N6</f>
        <v>110</v>
      </c>
      <c r="O75" s="849">
        <f>調配產銷!O6</f>
        <v>0</v>
      </c>
      <c r="P75" s="730" t="str">
        <f>調配產銷!P6</f>
        <v>參配</v>
      </c>
      <c r="Q75" s="826" t="str">
        <f>調配產銷!Q6</f>
        <v>24~31</v>
      </c>
      <c r="R75" s="851">
        <f>調配產銷!R6</f>
        <v>26.3</v>
      </c>
      <c r="S75" s="735" t="str">
        <f>調配產銷!S6</f>
        <v>參配</v>
      </c>
      <c r="T75" s="826" t="str">
        <f>調配產銷!T6</f>
        <v>9月</v>
      </c>
      <c r="U75" s="851">
        <f>調配產銷!U6</f>
        <v>114</v>
      </c>
      <c r="V75" s="735" t="str">
        <f>調配產銷!V6</f>
        <v>參配</v>
      </c>
      <c r="W75" s="826" t="str">
        <f>調配產銷!W6</f>
        <v>10月</v>
      </c>
      <c r="X75" s="851">
        <f>調配產銷!X6</f>
        <v>114</v>
      </c>
      <c r="Y75" s="735" t="str">
        <f>調配產銷!Y6</f>
        <v>參配</v>
      </c>
      <c r="Z75" s="826" t="str">
        <f>調配產銷!Z6</f>
        <v>11月</v>
      </c>
      <c r="AA75" s="851">
        <f>調配產銷!AA6</f>
        <v>114</v>
      </c>
      <c r="AB75" s="550">
        <f>調配產銷!AB6</f>
        <v>154.88600000000002</v>
      </c>
      <c r="AC75" s="551">
        <f>調配產銷!AC6</f>
        <v>158.88600000000002</v>
      </c>
      <c r="AD75" s="551">
        <f>調配產銷!AD6</f>
        <v>162.88600000000002</v>
      </c>
      <c r="AE75" s="552">
        <f>調配產銷!AE6</f>
        <v>166.88600000000002</v>
      </c>
      <c r="AF75" s="509">
        <f t="shared" si="7"/>
        <v>1</v>
      </c>
      <c r="AH75" s="796">
        <f>調配產銷!AI6</f>
        <v>315</v>
      </c>
      <c r="AI75" s="796">
        <f t="shared" si="18"/>
        <v>1.575</v>
      </c>
      <c r="AJ75" s="796">
        <f t="shared" si="19"/>
        <v>3.5097493036211698</v>
      </c>
    </row>
    <row r="76" spans="1:36" ht="24" customHeight="1" x14ac:dyDescent="0.25">
      <c r="A76" s="101" t="str">
        <f>調配產銷!A7</f>
        <v>NSE-1106</v>
      </c>
      <c r="B76" s="403" t="str">
        <f>調配產銷!B7</f>
        <v>TKM83&amp;200L</v>
      </c>
      <c r="C76" s="361">
        <v>300</v>
      </c>
      <c r="D76" s="411">
        <f>調配產銷!D7</f>
        <v>60.561999999999998</v>
      </c>
      <c r="E76" s="371">
        <f>調配產銷!E7</f>
        <v>0</v>
      </c>
      <c r="F76" s="371">
        <f>調配產銷!F7</f>
        <v>0</v>
      </c>
      <c r="G76" s="530">
        <f>調配產銷!G7</f>
        <v>60.561999999999998</v>
      </c>
      <c r="H76" s="531">
        <f>調配產銷!H7</f>
        <v>11</v>
      </c>
      <c r="I76" s="575">
        <f>調配產銷!I7</f>
        <v>0</v>
      </c>
      <c r="J76" s="531">
        <f>調配產銷!J7</f>
        <v>40</v>
      </c>
      <c r="K76" s="532">
        <f>調配產銷!K7</f>
        <v>0</v>
      </c>
      <c r="L76" s="531">
        <f>調配產銷!L7</f>
        <v>40</v>
      </c>
      <c r="M76" s="532">
        <f>調配產銷!M7</f>
        <v>0</v>
      </c>
      <c r="N76" s="559">
        <f>調配產銷!N7</f>
        <v>40</v>
      </c>
      <c r="O76" s="575">
        <f>調配產銷!O7</f>
        <v>0</v>
      </c>
      <c r="P76" s="698">
        <f>調配產銷!P7</f>
        <v>0</v>
      </c>
      <c r="Q76" s="815">
        <f>調配產銷!Q7</f>
        <v>0</v>
      </c>
      <c r="R76" s="836">
        <f>調配產銷!R7</f>
        <v>0</v>
      </c>
      <c r="S76" s="744" t="str">
        <f>調配產銷!S7</f>
        <v>參配</v>
      </c>
      <c r="T76" s="815" t="str">
        <f>調配產銷!T7</f>
        <v>9月</v>
      </c>
      <c r="U76" s="836">
        <f>調配產銷!U7</f>
        <v>36</v>
      </c>
      <c r="V76" s="744" t="str">
        <f>調配產銷!V7</f>
        <v>參配</v>
      </c>
      <c r="W76" s="815" t="str">
        <f>調配產銷!W7</f>
        <v>10月</v>
      </c>
      <c r="X76" s="836">
        <f>調配產銷!X7</f>
        <v>36</v>
      </c>
      <c r="Y76" s="744" t="str">
        <f>調配產銷!Y7</f>
        <v>參配</v>
      </c>
      <c r="Z76" s="815" t="str">
        <f>調配產銷!Z7</f>
        <v>11月</v>
      </c>
      <c r="AA76" s="836">
        <f>調配產銷!AA7</f>
        <v>36</v>
      </c>
      <c r="AB76" s="522">
        <f>調配產銷!AB7</f>
        <v>49.561999999999998</v>
      </c>
      <c r="AC76" s="523">
        <f>調配產銷!AC7</f>
        <v>45.561999999999998</v>
      </c>
      <c r="AD76" s="523">
        <f>調配產銷!AD7</f>
        <v>41.561999999999998</v>
      </c>
      <c r="AE76" s="524">
        <f>調配產銷!AE7</f>
        <v>37.561999999999998</v>
      </c>
      <c r="AF76" s="509">
        <f t="shared" si="7"/>
        <v>1</v>
      </c>
      <c r="AH76" s="796">
        <f>調配產銷!AI7</f>
        <v>210</v>
      </c>
      <c r="AI76" s="796">
        <f t="shared" si="18"/>
        <v>0.7</v>
      </c>
      <c r="AJ76" s="796">
        <f t="shared" si="19"/>
        <v>6.4122137404580153</v>
      </c>
    </row>
    <row r="77" spans="1:36" ht="24" customHeight="1" x14ac:dyDescent="0.25">
      <c r="A77" s="99" t="str">
        <f>調配產銷!A8</f>
        <v>NSR-716-V05</v>
      </c>
      <c r="B77" s="553" t="str">
        <f>調配產銷!B8</f>
        <v>TKM84&amp;200L</v>
      </c>
      <c r="C77" s="382">
        <v>110</v>
      </c>
      <c r="D77" s="411">
        <f>調配產銷!D8</f>
        <v>26</v>
      </c>
      <c r="E77" s="371">
        <f>調配產銷!E8</f>
        <v>0</v>
      </c>
      <c r="F77" s="371">
        <f>調配產銷!F8</f>
        <v>0</v>
      </c>
      <c r="G77" s="693">
        <f>調配產銷!G8</f>
        <v>26</v>
      </c>
      <c r="H77" s="828">
        <f>調配產銷!H8</f>
        <v>0</v>
      </c>
      <c r="I77" s="572">
        <f>調配產銷!I8</f>
        <v>0</v>
      </c>
      <c r="J77" s="829">
        <f>調配產銷!J8</f>
        <v>0</v>
      </c>
      <c r="K77" s="595">
        <f>調配產銷!K8</f>
        <v>0</v>
      </c>
      <c r="L77" s="566">
        <f>調配產銷!L8</f>
        <v>0</v>
      </c>
      <c r="M77" s="595">
        <f>調配產銷!M8</f>
        <v>0</v>
      </c>
      <c r="N77" s="830">
        <f>調配產銷!N8</f>
        <v>0</v>
      </c>
      <c r="O77" s="572">
        <f>調配產銷!O8</f>
        <v>0</v>
      </c>
      <c r="P77" s="698">
        <f>調配產銷!P8</f>
        <v>0</v>
      </c>
      <c r="Q77" s="815">
        <f>調配產銷!Q8</f>
        <v>0</v>
      </c>
      <c r="R77" s="836">
        <f>調配產銷!R8</f>
        <v>0</v>
      </c>
      <c r="S77" s="744">
        <f>調配產銷!S8</f>
        <v>0</v>
      </c>
      <c r="T77" s="815">
        <f>調配產銷!T8</f>
        <v>0</v>
      </c>
      <c r="U77" s="836">
        <f>調配產銷!U8</f>
        <v>0</v>
      </c>
      <c r="V77" s="744">
        <f>調配產銷!V8</f>
        <v>0</v>
      </c>
      <c r="W77" s="815">
        <f>調配產銷!W8</f>
        <v>0</v>
      </c>
      <c r="X77" s="836">
        <f>調配產銷!X8</f>
        <v>0</v>
      </c>
      <c r="Y77" s="744">
        <f>調配產銷!Y8</f>
        <v>0</v>
      </c>
      <c r="Z77" s="815">
        <f>調配產銷!Z8</f>
        <v>0</v>
      </c>
      <c r="AA77" s="836">
        <f>調配產銷!AA8</f>
        <v>0</v>
      </c>
      <c r="AB77" s="522">
        <f>調配產銷!AB8</f>
        <v>26</v>
      </c>
      <c r="AC77" s="523">
        <f>調配產銷!AC8</f>
        <v>26</v>
      </c>
      <c r="AD77" s="523">
        <f>調配產銷!AD8</f>
        <v>26</v>
      </c>
      <c r="AE77" s="524">
        <f>調配產銷!AE8</f>
        <v>26</v>
      </c>
      <c r="AF77" s="509">
        <f t="shared" si="7"/>
        <v>1</v>
      </c>
      <c r="AH77" s="796">
        <f>調配產銷!AI8</f>
        <v>35</v>
      </c>
      <c r="AI77" s="796">
        <f t="shared" si="18"/>
        <v>0.31818181818181818</v>
      </c>
      <c r="AJ77" s="796" t="e">
        <f t="shared" si="19"/>
        <v>#DIV/0!</v>
      </c>
    </row>
    <row r="78" spans="1:36" ht="24" customHeight="1" x14ac:dyDescent="0.25">
      <c r="A78" s="99" t="str">
        <f>調配產銷!A9</f>
        <v>NSE-1106A</v>
      </c>
      <c r="B78" s="553" t="str">
        <f>調配產銷!B9</f>
        <v>TKM50、TKM51&amp;200L</v>
      </c>
      <c r="C78" s="382">
        <f>調配產銷!C9</f>
        <v>500</v>
      </c>
      <c r="D78" s="411">
        <f>調配產銷!D9</f>
        <v>587.00199999999995</v>
      </c>
      <c r="E78" s="371">
        <f>調配產銷!E9</f>
        <v>0</v>
      </c>
      <c r="F78" s="371">
        <f>調配產銷!F9</f>
        <v>0</v>
      </c>
      <c r="G78" s="693">
        <f>調配產銷!G9</f>
        <v>587.00199999999995</v>
      </c>
      <c r="H78" s="828">
        <f>調配產銷!H9</f>
        <v>80</v>
      </c>
      <c r="I78" s="572">
        <f>調配產銷!I9</f>
        <v>0</v>
      </c>
      <c r="J78" s="829">
        <f>調配產銷!J9</f>
        <v>310</v>
      </c>
      <c r="K78" s="595">
        <f>調配產銷!K9</f>
        <v>0</v>
      </c>
      <c r="L78" s="566">
        <f>調配產銷!L9</f>
        <v>310</v>
      </c>
      <c r="M78" s="595">
        <f>調配產銷!M9</f>
        <v>0</v>
      </c>
      <c r="N78" s="830">
        <f>調配產銷!N9</f>
        <v>310</v>
      </c>
      <c r="O78" s="572">
        <f>調配產銷!O9</f>
        <v>0</v>
      </c>
      <c r="P78" s="698" t="str">
        <f>調配產銷!P9</f>
        <v>參配</v>
      </c>
      <c r="Q78" s="815" t="str">
        <f>調配產銷!Q9</f>
        <v>24~31</v>
      </c>
      <c r="R78" s="836">
        <f>調配產銷!R9</f>
        <v>54</v>
      </c>
      <c r="S78" s="744" t="str">
        <f>調配產銷!S9</f>
        <v>參配</v>
      </c>
      <c r="T78" s="815" t="str">
        <f>調配產銷!T9</f>
        <v>9月</v>
      </c>
      <c r="U78" s="836">
        <f>調配產銷!U9</f>
        <v>287.60000000000002</v>
      </c>
      <c r="V78" s="744" t="str">
        <f>調配產銷!V9</f>
        <v>參配</v>
      </c>
      <c r="W78" s="815" t="str">
        <f>調配產銷!W9</f>
        <v>10月</v>
      </c>
      <c r="X78" s="836">
        <f>調配產銷!X9</f>
        <v>287.60000000000002</v>
      </c>
      <c r="Y78" s="744" t="str">
        <f>調配產銷!Y9</f>
        <v>參配</v>
      </c>
      <c r="Z78" s="815" t="str">
        <f>調配產銷!Z9</f>
        <v>11月</v>
      </c>
      <c r="AA78" s="836">
        <f>調配產銷!AA9</f>
        <v>287.60000000000002</v>
      </c>
      <c r="AB78" s="536">
        <f>調配產銷!AB9</f>
        <v>561.00199999999995</v>
      </c>
      <c r="AC78" s="537">
        <f>調配產銷!AC9</f>
        <v>538.60199999999998</v>
      </c>
      <c r="AD78" s="537">
        <f>調配產銷!AD9</f>
        <v>516.202</v>
      </c>
      <c r="AE78" s="538">
        <f>調配產銷!AE9</f>
        <v>493.80200000000002</v>
      </c>
      <c r="AF78" s="509">
        <f t="shared" si="7"/>
        <v>1</v>
      </c>
      <c r="AH78" s="796"/>
      <c r="AI78" s="796">
        <f t="shared" si="18"/>
        <v>0</v>
      </c>
      <c r="AJ78" s="796">
        <f t="shared" si="19"/>
        <v>0</v>
      </c>
    </row>
    <row r="79" spans="1:36" ht="24" customHeight="1" x14ac:dyDescent="0.25">
      <c r="A79" s="99" t="str">
        <f>調配產銷!A10</f>
        <v>NSE-115A</v>
      </c>
      <c r="B79" s="553" t="str">
        <f>調配產銷!B10</f>
        <v>TKM76&amp;200L</v>
      </c>
      <c r="C79" s="382">
        <f>調配產銷!C10</f>
        <v>80</v>
      </c>
      <c r="D79" s="411">
        <f>調配產銷!D10</f>
        <v>82.137</v>
      </c>
      <c r="E79" s="371">
        <f>調配產銷!E10</f>
        <v>0</v>
      </c>
      <c r="F79" s="371">
        <f>調配產銷!F10</f>
        <v>0</v>
      </c>
      <c r="G79" s="693">
        <f>調配產銷!G10</f>
        <v>82.137</v>
      </c>
      <c r="H79" s="828">
        <f>調配產銷!H10</f>
        <v>0</v>
      </c>
      <c r="I79" s="572">
        <f>調配產銷!I10</f>
        <v>0</v>
      </c>
      <c r="J79" s="829">
        <f>調配產銷!J10</f>
        <v>0</v>
      </c>
      <c r="K79" s="595">
        <f>調配產銷!K10</f>
        <v>0</v>
      </c>
      <c r="L79" s="566">
        <f>調配產銷!L10</f>
        <v>0</v>
      </c>
      <c r="M79" s="595">
        <f>調配產銷!M10</f>
        <v>0</v>
      </c>
      <c r="N79" s="830">
        <f>調配產銷!N10</f>
        <v>0</v>
      </c>
      <c r="O79" s="572">
        <f>調配產銷!O10</f>
        <v>0</v>
      </c>
      <c r="P79" s="698">
        <f>調配產銷!P10</f>
        <v>0</v>
      </c>
      <c r="Q79" s="815">
        <f>調配產銷!Q10</f>
        <v>0</v>
      </c>
      <c r="R79" s="852">
        <f>調配產銷!R10</f>
        <v>0</v>
      </c>
      <c r="S79" s="744">
        <f>調配產銷!S10</f>
        <v>0</v>
      </c>
      <c r="T79" s="815">
        <f>調配產銷!T10</f>
        <v>0</v>
      </c>
      <c r="U79" s="852">
        <f>調配產銷!U10</f>
        <v>0</v>
      </c>
      <c r="V79" s="744">
        <f>調配產銷!V10</f>
        <v>0</v>
      </c>
      <c r="W79" s="815">
        <f>調配產銷!W10</f>
        <v>0</v>
      </c>
      <c r="X79" s="852">
        <f>調配產銷!X10</f>
        <v>0</v>
      </c>
      <c r="Y79" s="744">
        <f>調配產銷!Y10</f>
        <v>0</v>
      </c>
      <c r="Z79" s="815">
        <f>調配產銷!Z10</f>
        <v>0</v>
      </c>
      <c r="AA79" s="852">
        <f>調配產銷!AA10</f>
        <v>0</v>
      </c>
      <c r="AB79" s="510">
        <f>調配產銷!AB10</f>
        <v>82.137</v>
      </c>
      <c r="AC79" s="511">
        <f>調配產銷!AC10</f>
        <v>82.137</v>
      </c>
      <c r="AD79" s="511">
        <f>調配產銷!AD10</f>
        <v>82.137</v>
      </c>
      <c r="AE79" s="512">
        <f>調配產銷!AE10</f>
        <v>82.137</v>
      </c>
      <c r="AF79" s="509">
        <f t="shared" si="7"/>
        <v>1</v>
      </c>
      <c r="AH79" s="796"/>
      <c r="AI79" s="796">
        <f t="shared" si="18"/>
        <v>0</v>
      </c>
      <c r="AJ79" s="796">
        <f t="shared" si="19"/>
        <v>0</v>
      </c>
    </row>
    <row r="80" spans="1:36" ht="24" customHeight="1" x14ac:dyDescent="0.25">
      <c r="A80" s="99" t="str">
        <f>調配產銷!A11</f>
        <v>ACT790</v>
      </c>
      <c r="B80" s="403" t="str">
        <f>調配產銷!B11</f>
        <v>TKM83&amp;200L</v>
      </c>
      <c r="C80" s="361">
        <f>調配產銷!$C$11</f>
        <v>40</v>
      </c>
      <c r="D80" s="411">
        <f>調配產銷!D11</f>
        <v>34.72</v>
      </c>
      <c r="E80" s="371">
        <f>調配產銷!E11</f>
        <v>0</v>
      </c>
      <c r="F80" s="371">
        <f>調配產銷!F11</f>
        <v>0</v>
      </c>
      <c r="G80" s="530">
        <f>調配產銷!G11</f>
        <v>34.72</v>
      </c>
      <c r="H80" s="531">
        <f>調配產銷!H11</f>
        <v>17</v>
      </c>
      <c r="I80" s="575">
        <f>調配產銷!I11</f>
        <v>0</v>
      </c>
      <c r="J80" s="531">
        <f>調配產銷!J11</f>
        <v>17</v>
      </c>
      <c r="K80" s="532">
        <f>調配產銷!K11</f>
        <v>0</v>
      </c>
      <c r="L80" s="531">
        <f>調配產銷!L11</f>
        <v>34</v>
      </c>
      <c r="M80" s="532">
        <f>調配產銷!M11</f>
        <v>0</v>
      </c>
      <c r="N80" s="559">
        <f>調配產銷!N11</f>
        <v>34</v>
      </c>
      <c r="O80" s="575">
        <f>調配產銷!O11</f>
        <v>0</v>
      </c>
      <c r="P80" s="698" t="str">
        <f>調配產銷!P11</f>
        <v>參配</v>
      </c>
      <c r="Q80" s="815" t="str">
        <f>調配產銷!Q11</f>
        <v>24~31</v>
      </c>
      <c r="R80" s="836">
        <f>調配產銷!R11</f>
        <v>8.9</v>
      </c>
      <c r="S80" s="744" t="str">
        <f>調配產銷!S11</f>
        <v>參配</v>
      </c>
      <c r="T80" s="815" t="str">
        <f>調配產銷!T11</f>
        <v>9月</v>
      </c>
      <c r="U80" s="836">
        <f>調配產銷!U11</f>
        <v>34</v>
      </c>
      <c r="V80" s="744" t="str">
        <f>調配產銷!V11</f>
        <v>參配</v>
      </c>
      <c r="W80" s="815" t="str">
        <f>調配產銷!W11</f>
        <v>10月</v>
      </c>
      <c r="X80" s="836">
        <f>調配產銷!X11</f>
        <v>34</v>
      </c>
      <c r="Y80" s="744" t="str">
        <f>調配產銷!Y11</f>
        <v>參配</v>
      </c>
      <c r="Z80" s="815" t="str">
        <f>調配產銷!Z11</f>
        <v>11月</v>
      </c>
      <c r="AA80" s="836">
        <f>調配產銷!AA11</f>
        <v>34</v>
      </c>
      <c r="AB80" s="522">
        <f>調配產銷!AB11</f>
        <v>26.619999999999997</v>
      </c>
      <c r="AC80" s="523">
        <f>調配產銷!AC11</f>
        <v>43.62</v>
      </c>
      <c r="AD80" s="523">
        <f>調配產銷!AD11</f>
        <v>43.62</v>
      </c>
      <c r="AE80" s="524">
        <f>調配產銷!AE11</f>
        <v>43.62</v>
      </c>
      <c r="AF80" s="509">
        <f>+IF(SUM(G80,H80:O80,R80,U80,X80,AA80)=0,0,1)</f>
        <v>1</v>
      </c>
      <c r="AH80" s="796">
        <f>調配產銷!AI11</f>
        <v>210</v>
      </c>
      <c r="AI80" s="796">
        <f>IF(AH80=0,0,AH80/C80)</f>
        <v>5.25</v>
      </c>
      <c r="AJ80" s="796">
        <f>IF(AH80=0,0,AH80/((H80+J80+L80+N80)/4))</f>
        <v>8.235294117647058</v>
      </c>
    </row>
    <row r="81" spans="1:36" ht="24" customHeight="1" x14ac:dyDescent="0.25">
      <c r="A81" s="101" t="str">
        <f>調配產銷!A12</f>
        <v>SEP73E3</v>
      </c>
      <c r="B81" s="554" t="str">
        <f>調配產銷!B12</f>
        <v>TK665.S35.S38</v>
      </c>
      <c r="C81" s="400">
        <f>調配產銷!C12</f>
        <v>64</v>
      </c>
      <c r="D81" s="383">
        <f>調配產銷!D12</f>
        <v>9.27</v>
      </c>
      <c r="E81" s="348">
        <f>調配產銷!E12</f>
        <v>0</v>
      </c>
      <c r="F81" s="348">
        <f>調配產銷!F12</f>
        <v>0</v>
      </c>
      <c r="G81" s="715">
        <f>調配產銷!G12</f>
        <v>9.27</v>
      </c>
      <c r="H81" s="528">
        <f>調配產銷!H12</f>
        <v>14</v>
      </c>
      <c r="I81" s="716">
        <f>調配產銷!I12</f>
        <v>0</v>
      </c>
      <c r="J81" s="528">
        <f>調配產銷!J12</f>
        <v>40</v>
      </c>
      <c r="K81" s="529">
        <f>調配產銷!K12</f>
        <v>0</v>
      </c>
      <c r="L81" s="528">
        <f>調配產銷!L12</f>
        <v>40</v>
      </c>
      <c r="M81" s="529">
        <f>調配產銷!M12</f>
        <v>0</v>
      </c>
      <c r="N81" s="717">
        <f>調配產銷!N12</f>
        <v>40</v>
      </c>
      <c r="O81" s="716">
        <f>調配產銷!O12</f>
        <v>0</v>
      </c>
      <c r="P81" s="698">
        <f>調配產銷!P12</f>
        <v>0</v>
      </c>
      <c r="Q81" s="815">
        <f>調配產銷!Q12</f>
        <v>0</v>
      </c>
      <c r="R81" s="836">
        <f>調配產銷!R12</f>
        <v>0</v>
      </c>
      <c r="S81" s="744" t="str">
        <f>調配產銷!S12</f>
        <v>參配</v>
      </c>
      <c r="T81" s="815" t="str">
        <f>調配產銷!T12</f>
        <v>9月</v>
      </c>
      <c r="U81" s="836">
        <f>調配產銷!U12</f>
        <v>40</v>
      </c>
      <c r="V81" s="744" t="str">
        <f>調配產銷!V12</f>
        <v>參配</v>
      </c>
      <c r="W81" s="815" t="str">
        <f>調配產銷!W12</f>
        <v>10月</v>
      </c>
      <c r="X81" s="836">
        <f>調配產銷!X12</f>
        <v>40</v>
      </c>
      <c r="Y81" s="744" t="str">
        <f>調配產銷!Y12</f>
        <v>參配</v>
      </c>
      <c r="Z81" s="815" t="str">
        <f>調配產銷!Z12</f>
        <v>11月</v>
      </c>
      <c r="AA81" s="836">
        <f>調配產銷!AA12</f>
        <v>40</v>
      </c>
      <c r="AB81" s="522">
        <f>調配產銷!AB12</f>
        <v>-4.7300000000000004</v>
      </c>
      <c r="AC81" s="523">
        <f>調配產銷!AC12</f>
        <v>-4.730000000000004</v>
      </c>
      <c r="AD81" s="523">
        <f>調配產銷!AD12</f>
        <v>-4.730000000000004</v>
      </c>
      <c r="AE81" s="524">
        <f>調配產銷!AE12</f>
        <v>-4.730000000000004</v>
      </c>
      <c r="AF81" s="509">
        <f t="shared" si="7"/>
        <v>1</v>
      </c>
      <c r="AH81" s="796"/>
      <c r="AI81" s="796">
        <f t="shared" si="18"/>
        <v>0</v>
      </c>
      <c r="AJ81" s="796">
        <f t="shared" si="19"/>
        <v>0</v>
      </c>
    </row>
    <row r="82" spans="1:36" ht="24" customHeight="1" thickBot="1" x14ac:dyDescent="0.3">
      <c r="A82" s="100" t="str">
        <f>調配產銷!A13</f>
        <v>PS300</v>
      </c>
      <c r="B82" s="452" t="str">
        <f>調配產銷!B13</f>
        <v>20L&amp;1GL</v>
      </c>
      <c r="C82" s="555">
        <f>調配產銷!C13</f>
        <v>23</v>
      </c>
      <c r="D82" s="556">
        <f>調配產銷!D13</f>
        <v>1.248</v>
      </c>
      <c r="E82" s="557">
        <f>調配產銷!E13</f>
        <v>2.4790000000000001</v>
      </c>
      <c r="F82" s="557">
        <f>調配產銷!F13</f>
        <v>0</v>
      </c>
      <c r="G82" s="816">
        <f>調配產銷!G13</f>
        <v>3.7270000000000003</v>
      </c>
      <c r="H82" s="578">
        <f>調配產銷!H13</f>
        <v>1</v>
      </c>
      <c r="I82" s="577">
        <f>調配產銷!I13</f>
        <v>0</v>
      </c>
      <c r="J82" s="578">
        <f>調配產銷!J13</f>
        <v>2.5</v>
      </c>
      <c r="K82" s="586">
        <f>調配產銷!K13</f>
        <v>0</v>
      </c>
      <c r="L82" s="578">
        <f>調配產銷!L13</f>
        <v>2.5</v>
      </c>
      <c r="M82" s="586">
        <f>調配產銷!M13</f>
        <v>0</v>
      </c>
      <c r="N82" s="579">
        <f>調配產銷!N13</f>
        <v>2.5</v>
      </c>
      <c r="O82" s="577">
        <f>調配產銷!O13</f>
        <v>0</v>
      </c>
      <c r="P82" s="853">
        <f>調配產銷!P13</f>
        <v>0</v>
      </c>
      <c r="Q82" s="854">
        <f>調配產銷!Q13</f>
        <v>0</v>
      </c>
      <c r="R82" s="842">
        <f>調配產銷!R13</f>
        <v>0</v>
      </c>
      <c r="S82" s="855" t="str">
        <f>調配產銷!S13</f>
        <v>參配</v>
      </c>
      <c r="T82" s="854" t="str">
        <f>調配產銷!T13</f>
        <v>9月</v>
      </c>
      <c r="U82" s="842">
        <f>調配產銷!U13</f>
        <v>4</v>
      </c>
      <c r="V82" s="855" t="str">
        <f>調配產銷!V13</f>
        <v>參配</v>
      </c>
      <c r="W82" s="854" t="str">
        <f>調配產銷!W13</f>
        <v>10月</v>
      </c>
      <c r="X82" s="842">
        <f>調配產銷!X13</f>
        <v>2</v>
      </c>
      <c r="Y82" s="855" t="str">
        <f>調配產銷!Y13</f>
        <v>參配</v>
      </c>
      <c r="Z82" s="854" t="str">
        <f>調配產銷!Z13</f>
        <v>11月</v>
      </c>
      <c r="AA82" s="842">
        <f>調配產銷!AA13</f>
        <v>2</v>
      </c>
      <c r="AB82" s="540">
        <f>調配產銷!AB13</f>
        <v>2.7270000000000003</v>
      </c>
      <c r="AC82" s="541">
        <f>調配產銷!AC13</f>
        <v>4.2270000000000003</v>
      </c>
      <c r="AD82" s="541">
        <f>調配產銷!AD13</f>
        <v>3.7270000000000003</v>
      </c>
      <c r="AE82" s="542">
        <f>調配產銷!AE13</f>
        <v>3.2270000000000003</v>
      </c>
      <c r="AF82" s="509">
        <f t="shared" si="7"/>
        <v>1</v>
      </c>
      <c r="AH82" s="796"/>
      <c r="AI82" s="796">
        <f t="shared" si="18"/>
        <v>0</v>
      </c>
      <c r="AJ82" s="796">
        <f t="shared" si="19"/>
        <v>0</v>
      </c>
    </row>
    <row r="83" spans="1:36" ht="24" customHeight="1" thickTop="1" x14ac:dyDescent="0.25">
      <c r="A83" s="97" t="str">
        <f>調配產銷!A14</f>
        <v>CPNE4R(OEM)</v>
      </c>
      <c r="B83" s="390">
        <f>調配產銷!B14</f>
        <v>0</v>
      </c>
      <c r="C83" s="391">
        <f>調配產銷!C14</f>
        <v>0</v>
      </c>
      <c r="D83" s="392">
        <f>調配產銷!D14</f>
        <v>0</v>
      </c>
      <c r="E83" s="363">
        <f>調配產銷!E14</f>
        <v>0</v>
      </c>
      <c r="F83" s="363">
        <f>調配產銷!F14</f>
        <v>0</v>
      </c>
      <c r="G83" s="530">
        <f>調配產銷!G14</f>
        <v>0</v>
      </c>
      <c r="H83" s="531">
        <f>調配產銷!H14</f>
        <v>0</v>
      </c>
      <c r="I83" s="575">
        <f>調配產銷!I14</f>
        <v>0</v>
      </c>
      <c r="J83" s="531">
        <f>調配產銷!J14</f>
        <v>0</v>
      </c>
      <c r="K83" s="532">
        <f>調配產銷!K14</f>
        <v>0</v>
      </c>
      <c r="L83" s="531">
        <f>調配產銷!L14</f>
        <v>0</v>
      </c>
      <c r="M83" s="532">
        <f>調配產銷!M14</f>
        <v>0</v>
      </c>
      <c r="N83" s="559">
        <f>調配產銷!N14</f>
        <v>0</v>
      </c>
      <c r="O83" s="575">
        <f>調配產銷!O14</f>
        <v>0</v>
      </c>
      <c r="P83" s="730">
        <f>調配產銷!P14</f>
        <v>0</v>
      </c>
      <c r="Q83" s="826">
        <f>調配產銷!Q14</f>
        <v>0</v>
      </c>
      <c r="R83" s="914">
        <f>調配產銷!R14</f>
        <v>0</v>
      </c>
      <c r="S83" s="735">
        <f>調配產銷!S14</f>
        <v>0</v>
      </c>
      <c r="T83" s="826">
        <f>調配產銷!T14</f>
        <v>0</v>
      </c>
      <c r="U83" s="914">
        <f>調配產銷!U14</f>
        <v>0</v>
      </c>
      <c r="V83" s="735">
        <f>調配產銷!V14</f>
        <v>0</v>
      </c>
      <c r="W83" s="826">
        <f>調配產銷!W14</f>
        <v>0</v>
      </c>
      <c r="X83" s="914">
        <f>調配產銷!X14</f>
        <v>0</v>
      </c>
      <c r="Y83" s="735">
        <f>調配產銷!Y14</f>
        <v>0</v>
      </c>
      <c r="Z83" s="826">
        <f>調配產銷!Z14</f>
        <v>0</v>
      </c>
      <c r="AA83" s="915">
        <f>調配產銷!AA14</f>
        <v>0</v>
      </c>
      <c r="AB83" s="510">
        <f>調配產銷!AB14</f>
        <v>0</v>
      </c>
      <c r="AC83" s="511">
        <f>調配產銷!AC14</f>
        <v>0</v>
      </c>
      <c r="AD83" s="511">
        <f>調配產銷!AD14</f>
        <v>0</v>
      </c>
      <c r="AE83" s="512">
        <f>調配產銷!AE14</f>
        <v>0</v>
      </c>
      <c r="AF83" s="509">
        <f t="shared" si="7"/>
        <v>0</v>
      </c>
      <c r="AH83" s="796"/>
      <c r="AI83" s="796">
        <f t="shared" si="18"/>
        <v>0</v>
      </c>
      <c r="AJ83" s="796">
        <f t="shared" si="19"/>
        <v>0</v>
      </c>
    </row>
    <row r="84" spans="1:36" ht="28.5" hidden="1" customHeight="1" x14ac:dyDescent="0.25">
      <c r="A84" s="99">
        <f>調配產銷!A15</f>
        <v>0</v>
      </c>
      <c r="B84" s="368">
        <f>調配產銷!B15</f>
        <v>0</v>
      </c>
      <c r="C84" s="369">
        <f>調配產銷!C15</f>
        <v>0</v>
      </c>
      <c r="D84" s="370">
        <f>調配產銷!D15</f>
        <v>0</v>
      </c>
      <c r="E84" s="371">
        <f>調配產銷!E15</f>
        <v>0</v>
      </c>
      <c r="F84" s="371">
        <f>調配產銷!F15</f>
        <v>0</v>
      </c>
      <c r="G84" s="693">
        <f>調配產銷!G15</f>
        <v>0</v>
      </c>
      <c r="H84" s="566">
        <f>調配產銷!H15</f>
        <v>0</v>
      </c>
      <c r="I84" s="572">
        <f>調配產銷!I15</f>
        <v>0</v>
      </c>
      <c r="J84" s="566">
        <f>調配產銷!J15</f>
        <v>0</v>
      </c>
      <c r="K84" s="595">
        <f>調配產銷!K15</f>
        <v>0</v>
      </c>
      <c r="L84" s="566">
        <f>調配產銷!L15</f>
        <v>0</v>
      </c>
      <c r="M84" s="595">
        <f>調配產銷!M15</f>
        <v>0</v>
      </c>
      <c r="N84" s="567">
        <f>調配產銷!N15</f>
        <v>0</v>
      </c>
      <c r="O84" s="572">
        <f>調配產銷!O15</f>
        <v>0</v>
      </c>
      <c r="P84" s="698">
        <f>調配產銷!P15</f>
        <v>0</v>
      </c>
      <c r="Q84" s="815">
        <f>調配產銷!Q15</f>
        <v>0</v>
      </c>
      <c r="R84" s="836">
        <f>調配產銷!R15</f>
        <v>0</v>
      </c>
      <c r="S84" s="744">
        <f>調配產銷!S15</f>
        <v>0</v>
      </c>
      <c r="T84" s="815">
        <f>調配產銷!T15</f>
        <v>0</v>
      </c>
      <c r="U84" s="836">
        <f>調配產銷!U15</f>
        <v>0</v>
      </c>
      <c r="V84" s="744">
        <f>調配產銷!V15</f>
        <v>0</v>
      </c>
      <c r="W84" s="815">
        <f>調配產銷!W15</f>
        <v>0</v>
      </c>
      <c r="X84" s="836">
        <f>調配產銷!X15</f>
        <v>0</v>
      </c>
      <c r="Y84" s="744">
        <f>調配產銷!Y15</f>
        <v>0</v>
      </c>
      <c r="Z84" s="815">
        <f>調配產銷!Z15</f>
        <v>0</v>
      </c>
      <c r="AA84" s="836">
        <f>調配產銷!AA15</f>
        <v>0</v>
      </c>
      <c r="AB84" s="522">
        <f>調配產銷!AB15</f>
        <v>0</v>
      </c>
      <c r="AC84" s="523">
        <f>調配產銷!AC15</f>
        <v>0</v>
      </c>
      <c r="AD84" s="523">
        <f>調配產銷!AD15</f>
        <v>0</v>
      </c>
      <c r="AE84" s="524">
        <f>調配產銷!AE15</f>
        <v>0</v>
      </c>
      <c r="AF84" s="509">
        <f t="shared" si="7"/>
        <v>0</v>
      </c>
      <c r="AH84" s="796"/>
      <c r="AI84" s="796">
        <f t="shared" si="18"/>
        <v>0</v>
      </c>
      <c r="AJ84" s="796">
        <f t="shared" si="19"/>
        <v>0</v>
      </c>
    </row>
    <row r="85" spans="1:36" ht="28.5" hidden="1" customHeight="1" x14ac:dyDescent="0.25">
      <c r="A85" s="99">
        <f>調配產銷!A16</f>
        <v>0</v>
      </c>
      <c r="B85" s="368">
        <f>調配產銷!B16</f>
        <v>0</v>
      </c>
      <c r="C85" s="369">
        <f>調配產銷!C16</f>
        <v>0</v>
      </c>
      <c r="D85" s="370">
        <f>調配產銷!D16</f>
        <v>0</v>
      </c>
      <c r="E85" s="371">
        <f>調配產銷!E16</f>
        <v>0</v>
      </c>
      <c r="F85" s="371">
        <f>調配產銷!F16</f>
        <v>0</v>
      </c>
      <c r="G85" s="693">
        <f>調配產銷!G16</f>
        <v>0</v>
      </c>
      <c r="H85" s="566">
        <f>調配產銷!H16</f>
        <v>0</v>
      </c>
      <c r="I85" s="572">
        <f>調配產銷!I16</f>
        <v>0</v>
      </c>
      <c r="J85" s="566">
        <f>調配產銷!J16</f>
        <v>0</v>
      </c>
      <c r="K85" s="595">
        <f>調配產銷!K16</f>
        <v>0</v>
      </c>
      <c r="L85" s="566">
        <f>調配產銷!L16</f>
        <v>0</v>
      </c>
      <c r="M85" s="595">
        <f>調配產銷!M16</f>
        <v>0</v>
      </c>
      <c r="N85" s="567">
        <f>調配產銷!N16</f>
        <v>0</v>
      </c>
      <c r="O85" s="572">
        <f>調配產銷!O16</f>
        <v>0</v>
      </c>
      <c r="P85" s="698">
        <f>調配產銷!P16</f>
        <v>0</v>
      </c>
      <c r="Q85" s="815">
        <f>調配產銷!Q16</f>
        <v>0</v>
      </c>
      <c r="R85" s="846">
        <f>調配產銷!R16</f>
        <v>0</v>
      </c>
      <c r="S85" s="744">
        <f>調配產銷!S16</f>
        <v>0</v>
      </c>
      <c r="T85" s="815">
        <f>調配產銷!T16</f>
        <v>0</v>
      </c>
      <c r="U85" s="846">
        <f>調配產銷!U16</f>
        <v>0</v>
      </c>
      <c r="V85" s="744">
        <f>調配產銷!V16</f>
        <v>0</v>
      </c>
      <c r="W85" s="815">
        <f>調配產銷!W16</f>
        <v>0</v>
      </c>
      <c r="X85" s="846">
        <f>調配產銷!X16</f>
        <v>0</v>
      </c>
      <c r="Y85" s="744">
        <f>調配產銷!Y16</f>
        <v>0</v>
      </c>
      <c r="Z85" s="815">
        <f>調配產銷!Z16</f>
        <v>0</v>
      </c>
      <c r="AA85" s="846">
        <f>調配產銷!AA16</f>
        <v>0</v>
      </c>
      <c r="AB85" s="522">
        <f>調配產銷!AB16</f>
        <v>0</v>
      </c>
      <c r="AC85" s="523">
        <f>調配產銷!AC16</f>
        <v>0</v>
      </c>
      <c r="AD85" s="523">
        <f>調配產銷!AD16</f>
        <v>0</v>
      </c>
      <c r="AE85" s="524">
        <f>調配產銷!AE16</f>
        <v>0</v>
      </c>
      <c r="AF85" s="509">
        <f t="shared" si="7"/>
        <v>0</v>
      </c>
      <c r="AH85" s="796"/>
      <c r="AI85" s="796">
        <f t="shared" si="18"/>
        <v>0</v>
      </c>
      <c r="AJ85" s="796">
        <f t="shared" si="19"/>
        <v>0</v>
      </c>
    </row>
    <row r="86" spans="1:36" ht="28.5" hidden="1" customHeight="1" x14ac:dyDescent="0.25">
      <c r="A86" s="99">
        <f>調配產銷!A17</f>
        <v>0</v>
      </c>
      <c r="B86" s="368">
        <f>調配產銷!B17</f>
        <v>0</v>
      </c>
      <c r="C86" s="369">
        <f>調配產銷!C17</f>
        <v>0</v>
      </c>
      <c r="D86" s="370">
        <f>調配產銷!D17</f>
        <v>0</v>
      </c>
      <c r="E86" s="371">
        <f>調配產銷!E17</f>
        <v>0</v>
      </c>
      <c r="F86" s="371">
        <f>調配產銷!F17</f>
        <v>0</v>
      </c>
      <c r="G86" s="693">
        <f>調配產銷!G17</f>
        <v>0</v>
      </c>
      <c r="H86" s="566">
        <f>調配產銷!H17</f>
        <v>0</v>
      </c>
      <c r="I86" s="572">
        <f>調配產銷!I17</f>
        <v>0</v>
      </c>
      <c r="J86" s="566">
        <f>調配產銷!J17</f>
        <v>0</v>
      </c>
      <c r="K86" s="595">
        <f>調配產銷!K17</f>
        <v>0</v>
      </c>
      <c r="L86" s="566">
        <f>調配產銷!L17</f>
        <v>0</v>
      </c>
      <c r="M86" s="595">
        <f>調配產銷!M17</f>
        <v>0</v>
      </c>
      <c r="N86" s="567">
        <f>調配產銷!N17</f>
        <v>0</v>
      </c>
      <c r="O86" s="572">
        <f>調配產銷!O17</f>
        <v>0</v>
      </c>
      <c r="P86" s="698">
        <f>調配產銷!P17</f>
        <v>0</v>
      </c>
      <c r="Q86" s="815">
        <f>調配產銷!Q17</f>
        <v>0</v>
      </c>
      <c r="R86" s="836">
        <f>調配產銷!R17</f>
        <v>0</v>
      </c>
      <c r="S86" s="744">
        <f>調配產銷!S17</f>
        <v>0</v>
      </c>
      <c r="T86" s="815">
        <f>調配產銷!T17</f>
        <v>0</v>
      </c>
      <c r="U86" s="836">
        <f>調配產銷!U17</f>
        <v>0</v>
      </c>
      <c r="V86" s="744">
        <f>調配產銷!V17</f>
        <v>0</v>
      </c>
      <c r="W86" s="815">
        <f>調配產銷!W17</f>
        <v>0</v>
      </c>
      <c r="X86" s="836">
        <f>調配產銷!X17</f>
        <v>0</v>
      </c>
      <c r="Y86" s="744">
        <f>調配產銷!Y17</f>
        <v>0</v>
      </c>
      <c r="Z86" s="815">
        <f>調配產銷!Z17</f>
        <v>0</v>
      </c>
      <c r="AA86" s="836">
        <f>調配產銷!AA17</f>
        <v>0</v>
      </c>
      <c r="AB86" s="533">
        <f>調配產銷!AB17</f>
        <v>0</v>
      </c>
      <c r="AC86" s="534">
        <f>調配產銷!AC17</f>
        <v>0</v>
      </c>
      <c r="AD86" s="534">
        <f>調配產銷!AD17</f>
        <v>0</v>
      </c>
      <c r="AE86" s="535">
        <f>調配產銷!AE17</f>
        <v>0</v>
      </c>
      <c r="AF86" s="509">
        <f t="shared" ref="AF86:AF151" si="20">+IF(SUM(G86,H86:O86,R86,U86,X86,AA86)=0,0,1)</f>
        <v>0</v>
      </c>
      <c r="AH86" s="796"/>
      <c r="AI86" s="796">
        <f t="shared" si="18"/>
        <v>0</v>
      </c>
      <c r="AJ86" s="796">
        <f t="shared" si="19"/>
        <v>0</v>
      </c>
    </row>
    <row r="87" spans="1:36" ht="28.5" hidden="1" customHeight="1" x14ac:dyDescent="0.25">
      <c r="A87" s="99">
        <f>調配產銷!A18</f>
        <v>0</v>
      </c>
      <c r="B87" s="371">
        <f>調配產銷!B18</f>
        <v>0</v>
      </c>
      <c r="C87" s="369">
        <f>調配產銷!C18</f>
        <v>0</v>
      </c>
      <c r="D87" s="370">
        <f>調配產銷!D18</f>
        <v>0</v>
      </c>
      <c r="E87" s="371">
        <f>調配產銷!E18</f>
        <v>0</v>
      </c>
      <c r="F87" s="371">
        <f>調配產銷!F18</f>
        <v>0</v>
      </c>
      <c r="G87" s="693">
        <f>調配產銷!G18</f>
        <v>0</v>
      </c>
      <c r="H87" s="566">
        <f>調配產銷!H18</f>
        <v>0</v>
      </c>
      <c r="I87" s="572">
        <f>調配產銷!I18</f>
        <v>0</v>
      </c>
      <c r="J87" s="566">
        <f>調配產銷!J18</f>
        <v>0</v>
      </c>
      <c r="K87" s="595">
        <f>調配產銷!K18</f>
        <v>0</v>
      </c>
      <c r="L87" s="566">
        <f>調配產銷!L18</f>
        <v>0</v>
      </c>
      <c r="M87" s="595">
        <f>調配產銷!M18</f>
        <v>0</v>
      </c>
      <c r="N87" s="567">
        <f>調配產銷!N18</f>
        <v>0</v>
      </c>
      <c r="O87" s="572">
        <f>調配產銷!O18</f>
        <v>0</v>
      </c>
      <c r="P87" s="698">
        <f>調配產銷!P18</f>
        <v>0</v>
      </c>
      <c r="Q87" s="815">
        <f>調配產銷!Q18</f>
        <v>0</v>
      </c>
      <c r="R87" s="836">
        <f>調配產銷!R18</f>
        <v>0</v>
      </c>
      <c r="S87" s="744">
        <f>調配產銷!S18</f>
        <v>0</v>
      </c>
      <c r="T87" s="815">
        <f>調配產銷!T18</f>
        <v>0</v>
      </c>
      <c r="U87" s="836">
        <f>調配產銷!U18</f>
        <v>0</v>
      </c>
      <c r="V87" s="744">
        <f>調配產銷!V18</f>
        <v>0</v>
      </c>
      <c r="W87" s="815">
        <f>調配產銷!W18</f>
        <v>0</v>
      </c>
      <c r="X87" s="836">
        <f>調配產銷!X18</f>
        <v>0</v>
      </c>
      <c r="Y87" s="744">
        <f>調配產銷!Y18</f>
        <v>0</v>
      </c>
      <c r="Z87" s="815">
        <f>調配產銷!Z18</f>
        <v>0</v>
      </c>
      <c r="AA87" s="836">
        <f>調配產銷!AA18</f>
        <v>0</v>
      </c>
      <c r="AB87" s="536">
        <f>調配產銷!AB18</f>
        <v>0</v>
      </c>
      <c r="AC87" s="537">
        <f>調配產銷!AC18</f>
        <v>0</v>
      </c>
      <c r="AD87" s="537">
        <f>調配產銷!AD18</f>
        <v>0</v>
      </c>
      <c r="AE87" s="538">
        <f>調配產銷!AE18</f>
        <v>0</v>
      </c>
      <c r="AF87" s="509">
        <f t="shared" si="20"/>
        <v>0</v>
      </c>
      <c r="AH87" s="796"/>
      <c r="AI87" s="796">
        <f t="shared" si="18"/>
        <v>0</v>
      </c>
      <c r="AJ87" s="796">
        <f t="shared" si="19"/>
        <v>0</v>
      </c>
    </row>
    <row r="88" spans="1:36" ht="28.5" hidden="1" customHeight="1" x14ac:dyDescent="0.25">
      <c r="A88" s="97">
        <f>調配產銷!A19</f>
        <v>0</v>
      </c>
      <c r="B88" s="390">
        <f>調配產銷!B19</f>
        <v>0</v>
      </c>
      <c r="C88" s="391">
        <f>調配產銷!C19</f>
        <v>0</v>
      </c>
      <c r="D88" s="392">
        <f>調配產銷!D19</f>
        <v>0</v>
      </c>
      <c r="E88" s="363">
        <f>調配產銷!E19</f>
        <v>0</v>
      </c>
      <c r="F88" s="363">
        <f>調配產銷!F19</f>
        <v>0</v>
      </c>
      <c r="G88" s="530">
        <f>調配產銷!G19</f>
        <v>0</v>
      </c>
      <c r="H88" s="531">
        <f>調配產銷!H19</f>
        <v>0</v>
      </c>
      <c r="I88" s="575">
        <f>調配產銷!I19</f>
        <v>0</v>
      </c>
      <c r="J88" s="531">
        <f>調配產銷!J19</f>
        <v>0</v>
      </c>
      <c r="K88" s="532">
        <f>調配產銷!K19</f>
        <v>0</v>
      </c>
      <c r="L88" s="531">
        <f>調配產銷!L19</f>
        <v>0</v>
      </c>
      <c r="M88" s="532">
        <f>調配產銷!M19</f>
        <v>0</v>
      </c>
      <c r="N88" s="559">
        <f>調配產銷!N19</f>
        <v>0</v>
      </c>
      <c r="O88" s="575">
        <f>調配產銷!O19</f>
        <v>0</v>
      </c>
      <c r="P88" s="698">
        <f>調配產銷!P19</f>
        <v>0</v>
      </c>
      <c r="Q88" s="815">
        <f>調配產銷!Q19</f>
        <v>0</v>
      </c>
      <c r="R88" s="834">
        <f>調配產銷!R19</f>
        <v>0</v>
      </c>
      <c r="S88" s="744">
        <f>調配產銷!S19</f>
        <v>0</v>
      </c>
      <c r="T88" s="815">
        <f>調配產銷!T19</f>
        <v>0</v>
      </c>
      <c r="U88" s="834">
        <f>調配產銷!U19</f>
        <v>0</v>
      </c>
      <c r="V88" s="744">
        <f>調配產銷!V19</f>
        <v>0</v>
      </c>
      <c r="W88" s="815">
        <f>調配產銷!W19</f>
        <v>0</v>
      </c>
      <c r="X88" s="834">
        <f>調配產銷!X19</f>
        <v>0</v>
      </c>
      <c r="Y88" s="744">
        <f>調配產銷!Y19</f>
        <v>0</v>
      </c>
      <c r="Z88" s="815">
        <f>調配產銷!Z19</f>
        <v>0</v>
      </c>
      <c r="AA88" s="834">
        <f>調配產銷!AA19</f>
        <v>0</v>
      </c>
      <c r="AB88" s="513">
        <f>調配產銷!AB19</f>
        <v>0</v>
      </c>
      <c r="AC88" s="514">
        <f>調配產銷!AC19</f>
        <v>0</v>
      </c>
      <c r="AD88" s="514">
        <f>調配產銷!AD19</f>
        <v>0</v>
      </c>
      <c r="AE88" s="515">
        <f>調配產銷!AE19</f>
        <v>0</v>
      </c>
      <c r="AF88" s="509">
        <f t="shared" si="20"/>
        <v>0</v>
      </c>
      <c r="AH88" s="796"/>
      <c r="AI88" s="796">
        <f t="shared" si="18"/>
        <v>0</v>
      </c>
      <c r="AJ88" s="796">
        <f t="shared" si="19"/>
        <v>0</v>
      </c>
    </row>
    <row r="89" spans="1:36" ht="28.5" hidden="1" customHeight="1" x14ac:dyDescent="0.25">
      <c r="A89" s="99">
        <f>調配產銷!A20</f>
        <v>0</v>
      </c>
      <c r="B89" s="368">
        <f>調配產銷!B20</f>
        <v>0</v>
      </c>
      <c r="C89" s="369">
        <f>調配產銷!C20</f>
        <v>0</v>
      </c>
      <c r="D89" s="370">
        <f>調配產銷!D20</f>
        <v>0</v>
      </c>
      <c r="E89" s="371">
        <f>調配產銷!E20</f>
        <v>0</v>
      </c>
      <c r="F89" s="371">
        <f>調配產銷!F20</f>
        <v>0</v>
      </c>
      <c r="G89" s="693">
        <f>調配產銷!G20</f>
        <v>0</v>
      </c>
      <c r="H89" s="566">
        <f>調配產銷!H20</f>
        <v>0</v>
      </c>
      <c r="I89" s="572">
        <f>調配產銷!I20</f>
        <v>0</v>
      </c>
      <c r="J89" s="566">
        <f>調配產銷!J20</f>
        <v>0</v>
      </c>
      <c r="K89" s="595">
        <f>調配產銷!K20</f>
        <v>0</v>
      </c>
      <c r="L89" s="566">
        <f>調配產銷!L20</f>
        <v>0</v>
      </c>
      <c r="M89" s="595">
        <f>調配產銷!M20</f>
        <v>0</v>
      </c>
      <c r="N89" s="567">
        <f>調配產銷!N20</f>
        <v>0</v>
      </c>
      <c r="O89" s="572">
        <f>調配產銷!O20</f>
        <v>0</v>
      </c>
      <c r="P89" s="698">
        <f>調配產銷!P20</f>
        <v>0</v>
      </c>
      <c r="Q89" s="815">
        <f>調配產銷!Q20</f>
        <v>0</v>
      </c>
      <c r="R89" s="836">
        <f>調配產銷!R20</f>
        <v>0</v>
      </c>
      <c r="S89" s="744">
        <f>調配產銷!S20</f>
        <v>0</v>
      </c>
      <c r="T89" s="815">
        <f>調配產銷!T20</f>
        <v>0</v>
      </c>
      <c r="U89" s="836">
        <f>調配產銷!U20</f>
        <v>0</v>
      </c>
      <c r="V89" s="744">
        <f>調配產銷!V20</f>
        <v>0</v>
      </c>
      <c r="W89" s="815">
        <f>調配產銷!W20</f>
        <v>0</v>
      </c>
      <c r="X89" s="836">
        <f>調配產銷!X20</f>
        <v>0</v>
      </c>
      <c r="Y89" s="744">
        <f>調配產銷!Y20</f>
        <v>0</v>
      </c>
      <c r="Z89" s="815">
        <f>調配產銷!Z20</f>
        <v>0</v>
      </c>
      <c r="AA89" s="836">
        <f>調配產銷!AA20</f>
        <v>0</v>
      </c>
      <c r="AB89" s="536">
        <f>調配產銷!AB20</f>
        <v>0</v>
      </c>
      <c r="AC89" s="537">
        <f>調配產銷!AC20</f>
        <v>0</v>
      </c>
      <c r="AD89" s="537">
        <f>調配產銷!AD20</f>
        <v>0</v>
      </c>
      <c r="AE89" s="538">
        <f>調配產銷!AE20</f>
        <v>0</v>
      </c>
      <c r="AF89" s="509">
        <f t="shared" si="20"/>
        <v>0</v>
      </c>
      <c r="AH89" s="796"/>
      <c r="AI89" s="796">
        <f t="shared" si="18"/>
        <v>0</v>
      </c>
      <c r="AJ89" s="796">
        <f t="shared" si="19"/>
        <v>0</v>
      </c>
    </row>
    <row r="90" spans="1:36" ht="28.5" hidden="1" customHeight="1" x14ac:dyDescent="0.25">
      <c r="A90" s="99">
        <f>調配產銷!A21</f>
        <v>0</v>
      </c>
      <c r="B90" s="368">
        <f>調配產銷!B21</f>
        <v>0</v>
      </c>
      <c r="C90" s="382">
        <f>調配產銷!C21</f>
        <v>0</v>
      </c>
      <c r="D90" s="370">
        <f>調配產銷!D21</f>
        <v>0</v>
      </c>
      <c r="E90" s="371">
        <f>調配產銷!E21</f>
        <v>0</v>
      </c>
      <c r="F90" s="371">
        <f>調配產銷!F21</f>
        <v>0</v>
      </c>
      <c r="G90" s="693">
        <f>調配產銷!G21</f>
        <v>0</v>
      </c>
      <c r="H90" s="566">
        <f>調配產銷!H21</f>
        <v>0</v>
      </c>
      <c r="I90" s="572">
        <f>調配產銷!I21</f>
        <v>0</v>
      </c>
      <c r="J90" s="566">
        <f>調配產銷!J21</f>
        <v>0</v>
      </c>
      <c r="K90" s="595">
        <f>調配產銷!K21</f>
        <v>0</v>
      </c>
      <c r="L90" s="566">
        <f>調配產銷!L21</f>
        <v>0</v>
      </c>
      <c r="M90" s="595">
        <f>調配產銷!M21</f>
        <v>0</v>
      </c>
      <c r="N90" s="567">
        <f>調配產銷!N21</f>
        <v>0</v>
      </c>
      <c r="O90" s="572">
        <f>調配產銷!O21</f>
        <v>0</v>
      </c>
      <c r="P90" s="698">
        <f>調配產銷!P21</f>
        <v>0</v>
      </c>
      <c r="Q90" s="815">
        <f>調配產銷!Q21</f>
        <v>0</v>
      </c>
      <c r="R90" s="836">
        <f>調配產銷!R21</f>
        <v>0</v>
      </c>
      <c r="S90" s="744">
        <f>調配產銷!S21</f>
        <v>0</v>
      </c>
      <c r="T90" s="815">
        <f>調配產銷!T21</f>
        <v>0</v>
      </c>
      <c r="U90" s="836">
        <f>調配產銷!U21</f>
        <v>0</v>
      </c>
      <c r="V90" s="744">
        <f>調配產銷!V21</f>
        <v>0</v>
      </c>
      <c r="W90" s="815">
        <f>調配產銷!W21</f>
        <v>0</v>
      </c>
      <c r="X90" s="836">
        <f>調配產銷!X21</f>
        <v>0</v>
      </c>
      <c r="Y90" s="744">
        <f>調配產銷!Y21</f>
        <v>0</v>
      </c>
      <c r="Z90" s="815">
        <f>調配產銷!Z21</f>
        <v>0</v>
      </c>
      <c r="AA90" s="836">
        <f>調配產銷!AA21</f>
        <v>0</v>
      </c>
      <c r="AB90" s="536">
        <f>調配產銷!AB21</f>
        <v>0</v>
      </c>
      <c r="AC90" s="537">
        <f>調配產銷!AC21</f>
        <v>0</v>
      </c>
      <c r="AD90" s="537">
        <f>調配產銷!AD21</f>
        <v>0</v>
      </c>
      <c r="AE90" s="538">
        <f>調配產銷!AE21</f>
        <v>0</v>
      </c>
      <c r="AF90" s="509">
        <f t="shared" si="20"/>
        <v>0</v>
      </c>
      <c r="AH90" s="796"/>
      <c r="AI90" s="796">
        <f t="shared" si="18"/>
        <v>0</v>
      </c>
      <c r="AJ90" s="796">
        <f t="shared" si="19"/>
        <v>0</v>
      </c>
    </row>
    <row r="91" spans="1:36" ht="28.5" hidden="1" customHeight="1" x14ac:dyDescent="0.25">
      <c r="A91" s="97">
        <f>調配產銷!A22</f>
        <v>0</v>
      </c>
      <c r="B91" s="368">
        <f>調配產銷!B22</f>
        <v>0</v>
      </c>
      <c r="C91" s="391">
        <f>調配產銷!C22</f>
        <v>0</v>
      </c>
      <c r="D91" s="370">
        <f>調配產銷!D22</f>
        <v>0</v>
      </c>
      <c r="E91" s="363">
        <f>調配產銷!E22</f>
        <v>0</v>
      </c>
      <c r="F91" s="363">
        <f>調配產銷!F22</f>
        <v>0</v>
      </c>
      <c r="G91" s="530">
        <f>調配產銷!G22</f>
        <v>0</v>
      </c>
      <c r="H91" s="531">
        <f>調配產銷!H22</f>
        <v>0</v>
      </c>
      <c r="I91" s="575">
        <f>調配產銷!I22</f>
        <v>0</v>
      </c>
      <c r="J91" s="531">
        <f>調配產銷!J22</f>
        <v>0</v>
      </c>
      <c r="K91" s="532">
        <f>調配產銷!K22</f>
        <v>0</v>
      </c>
      <c r="L91" s="531">
        <f>調配產銷!L22</f>
        <v>0</v>
      </c>
      <c r="M91" s="532">
        <f>調配產銷!M22</f>
        <v>0</v>
      </c>
      <c r="N91" s="559">
        <f>調配產銷!N22</f>
        <v>0</v>
      </c>
      <c r="O91" s="575">
        <f>調配產銷!O22</f>
        <v>0</v>
      </c>
      <c r="P91" s="698">
        <f>調配產銷!P22</f>
        <v>0</v>
      </c>
      <c r="Q91" s="815">
        <f>調配產銷!Q22</f>
        <v>0</v>
      </c>
      <c r="R91" s="834">
        <f>調配產銷!R22</f>
        <v>0</v>
      </c>
      <c r="S91" s="744">
        <f>調配產銷!S22</f>
        <v>0</v>
      </c>
      <c r="T91" s="815">
        <f>調配產銷!T22</f>
        <v>0</v>
      </c>
      <c r="U91" s="834">
        <f>調配產銷!U22</f>
        <v>0</v>
      </c>
      <c r="V91" s="744">
        <f>調配產銷!V22</f>
        <v>0</v>
      </c>
      <c r="W91" s="815">
        <f>調配產銷!W22</f>
        <v>0</v>
      </c>
      <c r="X91" s="834">
        <f>調配產銷!X22</f>
        <v>0</v>
      </c>
      <c r="Y91" s="744">
        <f>調配產銷!Y22</f>
        <v>0</v>
      </c>
      <c r="Z91" s="815">
        <f>調配產銷!Z22</f>
        <v>0</v>
      </c>
      <c r="AA91" s="834">
        <f>調配產銷!AA22</f>
        <v>0</v>
      </c>
      <c r="AB91" s="513">
        <f>調配產銷!AB22</f>
        <v>0</v>
      </c>
      <c r="AC91" s="514">
        <f>調配產銷!AC22</f>
        <v>0</v>
      </c>
      <c r="AD91" s="514">
        <f>調配產銷!AD22</f>
        <v>0</v>
      </c>
      <c r="AE91" s="515">
        <f>調配產銷!AE22</f>
        <v>0</v>
      </c>
      <c r="AF91" s="509">
        <f t="shared" si="20"/>
        <v>0</v>
      </c>
      <c r="AH91" s="796"/>
      <c r="AI91" s="796">
        <f t="shared" si="18"/>
        <v>0</v>
      </c>
      <c r="AJ91" s="796">
        <f t="shared" si="19"/>
        <v>0</v>
      </c>
    </row>
    <row r="92" spans="1:36" ht="28.5" hidden="1" customHeight="1" thickBot="1" x14ac:dyDescent="0.3">
      <c r="A92" s="100">
        <f>調配產銷!A23</f>
        <v>0</v>
      </c>
      <c r="B92" s="452">
        <f>調配產銷!B23</f>
        <v>0</v>
      </c>
      <c r="C92" s="442">
        <f>調配產銷!C23</f>
        <v>0</v>
      </c>
      <c r="D92" s="539">
        <f>調配產銷!D23</f>
        <v>0</v>
      </c>
      <c r="E92" s="441">
        <f>調配產銷!E23</f>
        <v>0</v>
      </c>
      <c r="F92" s="441">
        <f>調配產銷!F23</f>
        <v>0</v>
      </c>
      <c r="G92" s="816">
        <f>調配產銷!G23</f>
        <v>0</v>
      </c>
      <c r="H92" s="578">
        <f>調配產銷!H23</f>
        <v>0</v>
      </c>
      <c r="I92" s="577">
        <f>調配產銷!I23</f>
        <v>0</v>
      </c>
      <c r="J92" s="578">
        <f>調配產銷!J23</f>
        <v>0</v>
      </c>
      <c r="K92" s="586">
        <f>調配產銷!K23</f>
        <v>0</v>
      </c>
      <c r="L92" s="578">
        <f>調配產銷!L23</f>
        <v>0</v>
      </c>
      <c r="M92" s="586">
        <f>調配產銷!M23</f>
        <v>0</v>
      </c>
      <c r="N92" s="579">
        <f>調配產銷!N23</f>
        <v>0</v>
      </c>
      <c r="O92" s="586">
        <f>調配產銷!O23</f>
        <v>0</v>
      </c>
      <c r="P92" s="853">
        <f>調配產銷!P23</f>
        <v>0</v>
      </c>
      <c r="Q92" s="854">
        <f>調配產銷!Q23</f>
        <v>0</v>
      </c>
      <c r="R92" s="842">
        <f>調配產銷!R23</f>
        <v>0</v>
      </c>
      <c r="S92" s="855">
        <f>調配產銷!S23</f>
        <v>0</v>
      </c>
      <c r="T92" s="854">
        <f>調配產銷!T23</f>
        <v>0</v>
      </c>
      <c r="U92" s="842">
        <f>調配產銷!U23</f>
        <v>0</v>
      </c>
      <c r="V92" s="855">
        <f>調配產銷!V23</f>
        <v>0</v>
      </c>
      <c r="W92" s="854">
        <f>調配產銷!W23</f>
        <v>0</v>
      </c>
      <c r="X92" s="842">
        <f>調配產銷!X23</f>
        <v>0</v>
      </c>
      <c r="Y92" s="855">
        <f>調配產銷!Y23</f>
        <v>0</v>
      </c>
      <c r="Z92" s="854">
        <f>調配產銷!Z23</f>
        <v>0</v>
      </c>
      <c r="AA92" s="842">
        <f>調配產銷!AA23</f>
        <v>0</v>
      </c>
      <c r="AB92" s="540">
        <f>調配產銷!AB23</f>
        <v>0</v>
      </c>
      <c r="AC92" s="541">
        <f>調配產銷!AC23</f>
        <v>0</v>
      </c>
      <c r="AD92" s="541">
        <f>調配產銷!AD23</f>
        <v>0</v>
      </c>
      <c r="AE92" s="542">
        <f>調配產銷!AE23</f>
        <v>0</v>
      </c>
      <c r="AF92" s="509">
        <f t="shared" si="20"/>
        <v>0</v>
      </c>
      <c r="AH92" s="796"/>
      <c r="AI92" s="796">
        <f t="shared" si="18"/>
        <v>0</v>
      </c>
      <c r="AJ92" s="796">
        <f t="shared" si="19"/>
        <v>0</v>
      </c>
    </row>
    <row r="93" spans="1:36" ht="28.5" hidden="1" customHeight="1" thickTop="1" x14ac:dyDescent="0.25">
      <c r="A93" s="101">
        <f>調配產銷!A24</f>
        <v>0</v>
      </c>
      <c r="B93" s="403">
        <f>調配產銷!B24</f>
        <v>0</v>
      </c>
      <c r="C93" s="354">
        <f>調配產銷!C24</f>
        <v>0</v>
      </c>
      <c r="D93" s="347">
        <f>調配產銷!D24</f>
        <v>0</v>
      </c>
      <c r="E93" s="371">
        <f>調配產銷!E24</f>
        <v>0</v>
      </c>
      <c r="F93" s="371">
        <f>調配產銷!F24</f>
        <v>0</v>
      </c>
      <c r="G93" s="715">
        <f>調配產銷!G24</f>
        <v>0</v>
      </c>
      <c r="H93" s="822">
        <f>調配產銷!H24</f>
        <v>0</v>
      </c>
      <c r="I93" s="575">
        <f>調配產銷!I24</f>
        <v>0</v>
      </c>
      <c r="J93" s="823">
        <f>調配產銷!J24</f>
        <v>0</v>
      </c>
      <c r="K93" s="532">
        <f>調配產銷!K24</f>
        <v>0</v>
      </c>
      <c r="L93" s="531">
        <f>調配產銷!L24</f>
        <v>0</v>
      </c>
      <c r="M93" s="532">
        <f>調配產銷!M24</f>
        <v>0</v>
      </c>
      <c r="N93" s="824">
        <f>調配產銷!N24</f>
        <v>0</v>
      </c>
      <c r="O93" s="825">
        <f>調配產銷!O24</f>
        <v>0</v>
      </c>
      <c r="P93" s="730">
        <f>調配產銷!P24</f>
        <v>0</v>
      </c>
      <c r="Q93" s="826">
        <f>調配產銷!Q24</f>
        <v>0</v>
      </c>
      <c r="R93" s="856">
        <f>調配產銷!R24</f>
        <v>0</v>
      </c>
      <c r="S93" s="735">
        <f>調配產銷!S24</f>
        <v>0</v>
      </c>
      <c r="T93" s="826">
        <f>調配產銷!T24</f>
        <v>0</v>
      </c>
      <c r="U93" s="856">
        <f>調配產銷!U24</f>
        <v>0</v>
      </c>
      <c r="V93" s="735">
        <f>調配產銷!V24</f>
        <v>0</v>
      </c>
      <c r="W93" s="826">
        <f>調配產銷!W24</f>
        <v>0</v>
      </c>
      <c r="X93" s="856">
        <f>調配產銷!X24</f>
        <v>0</v>
      </c>
      <c r="Y93" s="735">
        <f>調配產銷!Y24</f>
        <v>0</v>
      </c>
      <c r="Z93" s="826">
        <f>調配產銷!Z24</f>
        <v>0</v>
      </c>
      <c r="AA93" s="856">
        <f>調配產銷!AA24</f>
        <v>0</v>
      </c>
      <c r="AB93" s="510">
        <f>調配產銷!AB24</f>
        <v>0</v>
      </c>
      <c r="AC93" s="511">
        <f>調配產銷!AC24</f>
        <v>0</v>
      </c>
      <c r="AD93" s="511">
        <f>調配產銷!AD24</f>
        <v>0</v>
      </c>
      <c r="AE93" s="512">
        <f>調配產銷!AE24</f>
        <v>0</v>
      </c>
      <c r="AF93" s="509">
        <f t="shared" si="20"/>
        <v>0</v>
      </c>
      <c r="AH93" s="796"/>
      <c r="AI93" s="796">
        <f t="shared" si="18"/>
        <v>0</v>
      </c>
      <c r="AJ93" s="796">
        <f t="shared" si="19"/>
        <v>0</v>
      </c>
    </row>
    <row r="94" spans="1:36" ht="28.5" hidden="1" customHeight="1" x14ac:dyDescent="0.25">
      <c r="A94" s="99">
        <f>調配產銷!A25</f>
        <v>0</v>
      </c>
      <c r="B94" s="368">
        <f>調配產銷!B25</f>
        <v>0</v>
      </c>
      <c r="C94" s="407">
        <f>調配產銷!C25</f>
        <v>0</v>
      </c>
      <c r="D94" s="408">
        <f>調配產銷!D25</f>
        <v>0</v>
      </c>
      <c r="E94" s="409">
        <f>調配產銷!E25</f>
        <v>0</v>
      </c>
      <c r="F94" s="409">
        <f>調配產銷!F25</f>
        <v>0</v>
      </c>
      <c r="G94" s="693">
        <f>調配產銷!G25</f>
        <v>0</v>
      </c>
      <c r="H94" s="828">
        <f>調配產銷!H25</f>
        <v>0</v>
      </c>
      <c r="I94" s="572">
        <f>調配產銷!I25</f>
        <v>0</v>
      </c>
      <c r="J94" s="829">
        <f>調配產銷!J25</f>
        <v>0</v>
      </c>
      <c r="K94" s="595">
        <f>調配產銷!K25</f>
        <v>0</v>
      </c>
      <c r="L94" s="566">
        <f>調配產銷!L25</f>
        <v>0</v>
      </c>
      <c r="M94" s="595">
        <f>調配產銷!M25</f>
        <v>0</v>
      </c>
      <c r="N94" s="830">
        <f>調配產銷!N25</f>
        <v>0</v>
      </c>
      <c r="O94" s="831">
        <f>調配產銷!O25</f>
        <v>0</v>
      </c>
      <c r="P94" s="698">
        <f>調配產銷!P25</f>
        <v>0</v>
      </c>
      <c r="Q94" s="815">
        <f>調配產銷!Q25</f>
        <v>0</v>
      </c>
      <c r="R94" s="832">
        <f>調配產銷!R25</f>
        <v>0</v>
      </c>
      <c r="S94" s="744">
        <f>調配產銷!S25</f>
        <v>0</v>
      </c>
      <c r="T94" s="815">
        <f>調配產銷!T25</f>
        <v>0</v>
      </c>
      <c r="U94" s="832">
        <f>調配產銷!U25</f>
        <v>0</v>
      </c>
      <c r="V94" s="744">
        <f>調配產銷!V25</f>
        <v>0</v>
      </c>
      <c r="W94" s="815">
        <f>調配產銷!W25</f>
        <v>0</v>
      </c>
      <c r="X94" s="832">
        <f>調配產銷!X25</f>
        <v>0</v>
      </c>
      <c r="Y94" s="744">
        <f>調配產銷!Y25</f>
        <v>0</v>
      </c>
      <c r="Z94" s="815">
        <f>調配產銷!Z25</f>
        <v>0</v>
      </c>
      <c r="AA94" s="832">
        <f>調配產銷!AA25</f>
        <v>0</v>
      </c>
      <c r="AB94" s="522">
        <f>調配產銷!AB25</f>
        <v>0</v>
      </c>
      <c r="AC94" s="523">
        <f>調配產銷!AC25</f>
        <v>0</v>
      </c>
      <c r="AD94" s="523">
        <f>調配產銷!AD25</f>
        <v>0</v>
      </c>
      <c r="AE94" s="524">
        <f>調配產銷!AE25</f>
        <v>0</v>
      </c>
      <c r="AF94" s="509">
        <f t="shared" si="20"/>
        <v>0</v>
      </c>
      <c r="AH94" s="796"/>
      <c r="AI94" s="796">
        <f t="shared" si="18"/>
        <v>0</v>
      </c>
      <c r="AJ94" s="796">
        <f t="shared" si="19"/>
        <v>0</v>
      </c>
    </row>
    <row r="95" spans="1:36" ht="28.5" hidden="1" customHeight="1" x14ac:dyDescent="0.25">
      <c r="A95" s="97">
        <f>調配產銷!A26</f>
        <v>0</v>
      </c>
      <c r="B95" s="390">
        <f>調配產銷!B26</f>
        <v>0</v>
      </c>
      <c r="C95" s="361">
        <f>調配產銷!C26</f>
        <v>0</v>
      </c>
      <c r="D95" s="408">
        <f>調配產銷!D26</f>
        <v>0</v>
      </c>
      <c r="E95" s="363">
        <f>調配產銷!E26</f>
        <v>0</v>
      </c>
      <c r="F95" s="363">
        <f>調配產銷!F26</f>
        <v>0</v>
      </c>
      <c r="G95" s="530">
        <f>調配產銷!G26</f>
        <v>0</v>
      </c>
      <c r="H95" s="833">
        <f>調配產銷!H26</f>
        <v>0</v>
      </c>
      <c r="I95" s="575">
        <f>調配產銷!I26</f>
        <v>0</v>
      </c>
      <c r="J95" s="823">
        <f>調配產銷!J26</f>
        <v>0</v>
      </c>
      <c r="K95" s="532">
        <f>調配產銷!K26</f>
        <v>0</v>
      </c>
      <c r="L95" s="531">
        <f>調配產銷!L26</f>
        <v>0</v>
      </c>
      <c r="M95" s="532">
        <f>調配產銷!M26</f>
        <v>0</v>
      </c>
      <c r="N95" s="824">
        <f>調配產銷!N26</f>
        <v>0</v>
      </c>
      <c r="O95" s="825">
        <f>調配產銷!O26</f>
        <v>0</v>
      </c>
      <c r="P95" s="698">
        <f>調配產銷!P26</f>
        <v>0</v>
      </c>
      <c r="Q95" s="815">
        <f>調配產銷!Q26</f>
        <v>0</v>
      </c>
      <c r="R95" s="834">
        <f>調配產銷!R26</f>
        <v>0</v>
      </c>
      <c r="S95" s="744">
        <f>調配產銷!S26</f>
        <v>0</v>
      </c>
      <c r="T95" s="815">
        <f>調配產銷!T26</f>
        <v>0</v>
      </c>
      <c r="U95" s="834">
        <f>調配產銷!U26</f>
        <v>0</v>
      </c>
      <c r="V95" s="744">
        <f>調配產銷!V26</f>
        <v>0</v>
      </c>
      <c r="W95" s="815">
        <f>調配產銷!W26</f>
        <v>0</v>
      </c>
      <c r="X95" s="834">
        <f>調配產銷!X26</f>
        <v>0</v>
      </c>
      <c r="Y95" s="744">
        <f>調配產銷!Y26</f>
        <v>0</v>
      </c>
      <c r="Z95" s="815">
        <f>調配產銷!Z26</f>
        <v>0</v>
      </c>
      <c r="AA95" s="834">
        <f>調配產銷!AA26</f>
        <v>0</v>
      </c>
      <c r="AB95" s="522">
        <f>調配產銷!AB26</f>
        <v>0</v>
      </c>
      <c r="AC95" s="523">
        <f>調配產銷!AC26</f>
        <v>0</v>
      </c>
      <c r="AD95" s="523">
        <f>調配產銷!AD26</f>
        <v>0</v>
      </c>
      <c r="AE95" s="524">
        <f>調配產銷!AE26</f>
        <v>0</v>
      </c>
      <c r="AF95" s="509">
        <f t="shared" si="20"/>
        <v>0</v>
      </c>
      <c r="AH95" s="796"/>
      <c r="AI95" s="796">
        <f t="shared" si="18"/>
        <v>0</v>
      </c>
      <c r="AJ95" s="796">
        <f t="shared" si="19"/>
        <v>0</v>
      </c>
    </row>
    <row r="96" spans="1:36" ht="28.5" hidden="1" customHeight="1" x14ac:dyDescent="0.25">
      <c r="A96" s="101">
        <f>調配產銷!A27</f>
        <v>0</v>
      </c>
      <c r="B96" s="403">
        <f>調配產銷!B27</f>
        <v>0</v>
      </c>
      <c r="C96" s="354">
        <f>調配產銷!C27</f>
        <v>0</v>
      </c>
      <c r="D96" s="347">
        <f>調配產銷!D27</f>
        <v>0</v>
      </c>
      <c r="E96" s="348">
        <f>調配產銷!E27</f>
        <v>0</v>
      </c>
      <c r="F96" s="348">
        <f>調配產銷!F27</f>
        <v>0</v>
      </c>
      <c r="G96" s="715">
        <f>調配產銷!G27</f>
        <v>0</v>
      </c>
      <c r="H96" s="822">
        <f>調配產銷!H27</f>
        <v>0</v>
      </c>
      <c r="I96" s="575">
        <f>調配產銷!I27</f>
        <v>0</v>
      </c>
      <c r="J96" s="823">
        <f>調配產銷!J27</f>
        <v>0</v>
      </c>
      <c r="K96" s="532">
        <f>調配產銷!K27</f>
        <v>0</v>
      </c>
      <c r="L96" s="531">
        <f>調配產銷!L27</f>
        <v>0</v>
      </c>
      <c r="M96" s="532">
        <f>調配產銷!M27</f>
        <v>0</v>
      </c>
      <c r="N96" s="824">
        <f>調配產銷!N27</f>
        <v>0</v>
      </c>
      <c r="O96" s="825">
        <f>調配產銷!O27</f>
        <v>0</v>
      </c>
      <c r="P96" s="698">
        <f>調配產銷!P27</f>
        <v>0</v>
      </c>
      <c r="Q96" s="815">
        <f>調配產銷!Q27</f>
        <v>0</v>
      </c>
      <c r="R96" s="835">
        <f>調配產銷!R27</f>
        <v>0</v>
      </c>
      <c r="S96" s="744">
        <f>調配產銷!S27</f>
        <v>0</v>
      </c>
      <c r="T96" s="815">
        <f>調配產銷!T27</f>
        <v>0</v>
      </c>
      <c r="U96" s="835">
        <f>調配產銷!U27</f>
        <v>0</v>
      </c>
      <c r="V96" s="744">
        <f>調配產銷!V27</f>
        <v>0</v>
      </c>
      <c r="W96" s="815">
        <f>調配產銷!W27</f>
        <v>0</v>
      </c>
      <c r="X96" s="835">
        <f>調配產銷!X27</f>
        <v>0</v>
      </c>
      <c r="Y96" s="744">
        <f>調配產銷!Y27</f>
        <v>0</v>
      </c>
      <c r="Z96" s="815">
        <f>調配產銷!Z27</f>
        <v>0</v>
      </c>
      <c r="AA96" s="835">
        <f>調配產銷!AA27</f>
        <v>0</v>
      </c>
      <c r="AB96" s="522">
        <f>調配產銷!AB27</f>
        <v>0</v>
      </c>
      <c r="AC96" s="523">
        <f>調配產銷!AC27</f>
        <v>0</v>
      </c>
      <c r="AD96" s="523">
        <f>調配產銷!AD27</f>
        <v>0</v>
      </c>
      <c r="AE96" s="524">
        <f>調配產銷!AE27</f>
        <v>0</v>
      </c>
      <c r="AF96" s="509">
        <f t="shared" si="20"/>
        <v>0</v>
      </c>
      <c r="AH96" s="796"/>
      <c r="AI96" s="796">
        <f t="shared" si="18"/>
        <v>0</v>
      </c>
      <c r="AJ96" s="796">
        <f t="shared" si="19"/>
        <v>0</v>
      </c>
    </row>
    <row r="97" spans="1:37" ht="28.5" hidden="1" customHeight="1" x14ac:dyDescent="0.25">
      <c r="A97" s="99">
        <f>調配產銷!A28</f>
        <v>0</v>
      </c>
      <c r="B97" s="368">
        <f>調配產銷!B28</f>
        <v>0</v>
      </c>
      <c r="C97" s="407">
        <f>調配產銷!C28</f>
        <v>0</v>
      </c>
      <c r="D97" s="408">
        <f>調配產銷!D28</f>
        <v>0</v>
      </c>
      <c r="E97" s="410">
        <f>調配產銷!E28</f>
        <v>0</v>
      </c>
      <c r="F97" s="410">
        <f>調配產銷!F28</f>
        <v>0</v>
      </c>
      <c r="G97" s="693">
        <f>調配產銷!G28</f>
        <v>0</v>
      </c>
      <c r="H97" s="828">
        <f>調配產銷!H28</f>
        <v>0</v>
      </c>
      <c r="I97" s="572">
        <f>調配產銷!I28</f>
        <v>0</v>
      </c>
      <c r="J97" s="829">
        <f>調配產銷!J28</f>
        <v>0</v>
      </c>
      <c r="K97" s="595">
        <f>調配產銷!K28</f>
        <v>0</v>
      </c>
      <c r="L97" s="566">
        <f>調配產銷!L28</f>
        <v>0</v>
      </c>
      <c r="M97" s="595">
        <f>調配產銷!M28</f>
        <v>0</v>
      </c>
      <c r="N97" s="830">
        <f>調配產銷!N28</f>
        <v>0</v>
      </c>
      <c r="O97" s="831">
        <f>調配產銷!O28</f>
        <v>0</v>
      </c>
      <c r="P97" s="698">
        <f>調配產銷!P28</f>
        <v>0</v>
      </c>
      <c r="Q97" s="815">
        <f>調配產銷!Q28</f>
        <v>0</v>
      </c>
      <c r="R97" s="832">
        <f>調配產銷!R28</f>
        <v>0</v>
      </c>
      <c r="S97" s="744">
        <f>調配產銷!S28</f>
        <v>0</v>
      </c>
      <c r="T97" s="815">
        <f>調配產銷!T28</f>
        <v>0</v>
      </c>
      <c r="U97" s="832">
        <f>調配產銷!U28</f>
        <v>0</v>
      </c>
      <c r="V97" s="744">
        <f>調配產銷!V28</f>
        <v>0</v>
      </c>
      <c r="W97" s="815">
        <f>調配產銷!W28</f>
        <v>0</v>
      </c>
      <c r="X97" s="832">
        <f>調配產銷!X28</f>
        <v>0</v>
      </c>
      <c r="Y97" s="744">
        <f>調配產銷!Y28</f>
        <v>0</v>
      </c>
      <c r="Z97" s="815">
        <f>調配產銷!Z28</f>
        <v>0</v>
      </c>
      <c r="AA97" s="832">
        <f>調配產銷!AA28</f>
        <v>0</v>
      </c>
      <c r="AB97" s="522">
        <f>調配產銷!AB28</f>
        <v>0</v>
      </c>
      <c r="AC97" s="523">
        <f>調配產銷!AC28</f>
        <v>0</v>
      </c>
      <c r="AD97" s="523">
        <f>調配產銷!AD28</f>
        <v>0</v>
      </c>
      <c r="AE97" s="524">
        <f>調配產銷!AE28</f>
        <v>0</v>
      </c>
      <c r="AF97" s="509">
        <f t="shared" si="20"/>
        <v>0</v>
      </c>
      <c r="AH97" s="796"/>
      <c r="AI97" s="796">
        <f t="shared" si="18"/>
        <v>0</v>
      </c>
      <c r="AJ97" s="796">
        <f t="shared" si="19"/>
        <v>0</v>
      </c>
    </row>
    <row r="98" spans="1:37" ht="28.5" hidden="1" customHeight="1" x14ac:dyDescent="0.25">
      <c r="A98" s="97">
        <f>調配產銷!A29</f>
        <v>0</v>
      </c>
      <c r="B98" s="390">
        <f>調配產銷!B29</f>
        <v>0</v>
      </c>
      <c r="C98" s="361">
        <f>調配產銷!C29</f>
        <v>0</v>
      </c>
      <c r="D98" s="362">
        <f>調配產銷!D29</f>
        <v>0</v>
      </c>
      <c r="E98" s="363">
        <f>調配產銷!E29</f>
        <v>0</v>
      </c>
      <c r="F98" s="363">
        <f>調配產銷!F29</f>
        <v>0</v>
      </c>
      <c r="G98" s="530">
        <f>調配產銷!G29</f>
        <v>0</v>
      </c>
      <c r="H98" s="822">
        <f>調配產銷!H29</f>
        <v>0</v>
      </c>
      <c r="I98" s="575">
        <f>調配產銷!I29</f>
        <v>0</v>
      </c>
      <c r="J98" s="823">
        <f>調配產銷!J29</f>
        <v>0</v>
      </c>
      <c r="K98" s="532">
        <f>調配產銷!K29</f>
        <v>0</v>
      </c>
      <c r="L98" s="531">
        <f>調配產銷!L29</f>
        <v>0</v>
      </c>
      <c r="M98" s="532">
        <f>調配產銷!M29</f>
        <v>0</v>
      </c>
      <c r="N98" s="824">
        <f>調配產銷!N29</f>
        <v>0</v>
      </c>
      <c r="O98" s="825">
        <f>調配產銷!O29</f>
        <v>0</v>
      </c>
      <c r="P98" s="698">
        <f>調配產銷!P29</f>
        <v>0</v>
      </c>
      <c r="Q98" s="815">
        <f>調配產銷!Q29</f>
        <v>0</v>
      </c>
      <c r="R98" s="834">
        <f>調配產銷!R29</f>
        <v>0</v>
      </c>
      <c r="S98" s="744">
        <f>調配產銷!S29</f>
        <v>0</v>
      </c>
      <c r="T98" s="815">
        <f>調配產銷!T29</f>
        <v>0</v>
      </c>
      <c r="U98" s="834">
        <f>調配產銷!U29</f>
        <v>0</v>
      </c>
      <c r="V98" s="744">
        <f>調配產銷!V29</f>
        <v>0</v>
      </c>
      <c r="W98" s="815">
        <f>調配產銷!W29</f>
        <v>0</v>
      </c>
      <c r="X98" s="834">
        <f>調配產銷!X29</f>
        <v>0</v>
      </c>
      <c r="Y98" s="744">
        <f>調配產銷!Y29</f>
        <v>0</v>
      </c>
      <c r="Z98" s="815">
        <f>調配產銷!Z29</f>
        <v>0</v>
      </c>
      <c r="AA98" s="834">
        <f>調配產銷!AA29</f>
        <v>0</v>
      </c>
      <c r="AB98" s="522">
        <f>調配產銷!AB29</f>
        <v>0</v>
      </c>
      <c r="AC98" s="523">
        <f>調配產銷!AC29</f>
        <v>0</v>
      </c>
      <c r="AD98" s="523">
        <f>調配產銷!AD29</f>
        <v>0</v>
      </c>
      <c r="AE98" s="524">
        <f>調配產銷!AE29</f>
        <v>0</v>
      </c>
      <c r="AF98" s="509">
        <f t="shared" si="20"/>
        <v>0</v>
      </c>
      <c r="AH98" s="796"/>
      <c r="AI98" s="796">
        <f t="shared" si="18"/>
        <v>0</v>
      </c>
      <c r="AJ98" s="796">
        <f t="shared" si="19"/>
        <v>0</v>
      </c>
    </row>
    <row r="99" spans="1:37" ht="28.5" hidden="1" customHeight="1" x14ac:dyDescent="0.25">
      <c r="A99" s="97">
        <f>調配產銷!A30</f>
        <v>0</v>
      </c>
      <c r="B99" s="403">
        <f>調配產銷!B30</f>
        <v>0</v>
      </c>
      <c r="C99" s="354">
        <f>調配產銷!C30</f>
        <v>0</v>
      </c>
      <c r="D99" s="347">
        <f>調配產銷!D30</f>
        <v>0</v>
      </c>
      <c r="E99" s="348">
        <f>調配產銷!E30</f>
        <v>0</v>
      </c>
      <c r="F99" s="348">
        <f>調配產銷!F30</f>
        <v>0</v>
      </c>
      <c r="G99" s="715">
        <f>調配產銷!G30</f>
        <v>0</v>
      </c>
      <c r="H99" s="822">
        <f>調配產銷!H30</f>
        <v>0</v>
      </c>
      <c r="I99" s="575">
        <f>調配產銷!I30</f>
        <v>0</v>
      </c>
      <c r="J99" s="823">
        <f>調配產銷!J30</f>
        <v>0</v>
      </c>
      <c r="K99" s="532">
        <f>調配產銷!K30</f>
        <v>0</v>
      </c>
      <c r="L99" s="531">
        <f>調配產銷!L30</f>
        <v>0</v>
      </c>
      <c r="M99" s="532">
        <f>調配產銷!M30</f>
        <v>0</v>
      </c>
      <c r="N99" s="824">
        <f>調配產銷!N30</f>
        <v>0</v>
      </c>
      <c r="O99" s="825">
        <f>調配產銷!O30</f>
        <v>0</v>
      </c>
      <c r="P99" s="698">
        <f>調配產銷!P30</f>
        <v>0</v>
      </c>
      <c r="Q99" s="815">
        <f>調配產銷!Q30</f>
        <v>0</v>
      </c>
      <c r="R99" s="835">
        <f>調配產銷!R30</f>
        <v>0</v>
      </c>
      <c r="S99" s="744">
        <f>調配產銷!S30</f>
        <v>0</v>
      </c>
      <c r="T99" s="815">
        <f>調配產銷!T30</f>
        <v>0</v>
      </c>
      <c r="U99" s="835">
        <f>調配產銷!U30</f>
        <v>0</v>
      </c>
      <c r="V99" s="744">
        <f>調配產銷!V30</f>
        <v>0</v>
      </c>
      <c r="W99" s="815">
        <f>調配產銷!W30</f>
        <v>0</v>
      </c>
      <c r="X99" s="835">
        <f>調配產銷!X30</f>
        <v>0</v>
      </c>
      <c r="Y99" s="744">
        <f>調配產銷!Y30</f>
        <v>0</v>
      </c>
      <c r="Z99" s="815">
        <f>調配產銷!Z30</f>
        <v>0</v>
      </c>
      <c r="AA99" s="835">
        <f>調配產銷!AA30</f>
        <v>0</v>
      </c>
      <c r="AB99" s="533">
        <f>調配產銷!AB30</f>
        <v>0</v>
      </c>
      <c r="AC99" s="534">
        <f>調配產銷!AC30</f>
        <v>0</v>
      </c>
      <c r="AD99" s="534">
        <f>調配產銷!AD30</f>
        <v>0</v>
      </c>
      <c r="AE99" s="535">
        <f>調配產銷!AE30</f>
        <v>0</v>
      </c>
      <c r="AF99" s="509">
        <f t="shared" si="20"/>
        <v>0</v>
      </c>
      <c r="AH99" s="796"/>
      <c r="AI99" s="796">
        <f t="shared" si="18"/>
        <v>0</v>
      </c>
      <c r="AJ99" s="796">
        <f t="shared" si="19"/>
        <v>0</v>
      </c>
    </row>
    <row r="100" spans="1:37" ht="28.5" hidden="1" customHeight="1" x14ac:dyDescent="0.25">
      <c r="A100" s="99">
        <f>調配產銷!A31</f>
        <v>0</v>
      </c>
      <c r="B100" s="368">
        <f>調配產銷!B31</f>
        <v>0</v>
      </c>
      <c r="C100" s="407">
        <f>調配產銷!C31</f>
        <v>0</v>
      </c>
      <c r="D100" s="408">
        <f>調配產銷!D31</f>
        <v>0</v>
      </c>
      <c r="E100" s="410">
        <f>調配產銷!E31</f>
        <v>0</v>
      </c>
      <c r="F100" s="410">
        <f>調配產銷!F31</f>
        <v>0</v>
      </c>
      <c r="G100" s="693">
        <f>調配產銷!G31</f>
        <v>0</v>
      </c>
      <c r="H100" s="828">
        <f>調配產銷!H31</f>
        <v>0</v>
      </c>
      <c r="I100" s="572">
        <f>調配產銷!I31</f>
        <v>0</v>
      </c>
      <c r="J100" s="829">
        <f>調配產銷!J31</f>
        <v>0</v>
      </c>
      <c r="K100" s="595">
        <f>調配產銷!K31</f>
        <v>0</v>
      </c>
      <c r="L100" s="566">
        <f>調配產銷!L31</f>
        <v>0</v>
      </c>
      <c r="M100" s="595">
        <f>調配產銷!M31</f>
        <v>0</v>
      </c>
      <c r="N100" s="830">
        <f>調配產銷!N31</f>
        <v>0</v>
      </c>
      <c r="O100" s="831">
        <f>調配產銷!O31</f>
        <v>0</v>
      </c>
      <c r="P100" s="698">
        <f>調配產銷!P31</f>
        <v>0</v>
      </c>
      <c r="Q100" s="815">
        <f>調配產銷!Q31</f>
        <v>0</v>
      </c>
      <c r="R100" s="832">
        <f>調配產銷!R31</f>
        <v>0</v>
      </c>
      <c r="S100" s="744">
        <f>調配產銷!S31</f>
        <v>0</v>
      </c>
      <c r="T100" s="815">
        <f>調配產銷!T31</f>
        <v>0</v>
      </c>
      <c r="U100" s="832">
        <f>調配產銷!U31</f>
        <v>0</v>
      </c>
      <c r="V100" s="744">
        <f>調配產銷!V31</f>
        <v>0</v>
      </c>
      <c r="W100" s="815">
        <f>調配產銷!W31</f>
        <v>0</v>
      </c>
      <c r="X100" s="832">
        <f>調配產銷!X31</f>
        <v>0</v>
      </c>
      <c r="Y100" s="744">
        <f>調配產銷!Y31</f>
        <v>0</v>
      </c>
      <c r="Z100" s="815">
        <f>調配產銷!Z31</f>
        <v>0</v>
      </c>
      <c r="AA100" s="832">
        <f>調配產銷!AA31</f>
        <v>0</v>
      </c>
      <c r="AB100" s="533">
        <f>調配產銷!AB31</f>
        <v>0</v>
      </c>
      <c r="AC100" s="534">
        <f>調配產銷!AC31</f>
        <v>0</v>
      </c>
      <c r="AD100" s="534">
        <f>調配產銷!AD31</f>
        <v>0</v>
      </c>
      <c r="AE100" s="535">
        <f>調配產銷!AE31</f>
        <v>0</v>
      </c>
      <c r="AF100" s="509">
        <f t="shared" si="20"/>
        <v>0</v>
      </c>
      <c r="AH100" s="796"/>
      <c r="AI100" s="796">
        <f t="shared" si="18"/>
        <v>0</v>
      </c>
      <c r="AJ100" s="796">
        <f t="shared" si="19"/>
        <v>0</v>
      </c>
    </row>
    <row r="101" spans="1:37" ht="28.5" hidden="1" customHeight="1" x14ac:dyDescent="0.25">
      <c r="A101" s="97">
        <f>調配產銷!A32</f>
        <v>0</v>
      </c>
      <c r="B101" s="390">
        <f>調配產銷!B32</f>
        <v>0</v>
      </c>
      <c r="C101" s="361">
        <f>調配產銷!C32</f>
        <v>0</v>
      </c>
      <c r="D101" s="362">
        <f>調配產銷!D32</f>
        <v>0</v>
      </c>
      <c r="E101" s="363">
        <f>調配產銷!E32</f>
        <v>0</v>
      </c>
      <c r="F101" s="363">
        <f>調配產銷!F32</f>
        <v>0</v>
      </c>
      <c r="G101" s="530">
        <f>調配產銷!G32</f>
        <v>0</v>
      </c>
      <c r="H101" s="822">
        <f>調配產銷!H32</f>
        <v>0</v>
      </c>
      <c r="I101" s="575">
        <f>調配產銷!I32</f>
        <v>0</v>
      </c>
      <c r="J101" s="823">
        <f>調配產銷!J32</f>
        <v>0</v>
      </c>
      <c r="K101" s="532">
        <f>調配產銷!K32</f>
        <v>0</v>
      </c>
      <c r="L101" s="531">
        <f>調配產銷!L32</f>
        <v>0</v>
      </c>
      <c r="M101" s="532">
        <f>調配產銷!M32</f>
        <v>0</v>
      </c>
      <c r="N101" s="824">
        <f>調配產銷!N32</f>
        <v>0</v>
      </c>
      <c r="O101" s="825">
        <f>調配產銷!O32</f>
        <v>0</v>
      </c>
      <c r="P101" s="698">
        <f>調配產銷!P32</f>
        <v>0</v>
      </c>
      <c r="Q101" s="815">
        <f>調配產銷!Q32</f>
        <v>0</v>
      </c>
      <c r="R101" s="834">
        <f>調配產銷!R32</f>
        <v>0</v>
      </c>
      <c r="S101" s="744">
        <f>調配產銷!S32</f>
        <v>0</v>
      </c>
      <c r="T101" s="815">
        <f>調配產銷!T32</f>
        <v>0</v>
      </c>
      <c r="U101" s="834">
        <f>調配產銷!U32</f>
        <v>0</v>
      </c>
      <c r="V101" s="744">
        <f>調配產銷!V32</f>
        <v>0</v>
      </c>
      <c r="W101" s="815">
        <f>調配產銷!W32</f>
        <v>0</v>
      </c>
      <c r="X101" s="834">
        <f>調配產銷!X32</f>
        <v>0</v>
      </c>
      <c r="Y101" s="744">
        <f>調配產銷!Y32</f>
        <v>0</v>
      </c>
      <c r="Z101" s="815">
        <f>調配產銷!Z32</f>
        <v>0</v>
      </c>
      <c r="AA101" s="834">
        <f>調配產銷!AA32</f>
        <v>0</v>
      </c>
      <c r="AB101" s="533">
        <f>調配產銷!AB32</f>
        <v>0</v>
      </c>
      <c r="AC101" s="534">
        <f>調配產銷!AC32</f>
        <v>0</v>
      </c>
      <c r="AD101" s="534">
        <f>調配產銷!AD32</f>
        <v>0</v>
      </c>
      <c r="AE101" s="535">
        <f>調配產銷!AE32</f>
        <v>0</v>
      </c>
      <c r="AF101" s="509">
        <f t="shared" si="20"/>
        <v>0</v>
      </c>
      <c r="AH101" s="796"/>
      <c r="AI101" s="796">
        <f t="shared" si="18"/>
        <v>0</v>
      </c>
      <c r="AJ101" s="796">
        <f t="shared" si="19"/>
        <v>0</v>
      </c>
    </row>
    <row r="102" spans="1:37" ht="28.5" hidden="1" customHeight="1" x14ac:dyDescent="0.25">
      <c r="A102" s="99">
        <f>調配產銷!A33</f>
        <v>0</v>
      </c>
      <c r="B102" s="368">
        <f>調配產銷!B33</f>
        <v>0</v>
      </c>
      <c r="C102" s="382">
        <f>調配產銷!C33</f>
        <v>0</v>
      </c>
      <c r="D102" s="411">
        <f>調配產銷!D33</f>
        <v>0</v>
      </c>
      <c r="E102" s="371">
        <f>調配產銷!E33</f>
        <v>0</v>
      </c>
      <c r="F102" s="371">
        <f>調配產銷!F33</f>
        <v>0</v>
      </c>
      <c r="G102" s="693">
        <f>調配產銷!G33</f>
        <v>0</v>
      </c>
      <c r="H102" s="828">
        <f>調配產銷!H33</f>
        <v>0</v>
      </c>
      <c r="I102" s="572">
        <f>調配產銷!I33</f>
        <v>0</v>
      </c>
      <c r="J102" s="829">
        <f>調配產銷!J33</f>
        <v>0</v>
      </c>
      <c r="K102" s="595">
        <f>調配產銷!K33</f>
        <v>0</v>
      </c>
      <c r="L102" s="566">
        <f>調配產銷!L33</f>
        <v>0</v>
      </c>
      <c r="M102" s="595">
        <f>調配產銷!M33</f>
        <v>0</v>
      </c>
      <c r="N102" s="830">
        <f>調配產銷!N33</f>
        <v>0</v>
      </c>
      <c r="O102" s="831">
        <f>調配產銷!O33</f>
        <v>0</v>
      </c>
      <c r="P102" s="698">
        <f>調配產銷!P33</f>
        <v>0</v>
      </c>
      <c r="Q102" s="815">
        <f>調配產銷!Q33</f>
        <v>0</v>
      </c>
      <c r="R102" s="836">
        <f>調配產銷!R33</f>
        <v>0</v>
      </c>
      <c r="S102" s="744">
        <f>調配產銷!S33</f>
        <v>0</v>
      </c>
      <c r="T102" s="815">
        <f>調配產銷!T33</f>
        <v>0</v>
      </c>
      <c r="U102" s="836">
        <f>調配產銷!U33</f>
        <v>0</v>
      </c>
      <c r="V102" s="744">
        <f>調配產銷!V33</f>
        <v>0</v>
      </c>
      <c r="W102" s="815">
        <f>調配產銷!W33</f>
        <v>0</v>
      </c>
      <c r="X102" s="836">
        <f>調配產銷!X33</f>
        <v>0</v>
      </c>
      <c r="Y102" s="744">
        <f>調配產銷!Y33</f>
        <v>0</v>
      </c>
      <c r="Z102" s="815">
        <f>調配產銷!Z33</f>
        <v>0</v>
      </c>
      <c r="AA102" s="836">
        <f>調配產銷!AA33</f>
        <v>0</v>
      </c>
      <c r="AB102" s="533">
        <f>調配產銷!AB33</f>
        <v>0</v>
      </c>
      <c r="AC102" s="534">
        <f>調配產銷!AC33</f>
        <v>0</v>
      </c>
      <c r="AD102" s="534">
        <f>調配產銷!AD33</f>
        <v>0</v>
      </c>
      <c r="AE102" s="535">
        <f>調配產銷!AE33</f>
        <v>0</v>
      </c>
      <c r="AF102" s="509">
        <f t="shared" si="20"/>
        <v>0</v>
      </c>
      <c r="AH102" s="796"/>
      <c r="AI102" s="796">
        <f t="shared" si="18"/>
        <v>0</v>
      </c>
      <c r="AJ102" s="796">
        <f t="shared" si="19"/>
        <v>0</v>
      </c>
    </row>
    <row r="103" spans="1:37" ht="28.5" hidden="1" customHeight="1" thickBot="1" x14ac:dyDescent="0.3">
      <c r="A103" s="545">
        <f>調配產銷!A34</f>
        <v>0</v>
      </c>
      <c r="B103" s="546">
        <f>調配產銷!B34</f>
        <v>0</v>
      </c>
      <c r="C103" s="439">
        <f>調配產銷!C34</f>
        <v>0</v>
      </c>
      <c r="D103" s="440">
        <f>調配產銷!D34</f>
        <v>0</v>
      </c>
      <c r="E103" s="441">
        <f>調配產銷!E34</f>
        <v>0</v>
      </c>
      <c r="F103" s="441">
        <f>調配產銷!F34</f>
        <v>0</v>
      </c>
      <c r="G103" s="816">
        <f>調配產銷!G34</f>
        <v>0</v>
      </c>
      <c r="H103" s="580">
        <f>調配產銷!H34</f>
        <v>0</v>
      </c>
      <c r="I103" s="577">
        <f>調配產銷!I34</f>
        <v>0</v>
      </c>
      <c r="J103" s="838">
        <f>調配產銷!J34</f>
        <v>0</v>
      </c>
      <c r="K103" s="586">
        <f>調配產銷!K34</f>
        <v>0</v>
      </c>
      <c r="L103" s="578">
        <f>調配產銷!L34</f>
        <v>0</v>
      </c>
      <c r="M103" s="586">
        <f>調配產銷!M34</f>
        <v>0</v>
      </c>
      <c r="N103" s="839">
        <f>調配產銷!N34</f>
        <v>0</v>
      </c>
      <c r="O103" s="840">
        <f>調配產銷!O34</f>
        <v>0</v>
      </c>
      <c r="P103" s="708">
        <f>調配產銷!P34</f>
        <v>0</v>
      </c>
      <c r="Q103" s="916">
        <f>調配產銷!Q34</f>
        <v>0</v>
      </c>
      <c r="R103" s="846">
        <f>調配產銷!R34</f>
        <v>0</v>
      </c>
      <c r="S103" s="668">
        <f>調配產銷!S34</f>
        <v>0</v>
      </c>
      <c r="T103" s="916">
        <f>調配產銷!T34</f>
        <v>0</v>
      </c>
      <c r="U103" s="846">
        <f>調配產銷!U34</f>
        <v>0</v>
      </c>
      <c r="V103" s="668">
        <f>調配產銷!V34</f>
        <v>0</v>
      </c>
      <c r="W103" s="916">
        <f>調配產銷!W34</f>
        <v>0</v>
      </c>
      <c r="X103" s="846">
        <f>調配產銷!X34</f>
        <v>0</v>
      </c>
      <c r="Y103" s="668">
        <f>調配產銷!Y34</f>
        <v>0</v>
      </c>
      <c r="Z103" s="916">
        <f>調配產銷!Z34</f>
        <v>0</v>
      </c>
      <c r="AA103" s="846">
        <f>調配產銷!AA34</f>
        <v>0</v>
      </c>
      <c r="AB103" s="540">
        <f>調配產銷!AB34</f>
        <v>0</v>
      </c>
      <c r="AC103" s="541">
        <f>調配產銷!AC34</f>
        <v>0</v>
      </c>
      <c r="AD103" s="541">
        <f>調配產銷!AD34</f>
        <v>0</v>
      </c>
      <c r="AE103" s="542">
        <f>調配產銷!AE34</f>
        <v>0</v>
      </c>
      <c r="AF103" s="509">
        <f t="shared" si="20"/>
        <v>0</v>
      </c>
      <c r="AH103" s="796"/>
      <c r="AI103" s="796">
        <f t="shared" si="18"/>
        <v>0</v>
      </c>
      <c r="AJ103" s="796">
        <f t="shared" si="19"/>
        <v>0</v>
      </c>
    </row>
    <row r="104" spans="1:37" ht="24" customHeight="1" x14ac:dyDescent="0.25">
      <c r="A104" s="101" t="str">
        <f>精餾產銷!A44</f>
        <v>IPAIF</v>
      </c>
      <c r="B104" s="403" t="str">
        <f>精餾產銷!B44</f>
        <v>E61 E69</v>
      </c>
      <c r="C104" s="354">
        <f>精餾產銷!C44</f>
        <v>34</v>
      </c>
      <c r="D104" s="347">
        <f>精餾產銷!D44</f>
        <v>15.8</v>
      </c>
      <c r="E104" s="363">
        <f>精餾產銷!E44</f>
        <v>0</v>
      </c>
      <c r="F104" s="363">
        <f>精餾產銷!F44</f>
        <v>0</v>
      </c>
      <c r="G104" s="715">
        <f>精餾產銷!G44</f>
        <v>15</v>
      </c>
      <c r="H104" s="822">
        <f>精餾產銷!H44</f>
        <v>5</v>
      </c>
      <c r="I104" s="575">
        <f>精餾產銷!I44</f>
        <v>2</v>
      </c>
      <c r="J104" s="823">
        <f>精餾產銷!J44</f>
        <v>18</v>
      </c>
      <c r="K104" s="532">
        <f>精餾產銷!K44</f>
        <v>16</v>
      </c>
      <c r="L104" s="531">
        <f>精餾產銷!L44</f>
        <v>18</v>
      </c>
      <c r="M104" s="532">
        <f>精餾產銷!M44</f>
        <v>16</v>
      </c>
      <c r="N104" s="824">
        <f>精餾產銷!N44</f>
        <v>18</v>
      </c>
      <c r="O104" s="825">
        <f>精餾產銷!O44</f>
        <v>16</v>
      </c>
      <c r="P104" s="698" t="str">
        <f>精餾產銷!P44</f>
        <v>充填</v>
      </c>
      <c r="Q104" s="745" t="str">
        <f>精餾產銷!Q44</f>
        <v>24~31</v>
      </c>
      <c r="R104" s="917">
        <f>精餾產銷!R44</f>
        <v>7</v>
      </c>
      <c r="S104" s="744" t="str">
        <f>精餾產銷!S44</f>
        <v>充填</v>
      </c>
      <c r="T104" s="742" t="str">
        <f>精餾產銷!T44</f>
        <v>9月</v>
      </c>
      <c r="U104" s="917">
        <f>精餾產銷!U44</f>
        <v>34</v>
      </c>
      <c r="V104" s="744" t="str">
        <f>精餾產銷!V44</f>
        <v>充填</v>
      </c>
      <c r="W104" s="742" t="str">
        <f>精餾產銷!W44</f>
        <v>10月</v>
      </c>
      <c r="X104" s="917">
        <f>精餾產銷!X44</f>
        <v>34</v>
      </c>
      <c r="Y104" s="744" t="str">
        <f>精餾產銷!Y44</f>
        <v>充填</v>
      </c>
      <c r="Z104" s="742" t="str">
        <f>精餾產銷!Z44</f>
        <v>11月</v>
      </c>
      <c r="AA104" s="918">
        <f>精餾產銷!AA44</f>
        <v>34</v>
      </c>
      <c r="AB104" s="510">
        <f>精餾產銷!AB44</f>
        <v>15</v>
      </c>
      <c r="AC104" s="511">
        <f>精餾產銷!AC44</f>
        <v>15</v>
      </c>
      <c r="AD104" s="511">
        <f>精餾產銷!AD44</f>
        <v>15</v>
      </c>
      <c r="AE104" s="512">
        <f>精餾產銷!AE44</f>
        <v>15</v>
      </c>
      <c r="AF104" s="509">
        <f t="shared" si="20"/>
        <v>1</v>
      </c>
      <c r="AH104" s="796"/>
      <c r="AI104" s="796">
        <f t="shared" si="18"/>
        <v>0</v>
      </c>
      <c r="AJ104" s="796">
        <f t="shared" si="19"/>
        <v>0</v>
      </c>
    </row>
    <row r="105" spans="1:37" ht="24" customHeight="1" x14ac:dyDescent="0.25">
      <c r="A105" s="99" t="str">
        <f>精餾產銷!A45</f>
        <v>ACTIF</v>
      </c>
      <c r="B105" s="368" t="str">
        <f>精餾產銷!B45</f>
        <v>E51.E70</v>
      </c>
      <c r="C105" s="407">
        <f>精餾產銷!C45</f>
        <v>34</v>
      </c>
      <c r="D105" s="408">
        <f>精餾產銷!D45</f>
        <v>16.87</v>
      </c>
      <c r="E105" s="409">
        <f>精餾產銷!E45</f>
        <v>0</v>
      </c>
      <c r="F105" s="409">
        <f>精餾產銷!F45</f>
        <v>0</v>
      </c>
      <c r="G105" s="693">
        <f>精餾產銷!G45</f>
        <v>6</v>
      </c>
      <c r="H105" s="828">
        <f>精餾產銷!H45</f>
        <v>4</v>
      </c>
      <c r="I105" s="572">
        <f>精餾產銷!I45</f>
        <v>1</v>
      </c>
      <c r="J105" s="829">
        <f>精餾產銷!J45</f>
        <v>17</v>
      </c>
      <c r="K105" s="595">
        <f>精餾產銷!K45</f>
        <v>4</v>
      </c>
      <c r="L105" s="566">
        <f>精餾產銷!L45</f>
        <v>17</v>
      </c>
      <c r="M105" s="595">
        <f>精餾產銷!M45</f>
        <v>4</v>
      </c>
      <c r="N105" s="830">
        <f>精餾產銷!N45</f>
        <v>17</v>
      </c>
      <c r="O105" s="831">
        <f>精餾產銷!O45</f>
        <v>4</v>
      </c>
      <c r="P105" s="698" t="str">
        <f>精餾產銷!P45</f>
        <v>充填</v>
      </c>
      <c r="Q105" s="745" t="str">
        <f>精餾產銷!Q45</f>
        <v>24~31</v>
      </c>
      <c r="R105" s="743">
        <f>精餾產銷!R45</f>
        <v>5</v>
      </c>
      <c r="S105" s="744" t="str">
        <f>精餾產銷!S45</f>
        <v>充填</v>
      </c>
      <c r="T105" s="742" t="str">
        <f>精餾產銷!T45</f>
        <v>9月</v>
      </c>
      <c r="U105" s="743">
        <f>精餾產銷!U45</f>
        <v>21</v>
      </c>
      <c r="V105" s="744" t="str">
        <f>精餾產銷!V45</f>
        <v>充填</v>
      </c>
      <c r="W105" s="742" t="str">
        <f>精餾產銷!W45</f>
        <v>10月</v>
      </c>
      <c r="X105" s="743">
        <f>精餾產銷!X45</f>
        <v>21</v>
      </c>
      <c r="Y105" s="744" t="str">
        <f>精餾產銷!Y45</f>
        <v>充填</v>
      </c>
      <c r="Z105" s="742" t="str">
        <f>精餾產銷!Z45</f>
        <v>11月</v>
      </c>
      <c r="AA105" s="746">
        <f>精餾產銷!AA45</f>
        <v>21</v>
      </c>
      <c r="AB105" s="522">
        <f>精餾產銷!AB45</f>
        <v>6</v>
      </c>
      <c r="AC105" s="523">
        <f>精餾產銷!AC45</f>
        <v>6</v>
      </c>
      <c r="AD105" s="523">
        <f>精餾產銷!AD45</f>
        <v>6</v>
      </c>
      <c r="AE105" s="524">
        <f>精餾產銷!AE45</f>
        <v>6</v>
      </c>
      <c r="AF105" s="509">
        <f t="shared" si="20"/>
        <v>1</v>
      </c>
      <c r="AH105" s="796"/>
      <c r="AI105" s="796">
        <f t="shared" si="18"/>
        <v>0</v>
      </c>
      <c r="AJ105" s="796">
        <f t="shared" si="19"/>
        <v>0</v>
      </c>
    </row>
    <row r="106" spans="1:37" ht="28.5" hidden="1" customHeight="1" x14ac:dyDescent="0.25">
      <c r="A106" s="97" t="str">
        <f>精餾產銷!A46</f>
        <v>GBLIF(OEM)</v>
      </c>
      <c r="B106" s="390" t="str">
        <f>精餾產銷!B46</f>
        <v>200L&amp;20L&amp;1GL</v>
      </c>
      <c r="C106" s="361">
        <f>精餾產銷!C46</f>
        <v>0</v>
      </c>
      <c r="D106" s="408">
        <f>精餾產銷!D46</f>
        <v>0</v>
      </c>
      <c r="E106" s="363">
        <f>精餾產銷!E46</f>
        <v>0</v>
      </c>
      <c r="F106" s="363">
        <f>精餾產銷!F46</f>
        <v>0</v>
      </c>
      <c r="G106" s="530">
        <f>精餾產銷!G46</f>
        <v>0</v>
      </c>
      <c r="H106" s="833">
        <f>精餾產銷!H46</f>
        <v>0</v>
      </c>
      <c r="I106" s="575">
        <f>精餾產銷!I46</f>
        <v>0</v>
      </c>
      <c r="J106" s="823">
        <f>精餾產銷!J46</f>
        <v>0</v>
      </c>
      <c r="K106" s="532">
        <f>精餾產銷!K46</f>
        <v>0</v>
      </c>
      <c r="L106" s="531">
        <f>精餾產銷!L46</f>
        <v>0</v>
      </c>
      <c r="M106" s="532">
        <f>精餾產銷!M46</f>
        <v>0</v>
      </c>
      <c r="N106" s="824">
        <f>精餾產銷!N46</f>
        <v>0</v>
      </c>
      <c r="O106" s="825">
        <f>精餾產銷!O46</f>
        <v>0</v>
      </c>
      <c r="P106" s="698">
        <f>精餾產銷!P46</f>
        <v>0</v>
      </c>
      <c r="Q106" s="745">
        <f>精餾產銷!Q46</f>
        <v>0</v>
      </c>
      <c r="R106" s="751">
        <f>精餾產銷!R46</f>
        <v>0</v>
      </c>
      <c r="S106" s="744">
        <f>精餾產銷!S46</f>
        <v>0</v>
      </c>
      <c r="T106" s="742">
        <f>精餾產銷!T46</f>
        <v>0</v>
      </c>
      <c r="U106" s="751">
        <f>精餾產銷!U46</f>
        <v>0</v>
      </c>
      <c r="V106" s="744">
        <f>精餾產銷!V46</f>
        <v>0</v>
      </c>
      <c r="W106" s="742">
        <f>精餾產銷!W46</f>
        <v>0</v>
      </c>
      <c r="X106" s="751">
        <f>精餾產銷!X46</f>
        <v>0</v>
      </c>
      <c r="Y106" s="744">
        <f>精餾產銷!Y46</f>
        <v>0</v>
      </c>
      <c r="Z106" s="742">
        <f>精餾產銷!Z46</f>
        <v>0</v>
      </c>
      <c r="AA106" s="752">
        <f>精餾產銷!AA46</f>
        <v>0</v>
      </c>
      <c r="AB106" s="522">
        <f>精餾產銷!AB46</f>
        <v>0</v>
      </c>
      <c r="AC106" s="523">
        <f>精餾產銷!AC46</f>
        <v>0</v>
      </c>
      <c r="AD106" s="523">
        <f>精餾產銷!AD46</f>
        <v>0</v>
      </c>
      <c r="AE106" s="524">
        <f>精餾產銷!AE46</f>
        <v>0</v>
      </c>
      <c r="AF106" s="509">
        <f t="shared" si="20"/>
        <v>0</v>
      </c>
      <c r="AH106" s="796"/>
      <c r="AI106" s="796">
        <f t="shared" si="18"/>
        <v>0</v>
      </c>
      <c r="AJ106" s="796">
        <f t="shared" si="19"/>
        <v>0</v>
      </c>
    </row>
    <row r="107" spans="1:37" ht="24" customHeight="1" x14ac:dyDescent="0.25">
      <c r="A107" s="101" t="str">
        <f>精餾產銷!A47</f>
        <v>GAAIF</v>
      </c>
      <c r="B107" s="403" t="str">
        <f>精餾產銷!B47</f>
        <v>20L&amp;1GL</v>
      </c>
      <c r="C107" s="354">
        <f>精餾產銷!C47</f>
        <v>0</v>
      </c>
      <c r="D107" s="347">
        <f>精餾產銷!D47</f>
        <v>0</v>
      </c>
      <c r="E107" s="348">
        <f>精餾產銷!E47</f>
        <v>0</v>
      </c>
      <c r="F107" s="348">
        <f>精餾產銷!F47</f>
        <v>0</v>
      </c>
      <c r="G107" s="715">
        <f>精餾產銷!G47</f>
        <v>10</v>
      </c>
      <c r="H107" s="822">
        <f>精餾產銷!H47</f>
        <v>24</v>
      </c>
      <c r="I107" s="575">
        <f>精餾產銷!I47</f>
        <v>0</v>
      </c>
      <c r="J107" s="823">
        <f>精餾產銷!J47</f>
        <v>130</v>
      </c>
      <c r="K107" s="532">
        <f>精餾產銷!K47</f>
        <v>0</v>
      </c>
      <c r="L107" s="531">
        <f>精餾產銷!L47</f>
        <v>130</v>
      </c>
      <c r="M107" s="532">
        <f>精餾產銷!M47</f>
        <v>0</v>
      </c>
      <c r="N107" s="824">
        <f>精餾產銷!N47</f>
        <v>130</v>
      </c>
      <c r="O107" s="825">
        <f>精餾產銷!O47</f>
        <v>0</v>
      </c>
      <c r="P107" s="698" t="str">
        <f>精餾產銷!P47</f>
        <v>充填</v>
      </c>
      <c r="Q107" s="745" t="str">
        <f>精餾產銷!Q47</f>
        <v>24~31</v>
      </c>
      <c r="R107" s="755">
        <f>精餾產銷!R47</f>
        <v>24</v>
      </c>
      <c r="S107" s="744" t="str">
        <f>精餾產銷!S47</f>
        <v>充填</v>
      </c>
      <c r="T107" s="742" t="str">
        <f>精餾產銷!T47</f>
        <v>9月</v>
      </c>
      <c r="U107" s="755">
        <f>精餾產銷!U47</f>
        <v>130</v>
      </c>
      <c r="V107" s="744" t="str">
        <f>精餾產銷!V47</f>
        <v>充填</v>
      </c>
      <c r="W107" s="742" t="str">
        <f>精餾產銷!W47</f>
        <v>10月</v>
      </c>
      <c r="X107" s="755">
        <f>精餾產銷!X47</f>
        <v>130</v>
      </c>
      <c r="Y107" s="744" t="str">
        <f>精餾產銷!Y47</f>
        <v>充填</v>
      </c>
      <c r="Z107" s="742" t="str">
        <f>精餾產銷!Z47</f>
        <v>11月</v>
      </c>
      <c r="AA107" s="857">
        <f>精餾產銷!AA47</f>
        <v>130</v>
      </c>
      <c r="AB107" s="522">
        <f>精餾產銷!AB47</f>
        <v>10</v>
      </c>
      <c r="AC107" s="523">
        <f>精餾產銷!AC47</f>
        <v>10</v>
      </c>
      <c r="AD107" s="523">
        <f>精餾產銷!AD47</f>
        <v>10</v>
      </c>
      <c r="AE107" s="524">
        <f>精餾產銷!AE47</f>
        <v>10</v>
      </c>
      <c r="AF107" s="509">
        <f t="shared" si="20"/>
        <v>1</v>
      </c>
      <c r="AH107" s="796"/>
      <c r="AI107" s="796">
        <f t="shared" si="18"/>
        <v>0</v>
      </c>
      <c r="AJ107" s="796">
        <f t="shared" si="19"/>
        <v>0</v>
      </c>
    </row>
    <row r="108" spans="1:37" ht="28.5" hidden="1" customHeight="1" x14ac:dyDescent="0.25">
      <c r="A108" s="99" t="str">
        <f>精餾產銷!A48</f>
        <v>NMPIF-1</v>
      </c>
      <c r="B108" s="368" t="str">
        <f>精餾產銷!B48</f>
        <v>包材</v>
      </c>
      <c r="C108" s="407">
        <f>精餾產銷!C48</f>
        <v>6</v>
      </c>
      <c r="D108" s="408">
        <f>精餾產銷!D48</f>
        <v>0</v>
      </c>
      <c r="E108" s="410">
        <f>精餾產銷!E48</f>
        <v>0</v>
      </c>
      <c r="F108" s="410">
        <f>精餾產銷!F48</f>
        <v>0</v>
      </c>
      <c r="G108" s="693">
        <f>精餾產銷!G48</f>
        <v>0</v>
      </c>
      <c r="H108" s="828">
        <f>精餾產銷!H48</f>
        <v>0</v>
      </c>
      <c r="I108" s="572">
        <f>精餾產銷!I48</f>
        <v>0</v>
      </c>
      <c r="J108" s="829">
        <f>精餾產銷!J48</f>
        <v>0</v>
      </c>
      <c r="K108" s="595">
        <f>精餾產銷!K48</f>
        <v>0</v>
      </c>
      <c r="L108" s="566">
        <f>精餾產銷!L48</f>
        <v>0</v>
      </c>
      <c r="M108" s="595">
        <f>精餾產銷!M48</f>
        <v>0</v>
      </c>
      <c r="N108" s="830">
        <f>精餾產銷!N48</f>
        <v>0</v>
      </c>
      <c r="O108" s="831">
        <f>精餾產銷!O48</f>
        <v>0</v>
      </c>
      <c r="P108" s="698">
        <f>精餾產銷!P48</f>
        <v>0</v>
      </c>
      <c r="Q108" s="745">
        <f>精餾產銷!Q48</f>
        <v>0</v>
      </c>
      <c r="R108" s="743">
        <f>精餾產銷!R48</f>
        <v>0</v>
      </c>
      <c r="S108" s="744">
        <f>精餾產銷!S48</f>
        <v>0</v>
      </c>
      <c r="T108" s="742">
        <f>精餾產銷!T48</f>
        <v>0</v>
      </c>
      <c r="U108" s="743">
        <f>精餾產銷!U48</f>
        <v>0</v>
      </c>
      <c r="V108" s="744">
        <f>精餾產銷!V48</f>
        <v>0</v>
      </c>
      <c r="W108" s="742">
        <f>精餾產銷!W48</f>
        <v>0</v>
      </c>
      <c r="X108" s="743">
        <f>精餾產銷!X48</f>
        <v>0</v>
      </c>
      <c r="Y108" s="744">
        <f>精餾產銷!Y48</f>
        <v>0</v>
      </c>
      <c r="Z108" s="742">
        <f>精餾產銷!Z48</f>
        <v>0</v>
      </c>
      <c r="AA108" s="746">
        <f>精餾產銷!AA48</f>
        <v>0</v>
      </c>
      <c r="AB108" s="522">
        <f>精餾產銷!AB48</f>
        <v>0</v>
      </c>
      <c r="AC108" s="523">
        <f>精餾產銷!AC48</f>
        <v>0</v>
      </c>
      <c r="AD108" s="523">
        <f>精餾產銷!AD48</f>
        <v>0</v>
      </c>
      <c r="AE108" s="524">
        <f>精餾產銷!AE48</f>
        <v>0</v>
      </c>
      <c r="AF108" s="509">
        <f t="shared" si="20"/>
        <v>0</v>
      </c>
      <c r="AH108" s="796"/>
      <c r="AI108" s="796">
        <f t="shared" si="18"/>
        <v>0</v>
      </c>
      <c r="AJ108" s="796">
        <f t="shared" si="19"/>
        <v>0</v>
      </c>
    </row>
    <row r="109" spans="1:37" ht="24" customHeight="1" x14ac:dyDescent="0.25">
      <c r="A109" s="99" t="str">
        <f>精餾產銷!A49</f>
        <v>NMPIF-2</v>
      </c>
      <c r="B109" s="390" t="str">
        <f>精餾產銷!B49</f>
        <v>包材</v>
      </c>
      <c r="C109" s="382">
        <f>精餾產銷!C49</f>
        <v>20</v>
      </c>
      <c r="D109" s="362">
        <f>精餾產銷!D49</f>
        <v>8.4789999999999992</v>
      </c>
      <c r="E109" s="363">
        <f>精餾產銷!E49</f>
        <v>0</v>
      </c>
      <c r="F109" s="363">
        <f>精餾產銷!F49</f>
        <v>0</v>
      </c>
      <c r="G109" s="693">
        <f>精餾產銷!G49</f>
        <v>6</v>
      </c>
      <c r="H109" s="828">
        <f>精餾產銷!H49</f>
        <v>4</v>
      </c>
      <c r="I109" s="572">
        <f>精餾產銷!I49</f>
        <v>0</v>
      </c>
      <c r="J109" s="829">
        <f>精餾產銷!J49</f>
        <v>25</v>
      </c>
      <c r="K109" s="595">
        <f>精餾產銷!K49</f>
        <v>0</v>
      </c>
      <c r="L109" s="566">
        <f>精餾產銷!L49</f>
        <v>25</v>
      </c>
      <c r="M109" s="595">
        <f>精餾產銷!M49</f>
        <v>0</v>
      </c>
      <c r="N109" s="830">
        <f>精餾產銷!N49</f>
        <v>25</v>
      </c>
      <c r="O109" s="831">
        <f>精餾產銷!O49</f>
        <v>0</v>
      </c>
      <c r="P109" s="698" t="str">
        <f>精餾產銷!P49</f>
        <v>充填</v>
      </c>
      <c r="Q109" s="745" t="str">
        <f>精餾產銷!Q49</f>
        <v>24~31</v>
      </c>
      <c r="R109" s="756">
        <f>精餾產銷!R49</f>
        <v>4</v>
      </c>
      <c r="S109" s="744" t="str">
        <f>精餾產銷!S49</f>
        <v>充填</v>
      </c>
      <c r="T109" s="742" t="str">
        <f>精餾產銷!T49</f>
        <v>9月</v>
      </c>
      <c r="U109" s="756">
        <f>精餾產銷!U49</f>
        <v>25</v>
      </c>
      <c r="V109" s="744" t="str">
        <f>精餾產銷!V49</f>
        <v>充填</v>
      </c>
      <c r="W109" s="742" t="str">
        <f>精餾產銷!W49</f>
        <v>10月</v>
      </c>
      <c r="X109" s="756">
        <f>精餾產銷!X49</f>
        <v>25</v>
      </c>
      <c r="Y109" s="744" t="str">
        <f>精餾產銷!Y49</f>
        <v>充填</v>
      </c>
      <c r="Z109" s="742" t="str">
        <f>精餾產銷!Z49</f>
        <v>11月</v>
      </c>
      <c r="AA109" s="757">
        <f>精餾產銷!AA49</f>
        <v>25</v>
      </c>
      <c r="AB109" s="536">
        <f>精餾產銷!AB49</f>
        <v>6</v>
      </c>
      <c r="AC109" s="537">
        <f>精餾產銷!AC49</f>
        <v>6</v>
      </c>
      <c r="AD109" s="537">
        <f>精餾產銷!AD49</f>
        <v>6</v>
      </c>
      <c r="AE109" s="538">
        <f>精餾產銷!AE49</f>
        <v>6</v>
      </c>
      <c r="AF109" s="509">
        <f t="shared" si="20"/>
        <v>1</v>
      </c>
      <c r="AH109" s="796"/>
      <c r="AI109" s="796">
        <f t="shared" si="18"/>
        <v>0</v>
      </c>
      <c r="AJ109" s="796">
        <f t="shared" si="19"/>
        <v>0</v>
      </c>
    </row>
    <row r="110" spans="1:37" ht="28.5" hidden="1" customHeight="1" x14ac:dyDescent="0.25">
      <c r="A110" s="97" t="str">
        <f>精餾產銷!A50</f>
        <v>NMPIF-4</v>
      </c>
      <c r="B110" s="403">
        <f>精餾產銷!B50</f>
        <v>0</v>
      </c>
      <c r="C110" s="354">
        <f>精餾產銷!C50</f>
        <v>0</v>
      </c>
      <c r="D110" s="347">
        <f>精餾產銷!D50</f>
        <v>0</v>
      </c>
      <c r="E110" s="348">
        <f>精餾產銷!E50</f>
        <v>0</v>
      </c>
      <c r="F110" s="348">
        <f>精餾產銷!F50</f>
        <v>0</v>
      </c>
      <c r="G110" s="715">
        <f>精餾產銷!G50</f>
        <v>0</v>
      </c>
      <c r="H110" s="822">
        <f>精餾產銷!H50</f>
        <v>0</v>
      </c>
      <c r="I110" s="575">
        <f>精餾產銷!I50</f>
        <v>0</v>
      </c>
      <c r="J110" s="823">
        <f>精餾產銷!J50</f>
        <v>0</v>
      </c>
      <c r="K110" s="532">
        <f>精餾產銷!K50</f>
        <v>0</v>
      </c>
      <c r="L110" s="531">
        <f>精餾產銷!L50</f>
        <v>0</v>
      </c>
      <c r="M110" s="532">
        <f>精餾產銷!M50</f>
        <v>0</v>
      </c>
      <c r="N110" s="824">
        <f>精餾產銷!N50</f>
        <v>0</v>
      </c>
      <c r="O110" s="825">
        <f>精餾產銷!O50</f>
        <v>0</v>
      </c>
      <c r="P110" s="698">
        <f>精餾產銷!P50</f>
        <v>0</v>
      </c>
      <c r="Q110" s="745">
        <f>精餾產銷!Q50</f>
        <v>0</v>
      </c>
      <c r="R110" s="755">
        <f>精餾產銷!R50</f>
        <v>0</v>
      </c>
      <c r="S110" s="744">
        <f>精餾產銷!S50</f>
        <v>0</v>
      </c>
      <c r="T110" s="742">
        <f>精餾產銷!T50</f>
        <v>0</v>
      </c>
      <c r="U110" s="755">
        <f>精餾產銷!U50</f>
        <v>0</v>
      </c>
      <c r="V110" s="744">
        <f>精餾產銷!V50</f>
        <v>0</v>
      </c>
      <c r="W110" s="742">
        <f>精餾產銷!W50</f>
        <v>0</v>
      </c>
      <c r="X110" s="755">
        <f>精餾產銷!X50</f>
        <v>0</v>
      </c>
      <c r="Y110" s="744">
        <f>精餾產銷!Y50</f>
        <v>0</v>
      </c>
      <c r="Z110" s="742">
        <f>精餾產銷!Z50</f>
        <v>0</v>
      </c>
      <c r="AA110" s="857">
        <f>精餾產銷!AA50</f>
        <v>0</v>
      </c>
      <c r="AB110" s="533">
        <f>精餾產銷!AB50</f>
        <v>0</v>
      </c>
      <c r="AC110" s="534">
        <f>精餾產銷!AC50</f>
        <v>0</v>
      </c>
      <c r="AD110" s="534">
        <f>精餾產銷!AD50</f>
        <v>0</v>
      </c>
      <c r="AE110" s="535">
        <f>精餾產銷!AE50</f>
        <v>0</v>
      </c>
      <c r="AF110" s="509">
        <f t="shared" si="20"/>
        <v>0</v>
      </c>
      <c r="AH110" s="796"/>
      <c r="AI110" s="796">
        <f t="shared" si="18"/>
        <v>0</v>
      </c>
      <c r="AJ110" s="796">
        <f t="shared" si="19"/>
        <v>0</v>
      </c>
    </row>
    <row r="111" spans="1:37" ht="24" customHeight="1" thickBot="1" x14ac:dyDescent="0.3">
      <c r="A111" s="99" t="str">
        <f>精餾產銷!A51</f>
        <v>GB-014</v>
      </c>
      <c r="B111" s="368">
        <f>精餾產銷!B51</f>
        <v>0</v>
      </c>
      <c r="C111" s="407">
        <f>精餾產銷!C51</f>
        <v>0</v>
      </c>
      <c r="D111" s="408">
        <f>精餾產銷!D51</f>
        <v>6.1440000000000001</v>
      </c>
      <c r="E111" s="410">
        <f>精餾產銷!E51</f>
        <v>0</v>
      </c>
      <c r="F111" s="410">
        <f>精餾產銷!F51</f>
        <v>0</v>
      </c>
      <c r="G111" s="693">
        <f>精餾產銷!G51</f>
        <v>6.1440000000000001</v>
      </c>
      <c r="H111" s="828">
        <f>精餾產銷!H51</f>
        <v>3</v>
      </c>
      <c r="I111" s="572">
        <f>精餾產銷!I51</f>
        <v>0</v>
      </c>
      <c r="J111" s="829">
        <f>精餾產銷!J51</f>
        <v>20</v>
      </c>
      <c r="K111" s="595">
        <f>精餾產銷!K51</f>
        <v>0</v>
      </c>
      <c r="L111" s="566">
        <f>精餾產銷!L51</f>
        <v>20</v>
      </c>
      <c r="M111" s="595">
        <f>精餾產銷!M51</f>
        <v>0</v>
      </c>
      <c r="N111" s="830">
        <f>精餾產銷!N51</f>
        <v>20</v>
      </c>
      <c r="O111" s="831">
        <f>精餾產銷!O51</f>
        <v>0</v>
      </c>
      <c r="P111" s="698" t="str">
        <f>精餾產銷!P51</f>
        <v>充填</v>
      </c>
      <c r="Q111" s="745" t="str">
        <f>精餾產銷!Q51</f>
        <v>24~31</v>
      </c>
      <c r="R111" s="743">
        <f>精餾產銷!R51</f>
        <v>3</v>
      </c>
      <c r="S111" s="744" t="str">
        <f>精餾產銷!S51</f>
        <v>充填</v>
      </c>
      <c r="T111" s="742" t="str">
        <f>精餾產銷!T51</f>
        <v>9月</v>
      </c>
      <c r="U111" s="743">
        <f>精餾產銷!U51</f>
        <v>20</v>
      </c>
      <c r="V111" s="744" t="str">
        <f>精餾產銷!V51</f>
        <v>充填</v>
      </c>
      <c r="W111" s="742" t="str">
        <f>精餾產銷!W51</f>
        <v>10月</v>
      </c>
      <c r="X111" s="743">
        <f>精餾產銷!X51</f>
        <v>20</v>
      </c>
      <c r="Y111" s="744" t="str">
        <f>精餾產銷!Y51</f>
        <v>充填</v>
      </c>
      <c r="Z111" s="742" t="str">
        <f>精餾產銷!Z51</f>
        <v>11月</v>
      </c>
      <c r="AA111" s="746">
        <f>精餾產銷!AA51</f>
        <v>20</v>
      </c>
      <c r="AB111" s="533">
        <f>精餾產銷!AB51</f>
        <v>6.1440000000000001</v>
      </c>
      <c r="AC111" s="534">
        <f>精餾產銷!AC51</f>
        <v>6.1440000000000001</v>
      </c>
      <c r="AD111" s="534">
        <f>精餾產銷!AD51</f>
        <v>6.1440000000000001</v>
      </c>
      <c r="AE111" s="535">
        <f>精餾產銷!AE51</f>
        <v>6.1440000000000001</v>
      </c>
      <c r="AF111" s="509">
        <f t="shared" si="20"/>
        <v>1</v>
      </c>
      <c r="AG111" s="8"/>
      <c r="AH111" s="796"/>
      <c r="AI111" s="796">
        <f t="shared" si="18"/>
        <v>0</v>
      </c>
      <c r="AJ111" s="796">
        <f t="shared" si="19"/>
        <v>0</v>
      </c>
      <c r="AK111" s="1">
        <f t="shared" ref="AK111:AK114" si="21">+IF(SUM(G111,H111:O111,R111,U111,X111,AA111,AB111:AE111)&lt;&gt;0,1,0)</f>
        <v>1</v>
      </c>
    </row>
    <row r="112" spans="1:37" ht="28.5" hidden="1" customHeight="1" x14ac:dyDescent="0.25">
      <c r="A112" s="97">
        <f>精餾產銷!A52</f>
        <v>0</v>
      </c>
      <c r="B112" s="390">
        <f>精餾產銷!B52</f>
        <v>0</v>
      </c>
      <c r="C112" s="361">
        <f>精餾產銷!C52</f>
        <v>0</v>
      </c>
      <c r="D112" s="362">
        <f>精餾產銷!D52</f>
        <v>0</v>
      </c>
      <c r="E112" s="363">
        <f>精餾產銷!E52</f>
        <v>0</v>
      </c>
      <c r="F112" s="363">
        <f>精餾產銷!F52</f>
        <v>0</v>
      </c>
      <c r="G112" s="530">
        <f>精餾產銷!G52</f>
        <v>0</v>
      </c>
      <c r="H112" s="822">
        <f>精餾產銷!H52</f>
        <v>0</v>
      </c>
      <c r="I112" s="575">
        <f>精餾產銷!I52</f>
        <v>0</v>
      </c>
      <c r="J112" s="823">
        <f>精餾產銷!J52</f>
        <v>0</v>
      </c>
      <c r="K112" s="532">
        <f>精餾產銷!K52</f>
        <v>0</v>
      </c>
      <c r="L112" s="531">
        <f>精餾產銷!L52</f>
        <v>0</v>
      </c>
      <c r="M112" s="532">
        <f>精餾產銷!M52</f>
        <v>0</v>
      </c>
      <c r="N112" s="824">
        <f>精餾產銷!N52</f>
        <v>0</v>
      </c>
      <c r="O112" s="825">
        <f>精餾產銷!O52</f>
        <v>0</v>
      </c>
      <c r="P112" s="698">
        <f>精餾產銷!P52</f>
        <v>0</v>
      </c>
      <c r="Q112" s="745">
        <f>精餾產銷!Q52</f>
        <v>0</v>
      </c>
      <c r="R112" s="751">
        <f>精餾產銷!R52</f>
        <v>0</v>
      </c>
      <c r="S112" s="744">
        <f>精餾產銷!S52</f>
        <v>0</v>
      </c>
      <c r="T112" s="742">
        <f>精餾產銷!T52</f>
        <v>0</v>
      </c>
      <c r="U112" s="751">
        <f>精餾產銷!U52</f>
        <v>0</v>
      </c>
      <c r="V112" s="744">
        <f>精餾產銷!V52</f>
        <v>0</v>
      </c>
      <c r="W112" s="742">
        <f>精餾產銷!W52</f>
        <v>0</v>
      </c>
      <c r="X112" s="751">
        <f>精餾產銷!X52</f>
        <v>0</v>
      </c>
      <c r="Y112" s="744">
        <f>精餾產銷!Y52</f>
        <v>0</v>
      </c>
      <c r="Z112" s="742">
        <f>精餾產銷!Z52</f>
        <v>0</v>
      </c>
      <c r="AA112" s="752">
        <f>精餾產銷!AA52</f>
        <v>0</v>
      </c>
      <c r="AB112" s="533">
        <f>精餾產銷!AB52</f>
        <v>0</v>
      </c>
      <c r="AC112" s="534">
        <f>精餾產銷!AC52</f>
        <v>0</v>
      </c>
      <c r="AD112" s="534">
        <f>精餾產銷!AD52</f>
        <v>0</v>
      </c>
      <c r="AE112" s="535">
        <f>精餾產銷!AE52</f>
        <v>0</v>
      </c>
      <c r="AF112" s="509">
        <f t="shared" si="20"/>
        <v>0</v>
      </c>
      <c r="AG112" s="8"/>
      <c r="AH112" s="796"/>
      <c r="AI112" s="796">
        <f t="shared" si="18"/>
        <v>0</v>
      </c>
      <c r="AJ112" s="796">
        <f t="shared" si="19"/>
        <v>0</v>
      </c>
      <c r="AK112" s="1">
        <f t="shared" si="21"/>
        <v>0</v>
      </c>
    </row>
    <row r="113" spans="1:37" ht="28.5" hidden="1" customHeight="1" x14ac:dyDescent="0.25">
      <c r="A113" s="99">
        <f>精餾產銷!A53</f>
        <v>0</v>
      </c>
      <c r="B113" s="368">
        <f>精餾產銷!B53</f>
        <v>0</v>
      </c>
      <c r="C113" s="382">
        <f>精餾產銷!C53</f>
        <v>0</v>
      </c>
      <c r="D113" s="411">
        <f>精餾產銷!D53</f>
        <v>0</v>
      </c>
      <c r="E113" s="371">
        <f>精餾產銷!E53</f>
        <v>0</v>
      </c>
      <c r="F113" s="371">
        <f>精餾產銷!F53</f>
        <v>0</v>
      </c>
      <c r="G113" s="693">
        <f>精餾產銷!G53</f>
        <v>0</v>
      </c>
      <c r="H113" s="828">
        <f>精餾產銷!H53</f>
        <v>0</v>
      </c>
      <c r="I113" s="572">
        <f>精餾產銷!I53</f>
        <v>0</v>
      </c>
      <c r="J113" s="829">
        <f>精餾產銷!J53</f>
        <v>0</v>
      </c>
      <c r="K113" s="595">
        <f>精餾產銷!K53</f>
        <v>0</v>
      </c>
      <c r="L113" s="566">
        <f>精餾產銷!L53</f>
        <v>0</v>
      </c>
      <c r="M113" s="595">
        <f>精餾產銷!M53</f>
        <v>0</v>
      </c>
      <c r="N113" s="830">
        <f>精餾產銷!N53</f>
        <v>0</v>
      </c>
      <c r="O113" s="831">
        <f>精餾產銷!O53</f>
        <v>0</v>
      </c>
      <c r="P113" s="698">
        <f>精餾產銷!P53</f>
        <v>0</v>
      </c>
      <c r="Q113" s="745">
        <f>精餾產銷!Q53</f>
        <v>0</v>
      </c>
      <c r="R113" s="756">
        <f>精餾產銷!R53</f>
        <v>0</v>
      </c>
      <c r="S113" s="744">
        <f>精餾產銷!S53</f>
        <v>0</v>
      </c>
      <c r="T113" s="742">
        <f>精餾產銷!T53</f>
        <v>0</v>
      </c>
      <c r="U113" s="756">
        <f>精餾產銷!U53</f>
        <v>0</v>
      </c>
      <c r="V113" s="744">
        <f>精餾產銷!V53</f>
        <v>0</v>
      </c>
      <c r="W113" s="742">
        <f>精餾產銷!W53</f>
        <v>0</v>
      </c>
      <c r="X113" s="756">
        <f>精餾產銷!X53</f>
        <v>0</v>
      </c>
      <c r="Y113" s="744">
        <f>精餾產銷!Y53</f>
        <v>0</v>
      </c>
      <c r="Z113" s="742">
        <f>精餾產銷!Z53</f>
        <v>0</v>
      </c>
      <c r="AA113" s="757">
        <f>精餾產銷!AA53</f>
        <v>0</v>
      </c>
      <c r="AB113" s="533">
        <f>精餾產銷!AB53</f>
        <v>0</v>
      </c>
      <c r="AC113" s="534">
        <f>精餾產銷!AC53</f>
        <v>0</v>
      </c>
      <c r="AD113" s="534">
        <f>精餾產銷!AD53</f>
        <v>0</v>
      </c>
      <c r="AE113" s="535">
        <f>精餾產銷!AE53</f>
        <v>0</v>
      </c>
      <c r="AF113" s="509">
        <f t="shared" si="20"/>
        <v>0</v>
      </c>
      <c r="AG113" s="8"/>
      <c r="AH113" s="796"/>
      <c r="AI113" s="796">
        <f t="shared" si="18"/>
        <v>0</v>
      </c>
      <c r="AJ113" s="796">
        <f t="shared" si="19"/>
        <v>0</v>
      </c>
      <c r="AK113" s="1">
        <f t="shared" si="21"/>
        <v>0</v>
      </c>
    </row>
    <row r="114" spans="1:37" ht="28.5" hidden="1" customHeight="1" x14ac:dyDescent="0.25">
      <c r="A114" s="102">
        <f>精餾產銷!A54</f>
        <v>0</v>
      </c>
      <c r="B114" s="412">
        <f>精餾產銷!B54</f>
        <v>0</v>
      </c>
      <c r="C114" s="382">
        <f>精餾產銷!C54</f>
        <v>0</v>
      </c>
      <c r="D114" s="411">
        <f>精餾產銷!D54</f>
        <v>0</v>
      </c>
      <c r="E114" s="371">
        <f>精餾產銷!E54</f>
        <v>0</v>
      </c>
      <c r="F114" s="371">
        <f>精餾產銷!F54</f>
        <v>0</v>
      </c>
      <c r="G114" s="693">
        <f>精餾產銷!G54</f>
        <v>0</v>
      </c>
      <c r="H114" s="829">
        <f>精餾產銷!H54</f>
        <v>0</v>
      </c>
      <c r="I114" s="572">
        <f>精餾產銷!I54</f>
        <v>0</v>
      </c>
      <c r="J114" s="829">
        <f>精餾產銷!J54</f>
        <v>0</v>
      </c>
      <c r="K114" s="595">
        <f>精餾產銷!K54</f>
        <v>0</v>
      </c>
      <c r="L114" s="566">
        <f>精餾產銷!L54</f>
        <v>0</v>
      </c>
      <c r="M114" s="595">
        <f>精餾產銷!M54</f>
        <v>0</v>
      </c>
      <c r="N114" s="830">
        <f>精餾產銷!N54</f>
        <v>0</v>
      </c>
      <c r="O114" s="831">
        <f>精餾產銷!O54</f>
        <v>0</v>
      </c>
      <c r="P114" s="858">
        <f>精餾產銷!P54</f>
        <v>0</v>
      </c>
      <c r="Q114" s="859">
        <f>精餾產銷!Q54</f>
        <v>0</v>
      </c>
      <c r="R114" s="756">
        <f>精餾產銷!R54</f>
        <v>0</v>
      </c>
      <c r="S114" s="424">
        <f>精餾產銷!S54</f>
        <v>0</v>
      </c>
      <c r="T114" s="860">
        <f>精餾產銷!T54</f>
        <v>0</v>
      </c>
      <c r="U114" s="756">
        <f>精餾產銷!U54</f>
        <v>0</v>
      </c>
      <c r="V114" s="424">
        <f>精餾產銷!V54</f>
        <v>0</v>
      </c>
      <c r="W114" s="860">
        <f>精餾產銷!W54</f>
        <v>0</v>
      </c>
      <c r="X114" s="756">
        <f>精餾產銷!X54</f>
        <v>0</v>
      </c>
      <c r="Y114" s="424">
        <f>精餾產銷!Y54</f>
        <v>0</v>
      </c>
      <c r="Z114" s="860">
        <f>精餾產銷!Z54</f>
        <v>0</v>
      </c>
      <c r="AA114" s="757">
        <f>精餾產銷!AA54</f>
        <v>0</v>
      </c>
      <c r="AB114" s="519">
        <f>精餾產銷!AB54</f>
        <v>0</v>
      </c>
      <c r="AC114" s="520">
        <f>精餾產銷!AC54</f>
        <v>0</v>
      </c>
      <c r="AD114" s="520">
        <f>精餾產銷!AD54</f>
        <v>0</v>
      </c>
      <c r="AE114" s="521">
        <f>精餾產銷!AE54</f>
        <v>0</v>
      </c>
      <c r="AF114" s="509">
        <f t="shared" si="20"/>
        <v>0</v>
      </c>
      <c r="AG114" s="8"/>
      <c r="AH114" s="796"/>
      <c r="AI114" s="796">
        <f t="shared" si="18"/>
        <v>0</v>
      </c>
      <c r="AJ114" s="796">
        <f t="shared" si="19"/>
        <v>0</v>
      </c>
      <c r="AK114" s="1">
        <f t="shared" si="21"/>
        <v>0</v>
      </c>
    </row>
    <row r="115" spans="1:37" ht="28.5" hidden="1" customHeight="1" x14ac:dyDescent="0.25">
      <c r="A115" s="99">
        <f>精餾產銷!A55</f>
        <v>0</v>
      </c>
      <c r="B115" s="368">
        <f>精餾產銷!B55</f>
        <v>0</v>
      </c>
      <c r="C115" s="407">
        <f>精餾產銷!C55</f>
        <v>0</v>
      </c>
      <c r="D115" s="408">
        <f>精餾產銷!D55</f>
        <v>0</v>
      </c>
      <c r="E115" s="410">
        <f>精餾產銷!E55</f>
        <v>0</v>
      </c>
      <c r="F115" s="410">
        <f>精餾產銷!F55</f>
        <v>0</v>
      </c>
      <c r="G115" s="693">
        <f>精餾產銷!G55</f>
        <v>0</v>
      </c>
      <c r="H115" s="822">
        <f>精餾產銷!H55</f>
        <v>0</v>
      </c>
      <c r="I115" s="575">
        <f>精餾產銷!I55</f>
        <v>0</v>
      </c>
      <c r="J115" s="823">
        <f>精餾產銷!J55</f>
        <v>0</v>
      </c>
      <c r="K115" s="532">
        <f>精餾產銷!K55</f>
        <v>0</v>
      </c>
      <c r="L115" s="531">
        <f>精餾產銷!L55</f>
        <v>0</v>
      </c>
      <c r="M115" s="532">
        <f>精餾產銷!M55</f>
        <v>0</v>
      </c>
      <c r="N115" s="824">
        <f>精餾產銷!N55</f>
        <v>0</v>
      </c>
      <c r="O115" s="825">
        <f>精餾產銷!O55</f>
        <v>0</v>
      </c>
      <c r="P115" s="688">
        <f>精餾產銷!P55</f>
        <v>0</v>
      </c>
      <c r="Q115" s="754">
        <f>精餾產銷!Q55</f>
        <v>0</v>
      </c>
      <c r="R115" s="758">
        <f>精餾產銷!R55</f>
        <v>0</v>
      </c>
      <c r="S115" s="678">
        <f>精餾產銷!S55</f>
        <v>0</v>
      </c>
      <c r="T115" s="861">
        <f>精餾產銷!T55</f>
        <v>0</v>
      </c>
      <c r="U115" s="758">
        <f>精餾產銷!U55</f>
        <v>0</v>
      </c>
      <c r="V115" s="678">
        <f>精餾產銷!V55</f>
        <v>0</v>
      </c>
      <c r="W115" s="861">
        <f>精餾產銷!W55</f>
        <v>0</v>
      </c>
      <c r="X115" s="758">
        <f>精餾產銷!X55</f>
        <v>0</v>
      </c>
      <c r="Y115" s="678">
        <f>精餾產銷!Y55</f>
        <v>0</v>
      </c>
      <c r="Z115" s="861">
        <f>精餾產銷!Z55</f>
        <v>0</v>
      </c>
      <c r="AA115" s="759">
        <f>精餾產銷!AA55</f>
        <v>0</v>
      </c>
      <c r="AB115" s="513">
        <f>精餾產銷!AB55</f>
        <v>0</v>
      </c>
      <c r="AC115" s="514">
        <f>精餾產銷!AC55</f>
        <v>0</v>
      </c>
      <c r="AD115" s="514">
        <f>精餾產銷!AD55</f>
        <v>0</v>
      </c>
      <c r="AE115" s="515">
        <f>精餾產銷!AE55</f>
        <v>0</v>
      </c>
      <c r="AF115" s="509">
        <f t="shared" si="20"/>
        <v>0</v>
      </c>
      <c r="AH115" s="796"/>
      <c r="AI115" s="796">
        <f t="shared" si="18"/>
        <v>0</v>
      </c>
      <c r="AJ115" s="796">
        <f t="shared" si="19"/>
        <v>0</v>
      </c>
    </row>
    <row r="116" spans="1:37" ht="28.5" hidden="1" customHeight="1" x14ac:dyDescent="0.25">
      <c r="A116" s="97">
        <f>精餾產銷!A56</f>
        <v>0</v>
      </c>
      <c r="B116" s="390">
        <f>精餾產銷!B56</f>
        <v>0</v>
      </c>
      <c r="C116" s="361">
        <f>精餾產銷!C56</f>
        <v>0</v>
      </c>
      <c r="D116" s="362">
        <f>精餾產銷!D56</f>
        <v>0</v>
      </c>
      <c r="E116" s="363">
        <f>精餾產銷!E56</f>
        <v>0</v>
      </c>
      <c r="F116" s="363">
        <f>精餾產銷!F56</f>
        <v>0</v>
      </c>
      <c r="G116" s="530">
        <f>精餾產銷!G56</f>
        <v>0</v>
      </c>
      <c r="H116" s="822">
        <f>精餾產銷!H56</f>
        <v>0</v>
      </c>
      <c r="I116" s="575">
        <f>精餾產銷!I56</f>
        <v>0</v>
      </c>
      <c r="J116" s="823">
        <f>精餾產銷!J56</f>
        <v>0</v>
      </c>
      <c r="K116" s="532">
        <f>精餾產銷!K56</f>
        <v>0</v>
      </c>
      <c r="L116" s="531">
        <f>精餾產銷!L56</f>
        <v>0</v>
      </c>
      <c r="M116" s="532">
        <f>精餾產銷!M56</f>
        <v>0</v>
      </c>
      <c r="N116" s="824">
        <f>精餾產銷!N56</f>
        <v>0</v>
      </c>
      <c r="O116" s="825">
        <f>精餾產銷!O56</f>
        <v>0</v>
      </c>
      <c r="P116" s="698">
        <f>精餾產銷!P56</f>
        <v>0</v>
      </c>
      <c r="Q116" s="745">
        <f>精餾產銷!Q56</f>
        <v>0</v>
      </c>
      <c r="R116" s="751">
        <f>精餾產銷!R56</f>
        <v>0</v>
      </c>
      <c r="S116" s="744">
        <f>精餾產銷!S56</f>
        <v>0</v>
      </c>
      <c r="T116" s="742">
        <f>精餾產銷!T56</f>
        <v>0</v>
      </c>
      <c r="U116" s="751">
        <f>精餾產銷!U56</f>
        <v>0</v>
      </c>
      <c r="V116" s="744">
        <f>精餾產銷!V56</f>
        <v>0</v>
      </c>
      <c r="W116" s="742">
        <f>精餾產銷!W56</f>
        <v>0</v>
      </c>
      <c r="X116" s="751">
        <f>精餾產銷!X56</f>
        <v>0</v>
      </c>
      <c r="Y116" s="744">
        <f>精餾產銷!Y56</f>
        <v>0</v>
      </c>
      <c r="Z116" s="742">
        <f>精餾產銷!Z56</f>
        <v>0</v>
      </c>
      <c r="AA116" s="752">
        <f>精餾產銷!AA56</f>
        <v>0</v>
      </c>
      <c r="AB116" s="533">
        <f>精餾產銷!AB56</f>
        <v>0</v>
      </c>
      <c r="AC116" s="534">
        <f>精餾產銷!AC56</f>
        <v>0</v>
      </c>
      <c r="AD116" s="534">
        <f>精餾產銷!AD56</f>
        <v>0</v>
      </c>
      <c r="AE116" s="535">
        <f>精餾產銷!AE56</f>
        <v>0</v>
      </c>
      <c r="AF116" s="509">
        <f t="shared" si="20"/>
        <v>0</v>
      </c>
      <c r="AH116" s="796"/>
      <c r="AI116" s="796">
        <f t="shared" si="18"/>
        <v>0</v>
      </c>
      <c r="AJ116" s="796">
        <f t="shared" si="19"/>
        <v>0</v>
      </c>
    </row>
    <row r="117" spans="1:37" ht="28.5" hidden="1" customHeight="1" x14ac:dyDescent="0.25">
      <c r="A117" s="99">
        <f>精餾產銷!A57</f>
        <v>0</v>
      </c>
      <c r="B117" s="368">
        <f>精餾產銷!B57</f>
        <v>0</v>
      </c>
      <c r="C117" s="382">
        <f>精餾產銷!C57</f>
        <v>0</v>
      </c>
      <c r="D117" s="411">
        <f>精餾產銷!D57</f>
        <v>0</v>
      </c>
      <c r="E117" s="371">
        <f>精餾產銷!E57</f>
        <v>0</v>
      </c>
      <c r="F117" s="371">
        <f>精餾產銷!F57</f>
        <v>0</v>
      </c>
      <c r="G117" s="693">
        <f>精餾產銷!G57</f>
        <v>0</v>
      </c>
      <c r="H117" s="828">
        <f>精餾產銷!H57</f>
        <v>0</v>
      </c>
      <c r="I117" s="572">
        <f>精餾產銷!I57</f>
        <v>0</v>
      </c>
      <c r="J117" s="829">
        <f>精餾產銷!J57</f>
        <v>0</v>
      </c>
      <c r="K117" s="595">
        <f>精餾產銷!K57</f>
        <v>0</v>
      </c>
      <c r="L117" s="566">
        <f>精餾產銷!L57</f>
        <v>0</v>
      </c>
      <c r="M117" s="595">
        <f>精餾產銷!M57</f>
        <v>0</v>
      </c>
      <c r="N117" s="830">
        <f>精餾產銷!N57</f>
        <v>0</v>
      </c>
      <c r="O117" s="831">
        <f>精餾產銷!O57</f>
        <v>0</v>
      </c>
      <c r="P117" s="698">
        <f>精餾產銷!P57</f>
        <v>0</v>
      </c>
      <c r="Q117" s="745">
        <f>精餾產銷!Q57</f>
        <v>0</v>
      </c>
      <c r="R117" s="756">
        <f>精餾產銷!R57</f>
        <v>0</v>
      </c>
      <c r="S117" s="744">
        <f>精餾產銷!S57</f>
        <v>0</v>
      </c>
      <c r="T117" s="742">
        <f>精餾產銷!T57</f>
        <v>0</v>
      </c>
      <c r="U117" s="756">
        <f>精餾產銷!U57</f>
        <v>0</v>
      </c>
      <c r="V117" s="744">
        <f>精餾產銷!V57</f>
        <v>0</v>
      </c>
      <c r="W117" s="742">
        <f>精餾產銷!W57</f>
        <v>0</v>
      </c>
      <c r="X117" s="756">
        <f>精餾產銷!X57</f>
        <v>0</v>
      </c>
      <c r="Y117" s="744">
        <f>精餾產銷!Y57</f>
        <v>0</v>
      </c>
      <c r="Z117" s="742">
        <f>精餾產銷!Z57</f>
        <v>0</v>
      </c>
      <c r="AA117" s="757">
        <f>精餾產銷!AA57</f>
        <v>0</v>
      </c>
      <c r="AB117" s="533">
        <f>精餾產銷!AB57</f>
        <v>0</v>
      </c>
      <c r="AC117" s="534">
        <f>精餾產銷!AC57</f>
        <v>0</v>
      </c>
      <c r="AD117" s="534">
        <f>精餾產銷!AD57</f>
        <v>0</v>
      </c>
      <c r="AE117" s="535">
        <f>精餾產銷!AE57</f>
        <v>0</v>
      </c>
      <c r="AF117" s="509">
        <f t="shared" si="20"/>
        <v>0</v>
      </c>
      <c r="AH117" s="796"/>
      <c r="AI117" s="796">
        <f t="shared" si="18"/>
        <v>0</v>
      </c>
      <c r="AJ117" s="796">
        <f t="shared" si="19"/>
        <v>0</v>
      </c>
    </row>
    <row r="118" spans="1:37" ht="28.5" hidden="1" customHeight="1" thickBot="1" x14ac:dyDescent="0.3">
      <c r="A118" s="545">
        <f>精餾產銷!A58</f>
        <v>0</v>
      </c>
      <c r="B118" s="546">
        <f>精餾產銷!B58</f>
        <v>0</v>
      </c>
      <c r="C118" s="439">
        <f>精餾產銷!C58</f>
        <v>0</v>
      </c>
      <c r="D118" s="440">
        <f>精餾產銷!D58</f>
        <v>0</v>
      </c>
      <c r="E118" s="441">
        <f>精餾產銷!E58</f>
        <v>0</v>
      </c>
      <c r="F118" s="441">
        <f>精餾產銷!F58</f>
        <v>0</v>
      </c>
      <c r="G118" s="816">
        <f>精餾產銷!G58</f>
        <v>0</v>
      </c>
      <c r="H118" s="837">
        <f>精餾產銷!H58</f>
        <v>0</v>
      </c>
      <c r="I118" s="577">
        <f>精餾產銷!I58</f>
        <v>0</v>
      </c>
      <c r="J118" s="838">
        <f>精餾產銷!J58</f>
        <v>0</v>
      </c>
      <c r="K118" s="586">
        <f>精餾產銷!K58</f>
        <v>0</v>
      </c>
      <c r="L118" s="578">
        <f>精餾產銷!L58</f>
        <v>0</v>
      </c>
      <c r="M118" s="586">
        <f>精餾產銷!M58</f>
        <v>0</v>
      </c>
      <c r="N118" s="839">
        <f>精餾產銷!N58</f>
        <v>0</v>
      </c>
      <c r="O118" s="840">
        <f>精餾產銷!O58</f>
        <v>0</v>
      </c>
      <c r="P118" s="455">
        <f>精餾產銷!P58</f>
        <v>0</v>
      </c>
      <c r="Q118" s="862">
        <f>精餾產銷!Q58</f>
        <v>0</v>
      </c>
      <c r="R118" s="765">
        <f>精餾產銷!R58</f>
        <v>0</v>
      </c>
      <c r="S118" s="443">
        <f>精餾產銷!S58</f>
        <v>0</v>
      </c>
      <c r="T118" s="863">
        <f>精餾產銷!T58</f>
        <v>0</v>
      </c>
      <c r="U118" s="765">
        <f>精餾產銷!U58</f>
        <v>0</v>
      </c>
      <c r="V118" s="443">
        <f>精餾產銷!V58</f>
        <v>0</v>
      </c>
      <c r="W118" s="863">
        <f>精餾產銷!W58</f>
        <v>0</v>
      </c>
      <c r="X118" s="765">
        <f>精餾產銷!X58</f>
        <v>0</v>
      </c>
      <c r="Y118" s="443">
        <f>精餾產銷!Y58</f>
        <v>0</v>
      </c>
      <c r="Z118" s="863">
        <f>精餾產銷!Z58</f>
        <v>0</v>
      </c>
      <c r="AA118" s="766">
        <f>精餾產銷!AA58</f>
        <v>0</v>
      </c>
      <c r="AB118" s="540">
        <f>精餾產銷!AB58</f>
        <v>0</v>
      </c>
      <c r="AC118" s="541">
        <f>精餾產銷!AC58</f>
        <v>0</v>
      </c>
      <c r="AD118" s="541">
        <f>精餾產銷!AD58</f>
        <v>0</v>
      </c>
      <c r="AE118" s="542">
        <f>精餾產銷!AE58</f>
        <v>0</v>
      </c>
      <c r="AF118" s="509">
        <f t="shared" si="20"/>
        <v>0</v>
      </c>
      <c r="AH118" s="796"/>
      <c r="AI118" s="796">
        <f t="shared" si="18"/>
        <v>0</v>
      </c>
      <c r="AJ118" s="796">
        <f t="shared" si="19"/>
        <v>0</v>
      </c>
    </row>
    <row r="119" spans="1:37" ht="24" customHeight="1" thickTop="1" x14ac:dyDescent="0.25">
      <c r="A119" s="1004" t="str">
        <f>精餾產銷!A59</f>
        <v>原料品名</v>
      </c>
      <c r="B119" s="1006" t="s">
        <v>4</v>
      </c>
      <c r="C119" s="1008" t="str">
        <f>精餾產銷!C59</f>
        <v>儲槽
容量
(MT)</v>
      </c>
      <c r="D119" s="218" t="str">
        <f t="shared" ref="D119:F120" si="22">D4</f>
        <v>資材</v>
      </c>
      <c r="E119" s="494" t="str">
        <f t="shared" si="22"/>
        <v>製2</v>
      </c>
      <c r="F119" s="494" t="str">
        <f t="shared" si="22"/>
        <v>桶底</v>
      </c>
      <c r="G119" s="1010">
        <f>精餾產銷!G59</f>
        <v>46258</v>
      </c>
      <c r="H119" s="1012" t="str">
        <f>精餾產銷!H59</f>
        <v>銷售</v>
      </c>
      <c r="I119" s="1013"/>
      <c r="J119" s="1013"/>
      <c r="K119" s="1013"/>
      <c r="L119" s="1013"/>
      <c r="M119" s="1013"/>
      <c r="N119" s="1013"/>
      <c r="O119" s="1014"/>
      <c r="P119" s="1017" t="str">
        <f>精餾產銷!P59</f>
        <v>耗用量</v>
      </c>
      <c r="Q119" s="1018"/>
      <c r="R119" s="1018"/>
      <c r="S119" s="1019"/>
      <c r="T119" s="1020" t="str">
        <f>精餾產銷!T59</f>
        <v>進貨</v>
      </c>
      <c r="U119" s="1021"/>
      <c r="V119" s="1021"/>
      <c r="W119" s="1021"/>
      <c r="X119" s="1020" t="str">
        <f>精餾產銷!X59</f>
        <v>其他入庫</v>
      </c>
      <c r="Y119" s="1021"/>
      <c r="Z119" s="1021"/>
      <c r="AA119" s="1022"/>
      <c r="AB119" s="1017" t="str">
        <f>精餾產銷!AB59</f>
        <v>庫存</v>
      </c>
      <c r="AC119" s="1018"/>
      <c r="AD119" s="1018"/>
      <c r="AE119" s="1023"/>
      <c r="AF119" s="509">
        <f t="shared" si="20"/>
        <v>1</v>
      </c>
      <c r="AH119" s="796"/>
      <c r="AI119" s="796">
        <f t="shared" si="18"/>
        <v>0</v>
      </c>
      <c r="AJ119" s="796">
        <f t="shared" si="19"/>
        <v>0</v>
      </c>
    </row>
    <row r="120" spans="1:37" ht="24" customHeight="1" thickBot="1" x14ac:dyDescent="0.3">
      <c r="A120" s="1005"/>
      <c r="B120" s="1007"/>
      <c r="C120" s="1009"/>
      <c r="D120" s="222" t="str">
        <f t="shared" si="22"/>
        <v>庫存</v>
      </c>
      <c r="E120" s="223" t="str">
        <f t="shared" si="22"/>
        <v>庫存</v>
      </c>
      <c r="F120" s="223">
        <f t="shared" si="22"/>
        <v>0</v>
      </c>
      <c r="G120" s="1011"/>
      <c r="H120" s="1001" t="str">
        <f>精餾產銷!H60</f>
        <v>08/24~08/31</v>
      </c>
      <c r="I120" s="1002"/>
      <c r="J120" s="1001">
        <f>精餾產銷!J60</f>
        <v>46295</v>
      </c>
      <c r="K120" s="1003"/>
      <c r="L120" s="1001">
        <f>精餾產銷!L60</f>
        <v>46326</v>
      </c>
      <c r="M120" s="1003"/>
      <c r="N120" s="1001">
        <f>精餾產銷!N60</f>
        <v>46356</v>
      </c>
      <c r="O120" s="1003"/>
      <c r="P120" s="880" t="str">
        <f>精餾產銷!P60</f>
        <v>24~31</v>
      </c>
      <c r="Q120" s="881">
        <f>精餾產銷!Q60</f>
        <v>46295</v>
      </c>
      <c r="R120" s="882">
        <f>精餾產銷!R60</f>
        <v>46326</v>
      </c>
      <c r="S120" s="883">
        <f>精餾產銷!S60</f>
        <v>46356</v>
      </c>
      <c r="T120" s="884" t="str">
        <f>精餾產銷!T60</f>
        <v>24~31</v>
      </c>
      <c r="U120" s="881">
        <f>精餾產銷!U60</f>
        <v>46295</v>
      </c>
      <c r="V120" s="882">
        <f>精餾產銷!V60</f>
        <v>46326</v>
      </c>
      <c r="W120" s="882">
        <f>精餾產銷!W60</f>
        <v>46356</v>
      </c>
      <c r="X120" s="885" t="str">
        <f>精餾產銷!X60</f>
        <v>24~31</v>
      </c>
      <c r="Y120" s="881">
        <f>精餾產銷!Y60</f>
        <v>46295</v>
      </c>
      <c r="Z120" s="882">
        <f>精餾產銷!Z60</f>
        <v>46326</v>
      </c>
      <c r="AA120" s="886">
        <f>精餾產銷!AA60</f>
        <v>46356</v>
      </c>
      <c r="AB120" s="887" t="str">
        <f>精餾產銷!AB60</f>
        <v>8/31</v>
      </c>
      <c r="AC120" s="888">
        <f>精餾產銷!AC60</f>
        <v>46295</v>
      </c>
      <c r="AD120" s="888">
        <f>精餾產銷!AD60</f>
        <v>46326</v>
      </c>
      <c r="AE120" s="889">
        <f>精餾產銷!AE60</f>
        <v>46356</v>
      </c>
      <c r="AF120" s="509">
        <f t="shared" si="20"/>
        <v>1</v>
      </c>
      <c r="AH120" s="796"/>
      <c r="AI120" s="796">
        <f t="shared" si="18"/>
        <v>0</v>
      </c>
      <c r="AJ120" s="796">
        <f t="shared" si="19"/>
        <v>0</v>
      </c>
    </row>
    <row r="121" spans="1:37" ht="24" customHeight="1" x14ac:dyDescent="0.25">
      <c r="A121" s="99" t="str">
        <f>精餾產銷!A61</f>
        <v>IPA</v>
      </c>
      <c r="B121" s="363" t="str">
        <f>精餾產銷!B61</f>
        <v>TK602.TK604A.TK604B.TK663.TK696.TK697</v>
      </c>
      <c r="C121" s="468">
        <f>精餾產銷!C61</f>
        <v>1935</v>
      </c>
      <c r="D121" s="362">
        <f>精餾產銷!D61</f>
        <v>366.09999999999997</v>
      </c>
      <c r="E121" s="363">
        <f>精餾產銷!E61</f>
        <v>0</v>
      </c>
      <c r="F121" s="363">
        <f>精餾產銷!F61</f>
        <v>0</v>
      </c>
      <c r="G121" s="693">
        <f>精餾產銷!G61</f>
        <v>366.09999999999997</v>
      </c>
      <c r="H121" s="865">
        <f>精餾產銷!H61</f>
        <v>0</v>
      </c>
      <c r="I121" s="572">
        <f>精餾產銷!I61</f>
        <v>0</v>
      </c>
      <c r="J121" s="865">
        <f>精餾產銷!J61</f>
        <v>0</v>
      </c>
      <c r="K121" s="595">
        <f>精餾產銷!K61</f>
        <v>0</v>
      </c>
      <c r="L121" s="865">
        <f>精餾產銷!L61</f>
        <v>0</v>
      </c>
      <c r="M121" s="595">
        <f>精餾產銷!M61</f>
        <v>0</v>
      </c>
      <c r="N121" s="865">
        <f>精餾產銷!N61</f>
        <v>0</v>
      </c>
      <c r="O121" s="595">
        <f>精餾產銷!O61</f>
        <v>0</v>
      </c>
      <c r="P121" s="565">
        <f>精餾產銷!P61</f>
        <v>253</v>
      </c>
      <c r="Q121" s="565">
        <f>精餾產銷!Q61</f>
        <v>1022</v>
      </c>
      <c r="R121" s="565">
        <f>精餾產銷!R61</f>
        <v>1053</v>
      </c>
      <c r="S121" s="565">
        <f>精餾產銷!S61</f>
        <v>1022</v>
      </c>
      <c r="T121" s="566">
        <f>精餾產銷!T61</f>
        <v>595</v>
      </c>
      <c r="U121" s="567">
        <f>精餾產銷!U61</f>
        <v>2100</v>
      </c>
      <c r="V121" s="568">
        <f>精餾產銷!V61</f>
        <v>962.5</v>
      </c>
      <c r="W121" s="569">
        <f>精餾產銷!W61</f>
        <v>1050</v>
      </c>
      <c r="X121" s="570">
        <f>精餾產銷!X61</f>
        <v>0</v>
      </c>
      <c r="Y121" s="547">
        <f>精餾產銷!Y61</f>
        <v>0</v>
      </c>
      <c r="Z121" s="547">
        <f>精餾產銷!Z61</f>
        <v>0</v>
      </c>
      <c r="AA121" s="573">
        <f>精餾產銷!AA61</f>
        <v>0</v>
      </c>
      <c r="AB121" s="536">
        <f>精餾產銷!AB61</f>
        <v>708.09999999999991</v>
      </c>
      <c r="AC121" s="537">
        <f>精餾產銷!AC61</f>
        <v>1786.1</v>
      </c>
      <c r="AD121" s="537">
        <f>精餾產銷!AD61</f>
        <v>1695.6</v>
      </c>
      <c r="AE121" s="538">
        <f>精餾產銷!AE61</f>
        <v>1723.6</v>
      </c>
      <c r="AF121" s="509">
        <f t="shared" si="20"/>
        <v>1</v>
      </c>
      <c r="AH121" s="796">
        <f>精餾產銷!AH61</f>
        <v>500</v>
      </c>
      <c r="AI121" s="796">
        <f t="shared" si="18"/>
        <v>0.25839793281653745</v>
      </c>
      <c r="AJ121" s="796" t="e">
        <f t="shared" si="19"/>
        <v>#DIV/0!</v>
      </c>
    </row>
    <row r="122" spans="1:37" ht="24" hidden="1" customHeight="1" x14ac:dyDescent="0.25">
      <c r="A122" s="99" t="str">
        <f>精餾產銷!A62</f>
        <v>IPA(其他)(鴻勝)</v>
      </c>
      <c r="B122" s="371" t="str">
        <f>精餾產銷!B62</f>
        <v>E77.E84.E106</v>
      </c>
      <c r="C122" s="382">
        <f>精餾產銷!C62</f>
        <v>60</v>
      </c>
      <c r="D122" s="411">
        <f>精餾產銷!D62</f>
        <v>0</v>
      </c>
      <c r="E122" s="371">
        <f>精餾產銷!E62</f>
        <v>0</v>
      </c>
      <c r="F122" s="371">
        <f>精餾產銷!F62</f>
        <v>2</v>
      </c>
      <c r="G122" s="693">
        <f>精餾產銷!G62</f>
        <v>0</v>
      </c>
      <c r="H122" s="865">
        <f>精餾產銷!H62</f>
        <v>0</v>
      </c>
      <c r="I122" s="572">
        <f>精餾產銷!I62</f>
        <v>0</v>
      </c>
      <c r="J122" s="865">
        <f>精餾產銷!J62</f>
        <v>0</v>
      </c>
      <c r="K122" s="595">
        <f>精餾產銷!K62</f>
        <v>0</v>
      </c>
      <c r="L122" s="865">
        <f>精餾產銷!L62</f>
        <v>0</v>
      </c>
      <c r="M122" s="595">
        <f>精餾產銷!M62</f>
        <v>0</v>
      </c>
      <c r="N122" s="865">
        <f>精餾產銷!N62</f>
        <v>0</v>
      </c>
      <c r="O122" s="595">
        <f>精餾產銷!O62</f>
        <v>0</v>
      </c>
      <c r="P122" s="565">
        <f>精餾產銷!P62</f>
        <v>0</v>
      </c>
      <c r="Q122" s="547">
        <f>精餾產銷!Q62</f>
        <v>0</v>
      </c>
      <c r="R122" s="547">
        <f>精餾產銷!R62</f>
        <v>0</v>
      </c>
      <c r="S122" s="547">
        <f>精餾產銷!S62</f>
        <v>0</v>
      </c>
      <c r="T122" s="566">
        <f>精餾產銷!T62</f>
        <v>0</v>
      </c>
      <c r="U122" s="567">
        <f>精餾產銷!U62</f>
        <v>0</v>
      </c>
      <c r="V122" s="568">
        <f>精餾產銷!V62</f>
        <v>0</v>
      </c>
      <c r="W122" s="569">
        <f>精餾產銷!W62</f>
        <v>0</v>
      </c>
      <c r="X122" s="570">
        <f>精餾產銷!X62</f>
        <v>0</v>
      </c>
      <c r="Y122" s="547">
        <f>精餾產銷!Y62</f>
        <v>0</v>
      </c>
      <c r="Z122" s="547">
        <f>精餾產銷!Z62</f>
        <v>0</v>
      </c>
      <c r="AA122" s="571">
        <f>精餾產銷!AA62</f>
        <v>0</v>
      </c>
      <c r="AB122" s="522">
        <f>精餾產銷!AB62</f>
        <v>0</v>
      </c>
      <c r="AC122" s="523">
        <f>精餾產銷!AC62</f>
        <v>0</v>
      </c>
      <c r="AD122" s="523">
        <f>精餾產銷!AD62</f>
        <v>0</v>
      </c>
      <c r="AE122" s="524">
        <f>精餾產銷!AE62</f>
        <v>0</v>
      </c>
      <c r="AF122" s="509">
        <f t="shared" si="20"/>
        <v>0</v>
      </c>
      <c r="AH122" s="796">
        <f>精餾產銷!AH62</f>
        <v>0</v>
      </c>
      <c r="AI122" s="796">
        <f t="shared" si="18"/>
        <v>0</v>
      </c>
      <c r="AJ122" s="796">
        <f t="shared" si="19"/>
        <v>0</v>
      </c>
    </row>
    <row r="123" spans="1:37" ht="28.5" customHeight="1" x14ac:dyDescent="0.25">
      <c r="A123" s="99" t="str">
        <f>精餾產銷!A63</f>
        <v>IPA(崙尾區日本料-暫放洲際)</v>
      </c>
      <c r="B123" s="371"/>
      <c r="C123" s="382">
        <f>精餾產銷!C63</f>
        <v>0</v>
      </c>
      <c r="D123" s="411"/>
      <c r="E123" s="371"/>
      <c r="F123" s="371"/>
      <c r="G123" s="693">
        <f>精餾產銷!G63</f>
        <v>552.9</v>
      </c>
      <c r="H123" s="865">
        <f>精餾產銷!H63</f>
        <v>0</v>
      </c>
      <c r="I123" s="572">
        <f>精餾產銷!I63</f>
        <v>0</v>
      </c>
      <c r="J123" s="865">
        <f>精餾產銷!J63</f>
        <v>0</v>
      </c>
      <c r="K123" s="595">
        <f>精餾產銷!K63</f>
        <v>0</v>
      </c>
      <c r="L123" s="865">
        <f>精餾產銷!L63</f>
        <v>0</v>
      </c>
      <c r="M123" s="595">
        <f>精餾產銷!M63</f>
        <v>0</v>
      </c>
      <c r="N123" s="865">
        <f>精餾產銷!N63</f>
        <v>0</v>
      </c>
      <c r="O123" s="595">
        <f>精餾產銷!O63</f>
        <v>0</v>
      </c>
      <c r="P123" s="565">
        <f>精餾產銷!P63</f>
        <v>102</v>
      </c>
      <c r="Q123" s="547">
        <f>精餾產銷!Q63</f>
        <v>508</v>
      </c>
      <c r="R123" s="547">
        <f>精餾產銷!R63</f>
        <v>508</v>
      </c>
      <c r="S123" s="547">
        <f>精餾產銷!S63</f>
        <v>508</v>
      </c>
      <c r="T123" s="566">
        <f>精餾產銷!T63</f>
        <v>0</v>
      </c>
      <c r="U123" s="567">
        <f>精餾產銷!U63</f>
        <v>0</v>
      </c>
      <c r="V123" s="568">
        <f>精餾產銷!V63</f>
        <v>262.5</v>
      </c>
      <c r="W123" s="569">
        <f>精餾產銷!W63</f>
        <v>1000</v>
      </c>
      <c r="X123" s="570">
        <f>精餾產銷!X63</f>
        <v>27</v>
      </c>
      <c r="Y123" s="547">
        <f>精餾產銷!Y63</f>
        <v>135</v>
      </c>
      <c r="Z123" s="547">
        <f>精餾產銷!Z63</f>
        <v>145</v>
      </c>
      <c r="AA123" s="571">
        <f>精餾產銷!AA63</f>
        <v>145</v>
      </c>
      <c r="AB123" s="522">
        <f>精餾產銷!AB63</f>
        <v>477.9</v>
      </c>
      <c r="AC123" s="523">
        <f>精餾產銷!AC63</f>
        <v>104.89999999999998</v>
      </c>
      <c r="AD123" s="523">
        <f>精餾產銷!AD63</f>
        <v>4.3999999999999773</v>
      </c>
      <c r="AE123" s="524">
        <f>精餾產銷!AE63</f>
        <v>641.4</v>
      </c>
      <c r="AF123" s="509">
        <f t="shared" si="20"/>
        <v>1</v>
      </c>
      <c r="AH123" s="796"/>
      <c r="AI123" s="796">
        <f t="shared" si="18"/>
        <v>0</v>
      </c>
      <c r="AJ123" s="796">
        <f t="shared" si="19"/>
        <v>0</v>
      </c>
    </row>
    <row r="124" spans="1:37" ht="28.5" customHeight="1" x14ac:dyDescent="0.25">
      <c r="A124" s="99" t="str">
        <f>精餾產銷!A64</f>
        <v>IPA(崙尾區LG)</v>
      </c>
      <c r="B124" s="371"/>
      <c r="C124" s="382">
        <f>精餾產銷!C64</f>
        <v>780</v>
      </c>
      <c r="D124" s="411"/>
      <c r="E124" s="371"/>
      <c r="F124" s="371"/>
      <c r="G124" s="693">
        <f>精餾產銷!G64</f>
        <v>101.7</v>
      </c>
      <c r="H124" s="865">
        <f>精餾產銷!H64</f>
        <v>0</v>
      </c>
      <c r="I124" s="572">
        <f>精餾產銷!I64</f>
        <v>0</v>
      </c>
      <c r="J124" s="865">
        <f>精餾產銷!J64</f>
        <v>0</v>
      </c>
      <c r="K124" s="595">
        <f>精餾產銷!K64</f>
        <v>0</v>
      </c>
      <c r="L124" s="865">
        <f>精餾產銷!L64</f>
        <v>0</v>
      </c>
      <c r="M124" s="595">
        <f>精餾產銷!M64</f>
        <v>0</v>
      </c>
      <c r="N124" s="865">
        <f>精餾產銷!N64</f>
        <v>0</v>
      </c>
      <c r="O124" s="595">
        <f>精餾產銷!O64</f>
        <v>0</v>
      </c>
      <c r="P124" s="565">
        <f>精餾產銷!P64</f>
        <v>213</v>
      </c>
      <c r="Q124" s="547">
        <f>精餾產銷!Q64</f>
        <v>914</v>
      </c>
      <c r="R124" s="547">
        <f>精餾產銷!R64</f>
        <v>914</v>
      </c>
      <c r="S124" s="547">
        <f>精餾產銷!S64</f>
        <v>914</v>
      </c>
      <c r="T124" s="566">
        <f>精餾產銷!T64</f>
        <v>367.5</v>
      </c>
      <c r="U124" s="567">
        <f>精餾產銷!U64</f>
        <v>875</v>
      </c>
      <c r="V124" s="568">
        <f>精餾產銷!V64</f>
        <v>875</v>
      </c>
      <c r="W124" s="569">
        <f>精餾產銷!W64</f>
        <v>1050</v>
      </c>
      <c r="X124" s="570">
        <f>精餾產銷!X64</f>
        <v>0</v>
      </c>
      <c r="Y124" s="547">
        <f>精餾產銷!Y64</f>
        <v>0</v>
      </c>
      <c r="Z124" s="547">
        <f>精餾產銷!Z64</f>
        <v>0</v>
      </c>
      <c r="AA124" s="571">
        <f>精餾產銷!AA64</f>
        <v>0</v>
      </c>
      <c r="AB124" s="522">
        <f>精餾產銷!AB64</f>
        <v>256.2</v>
      </c>
      <c r="AC124" s="523">
        <f>精餾產銷!AC64</f>
        <v>217.20000000000005</v>
      </c>
      <c r="AD124" s="523">
        <f>精餾產銷!AD64</f>
        <v>178.20000000000005</v>
      </c>
      <c r="AE124" s="524">
        <f>精餾產銷!AE64</f>
        <v>314.20000000000005</v>
      </c>
      <c r="AF124" s="509">
        <f t="shared" ref="AF124" si="23">+IF(SUM(G124,H124:O124,R124,U124,X124,AA124)=0,0,1)</f>
        <v>1</v>
      </c>
      <c r="AH124" s="796"/>
      <c r="AI124" s="796">
        <f t="shared" ref="AI124" si="24">IF(AH124=0,0,AH124/C124)</f>
        <v>0</v>
      </c>
      <c r="AJ124" s="796">
        <f t="shared" ref="AJ124" si="25">IF(AH124=0,0,AH124/((H124+J124+L124+N124)/4))</f>
        <v>0</v>
      </c>
    </row>
    <row r="125" spans="1:37" ht="24" customHeight="1" x14ac:dyDescent="0.25">
      <c r="A125" s="99" t="str">
        <f>精餾產銷!A65</f>
        <v>EG</v>
      </c>
      <c r="B125" s="371" t="str">
        <f>精餾產銷!B65</f>
        <v>TK-603&amp;TK689.A009、A010</v>
      </c>
      <c r="C125" s="382">
        <f>精餾產銷!C65</f>
        <v>249</v>
      </c>
      <c r="D125" s="411">
        <f>精餾產銷!D65</f>
        <v>218</v>
      </c>
      <c r="E125" s="371">
        <f>精餾產銷!E65</f>
        <v>0</v>
      </c>
      <c r="F125" s="371">
        <f>精餾產銷!F65</f>
        <v>0.5</v>
      </c>
      <c r="G125" s="693">
        <f>精餾產銷!G65</f>
        <v>217.5</v>
      </c>
      <c r="H125" s="865">
        <f>精餾產銷!H65</f>
        <v>0</v>
      </c>
      <c r="I125" s="572">
        <f>精餾產銷!I65</f>
        <v>0</v>
      </c>
      <c r="J125" s="865">
        <f>精餾產銷!J65</f>
        <v>0</v>
      </c>
      <c r="K125" s="595">
        <f>精餾產銷!K65</f>
        <v>0</v>
      </c>
      <c r="L125" s="865">
        <f>精餾產銷!L65</f>
        <v>0</v>
      </c>
      <c r="M125" s="595">
        <f>精餾產銷!M65</f>
        <v>0</v>
      </c>
      <c r="N125" s="865">
        <f>精餾產銷!N65</f>
        <v>0</v>
      </c>
      <c r="O125" s="595">
        <f>精餾產銷!O65</f>
        <v>0</v>
      </c>
      <c r="P125" s="565">
        <f>精餾產銷!P65</f>
        <v>206</v>
      </c>
      <c r="Q125" s="547">
        <f>精餾產銷!Q65</f>
        <v>144</v>
      </c>
      <c r="R125" s="547">
        <f>精餾產銷!R65</f>
        <v>0</v>
      </c>
      <c r="S125" s="572">
        <f>精餾產銷!S65</f>
        <v>696</v>
      </c>
      <c r="T125" s="566">
        <f>精餾產銷!T65</f>
        <v>0</v>
      </c>
      <c r="U125" s="567">
        <f>精餾產銷!U65</f>
        <v>0</v>
      </c>
      <c r="V125" s="568">
        <f>精餾產銷!V65</f>
        <v>0</v>
      </c>
      <c r="W125" s="569">
        <f>精餾產銷!W65</f>
        <v>0</v>
      </c>
      <c r="X125" s="570">
        <f>精餾產銷!X65</f>
        <v>0</v>
      </c>
      <c r="Y125" s="547">
        <f>精餾產銷!Y65</f>
        <v>179</v>
      </c>
      <c r="Z125" s="547">
        <f>精餾產銷!Z65</f>
        <v>0</v>
      </c>
      <c r="AA125" s="571">
        <f>精餾產銷!AA65</f>
        <v>696</v>
      </c>
      <c r="AB125" s="522">
        <f>精餾產銷!AB65</f>
        <v>11.5</v>
      </c>
      <c r="AC125" s="523">
        <f>精餾產銷!AC65</f>
        <v>46.5</v>
      </c>
      <c r="AD125" s="523">
        <f>精餾產銷!AD65</f>
        <v>46.5</v>
      </c>
      <c r="AE125" s="524">
        <f>精餾產銷!AE65</f>
        <v>46.5</v>
      </c>
      <c r="AF125" s="509">
        <f t="shared" si="20"/>
        <v>1</v>
      </c>
      <c r="AH125" s="796">
        <f>精餾產銷!AH65</f>
        <v>100</v>
      </c>
      <c r="AI125" s="796">
        <f t="shared" si="18"/>
        <v>0.40160642570281124</v>
      </c>
      <c r="AJ125" s="796" t="e">
        <f t="shared" si="19"/>
        <v>#DIV/0!</v>
      </c>
    </row>
    <row r="126" spans="1:37" ht="28.5" hidden="1" customHeight="1" x14ac:dyDescent="0.25">
      <c r="A126" s="99" t="str">
        <f>精餾產銷!A66</f>
        <v>NMP-1</v>
      </c>
      <c r="B126" s="371" t="str">
        <f>精餾產銷!B66</f>
        <v>200L</v>
      </c>
      <c r="C126" s="382">
        <f>精餾產銷!C66</f>
        <v>82</v>
      </c>
      <c r="D126" s="411">
        <f>精餾產銷!D66</f>
        <v>0</v>
      </c>
      <c r="E126" s="371">
        <f>精餾產銷!E66</f>
        <v>0</v>
      </c>
      <c r="F126" s="371">
        <f>精餾產銷!F66</f>
        <v>1</v>
      </c>
      <c r="G126" s="693">
        <f>精餾產銷!G66</f>
        <v>0</v>
      </c>
      <c r="H126" s="865">
        <f>精餾產銷!H66</f>
        <v>0</v>
      </c>
      <c r="I126" s="595">
        <f>精餾產銷!I66</f>
        <v>0</v>
      </c>
      <c r="J126" s="865">
        <f>精餾產銷!J66</f>
        <v>0</v>
      </c>
      <c r="K126" s="595">
        <f>精餾產銷!K66</f>
        <v>0</v>
      </c>
      <c r="L126" s="865">
        <f>精餾產銷!L66</f>
        <v>0</v>
      </c>
      <c r="M126" s="595">
        <f>精餾產銷!M66</f>
        <v>0</v>
      </c>
      <c r="N126" s="865">
        <f>精餾產銷!N66</f>
        <v>0</v>
      </c>
      <c r="O126" s="595">
        <f>精餾產銷!O66</f>
        <v>0</v>
      </c>
      <c r="P126" s="565">
        <f>精餾產銷!P66</f>
        <v>0</v>
      </c>
      <c r="Q126" s="547">
        <f>精餾產銷!Q66</f>
        <v>0</v>
      </c>
      <c r="R126" s="547">
        <f>精餾產銷!R66</f>
        <v>0</v>
      </c>
      <c r="S126" s="572">
        <f>精餾產銷!S66</f>
        <v>0</v>
      </c>
      <c r="T126" s="566">
        <f>精餾產銷!T66</f>
        <v>0</v>
      </c>
      <c r="U126" s="567">
        <f>精餾產銷!U66</f>
        <v>0</v>
      </c>
      <c r="V126" s="568">
        <f>精餾產銷!V66</f>
        <v>0</v>
      </c>
      <c r="W126" s="569">
        <f>精餾產銷!W66</f>
        <v>0</v>
      </c>
      <c r="X126" s="570">
        <f>精餾產銷!X66</f>
        <v>0</v>
      </c>
      <c r="Y126" s="547">
        <f>精餾產銷!Y66</f>
        <v>0</v>
      </c>
      <c r="Z126" s="547">
        <f>精餾產銷!Z66</f>
        <v>0</v>
      </c>
      <c r="AA126" s="571">
        <f>精餾產銷!AA66</f>
        <v>0</v>
      </c>
      <c r="AB126" s="522">
        <f>精餾產銷!AB66</f>
        <v>0</v>
      </c>
      <c r="AC126" s="523">
        <f>精餾產銷!AC66</f>
        <v>0</v>
      </c>
      <c r="AD126" s="523">
        <f>精餾產銷!AD66</f>
        <v>0</v>
      </c>
      <c r="AE126" s="524">
        <f>精餾產銷!AE66</f>
        <v>0</v>
      </c>
      <c r="AF126" s="509">
        <f t="shared" si="20"/>
        <v>0</v>
      </c>
      <c r="AH126" s="796">
        <f>精餾產銷!AH66</f>
        <v>0</v>
      </c>
      <c r="AI126" s="796">
        <f t="shared" si="18"/>
        <v>0</v>
      </c>
      <c r="AJ126" s="796">
        <f t="shared" si="19"/>
        <v>0</v>
      </c>
    </row>
    <row r="127" spans="1:37" ht="24" customHeight="1" x14ac:dyDescent="0.25">
      <c r="A127" s="99" t="str">
        <f>精餾產銷!A67</f>
        <v>NMP-2</v>
      </c>
      <c r="B127" s="371" t="str">
        <f>精餾產銷!B67</f>
        <v>TK-632&amp;TK-633&amp;TK671&amp;E30&amp;E43</v>
      </c>
      <c r="C127" s="382">
        <f>精餾產銷!C67</f>
        <v>420.57320000000004</v>
      </c>
      <c r="D127" s="411">
        <f>精餾產銷!D67</f>
        <v>100.74</v>
      </c>
      <c r="E127" s="371">
        <f>精餾產銷!E67</f>
        <v>0</v>
      </c>
      <c r="F127" s="371">
        <f>精餾產銷!F67</f>
        <v>2</v>
      </c>
      <c r="G127" s="693">
        <f>精餾產銷!G67</f>
        <v>98.74</v>
      </c>
      <c r="H127" s="865">
        <f>精餾產銷!H67</f>
        <v>0</v>
      </c>
      <c r="I127" s="572">
        <f>精餾產銷!I67</f>
        <v>0</v>
      </c>
      <c r="J127" s="865">
        <f>精餾產銷!J67</f>
        <v>5</v>
      </c>
      <c r="K127" s="595">
        <f>精餾產銷!K67</f>
        <v>0</v>
      </c>
      <c r="L127" s="865">
        <f>精餾產銷!L67</f>
        <v>5</v>
      </c>
      <c r="M127" s="595">
        <f>精餾產銷!M67</f>
        <v>0</v>
      </c>
      <c r="N127" s="865">
        <f>精餾產銷!N67</f>
        <v>5</v>
      </c>
      <c r="O127" s="595">
        <f>精餾產銷!O67</f>
        <v>0</v>
      </c>
      <c r="P127" s="565">
        <f>精餾產銷!P67</f>
        <v>4</v>
      </c>
      <c r="Q127" s="547">
        <f>精餾產銷!Q67</f>
        <v>28</v>
      </c>
      <c r="R127" s="547">
        <f>精餾產銷!R67</f>
        <v>27</v>
      </c>
      <c r="S127" s="572">
        <f>精餾產銷!S67</f>
        <v>27</v>
      </c>
      <c r="T127" s="566">
        <f>精餾產銷!T67</f>
        <v>0</v>
      </c>
      <c r="U127" s="567">
        <f>精餾產銷!U67</f>
        <v>0</v>
      </c>
      <c r="V127" s="568">
        <f>精餾產銷!V67</f>
        <v>100</v>
      </c>
      <c r="W127" s="569">
        <f>精餾產銷!W67</f>
        <v>180</v>
      </c>
      <c r="X127" s="570">
        <f>精餾產銷!X67</f>
        <v>0</v>
      </c>
      <c r="Y127" s="547">
        <f>精餾產銷!Y67</f>
        <v>0</v>
      </c>
      <c r="Z127" s="547">
        <f>精餾產銷!Z67</f>
        <v>0</v>
      </c>
      <c r="AA127" s="571">
        <f>精餾產銷!AA67</f>
        <v>0</v>
      </c>
      <c r="AB127" s="522">
        <f>精餾產銷!AB67</f>
        <v>94.74</v>
      </c>
      <c r="AC127" s="523">
        <f>精餾產銷!AC67</f>
        <v>61.739999999999995</v>
      </c>
      <c r="AD127" s="523">
        <f>精餾產銷!AD67</f>
        <v>129.74</v>
      </c>
      <c r="AE127" s="524">
        <f>精餾產銷!AE67</f>
        <v>277.74</v>
      </c>
      <c r="AF127" s="509">
        <f t="shared" si="20"/>
        <v>1</v>
      </c>
      <c r="AH127" s="796">
        <f>精餾產銷!AH67</f>
        <v>150</v>
      </c>
      <c r="AI127" s="796">
        <f t="shared" si="18"/>
        <v>0.35665610647563845</v>
      </c>
      <c r="AJ127" s="796">
        <f t="shared" si="19"/>
        <v>40</v>
      </c>
    </row>
    <row r="128" spans="1:37" ht="28.5" customHeight="1" x14ac:dyDescent="0.25">
      <c r="A128" s="99" t="str">
        <f>精餾產銷!A68</f>
        <v>EG-C</v>
      </c>
      <c r="B128" s="371" t="str">
        <f>精餾產銷!B68</f>
        <v>洲際T503</v>
      </c>
      <c r="C128" s="382">
        <f>精餾產銷!C68</f>
        <v>0</v>
      </c>
      <c r="D128" s="411">
        <f>精餾產銷!D68</f>
        <v>777.6</v>
      </c>
      <c r="E128" s="371">
        <f>精餾產銷!E68</f>
        <v>0</v>
      </c>
      <c r="F128" s="371">
        <f>精餾產銷!F68</f>
        <v>0</v>
      </c>
      <c r="G128" s="693">
        <f>精餾產銷!G68</f>
        <v>777.6</v>
      </c>
      <c r="H128" s="865">
        <f>精餾產銷!H68</f>
        <v>0</v>
      </c>
      <c r="I128" s="572">
        <f>精餾產銷!I68</f>
        <v>0</v>
      </c>
      <c r="J128" s="865">
        <f>精餾產銷!J68</f>
        <v>0</v>
      </c>
      <c r="K128" s="595">
        <f>精餾產銷!K68</f>
        <v>0</v>
      </c>
      <c r="L128" s="865">
        <f>精餾產銷!L68</f>
        <v>0</v>
      </c>
      <c r="M128" s="595">
        <f>精餾產銷!M68</f>
        <v>0</v>
      </c>
      <c r="N128" s="865">
        <f>精餾產銷!N68</f>
        <v>0</v>
      </c>
      <c r="O128" s="595">
        <f>精餾產銷!O68</f>
        <v>0</v>
      </c>
      <c r="P128" s="565">
        <f>精餾產銷!P68</f>
        <v>0</v>
      </c>
      <c r="Q128" s="547">
        <f>精餾產銷!Q68</f>
        <v>0</v>
      </c>
      <c r="R128" s="547">
        <f>精餾產銷!R68</f>
        <v>0</v>
      </c>
      <c r="S128" s="572">
        <f>精餾產銷!S68</f>
        <v>0</v>
      </c>
      <c r="T128" s="566">
        <f>精餾產銷!T68</f>
        <v>0</v>
      </c>
      <c r="U128" s="567">
        <f>精餾產銷!U68</f>
        <v>0</v>
      </c>
      <c r="V128" s="568">
        <f>精餾產銷!V68</f>
        <v>0</v>
      </c>
      <c r="W128" s="569">
        <f>精餾產銷!W68</f>
        <v>0</v>
      </c>
      <c r="X128" s="570">
        <f>精餾產銷!X68</f>
        <v>0</v>
      </c>
      <c r="Y128" s="547">
        <f>精餾產銷!Y68</f>
        <v>0</v>
      </c>
      <c r="Z128" s="547">
        <f>精餾產銷!Z68</f>
        <v>0</v>
      </c>
      <c r="AA128" s="571">
        <f>精餾產銷!AA68</f>
        <v>0</v>
      </c>
      <c r="AB128" s="522">
        <f>精餾產銷!AB68</f>
        <v>777.6</v>
      </c>
      <c r="AC128" s="523">
        <f>精餾產銷!AC68</f>
        <v>777.6</v>
      </c>
      <c r="AD128" s="523">
        <f>精餾產銷!AD68</f>
        <v>777.6</v>
      </c>
      <c r="AE128" s="524">
        <f>精餾產銷!AE68</f>
        <v>777.6</v>
      </c>
      <c r="AF128" s="509">
        <v>1</v>
      </c>
      <c r="AH128" s="796">
        <f>精餾產銷!AH68</f>
        <v>0</v>
      </c>
      <c r="AI128" s="796">
        <f t="shared" si="18"/>
        <v>0</v>
      </c>
      <c r="AJ128" s="796">
        <f t="shared" si="19"/>
        <v>0</v>
      </c>
    </row>
    <row r="129" spans="1:36" ht="28.5" hidden="1" customHeight="1" x14ac:dyDescent="0.25">
      <c r="A129" s="99" t="str">
        <f>精餾產銷!A69</f>
        <v>NMP-4</v>
      </c>
      <c r="B129" s="371" t="str">
        <f>精餾產銷!B69</f>
        <v>TK671&amp;E30&amp;E43</v>
      </c>
      <c r="C129" s="382">
        <f>精餾產銷!C69</f>
        <v>79</v>
      </c>
      <c r="D129" s="411">
        <f>精餾產銷!D69</f>
        <v>0</v>
      </c>
      <c r="E129" s="371">
        <f>精餾產銷!E69</f>
        <v>0</v>
      </c>
      <c r="F129" s="371">
        <f>精餾產銷!F69</f>
        <v>0</v>
      </c>
      <c r="G129" s="693">
        <f>精餾產銷!G69</f>
        <v>0</v>
      </c>
      <c r="H129" s="865">
        <f>精餾產銷!H69</f>
        <v>0</v>
      </c>
      <c r="I129" s="572">
        <f>精餾產銷!I69</f>
        <v>0</v>
      </c>
      <c r="J129" s="865">
        <f>精餾產銷!J69</f>
        <v>0</v>
      </c>
      <c r="K129" s="595">
        <f>精餾產銷!K69</f>
        <v>0</v>
      </c>
      <c r="L129" s="865">
        <f>精餾產銷!L69</f>
        <v>0</v>
      </c>
      <c r="M129" s="595">
        <f>精餾產銷!M69</f>
        <v>0</v>
      </c>
      <c r="N129" s="865">
        <f>精餾產銷!N69</f>
        <v>0</v>
      </c>
      <c r="O129" s="595">
        <f>精餾產銷!O69</f>
        <v>0</v>
      </c>
      <c r="P129" s="565">
        <f>精餾產銷!P69</f>
        <v>0</v>
      </c>
      <c r="Q129" s="547">
        <f>精餾產銷!Q69</f>
        <v>0</v>
      </c>
      <c r="R129" s="547">
        <f>精餾產銷!R69</f>
        <v>0</v>
      </c>
      <c r="S129" s="572">
        <f>精餾產銷!S69</f>
        <v>0</v>
      </c>
      <c r="T129" s="566">
        <f>精餾產銷!T69</f>
        <v>0</v>
      </c>
      <c r="U129" s="567">
        <f>精餾產銷!U69</f>
        <v>0</v>
      </c>
      <c r="V129" s="568">
        <f>精餾產銷!V69</f>
        <v>0</v>
      </c>
      <c r="W129" s="569">
        <f>精餾產銷!W69</f>
        <v>0</v>
      </c>
      <c r="X129" s="570">
        <f>精餾產銷!X69</f>
        <v>0</v>
      </c>
      <c r="Y129" s="547">
        <f>精餾產銷!Y69</f>
        <v>0</v>
      </c>
      <c r="Z129" s="547">
        <f>精餾產銷!Z69</f>
        <v>0</v>
      </c>
      <c r="AA129" s="571">
        <f>精餾產銷!AA69</f>
        <v>0</v>
      </c>
      <c r="AB129" s="522">
        <f>精餾產銷!AB69</f>
        <v>0</v>
      </c>
      <c r="AC129" s="523">
        <f>精餾產銷!AC69</f>
        <v>0</v>
      </c>
      <c r="AD129" s="523">
        <f>精餾產銷!AD69</f>
        <v>0</v>
      </c>
      <c r="AE129" s="524">
        <f>精餾產銷!AE69</f>
        <v>0</v>
      </c>
      <c r="AF129" s="509">
        <f t="shared" si="20"/>
        <v>0</v>
      </c>
      <c r="AH129" s="796">
        <f>精餾產銷!AH69</f>
        <v>0</v>
      </c>
      <c r="AI129" s="796">
        <f t="shared" si="18"/>
        <v>0</v>
      </c>
      <c r="AJ129" s="796">
        <f t="shared" si="19"/>
        <v>0</v>
      </c>
    </row>
    <row r="130" spans="1:36" ht="28.5" hidden="1" customHeight="1" x14ac:dyDescent="0.25">
      <c r="A130" s="99">
        <f>精餾產銷!A70</f>
        <v>0</v>
      </c>
      <c r="B130" s="371" t="str">
        <f>精餾產銷!B70</f>
        <v>TK633</v>
      </c>
      <c r="C130" s="382">
        <f>精餾產銷!C70</f>
        <v>22</v>
      </c>
      <c r="D130" s="411">
        <f>精餾產銷!D70</f>
        <v>0</v>
      </c>
      <c r="E130" s="371">
        <f>精餾產銷!E70</f>
        <v>0</v>
      </c>
      <c r="F130" s="371">
        <f>精餾產銷!F70</f>
        <v>0</v>
      </c>
      <c r="G130" s="693">
        <f>精餾產銷!G70</f>
        <v>0</v>
      </c>
      <c r="H130" s="865">
        <f>精餾產銷!H70</f>
        <v>0</v>
      </c>
      <c r="I130" s="572">
        <f>精餾產銷!I70</f>
        <v>0</v>
      </c>
      <c r="J130" s="865">
        <f>精餾產銷!J70</f>
        <v>0</v>
      </c>
      <c r="K130" s="595">
        <f>精餾產銷!K70</f>
        <v>0</v>
      </c>
      <c r="L130" s="865">
        <f>精餾產銷!L70</f>
        <v>0</v>
      </c>
      <c r="M130" s="595">
        <f>精餾產銷!M70</f>
        <v>0</v>
      </c>
      <c r="N130" s="865">
        <f>精餾產銷!N70</f>
        <v>0</v>
      </c>
      <c r="O130" s="595">
        <f>精餾產銷!O70</f>
        <v>0</v>
      </c>
      <c r="P130" s="565">
        <f>精餾產銷!P70</f>
        <v>0</v>
      </c>
      <c r="Q130" s="547">
        <f>精餾產銷!Q70</f>
        <v>0</v>
      </c>
      <c r="R130" s="547">
        <f>精餾產銷!R70</f>
        <v>0</v>
      </c>
      <c r="S130" s="572">
        <f>精餾產銷!S70</f>
        <v>0</v>
      </c>
      <c r="T130" s="566">
        <f>精餾產銷!T70</f>
        <v>0</v>
      </c>
      <c r="U130" s="567">
        <f>精餾產銷!U70</f>
        <v>0</v>
      </c>
      <c r="V130" s="568">
        <f>精餾產銷!V70</f>
        <v>0</v>
      </c>
      <c r="W130" s="569">
        <f>精餾產銷!W70</f>
        <v>0</v>
      </c>
      <c r="X130" s="570">
        <f>精餾產銷!X70</f>
        <v>0</v>
      </c>
      <c r="Y130" s="547">
        <f>精餾產銷!Y70</f>
        <v>0</v>
      </c>
      <c r="Z130" s="547">
        <f>精餾產銷!Z70</f>
        <v>0</v>
      </c>
      <c r="AA130" s="571">
        <f>精餾產銷!AA70</f>
        <v>0</v>
      </c>
      <c r="AB130" s="522">
        <f>精餾產銷!AB70</f>
        <v>0</v>
      </c>
      <c r="AC130" s="523">
        <f>精餾產銷!AC70</f>
        <v>0</v>
      </c>
      <c r="AD130" s="523">
        <f>精餾產銷!AD70</f>
        <v>0</v>
      </c>
      <c r="AE130" s="524">
        <f>精餾產銷!AE70</f>
        <v>0</v>
      </c>
      <c r="AF130" s="509">
        <f t="shared" si="20"/>
        <v>0</v>
      </c>
      <c r="AH130" s="796">
        <f>精餾產銷!AH70</f>
        <v>0</v>
      </c>
      <c r="AI130" s="796">
        <f t="shared" si="18"/>
        <v>0</v>
      </c>
      <c r="AJ130" s="796">
        <f t="shared" si="19"/>
        <v>0</v>
      </c>
    </row>
    <row r="131" spans="1:36" ht="24" customHeight="1" x14ac:dyDescent="0.25">
      <c r="A131" s="111" t="str">
        <f>精餾產銷!A72</f>
        <v>ACETONE</v>
      </c>
      <c r="B131" s="428" t="str">
        <f>精餾產銷!B72</f>
        <v>TK-657、E13、E36、(S208)</v>
      </c>
      <c r="C131" s="397">
        <f>精餾產銷!C72</f>
        <v>83</v>
      </c>
      <c r="D131" s="429">
        <f>精餾產銷!D72</f>
        <v>80.02</v>
      </c>
      <c r="E131" s="430">
        <f>精餾產銷!E72</f>
        <v>0</v>
      </c>
      <c r="F131" s="430">
        <f>精餾產銷!F72</f>
        <v>1</v>
      </c>
      <c r="G131" s="693">
        <f>精餾產銷!G72</f>
        <v>79.02</v>
      </c>
      <c r="H131" s="865">
        <f>精餾產銷!H72</f>
        <v>0</v>
      </c>
      <c r="I131" s="572">
        <f>精餾產銷!I72</f>
        <v>0</v>
      </c>
      <c r="J131" s="865">
        <f>精餾產銷!J72</f>
        <v>0</v>
      </c>
      <c r="K131" s="595">
        <f>精餾產銷!K72</f>
        <v>0</v>
      </c>
      <c r="L131" s="865">
        <f>精餾產銷!L72</f>
        <v>0</v>
      </c>
      <c r="M131" s="595">
        <f>精餾產銷!M72</f>
        <v>0</v>
      </c>
      <c r="N131" s="865">
        <f>精餾產銷!N72</f>
        <v>0</v>
      </c>
      <c r="O131" s="595">
        <f>精餾產銷!O72</f>
        <v>0</v>
      </c>
      <c r="P131" s="565">
        <f>精餾產銷!P72</f>
        <v>5</v>
      </c>
      <c r="Q131" s="520">
        <f>精餾產銷!Q72</f>
        <v>22</v>
      </c>
      <c r="R131" s="547">
        <f>精餾產銷!R72</f>
        <v>242</v>
      </c>
      <c r="S131" s="572">
        <f>精餾產銷!S72</f>
        <v>22</v>
      </c>
      <c r="T131" s="566">
        <f>精餾產銷!T72</f>
        <v>0</v>
      </c>
      <c r="U131" s="567">
        <f>精餾產銷!U72</f>
        <v>0</v>
      </c>
      <c r="V131" s="568">
        <f>精餾產銷!V72</f>
        <v>230</v>
      </c>
      <c r="W131" s="569">
        <f>精餾產銷!W72</f>
        <v>23</v>
      </c>
      <c r="X131" s="570">
        <f>精餾產銷!X72</f>
        <v>0</v>
      </c>
      <c r="Y131" s="547">
        <f>精餾產銷!Y72</f>
        <v>0</v>
      </c>
      <c r="Z131" s="547">
        <f>精餾產銷!Z72</f>
        <v>0</v>
      </c>
      <c r="AA131" s="571">
        <f>精餾產銷!AA72</f>
        <v>0</v>
      </c>
      <c r="AB131" s="522">
        <f>精餾產銷!AB72</f>
        <v>74.02</v>
      </c>
      <c r="AC131" s="523">
        <f>精餾產銷!AC72</f>
        <v>52.019999999999996</v>
      </c>
      <c r="AD131" s="523">
        <f>精餾產銷!AD72</f>
        <v>40.019999999999982</v>
      </c>
      <c r="AE131" s="524">
        <f>精餾產銷!AE72</f>
        <v>41.019999999999982</v>
      </c>
      <c r="AF131" s="509">
        <f t="shared" si="20"/>
        <v>1</v>
      </c>
      <c r="AH131" s="796">
        <f>精餾產銷!AH72</f>
        <v>20</v>
      </c>
      <c r="AI131" s="796">
        <f t="shared" si="18"/>
        <v>0.24096385542168675</v>
      </c>
      <c r="AJ131" s="796" t="e">
        <f t="shared" si="19"/>
        <v>#DIV/0!</v>
      </c>
    </row>
    <row r="132" spans="1:36" ht="24" customHeight="1" x14ac:dyDescent="0.25">
      <c r="A132" s="99" t="str">
        <f>精餾產銷!A73</f>
        <v>GAA</v>
      </c>
      <c r="B132" s="371" t="str">
        <f>精餾產銷!B73</f>
        <v>TK698</v>
      </c>
      <c r="C132" s="382">
        <f>精餾產銷!C73</f>
        <v>550</v>
      </c>
      <c r="D132" s="411">
        <f>精餾產銷!D73</f>
        <v>246</v>
      </c>
      <c r="E132" s="371">
        <f>精餾產銷!E73</f>
        <v>0</v>
      </c>
      <c r="F132" s="371">
        <f>精餾產銷!F73</f>
        <v>1</v>
      </c>
      <c r="G132" s="693">
        <f>精餾產銷!G73</f>
        <v>245</v>
      </c>
      <c r="H132" s="865">
        <f>精餾產銷!H73</f>
        <v>24</v>
      </c>
      <c r="I132" s="572">
        <f>精餾產銷!I73</f>
        <v>0</v>
      </c>
      <c r="J132" s="865">
        <f>精餾產銷!J73</f>
        <v>94</v>
      </c>
      <c r="K132" s="595">
        <f>精餾產銷!K73</f>
        <v>0</v>
      </c>
      <c r="L132" s="865">
        <f>精餾產銷!L73</f>
        <v>94</v>
      </c>
      <c r="M132" s="595">
        <f>精餾產銷!M73</f>
        <v>0</v>
      </c>
      <c r="N132" s="865">
        <f>精餾產銷!N73</f>
        <v>94</v>
      </c>
      <c r="O132" s="595">
        <f>精餾產銷!O73</f>
        <v>0</v>
      </c>
      <c r="P132" s="565">
        <f>精餾產銷!P73</f>
        <v>25</v>
      </c>
      <c r="Q132" s="547">
        <f>精餾產銷!Q73</f>
        <v>137</v>
      </c>
      <c r="R132" s="547">
        <f>精餾產銷!R73</f>
        <v>137</v>
      </c>
      <c r="S132" s="572">
        <f>精餾產銷!S73</f>
        <v>137</v>
      </c>
      <c r="T132" s="566">
        <f>精餾產銷!T73</f>
        <v>0</v>
      </c>
      <c r="U132" s="567">
        <f>精餾產銷!U73</f>
        <v>210</v>
      </c>
      <c r="V132" s="568">
        <f>精餾產銷!V73</f>
        <v>240</v>
      </c>
      <c r="W132" s="569">
        <f>精餾產銷!W73</f>
        <v>240</v>
      </c>
      <c r="X132" s="570">
        <f>精餾產銷!X73</f>
        <v>0</v>
      </c>
      <c r="Y132" s="547">
        <f>精餾產銷!Y73</f>
        <v>0</v>
      </c>
      <c r="Z132" s="547">
        <f>精餾產銷!Z73</f>
        <v>0</v>
      </c>
      <c r="AA132" s="571">
        <f>精餾產銷!AA73</f>
        <v>0</v>
      </c>
      <c r="AB132" s="522">
        <f>精餾產銷!AB73</f>
        <v>196</v>
      </c>
      <c r="AC132" s="523">
        <f>精餾產銷!AC73</f>
        <v>175</v>
      </c>
      <c r="AD132" s="523">
        <f>精餾產銷!AD73</f>
        <v>184</v>
      </c>
      <c r="AE132" s="524">
        <f>精餾產銷!AE73</f>
        <v>193</v>
      </c>
      <c r="AF132" s="509">
        <f t="shared" si="20"/>
        <v>1</v>
      </c>
      <c r="AH132" s="796">
        <f>精餾產銷!AH73</f>
        <v>150</v>
      </c>
      <c r="AI132" s="796">
        <f t="shared" si="18"/>
        <v>0.27272727272727271</v>
      </c>
      <c r="AJ132" s="796">
        <f t="shared" si="19"/>
        <v>1.9607843137254901</v>
      </c>
    </row>
    <row r="133" spans="1:36" ht="28.5" hidden="1" customHeight="1" x14ac:dyDescent="0.25">
      <c r="A133" s="99" t="str">
        <f>精餾產銷!A74</f>
        <v>GBL(OEM)</v>
      </c>
      <c r="B133" s="371" t="str">
        <f>精餾產銷!B74</f>
        <v>E39&amp;200L&amp;包材</v>
      </c>
      <c r="C133" s="382">
        <f>精餾產銷!C74</f>
        <v>23</v>
      </c>
      <c r="D133" s="347">
        <f>精餾產銷!D74</f>
        <v>0</v>
      </c>
      <c r="E133" s="371">
        <f>精餾產銷!E74</f>
        <v>0</v>
      </c>
      <c r="F133" s="371">
        <f>精餾產銷!F74</f>
        <v>0</v>
      </c>
      <c r="G133" s="693">
        <f>精餾產銷!G74</f>
        <v>0</v>
      </c>
      <c r="H133" s="865">
        <f>精餾產銷!H74</f>
        <v>0</v>
      </c>
      <c r="I133" s="595">
        <f>精餾產銷!I74</f>
        <v>0</v>
      </c>
      <c r="J133" s="865">
        <f>精餾產銷!J74</f>
        <v>0</v>
      </c>
      <c r="K133" s="595">
        <f>精餾產銷!K74</f>
        <v>0</v>
      </c>
      <c r="L133" s="865">
        <f>精餾產銷!L74</f>
        <v>0</v>
      </c>
      <c r="M133" s="595">
        <f>精餾產銷!M74</f>
        <v>0</v>
      </c>
      <c r="N133" s="865">
        <f>精餾產銷!N74</f>
        <v>0</v>
      </c>
      <c r="O133" s="595">
        <f>精餾產銷!O74</f>
        <v>0</v>
      </c>
      <c r="P133" s="565">
        <f>精餾產銷!P74</f>
        <v>0</v>
      </c>
      <c r="Q133" s="547">
        <f>精餾產銷!Q74</f>
        <v>0</v>
      </c>
      <c r="R133" s="547">
        <f>精餾產銷!R74</f>
        <v>0</v>
      </c>
      <c r="S133" s="572">
        <f>精餾產銷!S74</f>
        <v>0</v>
      </c>
      <c r="T133" s="566">
        <f>精餾產銷!T74</f>
        <v>0</v>
      </c>
      <c r="U133" s="567">
        <f>精餾產銷!U74</f>
        <v>0</v>
      </c>
      <c r="V133" s="568">
        <f>精餾產銷!V74</f>
        <v>0</v>
      </c>
      <c r="W133" s="569">
        <f>精餾產銷!W74</f>
        <v>0</v>
      </c>
      <c r="X133" s="570">
        <f>精餾產銷!X74</f>
        <v>0</v>
      </c>
      <c r="Y133" s="547">
        <f>精餾產銷!Y74</f>
        <v>0</v>
      </c>
      <c r="Z133" s="547">
        <f>精餾產銷!Z74</f>
        <v>0</v>
      </c>
      <c r="AA133" s="571">
        <f>精餾產銷!AA74</f>
        <v>0</v>
      </c>
      <c r="AB133" s="522">
        <f>精餾產銷!AB74</f>
        <v>0</v>
      </c>
      <c r="AC133" s="523">
        <f>精餾產銷!AC74</f>
        <v>0</v>
      </c>
      <c r="AD133" s="523">
        <f>精餾產銷!AD74</f>
        <v>0</v>
      </c>
      <c r="AE133" s="524">
        <f>精餾產銷!AE74</f>
        <v>0</v>
      </c>
      <c r="AF133" s="509">
        <f t="shared" si="20"/>
        <v>0</v>
      </c>
      <c r="AH133" s="796">
        <f>精餾產銷!AH74</f>
        <v>0</v>
      </c>
      <c r="AI133" s="796">
        <f t="shared" si="18"/>
        <v>0</v>
      </c>
      <c r="AJ133" s="796">
        <f t="shared" si="19"/>
        <v>0</v>
      </c>
    </row>
    <row r="134" spans="1:36" ht="28.5" hidden="1" customHeight="1" x14ac:dyDescent="0.25">
      <c r="A134" s="99" t="str">
        <f>精餾產銷!A75</f>
        <v>NMP-E1R</v>
      </c>
      <c r="B134" s="371">
        <f>精餾產銷!B75</f>
        <v>0</v>
      </c>
      <c r="C134" s="382">
        <f>精餾產銷!C75</f>
        <v>0</v>
      </c>
      <c r="D134" s="411">
        <f>精餾產銷!D75</f>
        <v>0</v>
      </c>
      <c r="E134" s="371">
        <f>精餾產銷!E75</f>
        <v>0</v>
      </c>
      <c r="F134" s="371">
        <f>精餾產銷!F75</f>
        <v>0</v>
      </c>
      <c r="G134" s="693">
        <f>精餾產銷!G75</f>
        <v>0</v>
      </c>
      <c r="H134" s="865">
        <f>精餾產銷!H75</f>
        <v>0</v>
      </c>
      <c r="I134" s="572">
        <f>精餾產銷!I75</f>
        <v>0</v>
      </c>
      <c r="J134" s="865">
        <f>精餾產銷!J75</f>
        <v>0</v>
      </c>
      <c r="K134" s="595">
        <f>精餾產銷!K75</f>
        <v>0</v>
      </c>
      <c r="L134" s="865">
        <f>精餾產銷!L75</f>
        <v>0</v>
      </c>
      <c r="M134" s="595">
        <f>精餾產銷!M75</f>
        <v>0</v>
      </c>
      <c r="N134" s="865">
        <f>精餾產銷!N75</f>
        <v>0</v>
      </c>
      <c r="O134" s="595">
        <f>精餾產銷!O75</f>
        <v>0</v>
      </c>
      <c r="P134" s="565">
        <f>精餾產銷!P75</f>
        <v>0</v>
      </c>
      <c r="Q134" s="547">
        <f>精餾產銷!Q75</f>
        <v>0</v>
      </c>
      <c r="R134" s="547">
        <f>精餾產銷!R75</f>
        <v>0</v>
      </c>
      <c r="S134" s="572">
        <f>精餾產銷!S75</f>
        <v>0</v>
      </c>
      <c r="T134" s="566">
        <f>精餾產銷!T75</f>
        <v>0</v>
      </c>
      <c r="U134" s="567">
        <f>精餾產銷!U75</f>
        <v>0</v>
      </c>
      <c r="V134" s="568">
        <f>精餾產銷!V75</f>
        <v>0</v>
      </c>
      <c r="W134" s="569">
        <f>精餾產銷!W75</f>
        <v>0</v>
      </c>
      <c r="X134" s="570">
        <f>精餾產銷!X75</f>
        <v>0</v>
      </c>
      <c r="Y134" s="547">
        <f>精餾產銷!Y75</f>
        <v>0</v>
      </c>
      <c r="Z134" s="547">
        <f>精餾產銷!Z75</f>
        <v>0</v>
      </c>
      <c r="AA134" s="571">
        <f>精餾產銷!AA75</f>
        <v>0</v>
      </c>
      <c r="AB134" s="522">
        <f>精餾產銷!AB75</f>
        <v>0</v>
      </c>
      <c r="AC134" s="523">
        <f>精餾產銷!AC75</f>
        <v>0</v>
      </c>
      <c r="AD134" s="523">
        <f>精餾產銷!AD75</f>
        <v>0</v>
      </c>
      <c r="AE134" s="524">
        <f>精餾產銷!AE75</f>
        <v>0</v>
      </c>
      <c r="AF134" s="509">
        <f t="shared" si="20"/>
        <v>0</v>
      </c>
      <c r="AH134" s="796">
        <f>精餾產銷!AH75</f>
        <v>0</v>
      </c>
      <c r="AI134" s="796">
        <f t="shared" si="18"/>
        <v>0</v>
      </c>
      <c r="AJ134" s="796">
        <f t="shared" si="19"/>
        <v>0</v>
      </c>
    </row>
    <row r="135" spans="1:36" ht="24" customHeight="1" x14ac:dyDescent="0.25">
      <c r="A135" s="99" t="str">
        <f>精餾產銷!A76</f>
        <v>1CPN</v>
      </c>
      <c r="B135" s="371" t="str">
        <f>精餾產銷!B76</f>
        <v>TK684&amp;TK685&amp;TK686&amp;TK687&amp;TK688&amp;ISOTANK20T*25</v>
      </c>
      <c r="C135" s="382">
        <f>精餾產銷!C76</f>
        <v>975</v>
      </c>
      <c r="D135" s="411">
        <f>精餾產銷!D76</f>
        <v>282.39999999999998</v>
      </c>
      <c r="E135" s="371">
        <f>精餾產銷!E76</f>
        <v>0</v>
      </c>
      <c r="F135" s="371">
        <f>精餾產銷!F76</f>
        <v>3</v>
      </c>
      <c r="G135" s="693">
        <f>精餾產銷!G76</f>
        <v>279.39999999999998</v>
      </c>
      <c r="H135" s="866">
        <f>精餾產銷!H76</f>
        <v>0</v>
      </c>
      <c r="I135" s="572">
        <f>精餾產銷!I76</f>
        <v>0</v>
      </c>
      <c r="J135" s="865">
        <f>精餾產銷!J76</f>
        <v>0</v>
      </c>
      <c r="K135" s="595">
        <f>精餾產銷!K76</f>
        <v>0</v>
      </c>
      <c r="L135" s="865">
        <f>精餾產銷!L76</f>
        <v>0</v>
      </c>
      <c r="M135" s="595">
        <f>精餾產銷!M76</f>
        <v>0</v>
      </c>
      <c r="N135" s="865">
        <f>精餾產銷!N76</f>
        <v>0</v>
      </c>
      <c r="O135" s="595">
        <f>精餾產銷!O76</f>
        <v>0</v>
      </c>
      <c r="P135" s="565">
        <f>精餾產銷!P76</f>
        <v>113</v>
      </c>
      <c r="Q135" s="547">
        <f>精餾產銷!Q76</f>
        <v>309</v>
      </c>
      <c r="R135" s="547">
        <f>精餾產銷!R76</f>
        <v>330</v>
      </c>
      <c r="S135" s="572">
        <f>精餾產銷!S76</f>
        <v>299</v>
      </c>
      <c r="T135" s="566">
        <f>精餾產銷!T76</f>
        <v>0</v>
      </c>
      <c r="U135" s="567">
        <f>精餾產銷!U76</f>
        <v>412</v>
      </c>
      <c r="V135" s="568">
        <f>精餾產銷!V76</f>
        <v>195</v>
      </c>
      <c r="W135" s="569">
        <f>精餾產銷!W76</f>
        <v>195</v>
      </c>
      <c r="X135" s="570">
        <f>精餾產銷!X76</f>
        <v>0</v>
      </c>
      <c r="Y135" s="547">
        <f>精餾產銷!Y76</f>
        <v>0</v>
      </c>
      <c r="Z135" s="547">
        <f>精餾產銷!Z76</f>
        <v>0</v>
      </c>
      <c r="AA135" s="573">
        <f>精餾產銷!AA76</f>
        <v>0</v>
      </c>
      <c r="AB135" s="536">
        <f>精餾產銷!AB76</f>
        <v>166.39999999999998</v>
      </c>
      <c r="AC135" s="537">
        <f>精餾產銷!AC76</f>
        <v>269.39999999999998</v>
      </c>
      <c r="AD135" s="537">
        <f>精餾產銷!AD76</f>
        <v>134.39999999999998</v>
      </c>
      <c r="AE135" s="538">
        <f>精餾產銷!AE76</f>
        <v>30.399999999999977</v>
      </c>
      <c r="AF135" s="509">
        <f t="shared" si="20"/>
        <v>1</v>
      </c>
      <c r="AH135" s="796">
        <f>精餾產銷!AH76</f>
        <v>160</v>
      </c>
      <c r="AI135" s="796">
        <f t="shared" si="18"/>
        <v>0.1641025641025641</v>
      </c>
      <c r="AJ135" s="796" t="e">
        <f t="shared" si="19"/>
        <v>#DIV/0!</v>
      </c>
    </row>
    <row r="136" spans="1:36" ht="28.5" hidden="1" customHeight="1" x14ac:dyDescent="0.25">
      <c r="A136" s="99" t="str">
        <f>精餾產銷!A77</f>
        <v>MIBC</v>
      </c>
      <c r="B136" s="371">
        <f>精餾產銷!B77</f>
        <v>0</v>
      </c>
      <c r="C136" s="382">
        <f>精餾產銷!C77</f>
        <v>0</v>
      </c>
      <c r="D136" s="411">
        <f>精餾產銷!D77</f>
        <v>0</v>
      </c>
      <c r="E136" s="371">
        <f>精餾產銷!E77</f>
        <v>0</v>
      </c>
      <c r="F136" s="371">
        <f>精餾產銷!F77</f>
        <v>0</v>
      </c>
      <c r="G136" s="867">
        <f>精餾產銷!G77</f>
        <v>0</v>
      </c>
      <c r="H136" s="865">
        <f>精餾產銷!H77</f>
        <v>0</v>
      </c>
      <c r="I136" s="572">
        <f>精餾產銷!I77</f>
        <v>0</v>
      </c>
      <c r="J136" s="865">
        <f>精餾產銷!J77</f>
        <v>0</v>
      </c>
      <c r="K136" s="595">
        <f>精餾產銷!K77</f>
        <v>0</v>
      </c>
      <c r="L136" s="865">
        <f>精餾產銷!L77</f>
        <v>0</v>
      </c>
      <c r="M136" s="595">
        <f>精餾產銷!M77</f>
        <v>0</v>
      </c>
      <c r="N136" s="865">
        <f>精餾產銷!N77</f>
        <v>0</v>
      </c>
      <c r="O136" s="595">
        <f>精餾產銷!O77</f>
        <v>0</v>
      </c>
      <c r="P136" s="565">
        <f>精餾產銷!P77</f>
        <v>0</v>
      </c>
      <c r="Q136" s="547">
        <f>精餾產銷!Q77</f>
        <v>0</v>
      </c>
      <c r="R136" s="547">
        <f>精餾產銷!R77</f>
        <v>0</v>
      </c>
      <c r="S136" s="572">
        <f>精餾產銷!S77</f>
        <v>0</v>
      </c>
      <c r="T136" s="566">
        <f>精餾產銷!T77</f>
        <v>0</v>
      </c>
      <c r="U136" s="567">
        <f>精餾產銷!U77</f>
        <v>0</v>
      </c>
      <c r="V136" s="568">
        <f>精餾產銷!V77</f>
        <v>0</v>
      </c>
      <c r="W136" s="569">
        <f>精餾產銷!W77</f>
        <v>0</v>
      </c>
      <c r="X136" s="570">
        <f>精餾產銷!X77</f>
        <v>0</v>
      </c>
      <c r="Y136" s="547">
        <f>精餾產銷!Y77</f>
        <v>0</v>
      </c>
      <c r="Z136" s="547">
        <f>精餾產銷!Z77</f>
        <v>0</v>
      </c>
      <c r="AA136" s="571">
        <f>精餾產銷!AA77</f>
        <v>0</v>
      </c>
      <c r="AB136" s="533">
        <f>精餾產銷!AB77</f>
        <v>0</v>
      </c>
      <c r="AC136" s="534">
        <f>精餾產銷!AC77</f>
        <v>0</v>
      </c>
      <c r="AD136" s="534">
        <f>精餾產銷!AD77</f>
        <v>0</v>
      </c>
      <c r="AE136" s="535">
        <f>精餾產銷!AE77</f>
        <v>0</v>
      </c>
      <c r="AF136" s="509">
        <f t="shared" si="20"/>
        <v>0</v>
      </c>
      <c r="AH136" s="796">
        <f>精餾產銷!AH77</f>
        <v>0</v>
      </c>
      <c r="AI136" s="796">
        <f t="shared" si="18"/>
        <v>0</v>
      </c>
      <c r="AJ136" s="796">
        <f t="shared" si="19"/>
        <v>0</v>
      </c>
    </row>
    <row r="137" spans="1:36" ht="24" customHeight="1" x14ac:dyDescent="0.25">
      <c r="A137" s="99" t="str">
        <f>精餾產銷!A78</f>
        <v>GAAUPS</v>
      </c>
      <c r="B137" s="371" t="str">
        <f>精餾產銷!B78</f>
        <v>TK669&amp;包材</v>
      </c>
      <c r="C137" s="397">
        <f>精餾產銷!C78</f>
        <v>18.399999999999999</v>
      </c>
      <c r="D137" s="429">
        <f>精餾產銷!D78</f>
        <v>13.8</v>
      </c>
      <c r="E137" s="430">
        <f>精餾產銷!E78</f>
        <v>0</v>
      </c>
      <c r="F137" s="430">
        <f>精餾產銷!F78</f>
        <v>1</v>
      </c>
      <c r="G137" s="867">
        <f>精餾產銷!G78</f>
        <v>12.8</v>
      </c>
      <c r="H137" s="865">
        <f>精餾產銷!H78</f>
        <v>2</v>
      </c>
      <c r="I137" s="572">
        <f>精餾產銷!I78</f>
        <v>0</v>
      </c>
      <c r="J137" s="865">
        <f>精餾產銷!J78</f>
        <v>2</v>
      </c>
      <c r="K137" s="595">
        <f>精餾產銷!K78</f>
        <v>0</v>
      </c>
      <c r="L137" s="865">
        <f>精餾產銷!L78</f>
        <v>2</v>
      </c>
      <c r="M137" s="595">
        <f>精餾產銷!M78</f>
        <v>0</v>
      </c>
      <c r="N137" s="865">
        <f>精餾產銷!N78</f>
        <v>2</v>
      </c>
      <c r="O137" s="595">
        <f>精餾產銷!O78</f>
        <v>0</v>
      </c>
      <c r="P137" s="565">
        <f>精餾產銷!P78</f>
        <v>0</v>
      </c>
      <c r="Q137" s="520">
        <f>精餾產銷!Q78</f>
        <v>0</v>
      </c>
      <c r="R137" s="520">
        <f>精餾產銷!R78</f>
        <v>0</v>
      </c>
      <c r="S137" s="574">
        <f>精餾產銷!S78</f>
        <v>0</v>
      </c>
      <c r="T137" s="566">
        <f>精餾產銷!T78</f>
        <v>0</v>
      </c>
      <c r="U137" s="567">
        <f>精餾產銷!U78</f>
        <v>0</v>
      </c>
      <c r="V137" s="568">
        <f>精餾產銷!V78</f>
        <v>0</v>
      </c>
      <c r="W137" s="569">
        <f>精餾產銷!W78</f>
        <v>0</v>
      </c>
      <c r="X137" s="570">
        <f>精餾產銷!X78</f>
        <v>0</v>
      </c>
      <c r="Y137" s="547">
        <f>精餾產銷!Y78</f>
        <v>0</v>
      </c>
      <c r="Z137" s="547">
        <f>精餾產銷!Z78</f>
        <v>0</v>
      </c>
      <c r="AA137" s="573">
        <f>精餾產銷!AA78</f>
        <v>0</v>
      </c>
      <c r="AB137" s="536">
        <f>精餾產銷!AB78</f>
        <v>10.8</v>
      </c>
      <c r="AC137" s="537">
        <f>精餾產銷!AC78</f>
        <v>8.8000000000000007</v>
      </c>
      <c r="AD137" s="537">
        <f>精餾產銷!AD78</f>
        <v>6.8000000000000007</v>
      </c>
      <c r="AE137" s="538">
        <f>精餾產銷!AE78</f>
        <v>4.8000000000000007</v>
      </c>
      <c r="AF137" s="509">
        <f t="shared" si="20"/>
        <v>1</v>
      </c>
      <c r="AH137" s="796">
        <f>精餾產銷!AH78</f>
        <v>0</v>
      </c>
      <c r="AI137" s="796">
        <f t="shared" si="18"/>
        <v>0</v>
      </c>
      <c r="AJ137" s="796">
        <f t="shared" si="19"/>
        <v>0</v>
      </c>
    </row>
    <row r="138" spans="1:36" ht="28.5" hidden="1" customHeight="1" x14ac:dyDescent="0.25">
      <c r="A138" s="97">
        <f>精餾產銷!A79</f>
        <v>0</v>
      </c>
      <c r="B138" s="363" t="str">
        <f>精餾產銷!B79</f>
        <v>第二庫房</v>
      </c>
      <c r="C138" s="361">
        <f>精餾產銷!C79</f>
        <v>0</v>
      </c>
      <c r="D138" s="362">
        <f>精餾產銷!D79</f>
        <v>0</v>
      </c>
      <c r="E138" s="363">
        <f>精餾產銷!E79</f>
        <v>0</v>
      </c>
      <c r="F138" s="363">
        <f>精餾產銷!F79</f>
        <v>0</v>
      </c>
      <c r="G138" s="530">
        <f>精餾產銷!G79</f>
        <v>0</v>
      </c>
      <c r="H138" s="864">
        <f>精餾產銷!H79</f>
        <v>0</v>
      </c>
      <c r="I138" s="575">
        <f>精餾產銷!I79</f>
        <v>0</v>
      </c>
      <c r="J138" s="864">
        <f>精餾產銷!J79</f>
        <v>0</v>
      </c>
      <c r="K138" s="532">
        <f>精餾產銷!K79</f>
        <v>0</v>
      </c>
      <c r="L138" s="864">
        <f>精餾產銷!L79</f>
        <v>0</v>
      </c>
      <c r="M138" s="532">
        <f>精餾產銷!M79</f>
        <v>0</v>
      </c>
      <c r="N138" s="864">
        <f>精餾產銷!N79</f>
        <v>0</v>
      </c>
      <c r="O138" s="532">
        <f>精餾產銷!O79</f>
        <v>0</v>
      </c>
      <c r="P138" s="558">
        <f>精餾產銷!P79</f>
        <v>0</v>
      </c>
      <c r="Q138" s="563">
        <f>精餾產銷!Q79</f>
        <v>0</v>
      </c>
      <c r="R138" s="563">
        <f>精餾產銷!R79</f>
        <v>0</v>
      </c>
      <c r="S138" s="575">
        <f>精餾產銷!S79</f>
        <v>0</v>
      </c>
      <c r="T138" s="531">
        <f>精餾產銷!T79</f>
        <v>0</v>
      </c>
      <c r="U138" s="559">
        <f>精餾產銷!U79</f>
        <v>0</v>
      </c>
      <c r="V138" s="560">
        <f>精餾產銷!V79</f>
        <v>0</v>
      </c>
      <c r="W138" s="561">
        <f>精餾產銷!W79</f>
        <v>0</v>
      </c>
      <c r="X138" s="562">
        <f>精餾產銷!X79</f>
        <v>0</v>
      </c>
      <c r="Y138" s="563">
        <f>精餾產銷!Y79</f>
        <v>0</v>
      </c>
      <c r="Z138" s="563">
        <f>精餾產銷!Z79</f>
        <v>0</v>
      </c>
      <c r="AA138" s="564">
        <f>精餾產銷!AA79</f>
        <v>0</v>
      </c>
      <c r="AB138" s="513">
        <f>精餾產銷!AB79</f>
        <v>0</v>
      </c>
      <c r="AC138" s="514">
        <f>精餾產銷!AC79</f>
        <v>0</v>
      </c>
      <c r="AD138" s="514">
        <f>精餾產銷!AD79</f>
        <v>0</v>
      </c>
      <c r="AE138" s="515">
        <f>精餾產銷!AE79</f>
        <v>0</v>
      </c>
      <c r="AF138" s="509">
        <f t="shared" si="20"/>
        <v>0</v>
      </c>
      <c r="AH138" s="796">
        <f>精餾產銷!AH79</f>
        <v>0</v>
      </c>
      <c r="AI138" s="796">
        <f t="shared" si="18"/>
        <v>0</v>
      </c>
      <c r="AJ138" s="796">
        <f t="shared" si="19"/>
        <v>0</v>
      </c>
    </row>
    <row r="139" spans="1:36" ht="28.5" hidden="1" customHeight="1" x14ac:dyDescent="0.25">
      <c r="A139" s="99">
        <f>精餾產銷!A80</f>
        <v>0</v>
      </c>
      <c r="B139" s="371" t="str">
        <f>精餾產銷!B80</f>
        <v>第二庫房</v>
      </c>
      <c r="C139" s="382">
        <f>精餾產銷!C80</f>
        <v>0</v>
      </c>
      <c r="D139" s="411">
        <f>精餾產銷!D80</f>
        <v>0</v>
      </c>
      <c r="E139" s="371">
        <f>精餾產銷!E80</f>
        <v>0</v>
      </c>
      <c r="F139" s="371">
        <f>精餾產銷!F80</f>
        <v>0</v>
      </c>
      <c r="G139" s="693">
        <f>精餾產銷!G80</f>
        <v>0</v>
      </c>
      <c r="H139" s="865">
        <f>精餾產銷!H80</f>
        <v>0</v>
      </c>
      <c r="I139" s="572">
        <f>精餾產銷!I80</f>
        <v>0</v>
      </c>
      <c r="J139" s="865">
        <f>精餾產銷!J80</f>
        <v>0</v>
      </c>
      <c r="K139" s="595">
        <f>精餾產銷!K80</f>
        <v>0</v>
      </c>
      <c r="L139" s="865">
        <f>精餾產銷!L80</f>
        <v>0</v>
      </c>
      <c r="M139" s="595">
        <f>精餾產銷!M80</f>
        <v>0</v>
      </c>
      <c r="N139" s="865">
        <f>精餾產銷!N80</f>
        <v>0</v>
      </c>
      <c r="O139" s="595">
        <f>精餾產銷!O80</f>
        <v>0</v>
      </c>
      <c r="P139" s="565">
        <f>精餾產銷!P80</f>
        <v>0</v>
      </c>
      <c r="Q139" s="547">
        <f>精餾產銷!Q80</f>
        <v>0</v>
      </c>
      <c r="R139" s="547">
        <f>精餾產銷!R80</f>
        <v>0</v>
      </c>
      <c r="S139" s="572">
        <f>精餾產銷!S80</f>
        <v>0</v>
      </c>
      <c r="T139" s="566">
        <f>精餾產銷!T80</f>
        <v>0</v>
      </c>
      <c r="U139" s="567">
        <f>精餾產銷!U80</f>
        <v>0</v>
      </c>
      <c r="V139" s="568">
        <f>精餾產銷!V80</f>
        <v>0</v>
      </c>
      <c r="W139" s="569">
        <f>精餾產銷!W80</f>
        <v>0</v>
      </c>
      <c r="X139" s="570">
        <f>精餾產銷!X80</f>
        <v>0</v>
      </c>
      <c r="Y139" s="547">
        <f>精餾產銷!Y80</f>
        <v>0</v>
      </c>
      <c r="Z139" s="547">
        <f>精餾產銷!Z80</f>
        <v>0</v>
      </c>
      <c r="AA139" s="571">
        <f>精餾產銷!AA80</f>
        <v>0</v>
      </c>
      <c r="AB139" s="533">
        <f>精餾產銷!AB80</f>
        <v>0</v>
      </c>
      <c r="AC139" s="534">
        <f>精餾產銷!AC80</f>
        <v>0</v>
      </c>
      <c r="AD139" s="534">
        <f>精餾產銷!AD80</f>
        <v>0</v>
      </c>
      <c r="AE139" s="535">
        <f>精餾產銷!AE80</f>
        <v>0</v>
      </c>
      <c r="AF139" s="509">
        <f t="shared" si="20"/>
        <v>0</v>
      </c>
      <c r="AH139" s="796">
        <f>精餾產銷!AH80</f>
        <v>0</v>
      </c>
      <c r="AI139" s="796">
        <f t="shared" ref="AI139:AI206" si="26">IF(AH139=0,0,AH139/C139)</f>
        <v>0</v>
      </c>
      <c r="AJ139" s="796">
        <f t="shared" ref="AJ139:AJ206" si="27">IF(AH139=0,0,AH139/((H139+J139+L139+N139)/4))</f>
        <v>0</v>
      </c>
    </row>
    <row r="140" spans="1:36" ht="28.5" hidden="1" customHeight="1" x14ac:dyDescent="0.25">
      <c r="A140" s="99">
        <f>精餾產銷!A81</f>
        <v>0</v>
      </c>
      <c r="B140" s="371" t="str">
        <f>精餾產銷!B81</f>
        <v>200L</v>
      </c>
      <c r="C140" s="382">
        <f>精餾產銷!C81</f>
        <v>0</v>
      </c>
      <c r="D140" s="411">
        <f>精餾產銷!D81</f>
        <v>0</v>
      </c>
      <c r="E140" s="371">
        <f>精餾產銷!E81</f>
        <v>0</v>
      </c>
      <c r="F140" s="371">
        <f>精餾產銷!F81</f>
        <v>0</v>
      </c>
      <c r="G140" s="693">
        <f>精餾產銷!G81</f>
        <v>0</v>
      </c>
      <c r="H140" s="865">
        <f>精餾產銷!H81</f>
        <v>0</v>
      </c>
      <c r="I140" s="572">
        <f>精餾產銷!I81</f>
        <v>0</v>
      </c>
      <c r="J140" s="865">
        <f>精餾產銷!J81</f>
        <v>0</v>
      </c>
      <c r="K140" s="595">
        <f>精餾產銷!K81</f>
        <v>0</v>
      </c>
      <c r="L140" s="865">
        <f>精餾產銷!L81</f>
        <v>0</v>
      </c>
      <c r="M140" s="595">
        <f>精餾產銷!M81</f>
        <v>0</v>
      </c>
      <c r="N140" s="865">
        <f>精餾產銷!N81</f>
        <v>0</v>
      </c>
      <c r="O140" s="595">
        <f>精餾產銷!O81</f>
        <v>0</v>
      </c>
      <c r="P140" s="565">
        <f>精餾產銷!P81</f>
        <v>0</v>
      </c>
      <c r="Q140" s="547">
        <f>精餾產銷!Q81</f>
        <v>0</v>
      </c>
      <c r="R140" s="547">
        <f>精餾產銷!R81</f>
        <v>0</v>
      </c>
      <c r="S140" s="572">
        <f>精餾產銷!S81</f>
        <v>0</v>
      </c>
      <c r="T140" s="566">
        <f>精餾產銷!T81</f>
        <v>0</v>
      </c>
      <c r="U140" s="567">
        <f>精餾產銷!U81</f>
        <v>0</v>
      </c>
      <c r="V140" s="568">
        <f>精餾產銷!V81</f>
        <v>0</v>
      </c>
      <c r="W140" s="569">
        <f>精餾產銷!W81</f>
        <v>0</v>
      </c>
      <c r="X140" s="570">
        <f>精餾產銷!X81</f>
        <v>0</v>
      </c>
      <c r="Y140" s="547">
        <f>精餾產銷!Y81</f>
        <v>0</v>
      </c>
      <c r="Z140" s="547">
        <f>精餾產銷!Z81</f>
        <v>0</v>
      </c>
      <c r="AA140" s="573">
        <f>精餾產銷!AA81</f>
        <v>0</v>
      </c>
      <c r="AB140" s="536">
        <f>精餾產銷!AB81</f>
        <v>0</v>
      </c>
      <c r="AC140" s="537">
        <f>精餾產銷!AC81</f>
        <v>0</v>
      </c>
      <c r="AD140" s="537">
        <f>精餾產銷!AD81</f>
        <v>0</v>
      </c>
      <c r="AE140" s="538">
        <f>精餾產銷!AE81</f>
        <v>0</v>
      </c>
      <c r="AF140" s="509">
        <f t="shared" si="20"/>
        <v>0</v>
      </c>
      <c r="AH140" s="796">
        <f>精餾產銷!AH81</f>
        <v>0</v>
      </c>
      <c r="AI140" s="796">
        <f t="shared" si="26"/>
        <v>0</v>
      </c>
      <c r="AJ140" s="796">
        <f t="shared" si="27"/>
        <v>0</v>
      </c>
    </row>
    <row r="141" spans="1:36" ht="28.5" hidden="1" customHeight="1" x14ac:dyDescent="0.25">
      <c r="A141" s="97">
        <f>精餾產銷!A82</f>
        <v>0</v>
      </c>
      <c r="B141" s="371">
        <f>精餾產銷!B82</f>
        <v>0</v>
      </c>
      <c r="C141" s="361">
        <f>精餾產銷!C82</f>
        <v>0</v>
      </c>
      <c r="D141" s="362">
        <f>精餾產銷!D82</f>
        <v>0</v>
      </c>
      <c r="E141" s="363">
        <f>精餾產銷!E82</f>
        <v>0</v>
      </c>
      <c r="F141" s="363">
        <f>精餾產銷!F82</f>
        <v>0</v>
      </c>
      <c r="G141" s="530">
        <f>精餾產銷!G82</f>
        <v>0</v>
      </c>
      <c r="H141" s="864">
        <f>精餾產銷!H82</f>
        <v>0</v>
      </c>
      <c r="I141" s="575">
        <f>精餾產銷!I82</f>
        <v>0</v>
      </c>
      <c r="J141" s="864">
        <f>精餾產銷!J82</f>
        <v>0</v>
      </c>
      <c r="K141" s="532">
        <f>精餾產銷!K82</f>
        <v>0</v>
      </c>
      <c r="L141" s="864">
        <f>精餾產銷!L82</f>
        <v>0</v>
      </c>
      <c r="M141" s="532">
        <f>精餾產銷!M82</f>
        <v>0</v>
      </c>
      <c r="N141" s="864">
        <f>精餾產銷!N82</f>
        <v>0</v>
      </c>
      <c r="O141" s="532">
        <f>精餾產銷!O82</f>
        <v>0</v>
      </c>
      <c r="P141" s="565">
        <f>精餾產銷!P82</f>
        <v>0</v>
      </c>
      <c r="Q141" s="563">
        <f>精餾產銷!Q82</f>
        <v>0</v>
      </c>
      <c r="R141" s="563">
        <f>精餾產銷!R82</f>
        <v>0</v>
      </c>
      <c r="S141" s="575">
        <f>精餾產銷!S82</f>
        <v>0</v>
      </c>
      <c r="T141" s="531">
        <f>精餾產銷!T82</f>
        <v>0</v>
      </c>
      <c r="U141" s="559">
        <f>精餾產銷!U82</f>
        <v>0</v>
      </c>
      <c r="V141" s="560">
        <f>精餾產銷!V82</f>
        <v>0</v>
      </c>
      <c r="W141" s="561">
        <f>精餾產銷!W82</f>
        <v>0</v>
      </c>
      <c r="X141" s="562">
        <f>精餾產銷!X82</f>
        <v>0</v>
      </c>
      <c r="Y141" s="563">
        <f>精餾產銷!Y82</f>
        <v>0</v>
      </c>
      <c r="Z141" s="563">
        <f>精餾產銷!Z82</f>
        <v>0</v>
      </c>
      <c r="AA141" s="564">
        <f>精餾產銷!AA82</f>
        <v>0</v>
      </c>
      <c r="AB141" s="513">
        <f>精餾產銷!AB82</f>
        <v>0</v>
      </c>
      <c r="AC141" s="514">
        <f>精餾產銷!AC82</f>
        <v>0</v>
      </c>
      <c r="AD141" s="514">
        <f>精餾產銷!AD82</f>
        <v>0</v>
      </c>
      <c r="AE141" s="515">
        <f>精餾產銷!AE82</f>
        <v>0</v>
      </c>
      <c r="AF141" s="509">
        <f t="shared" si="20"/>
        <v>0</v>
      </c>
      <c r="AH141" s="796">
        <f>精餾產銷!AH82</f>
        <v>0</v>
      </c>
      <c r="AI141" s="796">
        <f t="shared" si="26"/>
        <v>0</v>
      </c>
      <c r="AJ141" s="796">
        <f t="shared" si="27"/>
        <v>0</v>
      </c>
    </row>
    <row r="142" spans="1:36" ht="28.5" hidden="1" customHeight="1" x14ac:dyDescent="0.25">
      <c r="A142" s="99">
        <f>精餾產銷!A83</f>
        <v>0</v>
      </c>
      <c r="B142" s="371">
        <f>精餾產銷!B83</f>
        <v>0</v>
      </c>
      <c r="C142" s="382">
        <f>精餾產銷!C83</f>
        <v>0</v>
      </c>
      <c r="D142" s="411">
        <f>精餾產銷!D83</f>
        <v>0</v>
      </c>
      <c r="E142" s="371">
        <f>精餾產銷!E83</f>
        <v>0</v>
      </c>
      <c r="F142" s="371">
        <f>精餾產銷!F83</f>
        <v>0</v>
      </c>
      <c r="G142" s="693">
        <f>精餾產銷!G83</f>
        <v>0</v>
      </c>
      <c r="H142" s="865">
        <f>精餾產銷!H83</f>
        <v>0</v>
      </c>
      <c r="I142" s="572">
        <f>精餾產銷!I83</f>
        <v>0</v>
      </c>
      <c r="J142" s="865">
        <f>精餾產銷!J83</f>
        <v>0</v>
      </c>
      <c r="K142" s="595">
        <f>精餾產銷!K83</f>
        <v>0</v>
      </c>
      <c r="L142" s="865">
        <f>精餾產銷!L83</f>
        <v>0</v>
      </c>
      <c r="M142" s="595">
        <f>精餾產銷!M83</f>
        <v>0</v>
      </c>
      <c r="N142" s="865">
        <f>精餾產銷!N83</f>
        <v>0</v>
      </c>
      <c r="O142" s="595">
        <f>精餾產銷!O83</f>
        <v>0</v>
      </c>
      <c r="P142" s="565">
        <f>精餾產銷!P83</f>
        <v>0</v>
      </c>
      <c r="Q142" s="547">
        <f>精餾產銷!Q83</f>
        <v>0</v>
      </c>
      <c r="R142" s="547">
        <f>精餾產銷!R83</f>
        <v>0</v>
      </c>
      <c r="S142" s="572">
        <f>精餾產銷!S83</f>
        <v>0</v>
      </c>
      <c r="T142" s="566">
        <f>精餾產銷!T83</f>
        <v>0</v>
      </c>
      <c r="U142" s="567">
        <f>精餾產銷!U83</f>
        <v>0</v>
      </c>
      <c r="V142" s="568">
        <f>精餾產銷!V83</f>
        <v>0</v>
      </c>
      <c r="W142" s="569">
        <f>精餾產銷!W83</f>
        <v>0</v>
      </c>
      <c r="X142" s="570">
        <f>精餾產銷!X83</f>
        <v>0</v>
      </c>
      <c r="Y142" s="547">
        <f>精餾產銷!Y83</f>
        <v>0</v>
      </c>
      <c r="Z142" s="547">
        <f>精餾產銷!Z83</f>
        <v>0</v>
      </c>
      <c r="AA142" s="571">
        <f>精餾產銷!AA83</f>
        <v>0</v>
      </c>
      <c r="AB142" s="533">
        <f>精餾產銷!AB83</f>
        <v>0</v>
      </c>
      <c r="AC142" s="534">
        <f>精餾產銷!AC83</f>
        <v>0</v>
      </c>
      <c r="AD142" s="534">
        <f>精餾產銷!AD83</f>
        <v>0</v>
      </c>
      <c r="AE142" s="535">
        <f>精餾產銷!AE83</f>
        <v>0</v>
      </c>
      <c r="AF142" s="509">
        <f t="shared" si="20"/>
        <v>0</v>
      </c>
      <c r="AH142" s="796">
        <f>精餾產銷!AH83</f>
        <v>0</v>
      </c>
      <c r="AI142" s="796">
        <f t="shared" si="26"/>
        <v>0</v>
      </c>
      <c r="AJ142" s="796">
        <f t="shared" si="27"/>
        <v>0</v>
      </c>
    </row>
    <row r="143" spans="1:36" ht="28.5" hidden="1" customHeight="1" thickBot="1" x14ac:dyDescent="0.3">
      <c r="A143" s="100">
        <f>精餾產銷!A84</f>
        <v>0</v>
      </c>
      <c r="B143" s="371">
        <f>精餾產銷!B84</f>
        <v>0</v>
      </c>
      <c r="C143" s="439">
        <f>精餾產銷!C84</f>
        <v>0</v>
      </c>
      <c r="D143" s="411">
        <f>精餾產銷!D84</f>
        <v>0</v>
      </c>
      <c r="E143" s="371">
        <f>精餾產銷!E84</f>
        <v>0</v>
      </c>
      <c r="F143" s="371">
        <f>精餾產銷!F84</f>
        <v>0</v>
      </c>
      <c r="G143" s="816">
        <f>精餾產銷!G84</f>
        <v>0</v>
      </c>
      <c r="H143" s="868">
        <f>精餾產銷!H84</f>
        <v>0</v>
      </c>
      <c r="I143" s="577">
        <f>精餾產銷!I84</f>
        <v>0</v>
      </c>
      <c r="J143" s="868">
        <f>精餾產銷!J84</f>
        <v>0</v>
      </c>
      <c r="K143" s="586">
        <f>精餾產銷!K84</f>
        <v>0</v>
      </c>
      <c r="L143" s="868">
        <f>精餾產銷!L84</f>
        <v>0</v>
      </c>
      <c r="M143" s="586">
        <f>精餾產銷!M84</f>
        <v>0</v>
      </c>
      <c r="N143" s="868">
        <f>精餾產銷!N84</f>
        <v>0</v>
      </c>
      <c r="O143" s="586">
        <f>精餾產銷!O84</f>
        <v>0</v>
      </c>
      <c r="P143" s="555">
        <f>精餾產銷!P84</f>
        <v>0</v>
      </c>
      <c r="Q143" s="576">
        <f>精餾產銷!Q84</f>
        <v>0</v>
      </c>
      <c r="R143" s="576">
        <f>精餾產銷!R84</f>
        <v>0</v>
      </c>
      <c r="S143" s="577">
        <f>精餾產銷!S84</f>
        <v>0</v>
      </c>
      <c r="T143" s="578">
        <f>精餾產銷!T84</f>
        <v>0</v>
      </c>
      <c r="U143" s="579">
        <f>精餾產銷!U84</f>
        <v>0</v>
      </c>
      <c r="V143" s="580">
        <f>精餾產銷!V84</f>
        <v>0</v>
      </c>
      <c r="W143" s="581">
        <f>精餾產銷!W84</f>
        <v>0</v>
      </c>
      <c r="X143" s="582">
        <f>精餾產銷!X84</f>
        <v>0</v>
      </c>
      <c r="Y143" s="576">
        <f>精餾產銷!Y84</f>
        <v>0</v>
      </c>
      <c r="Z143" s="576">
        <f>精餾產銷!Z84</f>
        <v>0</v>
      </c>
      <c r="AA143" s="583">
        <f>精餾產銷!AA84</f>
        <v>0</v>
      </c>
      <c r="AB143" s="540">
        <f>精餾產銷!AB84</f>
        <v>0</v>
      </c>
      <c r="AC143" s="541">
        <f>精餾產銷!AC84</f>
        <v>0</v>
      </c>
      <c r="AD143" s="541">
        <f>精餾產銷!AD84</f>
        <v>0</v>
      </c>
      <c r="AE143" s="542">
        <f>精餾產銷!AE84</f>
        <v>0</v>
      </c>
      <c r="AF143" s="509">
        <f t="shared" si="20"/>
        <v>0</v>
      </c>
      <c r="AH143" s="796">
        <f>精餾產銷!AH84</f>
        <v>0</v>
      </c>
      <c r="AI143" s="796">
        <f t="shared" si="26"/>
        <v>0</v>
      </c>
      <c r="AJ143" s="796">
        <f t="shared" si="27"/>
        <v>0</v>
      </c>
    </row>
    <row r="144" spans="1:36" ht="28.5" hidden="1" customHeight="1" thickTop="1" x14ac:dyDescent="0.25">
      <c r="A144" s="97">
        <f>精餾產銷!A85</f>
        <v>0</v>
      </c>
      <c r="B144" s="363">
        <f>精餾產銷!B85</f>
        <v>0</v>
      </c>
      <c r="C144" s="361">
        <f>精餾產銷!C85</f>
        <v>0</v>
      </c>
      <c r="D144" s="362">
        <f>精餾產銷!D85</f>
        <v>0</v>
      </c>
      <c r="E144" s="363">
        <f>精餾產銷!E85</f>
        <v>0</v>
      </c>
      <c r="F144" s="363">
        <f>精餾產銷!F85</f>
        <v>0</v>
      </c>
      <c r="G144" s="530">
        <f>精餾產銷!G85</f>
        <v>0</v>
      </c>
      <c r="H144" s="864">
        <f>精餾產銷!H85</f>
        <v>0</v>
      </c>
      <c r="I144" s="575">
        <f>精餾產銷!I85</f>
        <v>0</v>
      </c>
      <c r="J144" s="864">
        <f>精餾產銷!J85</f>
        <v>0</v>
      </c>
      <c r="K144" s="532">
        <f>精餾產銷!K85</f>
        <v>0</v>
      </c>
      <c r="L144" s="864">
        <f>精餾產銷!L85</f>
        <v>0</v>
      </c>
      <c r="M144" s="532">
        <f>精餾產銷!M85</f>
        <v>0</v>
      </c>
      <c r="N144" s="864">
        <f>精餾產銷!N85</f>
        <v>0</v>
      </c>
      <c r="O144" s="532">
        <f>精餾產銷!O85</f>
        <v>0</v>
      </c>
      <c r="P144" s="558">
        <f>精餾產銷!P85</f>
        <v>0</v>
      </c>
      <c r="Q144" s="563">
        <f>精餾產銷!Q85</f>
        <v>0</v>
      </c>
      <c r="R144" s="563">
        <f>精餾產銷!R85</f>
        <v>0</v>
      </c>
      <c r="S144" s="575">
        <f>精餾產銷!S85</f>
        <v>0</v>
      </c>
      <c r="T144" s="531">
        <f>精餾產銷!T85</f>
        <v>0</v>
      </c>
      <c r="U144" s="559">
        <f>精餾產銷!U85</f>
        <v>0</v>
      </c>
      <c r="V144" s="560">
        <f>精餾產銷!V85</f>
        <v>0</v>
      </c>
      <c r="W144" s="561">
        <f>精餾產銷!W85</f>
        <v>0</v>
      </c>
      <c r="X144" s="562">
        <f>精餾產銷!X85</f>
        <v>0</v>
      </c>
      <c r="Y144" s="563">
        <f>精餾產銷!Y85</f>
        <v>0</v>
      </c>
      <c r="Z144" s="563">
        <f>精餾產銷!Z85</f>
        <v>0</v>
      </c>
      <c r="AA144" s="564">
        <f>精餾產銷!AA85</f>
        <v>0</v>
      </c>
      <c r="AB144" s="513">
        <f>精餾產銷!AB85</f>
        <v>0</v>
      </c>
      <c r="AC144" s="514">
        <f>精餾產銷!AC85</f>
        <v>0</v>
      </c>
      <c r="AD144" s="514">
        <f>精餾產銷!AD85</f>
        <v>0</v>
      </c>
      <c r="AE144" s="515">
        <f>精餾產銷!AE85</f>
        <v>0</v>
      </c>
      <c r="AF144" s="509">
        <f t="shared" si="20"/>
        <v>0</v>
      </c>
      <c r="AH144" s="796"/>
      <c r="AI144" s="796">
        <f t="shared" si="26"/>
        <v>0</v>
      </c>
      <c r="AJ144" s="796">
        <f t="shared" si="27"/>
        <v>0</v>
      </c>
    </row>
    <row r="145" spans="1:36" ht="28.5" hidden="1" customHeight="1" x14ac:dyDescent="0.25">
      <c r="A145" s="99">
        <f>精餾產銷!A86</f>
        <v>0</v>
      </c>
      <c r="B145" s="371">
        <f>精餾產銷!B86</f>
        <v>0</v>
      </c>
      <c r="C145" s="382">
        <f>精餾產銷!C86</f>
        <v>0</v>
      </c>
      <c r="D145" s="411">
        <f>精餾產銷!D86</f>
        <v>0</v>
      </c>
      <c r="E145" s="371">
        <f>精餾產銷!E86</f>
        <v>0</v>
      </c>
      <c r="F145" s="371">
        <f>精餾產銷!F86</f>
        <v>0</v>
      </c>
      <c r="G145" s="693">
        <f>精餾產銷!G86</f>
        <v>0</v>
      </c>
      <c r="H145" s="865">
        <f>精餾產銷!H86</f>
        <v>0</v>
      </c>
      <c r="I145" s="572">
        <f>精餾產銷!I86</f>
        <v>0</v>
      </c>
      <c r="J145" s="865">
        <f>精餾產銷!J86</f>
        <v>0</v>
      </c>
      <c r="K145" s="595">
        <f>精餾產銷!K86</f>
        <v>0</v>
      </c>
      <c r="L145" s="865">
        <f>精餾產銷!L86</f>
        <v>0</v>
      </c>
      <c r="M145" s="595">
        <f>精餾產銷!M86</f>
        <v>0</v>
      </c>
      <c r="N145" s="865">
        <f>精餾產銷!N86</f>
        <v>0</v>
      </c>
      <c r="O145" s="595">
        <f>精餾產銷!O86</f>
        <v>0</v>
      </c>
      <c r="P145" s="565">
        <f>精餾產銷!P86</f>
        <v>0</v>
      </c>
      <c r="Q145" s="547">
        <f>精餾產銷!Q86</f>
        <v>0</v>
      </c>
      <c r="R145" s="547">
        <f>精餾產銷!R86</f>
        <v>0</v>
      </c>
      <c r="S145" s="572">
        <f>精餾產銷!S86</f>
        <v>0</v>
      </c>
      <c r="T145" s="566">
        <f>精餾產銷!T86</f>
        <v>0</v>
      </c>
      <c r="U145" s="567">
        <f>精餾產銷!U86</f>
        <v>0</v>
      </c>
      <c r="V145" s="568">
        <f>精餾產銷!V86</f>
        <v>0</v>
      </c>
      <c r="W145" s="569">
        <f>精餾產銷!W86</f>
        <v>0</v>
      </c>
      <c r="X145" s="570">
        <f>精餾產銷!X86</f>
        <v>0</v>
      </c>
      <c r="Y145" s="547">
        <f>精餾產銷!Y86</f>
        <v>0</v>
      </c>
      <c r="Z145" s="547">
        <f>精餾產銷!Z86</f>
        <v>0</v>
      </c>
      <c r="AA145" s="571">
        <f>精餾產銷!AA86</f>
        <v>0</v>
      </c>
      <c r="AB145" s="533">
        <f>精餾產銷!AB86</f>
        <v>0</v>
      </c>
      <c r="AC145" s="534">
        <f>精餾產銷!AC86</f>
        <v>0</v>
      </c>
      <c r="AD145" s="534">
        <f>精餾產銷!AD86</f>
        <v>0</v>
      </c>
      <c r="AE145" s="535">
        <f>精餾產銷!AE86</f>
        <v>0</v>
      </c>
      <c r="AF145" s="509">
        <f t="shared" si="20"/>
        <v>0</v>
      </c>
      <c r="AH145" s="796"/>
      <c r="AI145" s="796">
        <f t="shared" si="26"/>
        <v>0</v>
      </c>
      <c r="AJ145" s="796">
        <f t="shared" si="27"/>
        <v>0</v>
      </c>
    </row>
    <row r="146" spans="1:36" ht="28.5" hidden="1" customHeight="1" x14ac:dyDescent="0.25">
      <c r="A146" s="99">
        <f>精餾產銷!A87</f>
        <v>0</v>
      </c>
      <c r="B146" s="371">
        <f>精餾產銷!B87</f>
        <v>0</v>
      </c>
      <c r="C146" s="382">
        <f>精餾產銷!C87</f>
        <v>0</v>
      </c>
      <c r="D146" s="411">
        <f>精餾產銷!D87</f>
        <v>0</v>
      </c>
      <c r="E146" s="371">
        <f>精餾產銷!E87</f>
        <v>0</v>
      </c>
      <c r="F146" s="371">
        <f>精餾產銷!F87</f>
        <v>0</v>
      </c>
      <c r="G146" s="693">
        <f>精餾產銷!G87</f>
        <v>0</v>
      </c>
      <c r="H146" s="865">
        <f>精餾產銷!H87</f>
        <v>0</v>
      </c>
      <c r="I146" s="572">
        <f>精餾產銷!I87</f>
        <v>0</v>
      </c>
      <c r="J146" s="865">
        <f>精餾產銷!J87</f>
        <v>0</v>
      </c>
      <c r="K146" s="595">
        <f>精餾產銷!K87</f>
        <v>0</v>
      </c>
      <c r="L146" s="865">
        <f>精餾產銷!L87</f>
        <v>0</v>
      </c>
      <c r="M146" s="595">
        <f>精餾產銷!M87</f>
        <v>0</v>
      </c>
      <c r="N146" s="865">
        <f>精餾產銷!N87</f>
        <v>0</v>
      </c>
      <c r="O146" s="595">
        <f>精餾產銷!O87</f>
        <v>0</v>
      </c>
      <c r="P146" s="565">
        <f>精餾產銷!P87</f>
        <v>0</v>
      </c>
      <c r="Q146" s="547">
        <f>精餾產銷!Q87</f>
        <v>0</v>
      </c>
      <c r="R146" s="547">
        <f>精餾產銷!R87</f>
        <v>0</v>
      </c>
      <c r="S146" s="572">
        <f>精餾產銷!S87</f>
        <v>0</v>
      </c>
      <c r="T146" s="566">
        <f>精餾產銷!T87</f>
        <v>0</v>
      </c>
      <c r="U146" s="567">
        <f>精餾產銷!U87</f>
        <v>0</v>
      </c>
      <c r="V146" s="568">
        <f>精餾產銷!V87</f>
        <v>0</v>
      </c>
      <c r="W146" s="569">
        <f>精餾產銷!W87</f>
        <v>0</v>
      </c>
      <c r="X146" s="570">
        <f>精餾產銷!X87</f>
        <v>0</v>
      </c>
      <c r="Y146" s="547">
        <f>精餾產銷!Y87</f>
        <v>0</v>
      </c>
      <c r="Z146" s="547">
        <f>精餾產銷!Z87</f>
        <v>0</v>
      </c>
      <c r="AA146" s="571">
        <f>精餾產銷!AA87</f>
        <v>0</v>
      </c>
      <c r="AB146" s="533">
        <f>精餾產銷!AB87</f>
        <v>0</v>
      </c>
      <c r="AC146" s="534">
        <f>精餾產銷!AC87</f>
        <v>0</v>
      </c>
      <c r="AD146" s="534">
        <f>精餾產銷!AD87</f>
        <v>0</v>
      </c>
      <c r="AE146" s="535">
        <f>精餾產銷!AE87</f>
        <v>0</v>
      </c>
      <c r="AF146" s="509">
        <f t="shared" si="20"/>
        <v>0</v>
      </c>
      <c r="AH146" s="796"/>
      <c r="AI146" s="796">
        <f t="shared" si="26"/>
        <v>0</v>
      </c>
      <c r="AJ146" s="796">
        <f t="shared" si="27"/>
        <v>0</v>
      </c>
    </row>
    <row r="147" spans="1:36" ht="28.5" hidden="1" customHeight="1" x14ac:dyDescent="0.25">
      <c r="A147" s="99">
        <f>精餾產銷!A88</f>
        <v>0</v>
      </c>
      <c r="B147" s="371">
        <f>精餾產銷!B88</f>
        <v>0</v>
      </c>
      <c r="C147" s="382">
        <f>精餾產銷!C88</f>
        <v>0</v>
      </c>
      <c r="D147" s="411">
        <f>精餾產銷!D88</f>
        <v>0</v>
      </c>
      <c r="E147" s="371">
        <f>精餾產銷!E88</f>
        <v>0</v>
      </c>
      <c r="F147" s="371">
        <f>精餾產銷!F88</f>
        <v>0</v>
      </c>
      <c r="G147" s="693">
        <f>精餾產銷!G88</f>
        <v>0</v>
      </c>
      <c r="H147" s="865">
        <f>精餾產銷!H88</f>
        <v>0</v>
      </c>
      <c r="I147" s="572">
        <f>精餾產銷!I88</f>
        <v>0</v>
      </c>
      <c r="J147" s="865">
        <f>精餾產銷!J88</f>
        <v>0</v>
      </c>
      <c r="K147" s="595">
        <f>精餾產銷!K88</f>
        <v>0</v>
      </c>
      <c r="L147" s="865">
        <f>精餾產銷!L88</f>
        <v>0</v>
      </c>
      <c r="M147" s="595">
        <f>精餾產銷!M88</f>
        <v>0</v>
      </c>
      <c r="N147" s="865">
        <f>精餾產銷!N88</f>
        <v>0</v>
      </c>
      <c r="O147" s="595">
        <f>精餾產銷!O88</f>
        <v>0</v>
      </c>
      <c r="P147" s="565">
        <f>精餾產銷!P88</f>
        <v>0</v>
      </c>
      <c r="Q147" s="547">
        <f>精餾產銷!Q88</f>
        <v>0</v>
      </c>
      <c r="R147" s="547">
        <f>精餾產銷!R88</f>
        <v>0</v>
      </c>
      <c r="S147" s="572">
        <f>精餾產銷!S88</f>
        <v>0</v>
      </c>
      <c r="T147" s="566">
        <f>精餾產銷!T88</f>
        <v>0</v>
      </c>
      <c r="U147" s="567">
        <f>精餾產銷!U88</f>
        <v>0</v>
      </c>
      <c r="V147" s="568">
        <f>精餾產銷!V88</f>
        <v>0</v>
      </c>
      <c r="W147" s="569">
        <f>精餾產銷!W88</f>
        <v>0</v>
      </c>
      <c r="X147" s="570">
        <f>精餾產銷!X88</f>
        <v>0</v>
      </c>
      <c r="Y147" s="547">
        <f>精餾產銷!Y88</f>
        <v>0</v>
      </c>
      <c r="Z147" s="547">
        <f>精餾產銷!Z88</f>
        <v>0</v>
      </c>
      <c r="AA147" s="571">
        <f>精餾產銷!AA88</f>
        <v>0</v>
      </c>
      <c r="AB147" s="533">
        <f>精餾產銷!AB88</f>
        <v>0</v>
      </c>
      <c r="AC147" s="534">
        <f>精餾產銷!AC88</f>
        <v>0</v>
      </c>
      <c r="AD147" s="534">
        <f>精餾產銷!AD88</f>
        <v>0</v>
      </c>
      <c r="AE147" s="535">
        <f>精餾產銷!AE88</f>
        <v>0</v>
      </c>
      <c r="AF147" s="509">
        <f t="shared" si="20"/>
        <v>0</v>
      </c>
      <c r="AH147" s="796"/>
      <c r="AI147" s="796">
        <f t="shared" si="26"/>
        <v>0</v>
      </c>
      <c r="AJ147" s="796">
        <f t="shared" si="27"/>
        <v>0</v>
      </c>
    </row>
    <row r="148" spans="1:36" ht="28.5" hidden="1" customHeight="1" x14ac:dyDescent="0.25">
      <c r="A148" s="103">
        <f>精餾產銷!A89</f>
        <v>0</v>
      </c>
      <c r="B148" s="451">
        <f>精餾產銷!B89</f>
        <v>0</v>
      </c>
      <c r="C148" s="382">
        <f>精餾產銷!C89</f>
        <v>0</v>
      </c>
      <c r="D148" s="411">
        <f>精餾產銷!D89</f>
        <v>0</v>
      </c>
      <c r="E148" s="371">
        <f>精餾產銷!E89</f>
        <v>0</v>
      </c>
      <c r="F148" s="371">
        <f>精餾產銷!F89</f>
        <v>0</v>
      </c>
      <c r="G148" s="693">
        <f>精餾產銷!G89</f>
        <v>0</v>
      </c>
      <c r="H148" s="865">
        <f>精餾產銷!H89</f>
        <v>0</v>
      </c>
      <c r="I148" s="572">
        <f>精餾產銷!I89</f>
        <v>0</v>
      </c>
      <c r="J148" s="865">
        <f>精餾產銷!J89</f>
        <v>0</v>
      </c>
      <c r="K148" s="595">
        <f>精餾產銷!K89</f>
        <v>0</v>
      </c>
      <c r="L148" s="865">
        <f>精餾產銷!L89</f>
        <v>0</v>
      </c>
      <c r="M148" s="595">
        <f>精餾產銷!M89</f>
        <v>0</v>
      </c>
      <c r="N148" s="865">
        <f>精餾產銷!N89</f>
        <v>0</v>
      </c>
      <c r="O148" s="595">
        <f>精餾產銷!O89</f>
        <v>0</v>
      </c>
      <c r="P148" s="565">
        <f>精餾產銷!P89</f>
        <v>0</v>
      </c>
      <c r="Q148" s="547">
        <f>精餾產銷!Q89</f>
        <v>0</v>
      </c>
      <c r="R148" s="547">
        <f>精餾產銷!R89</f>
        <v>0</v>
      </c>
      <c r="S148" s="572">
        <f>精餾產銷!S89</f>
        <v>0</v>
      </c>
      <c r="T148" s="566">
        <f>精餾產銷!T89</f>
        <v>0</v>
      </c>
      <c r="U148" s="567">
        <f>精餾產銷!U89</f>
        <v>0</v>
      </c>
      <c r="V148" s="568">
        <f>精餾產銷!V89</f>
        <v>0</v>
      </c>
      <c r="W148" s="569">
        <f>精餾產銷!W89</f>
        <v>0</v>
      </c>
      <c r="X148" s="570">
        <f>精餾產銷!X89</f>
        <v>0</v>
      </c>
      <c r="Y148" s="547">
        <f>精餾產銷!Y89</f>
        <v>0</v>
      </c>
      <c r="Z148" s="547">
        <f>精餾產銷!Z89</f>
        <v>0</v>
      </c>
      <c r="AA148" s="573">
        <f>精餾產銷!AA89</f>
        <v>0</v>
      </c>
      <c r="AB148" s="519">
        <f>精餾產銷!AB89</f>
        <v>0</v>
      </c>
      <c r="AC148" s="520">
        <f>精餾產銷!AC89</f>
        <v>0</v>
      </c>
      <c r="AD148" s="520">
        <f>精餾產銷!AD89</f>
        <v>0</v>
      </c>
      <c r="AE148" s="521">
        <f>精餾產銷!AE89</f>
        <v>0</v>
      </c>
      <c r="AF148" s="509">
        <f t="shared" si="20"/>
        <v>0</v>
      </c>
      <c r="AH148" s="796"/>
      <c r="AI148" s="796">
        <f t="shared" si="26"/>
        <v>0</v>
      </c>
      <c r="AJ148" s="796">
        <f t="shared" si="27"/>
        <v>0</v>
      </c>
    </row>
    <row r="149" spans="1:36" ht="28.5" hidden="1" customHeight="1" x14ac:dyDescent="0.25">
      <c r="A149" s="97">
        <f>精餾產銷!A90</f>
        <v>0</v>
      </c>
      <c r="B149" s="363">
        <f>精餾產銷!B90</f>
        <v>0</v>
      </c>
      <c r="C149" s="361">
        <f>精餾產銷!C90</f>
        <v>0</v>
      </c>
      <c r="D149" s="362">
        <f>精餾產銷!D90</f>
        <v>0</v>
      </c>
      <c r="E149" s="363">
        <f>精餾產銷!E90</f>
        <v>0</v>
      </c>
      <c r="F149" s="363">
        <f>精餾產銷!F90</f>
        <v>0</v>
      </c>
      <c r="G149" s="530">
        <f>精餾產銷!G90</f>
        <v>0</v>
      </c>
      <c r="H149" s="864">
        <f>精餾產銷!H90</f>
        <v>0</v>
      </c>
      <c r="I149" s="575">
        <f>精餾產銷!I90</f>
        <v>0</v>
      </c>
      <c r="J149" s="864">
        <f>精餾產銷!J90</f>
        <v>0</v>
      </c>
      <c r="K149" s="532">
        <f>精餾產銷!K90</f>
        <v>0</v>
      </c>
      <c r="L149" s="864">
        <f>精餾產銷!L90</f>
        <v>0</v>
      </c>
      <c r="M149" s="532">
        <f>精餾產銷!M90</f>
        <v>0</v>
      </c>
      <c r="N149" s="864">
        <f>精餾產銷!N90</f>
        <v>0</v>
      </c>
      <c r="O149" s="532">
        <f>精餾產銷!O90</f>
        <v>0</v>
      </c>
      <c r="P149" s="558">
        <f>精餾產銷!P90</f>
        <v>0</v>
      </c>
      <c r="Q149" s="563">
        <f>精餾產銷!Q90</f>
        <v>0</v>
      </c>
      <c r="R149" s="563">
        <f>精餾產銷!R90</f>
        <v>0</v>
      </c>
      <c r="S149" s="575">
        <f>精餾產銷!S90</f>
        <v>0</v>
      </c>
      <c r="T149" s="531">
        <f>精餾產銷!T90</f>
        <v>0</v>
      </c>
      <c r="U149" s="559">
        <f>精餾產銷!U90</f>
        <v>0</v>
      </c>
      <c r="V149" s="560">
        <f>精餾產銷!V90</f>
        <v>0</v>
      </c>
      <c r="W149" s="561">
        <f>精餾產銷!W90</f>
        <v>0</v>
      </c>
      <c r="X149" s="562">
        <f>精餾產銷!X90</f>
        <v>0</v>
      </c>
      <c r="Y149" s="563">
        <f>精餾產銷!Y90</f>
        <v>0</v>
      </c>
      <c r="Z149" s="563">
        <f>精餾產銷!Z90</f>
        <v>0</v>
      </c>
      <c r="AA149" s="564">
        <f>精餾產銷!AA90</f>
        <v>0</v>
      </c>
      <c r="AB149" s="513">
        <f>精餾產銷!AB90</f>
        <v>0</v>
      </c>
      <c r="AC149" s="514">
        <f>精餾產銷!AC90</f>
        <v>0</v>
      </c>
      <c r="AD149" s="514">
        <f>精餾產銷!AD90</f>
        <v>0</v>
      </c>
      <c r="AE149" s="515">
        <f>精餾產銷!AE90</f>
        <v>0</v>
      </c>
      <c r="AF149" s="509">
        <f t="shared" si="20"/>
        <v>0</v>
      </c>
      <c r="AH149" s="796"/>
      <c r="AI149" s="796">
        <f t="shared" si="26"/>
        <v>0</v>
      </c>
      <c r="AJ149" s="796">
        <f t="shared" si="27"/>
        <v>0</v>
      </c>
    </row>
    <row r="150" spans="1:36" ht="28.5" hidden="1" customHeight="1" x14ac:dyDescent="0.25">
      <c r="A150" s="99">
        <f>精餾產銷!A91</f>
        <v>0</v>
      </c>
      <c r="B150" s="371">
        <f>精餾產銷!B91</f>
        <v>0</v>
      </c>
      <c r="C150" s="382">
        <f>精餾產銷!C91</f>
        <v>0</v>
      </c>
      <c r="D150" s="411">
        <f>精餾產銷!D91</f>
        <v>0</v>
      </c>
      <c r="E150" s="371">
        <f>精餾產銷!E91</f>
        <v>0</v>
      </c>
      <c r="F150" s="371">
        <f>精餾產銷!F91</f>
        <v>0</v>
      </c>
      <c r="G150" s="693">
        <f>精餾產銷!G91</f>
        <v>0</v>
      </c>
      <c r="H150" s="865">
        <f>精餾產銷!H91</f>
        <v>0</v>
      </c>
      <c r="I150" s="572">
        <f>精餾產銷!I91</f>
        <v>0</v>
      </c>
      <c r="J150" s="865">
        <f>精餾產銷!J91</f>
        <v>0</v>
      </c>
      <c r="K150" s="595">
        <f>精餾產銷!K91</f>
        <v>0</v>
      </c>
      <c r="L150" s="865">
        <f>精餾產銷!L91</f>
        <v>0</v>
      </c>
      <c r="M150" s="595">
        <f>精餾產銷!M91</f>
        <v>0</v>
      </c>
      <c r="N150" s="865">
        <f>精餾產銷!N91</f>
        <v>0</v>
      </c>
      <c r="O150" s="595">
        <f>精餾產銷!O91</f>
        <v>0</v>
      </c>
      <c r="P150" s="565">
        <f>精餾產銷!P91</f>
        <v>0</v>
      </c>
      <c r="Q150" s="547">
        <f>精餾產銷!Q91</f>
        <v>0</v>
      </c>
      <c r="R150" s="547">
        <f>精餾產銷!R91</f>
        <v>0</v>
      </c>
      <c r="S150" s="572">
        <f>精餾產銷!S91</f>
        <v>0</v>
      </c>
      <c r="T150" s="566">
        <f>精餾產銷!T91</f>
        <v>0</v>
      </c>
      <c r="U150" s="567">
        <f>精餾產銷!U91</f>
        <v>0</v>
      </c>
      <c r="V150" s="568">
        <f>精餾產銷!V91</f>
        <v>0</v>
      </c>
      <c r="W150" s="569">
        <f>精餾產銷!W91</f>
        <v>0</v>
      </c>
      <c r="X150" s="570">
        <f>精餾產銷!X91</f>
        <v>0</v>
      </c>
      <c r="Y150" s="547">
        <f>精餾產銷!Y91</f>
        <v>0</v>
      </c>
      <c r="Z150" s="547">
        <f>精餾產銷!Z91</f>
        <v>0</v>
      </c>
      <c r="AA150" s="571">
        <f>精餾產銷!AA91</f>
        <v>0</v>
      </c>
      <c r="AB150" s="533">
        <f>精餾產銷!AB91</f>
        <v>0</v>
      </c>
      <c r="AC150" s="534">
        <f>精餾產銷!AC91</f>
        <v>0</v>
      </c>
      <c r="AD150" s="534">
        <f>精餾產銷!AD91</f>
        <v>0</v>
      </c>
      <c r="AE150" s="535">
        <f>精餾產銷!AE91</f>
        <v>0</v>
      </c>
      <c r="AF150" s="509">
        <f t="shared" si="20"/>
        <v>0</v>
      </c>
      <c r="AH150" s="796"/>
      <c r="AI150" s="796">
        <f t="shared" si="26"/>
        <v>0</v>
      </c>
      <c r="AJ150" s="796">
        <f t="shared" si="27"/>
        <v>0</v>
      </c>
    </row>
    <row r="151" spans="1:36" ht="28.5" hidden="1" customHeight="1" x14ac:dyDescent="0.25">
      <c r="A151" s="99">
        <f>精餾產銷!A92</f>
        <v>0</v>
      </c>
      <c r="B151" s="371">
        <f>精餾產銷!B92</f>
        <v>0</v>
      </c>
      <c r="C151" s="382">
        <f>精餾產銷!C92</f>
        <v>0</v>
      </c>
      <c r="D151" s="411">
        <f>精餾產銷!D92</f>
        <v>0</v>
      </c>
      <c r="E151" s="371">
        <f>精餾產銷!E92</f>
        <v>0</v>
      </c>
      <c r="F151" s="371">
        <f>精餾產銷!F92</f>
        <v>0</v>
      </c>
      <c r="G151" s="693">
        <f>精餾產銷!G92</f>
        <v>0</v>
      </c>
      <c r="H151" s="865">
        <f>精餾產銷!H92</f>
        <v>0</v>
      </c>
      <c r="I151" s="572">
        <f>精餾產銷!I92</f>
        <v>0</v>
      </c>
      <c r="J151" s="865">
        <f>精餾產銷!J92</f>
        <v>0</v>
      </c>
      <c r="K151" s="595">
        <f>精餾產銷!K92</f>
        <v>0</v>
      </c>
      <c r="L151" s="865">
        <f>精餾產銷!L92</f>
        <v>0</v>
      </c>
      <c r="M151" s="595">
        <f>精餾產銷!M92</f>
        <v>0</v>
      </c>
      <c r="N151" s="865">
        <f>精餾產銷!N92</f>
        <v>0</v>
      </c>
      <c r="O151" s="595">
        <f>精餾產銷!O92</f>
        <v>0</v>
      </c>
      <c r="P151" s="565">
        <f>精餾產銷!P92</f>
        <v>0</v>
      </c>
      <c r="Q151" s="547">
        <f>精餾產銷!Q92</f>
        <v>0</v>
      </c>
      <c r="R151" s="547">
        <f>精餾產銷!R92</f>
        <v>0</v>
      </c>
      <c r="S151" s="572">
        <f>精餾產銷!S92</f>
        <v>0</v>
      </c>
      <c r="T151" s="566">
        <f>精餾產銷!T92</f>
        <v>0</v>
      </c>
      <c r="U151" s="567">
        <f>精餾產銷!U92</f>
        <v>0</v>
      </c>
      <c r="V151" s="568">
        <f>精餾產銷!V92</f>
        <v>0</v>
      </c>
      <c r="W151" s="569">
        <f>精餾產銷!W92</f>
        <v>0</v>
      </c>
      <c r="X151" s="570">
        <f>精餾產銷!X92</f>
        <v>0</v>
      </c>
      <c r="Y151" s="547">
        <f>精餾產銷!Y92</f>
        <v>0</v>
      </c>
      <c r="Z151" s="547">
        <f>精餾產銷!Z92</f>
        <v>0</v>
      </c>
      <c r="AA151" s="571">
        <f>精餾產銷!AA92</f>
        <v>0</v>
      </c>
      <c r="AB151" s="533">
        <f>精餾產銷!AB92</f>
        <v>0</v>
      </c>
      <c r="AC151" s="534">
        <f>精餾產銷!AC92</f>
        <v>0</v>
      </c>
      <c r="AD151" s="534">
        <f>精餾產銷!AD92</f>
        <v>0</v>
      </c>
      <c r="AE151" s="535">
        <f>精餾產銷!AE92</f>
        <v>0</v>
      </c>
      <c r="AF151" s="509">
        <f t="shared" si="20"/>
        <v>0</v>
      </c>
      <c r="AH151" s="796"/>
      <c r="AI151" s="796">
        <f t="shared" si="26"/>
        <v>0</v>
      </c>
      <c r="AJ151" s="796">
        <f t="shared" si="27"/>
        <v>0</v>
      </c>
    </row>
    <row r="152" spans="1:36" ht="28.5" hidden="1" customHeight="1" x14ac:dyDescent="0.25">
      <c r="A152" s="99">
        <f>精餾產銷!A93</f>
        <v>0</v>
      </c>
      <c r="B152" s="371">
        <f>精餾產銷!B93</f>
        <v>0</v>
      </c>
      <c r="C152" s="382">
        <f>精餾產銷!C93</f>
        <v>0</v>
      </c>
      <c r="D152" s="411">
        <f>精餾產銷!D93</f>
        <v>0</v>
      </c>
      <c r="E152" s="371">
        <f>精餾產銷!E93</f>
        <v>0</v>
      </c>
      <c r="F152" s="371">
        <f>精餾產銷!F93</f>
        <v>0</v>
      </c>
      <c r="G152" s="693">
        <f>精餾產銷!G93</f>
        <v>0</v>
      </c>
      <c r="H152" s="865">
        <f>精餾產銷!H93</f>
        <v>0</v>
      </c>
      <c r="I152" s="572">
        <f>精餾產銷!I93</f>
        <v>0</v>
      </c>
      <c r="J152" s="865">
        <f>精餾產銷!J93</f>
        <v>0</v>
      </c>
      <c r="K152" s="595">
        <f>精餾產銷!K93</f>
        <v>0</v>
      </c>
      <c r="L152" s="865">
        <f>精餾產銷!L93</f>
        <v>0</v>
      </c>
      <c r="M152" s="595">
        <f>精餾產銷!M93</f>
        <v>0</v>
      </c>
      <c r="N152" s="865">
        <f>精餾產銷!N93</f>
        <v>0</v>
      </c>
      <c r="O152" s="595">
        <f>精餾產銷!O93</f>
        <v>0</v>
      </c>
      <c r="P152" s="565">
        <f>精餾產銷!P93</f>
        <v>0</v>
      </c>
      <c r="Q152" s="547">
        <f>精餾產銷!Q93</f>
        <v>0</v>
      </c>
      <c r="R152" s="547">
        <f>精餾產銷!R93</f>
        <v>0</v>
      </c>
      <c r="S152" s="572">
        <f>精餾產銷!S93</f>
        <v>0</v>
      </c>
      <c r="T152" s="566">
        <f>精餾產銷!T93</f>
        <v>0</v>
      </c>
      <c r="U152" s="567">
        <f>精餾產銷!U93</f>
        <v>0</v>
      </c>
      <c r="V152" s="568">
        <f>精餾產銷!V93</f>
        <v>0</v>
      </c>
      <c r="W152" s="569">
        <f>精餾產銷!W93</f>
        <v>0</v>
      </c>
      <c r="X152" s="570">
        <f>精餾產銷!X93</f>
        <v>0</v>
      </c>
      <c r="Y152" s="547">
        <f>精餾產銷!Y93</f>
        <v>0</v>
      </c>
      <c r="Z152" s="547">
        <f>精餾產銷!Z93</f>
        <v>0</v>
      </c>
      <c r="AA152" s="571">
        <f>精餾產銷!AA93</f>
        <v>0</v>
      </c>
      <c r="AB152" s="533">
        <f>精餾產銷!AB93</f>
        <v>0</v>
      </c>
      <c r="AC152" s="534">
        <f>精餾產銷!AC93</f>
        <v>0</v>
      </c>
      <c r="AD152" s="534">
        <f>精餾產銷!AD93</f>
        <v>0</v>
      </c>
      <c r="AE152" s="535">
        <f>精餾產銷!AE93</f>
        <v>0</v>
      </c>
      <c r="AF152" s="509">
        <f t="shared" ref="AF152:AF219" si="28">+IF(SUM(G152,H152:O152,R152,U152,X152,AA152)=0,0,1)</f>
        <v>0</v>
      </c>
      <c r="AH152" s="796"/>
      <c r="AI152" s="796">
        <f t="shared" si="26"/>
        <v>0</v>
      </c>
      <c r="AJ152" s="796">
        <f t="shared" si="27"/>
        <v>0</v>
      </c>
    </row>
    <row r="153" spans="1:36" ht="28.5" hidden="1" customHeight="1" x14ac:dyDescent="0.25">
      <c r="A153" s="99">
        <f>精餾產銷!A94</f>
        <v>0</v>
      </c>
      <c r="B153" s="371">
        <f>精餾產銷!B94</f>
        <v>0</v>
      </c>
      <c r="C153" s="382">
        <f>精餾產銷!C94</f>
        <v>0</v>
      </c>
      <c r="D153" s="411">
        <f>精餾產銷!D94</f>
        <v>0</v>
      </c>
      <c r="E153" s="371">
        <f>精餾產銷!E94</f>
        <v>0</v>
      </c>
      <c r="F153" s="371">
        <f>精餾產銷!F94</f>
        <v>0</v>
      </c>
      <c r="G153" s="693">
        <f>精餾產銷!G94</f>
        <v>0</v>
      </c>
      <c r="H153" s="865">
        <f>精餾產銷!H94</f>
        <v>0</v>
      </c>
      <c r="I153" s="572">
        <f>精餾產銷!I94</f>
        <v>0</v>
      </c>
      <c r="J153" s="865">
        <f>精餾產銷!J94</f>
        <v>0</v>
      </c>
      <c r="K153" s="595">
        <f>精餾產銷!K94</f>
        <v>0</v>
      </c>
      <c r="L153" s="865">
        <f>精餾產銷!L94</f>
        <v>0</v>
      </c>
      <c r="M153" s="595">
        <f>精餾產銷!M94</f>
        <v>0</v>
      </c>
      <c r="N153" s="865">
        <f>精餾產銷!N94</f>
        <v>0</v>
      </c>
      <c r="O153" s="595">
        <f>精餾產銷!O94</f>
        <v>0</v>
      </c>
      <c r="P153" s="565">
        <f>精餾產銷!P94</f>
        <v>0</v>
      </c>
      <c r="Q153" s="547">
        <f>精餾產銷!Q94</f>
        <v>0</v>
      </c>
      <c r="R153" s="547">
        <f>精餾產銷!R94</f>
        <v>0</v>
      </c>
      <c r="S153" s="572">
        <f>精餾產銷!S94</f>
        <v>0</v>
      </c>
      <c r="T153" s="566">
        <f>精餾產銷!T94</f>
        <v>0</v>
      </c>
      <c r="U153" s="567">
        <f>精餾產銷!U94</f>
        <v>0</v>
      </c>
      <c r="V153" s="568">
        <f>精餾產銷!V94</f>
        <v>0</v>
      </c>
      <c r="W153" s="569">
        <f>精餾產銷!W94</f>
        <v>0</v>
      </c>
      <c r="X153" s="570">
        <f>精餾產銷!X94</f>
        <v>0</v>
      </c>
      <c r="Y153" s="547">
        <f>精餾產銷!Y94</f>
        <v>0</v>
      </c>
      <c r="Z153" s="547">
        <f>精餾產銷!Z94</f>
        <v>0</v>
      </c>
      <c r="AA153" s="571">
        <f>精餾產銷!AA94</f>
        <v>0</v>
      </c>
      <c r="AB153" s="533">
        <f>精餾產銷!AB94</f>
        <v>0</v>
      </c>
      <c r="AC153" s="534">
        <f>精餾產銷!AC94</f>
        <v>0</v>
      </c>
      <c r="AD153" s="534">
        <f>精餾產銷!AD94</f>
        <v>0</v>
      </c>
      <c r="AE153" s="535">
        <f>精餾產銷!AE94</f>
        <v>0</v>
      </c>
      <c r="AF153" s="509">
        <f t="shared" si="28"/>
        <v>0</v>
      </c>
      <c r="AH153" s="796"/>
      <c r="AI153" s="796">
        <f t="shared" si="26"/>
        <v>0</v>
      </c>
      <c r="AJ153" s="796">
        <f t="shared" si="27"/>
        <v>0</v>
      </c>
    </row>
    <row r="154" spans="1:36" ht="28.5" hidden="1" customHeight="1" x14ac:dyDescent="0.25">
      <c r="A154" s="99">
        <f>精餾產銷!A95</f>
        <v>0</v>
      </c>
      <c r="B154" s="371">
        <f>精餾產銷!B95</f>
        <v>0</v>
      </c>
      <c r="C154" s="382">
        <f>精餾產銷!C95</f>
        <v>0</v>
      </c>
      <c r="D154" s="411">
        <f>精餾產銷!D95</f>
        <v>0</v>
      </c>
      <c r="E154" s="371">
        <f>精餾產銷!E95</f>
        <v>0</v>
      </c>
      <c r="F154" s="371">
        <f>精餾產銷!F95</f>
        <v>0</v>
      </c>
      <c r="G154" s="693">
        <f>精餾產銷!G95</f>
        <v>0</v>
      </c>
      <c r="H154" s="865">
        <f>精餾產銷!H95</f>
        <v>0</v>
      </c>
      <c r="I154" s="572">
        <f>精餾產銷!I95</f>
        <v>0</v>
      </c>
      <c r="J154" s="865">
        <f>精餾產銷!J95</f>
        <v>0</v>
      </c>
      <c r="K154" s="595">
        <f>精餾產銷!K95</f>
        <v>0</v>
      </c>
      <c r="L154" s="865">
        <f>精餾產銷!L95</f>
        <v>0</v>
      </c>
      <c r="M154" s="595">
        <f>精餾產銷!M95</f>
        <v>0</v>
      </c>
      <c r="N154" s="865">
        <f>精餾產銷!N95</f>
        <v>0</v>
      </c>
      <c r="O154" s="595">
        <f>精餾產銷!O95</f>
        <v>0</v>
      </c>
      <c r="P154" s="565">
        <f>精餾產銷!P95</f>
        <v>0</v>
      </c>
      <c r="Q154" s="547">
        <f>精餾產銷!Q95</f>
        <v>0</v>
      </c>
      <c r="R154" s="547">
        <f>精餾產銷!R95</f>
        <v>0</v>
      </c>
      <c r="S154" s="572">
        <f>精餾產銷!S95</f>
        <v>0</v>
      </c>
      <c r="T154" s="566">
        <f>精餾產銷!T95</f>
        <v>0</v>
      </c>
      <c r="U154" s="567">
        <f>精餾產銷!U95</f>
        <v>0</v>
      </c>
      <c r="V154" s="568">
        <f>精餾產銷!V95</f>
        <v>0</v>
      </c>
      <c r="W154" s="569">
        <f>精餾產銷!W95</f>
        <v>0</v>
      </c>
      <c r="X154" s="570">
        <f>精餾產銷!X95</f>
        <v>0</v>
      </c>
      <c r="Y154" s="547">
        <f>精餾產銷!Y95</f>
        <v>0</v>
      </c>
      <c r="Z154" s="547">
        <f>精餾產銷!Z95</f>
        <v>0</v>
      </c>
      <c r="AA154" s="571">
        <f>精餾產銷!AA95</f>
        <v>0</v>
      </c>
      <c r="AB154" s="533">
        <f>精餾產銷!AB95</f>
        <v>0</v>
      </c>
      <c r="AC154" s="534">
        <f>精餾產銷!AC95</f>
        <v>0</v>
      </c>
      <c r="AD154" s="534">
        <f>精餾產銷!AD95</f>
        <v>0</v>
      </c>
      <c r="AE154" s="535">
        <f>精餾產銷!AE95</f>
        <v>0</v>
      </c>
      <c r="AF154" s="509">
        <f t="shared" si="28"/>
        <v>0</v>
      </c>
      <c r="AH154" s="796"/>
      <c r="AI154" s="796">
        <f t="shared" si="26"/>
        <v>0</v>
      </c>
      <c r="AJ154" s="796">
        <f t="shared" si="27"/>
        <v>0</v>
      </c>
    </row>
    <row r="155" spans="1:36" ht="28.5" hidden="1" customHeight="1" x14ac:dyDescent="0.25">
      <c r="A155" s="99">
        <f>精餾產銷!A96</f>
        <v>0</v>
      </c>
      <c r="B155" s="371">
        <f>精餾產銷!B96</f>
        <v>0</v>
      </c>
      <c r="C155" s="382">
        <f>精餾產銷!C96</f>
        <v>0</v>
      </c>
      <c r="D155" s="411">
        <f>精餾產銷!D96</f>
        <v>0</v>
      </c>
      <c r="E155" s="371">
        <f>精餾產銷!E96</f>
        <v>0</v>
      </c>
      <c r="F155" s="371">
        <f>精餾產銷!F96</f>
        <v>0</v>
      </c>
      <c r="G155" s="693">
        <f>精餾產銷!G96</f>
        <v>0</v>
      </c>
      <c r="H155" s="865">
        <f>精餾產銷!H96</f>
        <v>0</v>
      </c>
      <c r="I155" s="572">
        <f>精餾產銷!I96</f>
        <v>0</v>
      </c>
      <c r="J155" s="865">
        <f>精餾產銷!J96</f>
        <v>0</v>
      </c>
      <c r="K155" s="595">
        <f>精餾產銷!K96</f>
        <v>0</v>
      </c>
      <c r="L155" s="865">
        <f>精餾產銷!L96</f>
        <v>0</v>
      </c>
      <c r="M155" s="595">
        <f>精餾產銷!M96</f>
        <v>0</v>
      </c>
      <c r="N155" s="865">
        <f>精餾產銷!N96</f>
        <v>0</v>
      </c>
      <c r="O155" s="595">
        <f>精餾產銷!O96</f>
        <v>0</v>
      </c>
      <c r="P155" s="565">
        <f>精餾產銷!P96</f>
        <v>0</v>
      </c>
      <c r="Q155" s="547">
        <f>精餾產銷!Q96</f>
        <v>0</v>
      </c>
      <c r="R155" s="547">
        <f>精餾產銷!R96</f>
        <v>0</v>
      </c>
      <c r="S155" s="572">
        <f>精餾產銷!S96</f>
        <v>0</v>
      </c>
      <c r="T155" s="566">
        <f>精餾產銷!T96</f>
        <v>0</v>
      </c>
      <c r="U155" s="567">
        <f>精餾產銷!U96</f>
        <v>0</v>
      </c>
      <c r="V155" s="568">
        <f>精餾產銷!V96</f>
        <v>0</v>
      </c>
      <c r="W155" s="569">
        <f>精餾產銷!W96</f>
        <v>0</v>
      </c>
      <c r="X155" s="570">
        <f>精餾產銷!X96</f>
        <v>0</v>
      </c>
      <c r="Y155" s="547">
        <f>精餾產銷!Y96</f>
        <v>0</v>
      </c>
      <c r="Z155" s="547">
        <f>精餾產銷!Z96</f>
        <v>0</v>
      </c>
      <c r="AA155" s="571">
        <f>精餾產銷!AA96</f>
        <v>0</v>
      </c>
      <c r="AB155" s="533">
        <f>精餾產銷!AB96</f>
        <v>0</v>
      </c>
      <c r="AC155" s="534">
        <f>精餾產銷!AC96</f>
        <v>0</v>
      </c>
      <c r="AD155" s="534">
        <f>精餾產銷!AD96</f>
        <v>0</v>
      </c>
      <c r="AE155" s="535">
        <f>精餾產銷!AE96</f>
        <v>0</v>
      </c>
      <c r="AF155" s="509">
        <f t="shared" si="28"/>
        <v>0</v>
      </c>
      <c r="AH155" s="796"/>
      <c r="AI155" s="796">
        <f t="shared" si="26"/>
        <v>0</v>
      </c>
      <c r="AJ155" s="796">
        <f t="shared" si="27"/>
        <v>0</v>
      </c>
    </row>
    <row r="156" spans="1:36" ht="28.5" hidden="1" customHeight="1" x14ac:dyDescent="0.25">
      <c r="A156" s="103">
        <f>精餾產銷!A97</f>
        <v>0</v>
      </c>
      <c r="B156" s="451">
        <f>精餾產銷!B97</f>
        <v>0</v>
      </c>
      <c r="C156" s="382">
        <f>精餾產銷!C97</f>
        <v>0</v>
      </c>
      <c r="D156" s="411">
        <f>精餾產銷!D97</f>
        <v>0</v>
      </c>
      <c r="E156" s="371">
        <f>精餾產銷!E97</f>
        <v>0</v>
      </c>
      <c r="F156" s="371">
        <f>精餾產銷!F97</f>
        <v>0</v>
      </c>
      <c r="G156" s="693">
        <f>精餾產銷!G97</f>
        <v>0</v>
      </c>
      <c r="H156" s="865">
        <f>精餾產銷!H97</f>
        <v>0</v>
      </c>
      <c r="I156" s="572">
        <f>精餾產銷!I97</f>
        <v>0</v>
      </c>
      <c r="J156" s="865">
        <f>精餾產銷!J97</f>
        <v>0</v>
      </c>
      <c r="K156" s="595">
        <f>精餾產銷!K97</f>
        <v>0</v>
      </c>
      <c r="L156" s="865">
        <f>精餾產銷!L97</f>
        <v>0</v>
      </c>
      <c r="M156" s="595">
        <f>精餾產銷!M97</f>
        <v>0</v>
      </c>
      <c r="N156" s="865">
        <f>精餾產銷!N97</f>
        <v>0</v>
      </c>
      <c r="O156" s="595">
        <f>精餾產銷!O97</f>
        <v>0</v>
      </c>
      <c r="P156" s="565">
        <f>精餾產銷!P97</f>
        <v>0</v>
      </c>
      <c r="Q156" s="547">
        <f>精餾產銷!Q97</f>
        <v>0</v>
      </c>
      <c r="R156" s="547">
        <f>精餾產銷!R97</f>
        <v>0</v>
      </c>
      <c r="S156" s="572">
        <f>精餾產銷!S97</f>
        <v>0</v>
      </c>
      <c r="T156" s="566">
        <f>精餾產銷!T97</f>
        <v>0</v>
      </c>
      <c r="U156" s="567">
        <f>精餾產銷!U97</f>
        <v>0</v>
      </c>
      <c r="V156" s="568">
        <f>精餾產銷!V97</f>
        <v>0</v>
      </c>
      <c r="W156" s="569">
        <f>精餾產銷!W97</f>
        <v>0</v>
      </c>
      <c r="X156" s="570">
        <f>精餾產銷!X97</f>
        <v>0</v>
      </c>
      <c r="Y156" s="547">
        <f>精餾產銷!Y97</f>
        <v>0</v>
      </c>
      <c r="Z156" s="547">
        <f>精餾產銷!Z97</f>
        <v>0</v>
      </c>
      <c r="AA156" s="571">
        <f>精餾產銷!AA97</f>
        <v>0</v>
      </c>
      <c r="AB156" s="533">
        <f>精餾產銷!AB97</f>
        <v>0</v>
      </c>
      <c r="AC156" s="534">
        <f>精餾產銷!AC97</f>
        <v>0</v>
      </c>
      <c r="AD156" s="534">
        <f>精餾產銷!AD97</f>
        <v>0</v>
      </c>
      <c r="AE156" s="535">
        <f>精餾產銷!AE97</f>
        <v>0</v>
      </c>
      <c r="AF156" s="509">
        <f t="shared" si="28"/>
        <v>0</v>
      </c>
      <c r="AH156" s="796"/>
      <c r="AI156" s="796">
        <f t="shared" si="26"/>
        <v>0</v>
      </c>
      <c r="AJ156" s="796">
        <f t="shared" si="27"/>
        <v>0</v>
      </c>
    </row>
    <row r="157" spans="1:36" ht="28.5" hidden="1" customHeight="1" x14ac:dyDescent="0.25">
      <c r="A157" s="99">
        <f>精餾產銷!A98</f>
        <v>0</v>
      </c>
      <c r="B157" s="371">
        <f>精餾產銷!B98</f>
        <v>0</v>
      </c>
      <c r="C157" s="382">
        <f>精餾產銷!C98</f>
        <v>0</v>
      </c>
      <c r="D157" s="411">
        <f>精餾產銷!D98</f>
        <v>0</v>
      </c>
      <c r="E157" s="371">
        <f>精餾產銷!E98</f>
        <v>0</v>
      </c>
      <c r="F157" s="371">
        <f>精餾產銷!F98</f>
        <v>0</v>
      </c>
      <c r="G157" s="693">
        <f>精餾產銷!G98</f>
        <v>0</v>
      </c>
      <c r="H157" s="865">
        <f>精餾產銷!H98</f>
        <v>0</v>
      </c>
      <c r="I157" s="572">
        <f>精餾產銷!I98</f>
        <v>0</v>
      </c>
      <c r="J157" s="865">
        <f>精餾產銷!J98</f>
        <v>0</v>
      </c>
      <c r="K157" s="595">
        <f>精餾產銷!K98</f>
        <v>0</v>
      </c>
      <c r="L157" s="865">
        <f>精餾產銷!L98</f>
        <v>0</v>
      </c>
      <c r="M157" s="595">
        <f>精餾產銷!M98</f>
        <v>0</v>
      </c>
      <c r="N157" s="865">
        <f>精餾產銷!N98</f>
        <v>0</v>
      </c>
      <c r="O157" s="595">
        <f>精餾產銷!O98</f>
        <v>0</v>
      </c>
      <c r="P157" s="565">
        <f>精餾產銷!P98</f>
        <v>0</v>
      </c>
      <c r="Q157" s="547">
        <f>精餾產銷!Q98</f>
        <v>0</v>
      </c>
      <c r="R157" s="547">
        <f>精餾產銷!R98</f>
        <v>0</v>
      </c>
      <c r="S157" s="572">
        <f>精餾產銷!S98</f>
        <v>0</v>
      </c>
      <c r="T157" s="566">
        <f>精餾產銷!T98</f>
        <v>0</v>
      </c>
      <c r="U157" s="567">
        <f>精餾產銷!U98</f>
        <v>0</v>
      </c>
      <c r="V157" s="568">
        <f>精餾產銷!V98</f>
        <v>0</v>
      </c>
      <c r="W157" s="569">
        <f>精餾產銷!W98</f>
        <v>0</v>
      </c>
      <c r="X157" s="570">
        <f>精餾產銷!X98</f>
        <v>0</v>
      </c>
      <c r="Y157" s="547">
        <f>精餾產銷!Y98</f>
        <v>0</v>
      </c>
      <c r="Z157" s="547">
        <f>精餾產銷!Z98</f>
        <v>0</v>
      </c>
      <c r="AA157" s="571">
        <f>精餾產銷!AA98</f>
        <v>0</v>
      </c>
      <c r="AB157" s="533">
        <f>精餾產銷!AB98</f>
        <v>0</v>
      </c>
      <c r="AC157" s="534">
        <f>精餾產銷!AC98</f>
        <v>0</v>
      </c>
      <c r="AD157" s="534">
        <f>精餾產銷!AD98</f>
        <v>0</v>
      </c>
      <c r="AE157" s="535">
        <f>精餾產銷!AE98</f>
        <v>0</v>
      </c>
      <c r="AF157" s="509">
        <f t="shared" si="28"/>
        <v>0</v>
      </c>
      <c r="AH157" s="796"/>
      <c r="AI157" s="796">
        <f t="shared" si="26"/>
        <v>0</v>
      </c>
      <c r="AJ157" s="796">
        <f t="shared" si="27"/>
        <v>0</v>
      </c>
    </row>
    <row r="158" spans="1:36" ht="28.5" hidden="1" customHeight="1" thickBot="1" x14ac:dyDescent="0.3">
      <c r="A158" s="100">
        <f>精餾產銷!A99</f>
        <v>0</v>
      </c>
      <c r="B158" s="452">
        <f>精餾產銷!B99</f>
        <v>0</v>
      </c>
      <c r="C158" s="439">
        <f>精餾產銷!C99</f>
        <v>0</v>
      </c>
      <c r="D158" s="440">
        <f>精餾產銷!D99</f>
        <v>0</v>
      </c>
      <c r="E158" s="441">
        <f>精餾產銷!E99</f>
        <v>0</v>
      </c>
      <c r="F158" s="441">
        <f>精餾產銷!F99</f>
        <v>0</v>
      </c>
      <c r="G158" s="816">
        <f>精餾產銷!G99</f>
        <v>0</v>
      </c>
      <c r="H158" s="868">
        <f>精餾產銷!H99</f>
        <v>0</v>
      </c>
      <c r="I158" s="577">
        <f>精餾產銷!I99</f>
        <v>0</v>
      </c>
      <c r="J158" s="868">
        <f>精餾產銷!J99</f>
        <v>0</v>
      </c>
      <c r="K158" s="586">
        <f>精餾產銷!K99</f>
        <v>0</v>
      </c>
      <c r="L158" s="868">
        <f>精餾產銷!L99</f>
        <v>0</v>
      </c>
      <c r="M158" s="586">
        <f>精餾產銷!M99</f>
        <v>0</v>
      </c>
      <c r="N158" s="868">
        <f>精餾產銷!N99</f>
        <v>0</v>
      </c>
      <c r="O158" s="586">
        <f>精餾產銷!O99</f>
        <v>0</v>
      </c>
      <c r="P158" s="555">
        <f>精餾產銷!P99</f>
        <v>0</v>
      </c>
      <c r="Q158" s="576">
        <f>精餾產銷!Q99</f>
        <v>0</v>
      </c>
      <c r="R158" s="576">
        <f>精餾產銷!R99</f>
        <v>0</v>
      </c>
      <c r="S158" s="577">
        <f>精餾產銷!S99</f>
        <v>0</v>
      </c>
      <c r="T158" s="578">
        <f>精餾產銷!T99</f>
        <v>0</v>
      </c>
      <c r="U158" s="584">
        <f>精餾產銷!U99</f>
        <v>0</v>
      </c>
      <c r="V158" s="581">
        <f>精餾產銷!V99</f>
        <v>0</v>
      </c>
      <c r="W158" s="581">
        <f>精餾產銷!W99</f>
        <v>0</v>
      </c>
      <c r="X158" s="585">
        <f>精餾產銷!X99</f>
        <v>0</v>
      </c>
      <c r="Y158" s="577">
        <f>精餾產銷!Y99</f>
        <v>0</v>
      </c>
      <c r="Z158" s="577">
        <f>精餾產銷!Z99</f>
        <v>0</v>
      </c>
      <c r="AA158" s="586">
        <f>精餾產銷!AA99</f>
        <v>0</v>
      </c>
      <c r="AB158" s="540">
        <f>精餾產銷!AB99</f>
        <v>0</v>
      </c>
      <c r="AC158" s="541">
        <f>精餾產銷!AC99</f>
        <v>0</v>
      </c>
      <c r="AD158" s="541">
        <f>精餾產銷!AD99</f>
        <v>0</v>
      </c>
      <c r="AE158" s="542">
        <f>精餾產銷!AE99</f>
        <v>0</v>
      </c>
      <c r="AF158" s="509">
        <f t="shared" si="28"/>
        <v>0</v>
      </c>
      <c r="AH158" s="796"/>
      <c r="AI158" s="796">
        <f t="shared" si="26"/>
        <v>0</v>
      </c>
      <c r="AJ158" s="796">
        <f t="shared" si="27"/>
        <v>0</v>
      </c>
    </row>
    <row r="159" spans="1:36" ht="24" customHeight="1" x14ac:dyDescent="0.25">
      <c r="A159" s="99" t="str">
        <f>初餾產銷!A36</f>
        <v>EBR-P1R</v>
      </c>
      <c r="B159" s="371" t="str">
        <f>初餾產銷!B36</f>
        <v>TKC01-TKC09</v>
      </c>
      <c r="C159" s="382">
        <f>初餾產銷!C36</f>
        <v>336</v>
      </c>
      <c r="D159" s="411">
        <f>初餾產銷!D36</f>
        <v>224.39999999999998</v>
      </c>
      <c r="E159" s="411">
        <f>初餾產銷!E36</f>
        <v>0</v>
      </c>
      <c r="F159" s="411">
        <f>初餾產銷!F36</f>
        <v>0</v>
      </c>
      <c r="G159" s="693">
        <f>初餾產銷!G36</f>
        <v>224.39999999999998</v>
      </c>
      <c r="H159" s="865">
        <f>初餾產銷!H36</f>
        <v>0</v>
      </c>
      <c r="I159" s="572">
        <f>初餾產銷!J36</f>
        <v>0</v>
      </c>
      <c r="J159" s="865">
        <f>初餾產銷!K36</f>
        <v>0</v>
      </c>
      <c r="K159" s="595">
        <f>初餾產銷!M36</f>
        <v>0</v>
      </c>
      <c r="L159" s="865">
        <f>初餾產銷!N36</f>
        <v>0</v>
      </c>
      <c r="M159" s="595">
        <f>初餾產銷!P36</f>
        <v>0</v>
      </c>
      <c r="N159" s="865">
        <f>初餾產銷!Q36</f>
        <v>0</v>
      </c>
      <c r="O159" s="595">
        <f>初餾產銷!S36</f>
        <v>0</v>
      </c>
      <c r="P159" s="565">
        <f>初餾產銷!T36</f>
        <v>371</v>
      </c>
      <c r="Q159" s="565">
        <f>初餾產銷!U36</f>
        <v>1590</v>
      </c>
      <c r="R159" s="565">
        <f>初餾產銷!V36</f>
        <v>1590</v>
      </c>
      <c r="S159" s="565">
        <f>初餾產銷!W36</f>
        <v>1590</v>
      </c>
      <c r="T159" s="566">
        <f>初餾產銷!X36</f>
        <v>526</v>
      </c>
      <c r="U159" s="567">
        <f>初餾產銷!Y36</f>
        <v>1600</v>
      </c>
      <c r="V159" s="568">
        <f>初餾產銷!Z36</f>
        <v>1600</v>
      </c>
      <c r="W159" s="569">
        <f>初餾產銷!AA36</f>
        <v>1600</v>
      </c>
      <c r="X159" s="570">
        <f>初餾產銷!AB36</f>
        <v>0</v>
      </c>
      <c r="Y159" s="547">
        <f>初餾產銷!AC36</f>
        <v>0</v>
      </c>
      <c r="Z159" s="547">
        <f>初餾產銷!AD36</f>
        <v>0</v>
      </c>
      <c r="AA159" s="571">
        <f>初餾產銷!AE36</f>
        <v>0</v>
      </c>
      <c r="AB159" s="522">
        <f>初餾產銷!AF36</f>
        <v>379.4</v>
      </c>
      <c r="AC159" s="523">
        <f>初餾產銷!AG36</f>
        <v>389.40000000000009</v>
      </c>
      <c r="AD159" s="523">
        <f>初餾產銷!AH36</f>
        <v>399.40000000000009</v>
      </c>
      <c r="AE159" s="524">
        <f>初餾產銷!AI36</f>
        <v>409.40000000000009</v>
      </c>
      <c r="AF159" s="509">
        <f t="shared" si="28"/>
        <v>1</v>
      </c>
      <c r="AH159" s="796"/>
      <c r="AI159" s="796">
        <f t="shared" si="26"/>
        <v>0</v>
      </c>
      <c r="AJ159" s="796">
        <f t="shared" si="27"/>
        <v>0</v>
      </c>
    </row>
    <row r="160" spans="1:36" ht="24" customHeight="1" x14ac:dyDescent="0.25">
      <c r="A160" s="99" t="str">
        <f>初餾產銷!A37</f>
        <v>NBAC-P1R</v>
      </c>
      <c r="B160" s="371" t="str">
        <f>初餾產銷!B37</f>
        <v>TK658.TK659</v>
      </c>
      <c r="C160" s="382">
        <f>初餾產銷!C37</f>
        <v>100</v>
      </c>
      <c r="D160" s="411">
        <f>初餾產銷!D37</f>
        <v>33.599999999999994</v>
      </c>
      <c r="E160" s="411">
        <f>初餾產銷!E37</f>
        <v>0</v>
      </c>
      <c r="F160" s="411">
        <f>初餾產銷!F37</f>
        <v>0</v>
      </c>
      <c r="G160" s="693">
        <f>初餾產銷!G37</f>
        <v>33.599999999999994</v>
      </c>
      <c r="H160" s="865">
        <f>初餾產銷!H37</f>
        <v>94</v>
      </c>
      <c r="I160" s="572">
        <f>初餾產銷!J37</f>
        <v>0</v>
      </c>
      <c r="J160" s="865">
        <f>初餾產銷!K37</f>
        <v>350</v>
      </c>
      <c r="K160" s="595">
        <f>初餾產銷!M37</f>
        <v>0</v>
      </c>
      <c r="L160" s="865">
        <f>初餾產銷!N37</f>
        <v>300</v>
      </c>
      <c r="M160" s="595">
        <f>初餾產銷!P37</f>
        <v>0</v>
      </c>
      <c r="N160" s="865">
        <f>初餾產銷!Q37</f>
        <v>300</v>
      </c>
      <c r="O160" s="595">
        <f>初餾產銷!S37</f>
        <v>0</v>
      </c>
      <c r="P160" s="565">
        <f>初餾產銷!T37</f>
        <v>0</v>
      </c>
      <c r="Q160" s="547">
        <f>初餾產銷!U37</f>
        <v>0</v>
      </c>
      <c r="R160" s="547">
        <f>初餾產銷!V37</f>
        <v>0</v>
      </c>
      <c r="S160" s="547">
        <f>初餾產銷!W37</f>
        <v>0</v>
      </c>
      <c r="T160" s="566">
        <f>初餾產銷!X37</f>
        <v>105</v>
      </c>
      <c r="U160" s="567">
        <f>初餾產銷!Y37</f>
        <v>350</v>
      </c>
      <c r="V160" s="568">
        <f>初餾產銷!Z37</f>
        <v>350</v>
      </c>
      <c r="W160" s="569">
        <f>初餾產銷!AA37</f>
        <v>350</v>
      </c>
      <c r="X160" s="570">
        <f>初餾產銷!AB37</f>
        <v>0</v>
      </c>
      <c r="Y160" s="547">
        <f>初餾產銷!AC37</f>
        <v>0</v>
      </c>
      <c r="Z160" s="547">
        <f>初餾產銷!AD37</f>
        <v>0</v>
      </c>
      <c r="AA160" s="571">
        <f>初餾產銷!AE37</f>
        <v>0</v>
      </c>
      <c r="AB160" s="522">
        <f>初餾產銷!AF37</f>
        <v>44.599999999999994</v>
      </c>
      <c r="AC160" s="523">
        <f>初餾產銷!AG37</f>
        <v>44.600000000000023</v>
      </c>
      <c r="AD160" s="523">
        <f>初餾產銷!AH37</f>
        <v>94.600000000000023</v>
      </c>
      <c r="AE160" s="524">
        <f>初餾產銷!AI37</f>
        <v>144.60000000000002</v>
      </c>
      <c r="AF160" s="509">
        <f t="shared" si="28"/>
        <v>1</v>
      </c>
      <c r="AH160" s="796"/>
      <c r="AI160" s="796">
        <f t="shared" si="26"/>
        <v>0</v>
      </c>
      <c r="AJ160" s="796">
        <f t="shared" si="27"/>
        <v>0</v>
      </c>
    </row>
    <row r="161" spans="1:36" ht="28.5" hidden="1" customHeight="1" x14ac:dyDescent="0.25">
      <c r="A161" s="99" t="str">
        <f>初餾產銷!A38</f>
        <v>1NBAC-P2</v>
      </c>
      <c r="B161" s="371">
        <f>初餾產銷!B38</f>
        <v>0</v>
      </c>
      <c r="C161" s="382">
        <f>初餾產銷!C38</f>
        <v>0</v>
      </c>
      <c r="D161" s="362">
        <f>初餾產銷!D38</f>
        <v>0</v>
      </c>
      <c r="E161" s="362">
        <f>初餾產銷!E38</f>
        <v>0</v>
      </c>
      <c r="F161" s="362">
        <f>初餾產銷!F38</f>
        <v>0</v>
      </c>
      <c r="G161" s="530">
        <f>初餾產銷!G38</f>
        <v>0</v>
      </c>
      <c r="H161" s="865">
        <f>初餾產銷!H38</f>
        <v>0</v>
      </c>
      <c r="I161" s="572">
        <f>初餾產銷!J38</f>
        <v>0</v>
      </c>
      <c r="J161" s="865">
        <f>初餾產銷!K38</f>
        <v>0</v>
      </c>
      <c r="K161" s="595">
        <f>初餾產銷!M38</f>
        <v>0</v>
      </c>
      <c r="L161" s="865">
        <f>初餾產銷!N38</f>
        <v>0</v>
      </c>
      <c r="M161" s="595">
        <f>初餾產銷!P38</f>
        <v>0</v>
      </c>
      <c r="N161" s="865">
        <f>初餾產銷!Q38</f>
        <v>0</v>
      </c>
      <c r="O161" s="595">
        <f>初餾產銷!S38</f>
        <v>0</v>
      </c>
      <c r="P161" s="565">
        <f>初餾產銷!T38</f>
        <v>0</v>
      </c>
      <c r="Q161" s="547">
        <f>初餾產銷!U38</f>
        <v>0</v>
      </c>
      <c r="R161" s="547">
        <f>初餾產銷!V38</f>
        <v>0</v>
      </c>
      <c r="S161" s="572">
        <f>初餾產銷!W38</f>
        <v>0</v>
      </c>
      <c r="T161" s="566">
        <f>初餾產銷!X38</f>
        <v>0</v>
      </c>
      <c r="U161" s="567">
        <f>初餾產銷!Y38</f>
        <v>0</v>
      </c>
      <c r="V161" s="568">
        <f>初餾產銷!Z38</f>
        <v>0</v>
      </c>
      <c r="W161" s="569">
        <f>初餾產銷!AA38</f>
        <v>0</v>
      </c>
      <c r="X161" s="570">
        <f>初餾產銷!AB38</f>
        <v>0</v>
      </c>
      <c r="Y161" s="547">
        <f>初餾產銷!AC38</f>
        <v>0</v>
      </c>
      <c r="Z161" s="547">
        <f>初餾產銷!AD38</f>
        <v>0</v>
      </c>
      <c r="AA161" s="571">
        <f>初餾產銷!AE38</f>
        <v>0</v>
      </c>
      <c r="AB161" s="522">
        <f>初餾產銷!AF38</f>
        <v>0</v>
      </c>
      <c r="AC161" s="523">
        <f>初餾產銷!AG38</f>
        <v>0</v>
      </c>
      <c r="AD161" s="523">
        <f>初餾產銷!AH38</f>
        <v>0</v>
      </c>
      <c r="AE161" s="524">
        <f>初餾產銷!AI38</f>
        <v>0</v>
      </c>
      <c r="AF161" s="509">
        <f t="shared" si="28"/>
        <v>0</v>
      </c>
      <c r="AH161" s="796"/>
      <c r="AI161" s="796">
        <f t="shared" si="26"/>
        <v>0</v>
      </c>
      <c r="AJ161" s="796">
        <f t="shared" si="27"/>
        <v>0</v>
      </c>
    </row>
    <row r="162" spans="1:36" ht="28.5" hidden="1" customHeight="1" x14ac:dyDescent="0.25">
      <c r="A162" s="153">
        <f>初餾產銷!A39</f>
        <v>0</v>
      </c>
      <c r="B162" s="363">
        <f>初餾產銷!B39</f>
        <v>0</v>
      </c>
      <c r="C162" s="361">
        <f>初餾產銷!C39</f>
        <v>0</v>
      </c>
      <c r="D162" s="362">
        <f>初餾產銷!D39</f>
        <v>0</v>
      </c>
      <c r="E162" s="362">
        <f>初餾產銷!E39</f>
        <v>0</v>
      </c>
      <c r="F162" s="362">
        <f>初餾產銷!F39</f>
        <v>0</v>
      </c>
      <c r="G162" s="693">
        <f>初餾產銷!G39</f>
        <v>0</v>
      </c>
      <c r="H162" s="865">
        <f>初餾產銷!H39</f>
        <v>0</v>
      </c>
      <c r="I162" s="595">
        <f>初餾產銷!J39</f>
        <v>0</v>
      </c>
      <c r="J162" s="865">
        <f>初餾產銷!K39</f>
        <v>0</v>
      </c>
      <c r="K162" s="595">
        <f>初餾產銷!M39</f>
        <v>0</v>
      </c>
      <c r="L162" s="865">
        <f>初餾產銷!N39</f>
        <v>0</v>
      </c>
      <c r="M162" s="595">
        <f>初餾產銷!P39</f>
        <v>0</v>
      </c>
      <c r="N162" s="865">
        <f>初餾產銷!Q39</f>
        <v>0</v>
      </c>
      <c r="O162" s="595">
        <f>初餾產銷!S39</f>
        <v>0</v>
      </c>
      <c r="P162" s="565">
        <f>初餾產銷!T39</f>
        <v>0</v>
      </c>
      <c r="Q162" s="547">
        <f>初餾產銷!U39</f>
        <v>0</v>
      </c>
      <c r="R162" s="547">
        <f>初餾產銷!V39</f>
        <v>0</v>
      </c>
      <c r="S162" s="572">
        <f>初餾產銷!W39</f>
        <v>0</v>
      </c>
      <c r="T162" s="566">
        <f>初餾產銷!X39</f>
        <v>0</v>
      </c>
      <c r="U162" s="567">
        <f>初餾產銷!Y39</f>
        <v>0</v>
      </c>
      <c r="V162" s="568">
        <f>初餾產銷!Z39</f>
        <v>0</v>
      </c>
      <c r="W162" s="569">
        <f>初餾產銷!AA39</f>
        <v>0</v>
      </c>
      <c r="X162" s="570">
        <f>初餾產銷!AB39</f>
        <v>0</v>
      </c>
      <c r="Y162" s="547">
        <f>初餾產銷!AC39</f>
        <v>0</v>
      </c>
      <c r="Z162" s="547">
        <f>初餾產銷!AD39</f>
        <v>0</v>
      </c>
      <c r="AA162" s="571">
        <f>初餾產銷!AE39</f>
        <v>0</v>
      </c>
      <c r="AB162" s="522">
        <f>初餾產銷!AF39</f>
        <v>0</v>
      </c>
      <c r="AC162" s="523">
        <f>初餾產銷!AG39</f>
        <v>0</v>
      </c>
      <c r="AD162" s="523">
        <f>初餾產銷!AH39</f>
        <v>0</v>
      </c>
      <c r="AE162" s="524">
        <f>初餾產銷!AI39</f>
        <v>0</v>
      </c>
      <c r="AF162" s="509">
        <f t="shared" si="28"/>
        <v>0</v>
      </c>
      <c r="AH162" s="796"/>
      <c r="AI162" s="796">
        <f t="shared" si="26"/>
        <v>0</v>
      </c>
      <c r="AJ162" s="796">
        <f t="shared" si="27"/>
        <v>0</v>
      </c>
    </row>
    <row r="163" spans="1:36" ht="28.5" hidden="1" customHeight="1" x14ac:dyDescent="0.25">
      <c r="A163" s="99" t="str">
        <f>初餾產銷!A40</f>
        <v>1EBR-P2</v>
      </c>
      <c r="B163" s="371">
        <f>初餾產銷!B40</f>
        <v>0</v>
      </c>
      <c r="C163" s="382">
        <f>初餾產銷!C40</f>
        <v>33</v>
      </c>
      <c r="D163" s="373">
        <f>初餾產銷!D40</f>
        <v>0</v>
      </c>
      <c r="E163" s="373">
        <f>初餾產銷!E40</f>
        <v>0</v>
      </c>
      <c r="F163" s="373">
        <f>初餾產銷!F40</f>
        <v>0</v>
      </c>
      <c r="G163" s="693">
        <f>初餾產銷!G40</f>
        <v>0</v>
      </c>
      <c r="H163" s="865">
        <f>初餾產銷!H40</f>
        <v>0</v>
      </c>
      <c r="I163" s="572">
        <f>初餾產銷!J40</f>
        <v>0</v>
      </c>
      <c r="J163" s="865">
        <f>初餾產銷!K40</f>
        <v>0</v>
      </c>
      <c r="K163" s="595">
        <f>初餾產銷!M40</f>
        <v>0</v>
      </c>
      <c r="L163" s="865">
        <f>初餾產銷!N40</f>
        <v>0</v>
      </c>
      <c r="M163" s="595">
        <f>初餾產銷!P40</f>
        <v>0</v>
      </c>
      <c r="N163" s="865">
        <f>初餾產銷!Q40</f>
        <v>0</v>
      </c>
      <c r="O163" s="595">
        <f>初餾產銷!S40</f>
        <v>0</v>
      </c>
      <c r="P163" s="565">
        <f>初餾產銷!T40</f>
        <v>0</v>
      </c>
      <c r="Q163" s="547">
        <f>初餾產銷!U40</f>
        <v>0</v>
      </c>
      <c r="R163" s="547">
        <f>初餾產銷!V40</f>
        <v>0</v>
      </c>
      <c r="S163" s="572">
        <f>初餾產銷!W40</f>
        <v>0</v>
      </c>
      <c r="T163" s="566">
        <f>初餾產銷!X40</f>
        <v>0</v>
      </c>
      <c r="U163" s="567">
        <f>初餾產銷!Y40</f>
        <v>0</v>
      </c>
      <c r="V163" s="568">
        <f>初餾產銷!Z40</f>
        <v>0</v>
      </c>
      <c r="W163" s="569">
        <f>初餾產銷!AA40</f>
        <v>0</v>
      </c>
      <c r="X163" s="570">
        <f>初餾產銷!AB40</f>
        <v>0</v>
      </c>
      <c r="Y163" s="547">
        <f>初餾產銷!AC40</f>
        <v>0</v>
      </c>
      <c r="Z163" s="547">
        <f>初餾產銷!AD40</f>
        <v>0</v>
      </c>
      <c r="AA163" s="571">
        <f>初餾產銷!AE40</f>
        <v>0</v>
      </c>
      <c r="AB163" s="522">
        <f>初餾產銷!AF40</f>
        <v>0</v>
      </c>
      <c r="AC163" s="523">
        <f>初餾產銷!AG40</f>
        <v>0</v>
      </c>
      <c r="AD163" s="523">
        <f>初餾產銷!AH40</f>
        <v>0</v>
      </c>
      <c r="AE163" s="524">
        <f>初餾產銷!AI40</f>
        <v>0</v>
      </c>
      <c r="AF163" s="509">
        <f t="shared" si="28"/>
        <v>0</v>
      </c>
      <c r="AH163" s="796"/>
      <c r="AI163" s="796">
        <f t="shared" si="26"/>
        <v>0</v>
      </c>
      <c r="AJ163" s="796">
        <f t="shared" si="27"/>
        <v>0</v>
      </c>
    </row>
    <row r="164" spans="1:36" ht="24" customHeight="1" x14ac:dyDescent="0.25">
      <c r="A164" s="99" t="str">
        <f>初餾產銷!A41</f>
        <v>EBR(R)</v>
      </c>
      <c r="B164" s="371" t="str">
        <f>初餾產銷!B41</f>
        <v>TK656</v>
      </c>
      <c r="C164" s="382">
        <f>初餾產銷!C41</f>
        <v>45</v>
      </c>
      <c r="D164" s="411">
        <f>初餾產銷!D41</f>
        <v>0</v>
      </c>
      <c r="E164" s="411">
        <f>初餾產銷!E41</f>
        <v>0</v>
      </c>
      <c r="F164" s="411">
        <f>初餾產銷!F41</f>
        <v>0</v>
      </c>
      <c r="G164" s="530">
        <f>初餾產銷!G41</f>
        <v>0</v>
      </c>
      <c r="H164" s="865">
        <f>初餾產銷!H41</f>
        <v>0</v>
      </c>
      <c r="I164" s="572">
        <f>初餾產銷!J41</f>
        <v>0</v>
      </c>
      <c r="J164" s="865">
        <f>初餾產銷!K41</f>
        <v>0</v>
      </c>
      <c r="K164" s="595">
        <f>初餾產銷!M41</f>
        <v>0</v>
      </c>
      <c r="L164" s="865">
        <f>初餾產銷!N41</f>
        <v>0</v>
      </c>
      <c r="M164" s="595">
        <f>初餾產銷!P41</f>
        <v>0</v>
      </c>
      <c r="N164" s="865">
        <f>初餾產銷!Q41</f>
        <v>0</v>
      </c>
      <c r="O164" s="595">
        <f>初餾產銷!S41</f>
        <v>0</v>
      </c>
      <c r="P164" s="565">
        <f>初餾產銷!T41</f>
        <v>0</v>
      </c>
      <c r="Q164" s="565">
        <f>初餾產銷!U41</f>
        <v>0</v>
      </c>
      <c r="R164" s="565">
        <f>初餾產銷!V41</f>
        <v>38.5</v>
      </c>
      <c r="S164" s="565">
        <f>初餾產銷!W41</f>
        <v>0</v>
      </c>
      <c r="T164" s="566">
        <f>初餾產銷!X41</f>
        <v>100</v>
      </c>
      <c r="U164" s="567">
        <f>初餾產銷!Y41</f>
        <v>0</v>
      </c>
      <c r="V164" s="568">
        <f>初餾產銷!Z41</f>
        <v>0</v>
      </c>
      <c r="W164" s="569">
        <f>初餾產銷!AA41</f>
        <v>0</v>
      </c>
      <c r="X164" s="570">
        <f>初餾產銷!AB41</f>
        <v>0</v>
      </c>
      <c r="Y164" s="547">
        <f>初餾產銷!AC41</f>
        <v>0</v>
      </c>
      <c r="Z164" s="547">
        <f>初餾產銷!AD41</f>
        <v>0</v>
      </c>
      <c r="AA164" s="571">
        <f>初餾產銷!AE41</f>
        <v>0</v>
      </c>
      <c r="AB164" s="522">
        <f>初餾產銷!AF41</f>
        <v>100</v>
      </c>
      <c r="AC164" s="523">
        <f>初餾產銷!AG41</f>
        <v>100</v>
      </c>
      <c r="AD164" s="523">
        <f>初餾產銷!AH41</f>
        <v>61.5</v>
      </c>
      <c r="AE164" s="524">
        <f>初餾產銷!AI41</f>
        <v>61.5</v>
      </c>
      <c r="AF164" s="509">
        <f t="shared" si="28"/>
        <v>1</v>
      </c>
      <c r="AH164" s="796"/>
      <c r="AI164" s="796">
        <f t="shared" si="26"/>
        <v>0</v>
      </c>
      <c r="AJ164" s="796">
        <f t="shared" si="27"/>
        <v>0</v>
      </c>
    </row>
    <row r="165" spans="1:36" ht="28.5" customHeight="1" x14ac:dyDescent="0.25">
      <c r="A165" s="99" t="str">
        <f>初餾產銷!A42</f>
        <v>HEAVY ENDS</v>
      </c>
      <c r="B165" s="371" t="str">
        <f>初餾產銷!B42</f>
        <v>TK654</v>
      </c>
      <c r="C165" s="382">
        <f>初餾產銷!C42</f>
        <v>46</v>
      </c>
      <c r="D165" s="373">
        <f>初餾產銷!E42</f>
        <v>0</v>
      </c>
      <c r="E165" s="373" t="e">
        <f>初餾產銷!#REF!</f>
        <v>#REF!</v>
      </c>
      <c r="F165" s="373">
        <f>初餾產銷!F42</f>
        <v>0</v>
      </c>
      <c r="G165" s="693">
        <f>初餾產銷!G42</f>
        <v>30</v>
      </c>
      <c r="H165" s="865">
        <f>初餾產銷!H42</f>
        <v>0</v>
      </c>
      <c r="I165" s="572">
        <f>初餾產銷!J42</f>
        <v>0</v>
      </c>
      <c r="J165" s="865">
        <f>初餾產銷!K42</f>
        <v>0</v>
      </c>
      <c r="K165" s="595">
        <f>初餾產銷!M42</f>
        <v>0</v>
      </c>
      <c r="L165" s="865">
        <f>初餾產銷!N42</f>
        <v>0</v>
      </c>
      <c r="M165" s="595">
        <f>初餾產銷!P42</f>
        <v>0</v>
      </c>
      <c r="N165" s="865">
        <f>初餾產銷!Q42</f>
        <v>0</v>
      </c>
      <c r="O165" s="595">
        <f>初餾產銷!S42</f>
        <v>0</v>
      </c>
      <c r="P165" s="565">
        <f>初餾產銷!T42</f>
        <v>0</v>
      </c>
      <c r="Q165" s="565">
        <f>初餾產銷!U42</f>
        <v>89</v>
      </c>
      <c r="R165" s="565">
        <f>初餾產銷!V42</f>
        <v>67</v>
      </c>
      <c r="S165" s="565">
        <f>初餾產銷!W42</f>
        <v>0</v>
      </c>
      <c r="T165" s="566">
        <f>初餾產銷!X42</f>
        <v>0</v>
      </c>
      <c r="U165" s="567">
        <f>初餾產銷!Y42</f>
        <v>115</v>
      </c>
      <c r="V165" s="568">
        <f>初餾產銷!Z42</f>
        <v>46</v>
      </c>
      <c r="W165" s="569">
        <f>初餾產銷!AA42</f>
        <v>0</v>
      </c>
      <c r="X165" s="570">
        <f>初餾產銷!AB42</f>
        <v>0</v>
      </c>
      <c r="Y165" s="547">
        <f>初餾產銷!AC42</f>
        <v>0</v>
      </c>
      <c r="Z165" s="547">
        <f>初餾產銷!AD42</f>
        <v>0</v>
      </c>
      <c r="AA165" s="571">
        <f>初餾產銷!AE42</f>
        <v>0</v>
      </c>
      <c r="AB165" s="522">
        <f>初餾產銷!AF42</f>
        <v>30</v>
      </c>
      <c r="AC165" s="523">
        <f>初餾產銷!AG42</f>
        <v>56</v>
      </c>
      <c r="AD165" s="523">
        <f>初餾產銷!AH42</f>
        <v>35</v>
      </c>
      <c r="AE165" s="524">
        <f>初餾產銷!AI42</f>
        <v>35</v>
      </c>
      <c r="AF165" s="509">
        <f t="shared" si="28"/>
        <v>1</v>
      </c>
      <c r="AH165" s="796"/>
      <c r="AI165" s="796">
        <f t="shared" si="26"/>
        <v>0</v>
      </c>
      <c r="AJ165" s="796">
        <f t="shared" si="27"/>
        <v>0</v>
      </c>
    </row>
    <row r="166" spans="1:36" ht="28.5" hidden="1" customHeight="1" x14ac:dyDescent="0.25">
      <c r="A166" s="180" t="str">
        <f>初餾產銷!A43</f>
        <v>1SEP-P1</v>
      </c>
      <c r="B166" s="371" t="str">
        <f>初餾產銷!B43</f>
        <v>TKC02</v>
      </c>
      <c r="C166" s="354">
        <f>初餾產銷!C43</f>
        <v>41</v>
      </c>
      <c r="D166" s="411">
        <f>初餾產銷!D43</f>
        <v>0</v>
      </c>
      <c r="E166" s="411">
        <f>初餾產銷!E43</f>
        <v>0</v>
      </c>
      <c r="F166" s="371">
        <f>初餾產銷!F43</f>
        <v>0</v>
      </c>
      <c r="G166" s="715">
        <f>初餾產銷!G43</f>
        <v>0</v>
      </c>
      <c r="H166" s="865">
        <f>初餾產銷!H43</f>
        <v>0</v>
      </c>
      <c r="I166" s="572">
        <f>初餾產銷!J43</f>
        <v>0</v>
      </c>
      <c r="J166" s="865">
        <f>初餾產銷!K43</f>
        <v>0</v>
      </c>
      <c r="K166" s="595">
        <f>初餾產銷!M43</f>
        <v>0</v>
      </c>
      <c r="L166" s="865">
        <f>初餾產銷!N43</f>
        <v>0</v>
      </c>
      <c r="M166" s="595">
        <f>初餾產銷!P43</f>
        <v>0</v>
      </c>
      <c r="N166" s="865">
        <f>初餾產銷!Q43</f>
        <v>0</v>
      </c>
      <c r="O166" s="595">
        <f>初餾產銷!S43</f>
        <v>0</v>
      </c>
      <c r="P166" s="565">
        <f>初餾產銷!T43</f>
        <v>0</v>
      </c>
      <c r="Q166" s="565">
        <f>初餾產銷!U43</f>
        <v>0</v>
      </c>
      <c r="R166" s="565">
        <f>初餾產銷!V43</f>
        <v>0</v>
      </c>
      <c r="S166" s="565">
        <f>初餾產銷!W43</f>
        <v>0</v>
      </c>
      <c r="T166" s="566">
        <f>初餾產銷!X43</f>
        <v>0</v>
      </c>
      <c r="U166" s="567">
        <f>初餾產銷!Y43</f>
        <v>0</v>
      </c>
      <c r="V166" s="568">
        <f>初餾產銷!Z43</f>
        <v>0</v>
      </c>
      <c r="W166" s="569">
        <f>初餾產銷!AA43</f>
        <v>0</v>
      </c>
      <c r="X166" s="570">
        <f>初餾產銷!AB43</f>
        <v>0</v>
      </c>
      <c r="Y166" s="547">
        <f>初餾產銷!AC43</f>
        <v>0</v>
      </c>
      <c r="Z166" s="547">
        <f>初餾產銷!AD43</f>
        <v>0</v>
      </c>
      <c r="AA166" s="571">
        <f>初餾產銷!AE43</f>
        <v>0</v>
      </c>
      <c r="AB166" s="522">
        <f>初餾產銷!AF43</f>
        <v>0</v>
      </c>
      <c r="AC166" s="523">
        <f>初餾產銷!AG43</f>
        <v>0</v>
      </c>
      <c r="AD166" s="523">
        <f>初餾產銷!AH43</f>
        <v>0</v>
      </c>
      <c r="AE166" s="524">
        <f>初餾產銷!AI43</f>
        <v>0</v>
      </c>
      <c r="AF166" s="509">
        <f t="shared" si="28"/>
        <v>0</v>
      </c>
      <c r="AH166" s="796"/>
      <c r="AI166" s="796">
        <f t="shared" si="26"/>
        <v>0</v>
      </c>
      <c r="AJ166" s="796">
        <f t="shared" si="27"/>
        <v>0</v>
      </c>
    </row>
    <row r="167" spans="1:36" ht="24" customHeight="1" thickBot="1" x14ac:dyDescent="0.3">
      <c r="A167" s="99" t="str">
        <f>初餾產銷!A44</f>
        <v>CPN-P1R</v>
      </c>
      <c r="B167" s="441" t="str">
        <f>初餾產銷!B44</f>
        <v>TK-643.TK-645</v>
      </c>
      <c r="C167" s="382">
        <f>初餾產銷!C44</f>
        <v>74.8</v>
      </c>
      <c r="D167" s="440">
        <f>初餾產銷!D44</f>
        <v>23</v>
      </c>
      <c r="E167" s="440">
        <f>初餾產銷!E44</f>
        <v>0</v>
      </c>
      <c r="F167" s="440">
        <f>初餾產銷!F44</f>
        <v>0</v>
      </c>
      <c r="G167" s="693">
        <f>初餾產銷!G44</f>
        <v>23</v>
      </c>
      <c r="H167" s="865">
        <f>初餾產銷!H44</f>
        <v>0</v>
      </c>
      <c r="I167" s="572">
        <f>初餾產銷!J44</f>
        <v>0</v>
      </c>
      <c r="J167" s="865">
        <f>初餾產銷!K44</f>
        <v>0</v>
      </c>
      <c r="K167" s="595">
        <f>初餾產銷!M44</f>
        <v>0</v>
      </c>
      <c r="L167" s="865">
        <f>初餾產銷!N44</f>
        <v>0</v>
      </c>
      <c r="M167" s="595">
        <f>初餾產銷!P44</f>
        <v>0</v>
      </c>
      <c r="N167" s="865">
        <f>初餾產銷!Q44</f>
        <v>0</v>
      </c>
      <c r="O167" s="595">
        <f>初餾產銷!S44</f>
        <v>0</v>
      </c>
      <c r="P167" s="565">
        <f>初餾產銷!T44</f>
        <v>186</v>
      </c>
      <c r="Q167" s="520">
        <f>初餾產銷!U44</f>
        <v>407</v>
      </c>
      <c r="R167" s="547">
        <f>初餾產銷!V44</f>
        <v>395</v>
      </c>
      <c r="S167" s="572">
        <f>初餾產銷!W44</f>
        <v>395</v>
      </c>
      <c r="T167" s="566">
        <f>初餾產銷!X44</f>
        <v>50</v>
      </c>
      <c r="U167" s="567">
        <f>初餾產銷!Y44</f>
        <v>400</v>
      </c>
      <c r="V167" s="568">
        <f>初餾產銷!Z44</f>
        <v>400</v>
      </c>
      <c r="W167" s="569">
        <f>初餾產銷!AA44</f>
        <v>400</v>
      </c>
      <c r="X167" s="570">
        <f>初餾產銷!AB44</f>
        <v>0</v>
      </c>
      <c r="Y167" s="547">
        <f>初餾產銷!AC44</f>
        <v>0</v>
      </c>
      <c r="Z167" s="547">
        <f>初餾產銷!AD44</f>
        <v>0</v>
      </c>
      <c r="AA167" s="573">
        <f>初餾產銷!AE44</f>
        <v>0</v>
      </c>
      <c r="AB167" s="536">
        <f>初餾產銷!AF44</f>
        <v>-113</v>
      </c>
      <c r="AC167" s="537">
        <f>初餾產銷!AG44</f>
        <v>-120</v>
      </c>
      <c r="AD167" s="537">
        <f>初餾產銷!AH44</f>
        <v>-115</v>
      </c>
      <c r="AE167" s="538">
        <f>初餾產銷!AI44</f>
        <v>-110</v>
      </c>
      <c r="AF167" s="509">
        <f t="shared" si="28"/>
        <v>1</v>
      </c>
      <c r="AH167" s="796"/>
      <c r="AI167" s="796">
        <f t="shared" si="26"/>
        <v>0</v>
      </c>
      <c r="AJ167" s="796">
        <f t="shared" si="27"/>
        <v>0</v>
      </c>
    </row>
    <row r="168" spans="1:36" ht="28.5" hidden="1" customHeight="1" thickTop="1" x14ac:dyDescent="0.25">
      <c r="A168" s="97">
        <f>初餾產銷!A45</f>
        <v>0</v>
      </c>
      <c r="B168" s="363">
        <f>初餾產銷!B45</f>
        <v>0</v>
      </c>
      <c r="C168" s="361">
        <f>初餾產銷!C45</f>
        <v>0</v>
      </c>
      <c r="D168" s="362">
        <f>初餾產銷!D45</f>
        <v>0</v>
      </c>
      <c r="E168" s="363">
        <f>初餾產銷!E45</f>
        <v>0</v>
      </c>
      <c r="F168" s="363">
        <f>初餾產銷!F45</f>
        <v>0</v>
      </c>
      <c r="G168" s="530">
        <f>初餾產銷!G45</f>
        <v>0</v>
      </c>
      <c r="H168" s="864">
        <f>初餾產銷!H45</f>
        <v>0</v>
      </c>
      <c r="I168" s="575">
        <f>初餾產銷!J45</f>
        <v>0</v>
      </c>
      <c r="J168" s="864">
        <f>初餾產銷!K45</f>
        <v>0</v>
      </c>
      <c r="K168" s="532">
        <f>初餾產銷!M45</f>
        <v>0</v>
      </c>
      <c r="L168" s="864">
        <f>初餾產銷!N45</f>
        <v>0</v>
      </c>
      <c r="M168" s="532">
        <f>初餾產銷!P45</f>
        <v>0</v>
      </c>
      <c r="N168" s="864">
        <f>初餾產銷!Q45</f>
        <v>0</v>
      </c>
      <c r="O168" s="532">
        <f>初餾產銷!S45</f>
        <v>0</v>
      </c>
      <c r="P168" s="558">
        <f>初餾產銷!T45</f>
        <v>0</v>
      </c>
      <c r="Q168" s="563">
        <f>初餾產銷!U45</f>
        <v>0</v>
      </c>
      <c r="R168" s="563">
        <f>初餾產銷!V45</f>
        <v>0</v>
      </c>
      <c r="S168" s="575">
        <f>初餾產銷!W45</f>
        <v>0</v>
      </c>
      <c r="T168" s="531">
        <f>初餾產銷!X45</f>
        <v>0</v>
      </c>
      <c r="U168" s="559">
        <f>初餾產銷!Y45</f>
        <v>0</v>
      </c>
      <c r="V168" s="560">
        <f>初餾產銷!Z45</f>
        <v>0</v>
      </c>
      <c r="W168" s="561">
        <f>初餾產銷!AA45</f>
        <v>0</v>
      </c>
      <c r="X168" s="562">
        <f>初餾產銷!AB45</f>
        <v>0</v>
      </c>
      <c r="Y168" s="563">
        <f>初餾產銷!AC45</f>
        <v>0</v>
      </c>
      <c r="Z168" s="563">
        <f>初餾產銷!AD45</f>
        <v>0</v>
      </c>
      <c r="AA168" s="564">
        <f>初餾產銷!AE45</f>
        <v>0</v>
      </c>
      <c r="AB168" s="510">
        <f>初餾產銷!AF45</f>
        <v>0</v>
      </c>
      <c r="AC168" s="511">
        <f>初餾產銷!AG45</f>
        <v>0</v>
      </c>
      <c r="AD168" s="511">
        <f>初餾產銷!AH45</f>
        <v>0</v>
      </c>
      <c r="AE168" s="512">
        <f>初餾產銷!AI45</f>
        <v>0</v>
      </c>
      <c r="AF168" s="509">
        <f t="shared" si="28"/>
        <v>0</v>
      </c>
      <c r="AH168" s="796"/>
      <c r="AI168" s="796">
        <f t="shared" si="26"/>
        <v>0</v>
      </c>
      <c r="AJ168" s="796">
        <f t="shared" si="27"/>
        <v>0</v>
      </c>
    </row>
    <row r="169" spans="1:36" ht="28.5" hidden="1" customHeight="1" x14ac:dyDescent="0.25">
      <c r="A169" s="99">
        <f>初餾產銷!A46</f>
        <v>0</v>
      </c>
      <c r="B169" s="371">
        <f>初餾產銷!B46</f>
        <v>0</v>
      </c>
      <c r="C169" s="382">
        <f>初餾產銷!C46</f>
        <v>0</v>
      </c>
      <c r="D169" s="347">
        <f>初餾產銷!D46</f>
        <v>0</v>
      </c>
      <c r="E169" s="371">
        <f>初餾產銷!E46</f>
        <v>0</v>
      </c>
      <c r="F169" s="371">
        <f>初餾產銷!F46</f>
        <v>0</v>
      </c>
      <c r="G169" s="693">
        <f>初餾產銷!G46</f>
        <v>0</v>
      </c>
      <c r="H169" s="865">
        <f>初餾產銷!H46</f>
        <v>0</v>
      </c>
      <c r="I169" s="595">
        <f>初餾產銷!J46</f>
        <v>0</v>
      </c>
      <c r="J169" s="865">
        <f>初餾產銷!K46</f>
        <v>0</v>
      </c>
      <c r="K169" s="595">
        <f>初餾產銷!M46</f>
        <v>0</v>
      </c>
      <c r="L169" s="865">
        <f>初餾產銷!N46</f>
        <v>0</v>
      </c>
      <c r="M169" s="595">
        <f>初餾產銷!P46</f>
        <v>0</v>
      </c>
      <c r="N169" s="865">
        <f>初餾產銷!Q46</f>
        <v>0</v>
      </c>
      <c r="O169" s="595">
        <f>初餾產銷!S46</f>
        <v>0</v>
      </c>
      <c r="P169" s="565">
        <f>初餾產銷!T46</f>
        <v>0</v>
      </c>
      <c r="Q169" s="547">
        <f>初餾產銷!U46</f>
        <v>0</v>
      </c>
      <c r="R169" s="547">
        <f>初餾產銷!V46</f>
        <v>0</v>
      </c>
      <c r="S169" s="572">
        <f>初餾產銷!W46</f>
        <v>0</v>
      </c>
      <c r="T169" s="566">
        <f>初餾產銷!X46</f>
        <v>0</v>
      </c>
      <c r="U169" s="567">
        <f>初餾產銷!Y46</f>
        <v>0</v>
      </c>
      <c r="V169" s="568">
        <f>初餾產銷!Z46</f>
        <v>0</v>
      </c>
      <c r="W169" s="569">
        <f>初餾產銷!AA46</f>
        <v>0</v>
      </c>
      <c r="X169" s="570">
        <f>初餾產銷!AB46</f>
        <v>0</v>
      </c>
      <c r="Y169" s="547">
        <f>初餾產銷!AC46</f>
        <v>0</v>
      </c>
      <c r="Z169" s="547">
        <f>初餾產銷!AD46</f>
        <v>0</v>
      </c>
      <c r="AA169" s="571">
        <f>初餾產銷!AE46</f>
        <v>0</v>
      </c>
      <c r="AB169" s="522">
        <f>初餾產銷!AF46</f>
        <v>0</v>
      </c>
      <c r="AC169" s="523">
        <f>初餾產銷!AG46</f>
        <v>0</v>
      </c>
      <c r="AD169" s="590">
        <f>初餾產銷!AH46</f>
        <v>0</v>
      </c>
      <c r="AE169" s="524">
        <f>初餾產銷!AI46</f>
        <v>0</v>
      </c>
      <c r="AF169" s="509">
        <f t="shared" si="28"/>
        <v>0</v>
      </c>
      <c r="AH169" s="796"/>
      <c r="AI169" s="796">
        <f t="shared" si="26"/>
        <v>0</v>
      </c>
      <c r="AJ169" s="796">
        <f t="shared" si="27"/>
        <v>0</v>
      </c>
    </row>
    <row r="170" spans="1:36" ht="28.5" hidden="1" customHeight="1" x14ac:dyDescent="0.25">
      <c r="A170" s="99">
        <f>初餾產銷!A47</f>
        <v>0</v>
      </c>
      <c r="B170" s="371">
        <f>初餾產銷!B47</f>
        <v>0</v>
      </c>
      <c r="C170" s="382">
        <f>初餾產銷!C47</f>
        <v>0</v>
      </c>
      <c r="D170" s="411">
        <f>初餾產銷!D47</f>
        <v>0</v>
      </c>
      <c r="E170" s="371">
        <f>初餾產銷!E47</f>
        <v>0</v>
      </c>
      <c r="F170" s="371">
        <f>初餾產銷!F47</f>
        <v>0</v>
      </c>
      <c r="G170" s="693">
        <f>初餾產銷!G47</f>
        <v>0</v>
      </c>
      <c r="H170" s="865">
        <f>初餾產銷!H47</f>
        <v>0</v>
      </c>
      <c r="I170" s="572">
        <f>初餾產銷!J47</f>
        <v>0</v>
      </c>
      <c r="J170" s="865">
        <f>初餾產銷!K47</f>
        <v>0</v>
      </c>
      <c r="K170" s="595">
        <f>初餾產銷!M47</f>
        <v>0</v>
      </c>
      <c r="L170" s="865">
        <f>初餾產銷!N47</f>
        <v>0</v>
      </c>
      <c r="M170" s="595">
        <f>初餾產銷!P47</f>
        <v>0</v>
      </c>
      <c r="N170" s="865">
        <f>初餾產銷!Q47</f>
        <v>0</v>
      </c>
      <c r="O170" s="595">
        <f>初餾產銷!S47</f>
        <v>0</v>
      </c>
      <c r="P170" s="565">
        <f>初餾產銷!T47</f>
        <v>0</v>
      </c>
      <c r="Q170" s="547">
        <f>初餾產銷!U47</f>
        <v>0</v>
      </c>
      <c r="R170" s="547">
        <f>初餾產銷!V47</f>
        <v>0</v>
      </c>
      <c r="S170" s="572">
        <f>初餾產銷!W47</f>
        <v>0</v>
      </c>
      <c r="T170" s="566">
        <f>初餾產銷!X47</f>
        <v>0</v>
      </c>
      <c r="U170" s="567">
        <f>初餾產銷!Y47</f>
        <v>0</v>
      </c>
      <c r="V170" s="568">
        <f>初餾產銷!Z47</f>
        <v>0</v>
      </c>
      <c r="W170" s="569">
        <f>初餾產銷!AA47</f>
        <v>0</v>
      </c>
      <c r="X170" s="570">
        <f>初餾產銷!AB47</f>
        <v>0</v>
      </c>
      <c r="Y170" s="547">
        <f>初餾產銷!AC47</f>
        <v>0</v>
      </c>
      <c r="Z170" s="547">
        <f>初餾產銷!AD47</f>
        <v>0</v>
      </c>
      <c r="AA170" s="571">
        <f>初餾產銷!AE47</f>
        <v>0</v>
      </c>
      <c r="AB170" s="522">
        <f>初餾產銷!AF47</f>
        <v>0</v>
      </c>
      <c r="AC170" s="523">
        <f>初餾產銷!AG47</f>
        <v>0</v>
      </c>
      <c r="AD170" s="523">
        <f>初餾產銷!AH47</f>
        <v>0</v>
      </c>
      <c r="AE170" s="524">
        <f>初餾產銷!AI47</f>
        <v>0</v>
      </c>
      <c r="AF170" s="509">
        <f t="shared" si="28"/>
        <v>0</v>
      </c>
      <c r="AH170" s="796"/>
      <c r="AI170" s="796">
        <f t="shared" si="26"/>
        <v>0</v>
      </c>
      <c r="AJ170" s="796">
        <f t="shared" si="27"/>
        <v>0</v>
      </c>
    </row>
    <row r="171" spans="1:36" ht="28.5" hidden="1" customHeight="1" x14ac:dyDescent="0.25">
      <c r="A171" s="99">
        <f>初餾產銷!A48</f>
        <v>0</v>
      </c>
      <c r="B171" s="371">
        <f>初餾產銷!B48</f>
        <v>0</v>
      </c>
      <c r="C171" s="382">
        <f>初餾產銷!C48</f>
        <v>0</v>
      </c>
      <c r="D171" s="411">
        <f>初餾產銷!D48</f>
        <v>0</v>
      </c>
      <c r="E171" s="371">
        <f>初餾產銷!E48</f>
        <v>0</v>
      </c>
      <c r="F171" s="371">
        <f>初餾產銷!F48</f>
        <v>0</v>
      </c>
      <c r="G171" s="693">
        <f>初餾產銷!G48</f>
        <v>0</v>
      </c>
      <c r="H171" s="866">
        <f>初餾產銷!H48</f>
        <v>0</v>
      </c>
      <c r="I171" s="572">
        <f>初餾產銷!J48</f>
        <v>0</v>
      </c>
      <c r="J171" s="865">
        <f>初餾產銷!K48</f>
        <v>0</v>
      </c>
      <c r="K171" s="595">
        <f>初餾產銷!M48</f>
        <v>0</v>
      </c>
      <c r="L171" s="865">
        <f>初餾產銷!N48</f>
        <v>0</v>
      </c>
      <c r="M171" s="595">
        <f>初餾產銷!P48</f>
        <v>0</v>
      </c>
      <c r="N171" s="865">
        <f>初餾產銷!Q48</f>
        <v>0</v>
      </c>
      <c r="O171" s="595">
        <f>初餾產銷!S48</f>
        <v>0</v>
      </c>
      <c r="P171" s="565">
        <f>初餾產銷!T48</f>
        <v>0</v>
      </c>
      <c r="Q171" s="547">
        <f>初餾產銷!U48</f>
        <v>0</v>
      </c>
      <c r="R171" s="547">
        <f>初餾產銷!V48</f>
        <v>0</v>
      </c>
      <c r="S171" s="572">
        <f>初餾產銷!W48</f>
        <v>0</v>
      </c>
      <c r="T171" s="566">
        <f>初餾產銷!X48</f>
        <v>0</v>
      </c>
      <c r="U171" s="567">
        <f>初餾產銷!Y48</f>
        <v>0</v>
      </c>
      <c r="V171" s="568">
        <f>初餾產銷!Z48</f>
        <v>0</v>
      </c>
      <c r="W171" s="569">
        <f>初餾產銷!AA48</f>
        <v>0</v>
      </c>
      <c r="X171" s="570">
        <f>初餾產銷!AB48</f>
        <v>0</v>
      </c>
      <c r="Y171" s="547">
        <f>初餾產銷!AC48</f>
        <v>0</v>
      </c>
      <c r="Z171" s="547">
        <f>初餾產銷!AD48</f>
        <v>0</v>
      </c>
      <c r="AA171" s="571">
        <f>初餾產銷!AE48</f>
        <v>0</v>
      </c>
      <c r="AB171" s="536">
        <f>初餾產銷!AF48</f>
        <v>0</v>
      </c>
      <c r="AC171" s="537">
        <f>初餾產銷!AG48</f>
        <v>0</v>
      </c>
      <c r="AD171" s="537">
        <f>初餾產銷!AH48</f>
        <v>0</v>
      </c>
      <c r="AE171" s="538">
        <f>初餾產銷!AI48</f>
        <v>0</v>
      </c>
      <c r="AF171" s="509">
        <f t="shared" si="28"/>
        <v>0</v>
      </c>
      <c r="AH171" s="796"/>
      <c r="AI171" s="796">
        <f t="shared" si="26"/>
        <v>0</v>
      </c>
      <c r="AJ171" s="796">
        <f t="shared" si="27"/>
        <v>0</v>
      </c>
    </row>
    <row r="172" spans="1:36" ht="28.5" hidden="1" customHeight="1" x14ac:dyDescent="0.25">
      <c r="A172" s="99">
        <f>初餾產銷!A49</f>
        <v>0</v>
      </c>
      <c r="B172" s="371">
        <f>初餾產銷!B49</f>
        <v>0</v>
      </c>
      <c r="C172" s="382">
        <f>初餾產銷!C49</f>
        <v>0</v>
      </c>
      <c r="D172" s="411">
        <f>初餾產銷!D49</f>
        <v>0</v>
      </c>
      <c r="E172" s="371">
        <f>初餾產銷!E49</f>
        <v>0</v>
      </c>
      <c r="F172" s="371">
        <f>初餾產銷!F49</f>
        <v>0</v>
      </c>
      <c r="G172" s="867">
        <f>初餾產銷!G49</f>
        <v>0</v>
      </c>
      <c r="H172" s="865">
        <f>初餾產銷!H49</f>
        <v>0</v>
      </c>
      <c r="I172" s="572">
        <f>初餾產銷!J49</f>
        <v>0</v>
      </c>
      <c r="J172" s="865">
        <f>初餾產銷!K49</f>
        <v>0</v>
      </c>
      <c r="K172" s="595">
        <f>初餾產銷!M49</f>
        <v>0</v>
      </c>
      <c r="L172" s="865">
        <f>初餾產銷!N49</f>
        <v>0</v>
      </c>
      <c r="M172" s="595">
        <f>初餾產銷!P49</f>
        <v>0</v>
      </c>
      <c r="N172" s="865">
        <f>初餾產銷!Q49</f>
        <v>0</v>
      </c>
      <c r="O172" s="595">
        <f>初餾產銷!S49</f>
        <v>0</v>
      </c>
      <c r="P172" s="565">
        <f>初餾產銷!T49</f>
        <v>0</v>
      </c>
      <c r="Q172" s="547">
        <f>初餾產銷!U49</f>
        <v>0</v>
      </c>
      <c r="R172" s="547">
        <f>初餾產銷!V49</f>
        <v>0</v>
      </c>
      <c r="S172" s="572">
        <f>初餾產銷!W49</f>
        <v>0</v>
      </c>
      <c r="T172" s="566">
        <f>初餾產銷!X49</f>
        <v>0</v>
      </c>
      <c r="U172" s="567">
        <f>初餾產銷!Y49</f>
        <v>0</v>
      </c>
      <c r="V172" s="568">
        <f>初餾產銷!Z49</f>
        <v>0</v>
      </c>
      <c r="W172" s="569">
        <f>初餾產銷!AA49</f>
        <v>0</v>
      </c>
      <c r="X172" s="570">
        <f>初餾產銷!AB49</f>
        <v>0</v>
      </c>
      <c r="Y172" s="547">
        <f>初餾產銷!AC49</f>
        <v>0</v>
      </c>
      <c r="Z172" s="547">
        <f>初餾產銷!AD49</f>
        <v>0</v>
      </c>
      <c r="AA172" s="571">
        <f>初餾產銷!AE49</f>
        <v>0</v>
      </c>
      <c r="AB172" s="533">
        <f>初餾產銷!AF49</f>
        <v>0</v>
      </c>
      <c r="AC172" s="534">
        <f>初餾產銷!AG49</f>
        <v>0</v>
      </c>
      <c r="AD172" s="534">
        <f>初餾產銷!AH49</f>
        <v>0</v>
      </c>
      <c r="AE172" s="535">
        <f>初餾產銷!AI49</f>
        <v>0</v>
      </c>
      <c r="AF172" s="509">
        <f t="shared" si="28"/>
        <v>0</v>
      </c>
      <c r="AH172" s="796"/>
      <c r="AI172" s="796">
        <f t="shared" si="26"/>
        <v>0</v>
      </c>
      <c r="AJ172" s="796">
        <f t="shared" si="27"/>
        <v>0</v>
      </c>
    </row>
    <row r="173" spans="1:36" ht="28.5" hidden="1" customHeight="1" x14ac:dyDescent="0.25">
      <c r="A173" s="99">
        <f>初餾產銷!A50</f>
        <v>0</v>
      </c>
      <c r="B173" s="371">
        <f>初餾產銷!B50</f>
        <v>0</v>
      </c>
      <c r="C173" s="397">
        <f>初餾產銷!C50</f>
        <v>0</v>
      </c>
      <c r="D173" s="429">
        <f>初餾產銷!D50</f>
        <v>0</v>
      </c>
      <c r="E173" s="430">
        <f>初餾產銷!E50</f>
        <v>0</v>
      </c>
      <c r="F173" s="430">
        <f>初餾產銷!F50</f>
        <v>0</v>
      </c>
      <c r="G173" s="867">
        <f>初餾產銷!G50</f>
        <v>0</v>
      </c>
      <c r="H173" s="865">
        <f>初餾產銷!H50</f>
        <v>0</v>
      </c>
      <c r="I173" s="572">
        <f>初餾產銷!J50</f>
        <v>0</v>
      </c>
      <c r="J173" s="865">
        <f>初餾產銷!K50</f>
        <v>0</v>
      </c>
      <c r="K173" s="595">
        <f>初餾產銷!M50</f>
        <v>0</v>
      </c>
      <c r="L173" s="865">
        <f>初餾產銷!N50</f>
        <v>0</v>
      </c>
      <c r="M173" s="595">
        <f>初餾產銷!P50</f>
        <v>0</v>
      </c>
      <c r="N173" s="865">
        <f>初餾產銷!Q50</f>
        <v>0</v>
      </c>
      <c r="O173" s="595">
        <f>初餾產銷!S50</f>
        <v>0</v>
      </c>
      <c r="P173" s="565">
        <f>初餾產銷!T50</f>
        <v>0</v>
      </c>
      <c r="Q173" s="520">
        <f>初餾產銷!U50</f>
        <v>0</v>
      </c>
      <c r="R173" s="520">
        <f>初餾產銷!V50</f>
        <v>0</v>
      </c>
      <c r="S173" s="574">
        <f>初餾產銷!W50</f>
        <v>0</v>
      </c>
      <c r="T173" s="566">
        <f>初餾產銷!X50</f>
        <v>0</v>
      </c>
      <c r="U173" s="567">
        <f>初餾產銷!Y50</f>
        <v>0</v>
      </c>
      <c r="V173" s="568">
        <f>初餾產銷!Z50</f>
        <v>0</v>
      </c>
      <c r="W173" s="569">
        <f>初餾產銷!AA50</f>
        <v>0</v>
      </c>
      <c r="X173" s="570">
        <f>初餾產銷!AB50</f>
        <v>0</v>
      </c>
      <c r="Y173" s="547">
        <f>初餾產銷!AC50</f>
        <v>0</v>
      </c>
      <c r="Z173" s="547">
        <f>初餾產銷!AD50</f>
        <v>0</v>
      </c>
      <c r="AA173" s="573">
        <f>初餾產銷!AE50</f>
        <v>0</v>
      </c>
      <c r="AB173" s="536">
        <f>初餾產銷!AF50</f>
        <v>0</v>
      </c>
      <c r="AC173" s="537">
        <f>初餾產銷!AG50</f>
        <v>0</v>
      </c>
      <c r="AD173" s="537">
        <f>初餾產銷!AH50</f>
        <v>0</v>
      </c>
      <c r="AE173" s="538">
        <f>初餾產銷!AI50</f>
        <v>0</v>
      </c>
      <c r="AF173" s="509">
        <f t="shared" si="28"/>
        <v>0</v>
      </c>
      <c r="AH173" s="796"/>
      <c r="AI173" s="796">
        <f t="shared" si="26"/>
        <v>0</v>
      </c>
      <c r="AJ173" s="796">
        <f t="shared" si="27"/>
        <v>0</v>
      </c>
    </row>
    <row r="174" spans="1:36" ht="28.5" hidden="1" customHeight="1" x14ac:dyDescent="0.25">
      <c r="A174" s="97">
        <f>初餾產銷!A51</f>
        <v>0</v>
      </c>
      <c r="B174" s="363">
        <f>初餾產銷!B51</f>
        <v>0</v>
      </c>
      <c r="C174" s="361">
        <f>初餾產銷!C51</f>
        <v>0</v>
      </c>
      <c r="D174" s="362">
        <f>初餾產銷!D51</f>
        <v>0</v>
      </c>
      <c r="E174" s="363">
        <f>初餾產銷!E51</f>
        <v>0</v>
      </c>
      <c r="F174" s="363">
        <f>初餾產銷!F51</f>
        <v>0</v>
      </c>
      <c r="G174" s="530">
        <f>初餾產銷!G51</f>
        <v>0</v>
      </c>
      <c r="H174" s="864">
        <f>初餾產銷!H51</f>
        <v>0</v>
      </c>
      <c r="I174" s="575">
        <f>初餾產銷!J51</f>
        <v>0</v>
      </c>
      <c r="J174" s="864">
        <f>初餾產銷!K51</f>
        <v>0</v>
      </c>
      <c r="K174" s="532">
        <f>初餾產銷!M51</f>
        <v>0</v>
      </c>
      <c r="L174" s="864">
        <f>初餾產銷!N51</f>
        <v>0</v>
      </c>
      <c r="M174" s="532">
        <f>初餾產銷!P51</f>
        <v>0</v>
      </c>
      <c r="N174" s="864">
        <f>初餾產銷!Q51</f>
        <v>0</v>
      </c>
      <c r="O174" s="532">
        <f>初餾產銷!S51</f>
        <v>0</v>
      </c>
      <c r="P174" s="558">
        <f>初餾產銷!T51</f>
        <v>0</v>
      </c>
      <c r="Q174" s="563">
        <f>初餾產銷!U51</f>
        <v>0</v>
      </c>
      <c r="R174" s="563">
        <f>初餾產銷!V51</f>
        <v>0</v>
      </c>
      <c r="S174" s="575">
        <f>初餾產銷!W51</f>
        <v>0</v>
      </c>
      <c r="T174" s="531">
        <f>初餾產銷!X51</f>
        <v>0</v>
      </c>
      <c r="U174" s="559">
        <f>初餾產銷!Y51</f>
        <v>0</v>
      </c>
      <c r="V174" s="560">
        <f>初餾產銷!Z51</f>
        <v>0</v>
      </c>
      <c r="W174" s="561">
        <f>初餾產銷!AA51</f>
        <v>0</v>
      </c>
      <c r="X174" s="562">
        <f>初餾產銷!AB51</f>
        <v>0</v>
      </c>
      <c r="Y174" s="563">
        <f>初餾產銷!AC51</f>
        <v>0</v>
      </c>
      <c r="Z174" s="563">
        <f>初餾產銷!AD51</f>
        <v>0</v>
      </c>
      <c r="AA174" s="564">
        <f>初餾產銷!AE51</f>
        <v>0</v>
      </c>
      <c r="AB174" s="513">
        <f>初餾產銷!AF51</f>
        <v>0</v>
      </c>
      <c r="AC174" s="514">
        <f>初餾產銷!AG51</f>
        <v>0</v>
      </c>
      <c r="AD174" s="514">
        <f>初餾產銷!AH51</f>
        <v>0</v>
      </c>
      <c r="AE174" s="515">
        <f>初餾產銷!AI51</f>
        <v>0</v>
      </c>
      <c r="AF174" s="509">
        <f t="shared" si="28"/>
        <v>0</v>
      </c>
      <c r="AH174" s="796"/>
      <c r="AI174" s="796">
        <f t="shared" si="26"/>
        <v>0</v>
      </c>
      <c r="AJ174" s="796">
        <f t="shared" si="27"/>
        <v>0</v>
      </c>
    </row>
    <row r="175" spans="1:36" ht="28.5" hidden="1" customHeight="1" x14ac:dyDescent="0.25">
      <c r="A175" s="99">
        <f>初餾產銷!A52</f>
        <v>0</v>
      </c>
      <c r="B175" s="371">
        <f>初餾產銷!B52</f>
        <v>0</v>
      </c>
      <c r="C175" s="382">
        <f>初餾產銷!C52</f>
        <v>0</v>
      </c>
      <c r="D175" s="411">
        <f>初餾產銷!D52</f>
        <v>0</v>
      </c>
      <c r="E175" s="371">
        <f>初餾產銷!E52</f>
        <v>0</v>
      </c>
      <c r="F175" s="371">
        <f>初餾產銷!F52</f>
        <v>0</v>
      </c>
      <c r="G175" s="693">
        <f>初餾產銷!G52</f>
        <v>0</v>
      </c>
      <c r="H175" s="865">
        <f>初餾產銷!H52</f>
        <v>0</v>
      </c>
      <c r="I175" s="572">
        <f>初餾產銷!J52</f>
        <v>0</v>
      </c>
      <c r="J175" s="865">
        <f>初餾產銷!K52</f>
        <v>0</v>
      </c>
      <c r="K175" s="595">
        <f>初餾產銷!M52</f>
        <v>0</v>
      </c>
      <c r="L175" s="865">
        <f>初餾產銷!N52</f>
        <v>0</v>
      </c>
      <c r="M175" s="595">
        <f>初餾產銷!P52</f>
        <v>0</v>
      </c>
      <c r="N175" s="865">
        <f>初餾產銷!Q52</f>
        <v>0</v>
      </c>
      <c r="O175" s="595">
        <f>初餾產銷!S52</f>
        <v>0</v>
      </c>
      <c r="P175" s="565">
        <f>初餾產銷!T52</f>
        <v>0</v>
      </c>
      <c r="Q175" s="547">
        <f>初餾產銷!U52</f>
        <v>0</v>
      </c>
      <c r="R175" s="547">
        <f>初餾產銷!V52</f>
        <v>0</v>
      </c>
      <c r="S175" s="572">
        <f>初餾產銷!W52</f>
        <v>0</v>
      </c>
      <c r="T175" s="566">
        <f>初餾產銷!X52</f>
        <v>0</v>
      </c>
      <c r="U175" s="567">
        <f>初餾產銷!Y52</f>
        <v>0</v>
      </c>
      <c r="V175" s="568">
        <f>初餾產銷!Z52</f>
        <v>0</v>
      </c>
      <c r="W175" s="569">
        <f>初餾產銷!AA52</f>
        <v>0</v>
      </c>
      <c r="X175" s="570">
        <f>初餾產銷!AB52</f>
        <v>0</v>
      </c>
      <c r="Y175" s="547">
        <f>初餾產銷!AC52</f>
        <v>0</v>
      </c>
      <c r="Z175" s="547">
        <f>初餾產銷!AD52</f>
        <v>0</v>
      </c>
      <c r="AA175" s="571">
        <f>初餾產銷!AE52</f>
        <v>0</v>
      </c>
      <c r="AB175" s="533">
        <f>初餾產銷!AF52</f>
        <v>0</v>
      </c>
      <c r="AC175" s="534">
        <f>初餾產銷!AG52</f>
        <v>0</v>
      </c>
      <c r="AD175" s="534">
        <f>初餾產銷!AH52</f>
        <v>0</v>
      </c>
      <c r="AE175" s="535">
        <f>初餾產銷!AI52</f>
        <v>0</v>
      </c>
      <c r="AF175" s="509">
        <f t="shared" si="28"/>
        <v>0</v>
      </c>
      <c r="AH175" s="796"/>
      <c r="AI175" s="796">
        <f t="shared" si="26"/>
        <v>0</v>
      </c>
      <c r="AJ175" s="796">
        <f t="shared" si="27"/>
        <v>0</v>
      </c>
    </row>
    <row r="176" spans="1:36" ht="28.5" hidden="1" customHeight="1" x14ac:dyDescent="0.25">
      <c r="A176" s="99">
        <f>初餾產銷!A53</f>
        <v>0</v>
      </c>
      <c r="B176" s="371">
        <f>初餾產銷!B53</f>
        <v>0</v>
      </c>
      <c r="C176" s="382">
        <f>初餾產銷!C53</f>
        <v>0</v>
      </c>
      <c r="D176" s="411">
        <f>初餾產銷!D53</f>
        <v>0</v>
      </c>
      <c r="E176" s="371">
        <f>初餾產銷!E53</f>
        <v>0</v>
      </c>
      <c r="F176" s="371">
        <f>初餾產銷!F53</f>
        <v>0</v>
      </c>
      <c r="G176" s="693">
        <f>初餾產銷!G53</f>
        <v>0</v>
      </c>
      <c r="H176" s="865">
        <f>初餾產銷!H53</f>
        <v>0</v>
      </c>
      <c r="I176" s="572">
        <f>初餾產銷!J53</f>
        <v>0</v>
      </c>
      <c r="J176" s="865">
        <f>初餾產銷!K53</f>
        <v>0</v>
      </c>
      <c r="K176" s="595">
        <f>初餾產銷!M53</f>
        <v>0</v>
      </c>
      <c r="L176" s="865">
        <f>初餾產銷!N53</f>
        <v>0</v>
      </c>
      <c r="M176" s="595">
        <f>初餾產銷!P53</f>
        <v>0</v>
      </c>
      <c r="N176" s="865">
        <f>初餾產銷!Q53</f>
        <v>0</v>
      </c>
      <c r="O176" s="595">
        <f>初餾產銷!S53</f>
        <v>0</v>
      </c>
      <c r="P176" s="565">
        <f>初餾產銷!T53</f>
        <v>0</v>
      </c>
      <c r="Q176" s="547">
        <f>初餾產銷!U53</f>
        <v>0</v>
      </c>
      <c r="R176" s="547">
        <f>初餾產銷!V53</f>
        <v>0</v>
      </c>
      <c r="S176" s="572">
        <f>初餾產銷!W53</f>
        <v>0</v>
      </c>
      <c r="T176" s="566">
        <f>初餾產銷!X53</f>
        <v>0</v>
      </c>
      <c r="U176" s="567">
        <f>初餾產銷!Y53</f>
        <v>0</v>
      </c>
      <c r="V176" s="568">
        <f>初餾產銷!Z53</f>
        <v>0</v>
      </c>
      <c r="W176" s="569">
        <f>初餾產銷!AA53</f>
        <v>0</v>
      </c>
      <c r="X176" s="570">
        <f>初餾產銷!AB53</f>
        <v>0</v>
      </c>
      <c r="Y176" s="547">
        <f>初餾產銷!AC53</f>
        <v>0</v>
      </c>
      <c r="Z176" s="547">
        <f>初餾產銷!AD53</f>
        <v>0</v>
      </c>
      <c r="AA176" s="573">
        <f>初餾產銷!AE53</f>
        <v>0</v>
      </c>
      <c r="AB176" s="536">
        <f>初餾產銷!AF53</f>
        <v>0</v>
      </c>
      <c r="AC176" s="537">
        <f>初餾產銷!AG53</f>
        <v>0</v>
      </c>
      <c r="AD176" s="537">
        <f>初餾產銷!AH53</f>
        <v>0</v>
      </c>
      <c r="AE176" s="538">
        <f>初餾產銷!AI53</f>
        <v>0</v>
      </c>
      <c r="AF176" s="509">
        <f t="shared" si="28"/>
        <v>0</v>
      </c>
      <c r="AH176" s="796"/>
      <c r="AI176" s="796">
        <f t="shared" si="26"/>
        <v>0</v>
      </c>
      <c r="AJ176" s="796">
        <f t="shared" si="27"/>
        <v>0</v>
      </c>
    </row>
    <row r="177" spans="1:36" ht="28.5" hidden="1" customHeight="1" x14ac:dyDescent="0.25">
      <c r="A177" s="97">
        <f>初餾產銷!A54</f>
        <v>0</v>
      </c>
      <c r="B177" s="371">
        <f>初餾產銷!B54</f>
        <v>0</v>
      </c>
      <c r="C177" s="361">
        <f>初餾產銷!C54</f>
        <v>0</v>
      </c>
      <c r="D177" s="362">
        <f>初餾產銷!D54</f>
        <v>0</v>
      </c>
      <c r="E177" s="363">
        <f>初餾產銷!E54</f>
        <v>0</v>
      </c>
      <c r="F177" s="363">
        <f>初餾產銷!F54</f>
        <v>0</v>
      </c>
      <c r="G177" s="530">
        <f>初餾產銷!G54</f>
        <v>0</v>
      </c>
      <c r="H177" s="864">
        <f>初餾產銷!H54</f>
        <v>0</v>
      </c>
      <c r="I177" s="575">
        <f>初餾產銷!J54</f>
        <v>0</v>
      </c>
      <c r="J177" s="864">
        <f>初餾產銷!K54</f>
        <v>0</v>
      </c>
      <c r="K177" s="532">
        <f>初餾產銷!M54</f>
        <v>0</v>
      </c>
      <c r="L177" s="864">
        <f>初餾產銷!N54</f>
        <v>0</v>
      </c>
      <c r="M177" s="532">
        <f>初餾產銷!P54</f>
        <v>0</v>
      </c>
      <c r="N177" s="864">
        <f>初餾產銷!Q54</f>
        <v>0</v>
      </c>
      <c r="O177" s="532">
        <f>初餾產銷!S54</f>
        <v>0</v>
      </c>
      <c r="P177" s="565">
        <f>初餾產銷!T54</f>
        <v>0</v>
      </c>
      <c r="Q177" s="563">
        <f>初餾產銷!U54</f>
        <v>0</v>
      </c>
      <c r="R177" s="563">
        <f>初餾產銷!V54</f>
        <v>0</v>
      </c>
      <c r="S177" s="575">
        <f>初餾產銷!W54</f>
        <v>0</v>
      </c>
      <c r="T177" s="531">
        <f>初餾產銷!X54</f>
        <v>0</v>
      </c>
      <c r="U177" s="559">
        <f>初餾產銷!Y54</f>
        <v>0</v>
      </c>
      <c r="V177" s="560">
        <f>初餾產銷!Z54</f>
        <v>0</v>
      </c>
      <c r="W177" s="561">
        <f>初餾產銷!AA54</f>
        <v>0</v>
      </c>
      <c r="X177" s="562">
        <f>初餾產銷!AB54</f>
        <v>0</v>
      </c>
      <c r="Y177" s="563">
        <f>初餾產銷!AC54</f>
        <v>0</v>
      </c>
      <c r="Z177" s="563">
        <f>初餾產銷!AD54</f>
        <v>0</v>
      </c>
      <c r="AA177" s="564">
        <f>初餾產銷!AE54</f>
        <v>0</v>
      </c>
      <c r="AB177" s="513">
        <f>初餾產銷!AF54</f>
        <v>0</v>
      </c>
      <c r="AC177" s="514">
        <f>初餾產銷!AG54</f>
        <v>0</v>
      </c>
      <c r="AD177" s="514">
        <f>初餾產銷!AH54</f>
        <v>0</v>
      </c>
      <c r="AE177" s="515">
        <f>初餾產銷!AI54</f>
        <v>0</v>
      </c>
      <c r="AF177" s="509">
        <f t="shared" si="28"/>
        <v>0</v>
      </c>
      <c r="AH177" s="796"/>
      <c r="AI177" s="796">
        <f t="shared" si="26"/>
        <v>0</v>
      </c>
      <c r="AJ177" s="796">
        <f t="shared" si="27"/>
        <v>0</v>
      </c>
    </row>
    <row r="178" spans="1:36" s="104" customFormat="1" ht="28.5" hidden="1" customHeight="1" x14ac:dyDescent="0.3">
      <c r="A178" s="99">
        <f>初餾產銷!A55</f>
        <v>0</v>
      </c>
      <c r="B178" s="371">
        <f>初餾產銷!B55</f>
        <v>0</v>
      </c>
      <c r="C178" s="382">
        <f>初餾產銷!C55</f>
        <v>0</v>
      </c>
      <c r="D178" s="411">
        <f>初餾產銷!D55</f>
        <v>0</v>
      </c>
      <c r="E178" s="371">
        <f>初餾產銷!E55</f>
        <v>0</v>
      </c>
      <c r="F178" s="371">
        <f>初餾產銷!F55</f>
        <v>0</v>
      </c>
      <c r="G178" s="693">
        <f>初餾產銷!G55</f>
        <v>0</v>
      </c>
      <c r="H178" s="865">
        <f>初餾產銷!H55</f>
        <v>0</v>
      </c>
      <c r="I178" s="572">
        <f>初餾產銷!J55</f>
        <v>0</v>
      </c>
      <c r="J178" s="865">
        <f>初餾產銷!K55</f>
        <v>0</v>
      </c>
      <c r="K178" s="595">
        <f>初餾產銷!M55</f>
        <v>0</v>
      </c>
      <c r="L178" s="865">
        <f>初餾產銷!N55</f>
        <v>0</v>
      </c>
      <c r="M178" s="595">
        <f>初餾產銷!P55</f>
        <v>0</v>
      </c>
      <c r="N178" s="865">
        <f>初餾產銷!Q55</f>
        <v>0</v>
      </c>
      <c r="O178" s="595">
        <f>初餾產銷!S55</f>
        <v>0</v>
      </c>
      <c r="P178" s="565">
        <f>初餾產銷!T55</f>
        <v>0</v>
      </c>
      <c r="Q178" s="547">
        <f>初餾產銷!U55</f>
        <v>0</v>
      </c>
      <c r="R178" s="547">
        <f>初餾產銷!V55</f>
        <v>0</v>
      </c>
      <c r="S178" s="572">
        <f>初餾產銷!W55</f>
        <v>0</v>
      </c>
      <c r="T178" s="566">
        <f>初餾產銷!X55</f>
        <v>0</v>
      </c>
      <c r="U178" s="567">
        <f>初餾產銷!Y55</f>
        <v>0</v>
      </c>
      <c r="V178" s="568">
        <f>初餾產銷!Z55</f>
        <v>0</v>
      </c>
      <c r="W178" s="569">
        <f>初餾產銷!AA55</f>
        <v>0</v>
      </c>
      <c r="X178" s="570">
        <f>初餾產銷!AB55</f>
        <v>0</v>
      </c>
      <c r="Y178" s="547">
        <f>初餾產銷!AC55</f>
        <v>0</v>
      </c>
      <c r="Z178" s="547">
        <f>初餾產銷!AD55</f>
        <v>0</v>
      </c>
      <c r="AA178" s="571">
        <f>初餾產銷!AE55</f>
        <v>0</v>
      </c>
      <c r="AB178" s="533">
        <f>初餾產銷!AF55</f>
        <v>0</v>
      </c>
      <c r="AC178" s="534">
        <f>初餾產銷!AG55</f>
        <v>0</v>
      </c>
      <c r="AD178" s="534">
        <f>初餾產銷!AH55</f>
        <v>0</v>
      </c>
      <c r="AE178" s="535">
        <f>初餾產銷!AI55</f>
        <v>0</v>
      </c>
      <c r="AF178" s="509">
        <f t="shared" si="28"/>
        <v>0</v>
      </c>
      <c r="AH178" s="797"/>
      <c r="AI178" s="797">
        <f t="shared" si="26"/>
        <v>0</v>
      </c>
      <c r="AJ178" s="797">
        <f t="shared" si="27"/>
        <v>0</v>
      </c>
    </row>
    <row r="179" spans="1:36" ht="28.5" hidden="1" customHeight="1" x14ac:dyDescent="0.25">
      <c r="A179" s="99">
        <f>初餾產銷!A56</f>
        <v>0</v>
      </c>
      <c r="B179" s="371">
        <f>初餾產銷!B56</f>
        <v>0</v>
      </c>
      <c r="C179" s="382">
        <f>初餾產銷!C56</f>
        <v>0</v>
      </c>
      <c r="D179" s="411">
        <f>初餾產銷!D56</f>
        <v>0</v>
      </c>
      <c r="E179" s="371">
        <f>初餾產銷!E56</f>
        <v>0</v>
      </c>
      <c r="F179" s="371">
        <f>初餾產銷!F56</f>
        <v>0</v>
      </c>
      <c r="G179" s="693">
        <f>初餾產銷!G56</f>
        <v>0</v>
      </c>
      <c r="H179" s="865">
        <f>初餾產銷!H56</f>
        <v>0</v>
      </c>
      <c r="I179" s="572">
        <f>初餾產銷!J56</f>
        <v>0</v>
      </c>
      <c r="J179" s="865">
        <f>初餾產銷!K56</f>
        <v>0</v>
      </c>
      <c r="K179" s="595">
        <f>初餾產銷!M56</f>
        <v>0</v>
      </c>
      <c r="L179" s="865">
        <f>初餾產銷!N56</f>
        <v>0</v>
      </c>
      <c r="M179" s="595">
        <f>初餾產銷!P56</f>
        <v>0</v>
      </c>
      <c r="N179" s="865">
        <f>初餾產銷!Q56</f>
        <v>0</v>
      </c>
      <c r="O179" s="595">
        <f>初餾產銷!S56</f>
        <v>0</v>
      </c>
      <c r="P179" s="565">
        <f>初餾產銷!T56</f>
        <v>0</v>
      </c>
      <c r="Q179" s="547">
        <f>初餾產銷!U56</f>
        <v>0</v>
      </c>
      <c r="R179" s="547">
        <f>初餾產銷!V56</f>
        <v>0</v>
      </c>
      <c r="S179" s="572">
        <f>初餾產銷!W56</f>
        <v>0</v>
      </c>
      <c r="T179" s="566">
        <f>初餾產銷!X56</f>
        <v>0</v>
      </c>
      <c r="U179" s="567">
        <f>初餾產銷!Y56</f>
        <v>0</v>
      </c>
      <c r="V179" s="568">
        <f>初餾產銷!Z56</f>
        <v>0</v>
      </c>
      <c r="W179" s="569">
        <f>初餾產銷!AA56</f>
        <v>0</v>
      </c>
      <c r="X179" s="570">
        <f>初餾產銷!AB56</f>
        <v>0</v>
      </c>
      <c r="Y179" s="547">
        <f>初餾產銷!AC56</f>
        <v>0</v>
      </c>
      <c r="Z179" s="547">
        <f>初餾產銷!AD56</f>
        <v>0</v>
      </c>
      <c r="AA179" s="573">
        <f>初餾產銷!AE56</f>
        <v>0</v>
      </c>
      <c r="AB179" s="519">
        <f>初餾產銷!AF56</f>
        <v>0</v>
      </c>
      <c r="AC179" s="520">
        <f>初餾產銷!AG56</f>
        <v>0</v>
      </c>
      <c r="AD179" s="520">
        <f>初餾產銷!AH56</f>
        <v>0</v>
      </c>
      <c r="AE179" s="521">
        <f>初餾產銷!AI56</f>
        <v>0</v>
      </c>
      <c r="AF179" s="509">
        <f t="shared" si="28"/>
        <v>0</v>
      </c>
      <c r="AH179" s="796"/>
      <c r="AI179" s="796">
        <f t="shared" si="26"/>
        <v>0</v>
      </c>
      <c r="AJ179" s="796">
        <f t="shared" si="27"/>
        <v>0</v>
      </c>
    </row>
    <row r="180" spans="1:36" ht="28.5" hidden="1" customHeight="1" x14ac:dyDescent="0.25">
      <c r="A180" s="97">
        <f>初餾產銷!A57</f>
        <v>0</v>
      </c>
      <c r="B180" s="363">
        <f>初餾產銷!B57</f>
        <v>0</v>
      </c>
      <c r="C180" s="361">
        <f>初餾產銷!C57</f>
        <v>0</v>
      </c>
      <c r="D180" s="362">
        <f>初餾產銷!D57</f>
        <v>0</v>
      </c>
      <c r="E180" s="363">
        <f>初餾產銷!E57</f>
        <v>0</v>
      </c>
      <c r="F180" s="363">
        <f>初餾產銷!F57</f>
        <v>0</v>
      </c>
      <c r="G180" s="530">
        <f>初餾產銷!G57</f>
        <v>0</v>
      </c>
      <c r="H180" s="864">
        <f>初餾產銷!H57</f>
        <v>0</v>
      </c>
      <c r="I180" s="575">
        <f>初餾產銷!J57</f>
        <v>0</v>
      </c>
      <c r="J180" s="864">
        <f>初餾產銷!K57</f>
        <v>0</v>
      </c>
      <c r="K180" s="532">
        <f>初餾產銷!M57</f>
        <v>0</v>
      </c>
      <c r="L180" s="864">
        <f>初餾產銷!N57</f>
        <v>0</v>
      </c>
      <c r="M180" s="532">
        <f>初餾產銷!P57</f>
        <v>0</v>
      </c>
      <c r="N180" s="864">
        <f>初餾產銷!Q57</f>
        <v>0</v>
      </c>
      <c r="O180" s="532">
        <f>初餾產銷!S57</f>
        <v>0</v>
      </c>
      <c r="P180" s="558">
        <f>初餾產銷!T57</f>
        <v>0</v>
      </c>
      <c r="Q180" s="563">
        <f>初餾產銷!U57</f>
        <v>0</v>
      </c>
      <c r="R180" s="563">
        <f>初餾產銷!V57</f>
        <v>0</v>
      </c>
      <c r="S180" s="575">
        <f>初餾產銷!W57</f>
        <v>0</v>
      </c>
      <c r="T180" s="531">
        <f>初餾產銷!X57</f>
        <v>0</v>
      </c>
      <c r="U180" s="559">
        <f>初餾產銷!Y57</f>
        <v>0</v>
      </c>
      <c r="V180" s="560">
        <f>初餾產銷!Z57</f>
        <v>0</v>
      </c>
      <c r="W180" s="561">
        <f>初餾產銷!AA57</f>
        <v>0</v>
      </c>
      <c r="X180" s="562">
        <f>初餾產銷!AB57</f>
        <v>0</v>
      </c>
      <c r="Y180" s="563">
        <f>初餾產銷!AC57</f>
        <v>0</v>
      </c>
      <c r="Z180" s="563">
        <f>初餾產銷!AD57</f>
        <v>0</v>
      </c>
      <c r="AA180" s="564">
        <f>初餾產銷!AE57</f>
        <v>0</v>
      </c>
      <c r="AB180" s="513">
        <f>初餾產銷!AF57</f>
        <v>0</v>
      </c>
      <c r="AC180" s="514">
        <f>初餾產銷!AG57</f>
        <v>0</v>
      </c>
      <c r="AD180" s="514">
        <f>初餾產銷!AH57</f>
        <v>0</v>
      </c>
      <c r="AE180" s="515">
        <f>初餾產銷!AI57</f>
        <v>0</v>
      </c>
      <c r="AF180" s="509">
        <f t="shared" si="28"/>
        <v>0</v>
      </c>
      <c r="AH180" s="796"/>
      <c r="AI180" s="796">
        <f t="shared" si="26"/>
        <v>0</v>
      </c>
      <c r="AJ180" s="796">
        <f t="shared" si="27"/>
        <v>0</v>
      </c>
    </row>
    <row r="181" spans="1:36" ht="28.5" hidden="1" customHeight="1" x14ac:dyDescent="0.25">
      <c r="A181" s="99">
        <f>初餾產銷!A58</f>
        <v>0</v>
      </c>
      <c r="B181" s="371">
        <f>初餾產銷!B58</f>
        <v>0</v>
      </c>
      <c r="C181" s="382">
        <f>初餾產銷!C58</f>
        <v>0</v>
      </c>
      <c r="D181" s="411">
        <f>初餾產銷!D58</f>
        <v>0</v>
      </c>
      <c r="E181" s="371">
        <f>初餾產銷!E58</f>
        <v>0</v>
      </c>
      <c r="F181" s="371">
        <f>初餾產銷!F58</f>
        <v>0</v>
      </c>
      <c r="G181" s="693">
        <f>初餾產銷!G58</f>
        <v>0</v>
      </c>
      <c r="H181" s="865">
        <f>初餾產銷!H58</f>
        <v>0</v>
      </c>
      <c r="I181" s="572">
        <f>初餾產銷!J58</f>
        <v>0</v>
      </c>
      <c r="J181" s="865">
        <f>初餾產銷!K58</f>
        <v>0</v>
      </c>
      <c r="K181" s="595">
        <f>初餾產銷!M58</f>
        <v>0</v>
      </c>
      <c r="L181" s="865">
        <f>初餾產銷!N58</f>
        <v>0</v>
      </c>
      <c r="M181" s="595">
        <f>初餾產銷!P58</f>
        <v>0</v>
      </c>
      <c r="N181" s="865">
        <f>初餾產銷!Q58</f>
        <v>0</v>
      </c>
      <c r="O181" s="595">
        <f>初餾產銷!S58</f>
        <v>0</v>
      </c>
      <c r="P181" s="565">
        <f>初餾產銷!T58</f>
        <v>0</v>
      </c>
      <c r="Q181" s="547">
        <f>初餾產銷!U58</f>
        <v>0</v>
      </c>
      <c r="R181" s="547">
        <f>初餾產銷!V58</f>
        <v>0</v>
      </c>
      <c r="S181" s="572">
        <f>初餾產銷!W58</f>
        <v>0</v>
      </c>
      <c r="T181" s="566">
        <f>初餾產銷!X58</f>
        <v>0</v>
      </c>
      <c r="U181" s="567">
        <f>初餾產銷!Y58</f>
        <v>0</v>
      </c>
      <c r="V181" s="568">
        <f>初餾產銷!Z58</f>
        <v>0</v>
      </c>
      <c r="W181" s="569">
        <f>初餾產銷!AA58</f>
        <v>0</v>
      </c>
      <c r="X181" s="570">
        <f>初餾產銷!AB58</f>
        <v>0</v>
      </c>
      <c r="Y181" s="547">
        <f>初餾產銷!AC58</f>
        <v>0</v>
      </c>
      <c r="Z181" s="547">
        <f>初餾產銷!AD58</f>
        <v>0</v>
      </c>
      <c r="AA181" s="571">
        <f>初餾產銷!AE58</f>
        <v>0</v>
      </c>
      <c r="AB181" s="533">
        <f>初餾產銷!AF58</f>
        <v>0</v>
      </c>
      <c r="AC181" s="534">
        <f>初餾產銷!AG58</f>
        <v>0</v>
      </c>
      <c r="AD181" s="534">
        <f>初餾產銷!AH58</f>
        <v>0</v>
      </c>
      <c r="AE181" s="535">
        <f>初餾產銷!AI58</f>
        <v>0</v>
      </c>
      <c r="AF181" s="509">
        <f t="shared" si="28"/>
        <v>0</v>
      </c>
      <c r="AH181" s="796"/>
      <c r="AI181" s="796">
        <f t="shared" si="26"/>
        <v>0</v>
      </c>
      <c r="AJ181" s="796">
        <f t="shared" si="27"/>
        <v>0</v>
      </c>
    </row>
    <row r="182" spans="1:36" ht="28.5" hidden="1" customHeight="1" x14ac:dyDescent="0.25">
      <c r="A182" s="99">
        <f>初餾產銷!A59</f>
        <v>0</v>
      </c>
      <c r="B182" s="371">
        <f>初餾產銷!B59</f>
        <v>0</v>
      </c>
      <c r="C182" s="382">
        <f>初餾產銷!C59</f>
        <v>0</v>
      </c>
      <c r="D182" s="411">
        <f>初餾產銷!D59</f>
        <v>0</v>
      </c>
      <c r="E182" s="371">
        <f>初餾產銷!E59</f>
        <v>0</v>
      </c>
      <c r="F182" s="371">
        <f>初餾產銷!F59</f>
        <v>0</v>
      </c>
      <c r="G182" s="693">
        <f>初餾產銷!G59</f>
        <v>0</v>
      </c>
      <c r="H182" s="865">
        <f>初餾產銷!H59</f>
        <v>0</v>
      </c>
      <c r="I182" s="572">
        <f>初餾產銷!J59</f>
        <v>0</v>
      </c>
      <c r="J182" s="865">
        <f>初餾產銷!K59</f>
        <v>0</v>
      </c>
      <c r="K182" s="595">
        <f>初餾產銷!M59</f>
        <v>0</v>
      </c>
      <c r="L182" s="865">
        <f>初餾產銷!N59</f>
        <v>0</v>
      </c>
      <c r="M182" s="595">
        <f>初餾產銷!P59</f>
        <v>0</v>
      </c>
      <c r="N182" s="865">
        <f>初餾產銷!Q59</f>
        <v>0</v>
      </c>
      <c r="O182" s="595">
        <f>初餾產銷!S59</f>
        <v>0</v>
      </c>
      <c r="P182" s="565">
        <f>初餾產銷!T59</f>
        <v>0</v>
      </c>
      <c r="Q182" s="547">
        <f>初餾產銷!U59</f>
        <v>0</v>
      </c>
      <c r="R182" s="547">
        <f>初餾產銷!V59</f>
        <v>0</v>
      </c>
      <c r="S182" s="572">
        <f>初餾產銷!W59</f>
        <v>0</v>
      </c>
      <c r="T182" s="566">
        <f>初餾產銷!X59</f>
        <v>0</v>
      </c>
      <c r="U182" s="567">
        <f>初餾產銷!Y59</f>
        <v>0</v>
      </c>
      <c r="V182" s="568">
        <f>初餾產銷!Z59</f>
        <v>0</v>
      </c>
      <c r="W182" s="569">
        <f>初餾產銷!AA59</f>
        <v>0</v>
      </c>
      <c r="X182" s="570">
        <f>初餾產銷!AB59</f>
        <v>0</v>
      </c>
      <c r="Y182" s="547">
        <f>初餾產銷!AC59</f>
        <v>0</v>
      </c>
      <c r="Z182" s="547">
        <f>初餾產銷!AD59</f>
        <v>0</v>
      </c>
      <c r="AA182" s="571">
        <f>初餾產銷!AE59</f>
        <v>0</v>
      </c>
      <c r="AB182" s="533">
        <f>初餾產銷!AF59</f>
        <v>0</v>
      </c>
      <c r="AC182" s="534">
        <f>初餾產銷!AG59</f>
        <v>0</v>
      </c>
      <c r="AD182" s="534">
        <f>初餾產銷!AH59</f>
        <v>0</v>
      </c>
      <c r="AE182" s="535">
        <f>初餾產銷!AI59</f>
        <v>0</v>
      </c>
      <c r="AF182" s="509">
        <f t="shared" si="28"/>
        <v>0</v>
      </c>
      <c r="AH182" s="796"/>
      <c r="AI182" s="796">
        <f t="shared" si="26"/>
        <v>0</v>
      </c>
      <c r="AJ182" s="796">
        <f t="shared" si="27"/>
        <v>0</v>
      </c>
    </row>
    <row r="183" spans="1:36" ht="28.5" hidden="1" customHeight="1" x14ac:dyDescent="0.25">
      <c r="A183" s="99">
        <f>初餾產銷!A60</f>
        <v>0</v>
      </c>
      <c r="B183" s="371">
        <f>初餾產銷!B60</f>
        <v>0</v>
      </c>
      <c r="C183" s="382">
        <f>初餾產銷!C60</f>
        <v>0</v>
      </c>
      <c r="D183" s="411">
        <f>初餾產銷!D60</f>
        <v>0</v>
      </c>
      <c r="E183" s="371">
        <f>初餾產銷!E60</f>
        <v>0</v>
      </c>
      <c r="F183" s="371">
        <f>初餾產銷!F60</f>
        <v>0</v>
      </c>
      <c r="G183" s="693">
        <f>初餾產銷!G60</f>
        <v>0</v>
      </c>
      <c r="H183" s="865">
        <f>初餾產銷!H60</f>
        <v>0</v>
      </c>
      <c r="I183" s="572">
        <f>初餾產銷!J60</f>
        <v>0</v>
      </c>
      <c r="J183" s="865">
        <f>初餾產銷!K60</f>
        <v>0</v>
      </c>
      <c r="K183" s="595">
        <f>初餾產銷!M60</f>
        <v>0</v>
      </c>
      <c r="L183" s="865">
        <f>初餾產銷!N60</f>
        <v>0</v>
      </c>
      <c r="M183" s="595">
        <f>初餾產銷!P60</f>
        <v>0</v>
      </c>
      <c r="N183" s="865">
        <f>初餾產銷!Q60</f>
        <v>0</v>
      </c>
      <c r="O183" s="595">
        <f>初餾產銷!S60</f>
        <v>0</v>
      </c>
      <c r="P183" s="565">
        <f>初餾產銷!T60</f>
        <v>0</v>
      </c>
      <c r="Q183" s="547">
        <f>初餾產銷!U60</f>
        <v>0</v>
      </c>
      <c r="R183" s="547">
        <f>初餾產銷!V60</f>
        <v>0</v>
      </c>
      <c r="S183" s="572">
        <f>初餾產銷!W60</f>
        <v>0</v>
      </c>
      <c r="T183" s="566">
        <f>初餾產銷!X60</f>
        <v>0</v>
      </c>
      <c r="U183" s="567">
        <f>初餾產銷!Y60</f>
        <v>0</v>
      </c>
      <c r="V183" s="568">
        <f>初餾產銷!Z60</f>
        <v>0</v>
      </c>
      <c r="W183" s="569">
        <f>初餾產銷!AA60</f>
        <v>0</v>
      </c>
      <c r="X183" s="570">
        <f>初餾產銷!AB60</f>
        <v>0</v>
      </c>
      <c r="Y183" s="547">
        <f>初餾產銷!AC60</f>
        <v>0</v>
      </c>
      <c r="Z183" s="547">
        <f>初餾產銷!AD60</f>
        <v>0</v>
      </c>
      <c r="AA183" s="571">
        <f>初餾產銷!AE60</f>
        <v>0</v>
      </c>
      <c r="AB183" s="533">
        <f>初餾產銷!AF60</f>
        <v>0</v>
      </c>
      <c r="AC183" s="534">
        <f>初餾產銷!AG60</f>
        <v>0</v>
      </c>
      <c r="AD183" s="534">
        <f>初餾產銷!AH60</f>
        <v>0</v>
      </c>
      <c r="AE183" s="535">
        <f>初餾產銷!AI60</f>
        <v>0</v>
      </c>
      <c r="AF183" s="509">
        <f t="shared" si="28"/>
        <v>0</v>
      </c>
      <c r="AH183" s="796"/>
      <c r="AI183" s="796">
        <f t="shared" si="26"/>
        <v>0</v>
      </c>
      <c r="AJ183" s="796">
        <f t="shared" si="27"/>
        <v>0</v>
      </c>
    </row>
    <row r="184" spans="1:36" ht="28.5" hidden="1" customHeight="1" x14ac:dyDescent="0.25">
      <c r="A184" s="103">
        <f>初餾產銷!A61</f>
        <v>0</v>
      </c>
      <c r="B184" s="451">
        <f>初餾產銷!B61</f>
        <v>0</v>
      </c>
      <c r="C184" s="382">
        <f>初餾產銷!C61</f>
        <v>0</v>
      </c>
      <c r="D184" s="411">
        <f>初餾產銷!D61</f>
        <v>0</v>
      </c>
      <c r="E184" s="371">
        <f>初餾產銷!E61</f>
        <v>0</v>
      </c>
      <c r="F184" s="371">
        <f>初餾產銷!F61</f>
        <v>0</v>
      </c>
      <c r="G184" s="693">
        <f>初餾產銷!G61</f>
        <v>0</v>
      </c>
      <c r="H184" s="865">
        <f>初餾產銷!H61</f>
        <v>0</v>
      </c>
      <c r="I184" s="572">
        <f>初餾產銷!J61</f>
        <v>0</v>
      </c>
      <c r="J184" s="865">
        <f>初餾產銷!K61</f>
        <v>0</v>
      </c>
      <c r="K184" s="595">
        <f>初餾產銷!M61</f>
        <v>0</v>
      </c>
      <c r="L184" s="865">
        <f>初餾產銷!N61</f>
        <v>0</v>
      </c>
      <c r="M184" s="595">
        <f>初餾產銷!P61</f>
        <v>0</v>
      </c>
      <c r="N184" s="865">
        <f>初餾產銷!Q61</f>
        <v>0</v>
      </c>
      <c r="O184" s="595">
        <f>初餾產銷!S61</f>
        <v>0</v>
      </c>
      <c r="P184" s="565">
        <f>初餾產銷!T61</f>
        <v>0</v>
      </c>
      <c r="Q184" s="547">
        <f>初餾產銷!U61</f>
        <v>0</v>
      </c>
      <c r="R184" s="547">
        <f>初餾產銷!V61</f>
        <v>0</v>
      </c>
      <c r="S184" s="572">
        <f>初餾產銷!W61</f>
        <v>0</v>
      </c>
      <c r="T184" s="566">
        <f>初餾產銷!X61</f>
        <v>0</v>
      </c>
      <c r="U184" s="567">
        <f>初餾產銷!Y61</f>
        <v>0</v>
      </c>
      <c r="V184" s="568">
        <f>初餾產銷!Z61</f>
        <v>0</v>
      </c>
      <c r="W184" s="569">
        <f>初餾產銷!AA61</f>
        <v>0</v>
      </c>
      <c r="X184" s="570">
        <f>初餾產銷!AB61</f>
        <v>0</v>
      </c>
      <c r="Y184" s="547">
        <f>初餾產銷!AC61</f>
        <v>0</v>
      </c>
      <c r="Z184" s="547">
        <f>初餾產銷!AD61</f>
        <v>0</v>
      </c>
      <c r="AA184" s="573">
        <f>初餾產銷!AE61</f>
        <v>0</v>
      </c>
      <c r="AB184" s="519">
        <f>初餾產銷!AF61</f>
        <v>0</v>
      </c>
      <c r="AC184" s="520">
        <f>初餾產銷!AG61</f>
        <v>0</v>
      </c>
      <c r="AD184" s="520">
        <f>初餾產銷!AH61</f>
        <v>0</v>
      </c>
      <c r="AE184" s="521">
        <f>初餾產銷!AI61</f>
        <v>0</v>
      </c>
      <c r="AF184" s="509">
        <f t="shared" si="28"/>
        <v>0</v>
      </c>
      <c r="AH184" s="796"/>
      <c r="AI184" s="796">
        <f t="shared" si="26"/>
        <v>0</v>
      </c>
      <c r="AJ184" s="796">
        <f t="shared" si="27"/>
        <v>0</v>
      </c>
    </row>
    <row r="185" spans="1:36" ht="28.5" hidden="1" customHeight="1" x14ac:dyDescent="0.25">
      <c r="A185" s="97">
        <f>初餾產銷!A62</f>
        <v>0</v>
      </c>
      <c r="B185" s="363">
        <f>初餾產銷!B62</f>
        <v>0</v>
      </c>
      <c r="C185" s="361">
        <f>初餾產銷!C62</f>
        <v>0</v>
      </c>
      <c r="D185" s="362">
        <f>初餾產銷!D62</f>
        <v>0</v>
      </c>
      <c r="E185" s="363">
        <f>初餾產銷!E62</f>
        <v>0</v>
      </c>
      <c r="F185" s="363">
        <f>初餾產銷!F62</f>
        <v>0</v>
      </c>
      <c r="G185" s="530">
        <f>初餾產銷!G62</f>
        <v>0</v>
      </c>
      <c r="H185" s="864">
        <f>初餾產銷!H62</f>
        <v>0</v>
      </c>
      <c r="I185" s="575">
        <f>初餾產銷!J62</f>
        <v>0</v>
      </c>
      <c r="J185" s="864">
        <f>初餾產銷!K62</f>
        <v>0</v>
      </c>
      <c r="K185" s="532">
        <f>初餾產銷!M62</f>
        <v>0</v>
      </c>
      <c r="L185" s="864">
        <f>初餾產銷!N62</f>
        <v>0</v>
      </c>
      <c r="M185" s="532">
        <f>初餾產銷!P62</f>
        <v>0</v>
      </c>
      <c r="N185" s="864">
        <f>初餾產銷!Q62</f>
        <v>0</v>
      </c>
      <c r="O185" s="532">
        <f>初餾產銷!S62</f>
        <v>0</v>
      </c>
      <c r="P185" s="558">
        <f>初餾產銷!T62</f>
        <v>0</v>
      </c>
      <c r="Q185" s="563">
        <f>初餾產銷!U62</f>
        <v>0</v>
      </c>
      <c r="R185" s="563">
        <f>初餾產銷!V62</f>
        <v>0</v>
      </c>
      <c r="S185" s="575">
        <f>初餾產銷!W62</f>
        <v>0</v>
      </c>
      <c r="T185" s="531">
        <f>初餾產銷!X62</f>
        <v>0</v>
      </c>
      <c r="U185" s="559">
        <f>初餾產銷!Y62</f>
        <v>0</v>
      </c>
      <c r="V185" s="560">
        <f>初餾產銷!Z62</f>
        <v>0</v>
      </c>
      <c r="W185" s="561">
        <f>初餾產銷!AA62</f>
        <v>0</v>
      </c>
      <c r="X185" s="562">
        <f>初餾產銷!AB62</f>
        <v>0</v>
      </c>
      <c r="Y185" s="563">
        <f>初餾產銷!AC62</f>
        <v>0</v>
      </c>
      <c r="Z185" s="563">
        <f>初餾產銷!AD62</f>
        <v>0</v>
      </c>
      <c r="AA185" s="564">
        <f>初餾產銷!AE62</f>
        <v>0</v>
      </c>
      <c r="AB185" s="513">
        <f>初餾產銷!AF62</f>
        <v>0</v>
      </c>
      <c r="AC185" s="514">
        <f>初餾產銷!AG62</f>
        <v>0</v>
      </c>
      <c r="AD185" s="514">
        <f>初餾產銷!AH62</f>
        <v>0</v>
      </c>
      <c r="AE185" s="515">
        <f>初餾產銷!AI62</f>
        <v>0</v>
      </c>
      <c r="AF185" s="509">
        <f t="shared" si="28"/>
        <v>0</v>
      </c>
      <c r="AH185" s="796"/>
      <c r="AI185" s="796">
        <f t="shared" si="26"/>
        <v>0</v>
      </c>
      <c r="AJ185" s="796">
        <f t="shared" si="27"/>
        <v>0</v>
      </c>
    </row>
    <row r="186" spans="1:36" ht="28.5" hidden="1" customHeight="1" x14ac:dyDescent="0.25">
      <c r="A186" s="99">
        <f>初餾產銷!A63</f>
        <v>0</v>
      </c>
      <c r="B186" s="371">
        <f>初餾產銷!B63</f>
        <v>0</v>
      </c>
      <c r="C186" s="382">
        <f>初餾產銷!C63</f>
        <v>0</v>
      </c>
      <c r="D186" s="411">
        <f>初餾產銷!D63</f>
        <v>0</v>
      </c>
      <c r="E186" s="371">
        <f>初餾產銷!E63</f>
        <v>0</v>
      </c>
      <c r="F186" s="371">
        <f>初餾產銷!F63</f>
        <v>0</v>
      </c>
      <c r="G186" s="693">
        <f>初餾產銷!G63</f>
        <v>0</v>
      </c>
      <c r="H186" s="865">
        <f>初餾產銷!H63</f>
        <v>0</v>
      </c>
      <c r="I186" s="572">
        <f>初餾產銷!J63</f>
        <v>0</v>
      </c>
      <c r="J186" s="865">
        <f>初餾產銷!K63</f>
        <v>0</v>
      </c>
      <c r="K186" s="595">
        <f>初餾產銷!M63</f>
        <v>0</v>
      </c>
      <c r="L186" s="865">
        <f>初餾產銷!N63</f>
        <v>0</v>
      </c>
      <c r="M186" s="595">
        <f>初餾產銷!P63</f>
        <v>0</v>
      </c>
      <c r="N186" s="865">
        <f>初餾產銷!Q63</f>
        <v>0</v>
      </c>
      <c r="O186" s="595">
        <f>初餾產銷!S63</f>
        <v>0</v>
      </c>
      <c r="P186" s="565">
        <f>初餾產銷!T63</f>
        <v>0</v>
      </c>
      <c r="Q186" s="547">
        <f>初餾產銷!U63</f>
        <v>0</v>
      </c>
      <c r="R186" s="547">
        <f>初餾產銷!V63</f>
        <v>0</v>
      </c>
      <c r="S186" s="572">
        <f>初餾產銷!W63</f>
        <v>0</v>
      </c>
      <c r="T186" s="566">
        <f>初餾產銷!X63</f>
        <v>0</v>
      </c>
      <c r="U186" s="567">
        <f>初餾產銷!Y63</f>
        <v>0</v>
      </c>
      <c r="V186" s="568">
        <f>初餾產銷!Z63</f>
        <v>0</v>
      </c>
      <c r="W186" s="569">
        <f>初餾產銷!AA63</f>
        <v>0</v>
      </c>
      <c r="X186" s="570">
        <f>初餾產銷!AB63</f>
        <v>0</v>
      </c>
      <c r="Y186" s="547">
        <f>初餾產銷!AC63</f>
        <v>0</v>
      </c>
      <c r="Z186" s="547">
        <f>初餾產銷!AD63</f>
        <v>0</v>
      </c>
      <c r="AA186" s="571">
        <f>初餾產銷!AE63</f>
        <v>0</v>
      </c>
      <c r="AB186" s="533">
        <f>初餾產銷!AF63</f>
        <v>0</v>
      </c>
      <c r="AC186" s="534">
        <f>初餾產銷!AG63</f>
        <v>0</v>
      </c>
      <c r="AD186" s="534">
        <f>初餾產銷!AH63</f>
        <v>0</v>
      </c>
      <c r="AE186" s="535">
        <f>初餾產銷!AI63</f>
        <v>0</v>
      </c>
      <c r="AF186" s="509">
        <f t="shared" si="28"/>
        <v>0</v>
      </c>
      <c r="AH186" s="796"/>
      <c r="AI186" s="796">
        <f t="shared" si="26"/>
        <v>0</v>
      </c>
      <c r="AJ186" s="796">
        <f t="shared" si="27"/>
        <v>0</v>
      </c>
    </row>
    <row r="187" spans="1:36" ht="28.5" hidden="1" customHeight="1" x14ac:dyDescent="0.25">
      <c r="A187" s="99">
        <f>初餾產銷!A64</f>
        <v>0</v>
      </c>
      <c r="B187" s="371">
        <f>初餾產銷!B64</f>
        <v>0</v>
      </c>
      <c r="C187" s="382">
        <f>初餾產銷!C64</f>
        <v>0</v>
      </c>
      <c r="D187" s="411">
        <f>初餾產銷!D64</f>
        <v>0</v>
      </c>
      <c r="E187" s="371">
        <f>初餾產銷!E64</f>
        <v>0</v>
      </c>
      <c r="F187" s="371">
        <f>初餾產銷!F64</f>
        <v>0</v>
      </c>
      <c r="G187" s="693">
        <f>初餾產銷!G64</f>
        <v>0</v>
      </c>
      <c r="H187" s="865">
        <f>初餾產銷!H64</f>
        <v>0</v>
      </c>
      <c r="I187" s="572">
        <f>初餾產銷!J64</f>
        <v>0</v>
      </c>
      <c r="J187" s="865">
        <f>初餾產銷!K64</f>
        <v>0</v>
      </c>
      <c r="K187" s="595">
        <f>初餾產銷!M64</f>
        <v>0</v>
      </c>
      <c r="L187" s="865">
        <f>初餾產銷!N64</f>
        <v>0</v>
      </c>
      <c r="M187" s="595">
        <f>初餾產銷!P64</f>
        <v>0</v>
      </c>
      <c r="N187" s="865">
        <f>初餾產銷!Q64</f>
        <v>0</v>
      </c>
      <c r="O187" s="595">
        <f>初餾產銷!S64</f>
        <v>0</v>
      </c>
      <c r="P187" s="565">
        <f>初餾產銷!T64</f>
        <v>0</v>
      </c>
      <c r="Q187" s="547">
        <f>初餾產銷!U64</f>
        <v>0</v>
      </c>
      <c r="R187" s="547">
        <f>初餾產銷!V64</f>
        <v>0</v>
      </c>
      <c r="S187" s="572">
        <f>初餾產銷!W64</f>
        <v>0</v>
      </c>
      <c r="T187" s="566">
        <f>初餾產銷!X64</f>
        <v>0</v>
      </c>
      <c r="U187" s="567">
        <f>初餾產銷!Y64</f>
        <v>0</v>
      </c>
      <c r="V187" s="568">
        <f>初餾產銷!Z64</f>
        <v>0</v>
      </c>
      <c r="W187" s="569">
        <f>初餾產銷!AA64</f>
        <v>0</v>
      </c>
      <c r="X187" s="570">
        <f>初餾產銷!AB64</f>
        <v>0</v>
      </c>
      <c r="Y187" s="547">
        <f>初餾產銷!AC64</f>
        <v>0</v>
      </c>
      <c r="Z187" s="547">
        <f>初餾產銷!AD64</f>
        <v>0</v>
      </c>
      <c r="AA187" s="571">
        <f>初餾產銷!AE64</f>
        <v>0</v>
      </c>
      <c r="AB187" s="533">
        <f>初餾產銷!AF64</f>
        <v>0</v>
      </c>
      <c r="AC187" s="534">
        <f>初餾產銷!AG64</f>
        <v>0</v>
      </c>
      <c r="AD187" s="534">
        <f>初餾產銷!AH64</f>
        <v>0</v>
      </c>
      <c r="AE187" s="535">
        <f>初餾產銷!AI64</f>
        <v>0</v>
      </c>
      <c r="AF187" s="509">
        <f t="shared" si="28"/>
        <v>0</v>
      </c>
      <c r="AH187" s="796"/>
      <c r="AI187" s="796">
        <f t="shared" si="26"/>
        <v>0</v>
      </c>
      <c r="AJ187" s="796">
        <f t="shared" si="27"/>
        <v>0</v>
      </c>
    </row>
    <row r="188" spans="1:36" ht="28.5" hidden="1" customHeight="1" x14ac:dyDescent="0.25">
      <c r="A188" s="99">
        <f>初餾產銷!A65</f>
        <v>0</v>
      </c>
      <c r="B188" s="371">
        <f>初餾產銷!B65</f>
        <v>0</v>
      </c>
      <c r="C188" s="382">
        <f>初餾產銷!C65</f>
        <v>0</v>
      </c>
      <c r="D188" s="411">
        <f>初餾產銷!D65</f>
        <v>0</v>
      </c>
      <c r="E188" s="371">
        <f>初餾產銷!E65</f>
        <v>0</v>
      </c>
      <c r="F188" s="371">
        <f>初餾產銷!F65</f>
        <v>0</v>
      </c>
      <c r="G188" s="693">
        <f>初餾產銷!G65</f>
        <v>0</v>
      </c>
      <c r="H188" s="865">
        <f>初餾產銷!H65</f>
        <v>0</v>
      </c>
      <c r="I188" s="572">
        <f>初餾產銷!J65</f>
        <v>0</v>
      </c>
      <c r="J188" s="865">
        <f>初餾產銷!K65</f>
        <v>0</v>
      </c>
      <c r="K188" s="595">
        <f>初餾產銷!M65</f>
        <v>0</v>
      </c>
      <c r="L188" s="865">
        <f>初餾產銷!N65</f>
        <v>0</v>
      </c>
      <c r="M188" s="595">
        <f>初餾產銷!P65</f>
        <v>0</v>
      </c>
      <c r="N188" s="865">
        <f>初餾產銷!Q65</f>
        <v>0</v>
      </c>
      <c r="O188" s="595">
        <f>初餾產銷!S65</f>
        <v>0</v>
      </c>
      <c r="P188" s="565">
        <f>初餾產銷!T65</f>
        <v>0</v>
      </c>
      <c r="Q188" s="547">
        <f>初餾產銷!U65</f>
        <v>0</v>
      </c>
      <c r="R188" s="547">
        <f>初餾產銷!V65</f>
        <v>0</v>
      </c>
      <c r="S188" s="572">
        <f>初餾產銷!W65</f>
        <v>0</v>
      </c>
      <c r="T188" s="566">
        <f>初餾產銷!X65</f>
        <v>0</v>
      </c>
      <c r="U188" s="567">
        <f>初餾產銷!Y65</f>
        <v>0</v>
      </c>
      <c r="V188" s="568">
        <f>初餾產銷!Z65</f>
        <v>0</v>
      </c>
      <c r="W188" s="569">
        <f>初餾產銷!AA65</f>
        <v>0</v>
      </c>
      <c r="X188" s="570">
        <f>初餾產銷!AB65</f>
        <v>0</v>
      </c>
      <c r="Y188" s="547">
        <f>初餾產銷!AC65</f>
        <v>0</v>
      </c>
      <c r="Z188" s="547">
        <f>初餾產銷!AD65</f>
        <v>0</v>
      </c>
      <c r="AA188" s="571">
        <f>初餾產銷!AE65</f>
        <v>0</v>
      </c>
      <c r="AB188" s="533">
        <f>初餾產銷!AF65</f>
        <v>0</v>
      </c>
      <c r="AC188" s="534">
        <f>初餾產銷!AG65</f>
        <v>0</v>
      </c>
      <c r="AD188" s="534">
        <f>初餾產銷!AH65</f>
        <v>0</v>
      </c>
      <c r="AE188" s="535">
        <f>初餾產銷!AI65</f>
        <v>0</v>
      </c>
      <c r="AF188" s="509">
        <f t="shared" si="28"/>
        <v>0</v>
      </c>
      <c r="AH188" s="796"/>
      <c r="AI188" s="796">
        <f t="shared" si="26"/>
        <v>0</v>
      </c>
      <c r="AJ188" s="796">
        <f t="shared" si="27"/>
        <v>0</v>
      </c>
    </row>
    <row r="189" spans="1:36" ht="28.5" hidden="1" customHeight="1" x14ac:dyDescent="0.25">
      <c r="A189" s="99">
        <f>初餾產銷!A66</f>
        <v>0</v>
      </c>
      <c r="B189" s="371">
        <f>初餾產銷!B66</f>
        <v>0</v>
      </c>
      <c r="C189" s="382">
        <f>初餾產銷!C66</f>
        <v>0</v>
      </c>
      <c r="D189" s="411">
        <f>初餾產銷!D66</f>
        <v>0</v>
      </c>
      <c r="E189" s="371">
        <f>初餾產銷!E66</f>
        <v>0</v>
      </c>
      <c r="F189" s="371">
        <f>初餾產銷!F66</f>
        <v>0</v>
      </c>
      <c r="G189" s="693">
        <f>初餾產銷!G66</f>
        <v>0</v>
      </c>
      <c r="H189" s="865">
        <f>初餾產銷!H66</f>
        <v>0</v>
      </c>
      <c r="I189" s="572">
        <f>初餾產銷!J66</f>
        <v>0</v>
      </c>
      <c r="J189" s="865">
        <f>初餾產銷!K66</f>
        <v>0</v>
      </c>
      <c r="K189" s="595">
        <f>初餾產銷!M66</f>
        <v>0</v>
      </c>
      <c r="L189" s="865">
        <f>初餾產銷!N66</f>
        <v>0</v>
      </c>
      <c r="M189" s="595">
        <f>初餾產銷!P66</f>
        <v>0</v>
      </c>
      <c r="N189" s="865">
        <f>初餾產銷!Q66</f>
        <v>0</v>
      </c>
      <c r="O189" s="595">
        <f>初餾產銷!S66</f>
        <v>0</v>
      </c>
      <c r="P189" s="565">
        <f>初餾產銷!T66</f>
        <v>0</v>
      </c>
      <c r="Q189" s="547">
        <f>初餾產銷!U66</f>
        <v>0</v>
      </c>
      <c r="R189" s="547">
        <f>初餾產銷!V66</f>
        <v>0</v>
      </c>
      <c r="S189" s="572">
        <f>初餾產銷!W66</f>
        <v>0</v>
      </c>
      <c r="T189" s="566">
        <f>初餾產銷!X66</f>
        <v>0</v>
      </c>
      <c r="U189" s="567">
        <f>初餾產銷!Y66</f>
        <v>0</v>
      </c>
      <c r="V189" s="568">
        <f>初餾產銷!Z66</f>
        <v>0</v>
      </c>
      <c r="W189" s="569">
        <f>初餾產銷!AA66</f>
        <v>0</v>
      </c>
      <c r="X189" s="570">
        <f>初餾產銷!AB66</f>
        <v>0</v>
      </c>
      <c r="Y189" s="547">
        <f>初餾產銷!AC66</f>
        <v>0</v>
      </c>
      <c r="Z189" s="547">
        <f>初餾產銷!AD66</f>
        <v>0</v>
      </c>
      <c r="AA189" s="571">
        <f>初餾產銷!AE66</f>
        <v>0</v>
      </c>
      <c r="AB189" s="533">
        <f>初餾產銷!AF66</f>
        <v>0</v>
      </c>
      <c r="AC189" s="534">
        <f>初餾產銷!AG66</f>
        <v>0</v>
      </c>
      <c r="AD189" s="534">
        <f>初餾產銷!AH66</f>
        <v>0</v>
      </c>
      <c r="AE189" s="535">
        <f>初餾產銷!AI66</f>
        <v>0</v>
      </c>
      <c r="AF189" s="509">
        <f t="shared" si="28"/>
        <v>0</v>
      </c>
      <c r="AH189" s="796"/>
      <c r="AI189" s="796">
        <f t="shared" si="26"/>
        <v>0</v>
      </c>
      <c r="AJ189" s="796">
        <f t="shared" si="27"/>
        <v>0</v>
      </c>
    </row>
    <row r="190" spans="1:36" ht="28.5" hidden="1" customHeight="1" x14ac:dyDescent="0.25">
      <c r="A190" s="99">
        <f>初餾產銷!A67</f>
        <v>0</v>
      </c>
      <c r="B190" s="371">
        <f>初餾產銷!B67</f>
        <v>0</v>
      </c>
      <c r="C190" s="382">
        <f>初餾產銷!C67</f>
        <v>0</v>
      </c>
      <c r="D190" s="411">
        <f>初餾產銷!D67</f>
        <v>0</v>
      </c>
      <c r="E190" s="371">
        <f>初餾產銷!E67</f>
        <v>0</v>
      </c>
      <c r="F190" s="371">
        <f>初餾產銷!F67</f>
        <v>0</v>
      </c>
      <c r="G190" s="693">
        <f>初餾產銷!G67</f>
        <v>0</v>
      </c>
      <c r="H190" s="865">
        <f>初餾產銷!H67</f>
        <v>0</v>
      </c>
      <c r="I190" s="572">
        <f>初餾產銷!J67</f>
        <v>0</v>
      </c>
      <c r="J190" s="865">
        <f>初餾產銷!K67</f>
        <v>0</v>
      </c>
      <c r="K190" s="595">
        <f>初餾產銷!M67</f>
        <v>0</v>
      </c>
      <c r="L190" s="865">
        <f>初餾產銷!N67</f>
        <v>0</v>
      </c>
      <c r="M190" s="595">
        <f>初餾產銷!P67</f>
        <v>0</v>
      </c>
      <c r="N190" s="865">
        <f>初餾產銷!Q67</f>
        <v>0</v>
      </c>
      <c r="O190" s="595">
        <f>初餾產銷!S67</f>
        <v>0</v>
      </c>
      <c r="P190" s="565">
        <f>初餾產銷!T67</f>
        <v>0</v>
      </c>
      <c r="Q190" s="547">
        <f>初餾產銷!U67</f>
        <v>0</v>
      </c>
      <c r="R190" s="547">
        <f>初餾產銷!V67</f>
        <v>0</v>
      </c>
      <c r="S190" s="572">
        <f>初餾產銷!W67</f>
        <v>0</v>
      </c>
      <c r="T190" s="566">
        <f>初餾產銷!X67</f>
        <v>0</v>
      </c>
      <c r="U190" s="567">
        <f>初餾產銷!Y67</f>
        <v>0</v>
      </c>
      <c r="V190" s="568">
        <f>初餾產銷!Z67</f>
        <v>0</v>
      </c>
      <c r="W190" s="569">
        <f>初餾產銷!AA67</f>
        <v>0</v>
      </c>
      <c r="X190" s="570">
        <f>初餾產銷!AB67</f>
        <v>0</v>
      </c>
      <c r="Y190" s="547">
        <f>初餾產銷!AC67</f>
        <v>0</v>
      </c>
      <c r="Z190" s="547">
        <f>初餾產銷!AD67</f>
        <v>0</v>
      </c>
      <c r="AA190" s="571">
        <f>初餾產銷!AE67</f>
        <v>0</v>
      </c>
      <c r="AB190" s="533">
        <f>初餾產銷!AF67</f>
        <v>0</v>
      </c>
      <c r="AC190" s="534">
        <f>初餾產銷!AG67</f>
        <v>0</v>
      </c>
      <c r="AD190" s="534">
        <f>初餾產銷!AH67</f>
        <v>0</v>
      </c>
      <c r="AE190" s="535">
        <f>初餾產銷!AI67</f>
        <v>0</v>
      </c>
      <c r="AF190" s="509">
        <f t="shared" si="28"/>
        <v>0</v>
      </c>
      <c r="AH190" s="796"/>
      <c r="AI190" s="796">
        <f t="shared" si="26"/>
        <v>0</v>
      </c>
      <c r="AJ190" s="796">
        <f t="shared" si="27"/>
        <v>0</v>
      </c>
    </row>
    <row r="191" spans="1:36" ht="28.5" hidden="1" customHeight="1" x14ac:dyDescent="0.25">
      <c r="A191" s="99">
        <f>初餾產銷!A68</f>
        <v>0</v>
      </c>
      <c r="B191" s="371">
        <f>初餾產銷!B68</f>
        <v>0</v>
      </c>
      <c r="C191" s="382">
        <f>初餾產銷!C68</f>
        <v>0</v>
      </c>
      <c r="D191" s="411">
        <f>初餾產銷!D68</f>
        <v>0</v>
      </c>
      <c r="E191" s="371">
        <f>初餾產銷!E68</f>
        <v>0</v>
      </c>
      <c r="F191" s="371">
        <f>初餾產銷!F68</f>
        <v>0</v>
      </c>
      <c r="G191" s="693">
        <f>初餾產銷!G68</f>
        <v>0</v>
      </c>
      <c r="H191" s="865">
        <f>初餾產銷!H68</f>
        <v>0</v>
      </c>
      <c r="I191" s="572">
        <f>初餾產銷!J68</f>
        <v>0</v>
      </c>
      <c r="J191" s="865">
        <f>初餾產銷!K68</f>
        <v>0</v>
      </c>
      <c r="K191" s="595">
        <f>初餾產銷!M68</f>
        <v>0</v>
      </c>
      <c r="L191" s="865">
        <f>初餾產銷!N68</f>
        <v>0</v>
      </c>
      <c r="M191" s="595">
        <f>初餾產銷!P68</f>
        <v>0</v>
      </c>
      <c r="N191" s="865">
        <f>初餾產銷!Q68</f>
        <v>0</v>
      </c>
      <c r="O191" s="595">
        <f>初餾產銷!S68</f>
        <v>0</v>
      </c>
      <c r="P191" s="565">
        <f>初餾產銷!T68</f>
        <v>0</v>
      </c>
      <c r="Q191" s="547">
        <f>初餾產銷!U68</f>
        <v>0</v>
      </c>
      <c r="R191" s="547">
        <f>初餾產銷!V68</f>
        <v>0</v>
      </c>
      <c r="S191" s="572">
        <f>初餾產銷!W68</f>
        <v>0</v>
      </c>
      <c r="T191" s="566">
        <f>初餾產銷!X68</f>
        <v>0</v>
      </c>
      <c r="U191" s="567">
        <f>初餾產銷!Y68</f>
        <v>0</v>
      </c>
      <c r="V191" s="568">
        <f>初餾產銷!Z68</f>
        <v>0</v>
      </c>
      <c r="W191" s="569">
        <f>初餾產銷!AA68</f>
        <v>0</v>
      </c>
      <c r="X191" s="570">
        <f>初餾產銷!AB68</f>
        <v>0</v>
      </c>
      <c r="Y191" s="547">
        <f>初餾產銷!AC68</f>
        <v>0</v>
      </c>
      <c r="Z191" s="547">
        <f>初餾產銷!AD68</f>
        <v>0</v>
      </c>
      <c r="AA191" s="571">
        <f>初餾產銷!AE68</f>
        <v>0</v>
      </c>
      <c r="AB191" s="533">
        <f>初餾產銷!AF68</f>
        <v>0</v>
      </c>
      <c r="AC191" s="534">
        <f>初餾產銷!AG68</f>
        <v>0</v>
      </c>
      <c r="AD191" s="534">
        <f>初餾產銷!AH68</f>
        <v>0</v>
      </c>
      <c r="AE191" s="535">
        <f>初餾產銷!AI68</f>
        <v>0</v>
      </c>
      <c r="AF191" s="509">
        <f t="shared" si="28"/>
        <v>0</v>
      </c>
      <c r="AH191" s="796"/>
      <c r="AI191" s="796">
        <f t="shared" si="26"/>
        <v>0</v>
      </c>
      <c r="AJ191" s="796">
        <f t="shared" si="27"/>
        <v>0</v>
      </c>
    </row>
    <row r="192" spans="1:36" ht="28.5" hidden="1" customHeight="1" x14ac:dyDescent="0.25">
      <c r="A192" s="103">
        <f>初餾產銷!A69</f>
        <v>0</v>
      </c>
      <c r="B192" s="451">
        <f>初餾產銷!B69</f>
        <v>0</v>
      </c>
      <c r="C192" s="382">
        <f>初餾產銷!C69</f>
        <v>0</v>
      </c>
      <c r="D192" s="411">
        <f>初餾產銷!D69</f>
        <v>0</v>
      </c>
      <c r="E192" s="371">
        <f>初餾產銷!E69</f>
        <v>0</v>
      </c>
      <c r="F192" s="371">
        <f>初餾產銷!F69</f>
        <v>0</v>
      </c>
      <c r="G192" s="693">
        <f>初餾產銷!G69</f>
        <v>0</v>
      </c>
      <c r="H192" s="865">
        <f>初餾產銷!H69</f>
        <v>0</v>
      </c>
      <c r="I192" s="572">
        <f>初餾產銷!J69</f>
        <v>0</v>
      </c>
      <c r="J192" s="865">
        <f>初餾產銷!K69</f>
        <v>0</v>
      </c>
      <c r="K192" s="595">
        <f>初餾產銷!M69</f>
        <v>0</v>
      </c>
      <c r="L192" s="865">
        <f>初餾產銷!N69</f>
        <v>0</v>
      </c>
      <c r="M192" s="595">
        <f>初餾產銷!P69</f>
        <v>0</v>
      </c>
      <c r="N192" s="865">
        <f>初餾產銷!Q69</f>
        <v>0</v>
      </c>
      <c r="O192" s="595">
        <f>初餾產銷!S69</f>
        <v>0</v>
      </c>
      <c r="P192" s="565">
        <f>初餾產銷!T69</f>
        <v>0</v>
      </c>
      <c r="Q192" s="547">
        <f>初餾產銷!U69</f>
        <v>0</v>
      </c>
      <c r="R192" s="547">
        <f>初餾產銷!V69</f>
        <v>0</v>
      </c>
      <c r="S192" s="572">
        <f>初餾產銷!W69</f>
        <v>0</v>
      </c>
      <c r="T192" s="566">
        <f>初餾產銷!X69</f>
        <v>0</v>
      </c>
      <c r="U192" s="567">
        <f>初餾產銷!Y69</f>
        <v>0</v>
      </c>
      <c r="V192" s="568">
        <f>初餾產銷!Z69</f>
        <v>0</v>
      </c>
      <c r="W192" s="569">
        <f>初餾產銷!AA69</f>
        <v>0</v>
      </c>
      <c r="X192" s="570">
        <f>初餾產銷!AB69</f>
        <v>0</v>
      </c>
      <c r="Y192" s="547">
        <f>初餾產銷!AC69</f>
        <v>0</v>
      </c>
      <c r="Z192" s="547">
        <f>初餾產銷!AD69</f>
        <v>0</v>
      </c>
      <c r="AA192" s="571">
        <f>初餾產銷!AE69</f>
        <v>0</v>
      </c>
      <c r="AB192" s="533">
        <f>初餾產銷!AF69</f>
        <v>0</v>
      </c>
      <c r="AC192" s="534">
        <f>初餾產銷!AG69</f>
        <v>0</v>
      </c>
      <c r="AD192" s="534">
        <f>初餾產銷!AH69</f>
        <v>0</v>
      </c>
      <c r="AE192" s="535">
        <f>初餾產銷!AI69</f>
        <v>0</v>
      </c>
      <c r="AF192" s="509">
        <f t="shared" si="28"/>
        <v>0</v>
      </c>
      <c r="AH192" s="796"/>
      <c r="AI192" s="796">
        <f t="shared" si="26"/>
        <v>0</v>
      </c>
      <c r="AJ192" s="796">
        <f t="shared" si="27"/>
        <v>0</v>
      </c>
    </row>
    <row r="193" spans="1:36" ht="28.5" hidden="1" customHeight="1" x14ac:dyDescent="0.25">
      <c r="A193" s="99">
        <f>初餾產銷!A70</f>
        <v>0</v>
      </c>
      <c r="B193" s="371">
        <f>初餾產銷!B70</f>
        <v>0</v>
      </c>
      <c r="C193" s="382">
        <f>初餾產銷!C70</f>
        <v>0</v>
      </c>
      <c r="D193" s="411">
        <f>初餾產銷!D70</f>
        <v>0</v>
      </c>
      <c r="E193" s="371">
        <f>初餾產銷!E70</f>
        <v>0</v>
      </c>
      <c r="F193" s="371">
        <f>初餾產銷!F70</f>
        <v>0</v>
      </c>
      <c r="G193" s="693">
        <f>初餾產銷!G70</f>
        <v>0</v>
      </c>
      <c r="H193" s="865">
        <f>初餾產銷!H70</f>
        <v>0</v>
      </c>
      <c r="I193" s="572">
        <f>初餾產銷!J70</f>
        <v>0</v>
      </c>
      <c r="J193" s="865">
        <f>初餾產銷!K70</f>
        <v>0</v>
      </c>
      <c r="K193" s="595">
        <f>初餾產銷!M70</f>
        <v>0</v>
      </c>
      <c r="L193" s="865">
        <f>初餾產銷!N70</f>
        <v>0</v>
      </c>
      <c r="M193" s="595">
        <f>初餾產銷!P70</f>
        <v>0</v>
      </c>
      <c r="N193" s="865">
        <f>初餾產銷!Q70</f>
        <v>0</v>
      </c>
      <c r="O193" s="595">
        <f>初餾產銷!S70</f>
        <v>0</v>
      </c>
      <c r="P193" s="565">
        <f>初餾產銷!T70</f>
        <v>0</v>
      </c>
      <c r="Q193" s="547">
        <f>初餾產銷!U70</f>
        <v>0</v>
      </c>
      <c r="R193" s="547">
        <f>初餾產銷!V70</f>
        <v>0</v>
      </c>
      <c r="S193" s="572">
        <f>初餾產銷!W70</f>
        <v>0</v>
      </c>
      <c r="T193" s="566">
        <f>初餾產銷!X70</f>
        <v>0</v>
      </c>
      <c r="U193" s="567">
        <f>初餾產銷!Y70</f>
        <v>0</v>
      </c>
      <c r="V193" s="568">
        <f>初餾產銷!Z70</f>
        <v>0</v>
      </c>
      <c r="W193" s="569">
        <f>初餾產銷!AA70</f>
        <v>0</v>
      </c>
      <c r="X193" s="570">
        <f>初餾產銷!AB70</f>
        <v>0</v>
      </c>
      <c r="Y193" s="547">
        <f>初餾產銷!AC70</f>
        <v>0</v>
      </c>
      <c r="Z193" s="547">
        <f>初餾產銷!AD70</f>
        <v>0</v>
      </c>
      <c r="AA193" s="571">
        <f>初餾產銷!AE70</f>
        <v>0</v>
      </c>
      <c r="AB193" s="533">
        <f>初餾產銷!AF70</f>
        <v>0</v>
      </c>
      <c r="AC193" s="534">
        <f>初餾產銷!AG70</f>
        <v>0</v>
      </c>
      <c r="AD193" s="534">
        <f>初餾產銷!AH70</f>
        <v>0</v>
      </c>
      <c r="AE193" s="535">
        <f>初餾產銷!AI70</f>
        <v>0</v>
      </c>
      <c r="AF193" s="509">
        <f t="shared" si="28"/>
        <v>0</v>
      </c>
      <c r="AH193" s="796"/>
      <c r="AI193" s="796">
        <f t="shared" si="26"/>
        <v>0</v>
      </c>
      <c r="AJ193" s="796">
        <f t="shared" si="27"/>
        <v>0</v>
      </c>
    </row>
    <row r="194" spans="1:36" ht="28.5" hidden="1" customHeight="1" thickBot="1" x14ac:dyDescent="0.3">
      <c r="A194" s="100">
        <f>初餾產銷!A71</f>
        <v>0</v>
      </c>
      <c r="B194" s="452">
        <f>初餾產銷!B71</f>
        <v>0</v>
      </c>
      <c r="C194" s="439">
        <f>初餾產銷!C71</f>
        <v>0</v>
      </c>
      <c r="D194" s="440">
        <f>初餾產銷!D71</f>
        <v>0</v>
      </c>
      <c r="E194" s="441">
        <f>初餾產銷!E71</f>
        <v>0</v>
      </c>
      <c r="F194" s="441">
        <f>初餾產銷!F71</f>
        <v>0</v>
      </c>
      <c r="G194" s="816">
        <f>初餾產銷!G71</f>
        <v>0</v>
      </c>
      <c r="H194" s="868">
        <f>初餾產銷!H71</f>
        <v>0</v>
      </c>
      <c r="I194" s="577">
        <f>初餾產銷!J71</f>
        <v>0</v>
      </c>
      <c r="J194" s="868">
        <f>初餾產銷!K71</f>
        <v>0</v>
      </c>
      <c r="K194" s="586">
        <f>初餾產銷!M71</f>
        <v>0</v>
      </c>
      <c r="L194" s="868">
        <f>初餾產銷!N71</f>
        <v>0</v>
      </c>
      <c r="M194" s="586">
        <f>初餾產銷!P71</f>
        <v>0</v>
      </c>
      <c r="N194" s="868">
        <f>初餾產銷!Q71</f>
        <v>0</v>
      </c>
      <c r="O194" s="586">
        <f>初餾產銷!S71</f>
        <v>0</v>
      </c>
      <c r="P194" s="555">
        <f>初餾產銷!T71</f>
        <v>0</v>
      </c>
      <c r="Q194" s="576">
        <f>初餾產銷!U71</f>
        <v>0</v>
      </c>
      <c r="R194" s="576">
        <f>初餾產銷!V71</f>
        <v>0</v>
      </c>
      <c r="S194" s="577">
        <f>初餾產銷!W71</f>
        <v>0</v>
      </c>
      <c r="T194" s="578">
        <f>初餾產銷!X71</f>
        <v>0</v>
      </c>
      <c r="U194" s="584">
        <f>初餾產銷!Y71</f>
        <v>0</v>
      </c>
      <c r="V194" s="581">
        <f>初餾產銷!Z71</f>
        <v>0</v>
      </c>
      <c r="W194" s="581">
        <f>初餾產銷!AA71</f>
        <v>0</v>
      </c>
      <c r="X194" s="585">
        <f>初餾產銷!AB71</f>
        <v>0</v>
      </c>
      <c r="Y194" s="577">
        <f>初餾產銷!AC71</f>
        <v>0</v>
      </c>
      <c r="Z194" s="577">
        <f>初餾產銷!AD71</f>
        <v>0</v>
      </c>
      <c r="AA194" s="586">
        <f>初餾產銷!AE71</f>
        <v>0</v>
      </c>
      <c r="AB194" s="540">
        <f>初餾產銷!AF71</f>
        <v>0</v>
      </c>
      <c r="AC194" s="541">
        <f>初餾產銷!AG71</f>
        <v>0</v>
      </c>
      <c r="AD194" s="541">
        <f>初餾產銷!AH71</f>
        <v>0</v>
      </c>
      <c r="AE194" s="542">
        <f>初餾產銷!AI71</f>
        <v>0</v>
      </c>
      <c r="AF194" s="509">
        <f t="shared" si="28"/>
        <v>0</v>
      </c>
      <c r="AH194" s="796"/>
      <c r="AI194" s="796">
        <f t="shared" si="26"/>
        <v>0</v>
      </c>
      <c r="AJ194" s="796">
        <f t="shared" si="27"/>
        <v>0</v>
      </c>
    </row>
    <row r="195" spans="1:36" ht="24" customHeight="1" thickTop="1" x14ac:dyDescent="0.25">
      <c r="A195" s="155" t="str">
        <f>調配產銷!A38</f>
        <v>MEA</v>
      </c>
      <c r="B195" s="363" t="str">
        <f>調配產銷!B38</f>
        <v>第二庫房&amp;E46&amp;S101&amp;E47&amp;S601</v>
      </c>
      <c r="C195" s="591">
        <f>調配產銷!C38</f>
        <v>171.68</v>
      </c>
      <c r="D195" s="592">
        <f>調配產銷!D38</f>
        <v>88.00500000000001</v>
      </c>
      <c r="E195" s="593">
        <f>調配產銷!E38</f>
        <v>9.3322000000000003</v>
      </c>
      <c r="F195" s="593">
        <f>調配產銷!F38</f>
        <v>0</v>
      </c>
      <c r="G195" s="869">
        <f>調配產銷!G38</f>
        <v>97.33720000000001</v>
      </c>
      <c r="H195" s="865">
        <f>調配產銷!H38</f>
        <v>0</v>
      </c>
      <c r="I195" s="572">
        <f>調配產銷!I38</f>
        <v>0</v>
      </c>
      <c r="J195" s="865">
        <f>調配產銷!J38</f>
        <v>0</v>
      </c>
      <c r="K195" s="595">
        <f>調配產銷!K38</f>
        <v>0</v>
      </c>
      <c r="L195" s="865">
        <f>調配產銷!L38</f>
        <v>0</v>
      </c>
      <c r="M195" s="595">
        <f>調配產銷!M38</f>
        <v>0</v>
      </c>
      <c r="N195" s="865">
        <f>調配產銷!N38</f>
        <v>0</v>
      </c>
      <c r="O195" s="595">
        <f>調配產銷!O38</f>
        <v>0</v>
      </c>
      <c r="P195" s="565">
        <f>調配產銷!P38</f>
        <v>16.297000000000001</v>
      </c>
      <c r="Q195" s="547">
        <f>調配產銷!Q38</f>
        <v>74.887</v>
      </c>
      <c r="R195" s="547">
        <f>調配產銷!R38</f>
        <v>74.887</v>
      </c>
      <c r="S195" s="547">
        <f>調配產銷!S38</f>
        <v>74.887</v>
      </c>
      <c r="T195" s="566">
        <f>調配產銷!T38</f>
        <v>14</v>
      </c>
      <c r="U195" s="567">
        <f>調配產銷!U38</f>
        <v>72.8</v>
      </c>
      <c r="V195" s="568">
        <f>調配產銷!V38</f>
        <v>72.8</v>
      </c>
      <c r="W195" s="569">
        <f>調配產銷!W38</f>
        <v>72.8</v>
      </c>
      <c r="X195" s="570">
        <f>調配產銷!X38</f>
        <v>0</v>
      </c>
      <c r="Y195" s="547">
        <f>調配產銷!Y38</f>
        <v>0</v>
      </c>
      <c r="Z195" s="547">
        <f>調配產銷!Z38</f>
        <v>0</v>
      </c>
      <c r="AA195" s="571">
        <f>調配產銷!AA38</f>
        <v>0</v>
      </c>
      <c r="AB195" s="522">
        <f>調配產銷!AB38</f>
        <v>95.040200000000013</v>
      </c>
      <c r="AC195" s="523">
        <f>調配產銷!AC38</f>
        <v>92.95320000000001</v>
      </c>
      <c r="AD195" s="523">
        <f>調配產銷!AD38</f>
        <v>90.866200000000006</v>
      </c>
      <c r="AE195" s="524">
        <f>調配產銷!AE38</f>
        <v>88.779200000000003</v>
      </c>
      <c r="AF195" s="509">
        <f t="shared" si="28"/>
        <v>1</v>
      </c>
      <c r="AH195" s="796"/>
      <c r="AI195" s="796">
        <f t="shared" si="26"/>
        <v>0</v>
      </c>
      <c r="AJ195" s="796">
        <f t="shared" si="27"/>
        <v>0</v>
      </c>
    </row>
    <row r="196" spans="1:36" ht="24" customHeight="1" x14ac:dyDescent="0.25">
      <c r="A196" s="112" t="str">
        <f>調配產銷!A39</f>
        <v>TMAH-LT</v>
      </c>
      <c r="B196" s="371" t="str">
        <f>調配產銷!B39</f>
        <v>第二庫房&amp;異常品倉</v>
      </c>
      <c r="C196" s="594">
        <f>調配產銷!C39</f>
        <v>26.4</v>
      </c>
      <c r="D196" s="429">
        <f>調配產銷!D39</f>
        <v>76</v>
      </c>
      <c r="E196" s="593">
        <f>調配產銷!E39</f>
        <v>6.7744999999999997</v>
      </c>
      <c r="F196" s="593">
        <f>調配產銷!F39</f>
        <v>0</v>
      </c>
      <c r="G196" s="870">
        <f>調配產銷!G39</f>
        <v>82.774500000000003</v>
      </c>
      <c r="H196" s="865">
        <f>調配產銷!H39</f>
        <v>0</v>
      </c>
      <c r="I196" s="572">
        <f>調配產銷!I39</f>
        <v>0</v>
      </c>
      <c r="J196" s="865">
        <f>調配產銷!J39</f>
        <v>0</v>
      </c>
      <c r="K196" s="595">
        <f>調配產銷!K39</f>
        <v>0</v>
      </c>
      <c r="L196" s="865">
        <f>調配產銷!L39</f>
        <v>0</v>
      </c>
      <c r="M196" s="595">
        <f>調配產銷!M39</f>
        <v>0</v>
      </c>
      <c r="N196" s="865">
        <f>調配產銷!N39</f>
        <v>0</v>
      </c>
      <c r="O196" s="595">
        <f>調配產銷!O39</f>
        <v>0</v>
      </c>
      <c r="P196" s="565">
        <f>調配產銷!P39</f>
        <v>4.6349999999999998</v>
      </c>
      <c r="Q196" s="547">
        <f>調配產銷!Q39</f>
        <v>24.507999999999999</v>
      </c>
      <c r="R196" s="547">
        <f>調配產銷!R39</f>
        <v>24.507999999999999</v>
      </c>
      <c r="S196" s="572">
        <f>調配產銷!S39</f>
        <v>24.507999999999999</v>
      </c>
      <c r="T196" s="566">
        <f>調配產銷!T39</f>
        <v>11.2</v>
      </c>
      <c r="U196" s="567">
        <f>調配產銷!U39</f>
        <v>24</v>
      </c>
      <c r="V196" s="568">
        <f>調配產銷!V39</f>
        <v>24</v>
      </c>
      <c r="W196" s="569">
        <f>調配產銷!W39</f>
        <v>24</v>
      </c>
      <c r="X196" s="570">
        <f>調配產銷!X39</f>
        <v>0</v>
      </c>
      <c r="Y196" s="547">
        <f>調配產銷!Y39</f>
        <v>0</v>
      </c>
      <c r="Z196" s="547">
        <f>調配產銷!Z39</f>
        <v>0</v>
      </c>
      <c r="AA196" s="571">
        <f>調配產銷!AA39</f>
        <v>0</v>
      </c>
      <c r="AB196" s="522">
        <f>調配產銷!AB39</f>
        <v>89.339500000000001</v>
      </c>
      <c r="AC196" s="523">
        <f>調配產銷!AC39</f>
        <v>88.831500000000005</v>
      </c>
      <c r="AD196" s="523">
        <f>調配產銷!AD39</f>
        <v>88.32350000000001</v>
      </c>
      <c r="AE196" s="524">
        <f>調配產銷!AE39</f>
        <v>87.815500000000014</v>
      </c>
      <c r="AF196" s="509">
        <f t="shared" si="28"/>
        <v>1</v>
      </c>
      <c r="AH196" s="796"/>
      <c r="AI196" s="796">
        <f t="shared" si="26"/>
        <v>0</v>
      </c>
      <c r="AJ196" s="796">
        <f t="shared" si="27"/>
        <v>0</v>
      </c>
    </row>
    <row r="197" spans="1:36" ht="24" customHeight="1" x14ac:dyDescent="0.25">
      <c r="A197" s="112" t="str">
        <f>調配產銷!A40</f>
        <v>GLC250</v>
      </c>
      <c r="B197" s="371" t="str">
        <f>調配產銷!B40</f>
        <v>GLC250</v>
      </c>
      <c r="C197" s="594">
        <f>調配產銷!C40</f>
        <v>0</v>
      </c>
      <c r="D197" s="429">
        <f>調配產銷!D40</f>
        <v>0.52991999999999995</v>
      </c>
      <c r="E197" s="593">
        <f>調配產銷!E40</f>
        <v>6.4920000000000005E-2</v>
      </c>
      <c r="F197" s="593">
        <f>調配產銷!F40</f>
        <v>0</v>
      </c>
      <c r="G197" s="870">
        <f>調配產銷!G40</f>
        <v>0.59483999999999992</v>
      </c>
      <c r="H197" s="865">
        <f>調配產銷!H40</f>
        <v>0</v>
      </c>
      <c r="I197" s="572">
        <f>調配產銷!I40</f>
        <v>0</v>
      </c>
      <c r="J197" s="865">
        <f>調配產銷!J40</f>
        <v>0</v>
      </c>
      <c r="K197" s="595">
        <f>調配產銷!K40</f>
        <v>0</v>
      </c>
      <c r="L197" s="865">
        <f>調配產銷!L40</f>
        <v>0</v>
      </c>
      <c r="M197" s="595">
        <f>調配產銷!M40</f>
        <v>0</v>
      </c>
      <c r="N197" s="865">
        <f>調配產銷!N40</f>
        <v>0</v>
      </c>
      <c r="O197" s="595">
        <f>調配產銷!O40</f>
        <v>0</v>
      </c>
      <c r="P197" s="565">
        <f>調配產銷!P40</f>
        <v>8.7999999999999995E-2</v>
      </c>
      <c r="Q197" s="547">
        <f>調配產銷!Q40</f>
        <v>0.46</v>
      </c>
      <c r="R197" s="547">
        <f>調配產銷!R40</f>
        <v>0.46</v>
      </c>
      <c r="S197" s="572">
        <f>調配產銷!S40</f>
        <v>0.46</v>
      </c>
      <c r="T197" s="566">
        <f>調配產銷!T40</f>
        <v>0</v>
      </c>
      <c r="U197" s="567">
        <f>調配產銷!U40</f>
        <v>0.35327999999999998</v>
      </c>
      <c r="V197" s="568">
        <f>調配產銷!V40</f>
        <v>0.35327999999999998</v>
      </c>
      <c r="W197" s="569">
        <f>調配產銷!W40</f>
        <v>0.2208</v>
      </c>
      <c r="X197" s="570">
        <f>調配產銷!X40</f>
        <v>0</v>
      </c>
      <c r="Y197" s="547">
        <f>調配產銷!Y40</f>
        <v>0</v>
      </c>
      <c r="Z197" s="547">
        <f>調配產銷!Z40</f>
        <v>0</v>
      </c>
      <c r="AA197" s="571">
        <f>調配產銷!AA40</f>
        <v>0</v>
      </c>
      <c r="AB197" s="522">
        <f>調配產銷!AB40</f>
        <v>0.50683999999999996</v>
      </c>
      <c r="AC197" s="523">
        <f>調配產銷!AC40</f>
        <v>0.40011999999999992</v>
      </c>
      <c r="AD197" s="523">
        <f>調配產銷!AD40</f>
        <v>0.29339999999999988</v>
      </c>
      <c r="AE197" s="524">
        <f>調配產銷!AE40</f>
        <v>5.4199999999999859E-2</v>
      </c>
      <c r="AF197" s="509">
        <f>+IF(SUM(G197,H197:O197,R197,U197,X197,AA197)=0,0,1)</f>
        <v>1</v>
      </c>
      <c r="AH197" s="796"/>
      <c r="AI197" s="796">
        <f t="shared" si="26"/>
        <v>0</v>
      </c>
      <c r="AJ197" s="796">
        <f t="shared" si="27"/>
        <v>0</v>
      </c>
    </row>
    <row r="198" spans="1:36" ht="28.5" hidden="1" customHeight="1" x14ac:dyDescent="0.25">
      <c r="A198" s="112" t="str">
        <f>調配產銷!A41</f>
        <v>RZ-450</v>
      </c>
      <c r="B198" s="371" t="str">
        <f>調配產銷!B41</f>
        <v>RZ-450</v>
      </c>
      <c r="C198" s="594">
        <f>調配產銷!C41</f>
        <v>0</v>
      </c>
      <c r="D198" s="429">
        <f>調配產銷!D41</f>
        <v>0</v>
      </c>
      <c r="E198" s="593">
        <f>調配產銷!E41</f>
        <v>0</v>
      </c>
      <c r="F198" s="593">
        <f>調配產銷!F41</f>
        <v>0</v>
      </c>
      <c r="G198" s="870">
        <f>調配產銷!G41</f>
        <v>0</v>
      </c>
      <c r="H198" s="865">
        <f>調配產銷!H41</f>
        <v>0</v>
      </c>
      <c r="I198" s="572">
        <f>調配產銷!I41</f>
        <v>0</v>
      </c>
      <c r="J198" s="865">
        <f>調配產銷!J41</f>
        <v>0</v>
      </c>
      <c r="K198" s="595">
        <f>調配產銷!K41</f>
        <v>0</v>
      </c>
      <c r="L198" s="865">
        <f>調配產銷!L41</f>
        <v>0</v>
      </c>
      <c r="M198" s="595">
        <f>調配產銷!M41</f>
        <v>0</v>
      </c>
      <c r="N198" s="865">
        <f>調配產銷!N41</f>
        <v>0</v>
      </c>
      <c r="O198" s="595">
        <f>調配產銷!O41</f>
        <v>0</v>
      </c>
      <c r="P198" s="565">
        <f>調配產銷!P41</f>
        <v>0</v>
      </c>
      <c r="Q198" s="547">
        <f>調配產銷!Q41</f>
        <v>0</v>
      </c>
      <c r="R198" s="547">
        <f>調配產銷!R41</f>
        <v>0</v>
      </c>
      <c r="S198" s="572">
        <f>調配產銷!S41</f>
        <v>0</v>
      </c>
      <c r="T198" s="566">
        <f>調配產銷!T41</f>
        <v>0</v>
      </c>
      <c r="U198" s="567">
        <f>調配產銷!U41</f>
        <v>0</v>
      </c>
      <c r="V198" s="568">
        <f>調配產銷!V41</f>
        <v>0</v>
      </c>
      <c r="W198" s="569">
        <f>調配產銷!W41</f>
        <v>0</v>
      </c>
      <c r="X198" s="570">
        <f>調配產銷!X41</f>
        <v>0</v>
      </c>
      <c r="Y198" s="547">
        <f>調配產銷!Y41</f>
        <v>0</v>
      </c>
      <c r="Z198" s="547">
        <f>調配產銷!Z41</f>
        <v>0</v>
      </c>
      <c r="AA198" s="571">
        <f>調配產銷!AA41</f>
        <v>0</v>
      </c>
      <c r="AB198" s="522">
        <f>調配產銷!AB41</f>
        <v>0</v>
      </c>
      <c r="AC198" s="523">
        <f>調配產銷!AC41</f>
        <v>0</v>
      </c>
      <c r="AD198" s="523">
        <f>調配產銷!AD41</f>
        <v>0</v>
      </c>
      <c r="AE198" s="524">
        <f>調配產銷!AE41</f>
        <v>0</v>
      </c>
      <c r="AF198" s="509">
        <f>+IF(SUM(G198,H198:O198,R198,U198,X198,AA198)=0,0,1)</f>
        <v>0</v>
      </c>
      <c r="AH198" s="796"/>
      <c r="AI198" s="796"/>
      <c r="AJ198" s="796"/>
    </row>
    <row r="199" spans="1:36" ht="24" customHeight="1" x14ac:dyDescent="0.25">
      <c r="A199" s="112" t="str">
        <f>調配產銷!A42</f>
        <v>RSK-718</v>
      </c>
      <c r="B199" s="371" t="str">
        <f>調配產銷!B42</f>
        <v>RSK-718</v>
      </c>
      <c r="C199" s="594">
        <f>調配產銷!C42</f>
        <v>0</v>
      </c>
      <c r="D199" s="429">
        <f>調配產銷!D42</f>
        <v>0.79200000000000004</v>
      </c>
      <c r="E199" s="593">
        <f>調配產銷!E42</f>
        <v>0.16880000000000001</v>
      </c>
      <c r="F199" s="593">
        <f>調配產銷!F42</f>
        <v>0</v>
      </c>
      <c r="G199" s="870">
        <f>調配產銷!G42</f>
        <v>0.9608000000000001</v>
      </c>
      <c r="H199" s="865">
        <f>調配產銷!H42</f>
        <v>0</v>
      </c>
      <c r="I199" s="572">
        <f>調配產銷!I42</f>
        <v>0</v>
      </c>
      <c r="J199" s="865">
        <f>調配產銷!J42</f>
        <v>0</v>
      </c>
      <c r="K199" s="595">
        <f>調配產銷!K42</f>
        <v>0</v>
      </c>
      <c r="L199" s="865">
        <f>調配產銷!L42</f>
        <v>0</v>
      </c>
      <c r="M199" s="595">
        <f>調配產銷!M42</f>
        <v>0</v>
      </c>
      <c r="N199" s="865">
        <f>調配產銷!N42</f>
        <v>0</v>
      </c>
      <c r="O199" s="595">
        <f>調配產銷!O42</f>
        <v>0</v>
      </c>
      <c r="P199" s="565">
        <f>調配產銷!P42</f>
        <v>0.13500000000000001</v>
      </c>
      <c r="Q199" s="547">
        <f>調配產銷!Q42</f>
        <v>0.71899999999999997</v>
      </c>
      <c r="R199" s="547">
        <f>調配產銷!R42</f>
        <v>0.71899999999999997</v>
      </c>
      <c r="S199" s="572">
        <f>調配產銷!S42</f>
        <v>0.71899999999999997</v>
      </c>
      <c r="T199" s="566">
        <f>調配產銷!T42</f>
        <v>0.39600000000000002</v>
      </c>
      <c r="U199" s="567">
        <f>調配產銷!U42</f>
        <v>0.83599999999999997</v>
      </c>
      <c r="V199" s="568">
        <f>調配產銷!V42</f>
        <v>0.88</v>
      </c>
      <c r="W199" s="569">
        <f>調配產銷!W42</f>
        <v>0.88</v>
      </c>
      <c r="X199" s="570">
        <f>調配產銷!X42</f>
        <v>0</v>
      </c>
      <c r="Y199" s="547">
        <f>調配產銷!Y42</f>
        <v>0</v>
      </c>
      <c r="Z199" s="547">
        <f>調配產銷!Z42</f>
        <v>0</v>
      </c>
      <c r="AA199" s="571">
        <f>調配產銷!AA42</f>
        <v>0</v>
      </c>
      <c r="AB199" s="522">
        <f>調配產銷!AB42</f>
        <v>1.2218</v>
      </c>
      <c r="AC199" s="523">
        <f>調配產銷!AC42</f>
        <v>1.3388</v>
      </c>
      <c r="AD199" s="523">
        <f>調配產銷!AD42</f>
        <v>1.4998</v>
      </c>
      <c r="AE199" s="524">
        <f>調配產銷!AE42</f>
        <v>1.6608000000000001</v>
      </c>
      <c r="AF199" s="509">
        <f>+IF(SUM(G199,H199:O199,R199,U199,X199,AA199)=0,0,1)</f>
        <v>1</v>
      </c>
      <c r="AH199" s="796"/>
      <c r="AI199" s="796"/>
      <c r="AJ199" s="796"/>
    </row>
    <row r="200" spans="1:36" ht="24" customHeight="1" x14ac:dyDescent="0.25">
      <c r="A200" s="112" t="str">
        <f>調配產銷!A43</f>
        <v>EC-705</v>
      </c>
      <c r="B200" s="371" t="str">
        <f>調配產銷!B43</f>
        <v>EC-705</v>
      </c>
      <c r="C200" s="594">
        <f>調配產銷!C43</f>
        <v>0</v>
      </c>
      <c r="D200" s="429">
        <f>調配產銷!D43</f>
        <v>1E-3</v>
      </c>
      <c r="E200" s="593">
        <f>調配產銷!E43</f>
        <v>2.7699999999999999E-3</v>
      </c>
      <c r="F200" s="593">
        <f>調配產銷!F43</f>
        <v>0</v>
      </c>
      <c r="G200" s="870">
        <f>調配產銷!G43</f>
        <v>3.7699999999999999E-3</v>
      </c>
      <c r="H200" s="865">
        <f>調配產銷!H43</f>
        <v>0</v>
      </c>
      <c r="I200" s="572">
        <f>調配產銷!I43</f>
        <v>0</v>
      </c>
      <c r="J200" s="865">
        <f>調配產銷!J43</f>
        <v>0</v>
      </c>
      <c r="K200" s="595">
        <f>調配產銷!K43</f>
        <v>0</v>
      </c>
      <c r="L200" s="865">
        <f>調配產銷!L43</f>
        <v>0</v>
      </c>
      <c r="M200" s="595">
        <f>調配產銷!M43</f>
        <v>0</v>
      </c>
      <c r="N200" s="865">
        <f>調配產銷!N43</f>
        <v>0</v>
      </c>
      <c r="O200" s="595">
        <f>調配產銷!O43</f>
        <v>0</v>
      </c>
      <c r="P200" s="565">
        <f>調配產銷!P43</f>
        <v>0</v>
      </c>
      <c r="Q200" s="547">
        <f>調配產銷!Q43</f>
        <v>0</v>
      </c>
      <c r="R200" s="547">
        <f>調配產銷!R43</f>
        <v>0</v>
      </c>
      <c r="S200" s="572">
        <f>調配產銷!S43</f>
        <v>0</v>
      </c>
      <c r="T200" s="566">
        <f>調配產銷!T43</f>
        <v>0</v>
      </c>
      <c r="U200" s="567">
        <f>調配產銷!U43</f>
        <v>0</v>
      </c>
      <c r="V200" s="568">
        <f>調配產銷!V43</f>
        <v>0</v>
      </c>
      <c r="W200" s="569">
        <f>調配產銷!W43</f>
        <v>0</v>
      </c>
      <c r="X200" s="570">
        <f>調配產銷!X43</f>
        <v>0</v>
      </c>
      <c r="Y200" s="547">
        <f>調配產銷!Y43</f>
        <v>0</v>
      </c>
      <c r="Z200" s="547">
        <f>調配產銷!Z43</f>
        <v>0</v>
      </c>
      <c r="AA200" s="571">
        <f>調配產銷!AA43</f>
        <v>0</v>
      </c>
      <c r="AB200" s="522">
        <f>調配產銷!AB43</f>
        <v>3.7699999999999999E-3</v>
      </c>
      <c r="AC200" s="523">
        <f>調配產銷!AC43</f>
        <v>3.7699999999999999E-3</v>
      </c>
      <c r="AD200" s="523">
        <f>調配產銷!AD43</f>
        <v>3.7699999999999999E-3</v>
      </c>
      <c r="AE200" s="524">
        <f>調配產銷!AE43</f>
        <v>3.7699999999999999E-3</v>
      </c>
      <c r="AF200" s="509">
        <f>+IF(SUM(G200,H200:O200,R200,U200,X200,AA200)=0,0,1)</f>
        <v>1</v>
      </c>
      <c r="AH200" s="796"/>
      <c r="AI200" s="796"/>
      <c r="AJ200" s="796"/>
    </row>
    <row r="201" spans="1:36" ht="24" customHeight="1" x14ac:dyDescent="0.25">
      <c r="A201" s="112" t="str">
        <f>調配產銷!A44</f>
        <v>MLR-102D</v>
      </c>
      <c r="B201" s="371" t="str">
        <f>調配產銷!B44</f>
        <v>200L</v>
      </c>
      <c r="C201" s="594">
        <f>調配產銷!C44</f>
        <v>0</v>
      </c>
      <c r="D201" s="429">
        <f>調配產銷!D44</f>
        <v>3.008</v>
      </c>
      <c r="E201" s="593">
        <f>調配產銷!E44</f>
        <v>0.32779999999999998</v>
      </c>
      <c r="F201" s="593">
        <f>調配產銷!F44</f>
        <v>0</v>
      </c>
      <c r="G201" s="870">
        <f>調配產銷!G44</f>
        <v>3.3357999999999999</v>
      </c>
      <c r="H201" s="865">
        <f>調配產銷!H44</f>
        <v>0</v>
      </c>
      <c r="I201" s="572">
        <f>調配產銷!I44</f>
        <v>0</v>
      </c>
      <c r="J201" s="865">
        <f>調配產銷!J44</f>
        <v>0</v>
      </c>
      <c r="K201" s="595">
        <f>調配產銷!K44</f>
        <v>0</v>
      </c>
      <c r="L201" s="865">
        <f>調配產銷!L44</f>
        <v>0</v>
      </c>
      <c r="M201" s="595">
        <f>調配產銷!M44</f>
        <v>0</v>
      </c>
      <c r="N201" s="865">
        <f>調配產銷!N44</f>
        <v>0</v>
      </c>
      <c r="O201" s="595">
        <f>調配產銷!O44</f>
        <v>0</v>
      </c>
      <c r="P201" s="565">
        <f>調配產銷!P44</f>
        <v>0</v>
      </c>
      <c r="Q201" s="547">
        <f>調配產銷!Q44</f>
        <v>0</v>
      </c>
      <c r="R201" s="547">
        <f>調配產銷!R44</f>
        <v>0</v>
      </c>
      <c r="S201" s="572">
        <f>調配產銷!S44</f>
        <v>0</v>
      </c>
      <c r="T201" s="566">
        <f>調配產銷!T44</f>
        <v>0</v>
      </c>
      <c r="U201" s="567">
        <f>調配產銷!U44</f>
        <v>0</v>
      </c>
      <c r="V201" s="568">
        <f>調配產銷!V44</f>
        <v>0</v>
      </c>
      <c r="W201" s="569">
        <f>調配產銷!W44</f>
        <v>0</v>
      </c>
      <c r="X201" s="570">
        <f>調配產銷!X44</f>
        <v>0</v>
      </c>
      <c r="Y201" s="547">
        <f>調配產銷!Y44</f>
        <v>0</v>
      </c>
      <c r="Z201" s="547">
        <f>調配產銷!Z44</f>
        <v>0</v>
      </c>
      <c r="AA201" s="571">
        <f>調配產銷!AA44</f>
        <v>0</v>
      </c>
      <c r="AB201" s="522">
        <f>調配產銷!AB44</f>
        <v>3.3357999999999999</v>
      </c>
      <c r="AC201" s="523">
        <f>調配產銷!AC44</f>
        <v>3.3357999999999999</v>
      </c>
      <c r="AD201" s="523">
        <f>調配產銷!AD44</f>
        <v>3.3357999999999999</v>
      </c>
      <c r="AE201" s="524">
        <f>調配產銷!AE44</f>
        <v>3.3357999999999999</v>
      </c>
      <c r="AF201" s="509">
        <f>+IF(SUM(G201,H201:O201,R201,U201,X201,AA201)=0,0,1)</f>
        <v>1</v>
      </c>
      <c r="AH201" s="796"/>
      <c r="AI201" s="796"/>
      <c r="AJ201" s="796"/>
    </row>
    <row r="202" spans="1:36" ht="24" customHeight="1" x14ac:dyDescent="0.25">
      <c r="A202" s="97" t="str">
        <f>調配產銷!A45</f>
        <v>PMUPS</v>
      </c>
      <c r="B202" s="390" t="str">
        <f>調配產銷!B45</f>
        <v>TK666+E79</v>
      </c>
      <c r="C202" s="361">
        <f>調配產銷!C45</f>
        <v>60</v>
      </c>
      <c r="D202" s="362">
        <f>調配產銷!D45</f>
        <v>17.899999999999999</v>
      </c>
      <c r="E202" s="363">
        <f>調配產銷!E45</f>
        <v>0</v>
      </c>
      <c r="F202" s="363">
        <f>調配產銷!F45</f>
        <v>0</v>
      </c>
      <c r="G202" s="693">
        <f>調配產銷!G45</f>
        <v>17.899999999999999</v>
      </c>
      <c r="H202" s="865">
        <f>調配產銷!H45</f>
        <v>0</v>
      </c>
      <c r="I202" s="572">
        <f>調配產銷!I45</f>
        <v>0</v>
      </c>
      <c r="J202" s="865">
        <f>調配產銷!J45</f>
        <v>0</v>
      </c>
      <c r="K202" s="595">
        <f>調配產銷!K45</f>
        <v>0</v>
      </c>
      <c r="L202" s="865">
        <f>調配產銷!L45</f>
        <v>0</v>
      </c>
      <c r="M202" s="595">
        <f>調配產銷!M45</f>
        <v>0</v>
      </c>
      <c r="N202" s="865">
        <f>調配產銷!N45</f>
        <v>0</v>
      </c>
      <c r="O202" s="595">
        <f>調配產銷!O45</f>
        <v>0</v>
      </c>
      <c r="P202" s="565">
        <f>調配產銷!P45</f>
        <v>0</v>
      </c>
      <c r="Q202" s="547">
        <f>調配產銷!Q45</f>
        <v>28</v>
      </c>
      <c r="R202" s="547">
        <f>調配產銷!R45</f>
        <v>28</v>
      </c>
      <c r="S202" s="572">
        <f>調配產銷!S45</f>
        <v>28</v>
      </c>
      <c r="T202" s="566">
        <f>調配產銷!T45</f>
        <v>0</v>
      </c>
      <c r="U202" s="567">
        <f>調配產銷!U45</f>
        <v>15</v>
      </c>
      <c r="V202" s="568">
        <f>調配產銷!V45</f>
        <v>30</v>
      </c>
      <c r="W202" s="569">
        <f>調配產銷!W45</f>
        <v>30</v>
      </c>
      <c r="X202" s="570">
        <f>調配產銷!X45</f>
        <v>0</v>
      </c>
      <c r="Y202" s="547">
        <f>調配產銷!Y45</f>
        <v>0</v>
      </c>
      <c r="Z202" s="547">
        <f>調配產銷!Z45</f>
        <v>0</v>
      </c>
      <c r="AA202" s="571">
        <f>調配產銷!AA45</f>
        <v>0</v>
      </c>
      <c r="AB202" s="522">
        <f>調配產銷!AB45</f>
        <v>17.899999999999999</v>
      </c>
      <c r="AC202" s="523">
        <f>調配產銷!AC45</f>
        <v>4.8999999999999986</v>
      </c>
      <c r="AD202" s="523">
        <f>調配產銷!AD45</f>
        <v>6.8999999999999986</v>
      </c>
      <c r="AE202" s="524">
        <f>調配產銷!AE45</f>
        <v>8.8999999999999986</v>
      </c>
      <c r="AF202" s="509">
        <f t="shared" si="28"/>
        <v>1</v>
      </c>
      <c r="AH202" s="796"/>
      <c r="AI202" s="796">
        <f t="shared" si="26"/>
        <v>0</v>
      </c>
      <c r="AJ202" s="796">
        <f t="shared" si="27"/>
        <v>0</v>
      </c>
    </row>
    <row r="203" spans="1:36" ht="24" customHeight="1" x14ac:dyDescent="0.25">
      <c r="A203" s="99" t="str">
        <f>調配產銷!A46</f>
        <v>PMAC</v>
      </c>
      <c r="B203" s="371" t="str">
        <f>調配產銷!B46</f>
        <v>E80+E78+E79+200L</v>
      </c>
      <c r="C203" s="382">
        <f>調配產銷!C46</f>
        <v>20</v>
      </c>
      <c r="D203" s="411">
        <f>調配產銷!D46</f>
        <v>7.46</v>
      </c>
      <c r="E203" s="371">
        <f>調配產銷!E46</f>
        <v>0</v>
      </c>
      <c r="F203" s="371">
        <f>調配產銷!F46</f>
        <v>0</v>
      </c>
      <c r="G203" s="693">
        <f>調配產銷!G46</f>
        <v>7.46</v>
      </c>
      <c r="H203" s="865">
        <f>調配產銷!H46</f>
        <v>0</v>
      </c>
      <c r="I203" s="572">
        <f>調配產銷!I46</f>
        <v>0</v>
      </c>
      <c r="J203" s="865">
        <f>調配產銷!J46</f>
        <v>0</v>
      </c>
      <c r="K203" s="595">
        <f>調配產銷!K46</f>
        <v>0</v>
      </c>
      <c r="L203" s="865">
        <f>調配產銷!L46</f>
        <v>0</v>
      </c>
      <c r="M203" s="595">
        <f>調配產銷!M46</f>
        <v>0</v>
      </c>
      <c r="N203" s="865">
        <f>調配產銷!N46</f>
        <v>0</v>
      </c>
      <c r="O203" s="595">
        <f>調配產銷!O46</f>
        <v>0</v>
      </c>
      <c r="P203" s="565">
        <f>調配產銷!P46</f>
        <v>0</v>
      </c>
      <c r="Q203" s="565">
        <f>調配產銷!Q46</f>
        <v>12</v>
      </c>
      <c r="R203" s="565">
        <f>調配產銷!R46</f>
        <v>12</v>
      </c>
      <c r="S203" s="565">
        <f>調配產銷!S46</f>
        <v>12</v>
      </c>
      <c r="T203" s="566">
        <f>調配產銷!T46</f>
        <v>0</v>
      </c>
      <c r="U203" s="567">
        <f>調配產銷!U46</f>
        <v>15</v>
      </c>
      <c r="V203" s="568">
        <f>調配產銷!V46</f>
        <v>15</v>
      </c>
      <c r="W203" s="569">
        <f>調配產銷!W46</f>
        <v>15</v>
      </c>
      <c r="X203" s="570">
        <f>調配產銷!X46</f>
        <v>0</v>
      </c>
      <c r="Y203" s="547">
        <f>調配產銷!Y46</f>
        <v>0</v>
      </c>
      <c r="Z203" s="547">
        <f>調配產銷!Z46</f>
        <v>0</v>
      </c>
      <c r="AA203" s="571">
        <f>調配產銷!AA46</f>
        <v>0</v>
      </c>
      <c r="AB203" s="522">
        <f>調配產銷!AB46</f>
        <v>7.46</v>
      </c>
      <c r="AC203" s="523">
        <f>調配產銷!AC46</f>
        <v>10.46</v>
      </c>
      <c r="AD203" s="523">
        <f>調配產銷!AD46</f>
        <v>13.46</v>
      </c>
      <c r="AE203" s="524">
        <f>調配產銷!AE46</f>
        <v>16.46</v>
      </c>
      <c r="AF203" s="509">
        <f t="shared" si="28"/>
        <v>1</v>
      </c>
      <c r="AH203" s="796"/>
      <c r="AI203" s="796">
        <f t="shared" si="26"/>
        <v>0</v>
      </c>
      <c r="AJ203" s="796">
        <f t="shared" si="27"/>
        <v>0</v>
      </c>
    </row>
    <row r="204" spans="1:36" ht="24" customHeight="1" thickBot="1" x14ac:dyDescent="0.3">
      <c r="A204" s="97" t="str">
        <f>調配產銷!A47</f>
        <v>TMAH-GB</v>
      </c>
      <c r="B204" s="371" t="str">
        <f>調配產銷!B47</f>
        <v>200L</v>
      </c>
      <c r="C204" s="361">
        <f>調配產銷!C47</f>
        <v>0</v>
      </c>
      <c r="D204" s="362">
        <f>調配產銷!D47</f>
        <v>6.4</v>
      </c>
      <c r="E204" s="363">
        <f>調配產銷!E47</f>
        <v>0.182</v>
      </c>
      <c r="F204" s="363">
        <f>調配產銷!F47</f>
        <v>0</v>
      </c>
      <c r="G204" s="530">
        <f>調配產銷!G47</f>
        <v>6.5820000000000007</v>
      </c>
      <c r="H204" s="865">
        <f>調配產銷!H47</f>
        <v>0</v>
      </c>
      <c r="I204" s="572">
        <f>調配產銷!I47</f>
        <v>0</v>
      </c>
      <c r="J204" s="865">
        <f>調配產銷!J47</f>
        <v>0</v>
      </c>
      <c r="K204" s="595">
        <f>調配產銷!K47</f>
        <v>0</v>
      </c>
      <c r="L204" s="865">
        <f>調配產銷!L47</f>
        <v>0</v>
      </c>
      <c r="M204" s="595">
        <f>調配產銷!M47</f>
        <v>0</v>
      </c>
      <c r="N204" s="865">
        <f>調配產銷!N47</f>
        <v>0</v>
      </c>
      <c r="O204" s="595">
        <f>調配產銷!O47</f>
        <v>0</v>
      </c>
      <c r="P204" s="565">
        <f>調配產銷!P47</f>
        <v>0</v>
      </c>
      <c r="Q204" s="565">
        <f>調配產銷!Q47</f>
        <v>1</v>
      </c>
      <c r="R204" s="565">
        <f>調配產銷!R47</f>
        <v>0</v>
      </c>
      <c r="S204" s="565">
        <f>調配產銷!S47</f>
        <v>0</v>
      </c>
      <c r="T204" s="566">
        <f>調配產銷!T47</f>
        <v>0</v>
      </c>
      <c r="U204" s="567">
        <f>調配產銷!U47</f>
        <v>0</v>
      </c>
      <c r="V204" s="568">
        <f>調配產銷!V47</f>
        <v>0</v>
      </c>
      <c r="W204" s="569">
        <f>調配產銷!W47</f>
        <v>0</v>
      </c>
      <c r="X204" s="570">
        <f>調配產銷!X47</f>
        <v>0</v>
      </c>
      <c r="Y204" s="547">
        <f>調配產銷!Y47</f>
        <v>0</v>
      </c>
      <c r="Z204" s="547">
        <f>調配產銷!Z47</f>
        <v>0</v>
      </c>
      <c r="AA204" s="595">
        <f>調配產銷!AA47</f>
        <v>0</v>
      </c>
      <c r="AB204" s="536">
        <f>調配產銷!AB47</f>
        <v>6.5820000000000007</v>
      </c>
      <c r="AC204" s="537">
        <f>調配產銷!AC47</f>
        <v>5.5820000000000007</v>
      </c>
      <c r="AD204" s="537">
        <f>調配產銷!AD47</f>
        <v>5.5820000000000007</v>
      </c>
      <c r="AE204" s="538">
        <f>調配產銷!AE47</f>
        <v>5.5820000000000007</v>
      </c>
      <c r="AF204" s="509">
        <f t="shared" si="28"/>
        <v>1</v>
      </c>
      <c r="AH204" s="796"/>
      <c r="AI204" s="796">
        <f t="shared" si="26"/>
        <v>0</v>
      </c>
      <c r="AJ204" s="796">
        <f t="shared" si="27"/>
        <v>0</v>
      </c>
    </row>
    <row r="205" spans="1:36" ht="28.15" hidden="1" customHeight="1" thickBot="1" x14ac:dyDescent="0.3">
      <c r="A205" s="100" t="str">
        <f>調配產銷!A48</f>
        <v>1PG-GB</v>
      </c>
      <c r="B205" s="441" t="s">
        <v>8</v>
      </c>
      <c r="C205" s="439">
        <f>調配產銷!C48</f>
        <v>0</v>
      </c>
      <c r="D205" s="596">
        <f>調配產銷!D48</f>
        <v>0</v>
      </c>
      <c r="E205" s="596">
        <f>調配產銷!E48</f>
        <v>0</v>
      </c>
      <c r="F205" s="596">
        <f>調配產銷!F48</f>
        <v>0</v>
      </c>
      <c r="G205" s="816">
        <f>調配產銷!G48</f>
        <v>0</v>
      </c>
      <c r="H205" s="868">
        <f>調配產銷!H48</f>
        <v>0</v>
      </c>
      <c r="I205" s="577">
        <f>調配產銷!I48</f>
        <v>0</v>
      </c>
      <c r="J205" s="868">
        <f>調配產銷!J48</f>
        <v>0</v>
      </c>
      <c r="K205" s="586">
        <f>調配產銷!K48</f>
        <v>0</v>
      </c>
      <c r="L205" s="868">
        <f>調配產銷!L48</f>
        <v>0</v>
      </c>
      <c r="M205" s="586">
        <f>調配產銷!M48</f>
        <v>0</v>
      </c>
      <c r="N205" s="868">
        <f>調配產銷!N48</f>
        <v>0</v>
      </c>
      <c r="O205" s="586">
        <f>調配產銷!O48</f>
        <v>0</v>
      </c>
      <c r="P205" s="555">
        <f>調配產銷!P48</f>
        <v>0</v>
      </c>
      <c r="Q205" s="555">
        <f>調配產銷!Q48</f>
        <v>0</v>
      </c>
      <c r="R205" s="555">
        <f>調配產銷!R48</f>
        <v>0</v>
      </c>
      <c r="S205" s="555">
        <f>調配產銷!S48</f>
        <v>1</v>
      </c>
      <c r="T205" s="578">
        <f>調配產銷!T48</f>
        <v>8.8149999999999995</v>
      </c>
      <c r="U205" s="579">
        <f>調配產銷!U48</f>
        <v>0</v>
      </c>
      <c r="V205" s="580">
        <f>調配產銷!V48</f>
        <v>0</v>
      </c>
      <c r="W205" s="581">
        <f>調配產銷!W48</f>
        <v>0</v>
      </c>
      <c r="X205" s="582">
        <f>調配產銷!X48</f>
        <v>0</v>
      </c>
      <c r="Y205" s="576">
        <f>調配產銷!Y48</f>
        <v>0</v>
      </c>
      <c r="Z205" s="576">
        <f>調配產銷!Z48</f>
        <v>0</v>
      </c>
      <c r="AA205" s="583">
        <f>調配產銷!AA48</f>
        <v>0</v>
      </c>
      <c r="AB205" s="587">
        <f>調配產銷!AB48</f>
        <v>8.8149999999999995</v>
      </c>
      <c r="AC205" s="588">
        <f>調配產銷!AC48</f>
        <v>8.8149999999999995</v>
      </c>
      <c r="AD205" s="588">
        <f>調配產銷!AD48</f>
        <v>8.8149999999999995</v>
      </c>
      <c r="AE205" s="589">
        <f>調配產銷!AE48</f>
        <v>7.8149999999999995</v>
      </c>
      <c r="AF205" s="509">
        <f t="shared" si="28"/>
        <v>0</v>
      </c>
      <c r="AH205" s="796"/>
      <c r="AI205" s="796">
        <f t="shared" si="26"/>
        <v>0</v>
      </c>
      <c r="AJ205" s="796">
        <f t="shared" si="27"/>
        <v>0</v>
      </c>
    </row>
    <row r="206" spans="1:36" ht="18" hidden="1" thickBot="1" x14ac:dyDescent="0.3">
      <c r="A206" s="100">
        <f>調配產銷!A49</f>
        <v>0</v>
      </c>
      <c r="B206" s="441">
        <f>調配產銷!B49</f>
        <v>0</v>
      </c>
      <c r="C206" s="597">
        <f>調配產銷!C49</f>
        <v>0</v>
      </c>
      <c r="D206" s="440">
        <f>調配產銷!D49</f>
        <v>0</v>
      </c>
      <c r="E206" s="440">
        <f>調配產銷!E49</f>
        <v>0</v>
      </c>
      <c r="F206" s="440">
        <f>調配產銷!F49</f>
        <v>0</v>
      </c>
      <c r="G206" s="871">
        <f>調配產銷!G49</f>
        <v>0</v>
      </c>
      <c r="H206" s="872">
        <f>調配產銷!H49</f>
        <v>0</v>
      </c>
      <c r="I206" s="601">
        <f>調配產銷!I49</f>
        <v>0</v>
      </c>
      <c r="J206" s="872">
        <f>調配產銷!J49</f>
        <v>0</v>
      </c>
      <c r="K206" s="873">
        <f>調配產銷!K49</f>
        <v>0</v>
      </c>
      <c r="L206" s="872">
        <f>調配產銷!L49</f>
        <v>0</v>
      </c>
      <c r="M206" s="873">
        <f>調配產銷!M49</f>
        <v>0</v>
      </c>
      <c r="N206" s="872">
        <f>調配產銷!N49</f>
        <v>0</v>
      </c>
      <c r="O206" s="873">
        <f>調配產銷!O49</f>
        <v>0</v>
      </c>
      <c r="P206" s="598">
        <f>調配產銷!P49</f>
        <v>0</v>
      </c>
      <c r="Q206" s="599">
        <f>調配產銷!Q49</f>
        <v>0</v>
      </c>
      <c r="R206" s="600">
        <f>調配產銷!R49</f>
        <v>0</v>
      </c>
      <c r="S206" s="601">
        <f>調配產銷!S49</f>
        <v>0</v>
      </c>
      <c r="T206" s="602">
        <f>調配產銷!T49</f>
        <v>0</v>
      </c>
      <c r="U206" s="603">
        <f>調配產銷!U49</f>
        <v>0</v>
      </c>
      <c r="V206" s="604">
        <f>調配產銷!V49</f>
        <v>0</v>
      </c>
      <c r="W206" s="605">
        <f>調配產銷!W49</f>
        <v>0</v>
      </c>
      <c r="X206" s="606">
        <f>調配產銷!X49</f>
        <v>0</v>
      </c>
      <c r="Y206" s="600">
        <f>調配產銷!Y49</f>
        <v>0</v>
      </c>
      <c r="Z206" s="600">
        <f>調配產銷!Z49</f>
        <v>0</v>
      </c>
      <c r="AA206" s="607">
        <f>調配產銷!AA49</f>
        <v>0</v>
      </c>
      <c r="AB206" s="608">
        <f>調配產銷!AB49</f>
        <v>0</v>
      </c>
      <c r="AC206" s="609">
        <f>調配產銷!AC49</f>
        <v>0</v>
      </c>
      <c r="AD206" s="609">
        <f>調配產銷!AD49</f>
        <v>0</v>
      </c>
      <c r="AE206" s="610">
        <f>調配產銷!AE49</f>
        <v>0</v>
      </c>
      <c r="AF206" s="509">
        <f t="shared" si="28"/>
        <v>0</v>
      </c>
      <c r="AH206" s="796"/>
      <c r="AI206" s="796">
        <f t="shared" si="26"/>
        <v>0</v>
      </c>
      <c r="AJ206" s="796">
        <f t="shared" si="27"/>
        <v>0</v>
      </c>
    </row>
    <row r="207" spans="1:36" ht="18" hidden="1" thickBot="1" x14ac:dyDescent="0.3">
      <c r="A207" s="97">
        <f>調配產銷!A50</f>
        <v>0</v>
      </c>
      <c r="B207" s="363">
        <f>調配產銷!B50</f>
        <v>0</v>
      </c>
      <c r="C207" s="361">
        <f>調配產銷!C50</f>
        <v>0</v>
      </c>
      <c r="D207" s="362">
        <f>調配產銷!D50</f>
        <v>0</v>
      </c>
      <c r="E207" s="363">
        <f>調配產銷!E50</f>
        <v>0</v>
      </c>
      <c r="F207" s="363">
        <f>調配產銷!F50</f>
        <v>0</v>
      </c>
      <c r="G207" s="530">
        <f>調配產銷!G50</f>
        <v>0</v>
      </c>
      <c r="H207" s="864">
        <f>調配產銷!H50</f>
        <v>0</v>
      </c>
      <c r="I207" s="575">
        <f>調配產銷!I50</f>
        <v>0</v>
      </c>
      <c r="J207" s="864">
        <f>調配產銷!J50</f>
        <v>0</v>
      </c>
      <c r="K207" s="532">
        <f>調配產銷!K50</f>
        <v>0</v>
      </c>
      <c r="L207" s="864">
        <f>調配產銷!L50</f>
        <v>0</v>
      </c>
      <c r="M207" s="532">
        <f>調配產銷!M50</f>
        <v>0</v>
      </c>
      <c r="N207" s="864">
        <f>調配產銷!N50</f>
        <v>0</v>
      </c>
      <c r="O207" s="532">
        <f>調配產銷!O50</f>
        <v>0</v>
      </c>
      <c r="P207" s="558">
        <f>調配產銷!P50</f>
        <v>0</v>
      </c>
      <c r="Q207" s="563">
        <f>調配產銷!Q50</f>
        <v>0</v>
      </c>
      <c r="R207" s="563">
        <f>調配產銷!R50</f>
        <v>0</v>
      </c>
      <c r="S207" s="575">
        <f>調配產銷!S50</f>
        <v>0</v>
      </c>
      <c r="T207" s="531">
        <f>調配產銷!T50</f>
        <v>0</v>
      </c>
      <c r="U207" s="559">
        <f>調配產銷!U50</f>
        <v>0</v>
      </c>
      <c r="V207" s="560">
        <f>調配產銷!V50</f>
        <v>0</v>
      </c>
      <c r="W207" s="561">
        <f>調配產銷!W50</f>
        <v>0</v>
      </c>
      <c r="X207" s="562">
        <f>調配產銷!X50</f>
        <v>0</v>
      </c>
      <c r="Y207" s="563">
        <f>調配產銷!Y50</f>
        <v>0</v>
      </c>
      <c r="Z207" s="563">
        <f>調配產銷!Z50</f>
        <v>0</v>
      </c>
      <c r="AA207" s="564">
        <f>調配產銷!AA50</f>
        <v>0</v>
      </c>
      <c r="AB207" s="510">
        <f>調配產銷!AB50</f>
        <v>0</v>
      </c>
      <c r="AC207" s="511">
        <f>調配產銷!AC50</f>
        <v>0</v>
      </c>
      <c r="AD207" s="511">
        <f>調配產銷!AD50</f>
        <v>0</v>
      </c>
      <c r="AE207" s="512">
        <f>調配產銷!AE50</f>
        <v>0</v>
      </c>
      <c r="AF207" s="509">
        <f t="shared" si="28"/>
        <v>0</v>
      </c>
      <c r="AH207" s="796"/>
      <c r="AI207" s="796">
        <f t="shared" ref="AI207:AI233" si="29">IF(AH207=0,0,AH207/C207)</f>
        <v>0</v>
      </c>
      <c r="AJ207" s="796">
        <f t="shared" ref="AJ207:AJ233" si="30">IF(AH207=0,0,AH207/((H207+J207+L207+N207)/4))</f>
        <v>0</v>
      </c>
    </row>
    <row r="208" spans="1:36" ht="18" hidden="1" thickBot="1" x14ac:dyDescent="0.3">
      <c r="A208" s="99">
        <f>調配產銷!A51</f>
        <v>0</v>
      </c>
      <c r="B208" s="371">
        <f>調配產銷!B51</f>
        <v>0</v>
      </c>
      <c r="C208" s="382">
        <f>調配產銷!C51</f>
        <v>0</v>
      </c>
      <c r="D208" s="347">
        <f>調配產銷!D51</f>
        <v>0</v>
      </c>
      <c r="E208" s="371">
        <f>調配產銷!E51</f>
        <v>0</v>
      </c>
      <c r="F208" s="371">
        <f>調配產銷!F51</f>
        <v>0</v>
      </c>
      <c r="G208" s="693">
        <f>調配產銷!G51</f>
        <v>0</v>
      </c>
      <c r="H208" s="865">
        <f>調配產銷!H51</f>
        <v>0</v>
      </c>
      <c r="I208" s="595">
        <f>調配產銷!I51</f>
        <v>0</v>
      </c>
      <c r="J208" s="865">
        <f>調配產銷!J51</f>
        <v>0</v>
      </c>
      <c r="K208" s="595">
        <f>調配產銷!K51</f>
        <v>0</v>
      </c>
      <c r="L208" s="865">
        <f>調配產銷!L51</f>
        <v>0</v>
      </c>
      <c r="M208" s="595">
        <f>調配產銷!M51</f>
        <v>0</v>
      </c>
      <c r="N208" s="865">
        <f>調配產銷!N51</f>
        <v>0</v>
      </c>
      <c r="O208" s="595">
        <f>調配產銷!O51</f>
        <v>0</v>
      </c>
      <c r="P208" s="565">
        <f>調配產銷!P51</f>
        <v>0</v>
      </c>
      <c r="Q208" s="547">
        <f>調配產銷!Q51</f>
        <v>0</v>
      </c>
      <c r="R208" s="547">
        <f>調配產銷!R51</f>
        <v>0</v>
      </c>
      <c r="S208" s="572">
        <f>調配產銷!S51</f>
        <v>0</v>
      </c>
      <c r="T208" s="566">
        <f>調配產銷!T51</f>
        <v>0</v>
      </c>
      <c r="U208" s="567">
        <f>調配產銷!U51</f>
        <v>0</v>
      </c>
      <c r="V208" s="568">
        <f>調配產銷!V51</f>
        <v>0</v>
      </c>
      <c r="W208" s="569">
        <f>調配產銷!W51</f>
        <v>0</v>
      </c>
      <c r="X208" s="570">
        <f>調配產銷!X51</f>
        <v>0</v>
      </c>
      <c r="Y208" s="547">
        <f>調配產銷!Y51</f>
        <v>0</v>
      </c>
      <c r="Z208" s="547">
        <f>調配產銷!Z51</f>
        <v>0</v>
      </c>
      <c r="AA208" s="571">
        <f>調配產銷!AA51</f>
        <v>0</v>
      </c>
      <c r="AB208" s="522">
        <f>調配產銷!AB51</f>
        <v>0</v>
      </c>
      <c r="AC208" s="523">
        <f>調配產銷!AC51</f>
        <v>0</v>
      </c>
      <c r="AD208" s="590">
        <f>調配產銷!AD51</f>
        <v>0</v>
      </c>
      <c r="AE208" s="524">
        <f>調配產銷!AE51</f>
        <v>0</v>
      </c>
      <c r="AF208" s="509">
        <f t="shared" si="28"/>
        <v>0</v>
      </c>
      <c r="AH208" s="796"/>
      <c r="AI208" s="796">
        <f t="shared" si="29"/>
        <v>0</v>
      </c>
      <c r="AJ208" s="796">
        <f t="shared" si="30"/>
        <v>0</v>
      </c>
    </row>
    <row r="209" spans="1:36" ht="18" hidden="1" thickBot="1" x14ac:dyDescent="0.3">
      <c r="A209" s="99">
        <f>調配產銷!A52</f>
        <v>0</v>
      </c>
      <c r="B209" s="371">
        <f>調配產銷!B52</f>
        <v>0</v>
      </c>
      <c r="C209" s="382">
        <f>調配產銷!C52</f>
        <v>0</v>
      </c>
      <c r="D209" s="411">
        <f>調配產銷!D52</f>
        <v>0</v>
      </c>
      <c r="E209" s="371">
        <f>調配產銷!E52</f>
        <v>0</v>
      </c>
      <c r="F209" s="371">
        <f>調配產銷!F52</f>
        <v>0</v>
      </c>
      <c r="G209" s="693">
        <f>調配產銷!G52</f>
        <v>0</v>
      </c>
      <c r="H209" s="865">
        <f>調配產銷!H52</f>
        <v>0</v>
      </c>
      <c r="I209" s="572">
        <f>調配產銷!I52</f>
        <v>0</v>
      </c>
      <c r="J209" s="865">
        <f>調配產銷!J52</f>
        <v>0</v>
      </c>
      <c r="K209" s="595">
        <f>調配產銷!K52</f>
        <v>0</v>
      </c>
      <c r="L209" s="865">
        <f>調配產銷!L52</f>
        <v>0</v>
      </c>
      <c r="M209" s="595">
        <f>調配產銷!M52</f>
        <v>0</v>
      </c>
      <c r="N209" s="865">
        <f>調配產銷!N52</f>
        <v>0</v>
      </c>
      <c r="O209" s="595">
        <f>調配產銷!O52</f>
        <v>0</v>
      </c>
      <c r="P209" s="565">
        <f>調配產銷!P52</f>
        <v>0</v>
      </c>
      <c r="Q209" s="547">
        <f>調配產銷!Q52</f>
        <v>0</v>
      </c>
      <c r="R209" s="547">
        <f>調配產銷!R52</f>
        <v>0</v>
      </c>
      <c r="S209" s="572">
        <f>調配產銷!S52</f>
        <v>0</v>
      </c>
      <c r="T209" s="566">
        <f>調配產銷!T52</f>
        <v>0</v>
      </c>
      <c r="U209" s="567">
        <f>調配產銷!U52</f>
        <v>0</v>
      </c>
      <c r="V209" s="568">
        <f>調配產銷!V52</f>
        <v>0</v>
      </c>
      <c r="W209" s="569">
        <f>調配產銷!W52</f>
        <v>0</v>
      </c>
      <c r="X209" s="570">
        <f>調配產銷!X52</f>
        <v>0</v>
      </c>
      <c r="Y209" s="547">
        <f>調配產銷!Y52</f>
        <v>0</v>
      </c>
      <c r="Z209" s="547">
        <f>調配產銷!Z52</f>
        <v>0</v>
      </c>
      <c r="AA209" s="571">
        <f>調配產銷!AA52</f>
        <v>0</v>
      </c>
      <c r="AB209" s="522">
        <f>調配產銷!AB52</f>
        <v>0</v>
      </c>
      <c r="AC209" s="523">
        <f>調配產銷!AC52</f>
        <v>0</v>
      </c>
      <c r="AD209" s="523">
        <f>調配產銷!AD52</f>
        <v>0</v>
      </c>
      <c r="AE209" s="524">
        <f>調配產銷!AE52</f>
        <v>0</v>
      </c>
      <c r="AF209" s="509">
        <f t="shared" si="28"/>
        <v>0</v>
      </c>
      <c r="AH209" s="796"/>
      <c r="AI209" s="796">
        <f t="shared" si="29"/>
        <v>0</v>
      </c>
      <c r="AJ209" s="796">
        <f t="shared" si="30"/>
        <v>0</v>
      </c>
    </row>
    <row r="210" spans="1:36" ht="18" hidden="1" thickBot="1" x14ac:dyDescent="0.3">
      <c r="A210" s="99">
        <f>調配產銷!A53</f>
        <v>0</v>
      </c>
      <c r="B210" s="371">
        <f>調配產銷!B53</f>
        <v>0</v>
      </c>
      <c r="C210" s="382">
        <f>調配產銷!C53</f>
        <v>0</v>
      </c>
      <c r="D210" s="411">
        <f>調配產銷!D53</f>
        <v>0</v>
      </c>
      <c r="E210" s="371">
        <f>調配產銷!E53</f>
        <v>0</v>
      </c>
      <c r="F210" s="371">
        <f>調配產銷!F53</f>
        <v>0</v>
      </c>
      <c r="G210" s="693">
        <f>調配產銷!G53</f>
        <v>0</v>
      </c>
      <c r="H210" s="866">
        <f>調配產銷!H53</f>
        <v>0</v>
      </c>
      <c r="I210" s="572">
        <f>調配產銷!I53</f>
        <v>0</v>
      </c>
      <c r="J210" s="865">
        <f>調配產銷!J53</f>
        <v>0</v>
      </c>
      <c r="K210" s="595">
        <f>調配產銷!K53</f>
        <v>0</v>
      </c>
      <c r="L210" s="865">
        <f>調配產銷!L53</f>
        <v>0</v>
      </c>
      <c r="M210" s="595">
        <f>調配產銷!M53</f>
        <v>0</v>
      </c>
      <c r="N210" s="865">
        <f>調配產銷!N53</f>
        <v>0</v>
      </c>
      <c r="O210" s="595">
        <f>調配產銷!O53</f>
        <v>0</v>
      </c>
      <c r="P210" s="565">
        <f>調配產銷!P53</f>
        <v>0</v>
      </c>
      <c r="Q210" s="547">
        <f>調配產銷!Q53</f>
        <v>0</v>
      </c>
      <c r="R210" s="547">
        <f>調配產銷!R53</f>
        <v>0</v>
      </c>
      <c r="S210" s="572">
        <f>調配產銷!S53</f>
        <v>0</v>
      </c>
      <c r="T210" s="566">
        <f>調配產銷!T53</f>
        <v>0</v>
      </c>
      <c r="U210" s="567">
        <f>調配產銷!U53</f>
        <v>0</v>
      </c>
      <c r="V210" s="568">
        <f>調配產銷!V53</f>
        <v>0</v>
      </c>
      <c r="W210" s="569">
        <f>調配產銷!W53</f>
        <v>0</v>
      </c>
      <c r="X210" s="570">
        <f>調配產銷!X53</f>
        <v>0</v>
      </c>
      <c r="Y210" s="547">
        <f>調配產銷!Y53</f>
        <v>0</v>
      </c>
      <c r="Z210" s="547">
        <f>調配產銷!Z53</f>
        <v>0</v>
      </c>
      <c r="AA210" s="571">
        <f>調配產銷!AA53</f>
        <v>0</v>
      </c>
      <c r="AB210" s="536">
        <f>調配產銷!AB53</f>
        <v>0</v>
      </c>
      <c r="AC210" s="537">
        <f>調配產銷!AC53</f>
        <v>0</v>
      </c>
      <c r="AD210" s="537">
        <f>調配產銷!AD53</f>
        <v>0</v>
      </c>
      <c r="AE210" s="538">
        <f>調配產銷!AE53</f>
        <v>0</v>
      </c>
      <c r="AF210" s="509">
        <f t="shared" si="28"/>
        <v>0</v>
      </c>
      <c r="AH210" s="796"/>
      <c r="AI210" s="796">
        <f t="shared" si="29"/>
        <v>0</v>
      </c>
      <c r="AJ210" s="796">
        <f t="shared" si="30"/>
        <v>0</v>
      </c>
    </row>
    <row r="211" spans="1:36" ht="18" hidden="1" thickBot="1" x14ac:dyDescent="0.3">
      <c r="A211" s="99">
        <f>調配產銷!A54</f>
        <v>0</v>
      </c>
      <c r="B211" s="371">
        <f>調配產銷!B54</f>
        <v>0</v>
      </c>
      <c r="C211" s="382">
        <f>調配產銷!C54</f>
        <v>0</v>
      </c>
      <c r="D211" s="411">
        <f>調配產銷!D54</f>
        <v>0</v>
      </c>
      <c r="E211" s="371">
        <f>調配產銷!E54</f>
        <v>0</v>
      </c>
      <c r="F211" s="371">
        <f>調配產銷!F54</f>
        <v>0</v>
      </c>
      <c r="G211" s="867">
        <f>調配產銷!G54</f>
        <v>0</v>
      </c>
      <c r="H211" s="865">
        <f>調配產銷!H54</f>
        <v>0</v>
      </c>
      <c r="I211" s="572">
        <f>調配產銷!I54</f>
        <v>0</v>
      </c>
      <c r="J211" s="865">
        <f>調配產銷!J54</f>
        <v>0</v>
      </c>
      <c r="K211" s="595">
        <f>調配產銷!K54</f>
        <v>0</v>
      </c>
      <c r="L211" s="865">
        <f>調配產銷!L54</f>
        <v>0</v>
      </c>
      <c r="M211" s="595">
        <f>調配產銷!M54</f>
        <v>0</v>
      </c>
      <c r="N211" s="865">
        <f>調配產銷!N54</f>
        <v>0</v>
      </c>
      <c r="O211" s="595">
        <f>調配產銷!O54</f>
        <v>0</v>
      </c>
      <c r="P211" s="565">
        <f>調配產銷!P54</f>
        <v>0</v>
      </c>
      <c r="Q211" s="547">
        <f>調配產銷!Q54</f>
        <v>0</v>
      </c>
      <c r="R211" s="547">
        <f>調配產銷!R54</f>
        <v>0</v>
      </c>
      <c r="S211" s="572">
        <f>調配產銷!S54</f>
        <v>0</v>
      </c>
      <c r="T211" s="566">
        <f>調配產銷!T54</f>
        <v>0</v>
      </c>
      <c r="U211" s="567">
        <f>調配產銷!U54</f>
        <v>0</v>
      </c>
      <c r="V211" s="568">
        <f>調配產銷!V54</f>
        <v>0</v>
      </c>
      <c r="W211" s="569">
        <f>調配產銷!W54</f>
        <v>0</v>
      </c>
      <c r="X211" s="570">
        <f>調配產銷!X54</f>
        <v>0</v>
      </c>
      <c r="Y211" s="547">
        <f>調配產銷!Y54</f>
        <v>0</v>
      </c>
      <c r="Z211" s="547">
        <f>調配產銷!Z54</f>
        <v>0</v>
      </c>
      <c r="AA211" s="571">
        <f>調配產銷!AA54</f>
        <v>0</v>
      </c>
      <c r="AB211" s="533">
        <f>調配產銷!AB54</f>
        <v>0</v>
      </c>
      <c r="AC211" s="534">
        <f>調配產銷!AC54</f>
        <v>0</v>
      </c>
      <c r="AD211" s="534">
        <f>調配產銷!AD54</f>
        <v>0</v>
      </c>
      <c r="AE211" s="535">
        <f>調配產銷!AE54</f>
        <v>0</v>
      </c>
      <c r="AF211" s="509">
        <f t="shared" si="28"/>
        <v>0</v>
      </c>
      <c r="AH211" s="796"/>
      <c r="AI211" s="796">
        <f t="shared" si="29"/>
        <v>0</v>
      </c>
      <c r="AJ211" s="796">
        <f t="shared" si="30"/>
        <v>0</v>
      </c>
    </row>
    <row r="212" spans="1:36" ht="18" hidden="1" thickBot="1" x14ac:dyDescent="0.3">
      <c r="A212" s="99">
        <f>調配產銷!A55</f>
        <v>0</v>
      </c>
      <c r="B212" s="371">
        <f>調配產銷!B55</f>
        <v>0</v>
      </c>
      <c r="C212" s="397">
        <f>調配產銷!C55</f>
        <v>0</v>
      </c>
      <c r="D212" s="429">
        <f>調配產銷!D55</f>
        <v>0</v>
      </c>
      <c r="E212" s="430">
        <f>調配產銷!E55</f>
        <v>0</v>
      </c>
      <c r="F212" s="430">
        <f>調配產銷!F55</f>
        <v>0</v>
      </c>
      <c r="G212" s="867">
        <f>調配產銷!G55</f>
        <v>0</v>
      </c>
      <c r="H212" s="865">
        <f>調配產銷!H55</f>
        <v>0</v>
      </c>
      <c r="I212" s="572">
        <f>調配產銷!I55</f>
        <v>0</v>
      </c>
      <c r="J212" s="865">
        <f>調配產銷!J55</f>
        <v>0</v>
      </c>
      <c r="K212" s="595">
        <f>調配產銷!K55</f>
        <v>0</v>
      </c>
      <c r="L212" s="865">
        <f>調配產銷!L55</f>
        <v>0</v>
      </c>
      <c r="M212" s="595">
        <f>調配產銷!M55</f>
        <v>0</v>
      </c>
      <c r="N212" s="865">
        <f>調配產銷!N55</f>
        <v>0</v>
      </c>
      <c r="O212" s="595">
        <f>調配產銷!O55</f>
        <v>0</v>
      </c>
      <c r="P212" s="565">
        <f>調配產銷!P55</f>
        <v>0</v>
      </c>
      <c r="Q212" s="520">
        <f>調配產銷!Q55</f>
        <v>0</v>
      </c>
      <c r="R212" s="520">
        <f>調配產銷!R55</f>
        <v>0</v>
      </c>
      <c r="S212" s="574">
        <f>調配產銷!S55</f>
        <v>0</v>
      </c>
      <c r="T212" s="566">
        <f>調配產銷!T55</f>
        <v>0</v>
      </c>
      <c r="U212" s="567">
        <f>調配產銷!U55</f>
        <v>0</v>
      </c>
      <c r="V212" s="568">
        <f>調配產銷!V55</f>
        <v>0</v>
      </c>
      <c r="W212" s="569">
        <f>調配產銷!W55</f>
        <v>0</v>
      </c>
      <c r="X212" s="570">
        <f>調配產銷!X55</f>
        <v>0</v>
      </c>
      <c r="Y212" s="547">
        <f>調配產銷!Y55</f>
        <v>0</v>
      </c>
      <c r="Z212" s="547">
        <f>調配產銷!Z55</f>
        <v>0</v>
      </c>
      <c r="AA212" s="573">
        <f>調配產銷!AA55</f>
        <v>0</v>
      </c>
      <c r="AB212" s="536">
        <f>調配產銷!AB55</f>
        <v>0</v>
      </c>
      <c r="AC212" s="537">
        <f>調配產銷!AC55</f>
        <v>0</v>
      </c>
      <c r="AD212" s="537">
        <f>調配產銷!AD55</f>
        <v>0</v>
      </c>
      <c r="AE212" s="538">
        <f>調配產銷!AE55</f>
        <v>0</v>
      </c>
      <c r="AF212" s="509">
        <f t="shared" si="28"/>
        <v>0</v>
      </c>
      <c r="AH212" s="796"/>
      <c r="AI212" s="796">
        <f t="shared" si="29"/>
        <v>0</v>
      </c>
      <c r="AJ212" s="796">
        <f t="shared" si="30"/>
        <v>0</v>
      </c>
    </row>
    <row r="213" spans="1:36" ht="18" hidden="1" thickBot="1" x14ac:dyDescent="0.3">
      <c r="A213" s="97">
        <f>調配產銷!A56</f>
        <v>0</v>
      </c>
      <c r="B213" s="363">
        <f>調配產銷!B56</f>
        <v>0</v>
      </c>
      <c r="C213" s="361">
        <f>調配產銷!C56</f>
        <v>0</v>
      </c>
      <c r="D213" s="362">
        <f>調配產銷!D56</f>
        <v>0</v>
      </c>
      <c r="E213" s="363">
        <f>調配產銷!E56</f>
        <v>0</v>
      </c>
      <c r="F213" s="363">
        <f>調配產銷!F56</f>
        <v>0</v>
      </c>
      <c r="G213" s="530">
        <f>調配產銷!G56</f>
        <v>0</v>
      </c>
      <c r="H213" s="864">
        <f>調配產銷!H56</f>
        <v>0</v>
      </c>
      <c r="I213" s="575">
        <f>調配產銷!I56</f>
        <v>0</v>
      </c>
      <c r="J213" s="864">
        <f>調配產銷!J56</f>
        <v>0</v>
      </c>
      <c r="K213" s="532">
        <f>調配產銷!K56</f>
        <v>0</v>
      </c>
      <c r="L213" s="864">
        <f>調配產銷!L56</f>
        <v>0</v>
      </c>
      <c r="M213" s="532">
        <f>調配產銷!M56</f>
        <v>0</v>
      </c>
      <c r="N213" s="864">
        <f>調配產銷!N56</f>
        <v>0</v>
      </c>
      <c r="O213" s="532">
        <f>調配產銷!O56</f>
        <v>0</v>
      </c>
      <c r="P213" s="558">
        <f>調配產銷!P56</f>
        <v>0</v>
      </c>
      <c r="Q213" s="563">
        <f>調配產銷!Q56</f>
        <v>0</v>
      </c>
      <c r="R213" s="563">
        <f>調配產銷!R56</f>
        <v>0</v>
      </c>
      <c r="S213" s="575">
        <f>調配產銷!S56</f>
        <v>0</v>
      </c>
      <c r="T213" s="531">
        <f>調配產銷!T56</f>
        <v>0</v>
      </c>
      <c r="U213" s="559">
        <f>調配產銷!U56</f>
        <v>0</v>
      </c>
      <c r="V213" s="560">
        <f>調配產銷!V56</f>
        <v>0</v>
      </c>
      <c r="W213" s="561">
        <f>調配產銷!W56</f>
        <v>0</v>
      </c>
      <c r="X213" s="562">
        <f>調配產銷!X56</f>
        <v>0</v>
      </c>
      <c r="Y213" s="563">
        <f>調配產銷!Y56</f>
        <v>0</v>
      </c>
      <c r="Z213" s="563">
        <f>調配產銷!Z56</f>
        <v>0</v>
      </c>
      <c r="AA213" s="564">
        <f>調配產銷!AA56</f>
        <v>0</v>
      </c>
      <c r="AB213" s="513">
        <f>調配產銷!AB56</f>
        <v>0</v>
      </c>
      <c r="AC213" s="514">
        <f>調配產銷!AC56</f>
        <v>0</v>
      </c>
      <c r="AD213" s="514">
        <f>調配產銷!AD56</f>
        <v>0</v>
      </c>
      <c r="AE213" s="515">
        <f>調配產銷!AE56</f>
        <v>0</v>
      </c>
      <c r="AF213" s="509">
        <f t="shared" si="28"/>
        <v>0</v>
      </c>
      <c r="AH213" s="796"/>
      <c r="AI213" s="796">
        <f t="shared" si="29"/>
        <v>0</v>
      </c>
      <c r="AJ213" s="796">
        <f t="shared" si="30"/>
        <v>0</v>
      </c>
    </row>
    <row r="214" spans="1:36" ht="18" hidden="1" thickBot="1" x14ac:dyDescent="0.3">
      <c r="A214" s="99">
        <f>調配產銷!A57</f>
        <v>0</v>
      </c>
      <c r="B214" s="371">
        <f>調配產銷!B57</f>
        <v>0</v>
      </c>
      <c r="C214" s="382">
        <f>調配產銷!C57</f>
        <v>0</v>
      </c>
      <c r="D214" s="411">
        <f>調配產銷!D57</f>
        <v>0</v>
      </c>
      <c r="E214" s="371">
        <f>調配產銷!E57</f>
        <v>0</v>
      </c>
      <c r="F214" s="371">
        <f>調配產銷!F57</f>
        <v>0</v>
      </c>
      <c r="G214" s="693">
        <f>調配產銷!G57</f>
        <v>0</v>
      </c>
      <c r="H214" s="865">
        <f>調配產銷!H57</f>
        <v>0</v>
      </c>
      <c r="I214" s="572">
        <f>調配產銷!I57</f>
        <v>0</v>
      </c>
      <c r="J214" s="865">
        <f>調配產銷!J57</f>
        <v>0</v>
      </c>
      <c r="K214" s="595">
        <f>調配產銷!K57</f>
        <v>0</v>
      </c>
      <c r="L214" s="865">
        <f>調配產銷!L57</f>
        <v>0</v>
      </c>
      <c r="M214" s="595">
        <f>調配產銷!M57</f>
        <v>0</v>
      </c>
      <c r="N214" s="865">
        <f>調配產銷!N57</f>
        <v>0</v>
      </c>
      <c r="O214" s="595">
        <f>調配產銷!O57</f>
        <v>0</v>
      </c>
      <c r="P214" s="565">
        <f>調配產銷!P57</f>
        <v>0</v>
      </c>
      <c r="Q214" s="547">
        <f>調配產銷!Q57</f>
        <v>0</v>
      </c>
      <c r="R214" s="547">
        <f>調配產銷!R57</f>
        <v>0</v>
      </c>
      <c r="S214" s="572">
        <f>調配產銷!S57</f>
        <v>0</v>
      </c>
      <c r="T214" s="566">
        <f>調配產銷!T57</f>
        <v>0</v>
      </c>
      <c r="U214" s="567">
        <f>調配產銷!U57</f>
        <v>0</v>
      </c>
      <c r="V214" s="568">
        <f>調配產銷!V57</f>
        <v>0</v>
      </c>
      <c r="W214" s="569">
        <f>調配產銷!W57</f>
        <v>0</v>
      </c>
      <c r="X214" s="570">
        <f>調配產銷!X57</f>
        <v>0</v>
      </c>
      <c r="Y214" s="547">
        <f>調配產銷!Y57</f>
        <v>0</v>
      </c>
      <c r="Z214" s="547">
        <f>調配產銷!Z57</f>
        <v>0</v>
      </c>
      <c r="AA214" s="571">
        <f>調配產銷!AA57</f>
        <v>0</v>
      </c>
      <c r="AB214" s="533">
        <f>調配產銷!AB57</f>
        <v>0</v>
      </c>
      <c r="AC214" s="534">
        <f>調配產銷!AC57</f>
        <v>0</v>
      </c>
      <c r="AD214" s="534">
        <f>調配產銷!AD57</f>
        <v>0</v>
      </c>
      <c r="AE214" s="535">
        <f>調配產銷!AE57</f>
        <v>0</v>
      </c>
      <c r="AF214" s="509">
        <f t="shared" si="28"/>
        <v>0</v>
      </c>
      <c r="AH214" s="796"/>
      <c r="AI214" s="796">
        <f t="shared" si="29"/>
        <v>0</v>
      </c>
      <c r="AJ214" s="796">
        <f t="shared" si="30"/>
        <v>0</v>
      </c>
    </row>
    <row r="215" spans="1:36" ht="18" hidden="1" thickBot="1" x14ac:dyDescent="0.3">
      <c r="A215" s="99">
        <f>調配產銷!A58</f>
        <v>0</v>
      </c>
      <c r="B215" s="371">
        <f>調配產銷!B58</f>
        <v>0</v>
      </c>
      <c r="C215" s="382">
        <f>調配產銷!C58</f>
        <v>0</v>
      </c>
      <c r="D215" s="411">
        <f>調配產銷!D58</f>
        <v>0</v>
      </c>
      <c r="E215" s="371">
        <f>調配產銷!E58</f>
        <v>0</v>
      </c>
      <c r="F215" s="371">
        <f>調配產銷!F58</f>
        <v>0</v>
      </c>
      <c r="G215" s="693">
        <f>調配產銷!G58</f>
        <v>0</v>
      </c>
      <c r="H215" s="865">
        <f>調配產銷!H58</f>
        <v>0</v>
      </c>
      <c r="I215" s="572">
        <f>調配產銷!I58</f>
        <v>0</v>
      </c>
      <c r="J215" s="865">
        <f>調配產銷!J58</f>
        <v>0</v>
      </c>
      <c r="K215" s="595">
        <f>調配產銷!K58</f>
        <v>0</v>
      </c>
      <c r="L215" s="865">
        <f>調配產銷!L58</f>
        <v>0</v>
      </c>
      <c r="M215" s="595">
        <f>調配產銷!M58</f>
        <v>0</v>
      </c>
      <c r="N215" s="865">
        <f>調配產銷!N58</f>
        <v>0</v>
      </c>
      <c r="O215" s="595">
        <f>調配產銷!O58</f>
        <v>0</v>
      </c>
      <c r="P215" s="565">
        <f>調配產銷!P58</f>
        <v>0</v>
      </c>
      <c r="Q215" s="547">
        <f>調配產銷!Q58</f>
        <v>0</v>
      </c>
      <c r="R215" s="547">
        <f>調配產銷!R58</f>
        <v>0</v>
      </c>
      <c r="S215" s="572">
        <f>調配產銷!S58</f>
        <v>0</v>
      </c>
      <c r="T215" s="566">
        <f>調配產銷!T58</f>
        <v>0</v>
      </c>
      <c r="U215" s="567">
        <f>調配產銷!U58</f>
        <v>0</v>
      </c>
      <c r="V215" s="568">
        <f>調配產銷!V58</f>
        <v>0</v>
      </c>
      <c r="W215" s="569">
        <f>調配產銷!W58</f>
        <v>0</v>
      </c>
      <c r="X215" s="570">
        <f>調配產銷!X58</f>
        <v>0</v>
      </c>
      <c r="Y215" s="547">
        <f>調配產銷!Y58</f>
        <v>0</v>
      </c>
      <c r="Z215" s="547">
        <f>調配產銷!Z58</f>
        <v>0</v>
      </c>
      <c r="AA215" s="573">
        <f>調配產銷!AA58</f>
        <v>0</v>
      </c>
      <c r="AB215" s="536">
        <f>調配產銷!AB58</f>
        <v>0</v>
      </c>
      <c r="AC215" s="537">
        <f>調配產銷!AC58</f>
        <v>0</v>
      </c>
      <c r="AD215" s="537">
        <f>調配產銷!AD58</f>
        <v>0</v>
      </c>
      <c r="AE215" s="538">
        <f>調配產銷!AE58</f>
        <v>0</v>
      </c>
      <c r="AF215" s="509">
        <f t="shared" si="28"/>
        <v>0</v>
      </c>
      <c r="AH215" s="796"/>
      <c r="AI215" s="796">
        <f t="shared" si="29"/>
        <v>0</v>
      </c>
      <c r="AJ215" s="796">
        <f t="shared" si="30"/>
        <v>0</v>
      </c>
    </row>
    <row r="216" spans="1:36" ht="18" hidden="1" thickBot="1" x14ac:dyDescent="0.3">
      <c r="A216" s="97">
        <f>調配產銷!A59</f>
        <v>0</v>
      </c>
      <c r="B216" s="371">
        <f>調配產銷!B59</f>
        <v>0</v>
      </c>
      <c r="C216" s="361">
        <f>調配產銷!C59</f>
        <v>0</v>
      </c>
      <c r="D216" s="362">
        <f>調配產銷!D59</f>
        <v>0</v>
      </c>
      <c r="E216" s="363">
        <f>調配產銷!E59</f>
        <v>0</v>
      </c>
      <c r="F216" s="363">
        <f>調配產銷!F59</f>
        <v>0</v>
      </c>
      <c r="G216" s="530">
        <f>調配產銷!G59</f>
        <v>0</v>
      </c>
      <c r="H216" s="864">
        <f>調配產銷!H59</f>
        <v>0</v>
      </c>
      <c r="I216" s="575">
        <f>調配產銷!I59</f>
        <v>0</v>
      </c>
      <c r="J216" s="864">
        <f>調配產銷!J59</f>
        <v>0</v>
      </c>
      <c r="K216" s="532">
        <f>調配產銷!K59</f>
        <v>0</v>
      </c>
      <c r="L216" s="864">
        <f>調配產銷!L59</f>
        <v>0</v>
      </c>
      <c r="M216" s="532">
        <f>調配產銷!M59</f>
        <v>0</v>
      </c>
      <c r="N216" s="864">
        <f>調配產銷!N59</f>
        <v>0</v>
      </c>
      <c r="O216" s="532">
        <f>調配產銷!O59</f>
        <v>0</v>
      </c>
      <c r="P216" s="565">
        <f>調配產銷!P59</f>
        <v>0</v>
      </c>
      <c r="Q216" s="563">
        <f>調配產銷!Q59</f>
        <v>0</v>
      </c>
      <c r="R216" s="563">
        <f>調配產銷!R59</f>
        <v>0</v>
      </c>
      <c r="S216" s="575">
        <f>調配產銷!S59</f>
        <v>0</v>
      </c>
      <c r="T216" s="531">
        <f>調配產銷!T59</f>
        <v>0</v>
      </c>
      <c r="U216" s="559">
        <f>調配產銷!U59</f>
        <v>0</v>
      </c>
      <c r="V216" s="560">
        <f>調配產銷!V59</f>
        <v>0</v>
      </c>
      <c r="W216" s="561">
        <f>調配產銷!W59</f>
        <v>0</v>
      </c>
      <c r="X216" s="562">
        <f>調配產銷!X59</f>
        <v>0</v>
      </c>
      <c r="Y216" s="563">
        <f>調配產銷!Y59</f>
        <v>0</v>
      </c>
      <c r="Z216" s="563">
        <f>調配產銷!Z59</f>
        <v>0</v>
      </c>
      <c r="AA216" s="564">
        <f>調配產銷!AA59</f>
        <v>0</v>
      </c>
      <c r="AB216" s="513">
        <f>調配產銷!AB59</f>
        <v>0</v>
      </c>
      <c r="AC216" s="514">
        <f>調配產銷!AC59</f>
        <v>0</v>
      </c>
      <c r="AD216" s="514">
        <f>調配產銷!AD59</f>
        <v>0</v>
      </c>
      <c r="AE216" s="515">
        <f>調配產銷!AE59</f>
        <v>0</v>
      </c>
      <c r="AF216" s="509">
        <f t="shared" si="28"/>
        <v>0</v>
      </c>
      <c r="AH216" s="796"/>
      <c r="AI216" s="796">
        <f t="shared" si="29"/>
        <v>0</v>
      </c>
      <c r="AJ216" s="796">
        <f t="shared" si="30"/>
        <v>0</v>
      </c>
    </row>
    <row r="217" spans="1:36" s="104" customFormat="1" ht="19.5" hidden="1" thickBot="1" x14ac:dyDescent="0.35">
      <c r="A217" s="99">
        <f>調配產銷!A60</f>
        <v>0</v>
      </c>
      <c r="B217" s="371">
        <f>調配產銷!B60</f>
        <v>0</v>
      </c>
      <c r="C217" s="382">
        <f>調配產銷!C60</f>
        <v>0</v>
      </c>
      <c r="D217" s="411">
        <f>調配產銷!D60</f>
        <v>0</v>
      </c>
      <c r="E217" s="371">
        <f>調配產銷!E60</f>
        <v>0</v>
      </c>
      <c r="F217" s="371">
        <f>調配產銷!F60</f>
        <v>0</v>
      </c>
      <c r="G217" s="693">
        <f>調配產銷!G60</f>
        <v>0</v>
      </c>
      <c r="H217" s="865">
        <f>調配產銷!H60</f>
        <v>0</v>
      </c>
      <c r="I217" s="572">
        <f>調配產銷!I60</f>
        <v>0</v>
      </c>
      <c r="J217" s="865">
        <f>調配產銷!J60</f>
        <v>0</v>
      </c>
      <c r="K217" s="595">
        <f>調配產銷!K60</f>
        <v>0</v>
      </c>
      <c r="L217" s="865">
        <f>調配產銷!L60</f>
        <v>0</v>
      </c>
      <c r="M217" s="595">
        <f>調配產銷!M60</f>
        <v>0</v>
      </c>
      <c r="N217" s="865">
        <f>調配產銷!N60</f>
        <v>0</v>
      </c>
      <c r="O217" s="595">
        <f>調配產銷!O60</f>
        <v>0</v>
      </c>
      <c r="P217" s="565">
        <f>調配產銷!P60</f>
        <v>0</v>
      </c>
      <c r="Q217" s="547">
        <f>調配產銷!Q60</f>
        <v>0</v>
      </c>
      <c r="R217" s="547">
        <f>調配產銷!R60</f>
        <v>0</v>
      </c>
      <c r="S217" s="572">
        <f>調配產銷!S60</f>
        <v>0</v>
      </c>
      <c r="T217" s="566">
        <f>調配產銷!T60</f>
        <v>0</v>
      </c>
      <c r="U217" s="567">
        <f>調配產銷!U60</f>
        <v>0</v>
      </c>
      <c r="V217" s="568">
        <f>調配產銷!V60</f>
        <v>0</v>
      </c>
      <c r="W217" s="569">
        <f>調配產銷!W60</f>
        <v>0</v>
      </c>
      <c r="X217" s="570">
        <f>調配產銷!X60</f>
        <v>0</v>
      </c>
      <c r="Y217" s="547">
        <f>調配產銷!Y60</f>
        <v>0</v>
      </c>
      <c r="Z217" s="547">
        <f>調配產銷!Z60</f>
        <v>0</v>
      </c>
      <c r="AA217" s="571">
        <f>調配產銷!AA60</f>
        <v>0</v>
      </c>
      <c r="AB217" s="533">
        <f>調配產銷!AB60</f>
        <v>0</v>
      </c>
      <c r="AC217" s="534">
        <f>調配產銷!AC60</f>
        <v>0</v>
      </c>
      <c r="AD217" s="534">
        <f>調配產銷!AD60</f>
        <v>0</v>
      </c>
      <c r="AE217" s="535">
        <f>調配產銷!AE60</f>
        <v>0</v>
      </c>
      <c r="AF217" s="509">
        <f t="shared" si="28"/>
        <v>0</v>
      </c>
      <c r="AH217" s="797"/>
      <c r="AI217" s="797">
        <f t="shared" si="29"/>
        <v>0</v>
      </c>
      <c r="AJ217" s="797">
        <f t="shared" si="30"/>
        <v>0</v>
      </c>
    </row>
    <row r="218" spans="1:36" ht="18" hidden="1" thickBot="1" x14ac:dyDescent="0.3">
      <c r="A218" s="99">
        <f>調配產銷!A61</f>
        <v>0</v>
      </c>
      <c r="B218" s="371">
        <f>調配產銷!B61</f>
        <v>0</v>
      </c>
      <c r="C218" s="382">
        <f>調配產銷!C61</f>
        <v>0</v>
      </c>
      <c r="D218" s="411">
        <f>調配產銷!D61</f>
        <v>0</v>
      </c>
      <c r="E218" s="371">
        <f>調配產銷!E61</f>
        <v>0</v>
      </c>
      <c r="F218" s="371">
        <f>調配產銷!F61</f>
        <v>0</v>
      </c>
      <c r="G218" s="693">
        <f>調配產銷!G61</f>
        <v>0</v>
      </c>
      <c r="H218" s="865">
        <f>調配產銷!H61</f>
        <v>0</v>
      </c>
      <c r="I218" s="572">
        <f>調配產銷!I61</f>
        <v>0</v>
      </c>
      <c r="J218" s="865">
        <f>調配產銷!J61</f>
        <v>0</v>
      </c>
      <c r="K218" s="595">
        <f>調配產銷!K61</f>
        <v>0</v>
      </c>
      <c r="L218" s="865">
        <f>調配產銷!L61</f>
        <v>0</v>
      </c>
      <c r="M218" s="595">
        <f>調配產銷!M61</f>
        <v>0</v>
      </c>
      <c r="N218" s="865">
        <f>調配產銷!N61</f>
        <v>0</v>
      </c>
      <c r="O218" s="595">
        <f>調配產銷!O61</f>
        <v>0</v>
      </c>
      <c r="P218" s="565">
        <f>調配產銷!P61</f>
        <v>0</v>
      </c>
      <c r="Q218" s="547">
        <f>調配產銷!Q61</f>
        <v>0</v>
      </c>
      <c r="R218" s="547">
        <f>調配產銷!R61</f>
        <v>0</v>
      </c>
      <c r="S218" s="572">
        <f>調配產銷!S61</f>
        <v>0</v>
      </c>
      <c r="T218" s="566">
        <f>調配產銷!T61</f>
        <v>0</v>
      </c>
      <c r="U218" s="567">
        <f>調配產銷!U61</f>
        <v>0</v>
      </c>
      <c r="V218" s="568">
        <f>調配產銷!V61</f>
        <v>0</v>
      </c>
      <c r="W218" s="569">
        <f>調配產銷!W61</f>
        <v>0</v>
      </c>
      <c r="X218" s="570">
        <f>調配產銷!X61</f>
        <v>0</v>
      </c>
      <c r="Y218" s="547">
        <f>調配產銷!Y61</f>
        <v>0</v>
      </c>
      <c r="Z218" s="547">
        <f>調配產銷!Z61</f>
        <v>0</v>
      </c>
      <c r="AA218" s="573">
        <f>調配產銷!AA61</f>
        <v>0</v>
      </c>
      <c r="AB218" s="519">
        <f>調配產銷!AB61</f>
        <v>0</v>
      </c>
      <c r="AC218" s="520">
        <f>調配產銷!AC61</f>
        <v>0</v>
      </c>
      <c r="AD218" s="520">
        <f>調配產銷!AD61</f>
        <v>0</v>
      </c>
      <c r="AE218" s="521">
        <f>調配產銷!AE61</f>
        <v>0</v>
      </c>
      <c r="AF218" s="509">
        <f t="shared" si="28"/>
        <v>0</v>
      </c>
      <c r="AH218" s="796"/>
      <c r="AI218" s="796">
        <f t="shared" si="29"/>
        <v>0</v>
      </c>
      <c r="AJ218" s="796">
        <f t="shared" si="30"/>
        <v>0</v>
      </c>
    </row>
    <row r="219" spans="1:36" ht="18" hidden="1" thickBot="1" x14ac:dyDescent="0.3">
      <c r="A219" s="97">
        <f>調配產銷!A62</f>
        <v>0</v>
      </c>
      <c r="B219" s="363">
        <f>調配產銷!B62</f>
        <v>0</v>
      </c>
      <c r="C219" s="361">
        <f>調配產銷!C62</f>
        <v>0</v>
      </c>
      <c r="D219" s="362">
        <f>調配產銷!D62</f>
        <v>0</v>
      </c>
      <c r="E219" s="363">
        <f>調配產銷!E62</f>
        <v>0</v>
      </c>
      <c r="F219" s="363">
        <f>調配產銷!F62</f>
        <v>0</v>
      </c>
      <c r="G219" s="530">
        <f>調配產銷!G62</f>
        <v>0</v>
      </c>
      <c r="H219" s="864">
        <f>調配產銷!H62</f>
        <v>0</v>
      </c>
      <c r="I219" s="575">
        <f>調配產銷!I62</f>
        <v>0</v>
      </c>
      <c r="J219" s="864">
        <f>調配產銷!J62</f>
        <v>0</v>
      </c>
      <c r="K219" s="532">
        <f>調配產銷!K62</f>
        <v>0</v>
      </c>
      <c r="L219" s="864">
        <f>調配產銷!L62</f>
        <v>0</v>
      </c>
      <c r="M219" s="532">
        <f>調配產銷!M62</f>
        <v>0</v>
      </c>
      <c r="N219" s="864">
        <f>調配產銷!N62</f>
        <v>0</v>
      </c>
      <c r="O219" s="532">
        <f>調配產銷!O62</f>
        <v>0</v>
      </c>
      <c r="P219" s="558">
        <f>調配產銷!P62</f>
        <v>0</v>
      </c>
      <c r="Q219" s="563">
        <f>調配產銷!Q62</f>
        <v>0</v>
      </c>
      <c r="R219" s="563">
        <f>調配產銷!R62</f>
        <v>0</v>
      </c>
      <c r="S219" s="575">
        <f>調配產銷!S62</f>
        <v>0</v>
      </c>
      <c r="T219" s="531">
        <f>調配產銷!T62</f>
        <v>0</v>
      </c>
      <c r="U219" s="559">
        <f>調配產銷!U62</f>
        <v>0</v>
      </c>
      <c r="V219" s="560">
        <f>調配產銷!V62</f>
        <v>0</v>
      </c>
      <c r="W219" s="561">
        <f>調配產銷!W62</f>
        <v>0</v>
      </c>
      <c r="X219" s="562">
        <f>調配產銷!X62</f>
        <v>0</v>
      </c>
      <c r="Y219" s="563">
        <f>調配產銷!Y62</f>
        <v>0</v>
      </c>
      <c r="Z219" s="563">
        <f>調配產銷!Z62</f>
        <v>0</v>
      </c>
      <c r="AA219" s="564">
        <f>調配產銷!AA62</f>
        <v>0</v>
      </c>
      <c r="AB219" s="513">
        <f>調配產銷!AB62</f>
        <v>0</v>
      </c>
      <c r="AC219" s="514">
        <f>調配產銷!AC62</f>
        <v>0</v>
      </c>
      <c r="AD219" s="514">
        <f>調配產銷!AD62</f>
        <v>0</v>
      </c>
      <c r="AE219" s="515">
        <f>調配產銷!AE62</f>
        <v>0</v>
      </c>
      <c r="AF219" s="509">
        <f t="shared" si="28"/>
        <v>0</v>
      </c>
      <c r="AH219" s="796"/>
      <c r="AI219" s="796">
        <f t="shared" si="29"/>
        <v>0</v>
      </c>
      <c r="AJ219" s="796">
        <f t="shared" si="30"/>
        <v>0</v>
      </c>
    </row>
    <row r="220" spans="1:36" ht="18" hidden="1" thickBot="1" x14ac:dyDescent="0.3">
      <c r="A220" s="99">
        <f>調配產銷!A63</f>
        <v>0</v>
      </c>
      <c r="B220" s="371">
        <f>調配產銷!B63</f>
        <v>0</v>
      </c>
      <c r="C220" s="382">
        <f>調配產銷!C63</f>
        <v>0</v>
      </c>
      <c r="D220" s="411">
        <f>調配產銷!D63</f>
        <v>0</v>
      </c>
      <c r="E220" s="371">
        <f>調配產銷!E63</f>
        <v>0</v>
      </c>
      <c r="F220" s="371">
        <f>調配產銷!F63</f>
        <v>0</v>
      </c>
      <c r="G220" s="693">
        <f>調配產銷!G63</f>
        <v>0</v>
      </c>
      <c r="H220" s="865">
        <f>調配產銷!H63</f>
        <v>0</v>
      </c>
      <c r="I220" s="572">
        <f>調配產銷!I63</f>
        <v>0</v>
      </c>
      <c r="J220" s="865">
        <f>調配產銷!J63</f>
        <v>0</v>
      </c>
      <c r="K220" s="595">
        <f>調配產銷!K63</f>
        <v>0</v>
      </c>
      <c r="L220" s="865">
        <f>調配產銷!L63</f>
        <v>0</v>
      </c>
      <c r="M220" s="595">
        <f>調配產銷!M63</f>
        <v>0</v>
      </c>
      <c r="N220" s="865">
        <f>調配產銷!N63</f>
        <v>0</v>
      </c>
      <c r="O220" s="595">
        <f>調配產銷!O63</f>
        <v>0</v>
      </c>
      <c r="P220" s="565">
        <f>調配產銷!P63</f>
        <v>0</v>
      </c>
      <c r="Q220" s="547">
        <f>調配產銷!Q63</f>
        <v>0</v>
      </c>
      <c r="R220" s="547">
        <f>調配產銷!R63</f>
        <v>0</v>
      </c>
      <c r="S220" s="572">
        <f>調配產銷!S63</f>
        <v>0</v>
      </c>
      <c r="T220" s="566">
        <f>調配產銷!T63</f>
        <v>0</v>
      </c>
      <c r="U220" s="567">
        <f>調配產銷!U63</f>
        <v>0</v>
      </c>
      <c r="V220" s="568">
        <f>調配產銷!V63</f>
        <v>0</v>
      </c>
      <c r="W220" s="569">
        <f>調配產銷!W63</f>
        <v>0</v>
      </c>
      <c r="X220" s="570">
        <f>調配產銷!X63</f>
        <v>0</v>
      </c>
      <c r="Y220" s="547">
        <f>調配產銷!Y63</f>
        <v>0</v>
      </c>
      <c r="Z220" s="547">
        <f>調配產銷!Z63</f>
        <v>0</v>
      </c>
      <c r="AA220" s="571">
        <f>調配產銷!AA63</f>
        <v>0</v>
      </c>
      <c r="AB220" s="533">
        <f>調配產銷!AB63</f>
        <v>0</v>
      </c>
      <c r="AC220" s="534">
        <f>調配產銷!AC63</f>
        <v>0</v>
      </c>
      <c r="AD220" s="534">
        <f>調配產銷!AD63</f>
        <v>0</v>
      </c>
      <c r="AE220" s="535">
        <f>調配產銷!AE63</f>
        <v>0</v>
      </c>
      <c r="AF220" s="509">
        <f t="shared" ref="AF220:AF233" si="31">+IF(SUM(G220,H220:O220,R220,U220,X220,AA220)=0,0,1)</f>
        <v>0</v>
      </c>
      <c r="AH220" s="796"/>
      <c r="AI220" s="796">
        <f t="shared" si="29"/>
        <v>0</v>
      </c>
      <c r="AJ220" s="796">
        <f t="shared" si="30"/>
        <v>0</v>
      </c>
    </row>
    <row r="221" spans="1:36" ht="18" hidden="1" thickBot="1" x14ac:dyDescent="0.3">
      <c r="A221" s="99">
        <f>調配產銷!A64</f>
        <v>0</v>
      </c>
      <c r="B221" s="371">
        <f>調配產銷!B64</f>
        <v>0</v>
      </c>
      <c r="C221" s="382">
        <f>調配產銷!C64</f>
        <v>0</v>
      </c>
      <c r="D221" s="411">
        <f>調配產銷!D64</f>
        <v>0</v>
      </c>
      <c r="E221" s="371">
        <f>調配產銷!E64</f>
        <v>0</v>
      </c>
      <c r="F221" s="371">
        <f>調配產銷!F64</f>
        <v>0</v>
      </c>
      <c r="G221" s="693">
        <f>調配產銷!G64</f>
        <v>0</v>
      </c>
      <c r="H221" s="865">
        <f>調配產銷!H64</f>
        <v>0</v>
      </c>
      <c r="I221" s="572">
        <f>調配產銷!I64</f>
        <v>0</v>
      </c>
      <c r="J221" s="865">
        <f>調配產銷!J64</f>
        <v>0</v>
      </c>
      <c r="K221" s="595">
        <f>調配產銷!K64</f>
        <v>0</v>
      </c>
      <c r="L221" s="865">
        <f>調配產銷!L64</f>
        <v>0</v>
      </c>
      <c r="M221" s="595">
        <f>調配產銷!M64</f>
        <v>0</v>
      </c>
      <c r="N221" s="865">
        <f>調配產銷!N64</f>
        <v>0</v>
      </c>
      <c r="O221" s="595">
        <f>調配產銷!O64</f>
        <v>0</v>
      </c>
      <c r="P221" s="565">
        <f>調配產銷!P64</f>
        <v>0</v>
      </c>
      <c r="Q221" s="547">
        <f>調配產銷!Q64</f>
        <v>0</v>
      </c>
      <c r="R221" s="547">
        <f>調配產銷!R64</f>
        <v>0</v>
      </c>
      <c r="S221" s="572">
        <f>調配產銷!S64</f>
        <v>0</v>
      </c>
      <c r="T221" s="566">
        <f>調配產銷!T64</f>
        <v>0</v>
      </c>
      <c r="U221" s="567">
        <f>調配產銷!U64</f>
        <v>0</v>
      </c>
      <c r="V221" s="568">
        <f>調配產銷!V64</f>
        <v>0</v>
      </c>
      <c r="W221" s="569">
        <f>調配產銷!W64</f>
        <v>0</v>
      </c>
      <c r="X221" s="570">
        <f>調配產銷!X64</f>
        <v>0</v>
      </c>
      <c r="Y221" s="547">
        <f>調配產銷!Y64</f>
        <v>0</v>
      </c>
      <c r="Z221" s="547">
        <f>調配產銷!Z64</f>
        <v>0</v>
      </c>
      <c r="AA221" s="571">
        <f>調配產銷!AA64</f>
        <v>0</v>
      </c>
      <c r="AB221" s="533">
        <f>調配產銷!AB64</f>
        <v>0</v>
      </c>
      <c r="AC221" s="534">
        <f>調配產銷!AC64</f>
        <v>0</v>
      </c>
      <c r="AD221" s="534">
        <f>調配產銷!AD64</f>
        <v>0</v>
      </c>
      <c r="AE221" s="535">
        <f>調配產銷!AE64</f>
        <v>0</v>
      </c>
      <c r="AF221" s="509">
        <f t="shared" si="31"/>
        <v>0</v>
      </c>
      <c r="AH221" s="796"/>
      <c r="AI221" s="796">
        <f t="shared" si="29"/>
        <v>0</v>
      </c>
      <c r="AJ221" s="796">
        <f t="shared" si="30"/>
        <v>0</v>
      </c>
    </row>
    <row r="222" spans="1:36" ht="18" hidden="1" thickBot="1" x14ac:dyDescent="0.3">
      <c r="A222" s="99">
        <f>調配產銷!A65</f>
        <v>0</v>
      </c>
      <c r="B222" s="371">
        <f>調配產銷!B65</f>
        <v>0</v>
      </c>
      <c r="C222" s="382">
        <f>調配產銷!C65</f>
        <v>0</v>
      </c>
      <c r="D222" s="411">
        <f>調配產銷!D65</f>
        <v>0</v>
      </c>
      <c r="E222" s="371">
        <f>調配產銷!E65</f>
        <v>0</v>
      </c>
      <c r="F222" s="371">
        <f>調配產銷!F65</f>
        <v>0</v>
      </c>
      <c r="G222" s="693">
        <f>調配產銷!G65</f>
        <v>0</v>
      </c>
      <c r="H222" s="865">
        <f>調配產銷!H65</f>
        <v>0</v>
      </c>
      <c r="I222" s="572">
        <f>調配產銷!I65</f>
        <v>0</v>
      </c>
      <c r="J222" s="865">
        <f>調配產銷!J65</f>
        <v>0</v>
      </c>
      <c r="K222" s="595">
        <f>調配產銷!K65</f>
        <v>0</v>
      </c>
      <c r="L222" s="865">
        <f>調配產銷!L65</f>
        <v>0</v>
      </c>
      <c r="M222" s="595">
        <f>調配產銷!M65</f>
        <v>0</v>
      </c>
      <c r="N222" s="865">
        <f>調配產銷!N65</f>
        <v>0</v>
      </c>
      <c r="O222" s="595">
        <f>調配產銷!O65</f>
        <v>0</v>
      </c>
      <c r="P222" s="565">
        <f>調配產銷!P65</f>
        <v>0</v>
      </c>
      <c r="Q222" s="547">
        <f>調配產銷!Q65</f>
        <v>0</v>
      </c>
      <c r="R222" s="547">
        <f>調配產銷!R65</f>
        <v>0</v>
      </c>
      <c r="S222" s="572">
        <f>調配產銷!S65</f>
        <v>0</v>
      </c>
      <c r="T222" s="566">
        <f>調配產銷!T65</f>
        <v>0</v>
      </c>
      <c r="U222" s="567">
        <f>調配產銷!U65</f>
        <v>0</v>
      </c>
      <c r="V222" s="568">
        <f>調配產銷!V65</f>
        <v>0</v>
      </c>
      <c r="W222" s="569">
        <f>調配產銷!W65</f>
        <v>0</v>
      </c>
      <c r="X222" s="570">
        <f>調配產銷!X65</f>
        <v>0</v>
      </c>
      <c r="Y222" s="547">
        <f>調配產銷!Y65</f>
        <v>0</v>
      </c>
      <c r="Z222" s="547">
        <f>調配產銷!Z65</f>
        <v>0</v>
      </c>
      <c r="AA222" s="571">
        <f>調配產銷!AA65</f>
        <v>0</v>
      </c>
      <c r="AB222" s="533">
        <f>調配產銷!AB65</f>
        <v>0</v>
      </c>
      <c r="AC222" s="534">
        <f>調配產銷!AC65</f>
        <v>0</v>
      </c>
      <c r="AD222" s="534">
        <f>調配產銷!AD65</f>
        <v>0</v>
      </c>
      <c r="AE222" s="535">
        <f>調配產銷!AE65</f>
        <v>0</v>
      </c>
      <c r="AF222" s="509">
        <f t="shared" si="31"/>
        <v>0</v>
      </c>
      <c r="AH222" s="796"/>
      <c r="AI222" s="796">
        <f t="shared" si="29"/>
        <v>0</v>
      </c>
      <c r="AJ222" s="796">
        <f t="shared" si="30"/>
        <v>0</v>
      </c>
    </row>
    <row r="223" spans="1:36" ht="18" hidden="1" thickBot="1" x14ac:dyDescent="0.3">
      <c r="A223" s="103">
        <f>調配產銷!A66</f>
        <v>0</v>
      </c>
      <c r="B223" s="451">
        <f>調配產銷!B66</f>
        <v>0</v>
      </c>
      <c r="C223" s="382">
        <f>調配產銷!C66</f>
        <v>0</v>
      </c>
      <c r="D223" s="411">
        <f>調配產銷!D66</f>
        <v>0</v>
      </c>
      <c r="E223" s="371">
        <f>調配產銷!E66</f>
        <v>0</v>
      </c>
      <c r="F223" s="371">
        <f>調配產銷!F66</f>
        <v>0</v>
      </c>
      <c r="G223" s="693">
        <f>調配產銷!G66</f>
        <v>0</v>
      </c>
      <c r="H223" s="865">
        <f>調配產銷!H66</f>
        <v>0</v>
      </c>
      <c r="I223" s="572">
        <f>調配產銷!I66</f>
        <v>0</v>
      </c>
      <c r="J223" s="865">
        <f>調配產銷!J66</f>
        <v>0</v>
      </c>
      <c r="K223" s="595">
        <f>調配產銷!K66</f>
        <v>0</v>
      </c>
      <c r="L223" s="865">
        <f>調配產銷!L66</f>
        <v>0</v>
      </c>
      <c r="M223" s="595">
        <f>調配產銷!M66</f>
        <v>0</v>
      </c>
      <c r="N223" s="865">
        <f>調配產銷!N66</f>
        <v>0</v>
      </c>
      <c r="O223" s="595">
        <f>調配產銷!O66</f>
        <v>0</v>
      </c>
      <c r="P223" s="565">
        <f>調配產銷!P66</f>
        <v>0</v>
      </c>
      <c r="Q223" s="547">
        <f>調配產銷!Q66</f>
        <v>0</v>
      </c>
      <c r="R223" s="547">
        <f>調配產銷!R66</f>
        <v>0</v>
      </c>
      <c r="S223" s="572">
        <f>調配產銷!S66</f>
        <v>0</v>
      </c>
      <c r="T223" s="566">
        <f>調配產銷!T66</f>
        <v>0</v>
      </c>
      <c r="U223" s="567">
        <f>調配產銷!U66</f>
        <v>0</v>
      </c>
      <c r="V223" s="568">
        <f>調配產銷!V66</f>
        <v>0</v>
      </c>
      <c r="W223" s="569">
        <f>調配產銷!W66</f>
        <v>0</v>
      </c>
      <c r="X223" s="570">
        <f>調配產銷!X66</f>
        <v>0</v>
      </c>
      <c r="Y223" s="547">
        <f>調配產銷!Y66</f>
        <v>0</v>
      </c>
      <c r="Z223" s="547">
        <f>調配產銷!Z66</f>
        <v>0</v>
      </c>
      <c r="AA223" s="573">
        <f>調配產銷!AA66</f>
        <v>0</v>
      </c>
      <c r="AB223" s="519">
        <f>調配產銷!AB66</f>
        <v>0</v>
      </c>
      <c r="AC223" s="520">
        <f>調配產銷!AC66</f>
        <v>0</v>
      </c>
      <c r="AD223" s="520">
        <f>調配產銷!AD66</f>
        <v>0</v>
      </c>
      <c r="AE223" s="521">
        <f>調配產銷!AE66</f>
        <v>0</v>
      </c>
      <c r="AF223" s="509">
        <f t="shared" si="31"/>
        <v>0</v>
      </c>
      <c r="AH223" s="796"/>
      <c r="AI223" s="796">
        <f t="shared" si="29"/>
        <v>0</v>
      </c>
      <c r="AJ223" s="796">
        <f t="shared" si="30"/>
        <v>0</v>
      </c>
    </row>
    <row r="224" spans="1:36" ht="18" hidden="1" thickBot="1" x14ac:dyDescent="0.3">
      <c r="A224" s="97">
        <f>調配產銷!A67</f>
        <v>0</v>
      </c>
      <c r="B224" s="363">
        <f>調配產銷!B67</f>
        <v>0</v>
      </c>
      <c r="C224" s="361">
        <f>調配產銷!C67</f>
        <v>0</v>
      </c>
      <c r="D224" s="362">
        <f>調配產銷!D67</f>
        <v>0</v>
      </c>
      <c r="E224" s="363">
        <f>調配產銷!E67</f>
        <v>0</v>
      </c>
      <c r="F224" s="363">
        <f>調配產銷!F67</f>
        <v>0</v>
      </c>
      <c r="G224" s="530">
        <f>調配產銷!G67</f>
        <v>0</v>
      </c>
      <c r="H224" s="864">
        <f>調配產銷!H67</f>
        <v>0</v>
      </c>
      <c r="I224" s="575">
        <f>調配產銷!I67</f>
        <v>0</v>
      </c>
      <c r="J224" s="864">
        <f>調配產銷!J67</f>
        <v>0</v>
      </c>
      <c r="K224" s="532">
        <f>調配產銷!K67</f>
        <v>0</v>
      </c>
      <c r="L224" s="864">
        <f>調配產銷!L67</f>
        <v>0</v>
      </c>
      <c r="M224" s="532">
        <f>調配產銷!M67</f>
        <v>0</v>
      </c>
      <c r="N224" s="864">
        <f>調配產銷!N67</f>
        <v>0</v>
      </c>
      <c r="O224" s="532">
        <f>調配產銷!O67</f>
        <v>0</v>
      </c>
      <c r="P224" s="558">
        <f>調配產銷!P67</f>
        <v>0</v>
      </c>
      <c r="Q224" s="563">
        <f>調配產銷!Q67</f>
        <v>0</v>
      </c>
      <c r="R224" s="563">
        <f>調配產銷!R67</f>
        <v>0</v>
      </c>
      <c r="S224" s="575">
        <f>調配產銷!S67</f>
        <v>0</v>
      </c>
      <c r="T224" s="531">
        <f>調配產銷!T67</f>
        <v>0</v>
      </c>
      <c r="U224" s="559">
        <f>調配產銷!U67</f>
        <v>0</v>
      </c>
      <c r="V224" s="560">
        <f>調配產銷!V67</f>
        <v>0</v>
      </c>
      <c r="W224" s="561">
        <f>調配產銷!W67</f>
        <v>0</v>
      </c>
      <c r="X224" s="562">
        <f>調配產銷!X67</f>
        <v>0</v>
      </c>
      <c r="Y224" s="563">
        <f>調配產銷!Y67</f>
        <v>0</v>
      </c>
      <c r="Z224" s="563">
        <f>調配產銷!Z67</f>
        <v>0</v>
      </c>
      <c r="AA224" s="564">
        <f>調配產銷!AA67</f>
        <v>0</v>
      </c>
      <c r="AB224" s="513">
        <f>調配產銷!AB67</f>
        <v>0</v>
      </c>
      <c r="AC224" s="514">
        <f>調配產銷!AC67</f>
        <v>0</v>
      </c>
      <c r="AD224" s="514">
        <f>調配產銷!AD67</f>
        <v>0</v>
      </c>
      <c r="AE224" s="515">
        <f>調配產銷!AE67</f>
        <v>0</v>
      </c>
      <c r="AF224" s="509">
        <f t="shared" si="31"/>
        <v>0</v>
      </c>
      <c r="AH224" s="796"/>
      <c r="AI224" s="796">
        <f t="shared" si="29"/>
        <v>0</v>
      </c>
      <c r="AJ224" s="796">
        <f t="shared" si="30"/>
        <v>0</v>
      </c>
    </row>
    <row r="225" spans="1:36" ht="18" hidden="1" thickBot="1" x14ac:dyDescent="0.3">
      <c r="A225" s="99">
        <f>調配產銷!A68</f>
        <v>0</v>
      </c>
      <c r="B225" s="371">
        <f>調配產銷!B68</f>
        <v>0</v>
      </c>
      <c r="C225" s="382">
        <f>調配產銷!C68</f>
        <v>0</v>
      </c>
      <c r="D225" s="411">
        <f>調配產銷!D68</f>
        <v>0</v>
      </c>
      <c r="E225" s="371">
        <f>調配產銷!E68</f>
        <v>0</v>
      </c>
      <c r="F225" s="371">
        <f>調配產銷!F68</f>
        <v>0</v>
      </c>
      <c r="G225" s="693">
        <f>調配產銷!G68</f>
        <v>0</v>
      </c>
      <c r="H225" s="865">
        <f>調配產銷!H68</f>
        <v>0</v>
      </c>
      <c r="I225" s="572">
        <f>調配產銷!I68</f>
        <v>0</v>
      </c>
      <c r="J225" s="865">
        <f>調配產銷!J68</f>
        <v>0</v>
      </c>
      <c r="K225" s="595">
        <f>調配產銷!K68</f>
        <v>0</v>
      </c>
      <c r="L225" s="865">
        <f>調配產銷!L68</f>
        <v>0</v>
      </c>
      <c r="M225" s="595">
        <f>調配產銷!M68</f>
        <v>0</v>
      </c>
      <c r="N225" s="865">
        <f>調配產銷!N68</f>
        <v>0</v>
      </c>
      <c r="O225" s="595">
        <f>調配產銷!O68</f>
        <v>0</v>
      </c>
      <c r="P225" s="565">
        <f>調配產銷!P68</f>
        <v>0</v>
      </c>
      <c r="Q225" s="547">
        <f>調配產銷!Q68</f>
        <v>0</v>
      </c>
      <c r="R225" s="547">
        <f>調配產銷!R68</f>
        <v>0</v>
      </c>
      <c r="S225" s="572">
        <f>調配產銷!S68</f>
        <v>0</v>
      </c>
      <c r="T225" s="566">
        <f>調配產銷!T68</f>
        <v>0</v>
      </c>
      <c r="U225" s="567">
        <f>調配產銷!U68</f>
        <v>0</v>
      </c>
      <c r="V225" s="568">
        <f>調配產銷!V68</f>
        <v>0</v>
      </c>
      <c r="W225" s="569">
        <f>調配產銷!W68</f>
        <v>0</v>
      </c>
      <c r="X225" s="570">
        <f>調配產銷!X68</f>
        <v>0</v>
      </c>
      <c r="Y225" s="547">
        <f>調配產銷!Y68</f>
        <v>0</v>
      </c>
      <c r="Z225" s="547">
        <f>調配產銷!Z68</f>
        <v>0</v>
      </c>
      <c r="AA225" s="571">
        <f>調配產銷!AA68</f>
        <v>0</v>
      </c>
      <c r="AB225" s="533">
        <f>調配產銷!AB68</f>
        <v>0</v>
      </c>
      <c r="AC225" s="534">
        <f>調配產銷!AC68</f>
        <v>0</v>
      </c>
      <c r="AD225" s="534">
        <f>調配產銷!AD68</f>
        <v>0</v>
      </c>
      <c r="AE225" s="535">
        <f>調配產銷!AE68</f>
        <v>0</v>
      </c>
      <c r="AF225" s="509">
        <f t="shared" si="31"/>
        <v>0</v>
      </c>
      <c r="AH225" s="796"/>
      <c r="AI225" s="796">
        <f t="shared" si="29"/>
        <v>0</v>
      </c>
      <c r="AJ225" s="796">
        <f t="shared" si="30"/>
        <v>0</v>
      </c>
    </row>
    <row r="226" spans="1:36" ht="18" hidden="1" thickBot="1" x14ac:dyDescent="0.3">
      <c r="A226" s="99">
        <f>調配產銷!A69</f>
        <v>0</v>
      </c>
      <c r="B226" s="371">
        <f>調配產銷!B69</f>
        <v>0</v>
      </c>
      <c r="C226" s="382">
        <f>調配產銷!C69</f>
        <v>0</v>
      </c>
      <c r="D226" s="411">
        <f>調配產銷!D69</f>
        <v>0</v>
      </c>
      <c r="E226" s="371">
        <f>調配產銷!E69</f>
        <v>0</v>
      </c>
      <c r="F226" s="371">
        <f>調配產銷!F69</f>
        <v>0</v>
      </c>
      <c r="G226" s="693">
        <f>調配產銷!G69</f>
        <v>0</v>
      </c>
      <c r="H226" s="865">
        <f>調配產銷!H69</f>
        <v>0</v>
      </c>
      <c r="I226" s="572">
        <f>調配產銷!I69</f>
        <v>0</v>
      </c>
      <c r="J226" s="865">
        <f>調配產銷!J69</f>
        <v>0</v>
      </c>
      <c r="K226" s="595">
        <f>調配產銷!K69</f>
        <v>0</v>
      </c>
      <c r="L226" s="865">
        <f>調配產銷!L69</f>
        <v>0</v>
      </c>
      <c r="M226" s="595">
        <f>調配產銷!M69</f>
        <v>0</v>
      </c>
      <c r="N226" s="865">
        <f>調配產銷!N69</f>
        <v>0</v>
      </c>
      <c r="O226" s="595">
        <f>調配產銷!O69</f>
        <v>0</v>
      </c>
      <c r="P226" s="565">
        <f>調配產銷!P69</f>
        <v>0</v>
      </c>
      <c r="Q226" s="547">
        <f>調配產銷!Q69</f>
        <v>0</v>
      </c>
      <c r="R226" s="547">
        <f>調配產銷!R69</f>
        <v>0</v>
      </c>
      <c r="S226" s="572">
        <f>調配產銷!S69</f>
        <v>0</v>
      </c>
      <c r="T226" s="566">
        <f>調配產銷!T69</f>
        <v>0</v>
      </c>
      <c r="U226" s="567">
        <f>調配產銷!U69</f>
        <v>0</v>
      </c>
      <c r="V226" s="568">
        <f>調配產銷!V69</f>
        <v>0</v>
      </c>
      <c r="W226" s="569">
        <f>調配產銷!W69</f>
        <v>0</v>
      </c>
      <c r="X226" s="570">
        <f>調配產銷!X69</f>
        <v>0</v>
      </c>
      <c r="Y226" s="547">
        <f>調配產銷!Y69</f>
        <v>0</v>
      </c>
      <c r="Z226" s="547">
        <f>調配產銷!Z69</f>
        <v>0</v>
      </c>
      <c r="AA226" s="571">
        <f>調配產銷!AA69</f>
        <v>0</v>
      </c>
      <c r="AB226" s="533">
        <f>調配產銷!AB69</f>
        <v>0</v>
      </c>
      <c r="AC226" s="534">
        <f>調配產銷!AC69</f>
        <v>0</v>
      </c>
      <c r="AD226" s="534">
        <f>調配產銷!AD69</f>
        <v>0</v>
      </c>
      <c r="AE226" s="535">
        <f>調配產銷!AE69</f>
        <v>0</v>
      </c>
      <c r="AF226" s="509">
        <f t="shared" si="31"/>
        <v>0</v>
      </c>
      <c r="AH226" s="796"/>
      <c r="AI226" s="796">
        <f t="shared" si="29"/>
        <v>0</v>
      </c>
      <c r="AJ226" s="796">
        <f t="shared" si="30"/>
        <v>0</v>
      </c>
    </row>
    <row r="227" spans="1:36" ht="18" hidden="1" thickBot="1" x14ac:dyDescent="0.3">
      <c r="A227" s="99">
        <f>調配產銷!A70</f>
        <v>0</v>
      </c>
      <c r="B227" s="371">
        <f>調配產銷!B70</f>
        <v>0</v>
      </c>
      <c r="C227" s="382">
        <f>調配產銷!C70</f>
        <v>0</v>
      </c>
      <c r="D227" s="411">
        <f>調配產銷!D70</f>
        <v>0</v>
      </c>
      <c r="E227" s="371">
        <f>調配產銷!E70</f>
        <v>0</v>
      </c>
      <c r="F227" s="371">
        <f>調配產銷!F70</f>
        <v>0</v>
      </c>
      <c r="G227" s="693">
        <f>調配產銷!G70</f>
        <v>0</v>
      </c>
      <c r="H227" s="865">
        <f>調配產銷!H70</f>
        <v>0</v>
      </c>
      <c r="I227" s="572">
        <f>調配產銷!I70</f>
        <v>0</v>
      </c>
      <c r="J227" s="865">
        <f>調配產銷!J70</f>
        <v>0</v>
      </c>
      <c r="K227" s="595">
        <f>調配產銷!K70</f>
        <v>0</v>
      </c>
      <c r="L227" s="865">
        <f>調配產銷!L70</f>
        <v>0</v>
      </c>
      <c r="M227" s="595">
        <f>調配產銷!M70</f>
        <v>0</v>
      </c>
      <c r="N227" s="865">
        <f>調配產銷!N70</f>
        <v>0</v>
      </c>
      <c r="O227" s="595">
        <f>調配產銷!O70</f>
        <v>0</v>
      </c>
      <c r="P227" s="565">
        <f>調配產銷!P70</f>
        <v>0</v>
      </c>
      <c r="Q227" s="547">
        <f>調配產銷!Q70</f>
        <v>0</v>
      </c>
      <c r="R227" s="547">
        <f>調配產銷!R70</f>
        <v>0</v>
      </c>
      <c r="S227" s="572">
        <f>調配產銷!S70</f>
        <v>0</v>
      </c>
      <c r="T227" s="566">
        <f>調配產銷!T70</f>
        <v>0</v>
      </c>
      <c r="U227" s="567">
        <f>調配產銷!U70</f>
        <v>0</v>
      </c>
      <c r="V227" s="568">
        <f>調配產銷!V70</f>
        <v>0</v>
      </c>
      <c r="W227" s="569">
        <f>調配產銷!W70</f>
        <v>0</v>
      </c>
      <c r="X227" s="570">
        <f>調配產銷!X70</f>
        <v>0</v>
      </c>
      <c r="Y227" s="547">
        <f>調配產銷!Y70</f>
        <v>0</v>
      </c>
      <c r="Z227" s="547">
        <f>調配產銷!Z70</f>
        <v>0</v>
      </c>
      <c r="AA227" s="571">
        <f>調配產銷!AA70</f>
        <v>0</v>
      </c>
      <c r="AB227" s="533">
        <f>調配產銷!AB70</f>
        <v>0</v>
      </c>
      <c r="AC227" s="534">
        <f>調配產銷!AC70</f>
        <v>0</v>
      </c>
      <c r="AD227" s="534">
        <f>調配產銷!AD70</f>
        <v>0</v>
      </c>
      <c r="AE227" s="535">
        <f>調配產銷!AE70</f>
        <v>0</v>
      </c>
      <c r="AF227" s="509">
        <f t="shared" si="31"/>
        <v>0</v>
      </c>
      <c r="AH227" s="796"/>
      <c r="AI227" s="796">
        <f t="shared" si="29"/>
        <v>0</v>
      </c>
      <c r="AJ227" s="796">
        <f t="shared" si="30"/>
        <v>0</v>
      </c>
    </row>
    <row r="228" spans="1:36" ht="18" hidden="1" thickBot="1" x14ac:dyDescent="0.3">
      <c r="A228" s="99">
        <f>調配產銷!A71</f>
        <v>0</v>
      </c>
      <c r="B228" s="371">
        <f>調配產銷!B71</f>
        <v>0</v>
      </c>
      <c r="C228" s="382">
        <f>調配產銷!C71</f>
        <v>0</v>
      </c>
      <c r="D228" s="411">
        <f>調配產銷!D71</f>
        <v>0</v>
      </c>
      <c r="E228" s="371">
        <f>調配產銷!E71</f>
        <v>0</v>
      </c>
      <c r="F228" s="371">
        <f>調配產銷!F71</f>
        <v>0</v>
      </c>
      <c r="G228" s="693">
        <f>調配產銷!G71</f>
        <v>0</v>
      </c>
      <c r="H228" s="865">
        <f>調配產銷!H71</f>
        <v>0</v>
      </c>
      <c r="I228" s="572">
        <f>調配產銷!I71</f>
        <v>0</v>
      </c>
      <c r="J228" s="865">
        <f>調配產銷!J71</f>
        <v>0</v>
      </c>
      <c r="K228" s="595">
        <f>調配產銷!K71</f>
        <v>0</v>
      </c>
      <c r="L228" s="865">
        <f>調配產銷!L71</f>
        <v>0</v>
      </c>
      <c r="M228" s="595">
        <f>調配產銷!M71</f>
        <v>0</v>
      </c>
      <c r="N228" s="865">
        <f>調配產銷!N71</f>
        <v>0</v>
      </c>
      <c r="O228" s="595">
        <f>調配產銷!O71</f>
        <v>0</v>
      </c>
      <c r="P228" s="565">
        <f>調配產銷!P71</f>
        <v>0</v>
      </c>
      <c r="Q228" s="547">
        <f>調配產銷!Q71</f>
        <v>0</v>
      </c>
      <c r="R228" s="547">
        <f>調配產銷!R71</f>
        <v>0</v>
      </c>
      <c r="S228" s="572">
        <f>調配產銷!S71</f>
        <v>0</v>
      </c>
      <c r="T228" s="566">
        <f>調配產銷!T71</f>
        <v>0</v>
      </c>
      <c r="U228" s="567">
        <f>調配產銷!U71</f>
        <v>0</v>
      </c>
      <c r="V228" s="568">
        <f>調配產銷!V71</f>
        <v>0</v>
      </c>
      <c r="W228" s="569">
        <f>調配產銷!W71</f>
        <v>0</v>
      </c>
      <c r="X228" s="570">
        <f>調配產銷!X71</f>
        <v>0</v>
      </c>
      <c r="Y228" s="547">
        <f>調配產銷!Y71</f>
        <v>0</v>
      </c>
      <c r="Z228" s="547">
        <f>調配產銷!Z71</f>
        <v>0</v>
      </c>
      <c r="AA228" s="571">
        <f>調配產銷!AA71</f>
        <v>0</v>
      </c>
      <c r="AB228" s="533">
        <f>調配產銷!AB71</f>
        <v>0</v>
      </c>
      <c r="AC228" s="534">
        <f>調配產銷!AC71</f>
        <v>0</v>
      </c>
      <c r="AD228" s="534">
        <f>調配產銷!AD71</f>
        <v>0</v>
      </c>
      <c r="AE228" s="535">
        <f>調配產銷!AE71</f>
        <v>0</v>
      </c>
      <c r="AF228" s="509">
        <f t="shared" si="31"/>
        <v>0</v>
      </c>
      <c r="AH228" s="796"/>
      <c r="AI228" s="796">
        <f t="shared" si="29"/>
        <v>0</v>
      </c>
      <c r="AJ228" s="796">
        <f t="shared" si="30"/>
        <v>0</v>
      </c>
    </row>
    <row r="229" spans="1:36" ht="18" hidden="1" thickBot="1" x14ac:dyDescent="0.3">
      <c r="A229" s="99">
        <f>調配產銷!A72</f>
        <v>0</v>
      </c>
      <c r="B229" s="371">
        <f>調配產銷!B72</f>
        <v>0</v>
      </c>
      <c r="C229" s="382">
        <f>調配產銷!C72</f>
        <v>0</v>
      </c>
      <c r="D229" s="411">
        <f>調配產銷!D72</f>
        <v>0</v>
      </c>
      <c r="E229" s="371">
        <f>調配產銷!E72</f>
        <v>0</v>
      </c>
      <c r="F229" s="371">
        <f>調配產銷!F72</f>
        <v>0</v>
      </c>
      <c r="G229" s="693">
        <f>調配產銷!G72</f>
        <v>0</v>
      </c>
      <c r="H229" s="865">
        <f>調配產銷!H72</f>
        <v>0</v>
      </c>
      <c r="I229" s="572">
        <f>調配產銷!I72</f>
        <v>0</v>
      </c>
      <c r="J229" s="865">
        <f>調配產銷!J72</f>
        <v>0</v>
      </c>
      <c r="K229" s="595">
        <f>調配產銷!K72</f>
        <v>0</v>
      </c>
      <c r="L229" s="865">
        <f>調配產銷!L72</f>
        <v>0</v>
      </c>
      <c r="M229" s="595">
        <f>調配產銷!M72</f>
        <v>0</v>
      </c>
      <c r="N229" s="865">
        <f>調配產銷!N72</f>
        <v>0</v>
      </c>
      <c r="O229" s="595">
        <f>調配產銷!O72</f>
        <v>0</v>
      </c>
      <c r="P229" s="565">
        <f>調配產銷!P72</f>
        <v>0</v>
      </c>
      <c r="Q229" s="547">
        <f>調配產銷!Q72</f>
        <v>0</v>
      </c>
      <c r="R229" s="547">
        <f>調配產銷!R72</f>
        <v>0</v>
      </c>
      <c r="S229" s="572">
        <f>調配產銷!S72</f>
        <v>0</v>
      </c>
      <c r="T229" s="566">
        <f>調配產銷!T72</f>
        <v>0</v>
      </c>
      <c r="U229" s="567">
        <f>調配產銷!U72</f>
        <v>0</v>
      </c>
      <c r="V229" s="568">
        <f>調配產銷!V72</f>
        <v>0</v>
      </c>
      <c r="W229" s="569">
        <f>調配產銷!W72</f>
        <v>0</v>
      </c>
      <c r="X229" s="570">
        <f>調配產銷!X72</f>
        <v>0</v>
      </c>
      <c r="Y229" s="547">
        <f>調配產銷!Y72</f>
        <v>0</v>
      </c>
      <c r="Z229" s="547">
        <f>調配產銷!Z72</f>
        <v>0</v>
      </c>
      <c r="AA229" s="571">
        <f>調配產銷!AA72</f>
        <v>0</v>
      </c>
      <c r="AB229" s="533">
        <f>調配產銷!AB72</f>
        <v>0</v>
      </c>
      <c r="AC229" s="534">
        <f>調配產銷!AC72</f>
        <v>0</v>
      </c>
      <c r="AD229" s="534">
        <f>調配產銷!AD72</f>
        <v>0</v>
      </c>
      <c r="AE229" s="535">
        <f>調配產銷!AE72</f>
        <v>0</v>
      </c>
      <c r="AF229" s="509">
        <f t="shared" si="31"/>
        <v>0</v>
      </c>
      <c r="AH229" s="796"/>
      <c r="AI229" s="796">
        <f t="shared" si="29"/>
        <v>0</v>
      </c>
      <c r="AJ229" s="796">
        <f t="shared" si="30"/>
        <v>0</v>
      </c>
    </row>
    <row r="230" spans="1:36" ht="18" hidden="1" thickBot="1" x14ac:dyDescent="0.3">
      <c r="A230" s="99">
        <f>調配產銷!A73</f>
        <v>0</v>
      </c>
      <c r="B230" s="371">
        <f>調配產銷!B73</f>
        <v>0</v>
      </c>
      <c r="C230" s="382">
        <f>調配產銷!C73</f>
        <v>0</v>
      </c>
      <c r="D230" s="411">
        <f>調配產銷!D73</f>
        <v>0</v>
      </c>
      <c r="E230" s="371">
        <f>調配產銷!E73</f>
        <v>0</v>
      </c>
      <c r="F230" s="371">
        <f>調配產銷!F73</f>
        <v>0</v>
      </c>
      <c r="G230" s="693">
        <f>調配產銷!G73</f>
        <v>0</v>
      </c>
      <c r="H230" s="865">
        <f>調配產銷!H73</f>
        <v>0</v>
      </c>
      <c r="I230" s="572">
        <f>調配產銷!I73</f>
        <v>0</v>
      </c>
      <c r="J230" s="865">
        <f>調配產銷!J73</f>
        <v>0</v>
      </c>
      <c r="K230" s="595">
        <f>調配產銷!K73</f>
        <v>0</v>
      </c>
      <c r="L230" s="865">
        <f>調配產銷!L73</f>
        <v>0</v>
      </c>
      <c r="M230" s="595">
        <f>調配產銷!M73</f>
        <v>0</v>
      </c>
      <c r="N230" s="865">
        <f>調配產銷!N73</f>
        <v>0</v>
      </c>
      <c r="O230" s="595">
        <f>調配產銷!O73</f>
        <v>0</v>
      </c>
      <c r="P230" s="565">
        <f>調配產銷!P73</f>
        <v>0</v>
      </c>
      <c r="Q230" s="547">
        <f>調配產銷!Q73</f>
        <v>0</v>
      </c>
      <c r="R230" s="547">
        <f>調配產銷!R73</f>
        <v>0</v>
      </c>
      <c r="S230" s="572">
        <f>調配產銷!S73</f>
        <v>0</v>
      </c>
      <c r="T230" s="566">
        <f>調配產銷!T73</f>
        <v>0</v>
      </c>
      <c r="U230" s="567">
        <f>調配產銷!U73</f>
        <v>0</v>
      </c>
      <c r="V230" s="568">
        <f>調配產銷!V73</f>
        <v>0</v>
      </c>
      <c r="W230" s="569">
        <f>調配產銷!W73</f>
        <v>0</v>
      </c>
      <c r="X230" s="570">
        <f>調配產銷!X73</f>
        <v>0</v>
      </c>
      <c r="Y230" s="547">
        <f>調配產銷!Y73</f>
        <v>0</v>
      </c>
      <c r="Z230" s="547">
        <f>調配產銷!Z73</f>
        <v>0</v>
      </c>
      <c r="AA230" s="571">
        <f>調配產銷!AA73</f>
        <v>0</v>
      </c>
      <c r="AB230" s="533">
        <f>調配產銷!AB73</f>
        <v>0</v>
      </c>
      <c r="AC230" s="534">
        <f>調配產銷!AC73</f>
        <v>0</v>
      </c>
      <c r="AD230" s="534">
        <f>調配產銷!AD73</f>
        <v>0</v>
      </c>
      <c r="AE230" s="535">
        <f>調配產銷!AE73</f>
        <v>0</v>
      </c>
      <c r="AF230" s="509">
        <f t="shared" si="31"/>
        <v>0</v>
      </c>
      <c r="AH230" s="796"/>
      <c r="AI230" s="796">
        <f t="shared" si="29"/>
        <v>0</v>
      </c>
      <c r="AJ230" s="796">
        <f t="shared" si="30"/>
        <v>0</v>
      </c>
    </row>
    <row r="231" spans="1:36" ht="18" hidden="1" thickBot="1" x14ac:dyDescent="0.3">
      <c r="A231" s="103">
        <f>調配產銷!A74</f>
        <v>0</v>
      </c>
      <c r="B231" s="451">
        <f>調配產銷!B74</f>
        <v>0</v>
      </c>
      <c r="C231" s="382">
        <f>調配產銷!C74</f>
        <v>0</v>
      </c>
      <c r="D231" s="411">
        <f>調配產銷!D74</f>
        <v>0</v>
      </c>
      <c r="E231" s="371">
        <f>調配產銷!E74</f>
        <v>0</v>
      </c>
      <c r="F231" s="371">
        <f>調配產銷!F74</f>
        <v>0</v>
      </c>
      <c r="G231" s="693">
        <f>調配產銷!G74</f>
        <v>0</v>
      </c>
      <c r="H231" s="865">
        <f>調配產銷!H74</f>
        <v>0</v>
      </c>
      <c r="I231" s="572">
        <f>調配產銷!I74</f>
        <v>0</v>
      </c>
      <c r="J231" s="865">
        <f>調配產銷!J74</f>
        <v>0</v>
      </c>
      <c r="K231" s="595">
        <f>調配產銷!K74</f>
        <v>0</v>
      </c>
      <c r="L231" s="865">
        <f>調配產銷!L74</f>
        <v>0</v>
      </c>
      <c r="M231" s="595">
        <f>調配產銷!M74</f>
        <v>0</v>
      </c>
      <c r="N231" s="865">
        <f>調配產銷!N74</f>
        <v>0</v>
      </c>
      <c r="O231" s="595">
        <f>調配產銷!O74</f>
        <v>0</v>
      </c>
      <c r="P231" s="565">
        <f>調配產銷!P74</f>
        <v>0</v>
      </c>
      <c r="Q231" s="547">
        <f>調配產銷!Q74</f>
        <v>0</v>
      </c>
      <c r="R231" s="547">
        <f>調配產銷!R74</f>
        <v>0</v>
      </c>
      <c r="S231" s="572">
        <f>調配產銷!S74</f>
        <v>0</v>
      </c>
      <c r="T231" s="566">
        <f>調配產銷!T74</f>
        <v>0</v>
      </c>
      <c r="U231" s="567">
        <f>調配產銷!U74</f>
        <v>0</v>
      </c>
      <c r="V231" s="568">
        <f>調配產銷!V74</f>
        <v>0</v>
      </c>
      <c r="W231" s="569">
        <f>調配產銷!W74</f>
        <v>0</v>
      </c>
      <c r="X231" s="570">
        <f>調配產銷!X74</f>
        <v>0</v>
      </c>
      <c r="Y231" s="547">
        <f>調配產銷!Y74</f>
        <v>0</v>
      </c>
      <c r="Z231" s="547">
        <f>調配產銷!Z74</f>
        <v>0</v>
      </c>
      <c r="AA231" s="571">
        <f>調配產銷!AA74</f>
        <v>0</v>
      </c>
      <c r="AB231" s="533">
        <f>調配產銷!AB74</f>
        <v>0</v>
      </c>
      <c r="AC231" s="534">
        <f>調配產銷!AC74</f>
        <v>0</v>
      </c>
      <c r="AD231" s="534">
        <f>調配產銷!AD74</f>
        <v>0</v>
      </c>
      <c r="AE231" s="535">
        <f>調配產銷!AE74</f>
        <v>0</v>
      </c>
      <c r="AF231" s="509">
        <f t="shared" si="31"/>
        <v>0</v>
      </c>
      <c r="AH231" s="796"/>
      <c r="AI231" s="796">
        <f t="shared" si="29"/>
        <v>0</v>
      </c>
      <c r="AJ231" s="796">
        <f t="shared" si="30"/>
        <v>0</v>
      </c>
    </row>
    <row r="232" spans="1:36" ht="18" hidden="1" thickBot="1" x14ac:dyDescent="0.3">
      <c r="A232" s="99">
        <f>調配產銷!A75</f>
        <v>0</v>
      </c>
      <c r="B232" s="371">
        <f>調配產銷!B75</f>
        <v>0</v>
      </c>
      <c r="C232" s="382">
        <f>調配產銷!C75</f>
        <v>0</v>
      </c>
      <c r="D232" s="411">
        <f>調配產銷!D75</f>
        <v>0</v>
      </c>
      <c r="E232" s="371">
        <f>調配產銷!E75</f>
        <v>0</v>
      </c>
      <c r="F232" s="371">
        <f>調配產銷!F75</f>
        <v>0</v>
      </c>
      <c r="G232" s="693">
        <f>調配產銷!G75</f>
        <v>0</v>
      </c>
      <c r="H232" s="865">
        <f>調配產銷!H75</f>
        <v>0</v>
      </c>
      <c r="I232" s="572">
        <f>調配產銷!I75</f>
        <v>0</v>
      </c>
      <c r="J232" s="865">
        <f>調配產銷!J75</f>
        <v>0</v>
      </c>
      <c r="K232" s="595">
        <f>調配產銷!K75</f>
        <v>0</v>
      </c>
      <c r="L232" s="865">
        <f>調配產銷!L75</f>
        <v>0</v>
      </c>
      <c r="M232" s="595">
        <f>調配產銷!M75</f>
        <v>0</v>
      </c>
      <c r="N232" s="865">
        <f>調配產銷!N75</f>
        <v>0</v>
      </c>
      <c r="O232" s="595">
        <f>調配產銷!O75</f>
        <v>0</v>
      </c>
      <c r="P232" s="565">
        <f>調配產銷!P75</f>
        <v>0</v>
      </c>
      <c r="Q232" s="547">
        <f>調配產銷!Q75</f>
        <v>0</v>
      </c>
      <c r="R232" s="547">
        <f>調配產銷!R75</f>
        <v>0</v>
      </c>
      <c r="S232" s="572">
        <f>調配產銷!S75</f>
        <v>0</v>
      </c>
      <c r="T232" s="566">
        <f>調配產銷!T75</f>
        <v>0</v>
      </c>
      <c r="U232" s="567">
        <f>調配產銷!U75</f>
        <v>0</v>
      </c>
      <c r="V232" s="568">
        <f>調配產銷!V75</f>
        <v>0</v>
      </c>
      <c r="W232" s="569">
        <f>調配產銷!W75</f>
        <v>0</v>
      </c>
      <c r="X232" s="570">
        <f>調配產銷!X75</f>
        <v>0</v>
      </c>
      <c r="Y232" s="547">
        <f>調配產銷!Y75</f>
        <v>0</v>
      </c>
      <c r="Z232" s="547">
        <f>調配產銷!Z75</f>
        <v>0</v>
      </c>
      <c r="AA232" s="571">
        <f>調配產銷!AA75</f>
        <v>0</v>
      </c>
      <c r="AB232" s="533">
        <f>調配產銷!AB75</f>
        <v>0</v>
      </c>
      <c r="AC232" s="534">
        <f>調配產銷!AC75</f>
        <v>0</v>
      </c>
      <c r="AD232" s="534">
        <f>調配產銷!AD75</f>
        <v>0</v>
      </c>
      <c r="AE232" s="535">
        <f>調配產銷!AE75</f>
        <v>0</v>
      </c>
      <c r="AF232" s="509">
        <f t="shared" si="31"/>
        <v>0</v>
      </c>
      <c r="AH232" s="796"/>
      <c r="AI232" s="796">
        <f t="shared" si="29"/>
        <v>0</v>
      </c>
      <c r="AJ232" s="796">
        <f t="shared" si="30"/>
        <v>0</v>
      </c>
    </row>
    <row r="233" spans="1:36" ht="18" hidden="1" thickBot="1" x14ac:dyDescent="0.3">
      <c r="A233" s="100">
        <f>調配產銷!A76</f>
        <v>0</v>
      </c>
      <c r="B233" s="452">
        <f>調配產銷!B76</f>
        <v>0</v>
      </c>
      <c r="C233" s="439">
        <f>調配產銷!C76</f>
        <v>0</v>
      </c>
      <c r="D233" s="440">
        <f>調配產銷!D76</f>
        <v>0</v>
      </c>
      <c r="E233" s="441">
        <f>調配產銷!E76</f>
        <v>0</v>
      </c>
      <c r="F233" s="441">
        <f>調配產銷!F76</f>
        <v>0</v>
      </c>
      <c r="G233" s="816">
        <f>調配產銷!G76</f>
        <v>0</v>
      </c>
      <c r="H233" s="868">
        <f>調配產銷!H76</f>
        <v>0</v>
      </c>
      <c r="I233" s="577">
        <f>調配產銷!I76</f>
        <v>0</v>
      </c>
      <c r="J233" s="868">
        <f>調配產銷!J76</f>
        <v>0</v>
      </c>
      <c r="K233" s="586">
        <f>調配產銷!K76</f>
        <v>0</v>
      </c>
      <c r="L233" s="868">
        <f>調配產銷!L76</f>
        <v>0</v>
      </c>
      <c r="M233" s="586">
        <f>調配產銷!M76</f>
        <v>0</v>
      </c>
      <c r="N233" s="868">
        <f>調配產銷!N76</f>
        <v>0</v>
      </c>
      <c r="O233" s="586">
        <f>調配產銷!O76</f>
        <v>0</v>
      </c>
      <c r="P233" s="555">
        <f>調配產銷!P76</f>
        <v>0</v>
      </c>
      <c r="Q233" s="576">
        <f>調配產銷!Q76</f>
        <v>0</v>
      </c>
      <c r="R233" s="576">
        <f>調配產銷!R76</f>
        <v>0</v>
      </c>
      <c r="S233" s="577">
        <f>調配產銷!S76</f>
        <v>0</v>
      </c>
      <c r="T233" s="578">
        <f>調配產銷!T76</f>
        <v>0</v>
      </c>
      <c r="U233" s="584">
        <f>調配產銷!U76</f>
        <v>0</v>
      </c>
      <c r="V233" s="581">
        <f>調配產銷!V76</f>
        <v>0</v>
      </c>
      <c r="W233" s="581">
        <f>調配產銷!W76</f>
        <v>0</v>
      </c>
      <c r="X233" s="585">
        <f>調配產銷!X76</f>
        <v>0</v>
      </c>
      <c r="Y233" s="577">
        <f>調配產銷!Y76</f>
        <v>0</v>
      </c>
      <c r="Z233" s="577">
        <f>調配產銷!Z76</f>
        <v>0</v>
      </c>
      <c r="AA233" s="586">
        <f>調配產銷!AA76</f>
        <v>0</v>
      </c>
      <c r="AB233" s="540">
        <f>調配產銷!AB76</f>
        <v>0</v>
      </c>
      <c r="AC233" s="541">
        <f>調配產銷!AC76</f>
        <v>0</v>
      </c>
      <c r="AD233" s="541">
        <f>調配產銷!AD76</f>
        <v>0</v>
      </c>
      <c r="AE233" s="542">
        <f>調配產銷!AE76</f>
        <v>0</v>
      </c>
      <c r="AF233" s="509">
        <f t="shared" si="31"/>
        <v>0</v>
      </c>
      <c r="AH233" s="796"/>
      <c r="AI233" s="796">
        <f t="shared" si="29"/>
        <v>0</v>
      </c>
      <c r="AJ233" s="796">
        <f t="shared" si="30"/>
        <v>0</v>
      </c>
    </row>
    <row r="234" spans="1:36" ht="24" customHeight="1" thickTop="1" x14ac:dyDescent="0.3">
      <c r="A234" s="874" t="str">
        <f>精餾產銷!A100</f>
        <v>備</v>
      </c>
      <c r="B234" s="169">
        <f>精餾產銷!B100</f>
        <v>0</v>
      </c>
      <c r="C234" s="169">
        <f>精餾產銷!C100</f>
        <v>0</v>
      </c>
      <c r="D234" s="12">
        <f>精餾產銷!D100</f>
        <v>0</v>
      </c>
      <c r="E234" s="12">
        <f>精餾產銷!E100</f>
        <v>0</v>
      </c>
      <c r="F234" s="12">
        <f>精餾產銷!F100</f>
        <v>0</v>
      </c>
      <c r="G234" s="875" t="str">
        <f>精餾產銷!G100</f>
        <v>*NMPUPS生產排程後必須避開EGUPS及IPAUPS。</v>
      </c>
      <c r="H234" s="876"/>
      <c r="I234" s="876"/>
      <c r="J234" s="876"/>
      <c r="K234" s="876"/>
      <c r="L234" s="876"/>
      <c r="M234" s="876"/>
      <c r="N234" s="876"/>
      <c r="O234" s="876"/>
      <c r="P234" s="876"/>
      <c r="Q234" s="879"/>
      <c r="R234" s="877"/>
      <c r="S234" s="169"/>
      <c r="T234" s="876"/>
      <c r="U234" s="876"/>
      <c r="V234" s="169"/>
      <c r="W234" s="169"/>
      <c r="X234" s="877">
        <f>精餾產銷!X100</f>
        <v>0</v>
      </c>
      <c r="Y234" s="877">
        <f>精餾產銷!Y100</f>
        <v>0</v>
      </c>
      <c r="Z234" s="169">
        <f>精餾產銷!Z100</f>
        <v>0</v>
      </c>
      <c r="AA234" s="169">
        <f>精餾產銷!AA100</f>
        <v>0</v>
      </c>
      <c r="AB234" s="169">
        <f>精餾產銷!AB100</f>
        <v>0</v>
      </c>
      <c r="AC234" s="169">
        <f>精餾產銷!AC100</f>
        <v>0</v>
      </c>
      <c r="AD234" s="169">
        <f>精餾產銷!AD100</f>
        <v>0</v>
      </c>
      <c r="AE234" s="878">
        <f>精餾產銷!AE100</f>
        <v>0</v>
      </c>
      <c r="AF234" s="509">
        <v>1</v>
      </c>
    </row>
    <row r="235" spans="1:36" ht="24" customHeight="1" x14ac:dyDescent="0.3">
      <c r="A235" s="10">
        <f>精餾產銷!A101</f>
        <v>0</v>
      </c>
      <c r="B235" s="170">
        <f>精餾產銷!B101</f>
        <v>0</v>
      </c>
      <c r="C235" s="12">
        <f>精餾產銷!C101</f>
        <v>0</v>
      </c>
      <c r="D235" s="12">
        <f>精餾產銷!D101</f>
        <v>0</v>
      </c>
      <c r="E235" s="12">
        <f>精餾產銷!E101</f>
        <v>0</v>
      </c>
      <c r="F235" s="12">
        <f>精餾產銷!F101</f>
        <v>0</v>
      </c>
      <c r="G235" s="89" t="str">
        <f>精餾產銷!G101</f>
        <v>*儲槽須重新檢討儲放的利用率，每次產銷須檢討儲槽的存放率，提高儲槽的利用。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6"/>
      <c r="R235" s="11"/>
      <c r="S235" s="116"/>
      <c r="T235" s="141"/>
      <c r="U235" s="141"/>
      <c r="V235" s="12"/>
      <c r="W235" s="12"/>
      <c r="X235" s="344">
        <f>精餾產銷!X101</f>
        <v>0</v>
      </c>
      <c r="Y235" s="344">
        <f>精餾產銷!Y101</f>
        <v>0</v>
      </c>
      <c r="Z235" s="168" t="str">
        <f>精餾產銷!Z101</f>
        <v>表示大於儲槽容量</v>
      </c>
      <c r="AA235" s="168"/>
      <c r="AB235" s="12"/>
      <c r="AC235" s="12"/>
      <c r="AD235" s="12"/>
      <c r="AE235" s="117">
        <f>精餾產銷!AE101</f>
        <v>0</v>
      </c>
      <c r="AF235" s="509">
        <v>1</v>
      </c>
    </row>
    <row r="236" spans="1:36" ht="24" customHeight="1" x14ac:dyDescent="0.3">
      <c r="A236" s="10">
        <f>精餾產銷!A102</f>
        <v>0</v>
      </c>
      <c r="B236" s="16">
        <f>精餾產銷!B102</f>
        <v>0</v>
      </c>
      <c r="C236" s="12">
        <f>精餾產銷!C102</f>
        <v>0</v>
      </c>
      <c r="D236" s="12">
        <f>精餾產銷!D102</f>
        <v>0</v>
      </c>
      <c r="E236" s="12">
        <f>精餾產銷!E102</f>
        <v>0</v>
      </c>
      <c r="F236" s="12">
        <f>精餾產銷!F102</f>
        <v>0</v>
      </c>
      <c r="G236" s="173" t="str">
        <f>精餾產銷!G102</f>
        <v>*1CPN及CPNE4係整合勝一與鴻勝後之資料。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6"/>
      <c r="R236" s="12"/>
      <c r="S236" s="12"/>
      <c r="X236" s="345">
        <f>精餾產銷!X102</f>
        <v>0</v>
      </c>
      <c r="Y236" s="345">
        <f>精餾產銷!Y102</f>
        <v>0</v>
      </c>
      <c r="Z236" s="12" t="str">
        <f>精餾產銷!Z102</f>
        <v>表示小於安全庫存量</v>
      </c>
      <c r="AA236" s="12"/>
      <c r="AE236" s="20">
        <f>精餾產銷!AE102</f>
        <v>0</v>
      </c>
      <c r="AF236" s="509">
        <v>1</v>
      </c>
    </row>
    <row r="237" spans="1:36" ht="28.5" customHeight="1" x14ac:dyDescent="0.3">
      <c r="A237" s="183">
        <f>精餾產銷!A103</f>
        <v>0</v>
      </c>
      <c r="B237" s="16">
        <f>精餾產銷!B103</f>
        <v>0</v>
      </c>
      <c r="C237" s="12">
        <f>精餾產銷!C103</f>
        <v>0</v>
      </c>
      <c r="D237" s="12">
        <f>精餾產銷!D103</f>
        <v>0</v>
      </c>
      <c r="E237" s="12">
        <f>精餾產銷!E103</f>
        <v>0</v>
      </c>
      <c r="F237" s="12">
        <f>精餾產銷!F103</f>
        <v>0</v>
      </c>
      <c r="G237" s="173" t="str">
        <f>精餾產銷!G103</f>
        <v>*IPA(崙尾區日本料-暫放洲際)其他入庫來源為IPAUPS及IPAHQ FLASH後重新投產的數量。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6"/>
      <c r="R237" s="12"/>
      <c r="S237" s="12"/>
      <c r="X237" s="1">
        <f>精餾產銷!X103</f>
        <v>0</v>
      </c>
      <c r="Y237" s="1">
        <f>精餾產銷!Y103</f>
        <v>0</v>
      </c>
      <c r="Z237" s="1">
        <f>精餾產銷!Z103</f>
        <v>0</v>
      </c>
      <c r="AA237" s="1">
        <f>精餾產銷!AA103</f>
        <v>0</v>
      </c>
      <c r="AB237" s="1">
        <f>精餾產銷!AB103</f>
        <v>0</v>
      </c>
      <c r="AC237" s="1">
        <f>精餾產銷!AC103</f>
        <v>0</v>
      </c>
      <c r="AD237" s="1">
        <f>精餾產銷!AD103</f>
        <v>0</v>
      </c>
      <c r="AE237" s="20">
        <f>精餾產銷!AE103</f>
        <v>0</v>
      </c>
      <c r="AF237" s="509">
        <v>1</v>
      </c>
    </row>
    <row r="238" spans="1:36" ht="24" customHeight="1" x14ac:dyDescent="0.3">
      <c r="A238" s="10">
        <f>精餾產銷!A104</f>
        <v>0</v>
      </c>
      <c r="B238" s="170">
        <f>精餾產銷!B104</f>
        <v>0</v>
      </c>
      <c r="C238" s="987">
        <f>精餾產銷!C104</f>
        <v>0</v>
      </c>
      <c r="D238" s="987">
        <f>精餾產銷!D104</f>
        <v>0</v>
      </c>
      <c r="E238" s="987">
        <f>精餾產銷!E104</f>
        <v>0</v>
      </c>
      <c r="F238" s="987">
        <f>精餾產銷!F104</f>
        <v>0</v>
      </c>
      <c r="G238" s="988" t="str">
        <f>精餾產銷!$G$104</f>
        <v>*EG其他入庫來源為由勝一代工EGUPS，原料直送勝一以其他入庫列示。</v>
      </c>
      <c r="H238" s="989"/>
      <c r="I238" s="989"/>
      <c r="J238" s="990"/>
      <c r="K238" s="990"/>
      <c r="L238" s="990"/>
      <c r="M238" s="990"/>
      <c r="N238" s="990"/>
      <c r="O238" s="990"/>
      <c r="P238" s="990"/>
      <c r="Q238" s="991"/>
      <c r="R238" s="990"/>
      <c r="S238" s="990"/>
      <c r="T238" s="992"/>
      <c r="U238" s="992"/>
      <c r="V238" s="992"/>
      <c r="W238" s="992">
        <f>精餾產銷!W104</f>
        <v>0</v>
      </c>
      <c r="X238" s="992">
        <f>精餾產銷!X104</f>
        <v>0</v>
      </c>
      <c r="Y238" s="992">
        <f>精餾產銷!Y104</f>
        <v>0</v>
      </c>
      <c r="Z238" s="992">
        <f>精餾產銷!Z104</f>
        <v>0</v>
      </c>
      <c r="AA238" s="992">
        <f>精餾產銷!AA104</f>
        <v>0</v>
      </c>
      <c r="AB238" s="992">
        <f>精餾產銷!AB104</f>
        <v>0</v>
      </c>
      <c r="AC238" s="992">
        <f>精餾產銷!AC104</f>
        <v>0</v>
      </c>
      <c r="AD238" s="992">
        <f>精餾產銷!AD104</f>
        <v>0</v>
      </c>
      <c r="AE238" s="20">
        <f>精餾產銷!AE104</f>
        <v>0</v>
      </c>
      <c r="AF238" s="509">
        <v>1</v>
      </c>
    </row>
    <row r="239" spans="1:36" ht="24" customHeight="1" thickBot="1" x14ac:dyDescent="0.35">
      <c r="A239" s="58" t="str">
        <f>精餾產銷!A105</f>
        <v>註</v>
      </c>
      <c r="B239" s="166">
        <f>精餾產銷!B105</f>
        <v>0</v>
      </c>
      <c r="C239" s="140">
        <f>精餾產銷!C105</f>
        <v>0</v>
      </c>
      <c r="D239" s="140">
        <f>精餾產銷!D105</f>
        <v>0</v>
      </c>
      <c r="E239" s="140">
        <f>精餾產銷!E105</f>
        <v>0</v>
      </c>
      <c r="F239" s="140">
        <f>精餾產銷!F105</f>
        <v>0</v>
      </c>
      <c r="G239" s="174" t="str">
        <f>精餾產銷!$G$105</f>
        <v>*1CPN於8月底有庫存141MT為義大利貨源，剩餘25MT一課會於8月全數領用。</v>
      </c>
      <c r="H239" s="90"/>
      <c r="I239" s="90"/>
      <c r="J239" s="14"/>
      <c r="K239" s="14"/>
      <c r="L239" s="14"/>
      <c r="M239" s="14"/>
      <c r="N239" s="14"/>
      <c r="O239" s="14"/>
      <c r="P239" s="14"/>
      <c r="Q239" s="611"/>
      <c r="R239" s="14"/>
      <c r="S239" s="14"/>
      <c r="T239" s="13"/>
      <c r="U239" s="13"/>
      <c r="V239" s="13"/>
      <c r="W239" s="13">
        <f>精餾產銷!W105</f>
        <v>0</v>
      </c>
      <c r="X239" s="13">
        <f>精餾產銷!X105</f>
        <v>0</v>
      </c>
      <c r="Y239" s="13">
        <f>精餾產銷!Y105</f>
        <v>0</v>
      </c>
      <c r="Z239" s="13">
        <f>精餾產銷!Z105</f>
        <v>0</v>
      </c>
      <c r="AA239" s="13">
        <f>精餾產銷!AA105</f>
        <v>0</v>
      </c>
      <c r="AB239" s="13">
        <f>精餾產銷!AB105</f>
        <v>0</v>
      </c>
      <c r="AC239" s="13">
        <f>精餾產銷!AC105</f>
        <v>0</v>
      </c>
      <c r="AD239" s="13">
        <f>精餾產銷!AD105</f>
        <v>0</v>
      </c>
      <c r="AE239" s="21">
        <f>精餾產銷!AE105</f>
        <v>0</v>
      </c>
      <c r="AF239" s="509">
        <v>1</v>
      </c>
    </row>
    <row r="240" spans="1:36" ht="24" customHeight="1" thickTop="1" x14ac:dyDescent="0.25">
      <c r="A240" s="7"/>
      <c r="B240" s="612"/>
      <c r="C240" s="612"/>
      <c r="D240" s="612"/>
      <c r="E240" s="612"/>
      <c r="F240" s="612"/>
      <c r="G240" s="613"/>
      <c r="H240" s="613"/>
      <c r="I240" s="613"/>
      <c r="J240" s="613"/>
      <c r="K240" s="613"/>
      <c r="L240" s="613"/>
      <c r="M240" s="613"/>
      <c r="N240" s="613"/>
      <c r="O240" s="613"/>
      <c r="P240" s="612"/>
      <c r="Q240" s="4"/>
      <c r="R240" s="612"/>
      <c r="S240" s="612"/>
      <c r="T240" s="612"/>
      <c r="U240" s="612"/>
      <c r="V240" s="612"/>
      <c r="W240" s="612"/>
      <c r="X240" s="612"/>
      <c r="Y240" s="612"/>
      <c r="Z240" s="612"/>
      <c r="AA240" s="612"/>
      <c r="AB240" s="614"/>
      <c r="AC240" s="614"/>
      <c r="AD240" s="614"/>
      <c r="AE240" s="924" t="s">
        <v>9</v>
      </c>
      <c r="AF240" s="615">
        <v>1</v>
      </c>
    </row>
    <row r="241" spans="1:36" s="104" customFormat="1" ht="24" customHeight="1" x14ac:dyDescent="0.3">
      <c r="A241" s="616" t="s">
        <v>10</v>
      </c>
      <c r="B241" s="616"/>
      <c r="C241" s="616"/>
      <c r="D241" s="616"/>
      <c r="E241" s="616"/>
      <c r="F241" s="616"/>
      <c r="G241" s="616"/>
      <c r="H241" s="616"/>
      <c r="I241" s="616"/>
      <c r="J241" s="616"/>
      <c r="K241" s="616"/>
      <c r="L241" s="616"/>
      <c r="M241" s="616"/>
      <c r="N241" s="616"/>
      <c r="O241" s="616"/>
      <c r="P241" s="616"/>
      <c r="Q241" s="617"/>
      <c r="R241" s="616"/>
      <c r="S241" s="616"/>
      <c r="T241" s="616"/>
      <c r="U241" s="616"/>
      <c r="V241" s="616"/>
      <c r="W241" s="616"/>
      <c r="X241" s="616"/>
      <c r="Y241" s="616"/>
      <c r="Z241" s="616"/>
      <c r="AA241" s="616"/>
      <c r="AB241" s="616"/>
      <c r="AC241" s="616"/>
      <c r="AD241" s="616"/>
      <c r="AE241" s="618"/>
      <c r="AF241" s="619">
        <v>1</v>
      </c>
      <c r="AH241" s="798"/>
      <c r="AI241" s="798"/>
      <c r="AJ241" s="798"/>
    </row>
    <row r="242" spans="1:36" ht="28.5" customHeight="1" x14ac:dyDescent="0.3"/>
    <row r="243" spans="1:36" ht="28.5" customHeight="1" x14ac:dyDescent="0.3"/>
    <row r="244" spans="1:36" ht="28.5" customHeight="1" x14ac:dyDescent="0.3"/>
    <row r="245" spans="1:36" ht="28.5" customHeight="1" x14ac:dyDescent="0.3"/>
    <row r="246" spans="1:36" ht="28.5" customHeight="1" x14ac:dyDescent="0.3"/>
    <row r="247" spans="1:36" ht="28.5" customHeight="1" x14ac:dyDescent="0.3"/>
    <row r="248" spans="1:36" ht="28.5" customHeight="1" x14ac:dyDescent="0.3"/>
    <row r="249" spans="1:36" ht="28.5" customHeight="1" x14ac:dyDescent="0.3"/>
    <row r="250" spans="1:36" ht="28.5" customHeight="1" x14ac:dyDescent="0.3"/>
    <row r="251" spans="1:36" ht="28.5" customHeight="1" x14ac:dyDescent="0.25">
      <c r="A251" s="1"/>
      <c r="C251" s="1"/>
      <c r="D251" s="1"/>
      <c r="E251" s="1"/>
      <c r="F251" s="1"/>
      <c r="Q251" s="1"/>
      <c r="AF251" s="1"/>
    </row>
    <row r="252" spans="1:36" ht="28.5" customHeight="1" x14ac:dyDescent="0.25">
      <c r="A252" s="1"/>
      <c r="C252" s="1"/>
      <c r="D252" s="1"/>
      <c r="E252" s="1"/>
      <c r="F252" s="1"/>
      <c r="Q252" s="1"/>
      <c r="AF252" s="1"/>
    </row>
    <row r="253" spans="1:36" ht="28.5" customHeight="1" x14ac:dyDescent="0.25">
      <c r="A253" s="1"/>
      <c r="C253" s="1"/>
      <c r="D253" s="1"/>
      <c r="E253" s="1"/>
      <c r="F253" s="1"/>
      <c r="Q253" s="1"/>
      <c r="AF253" s="1"/>
    </row>
    <row r="254" spans="1:36" ht="28.5" customHeight="1" x14ac:dyDescent="0.25">
      <c r="A254" s="1"/>
      <c r="C254" s="1"/>
      <c r="D254" s="1"/>
      <c r="E254" s="1"/>
      <c r="F254" s="1"/>
      <c r="Q254" s="1"/>
      <c r="AF254" s="1"/>
    </row>
    <row r="255" spans="1:36" ht="28.5" customHeight="1" x14ac:dyDescent="0.25">
      <c r="A255" s="1"/>
      <c r="C255" s="1"/>
      <c r="D255" s="1"/>
      <c r="E255" s="1"/>
      <c r="F255" s="1"/>
      <c r="Q255" s="1"/>
      <c r="AF255" s="1"/>
    </row>
    <row r="256" spans="1:36" ht="28.5" customHeight="1" x14ac:dyDescent="0.25">
      <c r="A256" s="1"/>
      <c r="C256" s="1"/>
      <c r="D256" s="1"/>
      <c r="E256" s="1"/>
      <c r="F256" s="1"/>
      <c r="Q256" s="1"/>
      <c r="AF256" s="1"/>
    </row>
    <row r="257" spans="1:32" ht="28.5" customHeight="1" x14ac:dyDescent="0.25">
      <c r="A257" s="1"/>
      <c r="C257" s="1"/>
      <c r="D257" s="1"/>
      <c r="E257" s="1"/>
      <c r="F257" s="1"/>
      <c r="Q257" s="1"/>
      <c r="AF257" s="1"/>
    </row>
    <row r="258" spans="1:32" ht="28.5" customHeight="1" x14ac:dyDescent="0.25">
      <c r="A258" s="1"/>
      <c r="C258" s="1"/>
      <c r="D258" s="1"/>
      <c r="E258" s="1"/>
      <c r="F258" s="1"/>
      <c r="Q258" s="1"/>
      <c r="AF258" s="1"/>
    </row>
    <row r="259" spans="1:32" ht="28.5" customHeight="1" x14ac:dyDescent="0.25">
      <c r="A259" s="1"/>
      <c r="C259" s="1"/>
      <c r="D259" s="1"/>
      <c r="E259" s="1"/>
      <c r="F259" s="1"/>
      <c r="Q259" s="1"/>
      <c r="AF259" s="1"/>
    </row>
    <row r="260" spans="1:32" ht="28.5" customHeight="1" x14ac:dyDescent="0.25">
      <c r="A260" s="1"/>
      <c r="C260" s="1"/>
      <c r="D260" s="1"/>
      <c r="E260" s="1"/>
      <c r="F260" s="1"/>
      <c r="Q260" s="1"/>
      <c r="AF260" s="1"/>
    </row>
    <row r="261" spans="1:32" ht="28.5" customHeight="1" x14ac:dyDescent="0.25">
      <c r="A261" s="1"/>
      <c r="C261" s="1"/>
      <c r="D261" s="1"/>
      <c r="E261" s="1"/>
      <c r="F261" s="1"/>
      <c r="Q261" s="1"/>
      <c r="AF261" s="1"/>
    </row>
    <row r="262" spans="1:32" ht="28.5" customHeight="1" x14ac:dyDescent="0.25">
      <c r="A262" s="1"/>
      <c r="C262" s="1"/>
      <c r="D262" s="1"/>
      <c r="E262" s="1"/>
      <c r="F262" s="1"/>
      <c r="Q262" s="1"/>
      <c r="AF262" s="1"/>
    </row>
    <row r="263" spans="1:32" ht="28.5" customHeight="1" x14ac:dyDescent="0.25">
      <c r="A263" s="1"/>
      <c r="C263" s="1"/>
      <c r="D263" s="1"/>
      <c r="E263" s="1"/>
      <c r="F263" s="1"/>
      <c r="Q263" s="1"/>
      <c r="AF263" s="1"/>
    </row>
    <row r="264" spans="1:32" ht="28.5" customHeight="1" x14ac:dyDescent="0.25">
      <c r="A264" s="1"/>
      <c r="C264" s="1"/>
      <c r="D264" s="1"/>
      <c r="E264" s="1"/>
      <c r="F264" s="1"/>
      <c r="Q264" s="1"/>
      <c r="AF264" s="1"/>
    </row>
    <row r="265" spans="1:32" ht="28.5" customHeight="1" x14ac:dyDescent="0.25">
      <c r="A265" s="1"/>
      <c r="C265" s="1"/>
      <c r="D265" s="1"/>
      <c r="E265" s="1"/>
      <c r="F265" s="1"/>
      <c r="Q265" s="1"/>
      <c r="AF265" s="1"/>
    </row>
    <row r="266" spans="1:32" ht="28.5" customHeight="1" x14ac:dyDescent="0.25">
      <c r="A266" s="1"/>
      <c r="C266" s="1"/>
      <c r="D266" s="1"/>
      <c r="E266" s="1"/>
      <c r="F266" s="1"/>
      <c r="Q266" s="1"/>
      <c r="AF266" s="1"/>
    </row>
    <row r="267" spans="1:32" ht="28.5" customHeight="1" x14ac:dyDescent="0.25">
      <c r="A267" s="1"/>
      <c r="C267" s="1"/>
      <c r="D267" s="1"/>
      <c r="E267" s="1"/>
      <c r="F267" s="1"/>
      <c r="Q267" s="1"/>
      <c r="AF267" s="1"/>
    </row>
    <row r="268" spans="1:32" ht="28.5" customHeight="1" x14ac:dyDescent="0.25">
      <c r="A268" s="1"/>
      <c r="C268" s="1"/>
      <c r="D268" s="1"/>
      <c r="E268" s="1"/>
      <c r="F268" s="1"/>
      <c r="Q268" s="1"/>
      <c r="AF268" s="1"/>
    </row>
    <row r="269" spans="1:32" ht="28.5" customHeight="1" x14ac:dyDescent="0.25">
      <c r="A269" s="1"/>
      <c r="C269" s="1"/>
      <c r="D269" s="1"/>
      <c r="E269" s="1"/>
      <c r="F269" s="1"/>
      <c r="Q269" s="1"/>
      <c r="AF269" s="1"/>
    </row>
    <row r="270" spans="1:32" ht="28.5" customHeight="1" x14ac:dyDescent="0.25">
      <c r="A270" s="1"/>
      <c r="C270" s="1"/>
      <c r="D270" s="1"/>
      <c r="E270" s="1"/>
      <c r="F270" s="1"/>
      <c r="Q270" s="1"/>
      <c r="AF270" s="1"/>
    </row>
    <row r="271" spans="1:32" ht="28.5" customHeight="1" x14ac:dyDescent="0.25">
      <c r="A271" s="1"/>
      <c r="C271" s="1"/>
      <c r="D271" s="1"/>
      <c r="E271" s="1"/>
      <c r="F271" s="1"/>
      <c r="Q271" s="1"/>
      <c r="AF271" s="1"/>
    </row>
    <row r="272" spans="1:32" ht="28.5" customHeight="1" x14ac:dyDescent="0.25">
      <c r="A272" s="1"/>
      <c r="C272" s="1"/>
      <c r="D272" s="1"/>
      <c r="E272" s="1"/>
      <c r="F272" s="1"/>
      <c r="Q272" s="1"/>
      <c r="AF272" s="1"/>
    </row>
    <row r="273" spans="1:32" ht="28.5" customHeight="1" x14ac:dyDescent="0.25">
      <c r="A273" s="1"/>
      <c r="C273" s="1"/>
      <c r="D273" s="1"/>
      <c r="E273" s="1"/>
      <c r="F273" s="1"/>
      <c r="Q273" s="1"/>
      <c r="AF273" s="1"/>
    </row>
    <row r="274" spans="1:32" ht="28.5" customHeight="1" x14ac:dyDescent="0.25">
      <c r="A274" s="1"/>
      <c r="C274" s="1"/>
      <c r="D274" s="1"/>
      <c r="E274" s="1"/>
      <c r="F274" s="1"/>
      <c r="Q274" s="1"/>
      <c r="AF274" s="1"/>
    </row>
    <row r="275" spans="1:32" ht="28.5" customHeight="1" x14ac:dyDescent="0.25">
      <c r="A275" s="1"/>
      <c r="C275" s="1"/>
      <c r="D275" s="1"/>
      <c r="E275" s="1"/>
      <c r="F275" s="1"/>
      <c r="Q275" s="1"/>
      <c r="AF275" s="1"/>
    </row>
    <row r="276" spans="1:32" ht="28.5" customHeight="1" x14ac:dyDescent="0.25">
      <c r="A276" s="1"/>
      <c r="C276" s="1"/>
      <c r="D276" s="1"/>
      <c r="E276" s="1"/>
      <c r="F276" s="1"/>
      <c r="Q276" s="1"/>
      <c r="AF276" s="1"/>
    </row>
    <row r="277" spans="1:32" ht="28.5" customHeight="1" x14ac:dyDescent="0.25">
      <c r="A277" s="1"/>
      <c r="C277" s="1"/>
      <c r="D277" s="1"/>
      <c r="E277" s="1"/>
      <c r="F277" s="1"/>
      <c r="Q277" s="1"/>
      <c r="AF277" s="1"/>
    </row>
    <row r="278" spans="1:32" ht="28.5" customHeight="1" x14ac:dyDescent="0.25">
      <c r="A278" s="1"/>
      <c r="C278" s="1"/>
      <c r="D278" s="1"/>
      <c r="E278" s="1"/>
      <c r="F278" s="1"/>
      <c r="Q278" s="1"/>
      <c r="AF278" s="1"/>
    </row>
    <row r="279" spans="1:32" ht="28.5" customHeight="1" x14ac:dyDescent="0.25">
      <c r="A279" s="1"/>
      <c r="C279" s="1"/>
      <c r="D279" s="1"/>
      <c r="E279" s="1"/>
      <c r="F279" s="1"/>
      <c r="Q279" s="1"/>
      <c r="AF279" s="1"/>
    </row>
    <row r="280" spans="1:32" ht="28.5" customHeight="1" x14ac:dyDescent="0.25">
      <c r="A280" s="1"/>
      <c r="C280" s="1"/>
      <c r="D280" s="1"/>
      <c r="E280" s="1"/>
      <c r="F280" s="1"/>
      <c r="Q280" s="1"/>
      <c r="AF280" s="1"/>
    </row>
    <row r="281" spans="1:32" ht="28.5" customHeight="1" x14ac:dyDescent="0.25">
      <c r="A281" s="1"/>
      <c r="C281" s="1"/>
      <c r="D281" s="1"/>
      <c r="E281" s="1"/>
      <c r="F281" s="1"/>
      <c r="Q281" s="1"/>
      <c r="AF281" s="1"/>
    </row>
    <row r="282" spans="1:32" ht="28.5" customHeight="1" x14ac:dyDescent="0.25">
      <c r="A282" s="1"/>
      <c r="C282" s="1"/>
      <c r="D282" s="1"/>
      <c r="E282" s="1"/>
      <c r="F282" s="1"/>
      <c r="Q282" s="1"/>
      <c r="AF282" s="1"/>
    </row>
    <row r="283" spans="1:32" ht="28.5" customHeight="1" x14ac:dyDescent="0.25">
      <c r="A283" s="1"/>
      <c r="C283" s="1"/>
      <c r="D283" s="1"/>
      <c r="E283" s="1"/>
      <c r="F283" s="1"/>
      <c r="Q283" s="1"/>
      <c r="AF283" s="1"/>
    </row>
    <row r="284" spans="1:32" ht="28.5" customHeight="1" x14ac:dyDescent="0.25">
      <c r="A284" s="1"/>
      <c r="C284" s="1"/>
      <c r="D284" s="1"/>
      <c r="E284" s="1"/>
      <c r="F284" s="1"/>
      <c r="Q284" s="1"/>
      <c r="AF284" s="1"/>
    </row>
    <row r="285" spans="1:32" ht="28.5" customHeight="1" x14ac:dyDescent="0.25">
      <c r="A285" s="1"/>
      <c r="C285" s="1"/>
      <c r="D285" s="1"/>
      <c r="E285" s="1"/>
      <c r="F285" s="1"/>
      <c r="Q285" s="1"/>
      <c r="AF285" s="1"/>
    </row>
    <row r="286" spans="1:32" ht="28.5" customHeight="1" x14ac:dyDescent="0.25">
      <c r="A286" s="1"/>
      <c r="C286" s="1"/>
      <c r="D286" s="1"/>
      <c r="E286" s="1"/>
      <c r="F286" s="1"/>
      <c r="Q286" s="1"/>
      <c r="AF286" s="1"/>
    </row>
    <row r="287" spans="1:32" ht="28.5" customHeight="1" x14ac:dyDescent="0.25">
      <c r="A287" s="1"/>
      <c r="C287" s="1"/>
      <c r="D287" s="1"/>
      <c r="E287" s="1"/>
      <c r="F287" s="1"/>
      <c r="Q287" s="1"/>
      <c r="AF287" s="1"/>
    </row>
    <row r="288" spans="1:32" ht="28.5" customHeight="1" x14ac:dyDescent="0.25">
      <c r="A288" s="1"/>
      <c r="C288" s="1"/>
      <c r="D288" s="1"/>
      <c r="E288" s="1"/>
      <c r="F288" s="1"/>
      <c r="Q288" s="1"/>
      <c r="AF288" s="1"/>
    </row>
    <row r="289" spans="1:32" ht="28.5" customHeight="1" x14ac:dyDescent="0.25">
      <c r="A289" s="1"/>
      <c r="C289" s="1"/>
      <c r="D289" s="1"/>
      <c r="E289" s="1"/>
      <c r="F289" s="1"/>
      <c r="Q289" s="1"/>
      <c r="AF289" s="1"/>
    </row>
    <row r="290" spans="1:32" ht="28.5" customHeight="1" x14ac:dyDescent="0.25">
      <c r="A290" s="1"/>
      <c r="C290" s="1"/>
      <c r="D290" s="1"/>
      <c r="E290" s="1"/>
      <c r="F290" s="1"/>
      <c r="Q290" s="1"/>
      <c r="AF290" s="1"/>
    </row>
    <row r="291" spans="1:32" ht="28.5" customHeight="1" x14ac:dyDescent="0.25">
      <c r="A291" s="1"/>
      <c r="C291" s="1"/>
      <c r="D291" s="1"/>
      <c r="E291" s="1"/>
      <c r="F291" s="1"/>
      <c r="Q291" s="1"/>
      <c r="AF291" s="1"/>
    </row>
    <row r="292" spans="1:32" ht="28.5" customHeight="1" x14ac:dyDescent="0.25">
      <c r="A292" s="1"/>
      <c r="C292" s="1"/>
      <c r="D292" s="1"/>
      <c r="E292" s="1"/>
      <c r="F292" s="1"/>
      <c r="Q292" s="1"/>
      <c r="AF292" s="1"/>
    </row>
    <row r="293" spans="1:32" ht="28.5" customHeight="1" x14ac:dyDescent="0.25">
      <c r="A293" s="1"/>
      <c r="C293" s="1"/>
      <c r="D293" s="1"/>
      <c r="E293" s="1"/>
      <c r="F293" s="1"/>
      <c r="Q293" s="1"/>
      <c r="AF293" s="1"/>
    </row>
    <row r="294" spans="1:32" ht="28.5" customHeight="1" x14ac:dyDescent="0.25">
      <c r="A294" s="1"/>
      <c r="C294" s="1"/>
      <c r="D294" s="1"/>
      <c r="E294" s="1"/>
      <c r="F294" s="1"/>
      <c r="Q294" s="1"/>
      <c r="AF294" s="1"/>
    </row>
    <row r="295" spans="1:32" ht="28.5" customHeight="1" x14ac:dyDescent="0.25">
      <c r="A295" s="1"/>
      <c r="C295" s="1"/>
      <c r="D295" s="1"/>
      <c r="E295" s="1"/>
      <c r="F295" s="1"/>
      <c r="Q295" s="1"/>
      <c r="AF295" s="1"/>
    </row>
    <row r="296" spans="1:32" ht="28.5" customHeight="1" x14ac:dyDescent="0.25">
      <c r="A296" s="1"/>
      <c r="C296" s="1"/>
      <c r="D296" s="1"/>
      <c r="E296" s="1"/>
      <c r="F296" s="1"/>
      <c r="Q296" s="1"/>
      <c r="AF296" s="1"/>
    </row>
    <row r="297" spans="1:32" ht="28.5" customHeight="1" x14ac:dyDescent="0.25">
      <c r="A297" s="1"/>
      <c r="C297" s="1"/>
      <c r="D297" s="1"/>
      <c r="E297" s="1"/>
      <c r="F297" s="1"/>
      <c r="Q297" s="1"/>
      <c r="AF297" s="1"/>
    </row>
    <row r="298" spans="1:32" ht="28.5" customHeight="1" x14ac:dyDescent="0.25">
      <c r="A298" s="1"/>
      <c r="C298" s="1"/>
      <c r="D298" s="1"/>
      <c r="E298" s="1"/>
      <c r="F298" s="1"/>
      <c r="Q298" s="1"/>
      <c r="AF298" s="1"/>
    </row>
    <row r="299" spans="1:32" ht="28.5" customHeight="1" x14ac:dyDescent="0.25">
      <c r="A299" s="1"/>
      <c r="C299" s="1"/>
      <c r="D299" s="1"/>
      <c r="E299" s="1"/>
      <c r="F299" s="1"/>
      <c r="Q299" s="1"/>
      <c r="AF299" s="1"/>
    </row>
    <row r="300" spans="1:32" ht="28.5" customHeight="1" x14ac:dyDescent="0.25">
      <c r="A300" s="1"/>
      <c r="C300" s="1"/>
      <c r="D300" s="1"/>
      <c r="E300" s="1"/>
      <c r="F300" s="1"/>
      <c r="Q300" s="1"/>
      <c r="AF300" s="1"/>
    </row>
    <row r="301" spans="1:32" ht="28.5" customHeight="1" x14ac:dyDescent="0.25">
      <c r="A301" s="1"/>
      <c r="C301" s="1"/>
      <c r="D301" s="1"/>
      <c r="E301" s="1"/>
      <c r="F301" s="1"/>
      <c r="Q301" s="1"/>
      <c r="AF301" s="1"/>
    </row>
    <row r="302" spans="1:32" ht="28.5" customHeight="1" x14ac:dyDescent="0.25">
      <c r="A302" s="1"/>
      <c r="C302" s="1"/>
      <c r="D302" s="1"/>
      <c r="E302" s="1"/>
      <c r="F302" s="1"/>
      <c r="Q302" s="1"/>
      <c r="AF302" s="1"/>
    </row>
    <row r="303" spans="1:32" ht="28.5" customHeight="1" x14ac:dyDescent="0.25">
      <c r="A303" s="1"/>
      <c r="C303" s="1"/>
      <c r="D303" s="1"/>
      <c r="E303" s="1"/>
      <c r="F303" s="1"/>
      <c r="Q303" s="1"/>
      <c r="AF303" s="1"/>
    </row>
    <row r="304" spans="1:32" ht="28.5" customHeight="1" x14ac:dyDescent="0.25">
      <c r="A304" s="1"/>
      <c r="C304" s="1"/>
      <c r="D304" s="1"/>
      <c r="E304" s="1"/>
      <c r="F304" s="1"/>
      <c r="Q304" s="1"/>
      <c r="AF304" s="1"/>
    </row>
    <row r="305" spans="1:32" ht="28.5" customHeight="1" x14ac:dyDescent="0.25">
      <c r="A305" s="1"/>
      <c r="C305" s="1"/>
      <c r="D305" s="1"/>
      <c r="E305" s="1"/>
      <c r="F305" s="1"/>
      <c r="Q305" s="1"/>
      <c r="AF305" s="1"/>
    </row>
    <row r="306" spans="1:32" ht="28.5" customHeight="1" x14ac:dyDescent="0.25">
      <c r="A306" s="1"/>
      <c r="C306" s="1"/>
      <c r="D306" s="1"/>
      <c r="E306" s="1"/>
      <c r="F306" s="1"/>
      <c r="Q306" s="1"/>
      <c r="AF306" s="1"/>
    </row>
  </sheetData>
  <autoFilter ref="AF5:AG241">
    <filterColumn colId="0">
      <customFilters>
        <customFilter operator="notEqual" val=" "/>
      </customFilters>
    </filterColumn>
  </autoFilter>
  <customSheetViews>
    <customSheetView guid="{59A05416-DD26-4EFD-AA04-054D4DE97D89}" scale="70" showGridLines="0" outlineSymbols="0" zeroValues="0" fitToPage="1" printArea="1" showAutoFilter="1" hiddenColumns="1" view="pageBreakPreview">
      <pane xSplit="5" ySplit="4" topLeftCell="G5" activePane="bottomRight"/>
      <selection pane="bottomRight" activeCell="O10" sqref="O10"/>
      <pageMargins left="0" right="0" top="0" bottom="0" header="0" footer="0"/>
      <printOptions horizontalCentered="1"/>
      <pageSetup paperSize="9" scale="12" orientation="portrait" blackAndWhite="1" r:id="rId1"/>
      <headerFooter alignWithMargins="0">
        <oddFooter>&amp;R&amp;D &amp;T</oddFooter>
      </headerFooter>
      <autoFilter ref="AF4:AG237"/>
    </customSheetView>
    <customSheetView guid="{D065F4F3-1224-4D29-89D7-CAAF2080B907}" scale="70" showGridLines="0" outlineSymbols="0" zeroValues="0" fitToPage="1" printArea="1" filter="1" showAutoFilter="1" hiddenColumns="1" view="pageBreakPreview">
      <pane xSplit="7" ySplit="4" topLeftCell="H117" activePane="bottomRight" state="frozen"/>
      <selection pane="bottomRight" activeCell="A78" sqref="A78:XFD78"/>
      <pageMargins left="0" right="0" top="0" bottom="0" header="0" footer="0"/>
      <printOptions horizontalCentered="1"/>
      <pageSetup paperSize="9" scale="37" orientation="portrait" blackAndWhite="1" r:id="rId2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  <customSheetView guid="{FA048ABB-8FB5-4FAE-8F9E-3B68073934F1}" scale="70" showGridLines="0" outlineSymbols="0" zeroValues="0" fitToPage="1" printArea="1" showAutoFilter="1" hiddenColumns="1" view="pageBreakPreview">
      <pane xSplit="7" ySplit="4" topLeftCell="H14" activePane="bottomRight" state="frozen"/>
      <selection pane="bottomRight" activeCell="H7" sqref="H7"/>
      <pageMargins left="0" right="0" top="0" bottom="0" header="0" footer="0"/>
      <printOptions horizontalCentered="1"/>
      <pageSetup paperSize="9" scale="12" orientation="portrait" blackAndWhite="1" r:id="rId3"/>
      <headerFooter alignWithMargins="0">
        <oddFooter>&amp;R&amp;D &amp;T</oddFooter>
      </headerFooter>
      <autoFilter ref="AF4:AG237"/>
    </customSheetView>
    <customSheetView guid="{8FD9726D-5B41-4C43-8FCB-EB4C2E6B9AD0}" scale="70" showGridLines="0" outlineSymbols="0" zeroValues="0" fitToPage="1" printArea="1" filter="1" showAutoFilter="1" hiddenColumns="1" view="pageBreakPreview">
      <pane xSplit="7" ySplit="4" topLeftCell="H73" activePane="bottomRight" state="frozen"/>
      <selection pane="bottomRight" activeCell="P118" sqref="P118"/>
      <pageMargins left="0" right="0" top="0" bottom="0" header="0" footer="0"/>
      <printOptions horizontalCentered="1"/>
      <pageSetup paperSize="9" scale="37" orientation="portrait" blackAndWhite="1" r:id="rId4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  <customSheetView guid="{C30CE12B-11DC-4479-B6AC-C3BD3E3ED3C8}" scale="70" showGridLines="0" outlineSymbols="0" zeroValues="0" fitToPage="1" printArea="1" filter="1" showAutoFilter="1" hiddenColumns="1" view="pageBreakPreview">
      <pane xSplit="7" ySplit="4" topLeftCell="H43" activePane="bottomRight" state="frozen"/>
      <selection pane="bottomRight" activeCell="J79" sqref="J79"/>
      <pageMargins left="0" right="0" top="0" bottom="0" header="0" footer="0"/>
      <printOptions horizontalCentered="1"/>
      <pageSetup paperSize="9" scale="37" orientation="portrait" blackAndWhite="1" r:id="rId5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  <customSheetView guid="{64D5D33D-6419-4A8B-A3B3-237161841645}" scale="75" showGridLines="0" outlineSymbols="0" zeroValues="0" fitToPage="1" printArea="1" showAutoFilter="1" hiddenColumns="1" view="pageBreakPreview">
      <pane xSplit="6" ySplit="4" topLeftCell="G116" activePane="bottomRight" state="frozen"/>
      <selection pane="bottomRight" activeCell="E120" sqref="E120"/>
      <pageMargins left="0" right="0" top="0" bottom="0" header="0" footer="0"/>
      <printOptions horizontalCentered="1"/>
      <pageSetup paperSize="9" scale="12" orientation="portrait" blackAndWhite="1" r:id="rId6"/>
      <headerFooter alignWithMargins="0">
        <oddFooter>&amp;R&amp;D &amp;T</oddFooter>
      </headerFooter>
      <autoFilter ref="AF4:AG237"/>
    </customSheetView>
    <customSheetView guid="{CAC14F13-5914-49F8-AD5B-F24608798ED8}" scale="70" showGridLines="0" outlineSymbols="0" zeroValues="0" fitToPage="1" printArea="1" filter="1" showAutoFilter="1" hiddenColumns="1" view="pageBreakPreview">
      <pane xSplit="7" ySplit="4" topLeftCell="H46" activePane="bottomRight" state="frozen"/>
      <selection pane="bottomRight" activeCell="A101" sqref="A101:XFD108"/>
      <pageMargins left="0" right="0" top="0" bottom="0" header="0" footer="0"/>
      <printOptions horizontalCentered="1"/>
      <pageSetup paperSize="9" scale="39" orientation="portrait" blackAndWhite="1" r:id="rId7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  <customSheetView guid="{0BF804C9-51A0-4E06-8256-5D8C4B043A4A}" scale="70" showGridLines="0" outlineSymbols="0" zeroValues="0" fitToPage="1" printArea="1" filter="1" showAutoFilter="1" hiddenColumns="1" view="pageBreakPreview">
      <pane xSplit="7" ySplit="4" topLeftCell="H101" activePane="bottomRight" state="frozen"/>
      <selection pane="bottomRight" activeCell="P117" sqref="P117"/>
      <pageMargins left="0" right="0" top="0" bottom="0" header="0" footer="0"/>
      <printOptions horizontalCentered="1"/>
      <pageSetup paperSize="9" scale="37" orientation="portrait" blackAndWhite="1" r:id="rId8"/>
      <headerFooter alignWithMargins="0">
        <oddFooter>&amp;R&amp;D &amp;T</oddFooter>
      </headerFooter>
      <autoFilter ref="AF4:AG236">
        <filterColumn colId="0">
          <customFilters>
            <customFilter operator="notEqual" val=" "/>
          </customFilters>
        </filterColumn>
      </autoFilter>
    </customSheetView>
    <customSheetView guid="{D56D14CC-1901-479F-B779-31FEC2383487}" scale="70" showGridLines="0" outlineSymbols="0" zeroValues="0" fitToPage="1" printArea="1" filter="1" showAutoFilter="1" hiddenColumns="1" view="pageBreakPreview">
      <pane xSplit="7" ySplit="4" topLeftCell="H5" activePane="bottomRight" state="frozen"/>
      <selection pane="bottomRight" activeCell="Y237" sqref="Y237"/>
      <pageMargins left="0" right="0" top="0" bottom="0" header="0" footer="0"/>
      <printOptions horizontalCentered="1"/>
      <pageSetup paperSize="9" scale="37" orientation="portrait" blackAndWhite="1" r:id="rId9"/>
      <headerFooter alignWithMargins="0">
        <oddFooter>&amp;R&amp;D &amp;T</oddFooter>
      </headerFooter>
      <autoFilter ref="AF4:AG236">
        <filterColumn colId="0">
          <customFilters>
            <customFilter operator="notEqual" val=" "/>
          </customFilters>
        </filterColumn>
      </autoFilter>
    </customSheetView>
    <customSheetView guid="{F2AA7D74-DB02-43AC-850B-A44D18BDB1CB}" scale="70" showGridLines="0" outlineSymbols="0" zeroValues="0" fitToPage="1" printArea="1" filter="1" showAutoFilter="1" hiddenColumns="1" view="pageBreakPreview">
      <pane xSplit="7" ySplit="4" topLeftCell="H72" activePane="bottomRight" state="frozen"/>
      <selection pane="bottomRight" activeCell="T120" sqref="T120"/>
      <pageMargins left="0" right="0" top="0" bottom="0" header="0" footer="0"/>
      <printOptions horizontalCentered="1"/>
      <pageSetup paperSize="9" scale="37" orientation="portrait" blackAndWhite="1" r:id="rId10"/>
      <headerFooter alignWithMargins="0">
        <oddFooter>&amp;R&amp;D &amp;T</oddFooter>
      </headerFooter>
      <autoFilter ref="AF4:AG231">
        <filterColumn colId="0">
          <customFilters>
            <customFilter operator="notEqual" val=" "/>
          </customFilters>
        </filterColumn>
      </autoFilter>
    </customSheetView>
    <customSheetView guid="{8B7A0CA2-9BA6-4CC3-AA36-677EA0765FE7}" scale="70" showGridLines="0" outlineSymbols="0" zeroValues="0" fitToPage="1" printArea="1" showAutoFilter="1" hiddenColumns="1" view="pageBreakPreview">
      <pane xSplit="7" ySplit="4" topLeftCell="H116" activePane="bottomRight" state="frozen"/>
      <selection pane="bottomRight" activeCell="H7" sqref="H7"/>
      <pageMargins left="0" right="0" top="0" bottom="0" header="0" footer="0"/>
      <printOptions horizontalCentered="1"/>
      <pageSetup paperSize="9" scale="13" orientation="portrait" blackAndWhite="1" r:id="rId11"/>
      <headerFooter alignWithMargins="0">
        <oddFooter>&amp;R&amp;D &amp;T</oddFooter>
      </headerFooter>
      <autoFilter ref="AF4:AG231"/>
    </customSheetView>
    <customSheetView guid="{465CD905-854A-4F4A-908D-83ABAB5FB252}" scale="70" showGridLines="0" outlineSymbols="0" zeroValues="0" fitToPage="1" printArea="1" filter="1" showAutoFilter="1" hiddenColumns="1" view="pageBreakPreview">
      <pane xSplit="7" ySplit="4" topLeftCell="H72" activePane="bottomRight" state="frozen"/>
      <selection pane="bottomRight" activeCell="P118" sqref="P118"/>
      <pageMargins left="0" right="0" top="0" bottom="0" header="0" footer="0"/>
      <printOptions horizontalCentered="1"/>
      <pageSetup paperSize="9" scale="38" orientation="portrait" blackAndWhite="1" r:id="rId12"/>
      <headerFooter alignWithMargins="0">
        <oddFooter>&amp;R&amp;D &amp;T</oddFooter>
      </headerFooter>
      <autoFilter ref="AF4:AG231">
        <filterColumn colId="0">
          <customFilters>
            <customFilter operator="notEqual" val=" "/>
          </customFilters>
        </filterColumn>
      </autoFilter>
    </customSheetView>
    <customSheetView guid="{3B8D84A7-3495-4488-8D42-6EFF30C18699}" scale="70" showGridLines="0" outlineSymbols="0" zeroValues="0" fitToPage="1" printArea="1" filter="1" showAutoFilter="1" hiddenColumns="1" view="pageBreakPreview">
      <pane xSplit="7" ySplit="4" topLeftCell="H72" activePane="bottomRight" state="frozen"/>
      <selection pane="bottomRight" activeCell="P118" sqref="P118"/>
      <pageMargins left="0" right="0" top="0" bottom="0" header="0" footer="0"/>
      <printOptions horizontalCentered="1"/>
      <pageSetup paperSize="9" scale="38" orientation="portrait" blackAndWhite="1" r:id="rId13"/>
      <headerFooter alignWithMargins="0">
        <oddFooter>&amp;R&amp;D &amp;T</oddFooter>
      </headerFooter>
      <autoFilter ref="AF4:AG231">
        <filterColumn colId="0">
          <customFilters>
            <customFilter operator="notEqual" val=" "/>
          </customFilters>
        </filterColumn>
      </autoFilter>
    </customSheetView>
    <customSheetView guid="{6A49BCC3-CB5F-40F7-835F-8F4EBC3E8643}" scale="70" showGridLines="0" outlineSymbols="0" zeroValues="0" fitToPage="1" printArea="1" showAutoFilter="1" hiddenColumns="1" view="pageBreakPreview">
      <pane xSplit="7" ySplit="4" topLeftCell="H5" activePane="bottomRight" state="frozen"/>
      <selection pane="bottomRight" activeCell="G3" sqref="G3:G4"/>
      <pageMargins left="0" right="0" top="0" bottom="0" header="0" footer="0"/>
      <printOptions horizontalCentered="1"/>
      <pageSetup paperSize="9" scale="13" orientation="portrait" blackAndWhite="1" r:id="rId14"/>
      <headerFooter alignWithMargins="0">
        <oddFooter>&amp;R&amp;D &amp;T</oddFooter>
      </headerFooter>
      <autoFilter ref="AF4:AG231"/>
    </customSheetView>
    <customSheetView guid="{173F84CF-9EE5-4693-9F18-A0544E920AC9}" scale="70" showGridLines="0" outlineSymbols="0" zeroValues="0" fitToPage="1" printArea="1" filter="1" showAutoFilter="1" hiddenColumns="1" view="pageBreakPreview">
      <pane xSplit="7" ySplit="4" topLeftCell="I5" activePane="bottomRight" state="frozen"/>
      <selection pane="bottomRight" activeCell="V16" sqref="V16"/>
      <pageMargins left="0" right="0" top="0" bottom="0" header="0" footer="0"/>
      <printOptions horizontalCentered="1"/>
      <pageSetup paperSize="9" scale="37" orientation="portrait" blackAndWhite="1" r:id="rId15"/>
      <headerFooter alignWithMargins="0">
        <oddFooter>&amp;R&amp;D &amp;T</oddFooter>
      </headerFooter>
      <autoFilter ref="AF4:AG236">
        <filterColumn colId="0">
          <customFilters>
            <customFilter operator="notEqual" val=" "/>
          </customFilters>
        </filterColumn>
      </autoFilter>
    </customSheetView>
    <customSheetView guid="{99FB95A8-1218-4283-9800-5DBBB640B9CC}" scale="70" showGridLines="0" outlineSymbols="0" zeroValues="0" fitToPage="1" printArea="1" filter="1" showAutoFilter="1" hiddenColumns="1" view="pageBreakPreview">
      <pane xSplit="7" ySplit="4" topLeftCell="H43" activePane="bottomRight" state="frozen"/>
      <selection pane="bottomRight" activeCell="M78" sqref="M78"/>
      <pageMargins left="0" right="0" top="0" bottom="0" header="0" footer="0"/>
      <printOptions horizontalCentered="1"/>
      <pageSetup paperSize="9" scale="37" orientation="portrait" blackAndWhite="1" r:id="rId16"/>
      <headerFooter alignWithMargins="0">
        <oddFooter>&amp;R&amp;D &amp;T</oddFooter>
      </headerFooter>
      <autoFilter ref="AF4:AG236">
        <filterColumn colId="0">
          <customFilters>
            <customFilter operator="notEqual" val=" "/>
          </customFilters>
        </filterColumn>
      </autoFilter>
    </customSheetView>
    <customSheetView guid="{3ADFB3B6-162A-4CDB-AB24-348E8A99991A}" scale="70" showGridLines="0" outlineSymbols="0" zeroValues="0" fitToPage="1" printArea="1" filter="1" showAutoFilter="1" hiddenColumns="1" view="pageBreakPreview">
      <pane xSplit="7" ySplit="4" topLeftCell="H5" activePane="bottomRight" state="frozen"/>
      <selection pane="bottomRight" activeCell="W16" sqref="W16"/>
      <pageMargins left="0" right="0" top="0" bottom="0" header="0" footer="0"/>
      <printOptions horizontalCentered="1"/>
      <pageSetup paperSize="9" scale="37" orientation="portrait" blackAndWhite="1" r:id="rId17"/>
      <headerFooter alignWithMargins="0">
        <oddFooter>&amp;R&amp;D &amp;T</oddFooter>
      </headerFooter>
      <autoFilter ref="AF4:AG236">
        <filterColumn colId="0">
          <customFilters>
            <customFilter operator="notEqual" val=" "/>
          </customFilters>
        </filterColumn>
      </autoFilter>
    </customSheetView>
    <customSheetView guid="{4B6E1B38-E439-406A-9E0D-5C2F40D928F2}" scale="70" showGridLines="0" outlineSymbols="0" zeroValues="0" fitToPage="1" printArea="1" filter="1" showAutoFilter="1" hiddenColumns="1" view="pageBreakPreview">
      <pane xSplit="7" ySplit="4" topLeftCell="I5" activePane="bottomRight" state="frozen"/>
      <selection pane="bottomRight" activeCell="V16" sqref="V16"/>
      <pageMargins left="0" right="0" top="0" bottom="0" header="0" footer="0"/>
      <printOptions horizontalCentered="1"/>
      <pageSetup paperSize="9" scale="37" orientation="portrait" blackAndWhite="1" r:id="rId18"/>
      <headerFooter alignWithMargins="0">
        <oddFooter>&amp;R&amp;D &amp;T</oddFooter>
      </headerFooter>
      <autoFilter ref="AF4:AG236">
        <filterColumn colId="0">
          <customFilters>
            <customFilter operator="notEqual" val=" "/>
          </customFilters>
        </filterColumn>
      </autoFilter>
    </customSheetView>
    <customSheetView guid="{F93DD6E0-2AD2-4C47-B879-ABE0581F49BB}" scale="70" showGridLines="0" outlineSymbols="0" zeroValues="0" fitToPage="1" printArea="1" filter="1" showAutoFilter="1" hiddenColumns="1" view="pageBreakPreview">
      <pane xSplit="5" ySplit="4" topLeftCell="G5" activePane="bottomRight" state="frozen"/>
      <selection pane="bottomRight" activeCell="J5" sqref="J5"/>
      <pageMargins left="0" right="0" top="0" bottom="0" header="0" footer="0"/>
      <printOptions horizontalCentered="1"/>
      <pageSetup paperSize="9" scale="37" orientation="portrait" blackAndWhite="1" r:id="rId19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  <customSheetView guid="{77B14F7C-DBD2-4BE8-8492-093BF9A7E4E6}" scale="70" showGridLines="0" outlineSymbols="0" zeroValues="0" fitToPage="1" printArea="1" filter="1" showAutoFilter="1" hiddenColumns="1" view="pageBreakPreview">
      <pane xSplit="7" ySplit="4" topLeftCell="H5" activePane="bottomRight" state="frozen"/>
      <selection pane="bottomRight" activeCell="C15" sqref="C15"/>
      <pageMargins left="0" right="0" top="0" bottom="0" header="0" footer="0"/>
      <printOptions horizontalCentered="1"/>
      <pageSetup paperSize="9" scale="37" orientation="portrait" blackAndWhite="1" r:id="rId20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  <customSheetView guid="{BEF1F9A1-9BE8-4B92-B921-6FE20F0F8630}" scale="70" showGridLines="0" outlineSymbols="0" zeroValues="0" fitToPage="1" printArea="1" showAutoFilter="1" hiddenColumns="1" view="pageBreakPreview">
      <pane xSplit="7" ySplit="4" topLeftCell="H149" activePane="bottomRight" state="frozen"/>
      <selection pane="bottomRight" activeCell="H7" sqref="H7"/>
      <pageMargins left="0" right="0" top="0" bottom="0" header="0" footer="0"/>
      <printOptions horizontalCentered="1"/>
      <pageSetup paperSize="9" scale="12" orientation="portrait" blackAndWhite="1" r:id="rId21"/>
      <headerFooter alignWithMargins="0">
        <oddFooter>&amp;R&amp;D &amp;T</oddFooter>
      </headerFooter>
      <autoFilter ref="AF4:AG237"/>
    </customSheetView>
    <customSheetView guid="{13B17853-2F7C-4003-B2CE-F9B420C9ECC4}" scale="70" showGridLines="0" outlineSymbols="0" zeroValues="0" fitToPage="1" printArea="1" filter="1" showAutoFilter="1" hiddenColumns="1" view="pageBreakPreview">
      <pane xSplit="7" ySplit="4" topLeftCell="H9" activePane="bottomRight" state="frozen"/>
      <selection pane="bottomRight" activeCell="K28" sqref="K28"/>
      <pageMargins left="0" right="0" top="0" bottom="0" header="0" footer="0"/>
      <printOptions horizontalCentered="1"/>
      <pageSetup paperSize="9" scale="37" orientation="portrait" blackAndWhite="1" r:id="rId22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  <customSheetView guid="{03286019-F3C8-4017-B71E-61FCF78BA513}" scale="70" showGridLines="0" outlineSymbols="0" zeroValues="0" fitToPage="1" printArea="1" filter="1" showAutoFilter="1" hiddenColumns="1" view="pageBreakPreview">
      <pane xSplit="7" ySplit="4" topLeftCell="H102" activePane="bottomRight" state="frozen"/>
      <selection pane="bottomRight" activeCell="W239" sqref="W239"/>
      <pageMargins left="0" right="0" top="0" bottom="0" header="0" footer="0"/>
      <printOptions horizontalCentered="1"/>
      <pageSetup paperSize="9" scale="37" orientation="portrait" blackAndWhite="1" r:id="rId23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  <customSheetView guid="{A5947B2F-936B-413A-8E47-744AE1AC646A}" scale="70" showGridLines="0" outlineSymbols="0" zeroValues="0" fitToPage="1" printArea="1" filter="1" showAutoFilter="1" hiddenColumns="1" view="pageBreakPreview">
      <pane xSplit="5" ySplit="4" topLeftCell="G18" activePane="bottomRight" state="frozen"/>
      <selection pane="bottomRight" activeCell="J76" sqref="J76"/>
      <pageMargins left="0" right="0" top="0" bottom="0" header="0" footer="0"/>
      <printOptions horizontalCentered="1"/>
      <pageSetup paperSize="9" scale="37" orientation="portrait" blackAndWhite="1" r:id="rId24"/>
      <headerFooter alignWithMargins="0">
        <oddFooter>&amp;R&amp;D &amp;T</oddFooter>
      </headerFooter>
      <autoFilter ref="AF4:AG237">
        <filterColumn colId="0">
          <customFilters>
            <customFilter operator="notEqual" val=" "/>
          </customFilters>
        </filterColumn>
      </autoFilter>
    </customSheetView>
  </customSheetViews>
  <mergeCells count="29">
    <mergeCell ref="A1:AE1"/>
    <mergeCell ref="P119:S119"/>
    <mergeCell ref="T119:W119"/>
    <mergeCell ref="X119:AA119"/>
    <mergeCell ref="AB119:AE119"/>
    <mergeCell ref="A2:AE2"/>
    <mergeCell ref="A4:A5"/>
    <mergeCell ref="B4:B5"/>
    <mergeCell ref="C4:C5"/>
    <mergeCell ref="G4:G5"/>
    <mergeCell ref="H4:I4"/>
    <mergeCell ref="J4:K4"/>
    <mergeCell ref="L4:M4"/>
    <mergeCell ref="N4:O4"/>
    <mergeCell ref="P4:AA4"/>
    <mergeCell ref="AB4:AE4"/>
    <mergeCell ref="A119:A120"/>
    <mergeCell ref="B119:B120"/>
    <mergeCell ref="C119:C120"/>
    <mergeCell ref="G119:G120"/>
    <mergeCell ref="H119:O119"/>
    <mergeCell ref="P5:Q5"/>
    <mergeCell ref="S5:T5"/>
    <mergeCell ref="V5:W5"/>
    <mergeCell ref="Y5:Z5"/>
    <mergeCell ref="H120:I120"/>
    <mergeCell ref="J120:K120"/>
    <mergeCell ref="L120:M120"/>
    <mergeCell ref="N120:O120"/>
  </mergeCells>
  <phoneticPr fontId="3" type="noConversion"/>
  <conditionalFormatting sqref="AB121:AC233">
    <cfRule type="cellIs" dxfId="13" priority="2" operator="greaterThan">
      <formula>$C121</formula>
    </cfRule>
  </conditionalFormatting>
  <conditionalFormatting sqref="AB6:AE118">
    <cfRule type="cellIs" dxfId="12" priority="3" operator="lessThan">
      <formula>$AH6</formula>
    </cfRule>
    <cfRule type="cellIs" dxfId="11" priority="4" operator="greaterThan">
      <formula>$C6</formula>
    </cfRule>
  </conditionalFormatting>
  <conditionalFormatting sqref="AB121:AE233">
    <cfRule type="cellIs" dxfId="10" priority="1" operator="lessThan">
      <formula>$AH121</formula>
    </cfRule>
  </conditionalFormatting>
  <printOptions horizontalCentered="1"/>
  <pageMargins left="0.19685039370078741" right="0.19685039370078741" top="0.19685039370078741" bottom="0.27559055118110237" header="0.19685039370078741" footer="0.19685039370078741"/>
  <pageSetup paperSize="9" scale="37" orientation="portrait" r:id="rId25"/>
  <headerFooter alignWithMargins="0">
    <oddFooter>&amp;R&amp;D &amp;T</oddFooter>
  </headerFooter>
  <legacyDrawing r:id="rId2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'W:\產銷會議\歷年產銷壓縮檔\2024年度\2024.01\[20240108 產銷計畫.xlsx]生產線別參照'!#REF!</xm:f>
          </x14:formula1>
          <xm:sqref>S45:S62 V45:V62 Y45:Y62 P45:P62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89FFFF"/>
    <pageSetUpPr autoPageBreaks="0" fitToPage="1"/>
  </sheetPr>
  <dimension ref="A1:AP113"/>
  <sheetViews>
    <sheetView showGridLines="0" showZeros="0" tabSelected="1" showOutlineSymbols="0" view="pageBreakPreview" zoomScale="60" zoomScaleNormal="70" zoomScalePageLayoutView="72" workbookViewId="0">
      <pane xSplit="6" ySplit="4" topLeftCell="G44" activePane="bottomRight" state="frozen"/>
      <selection pane="topRight" activeCell="Z135" sqref="Z135"/>
      <selection pane="bottomLeft" activeCell="Z135" sqref="Z135"/>
      <selection pane="bottomRight" activeCell="Q111" sqref="Q111"/>
    </sheetView>
  </sheetViews>
  <sheetFormatPr defaultColWidth="9" defaultRowHeight="23.1" customHeight="1" x14ac:dyDescent="0.3"/>
  <cols>
    <col min="1" max="1" width="24.5" style="12" customWidth="1"/>
    <col min="2" max="2" width="45.875" style="1" hidden="1" customWidth="1"/>
    <col min="3" max="3" width="9" style="12" customWidth="1"/>
    <col min="4" max="5" width="10.5" style="12" hidden="1" customWidth="1"/>
    <col min="6" max="6" width="16" style="12" hidden="1" customWidth="1"/>
    <col min="7" max="7" width="9" style="12" customWidth="1"/>
    <col min="8" max="16" width="9" style="1" customWidth="1"/>
    <col min="17" max="17" width="12" style="1" customWidth="1"/>
    <col min="18" max="19" width="9" style="1" customWidth="1"/>
    <col min="20" max="20" width="13.125" style="1" bestFit="1" customWidth="1"/>
    <col min="21" max="21" width="9" style="1" customWidth="1"/>
    <col min="22" max="22" width="8.25" style="1" customWidth="1"/>
    <col min="23" max="23" width="13.125" style="1" bestFit="1" customWidth="1"/>
    <col min="24" max="25" width="9" style="1" customWidth="1"/>
    <col min="26" max="26" width="14.75" style="1" customWidth="1"/>
    <col min="27" max="31" width="9" style="1" customWidth="1"/>
    <col min="32" max="32" width="6.875" style="121" bestFit="1" customWidth="1"/>
    <col min="33" max="33" width="6.5" style="1" bestFit="1" customWidth="1"/>
    <col min="34" max="34" width="9.125" style="61" bestFit="1" customWidth="1"/>
    <col min="35" max="35" width="3.125" style="1"/>
    <col min="36" max="36" width="3.125" style="2"/>
    <col min="37" max="37" width="4.5" style="492" bestFit="1" customWidth="1"/>
    <col min="38" max="38" width="9" style="175"/>
    <col min="39" max="16384" width="9" style="1"/>
  </cols>
  <sheetData>
    <row r="1" spans="1:42" ht="23.1" customHeight="1" x14ac:dyDescent="0.25">
      <c r="A1" s="1016" t="s">
        <v>11</v>
      </c>
      <c r="B1" s="1041"/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1041"/>
      <c r="N1" s="1041"/>
      <c r="O1" s="1041"/>
      <c r="P1" s="1041"/>
      <c r="Q1" s="1041"/>
      <c r="R1" s="1041"/>
      <c r="S1" s="1041"/>
      <c r="T1" s="1042"/>
      <c r="U1" s="1042"/>
      <c r="V1" s="1041"/>
      <c r="W1" s="1041"/>
      <c r="X1" s="1041"/>
      <c r="Y1" s="1041"/>
      <c r="Z1" s="1041"/>
      <c r="AA1" s="1041"/>
      <c r="AB1" s="1041"/>
      <c r="AC1" s="1041"/>
      <c r="AD1" s="1041"/>
      <c r="AE1" s="1041"/>
      <c r="AF1" s="120"/>
      <c r="AH1" s="167"/>
    </row>
    <row r="2" spans="1:42" ht="23.1" customHeight="1" thickBot="1" x14ac:dyDescent="0.3">
      <c r="A2" s="109" t="s">
        <v>2</v>
      </c>
      <c r="B2" s="3"/>
      <c r="C2" s="17"/>
      <c r="D2" s="17"/>
      <c r="E2" s="17"/>
      <c r="F2" s="17"/>
      <c r="G2" s="1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T2" s="5"/>
      <c r="U2" s="5"/>
      <c r="AB2" s="6"/>
      <c r="AC2" s="5"/>
      <c r="AD2" s="19"/>
      <c r="AE2" s="19" t="str">
        <f>+"日期："&amp;TEXT($G$3,"YYYY/MM/DD")</f>
        <v>日期：2026/08/24</v>
      </c>
    </row>
    <row r="3" spans="1:42" ht="23.1" customHeight="1" thickTop="1" thickBot="1" x14ac:dyDescent="0.3">
      <c r="A3" s="1004" t="s">
        <v>3</v>
      </c>
      <c r="B3" s="1006" t="s">
        <v>4</v>
      </c>
      <c r="C3" s="1044" t="s">
        <v>12</v>
      </c>
      <c r="D3" s="184" t="s">
        <v>13</v>
      </c>
      <c r="E3" s="185" t="s">
        <v>14</v>
      </c>
      <c r="F3" s="1047" t="s">
        <v>15</v>
      </c>
      <c r="G3" s="1010">
        <v>46258</v>
      </c>
      <c r="H3" s="1012" t="str">
        <f>TEXT(+G3,"MM/DD")&amp;"~"&amp;TEXT(DATE(YEAR(G3),MONTH(G3)+1,1)-1,"MM/DD")</f>
        <v>08/24~08/31</v>
      </c>
      <c r="I3" s="1013"/>
      <c r="J3" s="1028">
        <f>+EOMONTH(G3,1)</f>
        <v>46295</v>
      </c>
      <c r="K3" s="1029"/>
      <c r="L3" s="1028">
        <f>+EOMONTH(J3,1)</f>
        <v>46326</v>
      </c>
      <c r="M3" s="1029"/>
      <c r="N3" s="1030">
        <f>+EOMONTH(L3,1)</f>
        <v>46356</v>
      </c>
      <c r="O3" s="1029"/>
      <c r="P3" s="1031" t="s">
        <v>16</v>
      </c>
      <c r="Q3" s="1032"/>
      <c r="R3" s="1032"/>
      <c r="S3" s="1032"/>
      <c r="T3" s="1032"/>
      <c r="U3" s="1032"/>
      <c r="V3" s="1032"/>
      <c r="W3" s="1032"/>
      <c r="X3" s="1032"/>
      <c r="Y3" s="1032"/>
      <c r="Z3" s="1032"/>
      <c r="AA3" s="1033"/>
      <c r="AB3" s="1017" t="s">
        <v>17</v>
      </c>
      <c r="AC3" s="1018"/>
      <c r="AD3" s="1018"/>
      <c r="AE3" s="1023"/>
      <c r="AG3" s="15" t="s">
        <v>18</v>
      </c>
      <c r="AH3" s="129"/>
      <c r="AI3" s="7"/>
    </row>
    <row r="4" spans="1:42" ht="23.1" customHeight="1" thickBot="1" x14ac:dyDescent="0.3">
      <c r="A4" s="1043"/>
      <c r="B4" s="1007"/>
      <c r="C4" s="1045"/>
      <c r="D4" s="186" t="s">
        <v>17</v>
      </c>
      <c r="E4" s="187" t="s">
        <v>17</v>
      </c>
      <c r="F4" s="1048"/>
      <c r="G4" s="1046"/>
      <c r="H4" s="308" t="s">
        <v>19</v>
      </c>
      <c r="I4" s="302" t="s">
        <v>20</v>
      </c>
      <c r="J4" s="308" t="s">
        <v>19</v>
      </c>
      <c r="K4" s="309" t="s">
        <v>20</v>
      </c>
      <c r="L4" s="308" t="s">
        <v>19</v>
      </c>
      <c r="M4" s="309" t="s">
        <v>20</v>
      </c>
      <c r="N4" s="310" t="s">
        <v>19</v>
      </c>
      <c r="O4" s="311" t="s">
        <v>20</v>
      </c>
      <c r="P4" s="1065" t="str">
        <f>+IF(P3=0,0,+TEXT(LEFT($H$3,5),"DD")&amp;"~"&amp;TEXT(RIGHT($H$3,5),"D"))</f>
        <v>24~31</v>
      </c>
      <c r="Q4" s="1066"/>
      <c r="R4" s="312" t="s">
        <v>21</v>
      </c>
      <c r="S4" s="1039" t="str">
        <f>MONTH(J3)&amp;"月"</f>
        <v>9月</v>
      </c>
      <c r="T4" s="1040"/>
      <c r="U4" s="313" t="s">
        <v>21</v>
      </c>
      <c r="V4" s="1039" t="str">
        <f>+MONTH(L3)&amp;"月"</f>
        <v>10月</v>
      </c>
      <c r="W4" s="1040"/>
      <c r="X4" s="312" t="s">
        <v>21</v>
      </c>
      <c r="Y4" s="1039" t="str">
        <f>+MONTH(N3)&amp;"月"</f>
        <v>11月</v>
      </c>
      <c r="Z4" s="1039"/>
      <c r="AA4" s="314" t="s">
        <v>21</v>
      </c>
      <c r="AB4" s="315" t="str">
        <f>+TEXT(RIGHT(H3,5),"M/DD")</f>
        <v>8/31</v>
      </c>
      <c r="AC4" s="316">
        <f>$J$3</f>
        <v>46295</v>
      </c>
      <c r="AD4" s="317">
        <f>$L$3</f>
        <v>46326</v>
      </c>
      <c r="AE4" s="318">
        <f>$N$3</f>
        <v>46356</v>
      </c>
      <c r="AG4" s="9" t="s">
        <v>22</v>
      </c>
      <c r="AH4" s="653" t="s">
        <v>23</v>
      </c>
    </row>
    <row r="5" spans="1:42" s="12" customFormat="1" ht="31.5" customHeight="1" x14ac:dyDescent="0.3">
      <c r="A5" s="157" t="s">
        <v>24</v>
      </c>
      <c r="B5" s="1036" t="s">
        <v>25</v>
      </c>
      <c r="C5" s="939">
        <f>385+50+16+4</f>
        <v>455</v>
      </c>
      <c r="D5" s="347">
        <f>36+17.5+9.5+37.341</f>
        <v>100.34100000000001</v>
      </c>
      <c r="E5" s="348"/>
      <c r="F5" s="348">
        <v>25</v>
      </c>
      <c r="G5" s="940">
        <f t="shared" ref="G5:G12" si="0">IF(+D5+E5-F5&lt;=0,0,+D5+E5-F5)</f>
        <v>75.341000000000008</v>
      </c>
      <c r="H5" s="941"/>
      <c r="I5" s="942"/>
      <c r="J5" s="941"/>
      <c r="K5" s="943"/>
      <c r="L5" s="941"/>
      <c r="M5" s="943"/>
      <c r="N5" s="941"/>
      <c r="O5" s="943"/>
      <c r="P5" s="944">
        <f>+IF(R5&lt;&gt;0,"S01",0)</f>
        <v>0</v>
      </c>
      <c r="Q5" s="945"/>
      <c r="R5" s="946"/>
      <c r="S5" s="944">
        <f>+IF(U5&lt;&gt;0,"S01",0)</f>
        <v>0</v>
      </c>
      <c r="T5" s="945"/>
      <c r="U5" s="946"/>
      <c r="V5" s="944">
        <f>+IF(X5&lt;&gt;0,"S01",0)</f>
        <v>0</v>
      </c>
      <c r="W5" s="945"/>
      <c r="X5" s="946"/>
      <c r="Y5" s="944">
        <f>+IF(AA5&lt;&gt;0,"S01",0)</f>
        <v>0</v>
      </c>
      <c r="Z5" s="945"/>
      <c r="AA5" s="947"/>
      <c r="AB5" s="948">
        <f>+G5</f>
        <v>75.341000000000008</v>
      </c>
      <c r="AC5" s="949">
        <f>AB5-SUM(J5:K5)+SUM(U5)</f>
        <v>75.341000000000008</v>
      </c>
      <c r="AD5" s="949">
        <f>AC5-SUM(L5:M5)+SUM(X5)</f>
        <v>75.341000000000008</v>
      </c>
      <c r="AE5" s="950">
        <f>AD5-SUM(N5:O5)+SUM(AA5:AA5)</f>
        <v>75.341000000000008</v>
      </c>
      <c r="AF5" s="670">
        <f>+IF(SUM(G2,H2:O2,Q5,S5,V5,Z5,+G5)&gt;0,1,0)</f>
        <v>1</v>
      </c>
      <c r="AG5" s="352"/>
      <c r="AH5" s="654">
        <v>150</v>
      </c>
      <c r="AJ5" s="353"/>
      <c r="AK5" s="16">
        <f>+IF(SUM(G5,H5:O5,R5,U5,X5,AA5,AB5:AE5)&lt;&gt;0,1,0)</f>
        <v>1</v>
      </c>
      <c r="AM5" s="352"/>
      <c r="AN5" s="465"/>
      <c r="AO5" s="465"/>
      <c r="AP5" s="352"/>
    </row>
    <row r="6" spans="1:42" s="12" customFormat="1" ht="17.25" hidden="1" x14ac:dyDescent="0.3">
      <c r="A6" s="925"/>
      <c r="B6" s="1037"/>
      <c r="C6" s="354"/>
      <c r="D6" s="347"/>
      <c r="E6" s="348"/>
      <c r="F6" s="348"/>
      <c r="G6" s="671">
        <f t="shared" si="0"/>
        <v>0</v>
      </c>
      <c r="H6" s="375"/>
      <c r="I6" s="376"/>
      <c r="J6" s="375"/>
      <c r="K6" s="376"/>
      <c r="L6" s="375"/>
      <c r="M6" s="376"/>
      <c r="N6" s="375"/>
      <c r="O6" s="376"/>
      <c r="P6" s="672">
        <f>+IF(R6&lt;&gt;0,"S03",0)</f>
        <v>0</v>
      </c>
      <c r="Q6" s="673"/>
      <c r="R6" s="487"/>
      <c r="S6" s="674">
        <f>+IF(U6&lt;&gt;0,"S02",0)</f>
        <v>0</v>
      </c>
      <c r="T6" s="675"/>
      <c r="U6" s="487"/>
      <c r="V6" s="674"/>
      <c r="W6" s="675"/>
      <c r="X6" s="487"/>
      <c r="Y6" s="674">
        <f>+IF(AA6&lt;&gt;0,"S02",0)</f>
        <v>0</v>
      </c>
      <c r="Z6" s="675"/>
      <c r="AA6" s="487"/>
      <c r="AB6" s="355"/>
      <c r="AC6" s="356"/>
      <c r="AD6" s="356"/>
      <c r="AE6" s="357"/>
      <c r="AF6" s="670">
        <f>+IF(SUM(G6,H6:O6,Q6,S6,V6,Z6)&gt;0,1,0)</f>
        <v>0</v>
      </c>
      <c r="AG6" s="352"/>
      <c r="AH6" s="654"/>
      <c r="AJ6" s="353"/>
      <c r="AK6" s="16">
        <f>+IF(SUM(G6,H6:O6,R6,U6,X6,AA6,AB6:AE6)&lt;&gt;0,1,0)</f>
        <v>0</v>
      </c>
    </row>
    <row r="7" spans="1:42" s="12" customFormat="1" ht="17.25" hidden="1" x14ac:dyDescent="0.3">
      <c r="A7" s="164" t="s">
        <v>24</v>
      </c>
      <c r="B7" s="1037"/>
      <c r="C7" s="354"/>
      <c r="D7" s="347"/>
      <c r="E7" s="348"/>
      <c r="F7" s="348"/>
      <c r="G7" s="671">
        <f t="shared" si="0"/>
        <v>0</v>
      </c>
      <c r="H7" s="375"/>
      <c r="I7" s="376"/>
      <c r="J7" s="375"/>
      <c r="K7" s="376"/>
      <c r="L7"/>
      <c r="M7" s="376"/>
      <c r="N7" s="375"/>
      <c r="O7" s="376"/>
      <c r="P7" s="672">
        <f>+IF(R7&lt;&gt;0,"S03",0)</f>
        <v>0</v>
      </c>
      <c r="Q7" s="676"/>
      <c r="R7" s="487"/>
      <c r="S7" s="674"/>
      <c r="T7" s="676"/>
      <c r="U7" s="487"/>
      <c r="V7" s="674"/>
      <c r="W7" s="676"/>
      <c r="X7" s="487"/>
      <c r="Y7" s="674"/>
      <c r="Z7" s="676"/>
      <c r="AA7" s="487"/>
      <c r="AB7" s="358"/>
      <c r="AC7" s="359"/>
      <c r="AD7" s="359"/>
      <c r="AE7" s="360"/>
      <c r="AF7" s="670">
        <f>+IF(SUM(G7,H7:O7,Q7,S7,V7,Z7)&gt;0,1,0)</f>
        <v>0</v>
      </c>
      <c r="AG7" s="352"/>
      <c r="AH7" s="655"/>
      <c r="AJ7" s="353"/>
      <c r="AK7" s="16">
        <f>+IF(SUM(G7,H7:O7,R7,U7,X7,AA7,AB7:AE7)&lt;&gt;0,1,0)</f>
        <v>0</v>
      </c>
    </row>
    <row r="8" spans="1:42" s="12" customFormat="1" ht="31.5" customHeight="1" x14ac:dyDescent="0.3">
      <c r="A8" s="101" t="s">
        <v>26</v>
      </c>
      <c r="B8" s="1037"/>
      <c r="C8" s="951"/>
      <c r="D8" s="362"/>
      <c r="E8" s="363"/>
      <c r="F8" s="363"/>
      <c r="G8" s="671">
        <f t="shared" si="0"/>
        <v>0</v>
      </c>
      <c r="H8" s="375"/>
      <c r="I8" s="376">
        <v>0</v>
      </c>
      <c r="J8" s="375"/>
      <c r="K8" s="376">
        <v>10</v>
      </c>
      <c r="L8" s="375"/>
      <c r="M8" s="376">
        <v>30</v>
      </c>
      <c r="N8" s="375"/>
      <c r="O8" s="376">
        <v>30</v>
      </c>
      <c r="P8" s="672" t="str">
        <f>+IF(R8&lt;&gt;0,"S05",0)</f>
        <v>S05</v>
      </c>
      <c r="Q8" s="677" t="s">
        <v>27</v>
      </c>
      <c r="R8" s="487">
        <f>20*5</f>
        <v>100</v>
      </c>
      <c r="S8" s="674" t="s">
        <v>28</v>
      </c>
      <c r="T8" s="677" t="s">
        <v>29</v>
      </c>
      <c r="U8" s="487">
        <f>20*25</f>
        <v>500</v>
      </c>
      <c r="V8" s="674" t="s">
        <v>28</v>
      </c>
      <c r="W8" s="677" t="s">
        <v>30</v>
      </c>
      <c r="X8" s="487">
        <f>20*25</f>
        <v>500</v>
      </c>
      <c r="Y8" s="952" t="s">
        <v>28</v>
      </c>
      <c r="Z8" s="677" t="s">
        <v>30</v>
      </c>
      <c r="AA8" s="487">
        <f>20*25</f>
        <v>500</v>
      </c>
      <c r="AB8" s="364"/>
      <c r="AC8" s="365"/>
      <c r="AD8" s="365"/>
      <c r="AE8" s="366"/>
      <c r="AF8" s="670">
        <f>+IF(SUM(G5,H5:O5,Q8,S8,V8,Z8)&gt;0,1,0)</f>
        <v>1</v>
      </c>
      <c r="AG8" s="352"/>
      <c r="AH8" s="654"/>
      <c r="AJ8" s="353"/>
      <c r="AK8" s="16">
        <f>+IF(SUM(G8,H8:O8,R8,U8,X8,AA8,AB8:AE8)&lt;&gt;0,1,0)+1</f>
        <v>2</v>
      </c>
    </row>
    <row r="9" spans="1:42" s="12" customFormat="1" ht="31.5" customHeight="1" x14ac:dyDescent="0.3">
      <c r="A9" s="97" t="s">
        <v>31</v>
      </c>
      <c r="B9" s="1038"/>
      <c r="C9" s="361"/>
      <c r="D9" s="362">
        <f>27.8+36.5+36+0.9</f>
        <v>101.2</v>
      </c>
      <c r="E9" s="363"/>
      <c r="F9" s="363"/>
      <c r="G9" s="377">
        <f t="shared" si="0"/>
        <v>101.2</v>
      </c>
      <c r="H9" s="378">
        <v>266</v>
      </c>
      <c r="I9" s="379">
        <v>5</v>
      </c>
      <c r="J9" s="378">
        <f>900+100</f>
        <v>1000</v>
      </c>
      <c r="K9" s="379">
        <v>40</v>
      </c>
      <c r="L9" s="378">
        <f>900+200</f>
        <v>1100</v>
      </c>
      <c r="M9" s="379">
        <v>30</v>
      </c>
      <c r="N9" s="378">
        <f>900+200</f>
        <v>1100</v>
      </c>
      <c r="O9" s="379">
        <v>30</v>
      </c>
      <c r="P9" s="678" t="s">
        <v>32</v>
      </c>
      <c r="Q9" s="680" t="s">
        <v>33</v>
      </c>
      <c r="R9" s="380">
        <f>30*7</f>
        <v>210</v>
      </c>
      <c r="S9" s="679" t="s">
        <v>34</v>
      </c>
      <c r="T9" s="680" t="s">
        <v>29</v>
      </c>
      <c r="U9" s="380">
        <f>30*30</f>
        <v>900</v>
      </c>
      <c r="V9" s="679" t="s">
        <v>34</v>
      </c>
      <c r="W9" s="680" t="s">
        <v>35</v>
      </c>
      <c r="X9" s="380">
        <f>30*30</f>
        <v>900</v>
      </c>
      <c r="Y9" s="938" t="s">
        <v>34</v>
      </c>
      <c r="Z9" s="680" t="s">
        <v>35</v>
      </c>
      <c r="AA9" s="380">
        <f>30*30</f>
        <v>900</v>
      </c>
      <c r="AB9" s="935">
        <f>+G9-SUM(H6:I9)+SUM(R6:R9)</f>
        <v>140.19999999999999</v>
      </c>
      <c r="AC9" s="936">
        <f>+AB9-SUM(J6:K9)+SUM(U6:U9)</f>
        <v>490.20000000000005</v>
      </c>
      <c r="AD9" s="936">
        <f>+AC9-SUM(L6:M9)+SUM(X6:X9)</f>
        <v>730.2</v>
      </c>
      <c r="AE9" s="937">
        <f>+AD9-SUM(N6:O9)+SUM(AA6:AA9)</f>
        <v>970.2</v>
      </c>
      <c r="AF9" s="670">
        <f>+IF(SUM(G5,H5:O5,Q9,S9,V9,Z9)&gt;0,1,0)</f>
        <v>1</v>
      </c>
      <c r="AG9" s="352"/>
      <c r="AH9" s="654"/>
      <c r="AJ9" s="353"/>
      <c r="AK9" s="16">
        <f>+IF(SUM(G9,H9:O9,R9,U9,X9,AA9,AB9:AE9)&lt;&gt;0,1,0)+1</f>
        <v>2</v>
      </c>
    </row>
    <row r="10" spans="1:42" s="12" customFormat="1" ht="31.5" customHeight="1" x14ac:dyDescent="0.3">
      <c r="A10" s="97" t="s">
        <v>36</v>
      </c>
      <c r="B10" s="368" t="s">
        <v>37</v>
      </c>
      <c r="C10" s="391">
        <v>156</v>
      </c>
      <c r="D10" s="370">
        <f>45.9+45.6</f>
        <v>91.5</v>
      </c>
      <c r="E10" s="363"/>
      <c r="F10" s="363"/>
      <c r="G10" s="530">
        <f t="shared" si="0"/>
        <v>91.5</v>
      </c>
      <c r="H10" s="531">
        <v>140</v>
      </c>
      <c r="I10" s="575">
        <v>22</v>
      </c>
      <c r="J10" s="531">
        <v>600</v>
      </c>
      <c r="K10" s="532">
        <v>85</v>
      </c>
      <c r="L10" s="531">
        <v>600</v>
      </c>
      <c r="M10" s="532">
        <v>85</v>
      </c>
      <c r="N10" s="559">
        <v>600</v>
      </c>
      <c r="O10" s="532">
        <v>85</v>
      </c>
      <c r="P10" s="983" t="str">
        <f>+IF(R10&lt;&gt;0,"S03",0)</f>
        <v>S03</v>
      </c>
      <c r="Q10" s="961" t="s">
        <v>33</v>
      </c>
      <c r="R10" s="962">
        <v>240</v>
      </c>
      <c r="S10" s="958" t="s">
        <v>38</v>
      </c>
      <c r="T10" s="964" t="s">
        <v>29</v>
      </c>
      <c r="U10" s="962">
        <v>960</v>
      </c>
      <c r="V10" s="959" t="str">
        <f>+IF(X10&lt;&gt;0,"S03",0)</f>
        <v>S03</v>
      </c>
      <c r="W10" s="961" t="s">
        <v>35</v>
      </c>
      <c r="X10" s="962">
        <v>990</v>
      </c>
      <c r="Y10" s="959" t="str">
        <f>+IF(AA10&lt;&gt;0,"S03",0)</f>
        <v>S03</v>
      </c>
      <c r="Z10" s="961" t="s">
        <v>29</v>
      </c>
      <c r="AA10" s="962">
        <v>960</v>
      </c>
      <c r="AB10" s="355">
        <f>+G10-SUM(H10:I10)+SUM(R10)</f>
        <v>169.5</v>
      </c>
      <c r="AC10" s="356">
        <f>+AB10-SUM(J10:K10)+SUM(U10)</f>
        <v>444.5</v>
      </c>
      <c r="AD10" s="356">
        <f>+AC10-SUM(L10:M10)+SUM(X10)</f>
        <v>749.5</v>
      </c>
      <c r="AE10" s="357">
        <f>+AD10-SUM(N10:O10)+SUM(AA10)</f>
        <v>1024.5</v>
      </c>
      <c r="AF10" s="670">
        <f>+IF(SUM(G10,H10:O10,Q10,S10,V10,Z10)&gt;0,1,0)</f>
        <v>1</v>
      </c>
      <c r="AG10" s="352"/>
      <c r="AH10" s="655">
        <v>40</v>
      </c>
      <c r="AJ10" s="353"/>
      <c r="AK10" s="16">
        <f t="shared" ref="AK10:AK22" si="1">+IF(SUM(G10,H10:O10,R10,U10,X10,AA10,AB10:AE10)&lt;&gt;0,1,0)</f>
        <v>1</v>
      </c>
    </row>
    <row r="11" spans="1:42" s="12" customFormat="1" ht="38.25" customHeight="1" x14ac:dyDescent="0.3">
      <c r="A11" s="99" t="s">
        <v>39</v>
      </c>
      <c r="B11" s="1034" t="s">
        <v>40</v>
      </c>
      <c r="C11" s="382">
        <f>260+277</f>
        <v>537</v>
      </c>
      <c r="D11" s="392">
        <f>3+11.5+(36-29.6)</f>
        <v>20.9</v>
      </c>
      <c r="E11" s="367">
        <v>0</v>
      </c>
      <c r="F11" s="367">
        <v>14</v>
      </c>
      <c r="G11" s="530">
        <f t="shared" si="0"/>
        <v>6.8999999999999986</v>
      </c>
      <c r="H11" s="684">
        <v>5</v>
      </c>
      <c r="I11" s="685">
        <f>+SUMIF(秏料!$B$3:$B$133,$A11,秏料!$F$3:$F$133)</f>
        <v>52.436</v>
      </c>
      <c r="J11" s="684">
        <v>20</v>
      </c>
      <c r="K11" s="685">
        <f>+SUMIF(秏料!$B$3:$B$133,$A11,秏料!$H$3:$H$133)</f>
        <v>291.005</v>
      </c>
      <c r="L11" s="684">
        <v>20</v>
      </c>
      <c r="M11" s="685">
        <f>+SUMIF(秏料!$B$3:$B$133,$A11,秏料!$J$3:$J$133)</f>
        <v>291.005</v>
      </c>
      <c r="N11" s="684">
        <v>20</v>
      </c>
      <c r="O11" s="685">
        <f>+SUMIF(秏料!$B$3:$B$133,$A11,秏料!$L$3:$L$133)</f>
        <v>291.005</v>
      </c>
      <c r="P11" s="969" t="s">
        <v>41</v>
      </c>
      <c r="Q11" s="961" t="s">
        <v>33</v>
      </c>
      <c r="R11" s="962">
        <v>200</v>
      </c>
      <c r="S11" s="969" t="s">
        <v>41</v>
      </c>
      <c r="T11" s="964" t="s">
        <v>263</v>
      </c>
      <c r="U11" s="962">
        <f>140</f>
        <v>140</v>
      </c>
      <c r="V11" s="960"/>
      <c r="W11" s="961"/>
      <c r="X11" s="962"/>
      <c r="Y11" s="960"/>
      <c r="Z11" s="964" t="s">
        <v>42</v>
      </c>
      <c r="AA11" s="962">
        <v>675</v>
      </c>
      <c r="AB11" s="393">
        <f>+G11:G12-SUM(H11:I12)+SUM(R11:R12)</f>
        <v>149.464</v>
      </c>
      <c r="AC11" s="394">
        <f>+AB11-SUM(J11:K11)+SUM(U11:U12)</f>
        <v>748.45900000000006</v>
      </c>
      <c r="AD11" s="394">
        <f>+AC11-SUM(L11:M11)+SUM(X11:X12)</f>
        <v>437.45400000000006</v>
      </c>
      <c r="AE11" s="395">
        <f>+AD11-SUM(N11:O11)+SUM(AA11:AA12)</f>
        <v>801.44900000000007</v>
      </c>
      <c r="AF11" s="670">
        <f>+IF(SUM(G11,H11:O11,Q11,S11,V11,Z11)&gt;0,1,0)</f>
        <v>1</v>
      </c>
      <c r="AG11" s="352"/>
      <c r="AH11" s="654">
        <v>24.94</v>
      </c>
      <c r="AJ11" s="353"/>
      <c r="AK11" s="687">
        <f t="shared" si="1"/>
        <v>1</v>
      </c>
      <c r="AM11" s="352"/>
      <c r="AN11" s="465"/>
      <c r="AO11" s="465"/>
      <c r="AP11" s="352"/>
    </row>
    <row r="12" spans="1:42" s="12" customFormat="1" ht="33" customHeight="1" x14ac:dyDescent="0.3">
      <c r="A12" s="97" t="s">
        <v>43</v>
      </c>
      <c r="B12" s="1035"/>
      <c r="C12" s="361"/>
      <c r="D12" s="363"/>
      <c r="E12" s="363"/>
      <c r="F12" s="363"/>
      <c r="G12" s="377">
        <f t="shared" si="0"/>
        <v>0</v>
      </c>
      <c r="H12" s="378"/>
      <c r="I12" s="379"/>
      <c r="J12" s="378"/>
      <c r="K12" s="379"/>
      <c r="L12" s="378"/>
      <c r="M12" s="379"/>
      <c r="N12" s="378"/>
      <c r="O12" s="379"/>
      <c r="P12" s="688"/>
      <c r="Q12" s="680"/>
      <c r="R12" s="380"/>
      <c r="S12" s="679"/>
      <c r="T12" s="680" t="s">
        <v>264</v>
      </c>
      <c r="U12" s="380">
        <v>770</v>
      </c>
      <c r="V12" s="679"/>
      <c r="W12" s="891"/>
      <c r="X12" s="380"/>
      <c r="Y12" s="689"/>
      <c r="Z12" s="891"/>
      <c r="AA12" s="380"/>
      <c r="AB12" s="364"/>
      <c r="AC12" s="365"/>
      <c r="AD12" s="365"/>
      <c r="AE12" s="366"/>
      <c r="AF12" s="690">
        <v>1</v>
      </c>
      <c r="AG12" s="352"/>
      <c r="AH12" s="655"/>
      <c r="AJ12" s="353"/>
      <c r="AK12" s="16">
        <f t="shared" si="1"/>
        <v>1</v>
      </c>
    </row>
    <row r="13" spans="1:42" s="12" customFormat="1" ht="33" customHeight="1" x14ac:dyDescent="0.3">
      <c r="A13" s="97" t="s">
        <v>44</v>
      </c>
      <c r="B13" s="484" t="s">
        <v>258</v>
      </c>
      <c r="C13" s="391"/>
      <c r="D13" s="363">
        <f>29.6+26.26</f>
        <v>55.86</v>
      </c>
      <c r="E13" s="363"/>
      <c r="F13" s="363"/>
      <c r="G13" s="683">
        <f>IF(+E13-F13&lt;=0,0,+E13-F13)</f>
        <v>0</v>
      </c>
      <c r="H13" s="378"/>
      <c r="I13" s="379">
        <f>+SUMIF(秏料!$B$3:$B$133,$A13,秏料!$F$3:$F$133)</f>
        <v>0</v>
      </c>
      <c r="J13" s="378"/>
      <c r="K13" s="379">
        <f>+SUMIF(秏料!$B$3:$B$133,$A13,秏料!$H$3:$H$133)</f>
        <v>0</v>
      </c>
      <c r="L13" s="691"/>
      <c r="M13" s="379">
        <f>+SUMIF(秏料!$B$3:$B$133,$A13,秏料!$J$3:$J$133)</f>
        <v>0</v>
      </c>
      <c r="N13" s="691"/>
      <c r="O13" s="379">
        <f>+SUMIF(秏料!$B$3:$B$133,$A13,秏料!$L$3:$L$133)</f>
        <v>0</v>
      </c>
      <c r="P13" s="679"/>
      <c r="Q13" s="677"/>
      <c r="R13" s="380"/>
      <c r="S13" s="679">
        <f>+IF(U13&lt;&gt;0,"S01",0)</f>
        <v>0</v>
      </c>
      <c r="T13" s="677"/>
      <c r="U13" s="487"/>
      <c r="V13" s="679">
        <f>+IF(X13&lt;&gt;0,"S01",0)</f>
        <v>0</v>
      </c>
      <c r="W13" s="676"/>
      <c r="X13" s="487"/>
      <c r="Y13" s="692"/>
      <c r="Z13" s="676"/>
      <c r="AA13" s="487"/>
      <c r="AB13" s="396">
        <f>+G13+R13-SUM(H13:I13)</f>
        <v>0</v>
      </c>
      <c r="AC13" s="359">
        <f>+AB13+U13-SUM(J13:K13)</f>
        <v>0</v>
      </c>
      <c r="AD13" s="359">
        <f>+AC13-SUM(L13:M13)+SUM(X13)</f>
        <v>0</v>
      </c>
      <c r="AE13" s="360">
        <f>+AD13+AA13-SUM(N13:O13)</f>
        <v>0</v>
      </c>
      <c r="AF13" s="690">
        <v>1</v>
      </c>
      <c r="AG13" s="352"/>
      <c r="AH13" s="655"/>
      <c r="AJ13" s="353"/>
      <c r="AK13" s="687">
        <f t="shared" si="1"/>
        <v>0</v>
      </c>
    </row>
    <row r="14" spans="1:42" s="12" customFormat="1" ht="17.25" hidden="1" x14ac:dyDescent="0.3">
      <c r="A14" s="99" t="s">
        <v>45</v>
      </c>
      <c r="B14" s="368" t="s">
        <v>46</v>
      </c>
      <c r="C14" s="369">
        <v>72</v>
      </c>
      <c r="D14" s="370">
        <f>0</f>
        <v>0</v>
      </c>
      <c r="E14" s="371"/>
      <c r="F14" s="371">
        <v>0</v>
      </c>
      <c r="G14" s="693">
        <f t="shared" ref="G14:G29" si="2">IF(+D14+E14-F14&lt;=0,0,+D14+E14-F14)</f>
        <v>0</v>
      </c>
      <c r="H14" s="566"/>
      <c r="I14" s="572">
        <f>+SUMIF(秏料!$B$3:$B$133,$A14,秏料!$F$3:$F$133)</f>
        <v>0</v>
      </c>
      <c r="J14" s="566"/>
      <c r="K14" s="595"/>
      <c r="L14" s="567"/>
      <c r="M14" s="595"/>
      <c r="N14" s="567"/>
      <c r="O14" s="595"/>
      <c r="P14" s="694">
        <f>+IF(R14&lt;&gt;0,"S02",0)</f>
        <v>0</v>
      </c>
      <c r="Q14" s="686"/>
      <c r="R14" s="490"/>
      <c r="S14" s="694">
        <f>+IF(U14&lt;&gt;0,"S02",0)</f>
        <v>0</v>
      </c>
      <c r="T14" s="695"/>
      <c r="U14" s="489"/>
      <c r="V14" s="694">
        <f>+IF(X14&lt;&gt;0,"S02",0)</f>
        <v>0</v>
      </c>
      <c r="W14" s="696"/>
      <c r="X14" s="489"/>
      <c r="Y14" s="694">
        <f>+IF(AA14&lt;&gt;0,"S02",0)</f>
        <v>0</v>
      </c>
      <c r="Z14" s="696"/>
      <c r="AA14" s="489"/>
      <c r="AB14" s="349">
        <f>+G14-SUM(H14:I14)+SUM(R14)</f>
        <v>0</v>
      </c>
      <c r="AC14" s="350">
        <f>+AB14-SUM(J14:K14)+SUM(U14)</f>
        <v>0</v>
      </c>
      <c r="AD14" s="350">
        <f>+AC14-SUM(L14:M14)+SUM(X14)</f>
        <v>0</v>
      </c>
      <c r="AE14" s="351">
        <f>+AD14-SUM(N14:O14)+SUM(AA14)</f>
        <v>0</v>
      </c>
      <c r="AF14" s="670">
        <f t="shared" ref="AF14:AF28" si="3">+IF(SUM(G14,H14:O14,Q14,S14,V14,Z14)&gt;0,1,0)</f>
        <v>0</v>
      </c>
      <c r="AG14" s="352"/>
      <c r="AH14" s="654"/>
      <c r="AJ14" s="353"/>
      <c r="AK14" s="16">
        <f t="shared" si="1"/>
        <v>0</v>
      </c>
      <c r="AM14" s="352"/>
      <c r="AN14" s="465"/>
      <c r="AO14" s="465"/>
      <c r="AP14" s="352"/>
    </row>
    <row r="15" spans="1:42" s="12" customFormat="1" ht="17.25" hidden="1" x14ac:dyDescent="0.3">
      <c r="A15" s="99" t="s">
        <v>47</v>
      </c>
      <c r="B15" s="368" t="s">
        <v>48</v>
      </c>
      <c r="C15" s="369">
        <v>230</v>
      </c>
      <c r="D15" s="370">
        <f>0</f>
        <v>0</v>
      </c>
      <c r="E15" s="371"/>
      <c r="F15" s="371">
        <v>1</v>
      </c>
      <c r="G15" s="693">
        <f t="shared" si="2"/>
        <v>0</v>
      </c>
      <c r="H15" s="566">
        <v>0</v>
      </c>
      <c r="I15" s="572"/>
      <c r="J15" s="566">
        <v>0</v>
      </c>
      <c r="K15" s="595"/>
      <c r="L15" s="566"/>
      <c r="M15" s="595"/>
      <c r="N15" s="567"/>
      <c r="O15" s="595"/>
      <c r="P15" s="697"/>
      <c r="Q15" s="686"/>
      <c r="R15" s="490"/>
      <c r="S15" s="694"/>
      <c r="T15" s="686"/>
      <c r="U15" s="490"/>
      <c r="V15" s="694"/>
      <c r="W15" s="686"/>
      <c r="X15" s="490"/>
      <c r="Y15" s="694"/>
      <c r="Z15" s="686"/>
      <c r="AA15" s="490"/>
      <c r="AB15" s="349">
        <f>+G15-SUM(H15:I15)+SUM(R15)</f>
        <v>0</v>
      </c>
      <c r="AC15" s="350">
        <f>+AB15-SUM(J15:K15)+SUM(U15)</f>
        <v>0</v>
      </c>
      <c r="AD15" s="350">
        <f>+AC15-SUM(L15:M15)+SUM(X15)</f>
        <v>0</v>
      </c>
      <c r="AE15" s="351">
        <f>+AD15-SUM(N15:O15)+SUM(AA15)</f>
        <v>0</v>
      </c>
      <c r="AF15" s="670">
        <f t="shared" si="3"/>
        <v>0</v>
      </c>
      <c r="AG15" s="352"/>
      <c r="AH15" s="654"/>
      <c r="AJ15" s="353"/>
      <c r="AK15" s="16">
        <f t="shared" si="1"/>
        <v>0</v>
      </c>
      <c r="AM15" s="352"/>
      <c r="AN15" s="465"/>
      <c r="AO15" s="465"/>
      <c r="AP15" s="352"/>
    </row>
    <row r="16" spans="1:42" s="12" customFormat="1" ht="39" customHeight="1" x14ac:dyDescent="0.3">
      <c r="A16" s="99" t="s">
        <v>49</v>
      </c>
      <c r="B16" s="368" t="s">
        <v>50</v>
      </c>
      <c r="C16" s="369">
        <f>25+45+240+45</f>
        <v>355</v>
      </c>
      <c r="D16" s="919">
        <f>2+0+(20)</f>
        <v>22</v>
      </c>
      <c r="E16" s="371"/>
      <c r="F16" s="371">
        <v>21</v>
      </c>
      <c r="G16" s="693">
        <f t="shared" si="2"/>
        <v>1</v>
      </c>
      <c r="H16" s="566">
        <v>130</v>
      </c>
      <c r="I16" s="595">
        <f>+SUMIF(秏料!$B$3:$B$133,$A16,秏料!$F$3:$F$133)</f>
        <v>0</v>
      </c>
      <c r="J16" s="566">
        <v>300</v>
      </c>
      <c r="K16" s="685">
        <f>+SUMIF(秏料!$B$3:$B$133,$A16,秏料!$H$3:$H$133)</f>
        <v>0</v>
      </c>
      <c r="L16" s="567">
        <v>300</v>
      </c>
      <c r="M16" s="685">
        <f>+SUMIF(秏料!$B$3:$B$133,$A16,秏料!$J$3:$J$133)</f>
        <v>0</v>
      </c>
      <c r="N16" s="567">
        <v>300</v>
      </c>
      <c r="O16" s="685">
        <f>+SUMIF(秏料!$B$3:$B$133,$A16,秏料!$L$3:$L$133)</f>
        <v>0</v>
      </c>
      <c r="P16" s="958" t="str">
        <f>+IF(R16&lt;&gt;0,"S01",0)</f>
        <v>S01</v>
      </c>
      <c r="Q16" s="964" t="s">
        <v>51</v>
      </c>
      <c r="R16" s="965">
        <v>110</v>
      </c>
      <c r="S16" s="958" t="s">
        <v>41</v>
      </c>
      <c r="T16" s="966" t="s">
        <v>259</v>
      </c>
      <c r="U16" s="967">
        <v>300</v>
      </c>
      <c r="V16" s="963" t="s">
        <v>41</v>
      </c>
      <c r="W16" s="968" t="s">
        <v>53</v>
      </c>
      <c r="X16" s="967">
        <v>320</v>
      </c>
      <c r="Y16" s="963" t="str">
        <f>+IF(AA16&lt;&gt;0,"S02",0)</f>
        <v>S02</v>
      </c>
      <c r="Z16" s="968" t="s">
        <v>54</v>
      </c>
      <c r="AA16" s="967">
        <v>290</v>
      </c>
      <c r="AB16" s="393">
        <f>+G16-SUM(H16:I16)+SUM(R16)</f>
        <v>-19</v>
      </c>
      <c r="AC16" s="394">
        <f>+AB16-SUM(J16:K16)+SUM(U16)</f>
        <v>-19</v>
      </c>
      <c r="AD16" s="394">
        <f>+AC16-SUM(L16:M16)+SUM(X16)</f>
        <v>1</v>
      </c>
      <c r="AE16" s="395">
        <f>+AD16-SUM(N16:O16)+SUM(AA16)</f>
        <v>-9</v>
      </c>
      <c r="AF16" s="670">
        <f t="shared" si="3"/>
        <v>1</v>
      </c>
      <c r="AG16" s="352"/>
      <c r="AH16" s="654">
        <v>90</v>
      </c>
      <c r="AJ16" s="353"/>
      <c r="AK16" s="16">
        <f t="shared" si="1"/>
        <v>1</v>
      </c>
      <c r="AM16" s="352"/>
      <c r="AN16" s="465"/>
      <c r="AO16" s="465"/>
      <c r="AP16" s="352"/>
    </row>
    <row r="17" spans="1:42" s="12" customFormat="1" ht="31.5" customHeight="1" x14ac:dyDescent="0.3">
      <c r="A17" s="99" t="s">
        <v>55</v>
      </c>
      <c r="B17" s="372" t="s">
        <v>56</v>
      </c>
      <c r="C17" s="382">
        <f>16+176</f>
        <v>192</v>
      </c>
      <c r="D17" s="373">
        <f>68+17.5+25.368</f>
        <v>110.86799999999999</v>
      </c>
      <c r="E17" s="367"/>
      <c r="F17" s="367">
        <f>15+2</f>
        <v>17</v>
      </c>
      <c r="G17" s="683">
        <f t="shared" si="2"/>
        <v>93.867999999999995</v>
      </c>
      <c r="H17" s="684">
        <v>5</v>
      </c>
      <c r="I17" s="685"/>
      <c r="J17" s="684">
        <v>50</v>
      </c>
      <c r="K17" s="685"/>
      <c r="L17" s="684">
        <v>50</v>
      </c>
      <c r="M17" s="685"/>
      <c r="N17" s="684">
        <v>50</v>
      </c>
      <c r="O17" s="685"/>
      <c r="P17" s="969"/>
      <c r="Q17" s="961"/>
      <c r="R17" s="962"/>
      <c r="S17" s="969"/>
      <c r="T17" s="961"/>
      <c r="U17" s="965"/>
      <c r="V17" s="958" t="str">
        <f>+IF(X17&lt;&gt;0,"S01",0)</f>
        <v>S01</v>
      </c>
      <c r="W17" s="961" t="s">
        <v>57</v>
      </c>
      <c r="X17" s="962">
        <v>210</v>
      </c>
      <c r="Y17" s="969">
        <f>+IF(AA17&lt;&gt;0,"S01",0)</f>
        <v>0</v>
      </c>
      <c r="Z17" s="961"/>
      <c r="AA17" s="962"/>
      <c r="AB17" s="393">
        <f>+G17-SUM(H17:I17)+SUM(R17:R18)</f>
        <v>88.867999999999995</v>
      </c>
      <c r="AC17" s="394">
        <f>+AB17-SUM(J17:K17)+SUM(U17:U18)</f>
        <v>38.867999999999995</v>
      </c>
      <c r="AD17" s="394">
        <f>+AC17-SUM(L17:M17)+SUM(X17:X18)</f>
        <v>198.86799999999999</v>
      </c>
      <c r="AE17" s="395">
        <f>+AD17-SUM(N17:O17)+SUM(AA17:AA18)</f>
        <v>148.86799999999999</v>
      </c>
      <c r="AF17" s="670">
        <f t="shared" si="3"/>
        <v>1</v>
      </c>
      <c r="AG17" s="352"/>
      <c r="AH17" s="654">
        <v>35.200000000000003</v>
      </c>
      <c r="AJ17" s="353"/>
      <c r="AK17" s="16">
        <f t="shared" si="1"/>
        <v>1</v>
      </c>
      <c r="AM17" s="352"/>
      <c r="AN17" s="465"/>
      <c r="AO17" s="465"/>
      <c r="AP17" s="352"/>
    </row>
    <row r="18" spans="1:42" s="12" customFormat="1" ht="23.1" hidden="1" customHeight="1" x14ac:dyDescent="0.3">
      <c r="A18" s="97" t="s">
        <v>58</v>
      </c>
      <c r="B18" s="374"/>
      <c r="C18" s="361"/>
      <c r="D18" s="362"/>
      <c r="E18" s="363"/>
      <c r="F18" s="363"/>
      <c r="G18" s="377">
        <f t="shared" si="2"/>
        <v>0</v>
      </c>
      <c r="H18" s="378"/>
      <c r="I18" s="379"/>
      <c r="J18" s="378"/>
      <c r="K18" s="379"/>
      <c r="L18" s="378"/>
      <c r="M18" s="379"/>
      <c r="N18" s="378"/>
      <c r="O18" s="379"/>
      <c r="P18" s="688">
        <f>+IF(R18&lt;&gt;0,"外購",0)</f>
        <v>0</v>
      </c>
      <c r="Q18" s="680"/>
      <c r="R18" s="380"/>
      <c r="S18" s="679">
        <f>+IF(U18&lt;&gt;0,"外購",0)</f>
        <v>0</v>
      </c>
      <c r="T18" s="680"/>
      <c r="U18" s="380"/>
      <c r="V18" s="679">
        <f>+IF(X18&lt;&gt;0,"外購",0)</f>
        <v>0</v>
      </c>
      <c r="W18" s="680"/>
      <c r="X18" s="380"/>
      <c r="Y18" s="679">
        <f>+IF(AA18&lt;&gt;0,"外購",0)</f>
        <v>0</v>
      </c>
      <c r="Z18" s="680"/>
      <c r="AA18" s="380"/>
      <c r="AB18" s="364"/>
      <c r="AC18" s="365"/>
      <c r="AD18" s="365"/>
      <c r="AE18" s="366"/>
      <c r="AF18" s="690">
        <f t="shared" si="3"/>
        <v>0</v>
      </c>
      <c r="AG18" s="352"/>
      <c r="AH18" s="654"/>
      <c r="AJ18" s="353"/>
      <c r="AK18" s="16">
        <f t="shared" si="1"/>
        <v>0</v>
      </c>
    </row>
    <row r="19" spans="1:42" s="12" customFormat="1" ht="31.5" customHeight="1" x14ac:dyDescent="0.3">
      <c r="A19" s="101" t="s">
        <v>59</v>
      </c>
      <c r="B19" s="700" t="s">
        <v>60</v>
      </c>
      <c r="C19" s="354">
        <f>225+0+18.5</f>
        <v>243.5</v>
      </c>
      <c r="D19" s="371">
        <f>144.5+0+0+4.4+0</f>
        <v>148.9</v>
      </c>
      <c r="E19" s="371">
        <v>10</v>
      </c>
      <c r="F19" s="371">
        <v>15</v>
      </c>
      <c r="G19" s="701">
        <f t="shared" si="2"/>
        <v>143.9</v>
      </c>
      <c r="H19" s="375">
        <v>0</v>
      </c>
      <c r="I19" s="376"/>
      <c r="J19" s="375">
        <v>42</v>
      </c>
      <c r="K19" s="376"/>
      <c r="L19" s="375">
        <v>30</v>
      </c>
      <c r="M19" s="376"/>
      <c r="N19" s="375">
        <v>42</v>
      </c>
      <c r="O19" s="685"/>
      <c r="P19" s="969"/>
      <c r="Q19" s="970"/>
      <c r="R19" s="971"/>
      <c r="S19" s="984">
        <f>+IF(U19&lt;&gt;0,"S02",0)</f>
        <v>0</v>
      </c>
      <c r="T19" s="970"/>
      <c r="U19" s="971"/>
      <c r="V19" s="972">
        <f>+IF(X19&lt;&gt;0,"S02",0)</f>
        <v>0</v>
      </c>
      <c r="W19" s="970"/>
      <c r="X19" s="971"/>
      <c r="Y19" s="972">
        <f>+IF(AA19&lt;&gt;0,"S02",0)</f>
        <v>0</v>
      </c>
      <c r="Z19" s="970"/>
      <c r="AA19" s="971"/>
      <c r="AB19" s="355">
        <f>+G19-SUM(H19:I19)+SUM(R19:R20)</f>
        <v>143.9</v>
      </c>
      <c r="AC19" s="356">
        <f>+AB19-SUM(J19:K19)+SUM(U19:U20)</f>
        <v>101.9</v>
      </c>
      <c r="AD19" s="356">
        <f>+AC19-SUM(L19:M19)+SUM(X19:X20)</f>
        <v>71.900000000000006</v>
      </c>
      <c r="AE19" s="357">
        <f>+AD19-SUM(N19:O19)+SUM(AA19:AA20)</f>
        <v>29.900000000000006</v>
      </c>
      <c r="AF19" s="670">
        <f t="shared" si="3"/>
        <v>1</v>
      </c>
      <c r="AG19" s="352"/>
      <c r="AH19" s="654">
        <v>46.2</v>
      </c>
      <c r="AJ19" s="352"/>
      <c r="AK19" s="16">
        <f t="shared" si="1"/>
        <v>1</v>
      </c>
      <c r="AM19" s="352"/>
      <c r="AN19" s="465"/>
      <c r="AO19" s="465"/>
      <c r="AP19" s="352"/>
    </row>
    <row r="20" spans="1:42" s="12" customFormat="1" ht="23.1" hidden="1" customHeight="1" x14ac:dyDescent="0.3">
      <c r="A20" s="97" t="s">
        <v>58</v>
      </c>
      <c r="B20" s="374"/>
      <c r="C20" s="361"/>
      <c r="D20" s="363"/>
      <c r="E20" s="363"/>
      <c r="F20" s="363"/>
      <c r="G20" s="377">
        <f t="shared" si="2"/>
        <v>0</v>
      </c>
      <c r="H20" s="378"/>
      <c r="I20" s="379"/>
      <c r="J20" s="378"/>
      <c r="K20" s="379"/>
      <c r="L20" s="378"/>
      <c r="M20" s="379"/>
      <c r="N20" s="378"/>
      <c r="O20" s="379"/>
      <c r="P20" s="688">
        <f>+IF(R20&lt;&gt;0,"外購",0)</f>
        <v>0</v>
      </c>
      <c r="Q20" s="680"/>
      <c r="R20" s="380"/>
      <c r="S20" s="679">
        <f>+IF(U20&lt;&gt;0,"外購",0)</f>
        <v>0</v>
      </c>
      <c r="T20" s="381"/>
      <c r="U20" s="380"/>
      <c r="V20" s="679">
        <f>+IF(X20&lt;&gt;0,"外購",0)</f>
        <v>0</v>
      </c>
      <c r="W20" s="381"/>
      <c r="X20" s="380"/>
      <c r="Y20" s="679">
        <f>+IF(AA20&lt;&gt;0,"外購",0)</f>
        <v>0</v>
      </c>
      <c r="Z20" s="696"/>
      <c r="AA20" s="489"/>
      <c r="AB20" s="358"/>
      <c r="AC20" s="359"/>
      <c r="AD20" s="359"/>
      <c r="AE20" s="360"/>
      <c r="AF20" s="690">
        <f t="shared" si="3"/>
        <v>0</v>
      </c>
      <c r="AG20" s="352"/>
      <c r="AH20" s="655"/>
      <c r="AJ20" s="353"/>
      <c r="AK20" s="16">
        <f t="shared" si="1"/>
        <v>0</v>
      </c>
    </row>
    <row r="21" spans="1:42" s="12" customFormat="1" ht="23.1" hidden="1" customHeight="1" x14ac:dyDescent="0.3">
      <c r="A21" s="99" t="s">
        <v>61</v>
      </c>
      <c r="B21" s="368"/>
      <c r="C21" s="369"/>
      <c r="D21" s="370"/>
      <c r="E21" s="371"/>
      <c r="F21" s="371"/>
      <c r="G21" s="693">
        <f t="shared" si="2"/>
        <v>0</v>
      </c>
      <c r="H21" s="566">
        <v>0</v>
      </c>
      <c r="I21" s="572"/>
      <c r="J21" s="566"/>
      <c r="K21" s="595"/>
      <c r="L21" s="566">
        <v>0</v>
      </c>
      <c r="M21" s="595"/>
      <c r="N21" s="567">
        <v>0</v>
      </c>
      <c r="O21" s="595"/>
      <c r="P21" s="708">
        <f t="shared" ref="P21:P26" si="4">+IF(R21&lt;&gt;0,"S02",0)</f>
        <v>0</v>
      </c>
      <c r="Q21" s="680"/>
      <c r="R21" s="380"/>
      <c r="S21" s="699">
        <f t="shared" ref="S21:S26" si="5">+IF(U21&lt;&gt;0,"S02",0)</f>
        <v>0</v>
      </c>
      <c r="T21" s="702"/>
      <c r="U21" s="490"/>
      <c r="V21" s="699">
        <f t="shared" ref="V21:V26" si="6">+IF(X21&lt;&gt;0,"S02",0)</f>
        <v>0</v>
      </c>
      <c r="W21" s="702"/>
      <c r="X21" s="490"/>
      <c r="Y21" s="699">
        <f t="shared" ref="Y21:Y26" si="7">+IF(AA21&lt;&gt;0,"S02",0)</f>
        <v>0</v>
      </c>
      <c r="Z21" s="696"/>
      <c r="AA21" s="489"/>
      <c r="AB21" s="349">
        <f>+G21-SUM(H21:I21)+SUM(R21)</f>
        <v>0</v>
      </c>
      <c r="AC21" s="350">
        <f>+AB21-SUM(J21:K21)+SUM(U21)</f>
        <v>0</v>
      </c>
      <c r="AD21" s="350">
        <f>+AC21-SUM(L21:M21)+SUM(X21)</f>
        <v>0</v>
      </c>
      <c r="AE21" s="351">
        <f>+AD21-SUM(N21:O21)+SUM(AA21)</f>
        <v>0</v>
      </c>
      <c r="AF21" s="670">
        <f t="shared" si="3"/>
        <v>0</v>
      </c>
      <c r="AG21" s="352"/>
      <c r="AH21" s="654"/>
      <c r="AJ21" s="353"/>
      <c r="AK21" s="16">
        <f t="shared" si="1"/>
        <v>0</v>
      </c>
    </row>
    <row r="22" spans="1:42" s="12" customFormat="1" ht="59.25" customHeight="1" x14ac:dyDescent="0.3">
      <c r="A22" s="98" t="s">
        <v>62</v>
      </c>
      <c r="B22" s="371" t="s">
        <v>63</v>
      </c>
      <c r="C22" s="382">
        <f>95+225</f>
        <v>320</v>
      </c>
      <c r="D22" s="383">
        <f>1.9+0+(0)</f>
        <v>1.9</v>
      </c>
      <c r="E22" s="348"/>
      <c r="F22" s="348">
        <v>20</v>
      </c>
      <c r="G22" s="693">
        <f t="shared" si="2"/>
        <v>0</v>
      </c>
      <c r="H22" s="566">
        <v>15</v>
      </c>
      <c r="I22" s="572">
        <f>+SUMIF(秏料!$B$3:$B$133,$A22,秏料!$F$3:$F$133)</f>
        <v>0</v>
      </c>
      <c r="J22" s="566">
        <v>280</v>
      </c>
      <c r="K22" s="685">
        <f>+SUMIF(秏料!$B$3:$B$133,$A22,秏料!$H$3:$H$133)</f>
        <v>0</v>
      </c>
      <c r="L22" s="566">
        <v>280</v>
      </c>
      <c r="M22" s="685">
        <f>+SUMIF(秏料!$B$3:$B$133,$A22,秏料!$J$3:$J$133)</f>
        <v>0</v>
      </c>
      <c r="N22" s="567">
        <v>280</v>
      </c>
      <c r="O22" s="376"/>
      <c r="P22" s="958" t="str">
        <f>+IF(R22&lt;&gt;0,"S01",0)</f>
        <v>S01</v>
      </c>
      <c r="Q22" s="979" t="s">
        <v>64</v>
      </c>
      <c r="R22" s="967">
        <f>18+18</f>
        <v>36</v>
      </c>
      <c r="S22" s="958" t="str">
        <f>+IF(U22&lt;&gt;0,"S01+S02",0)</f>
        <v>S01+S02</v>
      </c>
      <c r="T22" s="968" t="s">
        <v>262</v>
      </c>
      <c r="U22" s="967">
        <f>30*6+30*4</f>
        <v>300</v>
      </c>
      <c r="V22" s="963" t="str">
        <f>+IF(X22&lt;&gt;0,"S01+S02",0)</f>
        <v>S01+S02</v>
      </c>
      <c r="W22" s="968" t="s">
        <v>65</v>
      </c>
      <c r="X22" s="967">
        <f>150+150+150</f>
        <v>450</v>
      </c>
      <c r="Y22" s="963" t="str">
        <f>+IF(AA22&lt;&gt;0,"S02+S01",0)</f>
        <v>S02+S01</v>
      </c>
      <c r="Z22" s="968" t="s">
        <v>66</v>
      </c>
      <c r="AA22" s="967">
        <f>180+180+170</f>
        <v>530</v>
      </c>
      <c r="AB22" s="349">
        <f>+G22-SUM(H22:I22)+SUM(R22)</f>
        <v>21</v>
      </c>
      <c r="AC22" s="350">
        <f>+AB22-SUM(J22:K22)+SUM(U22)</f>
        <v>41</v>
      </c>
      <c r="AD22" s="350">
        <f>+AC22-SUM(L22:M22)+SUM(X22)</f>
        <v>211</v>
      </c>
      <c r="AE22" s="351">
        <f>+AD22-SUM(N22:O22)+SUM(AA22)</f>
        <v>461</v>
      </c>
      <c r="AF22" s="670">
        <f t="shared" si="3"/>
        <v>1</v>
      </c>
      <c r="AG22" s="352"/>
      <c r="AH22" s="655">
        <v>40</v>
      </c>
      <c r="AJ22" s="353"/>
      <c r="AK22" s="16">
        <f t="shared" si="1"/>
        <v>1</v>
      </c>
      <c r="AM22" s="352"/>
      <c r="AN22" s="465"/>
      <c r="AO22" s="465"/>
      <c r="AP22" s="352"/>
    </row>
    <row r="23" spans="1:42" s="12" customFormat="1" ht="62.45" customHeight="1" x14ac:dyDescent="0.3">
      <c r="A23" s="98" t="s">
        <v>67</v>
      </c>
      <c r="B23" s="981" t="s">
        <v>68</v>
      </c>
      <c r="C23" s="369">
        <f>65+65+65+45+45</f>
        <v>285</v>
      </c>
      <c r="D23" s="411">
        <f>38+19+1.6+5+12+3.9+(29.5)</f>
        <v>109</v>
      </c>
      <c r="E23" s="371"/>
      <c r="F23" s="934"/>
      <c r="G23" s="693">
        <f>IF(+D23+E23-F23&lt;=0,0,+D23+E23-F23)</f>
        <v>109</v>
      </c>
      <c r="H23" s="566">
        <v>30</v>
      </c>
      <c r="I23" s="572">
        <f>+SUMIF(秏料!$B$3:$B$133,$A23,秏料!$F$3:$F$133)</f>
        <v>40</v>
      </c>
      <c r="J23" s="566">
        <v>80</v>
      </c>
      <c r="K23" s="595">
        <f>+SUMIF(秏料!$B$3:$B$133,$A23,秏料!$H$3:$H$133)</f>
        <v>330</v>
      </c>
      <c r="L23" s="566">
        <v>80</v>
      </c>
      <c r="M23" s="595">
        <f>+SUMIF(秏料!$B$3:$B$133,$A23,秏料!$J$3:$J$133)</f>
        <v>495</v>
      </c>
      <c r="N23" s="567">
        <v>80</v>
      </c>
      <c r="O23" s="595">
        <f>+SUMIF(秏料!$B$3:$B$133,$A23,秏料!$L$3:$L$133)</f>
        <v>583</v>
      </c>
      <c r="P23" s="959" t="s">
        <v>52</v>
      </c>
      <c r="Q23" s="982" t="s">
        <v>69</v>
      </c>
      <c r="R23" s="967">
        <f>(45*3)</f>
        <v>135</v>
      </c>
      <c r="S23" s="958" t="str">
        <f>+IF(U23&lt;&gt;0,"S01",0)</f>
        <v>S01</v>
      </c>
      <c r="T23" s="968" t="s">
        <v>261</v>
      </c>
      <c r="U23" s="967">
        <f>190+210+165</f>
        <v>565</v>
      </c>
      <c r="V23" s="963" t="str">
        <f>+IF(X23&lt;&gt;0,"S01+S02",0)</f>
        <v>S01+S02</v>
      </c>
      <c r="W23" s="968" t="s">
        <v>70</v>
      </c>
      <c r="X23" s="967">
        <f>(45*13.5)</f>
        <v>607.5</v>
      </c>
      <c r="Y23" s="963" t="str">
        <f>+IF(AA23&lt;&gt;0,"S02",0)</f>
        <v>S02</v>
      </c>
      <c r="Z23" s="968" t="s">
        <v>71</v>
      </c>
      <c r="AA23" s="967">
        <f>275+165+80</f>
        <v>520</v>
      </c>
      <c r="AB23" s="349">
        <f>+G23-SUM(H23:I23)+SUM(R23)</f>
        <v>174</v>
      </c>
      <c r="AC23" s="350">
        <f>+AB23-SUM(J23:K23)+SUM(U23)</f>
        <v>329</v>
      </c>
      <c r="AD23" s="350">
        <f>+AC23-SUM(L23:M23)+SUM(X23)</f>
        <v>361.5</v>
      </c>
      <c r="AE23" s="351">
        <f>+AD23-SUM(N23:O23)+SUM(AA23)</f>
        <v>218.5</v>
      </c>
      <c r="AF23" s="670">
        <f t="shared" si="3"/>
        <v>1</v>
      </c>
      <c r="AG23" s="352"/>
      <c r="AH23" s="655"/>
      <c r="AJ23" s="353"/>
      <c r="AK23" s="16">
        <v>1</v>
      </c>
      <c r="AM23" s="352"/>
      <c r="AN23" s="465"/>
      <c r="AO23" s="465"/>
      <c r="AP23" s="352"/>
    </row>
    <row r="24" spans="1:42" s="12" customFormat="1" ht="65.25" customHeight="1" x14ac:dyDescent="0.3">
      <c r="A24" s="99" t="s">
        <v>72</v>
      </c>
      <c r="B24" s="368" t="s">
        <v>73</v>
      </c>
      <c r="C24" s="369">
        <f>250*0.95*0.95</f>
        <v>225.625</v>
      </c>
      <c r="D24" s="370">
        <v>222</v>
      </c>
      <c r="E24" s="371"/>
      <c r="F24" s="371"/>
      <c r="G24" s="693">
        <f>IF(+D24+E24-F24&lt;=0,0,+D24+E24-F24)</f>
        <v>222</v>
      </c>
      <c r="H24" s="566">
        <v>0</v>
      </c>
      <c r="I24" s="572">
        <f>+SUMIF(秏料!$B$3:$B$133,$A24,秏料!$F$3:$F$133)</f>
        <v>153</v>
      </c>
      <c r="J24" s="566"/>
      <c r="K24" s="595">
        <f>+SUMIF(秏料!$B$3:$B$133,$A24,秏料!$H$3:$H$133)</f>
        <v>638</v>
      </c>
      <c r="L24" s="566"/>
      <c r="M24" s="595">
        <f>+SUMIF(秏料!$B$3:$B$133,$A24,秏料!$J$3:$J$133)</f>
        <v>686</v>
      </c>
      <c r="N24" s="567">
        <v>0</v>
      </c>
      <c r="O24" s="595">
        <f>+SUMIF(秏料!$B$3:$B$133,$A24,秏料!$L$3:$L$133)</f>
        <v>588</v>
      </c>
      <c r="P24" s="958">
        <f>+IF(R24&lt;&gt;0,"S01+S02",0)</f>
        <v>0</v>
      </c>
      <c r="Q24" s="964"/>
      <c r="R24" s="965"/>
      <c r="S24" s="958" t="str">
        <f>+IF(U24&lt;&gt;0,"S01",0)</f>
        <v>S01</v>
      </c>
      <c r="T24" s="964" t="s">
        <v>74</v>
      </c>
      <c r="U24" s="965">
        <f>270+(35*10)</f>
        <v>620</v>
      </c>
      <c r="V24" s="958" t="str">
        <f>+IF(X24&lt;&gt;0,"S01",0)</f>
        <v>S01</v>
      </c>
      <c r="W24" s="964" t="s">
        <v>75</v>
      </c>
      <c r="X24" s="965">
        <f>(35*20)</f>
        <v>700</v>
      </c>
      <c r="Y24" s="969" t="str">
        <f>+IF(AA24&lt;&gt;0,"S01",0)</f>
        <v>S01</v>
      </c>
      <c r="Z24" s="964" t="s">
        <v>76</v>
      </c>
      <c r="AA24" s="965">
        <v>700</v>
      </c>
      <c r="AB24" s="349">
        <f>+G24-SUM(H24:I24)+SUM(R24)</f>
        <v>69</v>
      </c>
      <c r="AC24" s="350">
        <f>+AB24-SUM(J24:K24)+SUM(U24)</f>
        <v>51</v>
      </c>
      <c r="AD24" s="350">
        <f>+AC24-SUM(L24:M24)+SUM(X24)</f>
        <v>65</v>
      </c>
      <c r="AE24" s="351">
        <f>+AD24-SUM(N24:O24)+SUM(AA24)</f>
        <v>177</v>
      </c>
      <c r="AF24" s="670">
        <f t="shared" si="3"/>
        <v>1</v>
      </c>
      <c r="AG24" s="352"/>
      <c r="AH24" s="654"/>
      <c r="AJ24" s="353"/>
      <c r="AK24" s="16">
        <f t="shared" ref="AK24:AK70" si="8">+IF(SUM(G24,H24:O24,R24,U24,X24,AA24,AB24:AE24)&lt;&gt;0,1,0)</f>
        <v>1</v>
      </c>
      <c r="AM24" s="352"/>
      <c r="AN24" s="465"/>
      <c r="AO24" s="465"/>
      <c r="AP24" s="352"/>
    </row>
    <row r="25" spans="1:42" s="12" customFormat="1" ht="23.1" hidden="1" customHeight="1" x14ac:dyDescent="0.3">
      <c r="A25" s="99" t="s">
        <v>77</v>
      </c>
      <c r="B25" s="368"/>
      <c r="C25" s="369">
        <v>57</v>
      </c>
      <c r="D25" s="370"/>
      <c r="E25" s="371"/>
      <c r="F25" s="371"/>
      <c r="G25" s="693">
        <f t="shared" si="2"/>
        <v>0</v>
      </c>
      <c r="H25" s="566">
        <v>0</v>
      </c>
      <c r="I25" s="572"/>
      <c r="J25" s="566">
        <v>0</v>
      </c>
      <c r="K25" s="595"/>
      <c r="L25" s="566"/>
      <c r="M25" s="595"/>
      <c r="N25" s="567"/>
      <c r="O25" s="595"/>
      <c r="P25" s="698">
        <f t="shared" si="4"/>
        <v>0</v>
      </c>
      <c r="Q25" s="702"/>
      <c r="R25" s="490"/>
      <c r="S25" s="699">
        <f t="shared" si="5"/>
        <v>0</v>
      </c>
      <c r="T25" s="702"/>
      <c r="U25" s="490"/>
      <c r="V25" s="699">
        <f t="shared" si="6"/>
        <v>0</v>
      </c>
      <c r="W25" s="702"/>
      <c r="X25" s="490"/>
      <c r="Y25" s="699">
        <f t="shared" si="7"/>
        <v>0</v>
      </c>
      <c r="Z25" s="702"/>
      <c r="AA25" s="490"/>
      <c r="AB25" s="349">
        <f>+G25-SUM(H25:I25)+SUM(R25)</f>
        <v>0</v>
      </c>
      <c r="AC25" s="350">
        <f>+AB25-SUM(J25:K25)+SUM(U25)</f>
        <v>0</v>
      </c>
      <c r="AD25" s="350">
        <f>+AC25-SUM(L25:M25)+SUM(X25)</f>
        <v>0</v>
      </c>
      <c r="AE25" s="351">
        <f>+AD25-SUM(N25:O25)+SUM(AA25)</f>
        <v>0</v>
      </c>
      <c r="AF25" s="670">
        <f t="shared" si="3"/>
        <v>0</v>
      </c>
      <c r="AG25" s="352"/>
      <c r="AH25" s="654"/>
      <c r="AJ25" s="353"/>
      <c r="AK25" s="16">
        <f t="shared" si="8"/>
        <v>0</v>
      </c>
    </row>
    <row r="26" spans="1:42" s="12" customFormat="1" ht="23.1" hidden="1" customHeight="1" x14ac:dyDescent="0.3">
      <c r="A26" s="98" t="s">
        <v>78</v>
      </c>
      <c r="B26" s="387"/>
      <c r="C26" s="388"/>
      <c r="D26" s="389"/>
      <c r="E26" s="367"/>
      <c r="F26" s="367"/>
      <c r="G26" s="703">
        <f t="shared" si="2"/>
        <v>0</v>
      </c>
      <c r="H26" s="704"/>
      <c r="I26" s="705"/>
      <c r="J26" s="704"/>
      <c r="K26" s="706"/>
      <c r="L26" s="704"/>
      <c r="M26" s="706"/>
      <c r="N26" s="707"/>
      <c r="O26" s="706"/>
      <c r="P26" s="708">
        <f t="shared" si="4"/>
        <v>0</v>
      </c>
      <c r="Q26" s="709"/>
      <c r="R26" s="710"/>
      <c r="S26" s="669">
        <f t="shared" si="5"/>
        <v>0</v>
      </c>
      <c r="T26" s="709"/>
      <c r="U26" s="710"/>
      <c r="V26" s="669">
        <f t="shared" si="6"/>
        <v>0</v>
      </c>
      <c r="W26" s="709"/>
      <c r="X26" s="710"/>
      <c r="Y26" s="669">
        <f t="shared" si="7"/>
        <v>0</v>
      </c>
      <c r="Z26" s="709"/>
      <c r="AA26" s="710"/>
      <c r="AB26" s="349">
        <f>+G26-SUM(H26:I26)+SUM(R26:R27)</f>
        <v>0</v>
      </c>
      <c r="AC26" s="350">
        <f>+AB26-SUM(J26:K26)+SUM(U26:U27)</f>
        <v>0</v>
      </c>
      <c r="AD26" s="350">
        <f>+AC26-SUM(L26:M26)+SUM(X26:X27)</f>
        <v>0</v>
      </c>
      <c r="AE26" s="351">
        <f>+AD26-SUM(N26:O26)+SUM(AA26:AA27)</f>
        <v>0</v>
      </c>
      <c r="AF26" s="670">
        <f t="shared" si="3"/>
        <v>0</v>
      </c>
      <c r="AG26" s="352"/>
      <c r="AH26" s="654"/>
      <c r="AJ26" s="353"/>
      <c r="AK26" s="16">
        <f t="shared" si="8"/>
        <v>0</v>
      </c>
    </row>
    <row r="27" spans="1:42" s="12" customFormat="1" ht="23.1" hidden="1" customHeight="1" x14ac:dyDescent="0.3">
      <c r="A27" s="97" t="s">
        <v>79</v>
      </c>
      <c r="B27" s="390"/>
      <c r="C27" s="391"/>
      <c r="D27" s="392"/>
      <c r="E27" s="363"/>
      <c r="F27" s="363"/>
      <c r="G27" s="530">
        <f t="shared" si="2"/>
        <v>0</v>
      </c>
      <c r="H27" s="531"/>
      <c r="I27" s="575"/>
      <c r="J27" s="531"/>
      <c r="K27" s="532"/>
      <c r="L27" s="531"/>
      <c r="M27" s="532"/>
      <c r="N27" s="559"/>
      <c r="O27" s="532"/>
      <c r="P27" s="681"/>
      <c r="Q27" s="711"/>
      <c r="R27" s="488"/>
      <c r="S27" s="682"/>
      <c r="T27" s="711"/>
      <c r="U27" s="488"/>
      <c r="V27" s="682"/>
      <c r="W27" s="711"/>
      <c r="X27" s="488"/>
      <c r="Y27" s="682"/>
      <c r="Z27" s="711"/>
      <c r="AA27" s="488"/>
      <c r="AB27" s="358"/>
      <c r="AC27" s="359"/>
      <c r="AD27" s="359"/>
      <c r="AE27" s="360"/>
      <c r="AF27" s="670">
        <f t="shared" si="3"/>
        <v>0</v>
      </c>
      <c r="AG27" s="352"/>
      <c r="AH27" s="654"/>
      <c r="AJ27" s="353"/>
      <c r="AK27" s="16">
        <f t="shared" si="8"/>
        <v>0</v>
      </c>
    </row>
    <row r="28" spans="1:42" s="12" customFormat="1" ht="10.15" hidden="1" customHeight="1" x14ac:dyDescent="0.3">
      <c r="A28" s="99" t="s">
        <v>80</v>
      </c>
      <c r="B28" s="368"/>
      <c r="C28" s="369">
        <v>75</v>
      </c>
      <c r="D28" s="370"/>
      <c r="E28" s="371"/>
      <c r="F28" s="371"/>
      <c r="G28" s="693">
        <f t="shared" si="2"/>
        <v>0</v>
      </c>
      <c r="H28" s="566"/>
      <c r="I28" s="572"/>
      <c r="J28" s="566"/>
      <c r="K28" s="595"/>
      <c r="L28" s="566"/>
      <c r="M28" s="595"/>
      <c r="N28" s="567"/>
      <c r="O28" s="595"/>
      <c r="P28" s="712">
        <f>+IF(R28&lt;&gt;0,"S02",0)</f>
        <v>0</v>
      </c>
      <c r="Q28" s="709"/>
      <c r="R28" s="490"/>
      <c r="S28" s="694">
        <f>+IF(U28&lt;&gt;0,"S02",0)</f>
        <v>0</v>
      </c>
      <c r="T28" s="702"/>
      <c r="U28" s="490"/>
      <c r="V28" s="694">
        <f>+IF(X28&lt;&gt;0,"S02",0)</f>
        <v>0</v>
      </c>
      <c r="W28" s="702"/>
      <c r="X28" s="490"/>
      <c r="Y28" s="694">
        <f>+IF(AA28&lt;&gt;0,"S02",0)</f>
        <v>0</v>
      </c>
      <c r="Z28" s="702"/>
      <c r="AA28" s="490"/>
      <c r="AB28" s="384">
        <f>+G28-SUM(H28:I28)+SUM(R28)</f>
        <v>0</v>
      </c>
      <c r="AC28" s="385">
        <f>+AB28-SUM(J28:K28)+SUM(U28)</f>
        <v>0</v>
      </c>
      <c r="AD28" s="385">
        <f>+AC28-SUM(L28:M28)+SUM(X28)</f>
        <v>0</v>
      </c>
      <c r="AE28" s="386">
        <f>+AD28-SUM(N28:O28)+SUM(AA28)</f>
        <v>0</v>
      </c>
      <c r="AF28" s="670">
        <f t="shared" si="3"/>
        <v>0</v>
      </c>
      <c r="AG28" s="352"/>
      <c r="AH28" s="655"/>
      <c r="AJ28" s="353"/>
      <c r="AK28" s="16">
        <f t="shared" si="8"/>
        <v>0</v>
      </c>
    </row>
    <row r="29" spans="1:42" s="12" customFormat="1" ht="28.5" customHeight="1" x14ac:dyDescent="0.3">
      <c r="A29" s="98" t="s">
        <v>81</v>
      </c>
      <c r="B29" s="371" t="s">
        <v>82</v>
      </c>
      <c r="C29" s="388">
        <v>23</v>
      </c>
      <c r="D29" s="389">
        <v>5</v>
      </c>
      <c r="E29" s="367"/>
      <c r="F29" s="367"/>
      <c r="G29" s="703">
        <f t="shared" si="2"/>
        <v>5</v>
      </c>
      <c r="H29" s="704">
        <v>0</v>
      </c>
      <c r="I29" s="705"/>
      <c r="J29" s="704">
        <v>0</v>
      </c>
      <c r="K29" s="706"/>
      <c r="L29" s="704"/>
      <c r="M29" s="706"/>
      <c r="N29" s="707"/>
      <c r="O29" s="706"/>
      <c r="P29" s="973">
        <f>+IF(R29&lt;&gt;0,"S02",0)</f>
        <v>0</v>
      </c>
      <c r="Q29" s="974"/>
      <c r="R29" s="975"/>
      <c r="S29" s="976">
        <f>+IF(U29&lt;&gt;0,"S02",0)</f>
        <v>0</v>
      </c>
      <c r="T29" s="964"/>
      <c r="U29" s="977"/>
      <c r="V29" s="976">
        <f>+IF(X29&lt;&gt;0,"S02",0)</f>
        <v>0</v>
      </c>
      <c r="W29" s="978"/>
      <c r="X29" s="977"/>
      <c r="Y29" s="976">
        <f>+IF(AA29&lt;&gt;0,"S02",0)</f>
        <v>0</v>
      </c>
      <c r="Z29" s="978"/>
      <c r="AA29" s="977"/>
      <c r="AB29" s="349">
        <f>+G29-SUM(H29:I29)+SUM(R29:R30)</f>
        <v>5</v>
      </c>
      <c r="AC29" s="350">
        <f>+AB29-SUM(J29:K29)+SUM(U29:U30)</f>
        <v>5</v>
      </c>
      <c r="AD29" s="350">
        <f>+AC29-SUM(L29:M29)+SUM(X29:X30)</f>
        <v>5</v>
      </c>
      <c r="AE29" s="351">
        <f>+AD29-SUM(N29:O29)+SUM(AA29:AA30)</f>
        <v>5</v>
      </c>
      <c r="AF29" s="670">
        <v>1</v>
      </c>
      <c r="AG29" s="352"/>
      <c r="AH29" s="654"/>
      <c r="AJ29" s="353"/>
      <c r="AK29" s="16">
        <f t="shared" si="8"/>
        <v>1</v>
      </c>
      <c r="AM29" s="352"/>
      <c r="AN29" s="465"/>
      <c r="AO29" s="465"/>
      <c r="AP29" s="352"/>
    </row>
    <row r="30" spans="1:42" s="12" customFormat="1" ht="23.1" hidden="1" customHeight="1" x14ac:dyDescent="0.3">
      <c r="A30" s="97" t="s">
        <v>83</v>
      </c>
      <c r="B30" s="390"/>
      <c r="C30" s="391"/>
      <c r="D30" s="392"/>
      <c r="E30" s="363"/>
      <c r="F30" s="363"/>
      <c r="G30" s="530"/>
      <c r="H30" s="531"/>
      <c r="I30" s="575"/>
      <c r="J30" s="531"/>
      <c r="K30" s="532"/>
      <c r="L30" s="531"/>
      <c r="M30" s="532"/>
      <c r="N30" s="559"/>
      <c r="O30" s="532"/>
      <c r="P30" s="679"/>
      <c r="Q30" s="711"/>
      <c r="R30" s="488">
        <v>0</v>
      </c>
      <c r="S30" s="679"/>
      <c r="T30" s="711"/>
      <c r="U30" s="488"/>
      <c r="V30" s="679"/>
      <c r="W30" s="711"/>
      <c r="X30" s="488"/>
      <c r="Y30" s="679"/>
      <c r="Z30" s="711"/>
      <c r="AA30" s="488"/>
      <c r="AB30" s="364"/>
      <c r="AC30" s="365"/>
      <c r="AD30" s="365"/>
      <c r="AE30" s="366"/>
      <c r="AF30" s="670"/>
      <c r="AG30" s="352"/>
      <c r="AH30" s="654"/>
      <c r="AJ30" s="353"/>
      <c r="AK30" s="16">
        <f t="shared" si="8"/>
        <v>0</v>
      </c>
    </row>
    <row r="31" spans="1:42" s="12" customFormat="1" ht="28.5" hidden="1" customHeight="1" x14ac:dyDescent="0.3">
      <c r="A31" s="99" t="s">
        <v>84</v>
      </c>
      <c r="B31" s="390"/>
      <c r="C31" s="369"/>
      <c r="D31" s="392"/>
      <c r="E31" s="363"/>
      <c r="F31" s="363"/>
      <c r="G31" s="693">
        <f t="shared" ref="G31:G43" si="9">IF(+D31+E31-F31&lt;=0,0,+D31+E31-F31)</f>
        <v>0</v>
      </c>
      <c r="H31" s="566"/>
      <c r="I31" s="572"/>
      <c r="J31" s="566"/>
      <c r="K31" s="595"/>
      <c r="L31" s="566"/>
      <c r="M31" s="595"/>
      <c r="N31" s="567"/>
      <c r="O31" s="595"/>
      <c r="P31" s="668">
        <f>+IF(R31&lt;&gt;0,"S01",0)</f>
        <v>0</v>
      </c>
      <c r="Q31" s="686"/>
      <c r="R31" s="490"/>
      <c r="S31" s="694">
        <f>+IF(U31&lt;&gt;0,"S01",0)</f>
        <v>0</v>
      </c>
      <c r="T31" s="686"/>
      <c r="U31" s="490"/>
      <c r="V31" s="694">
        <f>+IF(X31&lt;&gt;0,"S01",0)</f>
        <v>0</v>
      </c>
      <c r="W31" s="686"/>
      <c r="X31" s="490"/>
      <c r="Y31" s="694">
        <f>+IF(AA31&lt;&gt;0,"S01",0)</f>
        <v>0</v>
      </c>
      <c r="Z31" s="686"/>
      <c r="AA31" s="490"/>
      <c r="AB31" s="396">
        <f t="shared" ref="AB31:AB58" si="10">+G31-SUM(H31:I31)+SUM(R31)</f>
        <v>0</v>
      </c>
      <c r="AC31" s="397">
        <f>+AB31-SUM(J31:K31)+SUM(U31)</f>
        <v>0</v>
      </c>
      <c r="AD31" s="397">
        <f>+AC31-SUM(L31:M31)+SUM(X31)</f>
        <v>0</v>
      </c>
      <c r="AE31" s="398">
        <f>+AD31-SUM(N31:O31)+SUM(AA31)</f>
        <v>0</v>
      </c>
      <c r="AF31" s="670">
        <f t="shared" ref="AF31:AF43" si="11">+IF(SUM(G31,H31:O31,Q31,S31,V31,Z31)&gt;0,1,0)</f>
        <v>0</v>
      </c>
      <c r="AG31" s="352"/>
      <c r="AH31" s="655"/>
      <c r="AJ31" s="353"/>
      <c r="AK31" s="16">
        <f t="shared" si="8"/>
        <v>0</v>
      </c>
    </row>
    <row r="32" spans="1:42" s="12" customFormat="1" ht="28.5" customHeight="1" thickBot="1" x14ac:dyDescent="0.35">
      <c r="A32" s="99" t="s">
        <v>85</v>
      </c>
      <c r="B32" s="368"/>
      <c r="C32" s="369">
        <v>249</v>
      </c>
      <c r="D32" s="370"/>
      <c r="E32" s="371"/>
      <c r="F32" s="371"/>
      <c r="G32" s="693">
        <f t="shared" si="9"/>
        <v>0</v>
      </c>
      <c r="H32" s="566"/>
      <c r="I32" s="572">
        <f>+$R$32</f>
        <v>0</v>
      </c>
      <c r="J32" s="566"/>
      <c r="K32" s="595">
        <f>$U$32</f>
        <v>35</v>
      </c>
      <c r="L32" s="566"/>
      <c r="M32" s="595">
        <f>$X$32</f>
        <v>0</v>
      </c>
      <c r="N32" s="567"/>
      <c r="O32" s="595">
        <f>$AA$32</f>
        <v>0</v>
      </c>
      <c r="P32" s="969"/>
      <c r="Q32" s="961"/>
      <c r="R32" s="965"/>
      <c r="S32" s="969" t="s">
        <v>41</v>
      </c>
      <c r="T32" s="961" t="s">
        <v>260</v>
      </c>
      <c r="U32" s="965">
        <v>35</v>
      </c>
      <c r="V32" s="969"/>
      <c r="W32" s="961"/>
      <c r="X32" s="965"/>
      <c r="Y32" s="969"/>
      <c r="Z32" s="961"/>
      <c r="AA32" s="965"/>
      <c r="AB32" s="393">
        <f t="shared" si="10"/>
        <v>0</v>
      </c>
      <c r="AC32" s="394">
        <f t="shared" ref="AC32:AC43" si="12">+AB32-SUM(J32:K32)+SUM(U32)</f>
        <v>0</v>
      </c>
      <c r="AD32" s="394">
        <f t="shared" ref="AD32:AD43" si="13">+AC32-SUM(L32:M32)+SUM(X32)</f>
        <v>0</v>
      </c>
      <c r="AE32" s="395">
        <f t="shared" ref="AE32:AE43" si="14">+AD32-SUM(N32:O32)+SUM(AA32)</f>
        <v>0</v>
      </c>
      <c r="AF32" s="670">
        <f t="shared" si="11"/>
        <v>1</v>
      </c>
      <c r="AG32" s="352"/>
      <c r="AH32" s="655"/>
      <c r="AJ32" s="353"/>
      <c r="AK32" s="16">
        <f t="shared" si="8"/>
        <v>1</v>
      </c>
      <c r="AM32" s="352"/>
      <c r="AN32" s="465"/>
      <c r="AO32" s="465"/>
      <c r="AP32" s="352"/>
    </row>
    <row r="33" spans="1:42" s="12" customFormat="1" ht="23.1" hidden="1" customHeight="1" x14ac:dyDescent="0.3">
      <c r="A33" s="99" t="s">
        <v>86</v>
      </c>
      <c r="B33" s="368"/>
      <c r="C33" s="382"/>
      <c r="D33" s="370"/>
      <c r="E33" s="371"/>
      <c r="F33" s="371"/>
      <c r="G33" s="693">
        <f t="shared" si="9"/>
        <v>0</v>
      </c>
      <c r="H33" s="566"/>
      <c r="I33" s="572">
        <f>$R$33</f>
        <v>0</v>
      </c>
      <c r="J33" s="566"/>
      <c r="K33" s="595">
        <f>$U$33</f>
        <v>0</v>
      </c>
      <c r="L33" s="566"/>
      <c r="M33" s="595">
        <f>$X$33</f>
        <v>0</v>
      </c>
      <c r="N33" s="567"/>
      <c r="O33" s="595">
        <f>$AA$33</f>
        <v>0</v>
      </c>
      <c r="P33" s="699">
        <f t="shared" ref="P33" si="15">+IF(R33&lt;&gt;0,"S02",0)</f>
        <v>0</v>
      </c>
      <c r="Q33" s="686"/>
      <c r="R33" s="490"/>
      <c r="S33" s="699">
        <f>+IF(U33&lt;&gt;0,"S02",0)</f>
        <v>0</v>
      </c>
      <c r="T33" s="686"/>
      <c r="U33" s="490"/>
      <c r="V33" s="699">
        <f>+IF(X33&lt;&gt;0,"S02",0)</f>
        <v>0</v>
      </c>
      <c r="W33" s="686"/>
      <c r="X33" s="490"/>
      <c r="Y33" s="699">
        <f>+IF(AA33&lt;&gt;0,"S02",0)</f>
        <v>0</v>
      </c>
      <c r="Z33" s="686"/>
      <c r="AA33" s="490"/>
      <c r="AB33" s="393">
        <f t="shared" si="10"/>
        <v>0</v>
      </c>
      <c r="AC33" s="394">
        <f t="shared" si="12"/>
        <v>0</v>
      </c>
      <c r="AD33" s="394">
        <f t="shared" si="13"/>
        <v>0</v>
      </c>
      <c r="AE33" s="395">
        <f t="shared" si="14"/>
        <v>0</v>
      </c>
      <c r="AF33" s="670">
        <f t="shared" si="11"/>
        <v>0</v>
      </c>
      <c r="AG33" s="352"/>
      <c r="AH33" s="655"/>
      <c r="AJ33" s="353"/>
      <c r="AK33" s="16">
        <f t="shared" si="8"/>
        <v>0</v>
      </c>
      <c r="AM33" s="352"/>
      <c r="AN33" s="465"/>
      <c r="AO33" s="465"/>
      <c r="AP33" s="352"/>
    </row>
    <row r="34" spans="1:42" s="12" customFormat="1" ht="23.1" hidden="1" customHeight="1" x14ac:dyDescent="0.3">
      <c r="A34" s="98" t="s">
        <v>87</v>
      </c>
      <c r="B34" s="387"/>
      <c r="C34" s="388"/>
      <c r="D34" s="389"/>
      <c r="E34" s="367"/>
      <c r="F34" s="367"/>
      <c r="G34" s="703">
        <f t="shared" si="9"/>
        <v>0</v>
      </c>
      <c r="H34" s="704"/>
      <c r="I34" s="705"/>
      <c r="J34" s="704"/>
      <c r="K34" s="706"/>
      <c r="L34" s="704"/>
      <c r="M34" s="706"/>
      <c r="N34" s="707"/>
      <c r="O34" s="706"/>
      <c r="P34" s="713">
        <f t="shared" ref="P34:P43" si="16">+IF(R34&lt;&gt;0,"S02",0)</f>
        <v>0</v>
      </c>
      <c r="Q34" s="709"/>
      <c r="R34" s="710"/>
      <c r="S34" s="714">
        <f t="shared" ref="S34:S43" si="17">+IF(U34&lt;&gt;0,"S02",0)</f>
        <v>0</v>
      </c>
      <c r="T34" s="709"/>
      <c r="U34" s="710"/>
      <c r="V34" s="714">
        <f t="shared" ref="V34:V43" si="18">+IF(X34&lt;&gt;0,"S02",0)</f>
        <v>0</v>
      </c>
      <c r="W34" s="709"/>
      <c r="X34" s="710"/>
      <c r="Y34" s="714">
        <f t="shared" ref="Y34:Y43" si="19">+IF(AA34&lt;&gt;0,"S02",0)</f>
        <v>0</v>
      </c>
      <c r="Z34" s="709"/>
      <c r="AA34" s="710"/>
      <c r="AB34" s="384">
        <f t="shared" si="10"/>
        <v>0</v>
      </c>
      <c r="AC34" s="385">
        <f t="shared" si="12"/>
        <v>0</v>
      </c>
      <c r="AD34" s="385">
        <f t="shared" si="13"/>
        <v>0</v>
      </c>
      <c r="AE34" s="386">
        <f t="shared" si="14"/>
        <v>0</v>
      </c>
      <c r="AF34" s="670">
        <f t="shared" si="11"/>
        <v>0</v>
      </c>
      <c r="AG34" s="352"/>
      <c r="AH34" s="655"/>
      <c r="AJ34" s="353"/>
      <c r="AK34" s="16">
        <f t="shared" si="8"/>
        <v>0</v>
      </c>
    </row>
    <row r="35" spans="1:42" s="12" customFormat="1" ht="23.1" hidden="1" customHeight="1" x14ac:dyDescent="0.3">
      <c r="A35" s="99"/>
      <c r="B35" s="368"/>
      <c r="C35" s="369"/>
      <c r="D35" s="370"/>
      <c r="E35" s="371"/>
      <c r="F35" s="371"/>
      <c r="G35" s="693">
        <f t="shared" si="9"/>
        <v>0</v>
      </c>
      <c r="H35" s="566"/>
      <c r="I35" s="572"/>
      <c r="J35" s="566"/>
      <c r="K35" s="595"/>
      <c r="L35" s="566"/>
      <c r="M35" s="595"/>
      <c r="N35" s="567"/>
      <c r="O35" s="595"/>
      <c r="P35" s="712">
        <f t="shared" si="16"/>
        <v>0</v>
      </c>
      <c r="Q35" s="702"/>
      <c r="R35" s="490"/>
      <c r="S35" s="694">
        <f t="shared" si="17"/>
        <v>0</v>
      </c>
      <c r="T35" s="702"/>
      <c r="U35" s="490"/>
      <c r="V35" s="694">
        <f t="shared" si="18"/>
        <v>0</v>
      </c>
      <c r="W35" s="702"/>
      <c r="X35" s="490"/>
      <c r="Y35" s="694">
        <f t="shared" si="19"/>
        <v>0</v>
      </c>
      <c r="Z35" s="702"/>
      <c r="AA35" s="490"/>
      <c r="AB35" s="396">
        <f t="shared" si="10"/>
        <v>0</v>
      </c>
      <c r="AC35" s="397">
        <f t="shared" si="12"/>
        <v>0</v>
      </c>
      <c r="AD35" s="397">
        <f t="shared" si="13"/>
        <v>0</v>
      </c>
      <c r="AE35" s="398">
        <f t="shared" si="14"/>
        <v>0</v>
      </c>
      <c r="AF35" s="670">
        <f t="shared" si="11"/>
        <v>0</v>
      </c>
      <c r="AG35" s="352"/>
      <c r="AH35" s="655"/>
      <c r="AJ35" s="353"/>
      <c r="AK35" s="16">
        <f t="shared" si="8"/>
        <v>0</v>
      </c>
    </row>
    <row r="36" spans="1:42" s="12" customFormat="1" ht="23.1" hidden="1" customHeight="1" x14ac:dyDescent="0.3">
      <c r="A36" s="99"/>
      <c r="B36" s="368"/>
      <c r="C36" s="369"/>
      <c r="D36" s="370"/>
      <c r="E36" s="371"/>
      <c r="F36" s="371"/>
      <c r="G36" s="693">
        <f t="shared" si="9"/>
        <v>0</v>
      </c>
      <c r="H36" s="566"/>
      <c r="I36" s="572"/>
      <c r="J36" s="566"/>
      <c r="K36" s="595"/>
      <c r="L36" s="566"/>
      <c r="M36" s="595"/>
      <c r="N36" s="567"/>
      <c r="O36" s="595"/>
      <c r="P36" s="712">
        <f t="shared" si="16"/>
        <v>0</v>
      </c>
      <c r="Q36" s="702"/>
      <c r="R36" s="490"/>
      <c r="S36" s="694">
        <f t="shared" si="17"/>
        <v>0</v>
      </c>
      <c r="T36" s="702"/>
      <c r="U36" s="490"/>
      <c r="V36" s="694">
        <f t="shared" si="18"/>
        <v>0</v>
      </c>
      <c r="W36" s="702"/>
      <c r="X36" s="490"/>
      <c r="Y36" s="694">
        <f t="shared" si="19"/>
        <v>0</v>
      </c>
      <c r="Z36" s="702"/>
      <c r="AA36" s="490"/>
      <c r="AB36" s="396">
        <f t="shared" si="10"/>
        <v>0</v>
      </c>
      <c r="AC36" s="397">
        <f t="shared" si="12"/>
        <v>0</v>
      </c>
      <c r="AD36" s="397">
        <f t="shared" si="13"/>
        <v>0</v>
      </c>
      <c r="AE36" s="398">
        <f t="shared" si="14"/>
        <v>0</v>
      </c>
      <c r="AF36" s="670">
        <f t="shared" si="11"/>
        <v>0</v>
      </c>
      <c r="AG36" s="352"/>
      <c r="AH36" s="655"/>
      <c r="AJ36" s="353"/>
      <c r="AK36" s="16">
        <f t="shared" si="8"/>
        <v>0</v>
      </c>
    </row>
    <row r="37" spans="1:42" s="12" customFormat="1" ht="23.1" hidden="1" customHeight="1" x14ac:dyDescent="0.3">
      <c r="A37" s="98"/>
      <c r="B37" s="387"/>
      <c r="C37" s="388"/>
      <c r="D37" s="389"/>
      <c r="E37" s="367"/>
      <c r="F37" s="367"/>
      <c r="G37" s="703">
        <f t="shared" si="9"/>
        <v>0</v>
      </c>
      <c r="H37" s="704"/>
      <c r="I37" s="705"/>
      <c r="J37" s="704"/>
      <c r="K37" s="706"/>
      <c r="L37" s="704"/>
      <c r="M37" s="706"/>
      <c r="N37" s="707"/>
      <c r="O37" s="706"/>
      <c r="P37" s="713">
        <f t="shared" si="16"/>
        <v>0</v>
      </c>
      <c r="Q37" s="709"/>
      <c r="R37" s="710"/>
      <c r="S37" s="714">
        <f t="shared" si="17"/>
        <v>0</v>
      </c>
      <c r="T37" s="709"/>
      <c r="U37" s="710"/>
      <c r="V37" s="714">
        <f t="shared" si="18"/>
        <v>0</v>
      </c>
      <c r="W37" s="709"/>
      <c r="X37" s="710"/>
      <c r="Y37" s="714">
        <f t="shared" si="19"/>
        <v>0</v>
      </c>
      <c r="Z37" s="709"/>
      <c r="AA37" s="710"/>
      <c r="AB37" s="384">
        <f t="shared" si="10"/>
        <v>0</v>
      </c>
      <c r="AC37" s="385">
        <f t="shared" ref="AC37:AC39" si="20">+AB37-SUM(J37:K37)+SUM(U37)</f>
        <v>0</v>
      </c>
      <c r="AD37" s="385">
        <f t="shared" ref="AD37:AD39" si="21">+AC37-SUM(L37:M37)+SUM(X37)</f>
        <v>0</v>
      </c>
      <c r="AE37" s="386">
        <f t="shared" ref="AE37:AE39" si="22">+AD37-SUM(N37:O37)+SUM(AA37)</f>
        <v>0</v>
      </c>
      <c r="AF37" s="670">
        <f t="shared" si="11"/>
        <v>0</v>
      </c>
      <c r="AG37" s="352"/>
      <c r="AH37" s="655"/>
      <c r="AJ37" s="353"/>
      <c r="AK37" s="16">
        <f t="shared" si="8"/>
        <v>0</v>
      </c>
    </row>
    <row r="38" spans="1:42" s="12" customFormat="1" ht="23.1" hidden="1" customHeight="1" x14ac:dyDescent="0.3">
      <c r="A38" s="99"/>
      <c r="B38" s="368"/>
      <c r="C38" s="369"/>
      <c r="D38" s="370"/>
      <c r="E38" s="371"/>
      <c r="F38" s="371"/>
      <c r="G38" s="693">
        <f t="shared" si="9"/>
        <v>0</v>
      </c>
      <c r="H38" s="566"/>
      <c r="I38" s="572"/>
      <c r="J38" s="566"/>
      <c r="K38" s="595"/>
      <c r="L38" s="566"/>
      <c r="M38" s="595"/>
      <c r="N38" s="567"/>
      <c r="O38" s="595"/>
      <c r="P38" s="712">
        <f t="shared" si="16"/>
        <v>0</v>
      </c>
      <c r="Q38" s="702"/>
      <c r="R38" s="490"/>
      <c r="S38" s="694">
        <f t="shared" si="17"/>
        <v>0</v>
      </c>
      <c r="T38" s="702"/>
      <c r="U38" s="490"/>
      <c r="V38" s="694">
        <f t="shared" si="18"/>
        <v>0</v>
      </c>
      <c r="W38" s="702"/>
      <c r="X38" s="490"/>
      <c r="Y38" s="694">
        <f t="shared" si="19"/>
        <v>0</v>
      </c>
      <c r="Z38" s="702"/>
      <c r="AA38" s="490"/>
      <c r="AB38" s="396">
        <f t="shared" si="10"/>
        <v>0</v>
      </c>
      <c r="AC38" s="397">
        <f t="shared" si="20"/>
        <v>0</v>
      </c>
      <c r="AD38" s="397">
        <f t="shared" si="21"/>
        <v>0</v>
      </c>
      <c r="AE38" s="398">
        <f t="shared" si="22"/>
        <v>0</v>
      </c>
      <c r="AF38" s="670">
        <f t="shared" si="11"/>
        <v>0</v>
      </c>
      <c r="AG38" s="352"/>
      <c r="AH38" s="655"/>
      <c r="AJ38" s="353"/>
      <c r="AK38" s="16">
        <f t="shared" si="8"/>
        <v>0</v>
      </c>
    </row>
    <row r="39" spans="1:42" s="12" customFormat="1" ht="23.1" hidden="1" customHeight="1" x14ac:dyDescent="0.3">
      <c r="A39" s="99"/>
      <c r="B39" s="368"/>
      <c r="C39" s="369"/>
      <c r="D39" s="370"/>
      <c r="E39" s="371"/>
      <c r="F39" s="371"/>
      <c r="G39" s="693">
        <f t="shared" si="9"/>
        <v>0</v>
      </c>
      <c r="H39" s="566"/>
      <c r="I39" s="572"/>
      <c r="J39" s="566"/>
      <c r="K39" s="595"/>
      <c r="L39" s="566"/>
      <c r="M39" s="595"/>
      <c r="N39" s="567"/>
      <c r="O39" s="595"/>
      <c r="P39" s="712">
        <f t="shared" si="16"/>
        <v>0</v>
      </c>
      <c r="Q39" s="702"/>
      <c r="R39" s="490"/>
      <c r="S39" s="694">
        <f t="shared" si="17"/>
        <v>0</v>
      </c>
      <c r="T39" s="702"/>
      <c r="U39" s="490"/>
      <c r="V39" s="694">
        <f t="shared" si="18"/>
        <v>0</v>
      </c>
      <c r="W39" s="702"/>
      <c r="X39" s="490"/>
      <c r="Y39" s="694">
        <f t="shared" si="19"/>
        <v>0</v>
      </c>
      <c r="Z39" s="702"/>
      <c r="AA39" s="490"/>
      <c r="AB39" s="396">
        <f t="shared" si="10"/>
        <v>0</v>
      </c>
      <c r="AC39" s="397">
        <f t="shared" si="20"/>
        <v>0</v>
      </c>
      <c r="AD39" s="397">
        <f t="shared" si="21"/>
        <v>0</v>
      </c>
      <c r="AE39" s="398">
        <f t="shared" si="22"/>
        <v>0</v>
      </c>
      <c r="AF39" s="670">
        <f t="shared" si="11"/>
        <v>0</v>
      </c>
      <c r="AG39" s="352"/>
      <c r="AH39" s="655"/>
      <c r="AJ39" s="353"/>
      <c r="AK39" s="16">
        <f t="shared" si="8"/>
        <v>0</v>
      </c>
    </row>
    <row r="40" spans="1:42" s="12" customFormat="1" ht="23.1" hidden="1" customHeight="1" x14ac:dyDescent="0.3">
      <c r="A40" s="98"/>
      <c r="B40" s="387"/>
      <c r="C40" s="388"/>
      <c r="D40" s="389"/>
      <c r="E40" s="367"/>
      <c r="F40" s="367"/>
      <c r="G40" s="703">
        <f t="shared" si="9"/>
        <v>0</v>
      </c>
      <c r="H40" s="704"/>
      <c r="I40" s="705"/>
      <c r="J40" s="704"/>
      <c r="K40" s="706"/>
      <c r="L40" s="704"/>
      <c r="M40" s="706"/>
      <c r="N40" s="707"/>
      <c r="O40" s="706"/>
      <c r="P40" s="713">
        <f t="shared" si="16"/>
        <v>0</v>
      </c>
      <c r="Q40" s="709"/>
      <c r="R40" s="710"/>
      <c r="S40" s="714">
        <f t="shared" si="17"/>
        <v>0</v>
      </c>
      <c r="T40" s="709"/>
      <c r="U40" s="710"/>
      <c r="V40" s="714">
        <f t="shared" si="18"/>
        <v>0</v>
      </c>
      <c r="W40" s="709"/>
      <c r="X40" s="710"/>
      <c r="Y40" s="714">
        <f t="shared" si="19"/>
        <v>0</v>
      </c>
      <c r="Z40" s="709"/>
      <c r="AA40" s="710"/>
      <c r="AB40" s="384">
        <f t="shared" si="10"/>
        <v>0</v>
      </c>
      <c r="AC40" s="385">
        <f t="shared" si="12"/>
        <v>0</v>
      </c>
      <c r="AD40" s="385">
        <f t="shared" si="13"/>
        <v>0</v>
      </c>
      <c r="AE40" s="386">
        <f t="shared" si="14"/>
        <v>0</v>
      </c>
      <c r="AF40" s="670">
        <f t="shared" si="11"/>
        <v>0</v>
      </c>
      <c r="AG40" s="352"/>
      <c r="AH40" s="655"/>
      <c r="AJ40" s="353"/>
      <c r="AK40" s="16">
        <f t="shared" si="8"/>
        <v>0</v>
      </c>
    </row>
    <row r="41" spans="1:42" s="12" customFormat="1" ht="23.1" hidden="1" customHeight="1" x14ac:dyDescent="0.3">
      <c r="A41" s="99"/>
      <c r="B41" s="368"/>
      <c r="C41" s="369"/>
      <c r="D41" s="370"/>
      <c r="E41" s="371"/>
      <c r="F41" s="371"/>
      <c r="G41" s="693">
        <f t="shared" si="9"/>
        <v>0</v>
      </c>
      <c r="H41" s="566"/>
      <c r="I41" s="572"/>
      <c r="J41" s="566"/>
      <c r="K41" s="595"/>
      <c r="L41" s="566"/>
      <c r="M41" s="595"/>
      <c r="N41" s="567"/>
      <c r="O41" s="595"/>
      <c r="P41" s="712">
        <f t="shared" si="16"/>
        <v>0</v>
      </c>
      <c r="Q41" s="702"/>
      <c r="R41" s="490"/>
      <c r="S41" s="694">
        <f t="shared" si="17"/>
        <v>0</v>
      </c>
      <c r="T41" s="702"/>
      <c r="U41" s="490"/>
      <c r="V41" s="694">
        <f t="shared" si="18"/>
        <v>0</v>
      </c>
      <c r="W41" s="702"/>
      <c r="X41" s="490"/>
      <c r="Y41" s="694">
        <f t="shared" si="19"/>
        <v>0</v>
      </c>
      <c r="Z41" s="702"/>
      <c r="AA41" s="490"/>
      <c r="AB41" s="396">
        <f t="shared" si="10"/>
        <v>0</v>
      </c>
      <c r="AC41" s="397">
        <f t="shared" ref="AC41" si="23">+AB41-SUM(J41:K41)+SUM(U41)</f>
        <v>0</v>
      </c>
      <c r="AD41" s="397">
        <f t="shared" ref="AD41" si="24">+AC41-SUM(L41:M41)+SUM(X41)</f>
        <v>0</v>
      </c>
      <c r="AE41" s="398">
        <f t="shared" ref="AE41" si="25">+AD41-SUM(N41:O41)+SUM(AA41)</f>
        <v>0</v>
      </c>
      <c r="AF41" s="670">
        <f t="shared" si="11"/>
        <v>0</v>
      </c>
      <c r="AG41" s="352"/>
      <c r="AH41" s="655"/>
      <c r="AJ41" s="353"/>
      <c r="AK41" s="16">
        <f t="shared" si="8"/>
        <v>0</v>
      </c>
    </row>
    <row r="42" spans="1:42" s="12" customFormat="1" ht="23.1" hidden="1" customHeight="1" x14ac:dyDescent="0.3">
      <c r="A42" s="99"/>
      <c r="B42" s="368"/>
      <c r="C42" s="369"/>
      <c r="D42" s="370"/>
      <c r="E42" s="371"/>
      <c r="F42" s="371"/>
      <c r="G42" s="693">
        <f t="shared" si="9"/>
        <v>0</v>
      </c>
      <c r="H42" s="566"/>
      <c r="I42" s="572"/>
      <c r="J42" s="566"/>
      <c r="K42" s="595"/>
      <c r="L42" s="566"/>
      <c r="M42" s="595"/>
      <c r="N42" s="567"/>
      <c r="O42" s="595"/>
      <c r="P42" s="712">
        <f t="shared" si="16"/>
        <v>0</v>
      </c>
      <c r="Q42" s="702"/>
      <c r="R42" s="490"/>
      <c r="S42" s="694">
        <f t="shared" si="17"/>
        <v>0</v>
      </c>
      <c r="T42" s="702"/>
      <c r="U42" s="490"/>
      <c r="V42" s="694">
        <f t="shared" si="18"/>
        <v>0</v>
      </c>
      <c r="W42" s="702"/>
      <c r="X42" s="490"/>
      <c r="Y42" s="694">
        <f t="shared" si="19"/>
        <v>0</v>
      </c>
      <c r="Z42" s="702"/>
      <c r="AA42" s="490"/>
      <c r="AB42" s="396">
        <f t="shared" si="10"/>
        <v>0</v>
      </c>
      <c r="AC42" s="397">
        <f t="shared" ref="AC42" si="26">+AB42-SUM(J42:K42)+SUM(U42)</f>
        <v>0</v>
      </c>
      <c r="AD42" s="397">
        <f t="shared" ref="AD42" si="27">+AC42-SUM(L42:M42)+SUM(X42)</f>
        <v>0</v>
      </c>
      <c r="AE42" s="398">
        <f t="shared" ref="AE42" si="28">+AD42-SUM(N42:O42)+SUM(AA42)</f>
        <v>0</v>
      </c>
      <c r="AF42" s="670">
        <f t="shared" si="11"/>
        <v>0</v>
      </c>
      <c r="AG42" s="352"/>
      <c r="AH42" s="655"/>
      <c r="AJ42" s="353"/>
      <c r="AK42" s="16">
        <f t="shared" si="8"/>
        <v>0</v>
      </c>
    </row>
    <row r="43" spans="1:42" s="12" customFormat="1" ht="23.1" hidden="1" customHeight="1" thickBot="1" x14ac:dyDescent="0.35">
      <c r="A43" s="101"/>
      <c r="B43" s="399"/>
      <c r="C43" s="400"/>
      <c r="D43" s="401"/>
      <c r="E43" s="402"/>
      <c r="F43" s="402"/>
      <c r="G43" s="715">
        <f t="shared" si="9"/>
        <v>0</v>
      </c>
      <c r="H43" s="528"/>
      <c r="I43" s="716"/>
      <c r="J43" s="528"/>
      <c r="K43" s="529"/>
      <c r="L43" s="528"/>
      <c r="M43" s="529"/>
      <c r="N43" s="717"/>
      <c r="O43" s="529"/>
      <c r="P43" s="718">
        <f t="shared" si="16"/>
        <v>0</v>
      </c>
      <c r="Q43" s="719"/>
      <c r="R43" s="720"/>
      <c r="S43" s="721">
        <f t="shared" si="17"/>
        <v>0</v>
      </c>
      <c r="T43" s="719"/>
      <c r="U43" s="720"/>
      <c r="V43" s="721">
        <f t="shared" si="18"/>
        <v>0</v>
      </c>
      <c r="W43" s="719"/>
      <c r="X43" s="720"/>
      <c r="Y43" s="721">
        <f t="shared" si="19"/>
        <v>0</v>
      </c>
      <c r="Z43" s="719"/>
      <c r="AA43" s="720"/>
      <c r="AB43" s="358">
        <f t="shared" si="10"/>
        <v>0</v>
      </c>
      <c r="AC43" s="359">
        <f t="shared" si="12"/>
        <v>0</v>
      </c>
      <c r="AD43" s="359">
        <f t="shared" si="13"/>
        <v>0</v>
      </c>
      <c r="AE43" s="360">
        <f t="shared" si="14"/>
        <v>0</v>
      </c>
      <c r="AF43" s="670">
        <f t="shared" si="11"/>
        <v>0</v>
      </c>
      <c r="AG43" s="352"/>
      <c r="AH43" s="655"/>
      <c r="AJ43" s="353"/>
      <c r="AK43" s="16">
        <f t="shared" si="8"/>
        <v>0</v>
      </c>
    </row>
    <row r="44" spans="1:42" s="12" customFormat="1" ht="28.5" customHeight="1" thickTop="1" x14ac:dyDescent="0.3">
      <c r="A44" s="267" t="s">
        <v>88</v>
      </c>
      <c r="B44" s="403" t="s">
        <v>89</v>
      </c>
      <c r="C44" s="485">
        <f>17+17</f>
        <v>34</v>
      </c>
      <c r="D44" s="347">
        <f>0+15.8</f>
        <v>15.8</v>
      </c>
      <c r="E44" s="371"/>
      <c r="F44" s="371"/>
      <c r="G44" s="722">
        <v>15</v>
      </c>
      <c r="H44" s="723">
        <v>5</v>
      </c>
      <c r="I44" s="724">
        <f>+SUMIF(秏料!$B$3:$B$133,$A44,秏料!$F$3:$F$133)</f>
        <v>2</v>
      </c>
      <c r="J44" s="725">
        <v>18</v>
      </c>
      <c r="K44" s="726">
        <f>+SUMIF(秏料!$B$3:$B$133,$A44,秏料!$H$3:$H$133)</f>
        <v>16</v>
      </c>
      <c r="L44" s="727">
        <v>18</v>
      </c>
      <c r="M44" s="726">
        <f>+SUMIF(秏料!$B$3:$B$133,$A44,秏料!$J$3:$J$133)</f>
        <v>16</v>
      </c>
      <c r="N44" s="728">
        <v>18</v>
      </c>
      <c r="O44" s="729">
        <f>+SUMIF(秏料!$B$3:$B$133,$A44,秏料!$L$3:$L$133)</f>
        <v>16</v>
      </c>
      <c r="P44" s="730" t="str">
        <f>+IF(R44&lt;&gt;0,"充填",0)</f>
        <v>充填</v>
      </c>
      <c r="Q44" s="731" t="str">
        <f>IF(R44=0,0,P$4)</f>
        <v>24~31</v>
      </c>
      <c r="R44" s="732">
        <f>+H44+I44</f>
        <v>7</v>
      </c>
      <c r="S44" s="733" t="str">
        <f>+IF(U44&lt;&gt;0,"充填",0)</f>
        <v>充填</v>
      </c>
      <c r="T44" s="734" t="str">
        <f>IF(U44=0,0,S$4)</f>
        <v>9月</v>
      </c>
      <c r="U44" s="732">
        <f>+J44+K44</f>
        <v>34</v>
      </c>
      <c r="V44" s="735" t="str">
        <f>+IF(X44&lt;&gt;0,"充填",0)</f>
        <v>充填</v>
      </c>
      <c r="W44" s="736" t="str">
        <f>IF(X44=0,0,V$4)</f>
        <v>10月</v>
      </c>
      <c r="X44" s="732">
        <f>+L44+M44</f>
        <v>34</v>
      </c>
      <c r="Y44" s="735" t="str">
        <f>+IF(AA44&lt;&gt;0,"充填",0)</f>
        <v>充填</v>
      </c>
      <c r="Z44" s="736" t="str">
        <f>IF(AA44=0,0,Y$4)</f>
        <v>11月</v>
      </c>
      <c r="AA44" s="737">
        <f>+N44+O44</f>
        <v>34</v>
      </c>
      <c r="AB44" s="404">
        <f t="shared" si="10"/>
        <v>15</v>
      </c>
      <c r="AC44" s="405">
        <f t="shared" ref="AC44" si="29">+AB44-SUM(J44:K44)+SUM(U44)</f>
        <v>15</v>
      </c>
      <c r="AD44" s="405">
        <f t="shared" ref="AD44" si="30">+AC44-SUM(L44:M44)+SUM(X44)</f>
        <v>15</v>
      </c>
      <c r="AE44" s="406">
        <f t="shared" ref="AE44" si="31">+AD44-SUM(N44:O44)+SUM(AA44)</f>
        <v>15</v>
      </c>
      <c r="AF44" s="670">
        <f t="shared" ref="AF44:AF58" si="32">+IF(SUM(G44,H44:O44,P44,S44,V44,Z44)&gt;0,1,0)</f>
        <v>1</v>
      </c>
      <c r="AG44" s="352"/>
      <c r="AH44" s="654"/>
      <c r="AJ44" s="353"/>
      <c r="AK44" s="16">
        <f t="shared" si="8"/>
        <v>1</v>
      </c>
      <c r="AM44" s="352"/>
      <c r="AN44" s="465"/>
      <c r="AO44" s="465"/>
      <c r="AP44" s="352"/>
    </row>
    <row r="45" spans="1:42" s="12" customFormat="1" ht="28.5" customHeight="1" x14ac:dyDescent="0.3">
      <c r="A45" s="99" t="s">
        <v>90</v>
      </c>
      <c r="B45" s="368" t="s">
        <v>91</v>
      </c>
      <c r="C45" s="486">
        <f>17+17</f>
        <v>34</v>
      </c>
      <c r="D45" s="920">
        <f>16.87+0</f>
        <v>16.87</v>
      </c>
      <c r="E45" s="409"/>
      <c r="F45" s="409"/>
      <c r="G45" s="683">
        <v>6</v>
      </c>
      <c r="H45" s="738">
        <v>4</v>
      </c>
      <c r="I45" s="424">
        <f>+SUMIF(秏料!$B$3:$B$133,$A45,秏料!$F$3:$F$133)</f>
        <v>1</v>
      </c>
      <c r="J45" s="739">
        <v>17</v>
      </c>
      <c r="K45" s="685">
        <f>+SUMIF(秏料!$B$3:$B$133,$A45,秏料!$H$3:$H$133)</f>
        <v>4</v>
      </c>
      <c r="L45" s="684">
        <v>17</v>
      </c>
      <c r="M45" s="685">
        <f>+SUMIF(秏料!$B$3:$B$133,$A45,秏料!$J$3:$J$133)</f>
        <v>4</v>
      </c>
      <c r="N45" s="740">
        <v>17</v>
      </c>
      <c r="O45" s="741">
        <f>+SUMIF(秏料!$B$3:$B$133,$A45,秏料!$L$3:$L$133)</f>
        <v>4</v>
      </c>
      <c r="P45" s="698" t="str">
        <f t="shared" ref="P45:P49" si="33">+IF(R45&lt;&gt;0,"充填",0)</f>
        <v>充填</v>
      </c>
      <c r="Q45" s="742" t="str">
        <f t="shared" ref="Q45:Q58" si="34">IF(R45=0,0,P$4)</f>
        <v>24~31</v>
      </c>
      <c r="R45" s="743">
        <f>+H45+I45</f>
        <v>5</v>
      </c>
      <c r="S45" s="744" t="str">
        <f t="shared" ref="S45:S49" si="35">+IF(U45&lt;&gt;0,"充填",0)</f>
        <v>充填</v>
      </c>
      <c r="T45" s="745" t="str">
        <f t="shared" ref="T45:T58" si="36">IF(U45=0,0,S$4)</f>
        <v>9月</v>
      </c>
      <c r="U45" s="743">
        <f t="shared" ref="U45:U57" si="37">+J45+K45</f>
        <v>21</v>
      </c>
      <c r="V45" s="744" t="str">
        <f t="shared" ref="V45:V49" si="38">+IF(X45&lt;&gt;0,"充填",0)</f>
        <v>充填</v>
      </c>
      <c r="W45" s="745" t="str">
        <f t="shared" ref="W45:W58" si="39">IF(X45=0,0,V$4)</f>
        <v>10月</v>
      </c>
      <c r="X45" s="743">
        <f t="shared" ref="X45:X58" si="40">+L45+M45</f>
        <v>21</v>
      </c>
      <c r="Y45" s="744" t="str">
        <f t="shared" ref="Y45:Y49" si="41">+IF(AA45&lt;&gt;0,"充填",0)</f>
        <v>充填</v>
      </c>
      <c r="Z45" s="745" t="str">
        <f t="shared" ref="Z45:Z58" si="42">IF(AA45=0,0,Y$4)</f>
        <v>11月</v>
      </c>
      <c r="AA45" s="746">
        <f t="shared" ref="AA45:AA58" si="43">+N45+O45</f>
        <v>21</v>
      </c>
      <c r="AB45" s="349">
        <f t="shared" si="10"/>
        <v>6</v>
      </c>
      <c r="AC45" s="350">
        <f t="shared" ref="AC45:AC58" si="44">+AB45-SUM(J45:K45)+SUM(U45)</f>
        <v>6</v>
      </c>
      <c r="AD45" s="350">
        <f t="shared" ref="AD45:AD58" si="45">+AC45-SUM(L45:M45)+SUM(X45)</f>
        <v>6</v>
      </c>
      <c r="AE45" s="351">
        <f t="shared" ref="AE45:AE58" si="46">+AD45-SUM(N45:O45)+SUM(AA45)</f>
        <v>6</v>
      </c>
      <c r="AF45" s="670">
        <f t="shared" si="32"/>
        <v>1</v>
      </c>
      <c r="AG45" s="352"/>
      <c r="AH45" s="654"/>
      <c r="AJ45" s="353"/>
      <c r="AK45" s="16">
        <f t="shared" si="8"/>
        <v>1</v>
      </c>
      <c r="AM45" s="352"/>
      <c r="AN45" s="465"/>
      <c r="AO45" s="465"/>
      <c r="AP45" s="352"/>
    </row>
    <row r="46" spans="1:42" s="12" customFormat="1" ht="23.1" hidden="1" customHeight="1" x14ac:dyDescent="0.3">
      <c r="A46" s="97" t="s">
        <v>92</v>
      </c>
      <c r="B46" s="390" t="s">
        <v>93</v>
      </c>
      <c r="C46" s="361"/>
      <c r="D46" s="408">
        <v>0</v>
      </c>
      <c r="E46" s="363"/>
      <c r="F46" s="363"/>
      <c r="G46" s="377">
        <f>IF(+D46+E46-F46&lt;=0,0,+D46+E46-F46)</f>
        <v>0</v>
      </c>
      <c r="H46" s="747"/>
      <c r="I46" s="435"/>
      <c r="J46" s="748"/>
      <c r="K46" s="379"/>
      <c r="L46" s="378"/>
      <c r="M46" s="379"/>
      <c r="N46" s="749"/>
      <c r="O46" s="750"/>
      <c r="P46" s="698">
        <f t="shared" si="33"/>
        <v>0</v>
      </c>
      <c r="Q46" s="742">
        <f t="shared" si="34"/>
        <v>0</v>
      </c>
      <c r="R46" s="751">
        <f>+H46+I46</f>
        <v>0</v>
      </c>
      <c r="S46" s="744">
        <f t="shared" si="35"/>
        <v>0</v>
      </c>
      <c r="T46" s="745">
        <f t="shared" si="36"/>
        <v>0</v>
      </c>
      <c r="U46" s="751">
        <f t="shared" si="37"/>
        <v>0</v>
      </c>
      <c r="V46" s="744">
        <f t="shared" si="38"/>
        <v>0</v>
      </c>
      <c r="W46" s="745">
        <f t="shared" si="39"/>
        <v>0</v>
      </c>
      <c r="X46" s="751">
        <f t="shared" si="40"/>
        <v>0</v>
      </c>
      <c r="Y46" s="744">
        <f t="shared" si="41"/>
        <v>0</v>
      </c>
      <c r="Z46" s="745">
        <f t="shared" si="42"/>
        <v>0</v>
      </c>
      <c r="AA46" s="752">
        <f t="shared" si="43"/>
        <v>0</v>
      </c>
      <c r="AB46" s="349">
        <f t="shared" si="10"/>
        <v>0</v>
      </c>
      <c r="AC46" s="350">
        <f t="shared" si="44"/>
        <v>0</v>
      </c>
      <c r="AD46" s="350">
        <f t="shared" si="45"/>
        <v>0</v>
      </c>
      <c r="AE46" s="351">
        <f t="shared" si="46"/>
        <v>0</v>
      </c>
      <c r="AF46" s="670">
        <f t="shared" si="32"/>
        <v>0</v>
      </c>
      <c r="AG46" s="352"/>
      <c r="AH46" s="654"/>
      <c r="AJ46" s="353"/>
      <c r="AK46" s="16">
        <f t="shared" si="8"/>
        <v>0</v>
      </c>
      <c r="AM46" s="352"/>
      <c r="AN46" s="465"/>
      <c r="AO46" s="465"/>
      <c r="AP46" s="352"/>
    </row>
    <row r="47" spans="1:42" s="12" customFormat="1" ht="28.5" customHeight="1" x14ac:dyDescent="0.3">
      <c r="A47" s="99" t="s">
        <v>94</v>
      </c>
      <c r="B47" s="403" t="s">
        <v>95</v>
      </c>
      <c r="C47" s="382">
        <f>0</f>
        <v>0</v>
      </c>
      <c r="D47" s="347">
        <f>0</f>
        <v>0</v>
      </c>
      <c r="E47" s="348"/>
      <c r="F47" s="348"/>
      <c r="G47" s="683">
        <v>10</v>
      </c>
      <c r="H47" s="738">
        <v>24</v>
      </c>
      <c r="I47" s="424"/>
      <c r="J47" s="739">
        <v>130</v>
      </c>
      <c r="K47" s="685"/>
      <c r="L47" s="684">
        <v>130</v>
      </c>
      <c r="M47" s="685"/>
      <c r="N47" s="740">
        <v>130</v>
      </c>
      <c r="O47" s="741"/>
      <c r="P47" s="698" t="str">
        <f t="shared" si="33"/>
        <v>充填</v>
      </c>
      <c r="Q47" s="742" t="str">
        <f t="shared" si="34"/>
        <v>24~31</v>
      </c>
      <c r="R47" s="743">
        <f>+H47+I47</f>
        <v>24</v>
      </c>
      <c r="S47" s="744" t="str">
        <f t="shared" si="35"/>
        <v>充填</v>
      </c>
      <c r="T47" s="745" t="str">
        <f t="shared" si="36"/>
        <v>9月</v>
      </c>
      <c r="U47" s="743">
        <f t="shared" si="37"/>
        <v>130</v>
      </c>
      <c r="V47" s="744" t="str">
        <f t="shared" si="38"/>
        <v>充填</v>
      </c>
      <c r="W47" s="745" t="str">
        <f t="shared" si="39"/>
        <v>10月</v>
      </c>
      <c r="X47" s="743">
        <f t="shared" si="40"/>
        <v>130</v>
      </c>
      <c r="Y47" s="744" t="str">
        <f t="shared" si="41"/>
        <v>充填</v>
      </c>
      <c r="Z47" s="745" t="str">
        <f t="shared" si="42"/>
        <v>11月</v>
      </c>
      <c r="AA47" s="746">
        <f t="shared" si="43"/>
        <v>130</v>
      </c>
      <c r="AB47" s="349">
        <f t="shared" si="10"/>
        <v>10</v>
      </c>
      <c r="AC47" s="350">
        <f t="shared" si="44"/>
        <v>10</v>
      </c>
      <c r="AD47" s="350">
        <f t="shared" si="45"/>
        <v>10</v>
      </c>
      <c r="AE47" s="351">
        <f t="shared" si="46"/>
        <v>10</v>
      </c>
      <c r="AF47" s="670">
        <f t="shared" si="32"/>
        <v>1</v>
      </c>
      <c r="AG47" s="352"/>
      <c r="AH47" s="654"/>
      <c r="AJ47" s="353"/>
      <c r="AK47" s="16">
        <f t="shared" si="8"/>
        <v>1</v>
      </c>
      <c r="AM47" s="352"/>
      <c r="AN47" s="465"/>
      <c r="AO47" s="465"/>
      <c r="AP47" s="352"/>
    </row>
    <row r="48" spans="1:42" s="12" customFormat="1" ht="23.1" hidden="1" customHeight="1" x14ac:dyDescent="0.3">
      <c r="A48" s="99" t="s">
        <v>96</v>
      </c>
      <c r="B48" s="368" t="s">
        <v>97</v>
      </c>
      <c r="C48" s="407">
        <v>6</v>
      </c>
      <c r="D48" s="408">
        <f>0</f>
        <v>0</v>
      </c>
      <c r="E48" s="410"/>
      <c r="F48" s="410"/>
      <c r="G48" s="683">
        <f>IF(+D48+E48-F48&lt;=0,0,+D48+E48-F48)</f>
        <v>0</v>
      </c>
      <c r="H48" s="738">
        <v>0</v>
      </c>
      <c r="I48" s="424"/>
      <c r="J48" s="739">
        <v>0</v>
      </c>
      <c r="K48" s="685"/>
      <c r="L48" s="684">
        <v>0</v>
      </c>
      <c r="M48" s="685"/>
      <c r="N48" s="740">
        <v>0</v>
      </c>
      <c r="O48" s="741"/>
      <c r="P48" s="698">
        <f t="shared" si="33"/>
        <v>0</v>
      </c>
      <c r="Q48" s="742">
        <f t="shared" si="34"/>
        <v>0</v>
      </c>
      <c r="R48" s="743">
        <f>+H48+I48</f>
        <v>0</v>
      </c>
      <c r="S48" s="744">
        <f t="shared" si="35"/>
        <v>0</v>
      </c>
      <c r="T48" s="745">
        <f t="shared" si="36"/>
        <v>0</v>
      </c>
      <c r="U48" s="746">
        <f t="shared" si="37"/>
        <v>0</v>
      </c>
      <c r="V48" s="744">
        <f t="shared" si="38"/>
        <v>0</v>
      </c>
      <c r="W48" s="745">
        <f t="shared" si="39"/>
        <v>0</v>
      </c>
      <c r="X48" s="743">
        <f t="shared" si="40"/>
        <v>0</v>
      </c>
      <c r="Y48" s="744">
        <f t="shared" si="41"/>
        <v>0</v>
      </c>
      <c r="Z48" s="745">
        <f t="shared" si="42"/>
        <v>0</v>
      </c>
      <c r="AA48" s="746">
        <f t="shared" si="43"/>
        <v>0</v>
      </c>
      <c r="AB48" s="349">
        <f t="shared" si="10"/>
        <v>0</v>
      </c>
      <c r="AC48" s="350">
        <f t="shared" si="44"/>
        <v>0</v>
      </c>
      <c r="AD48" s="350">
        <f t="shared" si="45"/>
        <v>0</v>
      </c>
      <c r="AE48" s="351">
        <f t="shared" si="46"/>
        <v>0</v>
      </c>
      <c r="AF48" s="670">
        <f t="shared" si="32"/>
        <v>0</v>
      </c>
      <c r="AG48" s="352"/>
      <c r="AH48" s="654"/>
      <c r="AJ48" s="353"/>
      <c r="AK48" s="16">
        <f t="shared" si="8"/>
        <v>0</v>
      </c>
      <c r="AM48" s="352"/>
      <c r="AN48" s="465"/>
      <c r="AO48" s="465"/>
      <c r="AP48" s="352"/>
    </row>
    <row r="49" spans="1:42" s="12" customFormat="1" ht="28.5" customHeight="1" x14ac:dyDescent="0.3">
      <c r="A49" s="97" t="s">
        <v>98</v>
      </c>
      <c r="B49" s="390" t="s">
        <v>97</v>
      </c>
      <c r="C49" s="361">
        <v>20</v>
      </c>
      <c r="D49" s="362">
        <v>8.4789999999999992</v>
      </c>
      <c r="E49" s="363"/>
      <c r="F49" s="363"/>
      <c r="G49" s="377">
        <v>6</v>
      </c>
      <c r="H49" s="753">
        <v>4</v>
      </c>
      <c r="I49" s="435"/>
      <c r="J49" s="748">
        <v>25</v>
      </c>
      <c r="K49" s="379"/>
      <c r="L49" s="378">
        <v>25</v>
      </c>
      <c r="M49" s="379"/>
      <c r="N49" s="749">
        <v>25</v>
      </c>
      <c r="O49" s="750"/>
      <c r="P49" s="698" t="str">
        <f t="shared" si="33"/>
        <v>充填</v>
      </c>
      <c r="Q49" s="742" t="str">
        <f t="shared" si="34"/>
        <v>24~31</v>
      </c>
      <c r="R49" s="751">
        <f t="shared" ref="R49:R58" si="47">+H49+I49</f>
        <v>4</v>
      </c>
      <c r="S49" s="678" t="str">
        <f t="shared" si="35"/>
        <v>充填</v>
      </c>
      <c r="T49" s="754" t="str">
        <f t="shared" si="36"/>
        <v>9月</v>
      </c>
      <c r="U49" s="751">
        <f t="shared" si="37"/>
        <v>25</v>
      </c>
      <c r="V49" s="744" t="str">
        <f t="shared" si="38"/>
        <v>充填</v>
      </c>
      <c r="W49" s="745" t="str">
        <f t="shared" si="39"/>
        <v>10月</v>
      </c>
      <c r="X49" s="751">
        <f t="shared" si="40"/>
        <v>25</v>
      </c>
      <c r="Y49" s="744" t="str">
        <f t="shared" si="41"/>
        <v>充填</v>
      </c>
      <c r="Z49" s="745" t="str">
        <f t="shared" si="42"/>
        <v>11月</v>
      </c>
      <c r="AA49" s="752">
        <f t="shared" si="43"/>
        <v>25</v>
      </c>
      <c r="AB49" s="349">
        <f t="shared" si="10"/>
        <v>6</v>
      </c>
      <c r="AC49" s="350">
        <f t="shared" si="44"/>
        <v>6</v>
      </c>
      <c r="AD49" s="350">
        <f t="shared" si="45"/>
        <v>6</v>
      </c>
      <c r="AE49" s="351">
        <f t="shared" si="46"/>
        <v>6</v>
      </c>
      <c r="AF49" s="670">
        <f t="shared" si="32"/>
        <v>1</v>
      </c>
      <c r="AG49" s="352"/>
      <c r="AH49" s="654"/>
      <c r="AJ49" s="353"/>
      <c r="AK49" s="16">
        <f t="shared" si="8"/>
        <v>1</v>
      </c>
      <c r="AM49" s="352"/>
      <c r="AN49" s="465"/>
      <c r="AO49" s="465"/>
      <c r="AP49" s="352"/>
    </row>
    <row r="50" spans="1:42" s="12" customFormat="1" ht="23.1" hidden="1" customHeight="1" x14ac:dyDescent="0.3">
      <c r="A50" s="97" t="s">
        <v>99</v>
      </c>
      <c r="B50" s="403"/>
      <c r="C50" s="354"/>
      <c r="D50" s="347"/>
      <c r="E50" s="348"/>
      <c r="F50" s="348"/>
      <c r="G50" s="671"/>
      <c r="H50" s="753"/>
      <c r="I50" s="435"/>
      <c r="J50" s="748">
        <v>0</v>
      </c>
      <c r="K50" s="379"/>
      <c r="L50" s="378">
        <v>0</v>
      </c>
      <c r="M50" s="379"/>
      <c r="N50" s="749">
        <v>0</v>
      </c>
      <c r="O50" s="750"/>
      <c r="P50" s="698">
        <f t="shared" ref="P50:P58" si="48">+IF(R50&lt;&gt;0,"充填",0)</f>
        <v>0</v>
      </c>
      <c r="Q50" s="742">
        <f t="shared" si="34"/>
        <v>0</v>
      </c>
      <c r="R50" s="755">
        <f t="shared" si="47"/>
        <v>0</v>
      </c>
      <c r="S50" s="678">
        <f t="shared" ref="S50:S58" si="49">+IF(U50&lt;&gt;0,"充填",0)</f>
        <v>0</v>
      </c>
      <c r="T50" s="754">
        <f t="shared" si="36"/>
        <v>0</v>
      </c>
      <c r="U50" s="751">
        <f t="shared" si="37"/>
        <v>0</v>
      </c>
      <c r="V50" s="744">
        <f t="shared" ref="V50:V58" si="50">+IF(X50&lt;&gt;0,"充填",0)</f>
        <v>0</v>
      </c>
      <c r="W50" s="745">
        <f t="shared" si="39"/>
        <v>0</v>
      </c>
      <c r="X50" s="751">
        <f t="shared" si="40"/>
        <v>0</v>
      </c>
      <c r="Y50" s="744">
        <f t="shared" ref="Y50:Y58" si="51">+IF(AA50&lt;&gt;0,"充填",0)</f>
        <v>0</v>
      </c>
      <c r="Z50" s="745">
        <f t="shared" si="42"/>
        <v>0</v>
      </c>
      <c r="AA50" s="752">
        <f t="shared" si="43"/>
        <v>0</v>
      </c>
      <c r="AB50" s="384">
        <f t="shared" si="10"/>
        <v>0</v>
      </c>
      <c r="AC50" s="385">
        <f t="shared" si="44"/>
        <v>0</v>
      </c>
      <c r="AD50" s="385">
        <f t="shared" si="45"/>
        <v>0</v>
      </c>
      <c r="AE50" s="386">
        <f t="shared" si="46"/>
        <v>0</v>
      </c>
      <c r="AF50" s="670">
        <f t="shared" si="32"/>
        <v>0</v>
      </c>
      <c r="AG50" s="352"/>
      <c r="AH50" s="655"/>
      <c r="AJ50" s="353"/>
      <c r="AK50" s="16">
        <f t="shared" si="8"/>
        <v>0</v>
      </c>
    </row>
    <row r="51" spans="1:42" s="12" customFormat="1" ht="28.5" customHeight="1" thickBot="1" x14ac:dyDescent="0.35">
      <c r="A51" s="99" t="s">
        <v>100</v>
      </c>
      <c r="B51" s="368"/>
      <c r="C51" s="407"/>
      <c r="D51" s="920">
        <v>6.1440000000000001</v>
      </c>
      <c r="E51" s="410"/>
      <c r="F51" s="410"/>
      <c r="G51" s="683">
        <f t="shared" ref="G51:G58" si="52">+D51+E51-F51</f>
        <v>6.1440000000000001</v>
      </c>
      <c r="H51" s="738">
        <v>3</v>
      </c>
      <c r="I51" s="424"/>
      <c r="J51" s="739">
        <v>20</v>
      </c>
      <c r="K51" s="685"/>
      <c r="L51" s="684">
        <v>20</v>
      </c>
      <c r="M51" s="685"/>
      <c r="N51" s="740">
        <v>20</v>
      </c>
      <c r="O51" s="741"/>
      <c r="P51" s="698" t="str">
        <f t="shared" si="48"/>
        <v>充填</v>
      </c>
      <c r="Q51" s="742" t="str">
        <f t="shared" si="34"/>
        <v>24~31</v>
      </c>
      <c r="R51" s="743">
        <f t="shared" ref="R51:R54" si="53">+H51+I51</f>
        <v>3</v>
      </c>
      <c r="S51" s="678" t="str">
        <f t="shared" si="49"/>
        <v>充填</v>
      </c>
      <c r="T51" s="754" t="str">
        <f t="shared" si="36"/>
        <v>9月</v>
      </c>
      <c r="U51" s="743">
        <f t="shared" ref="U51:U53" si="54">+J51+K51</f>
        <v>20</v>
      </c>
      <c r="V51" s="744" t="str">
        <f t="shared" si="50"/>
        <v>充填</v>
      </c>
      <c r="W51" s="745" t="str">
        <f t="shared" si="39"/>
        <v>10月</v>
      </c>
      <c r="X51" s="743">
        <f t="shared" ref="X51:X54" si="55">+L51+M51</f>
        <v>20</v>
      </c>
      <c r="Y51" s="744" t="str">
        <f t="shared" si="51"/>
        <v>充填</v>
      </c>
      <c r="Z51" s="745" t="str">
        <f t="shared" si="42"/>
        <v>11月</v>
      </c>
      <c r="AA51" s="746">
        <f t="shared" ref="AA51:AA54" si="56">+N51+O51</f>
        <v>20</v>
      </c>
      <c r="AB51" s="349">
        <f t="shared" si="10"/>
        <v>6.1440000000000001</v>
      </c>
      <c r="AC51" s="350">
        <f t="shared" ref="AC51:AC54" si="57">+AB51-SUM(J51:K51)+SUM(U51)</f>
        <v>6.1440000000000001</v>
      </c>
      <c r="AD51" s="350">
        <f t="shared" ref="AD51:AD54" si="58">+AC51-SUM(L51:M51)+SUM(X51)</f>
        <v>6.1440000000000001</v>
      </c>
      <c r="AE51" s="351">
        <f t="shared" ref="AE51:AE54" si="59">+AD51-SUM(N51:O51)+SUM(AA51)</f>
        <v>6.1440000000000001</v>
      </c>
      <c r="AF51" s="670">
        <f t="shared" si="32"/>
        <v>1</v>
      </c>
      <c r="AG51" s="352"/>
      <c r="AH51" s="655"/>
      <c r="AJ51" s="353"/>
      <c r="AK51" s="16">
        <f t="shared" si="8"/>
        <v>1</v>
      </c>
    </row>
    <row r="52" spans="1:42" s="12" customFormat="1" ht="23.1" hidden="1" customHeight="1" x14ac:dyDescent="0.3">
      <c r="A52" s="97"/>
      <c r="B52" s="390"/>
      <c r="C52" s="361"/>
      <c r="D52" s="362"/>
      <c r="E52" s="363"/>
      <c r="F52" s="363"/>
      <c r="G52" s="377">
        <f t="shared" si="52"/>
        <v>0</v>
      </c>
      <c r="H52" s="753"/>
      <c r="I52" s="435"/>
      <c r="J52" s="748"/>
      <c r="K52" s="379"/>
      <c r="L52" s="378"/>
      <c r="M52" s="379"/>
      <c r="N52" s="749"/>
      <c r="O52" s="750"/>
      <c r="P52" s="698">
        <f t="shared" si="48"/>
        <v>0</v>
      </c>
      <c r="Q52" s="742">
        <f t="shared" si="34"/>
        <v>0</v>
      </c>
      <c r="R52" s="751">
        <f t="shared" si="53"/>
        <v>0</v>
      </c>
      <c r="S52" s="678">
        <f t="shared" si="49"/>
        <v>0</v>
      </c>
      <c r="T52" s="754">
        <f t="shared" si="36"/>
        <v>0</v>
      </c>
      <c r="U52" s="751">
        <f t="shared" si="54"/>
        <v>0</v>
      </c>
      <c r="V52" s="744">
        <f t="shared" si="50"/>
        <v>0</v>
      </c>
      <c r="W52" s="745">
        <f t="shared" si="39"/>
        <v>0</v>
      </c>
      <c r="X52" s="751">
        <f t="shared" si="55"/>
        <v>0</v>
      </c>
      <c r="Y52" s="744">
        <f t="shared" si="51"/>
        <v>0</v>
      </c>
      <c r="Z52" s="745">
        <f t="shared" si="42"/>
        <v>0</v>
      </c>
      <c r="AA52" s="752">
        <f t="shared" si="56"/>
        <v>0</v>
      </c>
      <c r="AB52" s="384">
        <f t="shared" si="10"/>
        <v>0</v>
      </c>
      <c r="AC52" s="385">
        <f t="shared" si="57"/>
        <v>0</v>
      </c>
      <c r="AD52" s="385">
        <f t="shared" si="58"/>
        <v>0</v>
      </c>
      <c r="AE52" s="386">
        <f t="shared" si="59"/>
        <v>0</v>
      </c>
      <c r="AF52" s="670">
        <f t="shared" si="32"/>
        <v>0</v>
      </c>
      <c r="AG52" s="352"/>
      <c r="AH52" s="655"/>
      <c r="AJ52" s="353"/>
      <c r="AK52" s="16">
        <f t="shared" si="8"/>
        <v>0</v>
      </c>
    </row>
    <row r="53" spans="1:42" s="12" customFormat="1" ht="23.1" hidden="1" customHeight="1" x14ac:dyDescent="0.3">
      <c r="A53" s="99"/>
      <c r="B53" s="368"/>
      <c r="C53" s="382"/>
      <c r="D53" s="411"/>
      <c r="E53" s="371"/>
      <c r="F53" s="371"/>
      <c r="G53" s="683">
        <f t="shared" si="52"/>
        <v>0</v>
      </c>
      <c r="H53" s="738"/>
      <c r="I53" s="424"/>
      <c r="J53" s="739"/>
      <c r="K53" s="685"/>
      <c r="L53" s="684"/>
      <c r="M53" s="685"/>
      <c r="N53" s="740"/>
      <c r="O53" s="741"/>
      <c r="P53" s="698">
        <f t="shared" si="48"/>
        <v>0</v>
      </c>
      <c r="Q53" s="742">
        <f t="shared" si="34"/>
        <v>0</v>
      </c>
      <c r="R53" s="756">
        <f t="shared" si="53"/>
        <v>0</v>
      </c>
      <c r="S53" s="678">
        <f t="shared" si="49"/>
        <v>0</v>
      </c>
      <c r="T53" s="754">
        <f t="shared" si="36"/>
        <v>0</v>
      </c>
      <c r="U53" s="756">
        <f t="shared" si="54"/>
        <v>0</v>
      </c>
      <c r="V53" s="744">
        <f t="shared" si="50"/>
        <v>0</v>
      </c>
      <c r="W53" s="745">
        <f t="shared" si="39"/>
        <v>0</v>
      </c>
      <c r="X53" s="756">
        <f t="shared" si="55"/>
        <v>0</v>
      </c>
      <c r="Y53" s="744">
        <f t="shared" si="51"/>
        <v>0</v>
      </c>
      <c r="Z53" s="745">
        <f t="shared" si="42"/>
        <v>0</v>
      </c>
      <c r="AA53" s="757">
        <f t="shared" si="56"/>
        <v>0</v>
      </c>
      <c r="AB53" s="384">
        <f t="shared" si="10"/>
        <v>0</v>
      </c>
      <c r="AC53" s="385">
        <f t="shared" si="57"/>
        <v>0</v>
      </c>
      <c r="AD53" s="385">
        <f t="shared" si="58"/>
        <v>0</v>
      </c>
      <c r="AE53" s="386">
        <f t="shared" si="59"/>
        <v>0</v>
      </c>
      <c r="AF53" s="670">
        <f t="shared" si="32"/>
        <v>0</v>
      </c>
      <c r="AG53" s="352"/>
      <c r="AH53" s="655"/>
      <c r="AJ53" s="353"/>
      <c r="AK53" s="16">
        <f t="shared" si="8"/>
        <v>0</v>
      </c>
    </row>
    <row r="54" spans="1:42" s="12" customFormat="1" ht="23.1" hidden="1" customHeight="1" x14ac:dyDescent="0.3">
      <c r="A54" s="102"/>
      <c r="B54" s="412"/>
      <c r="C54" s="382"/>
      <c r="D54" s="411"/>
      <c r="E54" s="371"/>
      <c r="F54" s="371"/>
      <c r="G54" s="683">
        <f t="shared" si="52"/>
        <v>0</v>
      </c>
      <c r="H54" s="739"/>
      <c r="I54" s="424"/>
      <c r="J54" s="739"/>
      <c r="K54" s="685"/>
      <c r="L54" s="684"/>
      <c r="M54" s="685"/>
      <c r="N54" s="740"/>
      <c r="O54" s="741"/>
      <c r="P54" s="698">
        <f t="shared" si="48"/>
        <v>0</v>
      </c>
      <c r="Q54" s="742">
        <f t="shared" si="34"/>
        <v>0</v>
      </c>
      <c r="R54" s="756">
        <f t="shared" si="53"/>
        <v>0</v>
      </c>
      <c r="S54" s="678">
        <f t="shared" si="49"/>
        <v>0</v>
      </c>
      <c r="T54" s="754">
        <f t="shared" si="36"/>
        <v>0</v>
      </c>
      <c r="U54" s="756">
        <f>+J54+K54</f>
        <v>0</v>
      </c>
      <c r="V54" s="744">
        <f t="shared" si="50"/>
        <v>0</v>
      </c>
      <c r="W54" s="745">
        <f t="shared" si="39"/>
        <v>0</v>
      </c>
      <c r="X54" s="756">
        <f t="shared" si="55"/>
        <v>0</v>
      </c>
      <c r="Y54" s="744">
        <f t="shared" si="51"/>
        <v>0</v>
      </c>
      <c r="Z54" s="745">
        <f t="shared" si="42"/>
        <v>0</v>
      </c>
      <c r="AA54" s="757">
        <f t="shared" si="56"/>
        <v>0</v>
      </c>
      <c r="AB54" s="396">
        <f t="shared" si="10"/>
        <v>0</v>
      </c>
      <c r="AC54" s="385">
        <f t="shared" si="57"/>
        <v>0</v>
      </c>
      <c r="AD54" s="385">
        <f t="shared" si="58"/>
        <v>0</v>
      </c>
      <c r="AE54" s="386">
        <f t="shared" si="59"/>
        <v>0</v>
      </c>
      <c r="AF54" s="670">
        <f t="shared" si="32"/>
        <v>0</v>
      </c>
      <c r="AG54" s="352"/>
      <c r="AH54" s="655"/>
      <c r="AJ54" s="353"/>
      <c r="AK54" s="16">
        <f t="shared" si="8"/>
        <v>0</v>
      </c>
    </row>
    <row r="55" spans="1:42" s="12" customFormat="1" ht="23.1" hidden="1" customHeight="1" x14ac:dyDescent="0.3">
      <c r="A55" s="99"/>
      <c r="B55" s="368"/>
      <c r="C55" s="407"/>
      <c r="D55" s="408"/>
      <c r="E55" s="410"/>
      <c r="F55" s="410"/>
      <c r="G55" s="683">
        <f t="shared" si="52"/>
        <v>0</v>
      </c>
      <c r="H55" s="753"/>
      <c r="I55" s="435"/>
      <c r="J55" s="748"/>
      <c r="K55" s="379"/>
      <c r="L55" s="378"/>
      <c r="M55" s="379"/>
      <c r="N55" s="749"/>
      <c r="O55" s="750"/>
      <c r="P55" s="698">
        <f t="shared" si="48"/>
        <v>0</v>
      </c>
      <c r="Q55" s="742">
        <f t="shared" si="34"/>
        <v>0</v>
      </c>
      <c r="R55" s="758">
        <f t="shared" si="47"/>
        <v>0</v>
      </c>
      <c r="S55" s="678">
        <f t="shared" si="49"/>
        <v>0</v>
      </c>
      <c r="T55" s="754">
        <f t="shared" si="36"/>
        <v>0</v>
      </c>
      <c r="U55" s="758">
        <f t="shared" si="37"/>
        <v>0</v>
      </c>
      <c r="V55" s="744">
        <f t="shared" si="50"/>
        <v>0</v>
      </c>
      <c r="W55" s="745">
        <f t="shared" si="39"/>
        <v>0</v>
      </c>
      <c r="X55" s="758">
        <f t="shared" si="40"/>
        <v>0</v>
      </c>
      <c r="Y55" s="744">
        <f t="shared" si="51"/>
        <v>0</v>
      </c>
      <c r="Z55" s="745">
        <f t="shared" si="42"/>
        <v>0</v>
      </c>
      <c r="AA55" s="759">
        <f t="shared" si="43"/>
        <v>0</v>
      </c>
      <c r="AB55" s="358">
        <f t="shared" si="10"/>
        <v>0</v>
      </c>
      <c r="AC55" s="385">
        <f t="shared" si="44"/>
        <v>0</v>
      </c>
      <c r="AD55" s="385">
        <f t="shared" si="45"/>
        <v>0</v>
      </c>
      <c r="AE55" s="386">
        <f t="shared" si="46"/>
        <v>0</v>
      </c>
      <c r="AF55" s="670">
        <f t="shared" si="32"/>
        <v>0</v>
      </c>
      <c r="AG55" s="352"/>
      <c r="AH55" s="655"/>
      <c r="AJ55" s="353"/>
      <c r="AK55" s="16">
        <f t="shared" si="8"/>
        <v>0</v>
      </c>
    </row>
    <row r="56" spans="1:42" s="12" customFormat="1" ht="23.1" hidden="1" customHeight="1" x14ac:dyDescent="0.3">
      <c r="A56" s="97"/>
      <c r="B56" s="390"/>
      <c r="C56" s="361"/>
      <c r="D56" s="362"/>
      <c r="E56" s="363"/>
      <c r="F56" s="363"/>
      <c r="G56" s="377">
        <f t="shared" si="52"/>
        <v>0</v>
      </c>
      <c r="H56" s="753"/>
      <c r="I56" s="435"/>
      <c r="J56" s="748"/>
      <c r="K56" s="379"/>
      <c r="L56" s="378"/>
      <c r="M56" s="379"/>
      <c r="N56" s="749"/>
      <c r="O56" s="750"/>
      <c r="P56" s="698">
        <f t="shared" si="48"/>
        <v>0</v>
      </c>
      <c r="Q56" s="742">
        <f t="shared" si="34"/>
        <v>0</v>
      </c>
      <c r="R56" s="751">
        <f t="shared" si="47"/>
        <v>0</v>
      </c>
      <c r="S56" s="678">
        <f t="shared" si="49"/>
        <v>0</v>
      </c>
      <c r="T56" s="754">
        <f t="shared" si="36"/>
        <v>0</v>
      </c>
      <c r="U56" s="751">
        <f t="shared" si="37"/>
        <v>0</v>
      </c>
      <c r="V56" s="744">
        <f t="shared" si="50"/>
        <v>0</v>
      </c>
      <c r="W56" s="745">
        <f t="shared" si="39"/>
        <v>0</v>
      </c>
      <c r="X56" s="751">
        <f t="shared" si="40"/>
        <v>0</v>
      </c>
      <c r="Y56" s="744">
        <f t="shared" si="51"/>
        <v>0</v>
      </c>
      <c r="Z56" s="745">
        <f t="shared" si="42"/>
        <v>0</v>
      </c>
      <c r="AA56" s="752">
        <f t="shared" si="43"/>
        <v>0</v>
      </c>
      <c r="AB56" s="384">
        <f t="shared" si="10"/>
        <v>0</v>
      </c>
      <c r="AC56" s="385">
        <f t="shared" si="44"/>
        <v>0</v>
      </c>
      <c r="AD56" s="385">
        <f t="shared" si="45"/>
        <v>0</v>
      </c>
      <c r="AE56" s="386">
        <f t="shared" si="46"/>
        <v>0</v>
      </c>
      <c r="AF56" s="670">
        <f t="shared" si="32"/>
        <v>0</v>
      </c>
      <c r="AG56" s="352"/>
      <c r="AH56" s="655"/>
      <c r="AJ56" s="353"/>
      <c r="AK56" s="16">
        <f t="shared" si="8"/>
        <v>0</v>
      </c>
    </row>
    <row r="57" spans="1:42" s="12" customFormat="1" ht="23.1" hidden="1" customHeight="1" x14ac:dyDescent="0.3">
      <c r="A57" s="99"/>
      <c r="B57" s="368"/>
      <c r="C57" s="382"/>
      <c r="D57" s="411"/>
      <c r="E57" s="371"/>
      <c r="F57" s="371"/>
      <c r="G57" s="683">
        <f t="shared" si="52"/>
        <v>0</v>
      </c>
      <c r="H57" s="738"/>
      <c r="I57" s="424"/>
      <c r="J57" s="739"/>
      <c r="K57" s="685"/>
      <c r="L57" s="684"/>
      <c r="M57" s="685"/>
      <c r="N57" s="740"/>
      <c r="O57" s="741"/>
      <c r="P57" s="698">
        <f t="shared" si="48"/>
        <v>0</v>
      </c>
      <c r="Q57" s="742">
        <f t="shared" si="34"/>
        <v>0</v>
      </c>
      <c r="R57" s="756">
        <f t="shared" si="47"/>
        <v>0</v>
      </c>
      <c r="S57" s="678">
        <f t="shared" si="49"/>
        <v>0</v>
      </c>
      <c r="T57" s="754">
        <f t="shared" si="36"/>
        <v>0</v>
      </c>
      <c r="U57" s="756">
        <f t="shared" si="37"/>
        <v>0</v>
      </c>
      <c r="V57" s="744">
        <f t="shared" si="50"/>
        <v>0</v>
      </c>
      <c r="W57" s="745">
        <f t="shared" si="39"/>
        <v>0</v>
      </c>
      <c r="X57" s="756">
        <f t="shared" si="40"/>
        <v>0</v>
      </c>
      <c r="Y57" s="744">
        <f t="shared" si="51"/>
        <v>0</v>
      </c>
      <c r="Z57" s="745">
        <f t="shared" si="42"/>
        <v>0</v>
      </c>
      <c r="AA57" s="757">
        <f t="shared" si="43"/>
        <v>0</v>
      </c>
      <c r="AB57" s="384">
        <f t="shared" si="10"/>
        <v>0</v>
      </c>
      <c r="AC57" s="385">
        <f t="shared" si="44"/>
        <v>0</v>
      </c>
      <c r="AD57" s="385">
        <f t="shared" si="45"/>
        <v>0</v>
      </c>
      <c r="AE57" s="386">
        <f t="shared" si="46"/>
        <v>0</v>
      </c>
      <c r="AF57" s="670">
        <f t="shared" si="32"/>
        <v>0</v>
      </c>
      <c r="AG57" s="352"/>
      <c r="AH57" s="655"/>
      <c r="AJ57" s="353"/>
      <c r="AK57" s="16">
        <f t="shared" si="8"/>
        <v>0</v>
      </c>
    </row>
    <row r="58" spans="1:42" s="12" customFormat="1" ht="23.1" hidden="1" customHeight="1" thickBot="1" x14ac:dyDescent="0.35">
      <c r="A58" s="102"/>
      <c r="B58" s="412"/>
      <c r="C58" s="382"/>
      <c r="D58" s="411"/>
      <c r="E58" s="371"/>
      <c r="F58" s="371"/>
      <c r="G58" s="683">
        <f t="shared" si="52"/>
        <v>0</v>
      </c>
      <c r="H58" s="760"/>
      <c r="I58" s="443"/>
      <c r="J58" s="761"/>
      <c r="K58" s="456"/>
      <c r="L58" s="762"/>
      <c r="M58" s="456"/>
      <c r="N58" s="763"/>
      <c r="O58" s="764"/>
      <c r="P58" s="698">
        <f t="shared" si="48"/>
        <v>0</v>
      </c>
      <c r="Q58" s="742">
        <f t="shared" si="34"/>
        <v>0</v>
      </c>
      <c r="R58" s="765">
        <f t="shared" si="47"/>
        <v>0</v>
      </c>
      <c r="S58" s="678">
        <f t="shared" si="49"/>
        <v>0</v>
      </c>
      <c r="T58" s="754">
        <f t="shared" si="36"/>
        <v>0</v>
      </c>
      <c r="U58" s="765">
        <f>+J58+K58</f>
        <v>0</v>
      </c>
      <c r="V58" s="744">
        <f t="shared" si="50"/>
        <v>0</v>
      </c>
      <c r="W58" s="745">
        <f t="shared" si="39"/>
        <v>0</v>
      </c>
      <c r="X58" s="765">
        <f t="shared" si="40"/>
        <v>0</v>
      </c>
      <c r="Y58" s="744">
        <f t="shared" si="51"/>
        <v>0</v>
      </c>
      <c r="Z58" s="745">
        <f t="shared" si="42"/>
        <v>0</v>
      </c>
      <c r="AA58" s="766">
        <f t="shared" si="43"/>
        <v>0</v>
      </c>
      <c r="AB58" s="384">
        <f t="shared" si="10"/>
        <v>0</v>
      </c>
      <c r="AC58" s="385">
        <f t="shared" si="44"/>
        <v>0</v>
      </c>
      <c r="AD58" s="385">
        <f t="shared" si="45"/>
        <v>0</v>
      </c>
      <c r="AE58" s="386">
        <f t="shared" si="46"/>
        <v>0</v>
      </c>
      <c r="AF58" s="670">
        <f t="shared" si="32"/>
        <v>0</v>
      </c>
      <c r="AG58" s="352"/>
      <c r="AH58" s="655"/>
      <c r="AJ58" s="353"/>
      <c r="AK58" s="16">
        <f t="shared" si="8"/>
        <v>0</v>
      </c>
    </row>
    <row r="59" spans="1:42" s="12" customFormat="1" ht="23.1" customHeight="1" thickTop="1" x14ac:dyDescent="0.3">
      <c r="A59" s="1049" t="s">
        <v>101</v>
      </c>
      <c r="B59" s="215"/>
      <c r="C59" s="1051" t="str">
        <f>$C$3</f>
        <v>儲槽
容量
(MT)</v>
      </c>
      <c r="D59" s="218"/>
      <c r="E59" s="494"/>
      <c r="F59" s="494"/>
      <c r="G59" s="1053">
        <f>G3</f>
        <v>46258</v>
      </c>
      <c r="H59" s="1055" t="s">
        <v>102</v>
      </c>
      <c r="I59" s="1056"/>
      <c r="J59" s="1056"/>
      <c r="K59" s="1056"/>
      <c r="L59" s="1056"/>
      <c r="M59" s="1056"/>
      <c r="N59" s="1056"/>
      <c r="O59" s="1057"/>
      <c r="P59" s="1058" t="s">
        <v>103</v>
      </c>
      <c r="Q59" s="1059"/>
      <c r="R59" s="1059"/>
      <c r="S59" s="1060"/>
      <c r="T59" s="1067" t="s">
        <v>104</v>
      </c>
      <c r="U59" s="1068"/>
      <c r="V59" s="1068"/>
      <c r="W59" s="1068"/>
      <c r="X59" s="1067" t="s">
        <v>105</v>
      </c>
      <c r="Y59" s="1068"/>
      <c r="Z59" s="1068"/>
      <c r="AA59" s="1069"/>
      <c r="AB59" s="1058" t="s">
        <v>106</v>
      </c>
      <c r="AC59" s="1059"/>
      <c r="AD59" s="1059"/>
      <c r="AE59" s="1061"/>
      <c r="AF59" s="670">
        <f>+IF(SUM(G59,H59:O59,Q59,S59,V59,Z59)&gt;0,1,0)</f>
        <v>1</v>
      </c>
      <c r="AG59" s="413" t="s">
        <v>18</v>
      </c>
      <c r="AH59" s="656"/>
      <c r="AI59" s="7"/>
      <c r="AJ59" s="413"/>
      <c r="AK59" s="16">
        <f t="shared" si="8"/>
        <v>1</v>
      </c>
    </row>
    <row r="60" spans="1:42" s="12" customFormat="1" ht="28.5" customHeight="1" thickBot="1" x14ac:dyDescent="0.35">
      <c r="A60" s="1050"/>
      <c r="B60" s="216"/>
      <c r="C60" s="1052"/>
      <c r="D60" s="222"/>
      <c r="E60" s="223"/>
      <c r="F60" s="223"/>
      <c r="G60" s="1054"/>
      <c r="H60" s="1062" t="str">
        <f>$H$3</f>
        <v>08/24~08/31</v>
      </c>
      <c r="I60" s="1063"/>
      <c r="J60" s="1062">
        <f>$J$3</f>
        <v>46295</v>
      </c>
      <c r="K60" s="1070"/>
      <c r="L60" s="1062">
        <f>$L$3</f>
        <v>46326</v>
      </c>
      <c r="M60" s="1070"/>
      <c r="N60" s="1062">
        <f>$N$3</f>
        <v>46356</v>
      </c>
      <c r="O60" s="1070"/>
      <c r="P60" s="767" t="str">
        <f>$P$4</f>
        <v>24~31</v>
      </c>
      <c r="Q60" s="768">
        <f>$J$3</f>
        <v>46295</v>
      </c>
      <c r="R60" s="769">
        <f>$L$3</f>
        <v>46326</v>
      </c>
      <c r="S60" s="769">
        <f>$N$3</f>
        <v>46356</v>
      </c>
      <c r="T60" s="770" t="str">
        <f>$P$4</f>
        <v>24~31</v>
      </c>
      <c r="U60" s="771">
        <f>$J$3</f>
        <v>46295</v>
      </c>
      <c r="V60" s="769">
        <f>$L$3</f>
        <v>46326</v>
      </c>
      <c r="W60" s="769">
        <f>$N$3</f>
        <v>46356</v>
      </c>
      <c r="X60" s="772" t="str">
        <f>$P$4</f>
        <v>24~31</v>
      </c>
      <c r="Y60" s="768">
        <f>$J$3</f>
        <v>46295</v>
      </c>
      <c r="Z60" s="769">
        <f>$L$3</f>
        <v>46326</v>
      </c>
      <c r="AA60" s="773">
        <f>$N$3</f>
        <v>46356</v>
      </c>
      <c r="AB60" s="774" t="str">
        <f>AB4</f>
        <v>8/31</v>
      </c>
      <c r="AC60" s="775">
        <f>AC4</f>
        <v>46295</v>
      </c>
      <c r="AD60" s="775">
        <f>AD4</f>
        <v>46326</v>
      </c>
      <c r="AE60" s="776">
        <f>AE4</f>
        <v>46356</v>
      </c>
      <c r="AF60" s="670">
        <f>+IF(SUM(G60,H60:O60,Q60,S60,V60,Z60)&gt;0,1,0)</f>
        <v>1</v>
      </c>
      <c r="AG60" s="414" t="s">
        <v>22</v>
      </c>
      <c r="AH60" s="657" t="s">
        <v>23</v>
      </c>
      <c r="AI60" s="16"/>
      <c r="AJ60" s="415"/>
      <c r="AK60" s="16">
        <f t="shared" si="8"/>
        <v>1</v>
      </c>
    </row>
    <row r="61" spans="1:42" s="12" customFormat="1" ht="31.5" customHeight="1" x14ac:dyDescent="0.3">
      <c r="A61" s="99" t="s">
        <v>107</v>
      </c>
      <c r="B61" s="371" t="s">
        <v>108</v>
      </c>
      <c r="C61" s="468">
        <f>350+350+350+45+420+420</f>
        <v>1935</v>
      </c>
      <c r="D61" s="411">
        <f>143.6+126.8+53+0+27+15.7</f>
        <v>366.09999999999997</v>
      </c>
      <c r="E61" s="371"/>
      <c r="F61" s="371">
        <v>0</v>
      </c>
      <c r="G61" s="683">
        <f t="shared" ref="G61:G69" si="60">IF(+D61+E61-F61&lt;=0,0,+D61+E61-F61)</f>
        <v>366.09999999999997</v>
      </c>
      <c r="H61" s="777"/>
      <c r="I61" s="424"/>
      <c r="J61" s="777"/>
      <c r="K61" s="685"/>
      <c r="L61" s="777"/>
      <c r="M61" s="685"/>
      <c r="N61" s="777"/>
      <c r="O61" s="685"/>
      <c r="P61" s="369">
        <f>+SUMIF(秏料!$B$3:$B$133,$A61,秏料!$F$3:$F$133)</f>
        <v>253</v>
      </c>
      <c r="Q61" s="369">
        <f>+SUMIF(秏料!$B$3:$B$133,$A61,秏料!$H$3:$H$133)</f>
        <v>1022</v>
      </c>
      <c r="R61" s="369">
        <f>+SUMIF(秏料!$B$3:$B$133,$A61,秏料!$J$3:$J$133)</f>
        <v>1053</v>
      </c>
      <c r="S61" s="369">
        <f>+SUMIF(秏料!$B$3:$B$133,$A61,秏料!$L$3:$L$133)</f>
        <v>1022</v>
      </c>
      <c r="T61" s="777">
        <v>595</v>
      </c>
      <c r="U61" s="416">
        <f>875+1225</f>
        <v>2100</v>
      </c>
      <c r="V61" s="778">
        <v>962.5</v>
      </c>
      <c r="W61" s="417">
        <v>1050</v>
      </c>
      <c r="X61" s="418"/>
      <c r="Y61" s="361"/>
      <c r="Z61" s="361"/>
      <c r="AA61" s="419"/>
      <c r="AB61" s="349">
        <f>+G61-SUM(H61:I61,P61)+SUM(T61,X61)</f>
        <v>708.09999999999991</v>
      </c>
      <c r="AC61" s="350">
        <f>+AB61-SUM(J61:K61,Q61)+SUM(U61,Y61)</f>
        <v>1786.1</v>
      </c>
      <c r="AD61" s="350">
        <f>+AC61-SUM(L61:M61,R61)+SUM(V61,Z61)</f>
        <v>1695.6</v>
      </c>
      <c r="AE61" s="351">
        <f>+AD61-SUM(N61:O61,S61)+SUM(W61,AA61)</f>
        <v>1723.6</v>
      </c>
      <c r="AF61" s="670">
        <f>+IF(SUM(G61,H61:O61,Q61,S61,V61,Z61)&gt;0,1,0)</f>
        <v>1</v>
      </c>
      <c r="AG61" s="352"/>
      <c r="AH61" s="654">
        <v>500</v>
      </c>
      <c r="AJ61" s="353"/>
      <c r="AK61" s="687">
        <f t="shared" si="8"/>
        <v>1</v>
      </c>
      <c r="AL61" s="779"/>
      <c r="AM61" s="352"/>
      <c r="AN61" s="465"/>
      <c r="AO61" s="465"/>
      <c r="AP61" s="352"/>
    </row>
    <row r="62" spans="1:42" s="12" customFormat="1" ht="28.5" hidden="1" customHeight="1" x14ac:dyDescent="0.3">
      <c r="A62" s="99" t="s">
        <v>109</v>
      </c>
      <c r="B62" s="371" t="s">
        <v>110</v>
      </c>
      <c r="C62" s="468">
        <v>60</v>
      </c>
      <c r="D62" s="411">
        <v>0</v>
      </c>
      <c r="E62" s="371"/>
      <c r="F62" s="371">
        <v>2</v>
      </c>
      <c r="G62" s="683">
        <f t="shared" si="60"/>
        <v>0</v>
      </c>
      <c r="H62" s="777"/>
      <c r="I62" s="424"/>
      <c r="J62" s="777">
        <v>0</v>
      </c>
      <c r="K62" s="685"/>
      <c r="L62" s="777">
        <v>0</v>
      </c>
      <c r="M62" s="685"/>
      <c r="N62" s="777">
        <v>0</v>
      </c>
      <c r="O62" s="685"/>
      <c r="P62" s="369">
        <f>+SUMIF(秏料!$B$3:$B$133,$A62,秏料!$F$3:$F$133)</f>
        <v>0</v>
      </c>
      <c r="Q62" s="382">
        <f>+SUMIF(秏料!$B$3:$B$133,$A62,秏料!$H$3:$H$133)</f>
        <v>0</v>
      </c>
      <c r="R62" s="382">
        <f>+SUMIF(秏料!$B$3:$B$133,$A62,秏料!$J$3:$J$133)</f>
        <v>0</v>
      </c>
      <c r="S62" s="382">
        <f>+SUMIF(秏料!$B$3:$B$133,$A62,秏料!$L$3:$L$133)</f>
        <v>0</v>
      </c>
      <c r="T62" s="777">
        <v>0</v>
      </c>
      <c r="U62" s="420"/>
      <c r="V62" s="420"/>
      <c r="W62" s="420"/>
      <c r="X62" s="422"/>
      <c r="Y62" s="382"/>
      <c r="Z62" s="382"/>
      <c r="AA62" s="423"/>
      <c r="AB62" s="349">
        <f>-SUM(H62:I62,P62)+SUM(T62,X62)+G62</f>
        <v>0</v>
      </c>
      <c r="AC62" s="350">
        <f>+AB62-SUM(J62:K62,Q62)+SUM(U62,Y62)</f>
        <v>0</v>
      </c>
      <c r="AD62" s="350">
        <f t="shared" ref="AD62:AD99" si="61">+AC62-SUM(L62:M62,R62)+SUM(V62,Z62)</f>
        <v>0</v>
      </c>
      <c r="AE62" s="351">
        <f t="shared" ref="AE62:AE99" si="62">+AD62-SUM(N62:O62,S62)+SUM(W62,AA62)</f>
        <v>0</v>
      </c>
      <c r="AF62" s="670">
        <f>+IF(SUM(G62,H62:O62,Q62,S62,V62,Z62)&gt;0,1,0)</f>
        <v>0</v>
      </c>
      <c r="AG62" s="352"/>
      <c r="AH62" s="654"/>
      <c r="AJ62" s="353"/>
      <c r="AK62" s="16">
        <f t="shared" si="8"/>
        <v>0</v>
      </c>
    </row>
    <row r="63" spans="1:42" s="12" customFormat="1" ht="31.5" customHeight="1" x14ac:dyDescent="0.3">
      <c r="A63" s="99" t="s">
        <v>111</v>
      </c>
      <c r="B63" s="371" t="s">
        <v>112</v>
      </c>
      <c r="C63" s="382"/>
      <c r="D63" s="411">
        <f>279+0+273.9</f>
        <v>552.9</v>
      </c>
      <c r="E63" s="371"/>
      <c r="F63" s="371"/>
      <c r="G63" s="683">
        <f t="shared" si="60"/>
        <v>552.9</v>
      </c>
      <c r="H63" s="777"/>
      <c r="I63" s="424"/>
      <c r="J63" s="777"/>
      <c r="K63" s="685"/>
      <c r="L63" s="777"/>
      <c r="M63" s="685"/>
      <c r="N63" s="777">
        <v>0</v>
      </c>
      <c r="O63" s="685"/>
      <c r="P63" s="369">
        <f>+SUMIF(秏料!$B$3:$B$133,$A63,秏料!$F$3:$F$133)</f>
        <v>102</v>
      </c>
      <c r="Q63" s="382">
        <f>+SUMIF(秏料!$B$3:$B$133,$A63,秏料!$H$3:$H$133)</f>
        <v>508</v>
      </c>
      <c r="R63" s="382">
        <f>+SUMIF(秏料!$B$3:$B$133,$A63,秏料!$J$3:$J$133)</f>
        <v>508</v>
      </c>
      <c r="S63" s="382">
        <f>+SUMIF(秏料!$B$3:$B$133,$A63,秏料!$L$3:$L$133)</f>
        <v>508</v>
      </c>
      <c r="T63" s="777">
        <v>0</v>
      </c>
      <c r="U63" s="420"/>
      <c r="V63" s="420">
        <v>262.5</v>
      </c>
      <c r="W63" s="421">
        <v>1000</v>
      </c>
      <c r="X63" s="422">
        <f>I8+I9+I10</f>
        <v>27</v>
      </c>
      <c r="Y63" s="382">
        <f>K8+K9+K10</f>
        <v>135</v>
      </c>
      <c r="Z63" s="382">
        <f>M8+M9+M10</f>
        <v>145</v>
      </c>
      <c r="AA63" s="423">
        <f>O8+O9+O10</f>
        <v>145</v>
      </c>
      <c r="AB63" s="349">
        <f>-SUM(H63:I63,P63)+SUM(T63,X63)+G63</f>
        <v>477.9</v>
      </c>
      <c r="AC63" s="350">
        <f>+AB63-SUM(J63:K63,Q63)+SUM(U63,Y63)</f>
        <v>104.89999999999998</v>
      </c>
      <c r="AD63" s="350">
        <f t="shared" ref="AD63" si="63">+AC63-SUM(L63:M63,R63)+SUM(V63,Z63)</f>
        <v>4.3999999999999773</v>
      </c>
      <c r="AE63" s="351">
        <f t="shared" ref="AE63" si="64">+AD63-SUM(N63:O63,S63)+SUM(W63,AA63)</f>
        <v>641.4</v>
      </c>
      <c r="AF63" s="670">
        <f t="shared" ref="AF63:AF69" si="65">+IF(SUM(G63,H63:O63,Q63,S63,V63,Z63)&gt;0,1,0)</f>
        <v>1</v>
      </c>
      <c r="AG63" s="352"/>
      <c r="AH63" s="654"/>
      <c r="AJ63" s="353"/>
      <c r="AK63" s="16">
        <f t="shared" si="8"/>
        <v>1</v>
      </c>
    </row>
    <row r="64" spans="1:42" s="12" customFormat="1" ht="31.5" customHeight="1" x14ac:dyDescent="0.3">
      <c r="A64" s="99" t="s">
        <v>113</v>
      </c>
      <c r="B64" s="371" t="s">
        <v>114</v>
      </c>
      <c r="C64" s="382">
        <v>780</v>
      </c>
      <c r="D64" s="411">
        <v>101.7</v>
      </c>
      <c r="E64" s="371"/>
      <c r="F64" s="371"/>
      <c r="G64" s="683">
        <f t="shared" si="60"/>
        <v>101.7</v>
      </c>
      <c r="H64" s="777"/>
      <c r="I64" s="424"/>
      <c r="J64" s="777"/>
      <c r="K64" s="685"/>
      <c r="L64" s="777"/>
      <c r="M64" s="685"/>
      <c r="N64" s="777">
        <v>0</v>
      </c>
      <c r="O64" s="685"/>
      <c r="P64" s="369">
        <f>+SUMIF(秏料!$B$3:$B$133,$A64,秏料!$F$3:$F$133)</f>
        <v>213</v>
      </c>
      <c r="Q64" s="382">
        <f>+SUMIF(秏料!$B$3:$B$133,$A64,秏料!$H$3:$H$133)</f>
        <v>914</v>
      </c>
      <c r="R64" s="382">
        <f>+SUMIF(秏料!$B$3:$B$133,$A64,秏料!$J$3:$J$133)</f>
        <v>914</v>
      </c>
      <c r="S64" s="382">
        <f>+SUMIF(秏料!$B$3:$B$133,$A64,秏料!$L$3:$L$133)</f>
        <v>914</v>
      </c>
      <c r="T64" s="777">
        <v>367.5</v>
      </c>
      <c r="U64" s="420">
        <v>875</v>
      </c>
      <c r="V64" s="420">
        <v>875</v>
      </c>
      <c r="W64" s="421">
        <v>1050</v>
      </c>
      <c r="X64" s="422">
        <v>0</v>
      </c>
      <c r="Y64" s="382"/>
      <c r="Z64" s="382"/>
      <c r="AA64" s="423"/>
      <c r="AB64" s="349">
        <f>-SUM(H64:I64,P64)+SUM(T64,X64)+G64</f>
        <v>256.2</v>
      </c>
      <c r="AC64" s="350">
        <f>+AB64-SUM(J64:K64,Q64)+SUM(U64,Y64)</f>
        <v>217.20000000000005</v>
      </c>
      <c r="AD64" s="350">
        <f t="shared" ref="AD64" si="66">+AC64-SUM(L64:M64,R64)+SUM(V64,Z64)</f>
        <v>178.20000000000005</v>
      </c>
      <c r="AE64" s="351">
        <f t="shared" ref="AE64" si="67">+AD64-SUM(N64:O64,S64)+SUM(W64,AA64)</f>
        <v>314.20000000000005</v>
      </c>
      <c r="AF64" s="670">
        <f t="shared" si="65"/>
        <v>1</v>
      </c>
      <c r="AG64" s="352"/>
      <c r="AH64" s="654"/>
      <c r="AJ64" s="353"/>
      <c r="AK64" s="16">
        <f t="shared" si="8"/>
        <v>1</v>
      </c>
    </row>
    <row r="65" spans="1:42" s="12" customFormat="1" ht="31.5" customHeight="1" x14ac:dyDescent="0.3">
      <c r="A65" s="99" t="s">
        <v>115</v>
      </c>
      <c r="B65" s="371" t="s">
        <v>116</v>
      </c>
      <c r="C65" s="382">
        <f>249</f>
        <v>249</v>
      </c>
      <c r="D65" s="411">
        <f>218+0+0+0</f>
        <v>218</v>
      </c>
      <c r="E65" s="371"/>
      <c r="F65" s="371">
        <v>0.5</v>
      </c>
      <c r="G65" s="683">
        <f t="shared" si="60"/>
        <v>217.5</v>
      </c>
      <c r="H65" s="777"/>
      <c r="I65" s="424"/>
      <c r="J65" s="777"/>
      <c r="K65" s="685"/>
      <c r="L65" s="777"/>
      <c r="M65" s="685"/>
      <c r="N65" s="777"/>
      <c r="O65" s="685"/>
      <c r="P65" s="369">
        <f>+SUMIF(秏料!$B$3:$B$133,$A65,秏料!$F$3:$F$133)</f>
        <v>206</v>
      </c>
      <c r="Q65" s="382">
        <f>+SUMIF(秏料!$B$3:$B$133,$A65,秏料!$H$3:$H$133)</f>
        <v>144</v>
      </c>
      <c r="R65" s="382">
        <f>+SUMIF(秏料!$B$3:$B$133,$A65,秏料!$J$3:$J$133)</f>
        <v>0</v>
      </c>
      <c r="S65" s="424">
        <f>+SUMIF(秏料!$B$3:$B$133,$A65,秏料!$L$3:$L$133)</f>
        <v>696</v>
      </c>
      <c r="T65" s="777"/>
      <c r="U65" s="420"/>
      <c r="V65" s="420"/>
      <c r="W65" s="421"/>
      <c r="X65" s="422"/>
      <c r="Y65" s="382">
        <f>+SUMIF(秏料!$B$3:$B$133,$A65,秏料!$H$3:$H$133)+U32</f>
        <v>179</v>
      </c>
      <c r="Z65" s="382"/>
      <c r="AA65" s="980">
        <f>+SUMIF(秏料!$B$3:$B$133,$A65,秏料!$L$3:$L$133)</f>
        <v>696</v>
      </c>
      <c r="AB65" s="349">
        <f t="shared" ref="AB65:AB70" si="68">+G65-SUM(H65:I65,P65)+SUM(T65,X65)</f>
        <v>11.5</v>
      </c>
      <c r="AC65" s="350">
        <f t="shared" ref="AC65:AC99" si="69">+AB65-SUM(J65:K65,Q65)+SUM(U65,Y65)</f>
        <v>46.5</v>
      </c>
      <c r="AD65" s="350">
        <f t="shared" si="61"/>
        <v>46.5</v>
      </c>
      <c r="AE65" s="351">
        <f t="shared" si="62"/>
        <v>46.5</v>
      </c>
      <c r="AF65" s="670">
        <f t="shared" si="65"/>
        <v>1</v>
      </c>
      <c r="AG65" s="352"/>
      <c r="AH65" s="654">
        <v>100</v>
      </c>
      <c r="AJ65" s="353"/>
      <c r="AK65" s="16">
        <f t="shared" si="8"/>
        <v>1</v>
      </c>
      <c r="AM65" s="352"/>
      <c r="AN65" s="465"/>
      <c r="AO65" s="465"/>
      <c r="AP65" s="352"/>
    </row>
    <row r="66" spans="1:42" s="12" customFormat="1" ht="17.25" hidden="1" x14ac:dyDescent="0.3">
      <c r="A66" s="99" t="s">
        <v>117</v>
      </c>
      <c r="B66" s="371" t="s">
        <v>118</v>
      </c>
      <c r="C66" s="382">
        <f>70+6+6</f>
        <v>82</v>
      </c>
      <c r="D66" s="411">
        <f>0</f>
        <v>0</v>
      </c>
      <c r="E66" s="371"/>
      <c r="F66" s="371">
        <v>1</v>
      </c>
      <c r="G66" s="683">
        <f t="shared" si="60"/>
        <v>0</v>
      </c>
      <c r="H66" s="777">
        <v>0</v>
      </c>
      <c r="I66" s="685"/>
      <c r="J66" s="378">
        <v>0</v>
      </c>
      <c r="K66" s="379"/>
      <c r="L66" s="417">
        <v>0</v>
      </c>
      <c r="M66" s="379"/>
      <c r="N66" s="777">
        <v>0</v>
      </c>
      <c r="O66" s="685"/>
      <c r="P66" s="369">
        <f>+SUMIF(秏料!$B$3:$B$133,$A66,秏料!$F$3:$F$133)</f>
        <v>0</v>
      </c>
      <c r="Q66" s="382">
        <f>+SUMIF(秏料!$B$3:$B$133,$A66,秏料!$H$3:$H$133)</f>
        <v>0</v>
      </c>
      <c r="R66" s="382"/>
      <c r="S66" s="424"/>
      <c r="T66" s="777">
        <v>0</v>
      </c>
      <c r="U66" s="420">
        <v>0</v>
      </c>
      <c r="V66" s="420">
        <v>0</v>
      </c>
      <c r="W66" s="421">
        <v>0</v>
      </c>
      <c r="X66" s="422"/>
      <c r="Y66" s="382"/>
      <c r="Z66" s="382"/>
      <c r="AA66" s="423"/>
      <c r="AB66" s="349">
        <f t="shared" si="68"/>
        <v>0</v>
      </c>
      <c r="AC66" s="350">
        <f t="shared" si="69"/>
        <v>0</v>
      </c>
      <c r="AD66" s="350">
        <f t="shared" si="61"/>
        <v>0</v>
      </c>
      <c r="AE66" s="351">
        <f t="shared" si="62"/>
        <v>0</v>
      </c>
      <c r="AF66" s="670">
        <f t="shared" si="65"/>
        <v>0</v>
      </c>
      <c r="AG66" s="352"/>
      <c r="AH66" s="654">
        <v>0</v>
      </c>
      <c r="AJ66" s="353"/>
      <c r="AK66" s="16">
        <f t="shared" si="8"/>
        <v>0</v>
      </c>
      <c r="AM66" s="352"/>
      <c r="AN66" s="465"/>
      <c r="AO66" s="465"/>
      <c r="AP66" s="352"/>
    </row>
    <row r="67" spans="1:42" s="12" customFormat="1" ht="31.5" customHeight="1" x14ac:dyDescent="0.3">
      <c r="A67" s="99" t="s">
        <v>119</v>
      </c>
      <c r="B67" s="371" t="s">
        <v>120</v>
      </c>
      <c r="C67" s="382">
        <f>(250+125)*1.0267*0.9+65*1.0267*0.9+7+7</f>
        <v>420.57320000000004</v>
      </c>
      <c r="D67" s="411">
        <f>44+49.6+0+7.14+0</f>
        <v>100.74</v>
      </c>
      <c r="E67" s="371"/>
      <c r="F67" s="371">
        <v>2</v>
      </c>
      <c r="G67" s="683">
        <f t="shared" si="60"/>
        <v>98.74</v>
      </c>
      <c r="H67" s="777">
        <v>0</v>
      </c>
      <c r="I67" s="424"/>
      <c r="J67" s="684">
        <v>5</v>
      </c>
      <c r="K67" s="685"/>
      <c r="L67" s="421">
        <v>5</v>
      </c>
      <c r="M67" s="685"/>
      <c r="N67" s="777">
        <v>5</v>
      </c>
      <c r="O67" s="685"/>
      <c r="P67" s="369">
        <f>+SUMIF(秏料!$B$3:$B$133,$A67,秏料!$F$3:$F$133)</f>
        <v>4</v>
      </c>
      <c r="Q67" s="382">
        <f>+SUMIF(秏料!$B$3:$B$133,$A67,秏料!$H$3:$H$133)</f>
        <v>28</v>
      </c>
      <c r="R67" s="382">
        <f>+SUMIF(秏料!$B$3:$B$133,$A67,秏料!$J$3:$J$133)</f>
        <v>27</v>
      </c>
      <c r="S67" s="424">
        <f>+SUMIF(秏料!$B$3:$B$133,$A67,秏料!$L$3:$L$133)</f>
        <v>27</v>
      </c>
      <c r="T67" s="777">
        <v>0</v>
      </c>
      <c r="U67" s="420"/>
      <c r="V67" s="420">
        <v>100</v>
      </c>
      <c r="W67" s="421">
        <v>180</v>
      </c>
      <c r="X67" s="422"/>
      <c r="Y67" s="382"/>
      <c r="Z67" s="382"/>
      <c r="AA67" s="423"/>
      <c r="AB67" s="349">
        <f t="shared" si="68"/>
        <v>94.74</v>
      </c>
      <c r="AC67" s="350">
        <f t="shared" si="69"/>
        <v>61.739999999999995</v>
      </c>
      <c r="AD67" s="350">
        <f t="shared" si="61"/>
        <v>129.74</v>
      </c>
      <c r="AE67" s="351">
        <f t="shared" si="62"/>
        <v>277.74</v>
      </c>
      <c r="AF67" s="670">
        <f t="shared" si="65"/>
        <v>1</v>
      </c>
      <c r="AG67" s="352"/>
      <c r="AH67" s="654">
        <v>150</v>
      </c>
      <c r="AJ67" s="353"/>
      <c r="AK67" s="16">
        <f t="shared" si="8"/>
        <v>1</v>
      </c>
      <c r="AM67" s="352"/>
      <c r="AN67" s="465"/>
      <c r="AO67" s="465"/>
      <c r="AP67" s="352"/>
    </row>
    <row r="68" spans="1:42" s="12" customFormat="1" ht="31.5" customHeight="1" x14ac:dyDescent="0.3">
      <c r="A68" s="99" t="s">
        <v>121</v>
      </c>
      <c r="B68" s="371" t="s">
        <v>122</v>
      </c>
      <c r="C68" s="382"/>
      <c r="D68" s="411">
        <v>777.6</v>
      </c>
      <c r="E68" s="371"/>
      <c r="F68" s="371"/>
      <c r="G68" s="683">
        <f t="shared" si="60"/>
        <v>777.6</v>
      </c>
      <c r="H68" s="777">
        <v>0</v>
      </c>
      <c r="I68" s="424"/>
      <c r="J68" s="777">
        <v>0</v>
      </c>
      <c r="K68" s="685"/>
      <c r="L68" s="777"/>
      <c r="M68" s="685"/>
      <c r="N68" s="777"/>
      <c r="O68" s="685"/>
      <c r="P68" s="369">
        <f>+SUMIF(秏料!$B$3:$B$133,$A68,秏料!$F$3:$F$133)</f>
        <v>0</v>
      </c>
      <c r="Q68" s="382">
        <f>+SUMIF(秏料!$B$3:$B$133,$A68,秏料!$H$3:$H$133)</f>
        <v>0</v>
      </c>
      <c r="R68" s="382">
        <f>+SUMIF(秏料!$B$3:$B$133,$A68,秏料!$J$3:$J$133)</f>
        <v>0</v>
      </c>
      <c r="S68" s="424">
        <f>+SUMIF(秏料!$B$3:$B$133,$A68,秏料!$L$3:$L$133)</f>
        <v>0</v>
      </c>
      <c r="T68" s="777"/>
      <c r="U68" s="420"/>
      <c r="V68" s="420">
        <v>0</v>
      </c>
      <c r="W68" s="421"/>
      <c r="X68" s="422">
        <v>0</v>
      </c>
      <c r="Y68" s="382"/>
      <c r="Z68" s="382"/>
      <c r="AA68" s="423"/>
      <c r="AB68" s="349">
        <f t="shared" si="68"/>
        <v>777.6</v>
      </c>
      <c r="AC68" s="350">
        <f t="shared" si="69"/>
        <v>777.6</v>
      </c>
      <c r="AD68" s="350">
        <f t="shared" si="61"/>
        <v>777.6</v>
      </c>
      <c r="AE68" s="351">
        <f t="shared" si="62"/>
        <v>777.6</v>
      </c>
      <c r="AF68" s="670">
        <v>1</v>
      </c>
      <c r="AG68" s="425"/>
      <c r="AH68" s="658"/>
      <c r="AI68" s="426"/>
      <c r="AJ68" s="427"/>
      <c r="AK68" s="16">
        <f t="shared" si="8"/>
        <v>1</v>
      </c>
    </row>
    <row r="69" spans="1:42" s="12" customFormat="1" ht="23.1" hidden="1" customHeight="1" x14ac:dyDescent="0.3">
      <c r="A69" s="99" t="s">
        <v>123</v>
      </c>
      <c r="B69" s="371" t="s">
        <v>124</v>
      </c>
      <c r="C69" s="382">
        <v>79</v>
      </c>
      <c r="D69" s="411">
        <f>0+0+0</f>
        <v>0</v>
      </c>
      <c r="E69" s="371"/>
      <c r="F69" s="371"/>
      <c r="G69" s="683">
        <f t="shared" si="60"/>
        <v>0</v>
      </c>
      <c r="H69" s="777">
        <v>0</v>
      </c>
      <c r="I69" s="424"/>
      <c r="J69" s="684">
        <v>0</v>
      </c>
      <c r="K69" s="685"/>
      <c r="L69" s="421">
        <v>0</v>
      </c>
      <c r="M69" s="685"/>
      <c r="N69" s="777">
        <v>0</v>
      </c>
      <c r="O69" s="685">
        <f>N50*1.05</f>
        <v>0</v>
      </c>
      <c r="P69" s="369">
        <f>+SUMIF(秏料!$B$3:$B$133,$A69,秏料!$F$3:$F$133)</f>
        <v>0</v>
      </c>
      <c r="Q69" s="382">
        <f>+SUMIF(秏料!$B$3:$B$133,$A69,秏料!$H$3:$H$133)</f>
        <v>0</v>
      </c>
      <c r="R69" s="382">
        <f>+SUMIF(秏料!$B$3:$B$133,$A69,秏料!$J$3:$J$133)</f>
        <v>0</v>
      </c>
      <c r="S69" s="424">
        <f>+SUMIF(秏料!$B$3:$B$133,$A69,秏料!$L$3:$L$133)</f>
        <v>0</v>
      </c>
      <c r="T69" s="777">
        <v>0</v>
      </c>
      <c r="U69" s="420"/>
      <c r="V69" s="420">
        <v>0</v>
      </c>
      <c r="W69" s="421"/>
      <c r="X69" s="422"/>
      <c r="Y69" s="382"/>
      <c r="Z69" s="382"/>
      <c r="AA69" s="423"/>
      <c r="AB69" s="349">
        <f t="shared" si="68"/>
        <v>0</v>
      </c>
      <c r="AC69" s="350">
        <f t="shared" si="69"/>
        <v>0</v>
      </c>
      <c r="AD69" s="350">
        <f t="shared" si="61"/>
        <v>0</v>
      </c>
      <c r="AE69" s="351">
        <f t="shared" si="62"/>
        <v>0</v>
      </c>
      <c r="AF69" s="670">
        <f t="shared" si="65"/>
        <v>0</v>
      </c>
      <c r="AG69" s="425"/>
      <c r="AH69" s="658"/>
      <c r="AI69" s="426"/>
      <c r="AJ69" s="427"/>
      <c r="AK69" s="16">
        <f t="shared" si="8"/>
        <v>0</v>
      </c>
    </row>
    <row r="70" spans="1:42" s="12" customFormat="1" ht="23.1" hidden="1" customHeight="1" x14ac:dyDescent="0.3">
      <c r="A70" s="99"/>
      <c r="B70" s="371" t="s">
        <v>125</v>
      </c>
      <c r="C70" s="382">
        <v>22</v>
      </c>
      <c r="D70" s="411"/>
      <c r="E70" s="371"/>
      <c r="F70" s="371"/>
      <c r="G70" s="683"/>
      <c r="H70" s="777"/>
      <c r="I70" s="424"/>
      <c r="J70" s="777"/>
      <c r="K70" s="685"/>
      <c r="L70" s="777"/>
      <c r="M70" s="685"/>
      <c r="N70" s="777"/>
      <c r="O70" s="685">
        <f>N55*1.05</f>
        <v>0</v>
      </c>
      <c r="P70" s="369">
        <f>+SUMIF(秏料!$B$3:$B$133,$A70,秏料!$F$3:$F$133)</f>
        <v>0</v>
      </c>
      <c r="Q70" s="382">
        <f>+SUMIF(秏料!$B$3:$B$133,$A70,秏料!$H$3:$H$133)</f>
        <v>0</v>
      </c>
      <c r="R70" s="382">
        <f>+SUMIF(秏料!$B$3:$B$133,$A70,秏料!$J$3:$J$133)</f>
        <v>0</v>
      </c>
      <c r="S70" s="424">
        <f>+SUMIF(秏料!$B$3:$B$133,$A70,秏料!$L$3:$L$133)</f>
        <v>0</v>
      </c>
      <c r="T70" s="777">
        <v>0</v>
      </c>
      <c r="U70" s="420"/>
      <c r="V70" s="420">
        <v>0</v>
      </c>
      <c r="W70" s="421"/>
      <c r="X70" s="422"/>
      <c r="Y70" s="382"/>
      <c r="Z70" s="382"/>
      <c r="AA70" s="423"/>
      <c r="AB70" s="349">
        <f t="shared" si="68"/>
        <v>0</v>
      </c>
      <c r="AC70" s="350">
        <f t="shared" si="69"/>
        <v>0</v>
      </c>
      <c r="AD70" s="350">
        <f t="shared" si="61"/>
        <v>0</v>
      </c>
      <c r="AE70" s="351">
        <f t="shared" si="62"/>
        <v>0</v>
      </c>
      <c r="AF70" s="670"/>
      <c r="AG70" s="425"/>
      <c r="AH70" s="658"/>
      <c r="AI70" s="426"/>
      <c r="AJ70" s="427"/>
      <c r="AK70" s="16">
        <f t="shared" si="8"/>
        <v>0</v>
      </c>
    </row>
    <row r="71" spans="1:42" s="12" customFormat="1" ht="23.1" hidden="1" customHeight="1" x14ac:dyDescent="0.3">
      <c r="A71" s="99"/>
      <c r="B71" s="371" t="s">
        <v>126</v>
      </c>
      <c r="C71" s="382"/>
      <c r="D71" s="411"/>
      <c r="E71" s="371"/>
      <c r="F71" s="371"/>
      <c r="G71" s="683"/>
      <c r="H71" s="777"/>
      <c r="I71" s="424"/>
      <c r="J71" s="777"/>
      <c r="K71" s="685"/>
      <c r="L71" s="777"/>
      <c r="M71" s="685"/>
      <c r="N71" s="777"/>
      <c r="O71" s="685"/>
      <c r="P71" s="369"/>
      <c r="Q71" s="382"/>
      <c r="R71" s="382"/>
      <c r="S71" s="424"/>
      <c r="T71" s="777"/>
      <c r="U71" s="420"/>
      <c r="V71" s="420"/>
      <c r="W71" s="421"/>
      <c r="X71" s="422"/>
      <c r="Y71" s="382"/>
      <c r="Z71" s="382"/>
      <c r="AA71" s="423"/>
      <c r="AB71" s="349"/>
      <c r="AC71" s="350"/>
      <c r="AD71" s="350"/>
      <c r="AE71" s="351"/>
      <c r="AF71" s="670"/>
      <c r="AG71" s="425"/>
      <c r="AH71" s="658"/>
      <c r="AI71" s="426"/>
      <c r="AJ71" s="427"/>
      <c r="AK71" s="16"/>
    </row>
    <row r="72" spans="1:42" s="12" customFormat="1" ht="31.5" customHeight="1" x14ac:dyDescent="0.3">
      <c r="A72" s="111" t="s">
        <v>127</v>
      </c>
      <c r="B72" s="428" t="s">
        <v>128</v>
      </c>
      <c r="C72" s="397">
        <f>49+17+17</f>
        <v>83</v>
      </c>
      <c r="D72" s="429">
        <f>51+16.13+0+12.89</f>
        <v>80.02</v>
      </c>
      <c r="E72" s="430"/>
      <c r="F72" s="430">
        <v>1</v>
      </c>
      <c r="G72" s="683">
        <f>IF(+D72+E72-F72&lt;=0,0,+D72+E72-F72)</f>
        <v>79.02</v>
      </c>
      <c r="H72" s="777"/>
      <c r="I72" s="424"/>
      <c r="J72" s="777"/>
      <c r="K72" s="685"/>
      <c r="L72" s="777"/>
      <c r="M72" s="685"/>
      <c r="N72" s="777"/>
      <c r="O72" s="685"/>
      <c r="P72" s="369">
        <f>+SUMIF(秏料!$B$3:$B$133,$A72,秏料!$F$3:$F$133)</f>
        <v>5</v>
      </c>
      <c r="Q72" s="906">
        <f>+SUMIF(秏料!$B$3:$B$133,$A72,秏料!$H$3:$H$133)</f>
        <v>22</v>
      </c>
      <c r="R72" s="486">
        <f>+SUMIF(秏料!$B$3:$B$133,$A72,秏料!$J$3:$J$133)</f>
        <v>242</v>
      </c>
      <c r="S72" s="907">
        <f>+SUMIF(秏料!$B$3:$B$133,$A72,秏料!$L$3:$L$133)</f>
        <v>22</v>
      </c>
      <c r="T72" s="777">
        <v>0</v>
      </c>
      <c r="U72" s="420">
        <v>0</v>
      </c>
      <c r="V72" s="420">
        <v>230</v>
      </c>
      <c r="W72" s="421">
        <v>23</v>
      </c>
      <c r="X72" s="422"/>
      <c r="Y72" s="382"/>
      <c r="Z72" s="382"/>
      <c r="AA72" s="423"/>
      <c r="AB72" s="349">
        <f t="shared" ref="AB72:AB99" si="70">+G72-SUM(H72:I72,P72)+SUM(T72,X72)</f>
        <v>74.02</v>
      </c>
      <c r="AC72" s="350">
        <f t="shared" si="69"/>
        <v>52.019999999999996</v>
      </c>
      <c r="AD72" s="350">
        <f t="shared" si="61"/>
        <v>40.019999999999982</v>
      </c>
      <c r="AE72" s="351">
        <f t="shared" si="62"/>
        <v>41.019999999999982</v>
      </c>
      <c r="AF72" s="670">
        <f t="shared" ref="AF72:AF99" si="71">+IF(SUM(G72,H72:O72,Q72,S72,V72,Z72)&gt;0,1,0)</f>
        <v>1</v>
      </c>
      <c r="AG72" s="352"/>
      <c r="AH72" s="654">
        <v>20</v>
      </c>
      <c r="AJ72" s="353"/>
      <c r="AK72" s="16">
        <f t="shared" ref="AK72:AK99" si="72">+IF(SUM(G72,H72:O72,R72,U72,X72,AA72,AB72:AE72)&lt;&gt;0,1,0)</f>
        <v>1</v>
      </c>
      <c r="AM72" s="352"/>
      <c r="AN72" s="465"/>
      <c r="AO72" s="465"/>
      <c r="AP72" s="352"/>
    </row>
    <row r="73" spans="1:42" s="12" customFormat="1" ht="31.5" customHeight="1" x14ac:dyDescent="0.3">
      <c r="A73" s="99" t="s">
        <v>129</v>
      </c>
      <c r="B73" s="371" t="s">
        <v>130</v>
      </c>
      <c r="C73" s="382">
        <v>550</v>
      </c>
      <c r="D73" s="411">
        <v>246</v>
      </c>
      <c r="E73" s="371"/>
      <c r="F73" s="371">
        <v>1</v>
      </c>
      <c r="G73" s="683">
        <f>IF(+D73+E73-F73&lt;=0,0,+D73+E73-F73)</f>
        <v>245</v>
      </c>
      <c r="H73" s="777">
        <v>24</v>
      </c>
      <c r="I73" s="424"/>
      <c r="J73" s="777">
        <v>94</v>
      </c>
      <c r="K73" s="685"/>
      <c r="L73" s="777">
        <v>94</v>
      </c>
      <c r="M73" s="685"/>
      <c r="N73" s="777">
        <v>94</v>
      </c>
      <c r="O73" s="685"/>
      <c r="P73" s="369">
        <f>+SUMIF(秏料!$B$3:$B$133,$A73,秏料!$F$3:$F$133)</f>
        <v>25</v>
      </c>
      <c r="Q73" s="382">
        <f>+SUMIF(秏料!$B$3:$B$133,$A73,秏料!$H$3:$H$133)</f>
        <v>137</v>
      </c>
      <c r="R73" s="382">
        <f>+SUMIF(秏料!$B$3:$B$133,$A73,秏料!$J$3:$J$133)</f>
        <v>137</v>
      </c>
      <c r="S73" s="424">
        <f>+SUMIF(秏料!$B$3:$B$133,$A73,秏料!$L$3:$L$133)</f>
        <v>137</v>
      </c>
      <c r="T73" s="777">
        <v>0</v>
      </c>
      <c r="U73" s="420">
        <v>210</v>
      </c>
      <c r="V73" s="420">
        <v>240</v>
      </c>
      <c r="W73" s="421">
        <v>240</v>
      </c>
      <c r="X73" s="422"/>
      <c r="Y73" s="382"/>
      <c r="Z73" s="382"/>
      <c r="AA73" s="423"/>
      <c r="AB73" s="349">
        <f t="shared" si="70"/>
        <v>196</v>
      </c>
      <c r="AC73" s="350">
        <f t="shared" si="69"/>
        <v>175</v>
      </c>
      <c r="AD73" s="350">
        <f t="shared" si="61"/>
        <v>184</v>
      </c>
      <c r="AE73" s="351">
        <f t="shared" si="62"/>
        <v>193</v>
      </c>
      <c r="AF73" s="670">
        <f t="shared" si="71"/>
        <v>1</v>
      </c>
      <c r="AG73" s="352"/>
      <c r="AH73" s="654">
        <v>150</v>
      </c>
      <c r="AJ73" s="353"/>
      <c r="AK73" s="16">
        <f t="shared" si="72"/>
        <v>1</v>
      </c>
      <c r="AM73" s="352"/>
      <c r="AN73" s="465"/>
      <c r="AO73" s="465"/>
      <c r="AP73" s="352"/>
    </row>
    <row r="74" spans="1:42" s="12" customFormat="1" ht="23.1" hidden="1" customHeight="1" x14ac:dyDescent="0.3">
      <c r="A74" s="99" t="s">
        <v>131</v>
      </c>
      <c r="B74" s="371" t="s">
        <v>132</v>
      </c>
      <c r="C74" s="382">
        <v>23</v>
      </c>
      <c r="D74" s="347">
        <f>0</f>
        <v>0</v>
      </c>
      <c r="E74" s="371"/>
      <c r="F74" s="371"/>
      <c r="G74" s="683">
        <f>IF(+D74+E74-F74&lt;=0,0,+D74+E74-F74)</f>
        <v>0</v>
      </c>
      <c r="H74" s="777"/>
      <c r="I74" s="685"/>
      <c r="J74" s="777">
        <v>0</v>
      </c>
      <c r="K74" s="685"/>
      <c r="L74" s="777"/>
      <c r="M74" s="685"/>
      <c r="N74" s="777"/>
      <c r="O74" s="685"/>
      <c r="P74" s="369">
        <f>+SUMIF(秏料!$B$3:$B$133,$A74,秏料!$F$3:$F$133)</f>
        <v>0</v>
      </c>
      <c r="Q74" s="382">
        <f>+SUMIF(秏料!$B$3:$B$133,$A74,秏料!$H$3:$H$133)</f>
        <v>0</v>
      </c>
      <c r="R74" s="382">
        <f>+SUMIF(秏料!$B$3:$B$133,$A74,秏料!$J$3:$J$133)</f>
        <v>0</v>
      </c>
      <c r="S74" s="424">
        <f>+SUMIF(秏料!$B$3:$B$133,$A74,秏料!$L$3:$L$133)</f>
        <v>0</v>
      </c>
      <c r="T74" s="777"/>
      <c r="U74" s="420"/>
      <c r="V74" s="420"/>
      <c r="W74" s="421"/>
      <c r="X74" s="422"/>
      <c r="Y74" s="382"/>
      <c r="Z74" s="382"/>
      <c r="AA74" s="423"/>
      <c r="AB74" s="349">
        <f t="shared" si="70"/>
        <v>0</v>
      </c>
      <c r="AC74" s="350">
        <f t="shared" si="69"/>
        <v>0</v>
      </c>
      <c r="AD74" s="350">
        <f t="shared" si="61"/>
        <v>0</v>
      </c>
      <c r="AE74" s="351">
        <f t="shared" si="62"/>
        <v>0</v>
      </c>
      <c r="AF74" s="670">
        <f t="shared" si="71"/>
        <v>0</v>
      </c>
      <c r="AG74" s="352"/>
      <c r="AH74" s="654"/>
      <c r="AJ74" s="353"/>
      <c r="AK74" s="16">
        <f t="shared" si="72"/>
        <v>0</v>
      </c>
      <c r="AM74" s="352"/>
      <c r="AN74" s="465"/>
      <c r="AO74" s="465"/>
      <c r="AP74" s="352"/>
    </row>
    <row r="75" spans="1:42" s="12" customFormat="1" ht="23.1" hidden="1" customHeight="1" x14ac:dyDescent="0.3">
      <c r="A75" s="99" t="s">
        <v>133</v>
      </c>
      <c r="B75" s="371"/>
      <c r="C75" s="382"/>
      <c r="D75" s="411"/>
      <c r="E75" s="371"/>
      <c r="F75" s="371"/>
      <c r="G75" s="683">
        <v>0</v>
      </c>
      <c r="H75" s="777"/>
      <c r="I75" s="424"/>
      <c r="J75" s="777"/>
      <c r="K75" s="685"/>
      <c r="L75" s="777"/>
      <c r="M75" s="685"/>
      <c r="N75" s="777"/>
      <c r="O75" s="685"/>
      <c r="P75" s="369">
        <f>+SUMIF(秏料!$B$3:$B$133,$A75,秏料!$F$3:$F$133)</f>
        <v>0</v>
      </c>
      <c r="Q75" s="382">
        <f>+SUMIF(秏料!$B$3:$B$133,$A75,秏料!$H$3:$H$133)</f>
        <v>0</v>
      </c>
      <c r="R75" s="382">
        <f>+SUMIF(秏料!$B$3:$B$133,$A75,秏料!$J$3:$J$133)</f>
        <v>0</v>
      </c>
      <c r="S75" s="424">
        <f>+SUMIF(秏料!$B$3:$B$133,$A75,秏料!$L$3:$L$133)</f>
        <v>0</v>
      </c>
      <c r="T75" s="777"/>
      <c r="U75" s="420"/>
      <c r="V75" s="420"/>
      <c r="W75" s="421"/>
      <c r="X75" s="422"/>
      <c r="Y75" s="382"/>
      <c r="Z75" s="382"/>
      <c r="AA75" s="423"/>
      <c r="AB75" s="349">
        <f t="shared" si="70"/>
        <v>0</v>
      </c>
      <c r="AC75" s="350">
        <f t="shared" si="69"/>
        <v>0</v>
      </c>
      <c r="AD75" s="350">
        <f t="shared" si="61"/>
        <v>0</v>
      </c>
      <c r="AE75" s="351">
        <f t="shared" si="62"/>
        <v>0</v>
      </c>
      <c r="AF75" s="670">
        <f t="shared" si="71"/>
        <v>0</v>
      </c>
      <c r="AG75" s="352"/>
      <c r="AH75" s="654"/>
      <c r="AJ75" s="353"/>
      <c r="AK75" s="16">
        <f t="shared" si="72"/>
        <v>0</v>
      </c>
    </row>
    <row r="76" spans="1:42" s="12" customFormat="1" ht="31.5" customHeight="1" x14ac:dyDescent="0.3">
      <c r="A76" s="99" t="s">
        <v>134</v>
      </c>
      <c r="B76" s="371" t="s">
        <v>135</v>
      </c>
      <c r="C76" s="382">
        <f>95+95+95+95+95+(20*25)</f>
        <v>975</v>
      </c>
      <c r="D76" s="411">
        <f>5+44+5+5.6+82+140.8</f>
        <v>282.39999999999998</v>
      </c>
      <c r="E76" s="371"/>
      <c r="F76" s="371">
        <v>3</v>
      </c>
      <c r="G76" s="683">
        <f>IF(+D76+E76-F76&lt;=0,0,+D76+E76-F76)</f>
        <v>279.39999999999998</v>
      </c>
      <c r="H76" s="777"/>
      <c r="I76" s="424"/>
      <c r="J76" s="777">
        <v>0</v>
      </c>
      <c r="K76" s="685"/>
      <c r="L76" s="777">
        <v>0</v>
      </c>
      <c r="M76" s="685"/>
      <c r="N76" s="777">
        <v>0</v>
      </c>
      <c r="O76" s="685"/>
      <c r="P76" s="369">
        <f>+SUMIF(秏料!$B$3:$B$133,$A76,秏料!$F$3:$F$133)</f>
        <v>113</v>
      </c>
      <c r="Q76" s="382">
        <f>+SUMIF(秏料!$B$3:$B$133,$A76,秏料!$H$3:$H$133)</f>
        <v>309</v>
      </c>
      <c r="R76" s="382">
        <f>+SUMIF(秏料!$B$3:$B$133,$A76,秏料!$J$3:$J$133)</f>
        <v>330</v>
      </c>
      <c r="S76" s="424">
        <f>+SUMIF(秏料!$B$3:$B$133,$A76,秏料!$L$3:$L$133)</f>
        <v>299</v>
      </c>
      <c r="T76" s="777"/>
      <c r="U76" s="420">
        <f>234+78+100</f>
        <v>412</v>
      </c>
      <c r="V76" s="420">
        <v>195</v>
      </c>
      <c r="W76" s="420">
        <v>195</v>
      </c>
      <c r="X76" s="422">
        <f>+$I$14</f>
        <v>0</v>
      </c>
      <c r="Y76" s="382">
        <f>$K$14</f>
        <v>0</v>
      </c>
      <c r="Z76" s="382">
        <f>$M$14</f>
        <v>0</v>
      </c>
      <c r="AA76" s="431">
        <f>$O$14</f>
        <v>0</v>
      </c>
      <c r="AB76" s="349">
        <f t="shared" si="70"/>
        <v>166.39999999999998</v>
      </c>
      <c r="AC76" s="350">
        <f t="shared" ref="AC76" si="73">+AB76-SUM(J76:K76,Q76)+SUM(U76,Y76)</f>
        <v>269.39999999999998</v>
      </c>
      <c r="AD76" s="350">
        <f t="shared" ref="AD76" si="74">+AC76-SUM(L76:M76,R76)+SUM(V76,Z76)</f>
        <v>134.39999999999998</v>
      </c>
      <c r="AE76" s="351">
        <f t="shared" ref="AE76" si="75">+AD76-SUM(N76:O76,S76)+SUM(W76,AA76)</f>
        <v>30.399999999999977</v>
      </c>
      <c r="AF76" s="670">
        <f t="shared" si="71"/>
        <v>1</v>
      </c>
      <c r="AG76" s="352"/>
      <c r="AH76" s="654">
        <v>160</v>
      </c>
      <c r="AJ76" s="353"/>
      <c r="AK76" s="16">
        <f t="shared" si="72"/>
        <v>1</v>
      </c>
      <c r="AM76" s="352"/>
      <c r="AN76" s="465"/>
      <c r="AO76" s="465"/>
      <c r="AP76" s="352"/>
    </row>
    <row r="77" spans="1:42" s="12" customFormat="1" ht="23.1" hidden="1" customHeight="1" x14ac:dyDescent="0.3">
      <c r="A77" s="99" t="s">
        <v>136</v>
      </c>
      <c r="B77" s="371"/>
      <c r="C77" s="382"/>
      <c r="D77" s="411"/>
      <c r="E77" s="371"/>
      <c r="F77" s="371"/>
      <c r="G77" s="780">
        <f>IF(+D77+E77-F77&lt;=0,0,+D77+E77-F77)</f>
        <v>0</v>
      </c>
      <c r="H77" s="777"/>
      <c r="I77" s="424"/>
      <c r="J77" s="777"/>
      <c r="K77" s="685"/>
      <c r="L77" s="777"/>
      <c r="M77" s="685"/>
      <c r="N77" s="777"/>
      <c r="O77" s="685"/>
      <c r="P77" s="369">
        <f>+SUMIF(秏料!$B$3:$B$133,$A77,秏料!$F$3:$F$133)</f>
        <v>0</v>
      </c>
      <c r="Q77" s="382">
        <f>+SUMIF(秏料!$B$3:$B$133,$A77,秏料!$H$3:$H$133)</f>
        <v>0</v>
      </c>
      <c r="R77" s="382">
        <f>+SUMIF(秏料!$B$3:$B$133,$A77,秏料!$J$3:$J$133)</f>
        <v>0</v>
      </c>
      <c r="S77" s="424">
        <f>+SUMIF(秏料!$B$3:$B$133,$A77,秏料!$L$3:$L$133)</f>
        <v>0</v>
      </c>
      <c r="T77" s="777"/>
      <c r="U77" s="420"/>
      <c r="V77" s="420"/>
      <c r="W77" s="421"/>
      <c r="X77" s="422"/>
      <c r="Y77" s="382"/>
      <c r="Z77" s="382"/>
      <c r="AA77" s="423"/>
      <c r="AB77" s="384">
        <f t="shared" si="70"/>
        <v>0</v>
      </c>
      <c r="AC77" s="385">
        <f t="shared" si="69"/>
        <v>0</v>
      </c>
      <c r="AD77" s="385">
        <f t="shared" si="61"/>
        <v>0</v>
      </c>
      <c r="AE77" s="386">
        <f t="shared" si="62"/>
        <v>0</v>
      </c>
      <c r="AF77" s="670">
        <f t="shared" si="71"/>
        <v>0</v>
      </c>
      <c r="AG77" s="352"/>
      <c r="AH77" s="655"/>
      <c r="AJ77" s="353"/>
      <c r="AK77" s="16">
        <f t="shared" si="72"/>
        <v>0</v>
      </c>
    </row>
    <row r="78" spans="1:42" s="12" customFormat="1" ht="31.5" customHeight="1" thickBot="1" x14ac:dyDescent="0.35">
      <c r="A78" s="99" t="s">
        <v>137</v>
      </c>
      <c r="B78" s="371" t="s">
        <v>138</v>
      </c>
      <c r="C78" s="397">
        <f>18.4+0</f>
        <v>18.399999999999999</v>
      </c>
      <c r="D78" s="429">
        <v>13.8</v>
      </c>
      <c r="E78" s="430"/>
      <c r="F78" s="430">
        <v>1</v>
      </c>
      <c r="G78" s="780">
        <f>IF(+D78+E78-F78&lt;=0,0,+D78+E78-F78)</f>
        <v>12.8</v>
      </c>
      <c r="H78" s="777">
        <v>2</v>
      </c>
      <c r="I78" s="424"/>
      <c r="J78" s="777">
        <v>2</v>
      </c>
      <c r="K78" s="685"/>
      <c r="L78" s="777">
        <v>2</v>
      </c>
      <c r="M78" s="685"/>
      <c r="N78" s="777">
        <v>2</v>
      </c>
      <c r="O78" s="685"/>
      <c r="P78" s="369">
        <f>+SUMIF(秏料!$B$3:$B$133,$A78,秏料!$F$3:$F$133)</f>
        <v>0</v>
      </c>
      <c r="Q78" s="397">
        <f>+SUMIF(秏料!$B$3:$B$133,$A78,秏料!$H$3:$H$133)</f>
        <v>0</v>
      </c>
      <c r="R78" s="397">
        <f>+SUMIF(秏料!$B$3:$B$133,$A78,秏料!$J$3:$J$133)</f>
        <v>0</v>
      </c>
      <c r="S78" s="432">
        <f>+SUMIF(秏料!$B$3:$B$133,$A78,秏料!$L$3:$L$133)</f>
        <v>0</v>
      </c>
      <c r="T78" s="777">
        <v>0</v>
      </c>
      <c r="U78" s="420"/>
      <c r="V78" s="420"/>
      <c r="W78" s="421"/>
      <c r="X78" s="422"/>
      <c r="Y78" s="382"/>
      <c r="Z78" s="382"/>
      <c r="AA78" s="431"/>
      <c r="AB78" s="393">
        <f t="shared" si="70"/>
        <v>10.8</v>
      </c>
      <c r="AC78" s="394">
        <f t="shared" si="69"/>
        <v>8.8000000000000007</v>
      </c>
      <c r="AD78" s="394">
        <f t="shared" si="61"/>
        <v>6.8000000000000007</v>
      </c>
      <c r="AE78" s="395">
        <f t="shared" si="62"/>
        <v>4.8000000000000007</v>
      </c>
      <c r="AF78" s="670">
        <f t="shared" si="71"/>
        <v>1</v>
      </c>
      <c r="AG78" s="352"/>
      <c r="AH78" s="654">
        <v>0</v>
      </c>
      <c r="AJ78" s="353"/>
      <c r="AK78" s="16">
        <f t="shared" si="72"/>
        <v>1</v>
      </c>
      <c r="AM78" s="352"/>
      <c r="AN78" s="465"/>
      <c r="AO78" s="465"/>
      <c r="AP78" s="352"/>
    </row>
    <row r="79" spans="1:42" s="12" customFormat="1" ht="23.1" hidden="1" customHeight="1" x14ac:dyDescent="0.3">
      <c r="A79" s="97"/>
      <c r="B79" s="363" t="s">
        <v>139</v>
      </c>
      <c r="C79" s="361"/>
      <c r="D79" s="433"/>
      <c r="E79" s="434"/>
      <c r="F79" s="434"/>
      <c r="G79" s="377">
        <f t="shared" ref="G79:G99" si="76">+D79+E79-F79</f>
        <v>0</v>
      </c>
      <c r="H79" s="781"/>
      <c r="I79" s="435"/>
      <c r="J79" s="781"/>
      <c r="K79" s="379"/>
      <c r="L79" s="781"/>
      <c r="M79" s="379"/>
      <c r="N79" s="781"/>
      <c r="O79" s="379"/>
      <c r="P79" s="391">
        <f>+SUMIF(秏料!$B$3:$B$133,$A79,秏料!$F$3:$F$133)</f>
        <v>0</v>
      </c>
      <c r="Q79" s="361">
        <f>+SUMIF(秏料!$B$3:$B$133,$A79,秏料!$H$3:$H$133)</f>
        <v>0</v>
      </c>
      <c r="R79" s="361">
        <f>+SUMIF(秏料!$B$3:$B$133,$A79,秏料!$J$3:$J$133)</f>
        <v>0</v>
      </c>
      <c r="S79" s="435">
        <f>+SUMIF(秏料!$B$3:$B$133,$A79,秏料!$L$3:$L$133)</f>
        <v>0</v>
      </c>
      <c r="T79" s="781"/>
      <c r="U79" s="416"/>
      <c r="V79" s="416"/>
      <c r="W79" s="417"/>
      <c r="X79" s="418"/>
      <c r="Y79" s="361"/>
      <c r="Z79" s="361"/>
      <c r="AA79" s="419"/>
      <c r="AB79" s="358">
        <f t="shared" si="70"/>
        <v>0</v>
      </c>
      <c r="AC79" s="359">
        <f t="shared" si="69"/>
        <v>0</v>
      </c>
      <c r="AD79" s="359">
        <f t="shared" si="61"/>
        <v>0</v>
      </c>
      <c r="AE79" s="360">
        <f t="shared" si="62"/>
        <v>0</v>
      </c>
      <c r="AF79" s="670">
        <f t="shared" si="71"/>
        <v>0</v>
      </c>
      <c r="AG79" s="352"/>
      <c r="AH79" s="655"/>
      <c r="AJ79" s="353"/>
      <c r="AK79" s="16">
        <f t="shared" si="72"/>
        <v>0</v>
      </c>
    </row>
    <row r="80" spans="1:42" s="12" customFormat="1" ht="23.1" hidden="1" customHeight="1" x14ac:dyDescent="0.3">
      <c r="A80" s="99"/>
      <c r="B80" s="371" t="s">
        <v>139</v>
      </c>
      <c r="C80" s="382"/>
      <c r="D80" s="436"/>
      <c r="E80" s="437"/>
      <c r="F80" s="437"/>
      <c r="G80" s="683">
        <f t="shared" si="76"/>
        <v>0</v>
      </c>
      <c r="H80" s="777"/>
      <c r="I80" s="424"/>
      <c r="J80" s="777"/>
      <c r="K80" s="685"/>
      <c r="L80" s="777"/>
      <c r="M80" s="685"/>
      <c r="N80" s="777"/>
      <c r="O80" s="685"/>
      <c r="P80" s="369">
        <f>+SUMIF(秏料!$B$3:$B$133,$A80,秏料!$F$3:$F$133)</f>
        <v>0</v>
      </c>
      <c r="Q80" s="382">
        <f>+SUMIF(秏料!$B$3:$B$133,$A80,秏料!$H$3:$H$133)</f>
        <v>0</v>
      </c>
      <c r="R80" s="382">
        <f>+SUMIF(秏料!$B$3:$B$133,$A80,秏料!$J$3:$J$133)</f>
        <v>0</v>
      </c>
      <c r="S80" s="424">
        <f>+SUMIF(秏料!$B$3:$B$133,$A80,秏料!$L$3:$L$133)</f>
        <v>0</v>
      </c>
      <c r="T80" s="777"/>
      <c r="U80" s="420"/>
      <c r="V80" s="420"/>
      <c r="W80" s="421"/>
      <c r="X80" s="422"/>
      <c r="Y80" s="382"/>
      <c r="Z80" s="382"/>
      <c r="AA80" s="423"/>
      <c r="AB80" s="384">
        <f t="shared" si="70"/>
        <v>0</v>
      </c>
      <c r="AC80" s="385">
        <f t="shared" si="69"/>
        <v>0</v>
      </c>
      <c r="AD80" s="385">
        <f t="shared" si="61"/>
        <v>0</v>
      </c>
      <c r="AE80" s="386">
        <f t="shared" si="62"/>
        <v>0</v>
      </c>
      <c r="AF80" s="670">
        <f t="shared" si="71"/>
        <v>0</v>
      </c>
      <c r="AG80" s="352"/>
      <c r="AH80" s="655"/>
      <c r="AJ80" s="353"/>
      <c r="AK80" s="16">
        <f t="shared" si="72"/>
        <v>0</v>
      </c>
    </row>
    <row r="81" spans="1:42" s="12" customFormat="1" ht="23.1" hidden="1" customHeight="1" x14ac:dyDescent="0.3">
      <c r="A81" s="233"/>
      <c r="B81" s="371" t="s">
        <v>8</v>
      </c>
      <c r="C81" s="382"/>
      <c r="D81" s="411">
        <v>0</v>
      </c>
      <c r="E81" s="371"/>
      <c r="F81" s="371"/>
      <c r="G81" s="683">
        <f t="shared" si="76"/>
        <v>0</v>
      </c>
      <c r="H81" s="777"/>
      <c r="I81" s="424"/>
      <c r="J81" s="777"/>
      <c r="K81" s="685"/>
      <c r="L81" s="777"/>
      <c r="M81" s="685"/>
      <c r="N81" s="777"/>
      <c r="O81" s="685"/>
      <c r="P81" s="369">
        <f>+SUMIF(秏料!$B$3:$B$133,$A81,秏料!$F$3:$F$133)</f>
        <v>0</v>
      </c>
      <c r="Q81" s="382">
        <f>+SUMIF(秏料!$B$3:$B$133,$A81,秏料!$H$3:$H$133)</f>
        <v>0</v>
      </c>
      <c r="R81" s="382">
        <f>+SUMIF(秏料!$B$3:$B$133,$A81,秏料!$J$3:$J$133)</f>
        <v>0</v>
      </c>
      <c r="S81" s="424">
        <f>+SUMIF(秏料!$B$3:$B$133,$A81,秏料!$L$3:$L$133)</f>
        <v>0</v>
      </c>
      <c r="T81" s="777"/>
      <c r="U81" s="420"/>
      <c r="V81" s="420"/>
      <c r="W81" s="421"/>
      <c r="X81" s="422"/>
      <c r="Y81" s="382"/>
      <c r="Z81" s="382"/>
      <c r="AA81" s="431"/>
      <c r="AB81" s="393">
        <f t="shared" si="70"/>
        <v>0</v>
      </c>
      <c r="AC81" s="394">
        <f t="shared" si="69"/>
        <v>0</v>
      </c>
      <c r="AD81" s="394">
        <f t="shared" si="61"/>
        <v>0</v>
      </c>
      <c r="AE81" s="395">
        <f t="shared" si="62"/>
        <v>0</v>
      </c>
      <c r="AF81" s="670">
        <f t="shared" si="71"/>
        <v>0</v>
      </c>
      <c r="AG81" s="352"/>
      <c r="AH81" s="654"/>
      <c r="AJ81" s="353"/>
      <c r="AK81" s="16">
        <f t="shared" si="72"/>
        <v>0</v>
      </c>
      <c r="AM81" s="352"/>
      <c r="AN81" s="465"/>
      <c r="AO81" s="465"/>
      <c r="AP81" s="352"/>
    </row>
    <row r="82" spans="1:42" s="12" customFormat="1" ht="23.1" hidden="1" customHeight="1" x14ac:dyDescent="0.3">
      <c r="A82" s="466"/>
      <c r="B82" s="371"/>
      <c r="C82" s="361"/>
      <c r="D82" s="362"/>
      <c r="E82" s="363"/>
      <c r="F82" s="363"/>
      <c r="G82" s="377">
        <f t="shared" si="76"/>
        <v>0</v>
      </c>
      <c r="H82" s="781"/>
      <c r="I82" s="435"/>
      <c r="J82" s="781"/>
      <c r="K82" s="379"/>
      <c r="L82" s="781"/>
      <c r="M82" s="379"/>
      <c r="N82" s="781"/>
      <c r="O82" s="379"/>
      <c r="P82" s="369">
        <f>+SUMIF(秏料!$B$3:$B$133,$A82,秏料!$F$3:$F$133)</f>
        <v>0</v>
      </c>
      <c r="Q82" s="361">
        <f>+SUMIF(秏料!$B$3:$B$133,$A82,秏料!$H$3:$H$133)</f>
        <v>0</v>
      </c>
      <c r="R82" s="361">
        <f>+SUMIF(秏料!$B$3:$B$133,$A82,秏料!$J$3:$J$133)</f>
        <v>0</v>
      </c>
      <c r="S82" s="435">
        <f>+SUMIF(秏料!$B$3:$B$133,$A82,秏料!$L$3:$L$133)</f>
        <v>0</v>
      </c>
      <c r="T82" s="781"/>
      <c r="U82" s="416"/>
      <c r="V82" s="416"/>
      <c r="W82" s="417"/>
      <c r="X82" s="418"/>
      <c r="Y82" s="361"/>
      <c r="Z82" s="361"/>
      <c r="AA82" s="419"/>
      <c r="AB82" s="393">
        <f t="shared" si="70"/>
        <v>0</v>
      </c>
      <c r="AC82" s="394">
        <f t="shared" si="69"/>
        <v>0</v>
      </c>
      <c r="AD82" s="394">
        <f t="shared" si="61"/>
        <v>0</v>
      </c>
      <c r="AE82" s="395">
        <f t="shared" si="62"/>
        <v>0</v>
      </c>
      <c r="AF82" s="670">
        <f t="shared" si="71"/>
        <v>0</v>
      </c>
      <c r="AG82" s="352"/>
      <c r="AH82" s="655"/>
      <c r="AJ82" s="353"/>
      <c r="AK82" s="16">
        <f t="shared" si="72"/>
        <v>0</v>
      </c>
      <c r="AM82" s="352"/>
      <c r="AN82" s="465"/>
      <c r="AO82" s="465"/>
      <c r="AP82" s="352"/>
    </row>
    <row r="83" spans="1:42" s="12" customFormat="1" ht="23.1" hidden="1" customHeight="1" x14ac:dyDescent="0.3">
      <c r="A83" s="233"/>
      <c r="B83" s="371"/>
      <c r="C83" s="382"/>
      <c r="D83" s="411"/>
      <c r="E83" s="371"/>
      <c r="F83" s="371"/>
      <c r="G83" s="683">
        <f t="shared" si="76"/>
        <v>0</v>
      </c>
      <c r="H83" s="777"/>
      <c r="I83" s="424"/>
      <c r="J83" s="777"/>
      <c r="K83" s="685"/>
      <c r="L83" s="777"/>
      <c r="M83" s="685"/>
      <c r="N83" s="777"/>
      <c r="O83" s="685"/>
      <c r="P83" s="369">
        <f>+SUMIF(秏料!$B$3:$B$133,$A83,秏料!$F$3:$F$133)</f>
        <v>0</v>
      </c>
      <c r="Q83" s="382">
        <f>+SUMIF(秏料!$B$3:$B$133,$A83,秏料!$H$3:$H$133)</f>
        <v>0</v>
      </c>
      <c r="R83" s="382">
        <f>+SUMIF(秏料!$B$3:$B$133,$A83,秏料!$J$3:$J$133)</f>
        <v>0</v>
      </c>
      <c r="S83" s="424">
        <f>+SUMIF(秏料!$B$3:$B$133,$A83,秏料!$L$3:$L$133)</f>
        <v>0</v>
      </c>
      <c r="T83" s="777"/>
      <c r="U83" s="420"/>
      <c r="V83" s="420"/>
      <c r="W83" s="421"/>
      <c r="X83" s="422"/>
      <c r="Y83" s="382"/>
      <c r="Z83" s="382"/>
      <c r="AA83" s="423"/>
      <c r="AB83" s="393">
        <f t="shared" si="70"/>
        <v>0</v>
      </c>
      <c r="AC83" s="394">
        <f t="shared" si="69"/>
        <v>0</v>
      </c>
      <c r="AD83" s="394">
        <f t="shared" si="61"/>
        <v>0</v>
      </c>
      <c r="AE83" s="395">
        <f t="shared" si="62"/>
        <v>0</v>
      </c>
      <c r="AF83" s="670">
        <f t="shared" si="71"/>
        <v>0</v>
      </c>
      <c r="AG83" s="352"/>
      <c r="AH83" s="655"/>
      <c r="AJ83" s="353"/>
      <c r="AK83" s="16">
        <f t="shared" si="72"/>
        <v>0</v>
      </c>
      <c r="AM83" s="352"/>
      <c r="AN83" s="465"/>
      <c r="AO83" s="465"/>
      <c r="AP83" s="352"/>
    </row>
    <row r="84" spans="1:42" s="12" customFormat="1" ht="23.1" hidden="1" customHeight="1" thickBot="1" x14ac:dyDescent="0.35">
      <c r="A84" s="467"/>
      <c r="B84" s="438"/>
      <c r="C84" s="439"/>
      <c r="D84" s="440"/>
      <c r="E84" s="441"/>
      <c r="F84" s="441"/>
      <c r="G84" s="782">
        <f t="shared" si="76"/>
        <v>0</v>
      </c>
      <c r="H84" s="783"/>
      <c r="I84" s="443"/>
      <c r="J84" s="783"/>
      <c r="K84" s="456"/>
      <c r="L84" s="783"/>
      <c r="M84" s="456"/>
      <c r="N84" s="783"/>
      <c r="O84" s="456"/>
      <c r="P84" s="442">
        <f>+SUMIF(秏料!$B$3:$B$133,$A84,秏料!$F$3:$F$133)</f>
        <v>0</v>
      </c>
      <c r="Q84" s="439">
        <f>+SUMIF(秏料!$B$3:$B$133,$A84,秏料!$H$3:$H$133)</f>
        <v>0</v>
      </c>
      <c r="R84" s="439">
        <f>+SUMIF(秏料!$B$3:$B$133,$A84,秏料!$J$3:$J$133)</f>
        <v>0</v>
      </c>
      <c r="S84" s="443">
        <f>+SUMIF(秏料!$B$3:$B$133,$A84,秏料!$L$3:$L$133)</f>
        <v>0</v>
      </c>
      <c r="T84" s="783"/>
      <c r="U84" s="444"/>
      <c r="V84" s="444"/>
      <c r="W84" s="445"/>
      <c r="X84" s="446"/>
      <c r="Y84" s="439"/>
      <c r="Z84" s="439"/>
      <c r="AA84" s="447"/>
      <c r="AB84" s="448">
        <f t="shared" si="70"/>
        <v>0</v>
      </c>
      <c r="AC84" s="449">
        <f t="shared" si="69"/>
        <v>0</v>
      </c>
      <c r="AD84" s="449">
        <f t="shared" si="61"/>
        <v>0</v>
      </c>
      <c r="AE84" s="450">
        <f t="shared" si="62"/>
        <v>0</v>
      </c>
      <c r="AF84" s="670">
        <f t="shared" si="71"/>
        <v>0</v>
      </c>
      <c r="AG84" s="352"/>
      <c r="AH84" s="655"/>
      <c r="AJ84" s="353"/>
      <c r="AK84" s="16">
        <f t="shared" si="72"/>
        <v>0</v>
      </c>
      <c r="AM84" s="352"/>
      <c r="AN84" s="465"/>
      <c r="AO84" s="465"/>
      <c r="AP84" s="352"/>
    </row>
    <row r="85" spans="1:42" s="12" customFormat="1" ht="23.1" hidden="1" customHeight="1" thickTop="1" x14ac:dyDescent="0.3">
      <c r="A85" s="97"/>
      <c r="B85" s="363"/>
      <c r="C85" s="361"/>
      <c r="D85" s="433"/>
      <c r="E85" s="434"/>
      <c r="F85" s="434"/>
      <c r="G85" s="377">
        <f t="shared" si="76"/>
        <v>0</v>
      </c>
      <c r="H85" s="781"/>
      <c r="I85" s="435"/>
      <c r="J85" s="781"/>
      <c r="K85" s="379"/>
      <c r="L85" s="781"/>
      <c r="M85" s="379"/>
      <c r="N85" s="781"/>
      <c r="O85" s="379"/>
      <c r="P85" s="391">
        <f>+SUMIF(秏料!$B$3:$B$133,$A85,秏料!$F$3:$F$133)</f>
        <v>0</v>
      </c>
      <c r="Q85" s="361">
        <f>+SUMIF(秏料!$B$3:$B$133,$A85,秏料!$H$3:$H$133)</f>
        <v>0</v>
      </c>
      <c r="R85" s="361">
        <f>+SUMIF(秏料!$B$3:$B$133,$A85,秏料!$J$3:$J$133)</f>
        <v>0</v>
      </c>
      <c r="S85" s="435">
        <f>+SUMIF(秏料!$B$3:$B$133,$A85,秏料!$L$3:$L$133)</f>
        <v>0</v>
      </c>
      <c r="T85" s="781"/>
      <c r="U85" s="416"/>
      <c r="V85" s="416"/>
      <c r="W85" s="417"/>
      <c r="X85" s="418"/>
      <c r="Y85" s="361"/>
      <c r="Z85" s="361"/>
      <c r="AA85" s="419"/>
      <c r="AB85" s="358">
        <f t="shared" si="70"/>
        <v>0</v>
      </c>
      <c r="AC85" s="359">
        <f t="shared" si="69"/>
        <v>0</v>
      </c>
      <c r="AD85" s="359">
        <f t="shared" si="61"/>
        <v>0</v>
      </c>
      <c r="AE85" s="360">
        <f t="shared" si="62"/>
        <v>0</v>
      </c>
      <c r="AF85" s="670">
        <f t="shared" si="71"/>
        <v>0</v>
      </c>
      <c r="AG85" s="352"/>
      <c r="AH85" s="655"/>
      <c r="AJ85" s="353"/>
      <c r="AK85" s="16">
        <f t="shared" si="72"/>
        <v>0</v>
      </c>
    </row>
    <row r="86" spans="1:42" s="12" customFormat="1" ht="23.1" hidden="1" customHeight="1" x14ac:dyDescent="0.3">
      <c r="A86" s="99"/>
      <c r="B86" s="371"/>
      <c r="C86" s="382"/>
      <c r="D86" s="436"/>
      <c r="E86" s="437"/>
      <c r="F86" s="437"/>
      <c r="G86" s="683">
        <f t="shared" si="76"/>
        <v>0</v>
      </c>
      <c r="H86" s="777"/>
      <c r="I86" s="424"/>
      <c r="J86" s="777"/>
      <c r="K86" s="685"/>
      <c r="L86" s="777"/>
      <c r="M86" s="685"/>
      <c r="N86" s="777"/>
      <c r="O86" s="685"/>
      <c r="P86" s="369">
        <f>+SUMIF(秏料!$B$3:$B$133,$A86,秏料!$F$3:$F$133)</f>
        <v>0</v>
      </c>
      <c r="Q86" s="382">
        <f>+SUMIF(秏料!$B$3:$B$133,$A86,秏料!$H$3:$H$133)</f>
        <v>0</v>
      </c>
      <c r="R86" s="382">
        <f>+SUMIF(秏料!$B$3:$B$133,$A86,秏料!$J$3:$J$133)</f>
        <v>0</v>
      </c>
      <c r="S86" s="424">
        <f>+SUMIF(秏料!$B$3:$B$133,$A86,秏料!$L$3:$L$133)</f>
        <v>0</v>
      </c>
      <c r="T86" s="777"/>
      <c r="U86" s="420"/>
      <c r="V86" s="420"/>
      <c r="W86" s="421"/>
      <c r="X86" s="422"/>
      <c r="Y86" s="382"/>
      <c r="Z86" s="382"/>
      <c r="AA86" s="423"/>
      <c r="AB86" s="384">
        <f t="shared" si="70"/>
        <v>0</v>
      </c>
      <c r="AC86" s="385">
        <f t="shared" si="69"/>
        <v>0</v>
      </c>
      <c r="AD86" s="385">
        <f t="shared" si="61"/>
        <v>0</v>
      </c>
      <c r="AE86" s="386">
        <f t="shared" si="62"/>
        <v>0</v>
      </c>
      <c r="AF86" s="670">
        <f t="shared" si="71"/>
        <v>0</v>
      </c>
      <c r="AG86" s="352"/>
      <c r="AH86" s="655"/>
      <c r="AJ86" s="353"/>
      <c r="AK86" s="16">
        <f t="shared" si="72"/>
        <v>0</v>
      </c>
    </row>
    <row r="87" spans="1:42" s="12" customFormat="1" ht="23.1" hidden="1" customHeight="1" x14ac:dyDescent="0.3">
      <c r="A87" s="99"/>
      <c r="B87" s="371"/>
      <c r="C87" s="382"/>
      <c r="D87" s="436"/>
      <c r="E87" s="437"/>
      <c r="F87" s="437"/>
      <c r="G87" s="683">
        <f t="shared" si="76"/>
        <v>0</v>
      </c>
      <c r="H87" s="777"/>
      <c r="I87" s="424"/>
      <c r="J87" s="777"/>
      <c r="K87" s="685"/>
      <c r="L87" s="777"/>
      <c r="M87" s="685"/>
      <c r="N87" s="777"/>
      <c r="O87" s="685"/>
      <c r="P87" s="369">
        <f>+SUMIF(秏料!$B$3:$B$133,$A87,秏料!$F$3:$F$133)</f>
        <v>0</v>
      </c>
      <c r="Q87" s="382">
        <f>+SUMIF(秏料!$B$3:$B$133,$A87,秏料!$H$3:$H$133)</f>
        <v>0</v>
      </c>
      <c r="R87" s="382">
        <f>+SUMIF(秏料!$B$3:$B$133,$A87,秏料!$J$3:$J$133)</f>
        <v>0</v>
      </c>
      <c r="S87" s="424">
        <f>+SUMIF(秏料!$B$3:$B$133,$A87,秏料!$L$3:$L$133)</f>
        <v>0</v>
      </c>
      <c r="T87" s="777"/>
      <c r="U87" s="420"/>
      <c r="V87" s="420"/>
      <c r="W87" s="421"/>
      <c r="X87" s="422"/>
      <c r="Y87" s="382"/>
      <c r="Z87" s="382"/>
      <c r="AA87" s="423"/>
      <c r="AB87" s="384">
        <f t="shared" si="70"/>
        <v>0</v>
      </c>
      <c r="AC87" s="385">
        <f t="shared" si="69"/>
        <v>0</v>
      </c>
      <c r="AD87" s="385">
        <f t="shared" si="61"/>
        <v>0</v>
      </c>
      <c r="AE87" s="386">
        <f t="shared" si="62"/>
        <v>0</v>
      </c>
      <c r="AF87" s="670">
        <f t="shared" si="71"/>
        <v>0</v>
      </c>
      <c r="AG87" s="352"/>
      <c r="AH87" s="655"/>
      <c r="AJ87" s="353"/>
      <c r="AK87" s="16">
        <f t="shared" si="72"/>
        <v>0</v>
      </c>
    </row>
    <row r="88" spans="1:42" s="12" customFormat="1" ht="23.1" hidden="1" customHeight="1" x14ac:dyDescent="0.3">
      <c r="A88" s="99"/>
      <c r="B88" s="371"/>
      <c r="C88" s="382"/>
      <c r="D88" s="436"/>
      <c r="E88" s="437"/>
      <c r="F88" s="437"/>
      <c r="G88" s="683">
        <f t="shared" si="76"/>
        <v>0</v>
      </c>
      <c r="H88" s="777"/>
      <c r="I88" s="424"/>
      <c r="J88" s="777"/>
      <c r="K88" s="685"/>
      <c r="L88" s="777"/>
      <c r="M88" s="685"/>
      <c r="N88" s="777"/>
      <c r="O88" s="685"/>
      <c r="P88" s="369">
        <f>+SUMIF(秏料!$B$3:$B$133,$A88,秏料!$F$3:$F$133)</f>
        <v>0</v>
      </c>
      <c r="Q88" s="382">
        <f>+SUMIF(秏料!$B$3:$B$133,$A88,秏料!$H$3:$H$133)</f>
        <v>0</v>
      </c>
      <c r="R88" s="382">
        <f>+SUMIF(秏料!$B$3:$B$133,$A88,秏料!$J$3:$J$133)</f>
        <v>0</v>
      </c>
      <c r="S88" s="424">
        <f>+SUMIF(秏料!$B$3:$B$133,$A88,秏料!$L$3:$L$133)</f>
        <v>0</v>
      </c>
      <c r="T88" s="777"/>
      <c r="U88" s="420"/>
      <c r="V88" s="420"/>
      <c r="W88" s="421"/>
      <c r="X88" s="422"/>
      <c r="Y88" s="382"/>
      <c r="Z88" s="382"/>
      <c r="AA88" s="423"/>
      <c r="AB88" s="384">
        <f t="shared" si="70"/>
        <v>0</v>
      </c>
      <c r="AC88" s="385">
        <f t="shared" si="69"/>
        <v>0</v>
      </c>
      <c r="AD88" s="385">
        <f t="shared" si="61"/>
        <v>0</v>
      </c>
      <c r="AE88" s="386">
        <f t="shared" si="62"/>
        <v>0</v>
      </c>
      <c r="AF88" s="670">
        <f t="shared" si="71"/>
        <v>0</v>
      </c>
      <c r="AG88" s="352"/>
      <c r="AH88" s="655"/>
      <c r="AJ88" s="353"/>
      <c r="AK88" s="16">
        <f t="shared" si="72"/>
        <v>0</v>
      </c>
    </row>
    <row r="89" spans="1:42" s="12" customFormat="1" ht="23.1" hidden="1" customHeight="1" x14ac:dyDescent="0.3">
      <c r="A89" s="103"/>
      <c r="B89" s="451"/>
      <c r="C89" s="382"/>
      <c r="D89" s="436"/>
      <c r="E89" s="437"/>
      <c r="F89" s="437"/>
      <c r="G89" s="683">
        <f t="shared" si="76"/>
        <v>0</v>
      </c>
      <c r="H89" s="777"/>
      <c r="I89" s="424"/>
      <c r="J89" s="777"/>
      <c r="K89" s="685"/>
      <c r="L89" s="777"/>
      <c r="M89" s="685"/>
      <c r="N89" s="777"/>
      <c r="O89" s="685"/>
      <c r="P89" s="369">
        <f>+SUMIF(秏料!$B$3:$B$133,$A89,秏料!$F$3:$F$133)</f>
        <v>0</v>
      </c>
      <c r="Q89" s="382">
        <f>+SUMIF(秏料!$B$3:$B$133,$A89,秏料!$H$3:$H$133)</f>
        <v>0</v>
      </c>
      <c r="R89" s="382">
        <f>+SUMIF(秏料!$B$3:$B$133,$A89,秏料!$J$3:$J$133)</f>
        <v>0</v>
      </c>
      <c r="S89" s="424">
        <f>+SUMIF(秏料!$B$3:$B$133,$A89,秏料!$L$3:$L$133)</f>
        <v>0</v>
      </c>
      <c r="T89" s="777"/>
      <c r="U89" s="420"/>
      <c r="V89" s="420"/>
      <c r="W89" s="421"/>
      <c r="X89" s="422"/>
      <c r="Y89" s="382"/>
      <c r="Z89" s="382"/>
      <c r="AA89" s="431"/>
      <c r="AB89" s="396">
        <f t="shared" si="70"/>
        <v>0</v>
      </c>
      <c r="AC89" s="397">
        <f t="shared" si="69"/>
        <v>0</v>
      </c>
      <c r="AD89" s="397">
        <f t="shared" si="61"/>
        <v>0</v>
      </c>
      <c r="AE89" s="398">
        <f t="shared" si="62"/>
        <v>0</v>
      </c>
      <c r="AF89" s="670">
        <f t="shared" si="71"/>
        <v>0</v>
      </c>
      <c r="AG89" s="352"/>
      <c r="AH89" s="655"/>
      <c r="AJ89" s="353"/>
      <c r="AK89" s="16">
        <f t="shared" si="72"/>
        <v>0</v>
      </c>
    </row>
    <row r="90" spans="1:42" s="12" customFormat="1" ht="23.1" hidden="1" customHeight="1" x14ac:dyDescent="0.3">
      <c r="A90" s="97"/>
      <c r="B90" s="363"/>
      <c r="C90" s="361"/>
      <c r="D90" s="433"/>
      <c r="E90" s="434"/>
      <c r="F90" s="434"/>
      <c r="G90" s="377">
        <f t="shared" si="76"/>
        <v>0</v>
      </c>
      <c r="H90" s="781"/>
      <c r="I90" s="435"/>
      <c r="J90" s="781"/>
      <c r="K90" s="379"/>
      <c r="L90" s="781"/>
      <c r="M90" s="379"/>
      <c r="N90" s="781"/>
      <c r="O90" s="379"/>
      <c r="P90" s="391">
        <f>+SUMIF(秏料!$B$3:$B$133,$A90,秏料!$F$3:$F$133)</f>
        <v>0</v>
      </c>
      <c r="Q90" s="361">
        <f>+SUMIF(秏料!$B$3:$B$133,$A90,秏料!$H$3:$H$133)</f>
        <v>0</v>
      </c>
      <c r="R90" s="361">
        <f>+SUMIF(秏料!$B$3:$B$133,$A90,秏料!$J$3:$J$133)</f>
        <v>0</v>
      </c>
      <c r="S90" s="435">
        <f>+SUMIF(秏料!$B$3:$B$133,$A90,秏料!$L$3:$L$133)</f>
        <v>0</v>
      </c>
      <c r="T90" s="781"/>
      <c r="U90" s="416"/>
      <c r="V90" s="416"/>
      <c r="W90" s="417"/>
      <c r="X90" s="418"/>
      <c r="Y90" s="361"/>
      <c r="Z90" s="361"/>
      <c r="AA90" s="419"/>
      <c r="AB90" s="358">
        <f t="shared" si="70"/>
        <v>0</v>
      </c>
      <c r="AC90" s="359">
        <f t="shared" si="69"/>
        <v>0</v>
      </c>
      <c r="AD90" s="359">
        <f t="shared" si="61"/>
        <v>0</v>
      </c>
      <c r="AE90" s="360">
        <f t="shared" si="62"/>
        <v>0</v>
      </c>
      <c r="AF90" s="670">
        <f t="shared" si="71"/>
        <v>0</v>
      </c>
      <c r="AG90" s="352"/>
      <c r="AH90" s="655"/>
      <c r="AJ90" s="353"/>
      <c r="AK90" s="16">
        <f t="shared" si="72"/>
        <v>0</v>
      </c>
    </row>
    <row r="91" spans="1:42" s="12" customFormat="1" ht="23.1" hidden="1" customHeight="1" x14ac:dyDescent="0.3">
      <c r="A91" s="99"/>
      <c r="B91" s="371"/>
      <c r="C91" s="382"/>
      <c r="D91" s="436"/>
      <c r="E91" s="437"/>
      <c r="F91" s="437"/>
      <c r="G91" s="683">
        <f t="shared" si="76"/>
        <v>0</v>
      </c>
      <c r="H91" s="777"/>
      <c r="I91" s="424"/>
      <c r="J91" s="777"/>
      <c r="K91" s="685"/>
      <c r="L91" s="777"/>
      <c r="M91" s="685"/>
      <c r="N91" s="777"/>
      <c r="O91" s="685"/>
      <c r="P91" s="369">
        <f>+SUMIF(秏料!$B$3:$B$133,$A91,秏料!$F$3:$F$133)</f>
        <v>0</v>
      </c>
      <c r="Q91" s="382">
        <f>+SUMIF(秏料!$B$3:$B$133,$A91,秏料!$H$3:$H$133)</f>
        <v>0</v>
      </c>
      <c r="R91" s="382">
        <f>+SUMIF(秏料!$B$3:$B$133,$A91,秏料!$J$3:$J$133)</f>
        <v>0</v>
      </c>
      <c r="S91" s="424">
        <f>+SUMIF(秏料!$B$3:$B$133,$A91,秏料!$L$3:$L$133)</f>
        <v>0</v>
      </c>
      <c r="T91" s="777"/>
      <c r="U91" s="420"/>
      <c r="V91" s="420"/>
      <c r="W91" s="421"/>
      <c r="X91" s="422"/>
      <c r="Y91" s="382"/>
      <c r="Z91" s="382"/>
      <c r="AA91" s="423"/>
      <c r="AB91" s="384">
        <f t="shared" si="70"/>
        <v>0</v>
      </c>
      <c r="AC91" s="385">
        <f t="shared" si="69"/>
        <v>0</v>
      </c>
      <c r="AD91" s="385">
        <f t="shared" si="61"/>
        <v>0</v>
      </c>
      <c r="AE91" s="386">
        <f t="shared" si="62"/>
        <v>0</v>
      </c>
      <c r="AF91" s="670">
        <f t="shared" si="71"/>
        <v>0</v>
      </c>
      <c r="AG91" s="352"/>
      <c r="AH91" s="655"/>
      <c r="AJ91" s="353"/>
      <c r="AK91" s="16">
        <f t="shared" si="72"/>
        <v>0</v>
      </c>
    </row>
    <row r="92" spans="1:42" s="12" customFormat="1" ht="23.1" hidden="1" customHeight="1" x14ac:dyDescent="0.3">
      <c r="A92" s="99"/>
      <c r="B92" s="371"/>
      <c r="C92" s="382"/>
      <c r="D92" s="436"/>
      <c r="E92" s="437"/>
      <c r="F92" s="437"/>
      <c r="G92" s="683">
        <f t="shared" si="76"/>
        <v>0</v>
      </c>
      <c r="H92" s="777"/>
      <c r="I92" s="424"/>
      <c r="J92" s="777"/>
      <c r="K92" s="685"/>
      <c r="L92" s="777"/>
      <c r="M92" s="685"/>
      <c r="N92" s="777"/>
      <c r="O92" s="685"/>
      <c r="P92" s="369">
        <f>+SUMIF(秏料!$B$3:$B$133,$A92,秏料!$F$3:$F$133)</f>
        <v>0</v>
      </c>
      <c r="Q92" s="382">
        <f>+SUMIF(秏料!$B$3:$B$133,$A92,秏料!$H$3:$H$133)</f>
        <v>0</v>
      </c>
      <c r="R92" s="382">
        <f>+SUMIF(秏料!$B$3:$B$133,$A92,秏料!$J$3:$J$133)</f>
        <v>0</v>
      </c>
      <c r="S92" s="424">
        <f>+SUMIF(秏料!$B$3:$B$133,$A92,秏料!$L$3:$L$133)</f>
        <v>0</v>
      </c>
      <c r="T92" s="777"/>
      <c r="U92" s="420"/>
      <c r="V92" s="420"/>
      <c r="W92" s="421"/>
      <c r="X92" s="422"/>
      <c r="Y92" s="382"/>
      <c r="Z92" s="382"/>
      <c r="AA92" s="423"/>
      <c r="AB92" s="384">
        <f t="shared" si="70"/>
        <v>0</v>
      </c>
      <c r="AC92" s="385">
        <f t="shared" si="69"/>
        <v>0</v>
      </c>
      <c r="AD92" s="385">
        <f t="shared" si="61"/>
        <v>0</v>
      </c>
      <c r="AE92" s="386">
        <f t="shared" si="62"/>
        <v>0</v>
      </c>
      <c r="AF92" s="670">
        <f t="shared" si="71"/>
        <v>0</v>
      </c>
      <c r="AG92" s="352"/>
      <c r="AH92" s="655"/>
      <c r="AJ92" s="353"/>
      <c r="AK92" s="16">
        <f t="shared" si="72"/>
        <v>0</v>
      </c>
    </row>
    <row r="93" spans="1:42" s="12" customFormat="1" ht="23.1" hidden="1" customHeight="1" x14ac:dyDescent="0.3">
      <c r="A93" s="99"/>
      <c r="B93" s="371"/>
      <c r="C93" s="382"/>
      <c r="D93" s="436"/>
      <c r="E93" s="437"/>
      <c r="F93" s="437"/>
      <c r="G93" s="683">
        <f t="shared" si="76"/>
        <v>0</v>
      </c>
      <c r="H93" s="777"/>
      <c r="I93" s="424"/>
      <c r="J93" s="777"/>
      <c r="K93" s="685"/>
      <c r="L93" s="777"/>
      <c r="M93" s="685"/>
      <c r="N93" s="777"/>
      <c r="O93" s="685"/>
      <c r="P93" s="369">
        <f>+SUMIF(秏料!$B$3:$B$133,$A93,秏料!$F$3:$F$133)</f>
        <v>0</v>
      </c>
      <c r="Q93" s="382">
        <f>+SUMIF(秏料!$B$3:$B$133,$A93,秏料!$H$3:$H$133)</f>
        <v>0</v>
      </c>
      <c r="R93" s="382">
        <f>+SUMIF(秏料!$B$3:$B$133,$A93,秏料!$J$3:$J$133)</f>
        <v>0</v>
      </c>
      <c r="S93" s="424">
        <f>+SUMIF(秏料!$B$3:$B$133,$A93,秏料!$L$3:$L$133)</f>
        <v>0</v>
      </c>
      <c r="T93" s="777"/>
      <c r="U93" s="420"/>
      <c r="V93" s="420"/>
      <c r="W93" s="421"/>
      <c r="X93" s="422"/>
      <c r="Y93" s="382"/>
      <c r="Z93" s="382"/>
      <c r="AA93" s="423"/>
      <c r="AB93" s="384">
        <f t="shared" si="70"/>
        <v>0</v>
      </c>
      <c r="AC93" s="385">
        <f t="shared" si="69"/>
        <v>0</v>
      </c>
      <c r="AD93" s="385">
        <f t="shared" si="61"/>
        <v>0</v>
      </c>
      <c r="AE93" s="386">
        <f t="shared" si="62"/>
        <v>0</v>
      </c>
      <c r="AF93" s="670">
        <f t="shared" si="71"/>
        <v>0</v>
      </c>
      <c r="AG93" s="352"/>
      <c r="AH93" s="655"/>
      <c r="AJ93" s="353"/>
      <c r="AK93" s="16">
        <f t="shared" si="72"/>
        <v>0</v>
      </c>
    </row>
    <row r="94" spans="1:42" s="12" customFormat="1" ht="23.1" hidden="1" customHeight="1" x14ac:dyDescent="0.3">
      <c r="A94" s="99"/>
      <c r="B94" s="371"/>
      <c r="C94" s="382"/>
      <c r="D94" s="436"/>
      <c r="E94" s="437"/>
      <c r="F94" s="437"/>
      <c r="G94" s="683">
        <f t="shared" si="76"/>
        <v>0</v>
      </c>
      <c r="H94" s="777"/>
      <c r="I94" s="424"/>
      <c r="J94" s="777"/>
      <c r="K94" s="685"/>
      <c r="L94" s="777"/>
      <c r="M94" s="685"/>
      <c r="N94" s="777"/>
      <c r="O94" s="685"/>
      <c r="P94" s="369">
        <f>+SUMIF(秏料!$B$3:$B$133,$A94,秏料!$F$3:$F$133)</f>
        <v>0</v>
      </c>
      <c r="Q94" s="382">
        <f>+SUMIF(秏料!$B$3:$B$133,$A94,秏料!$H$3:$H$133)</f>
        <v>0</v>
      </c>
      <c r="R94" s="382">
        <f>+SUMIF(秏料!$B$3:$B$133,$A94,秏料!$J$3:$J$133)</f>
        <v>0</v>
      </c>
      <c r="S94" s="424">
        <f>+SUMIF(秏料!$B$3:$B$133,$A94,秏料!$L$3:$L$133)</f>
        <v>0</v>
      </c>
      <c r="T94" s="777"/>
      <c r="U94" s="420"/>
      <c r="V94" s="420"/>
      <c r="W94" s="421"/>
      <c r="X94" s="422"/>
      <c r="Y94" s="382"/>
      <c r="Z94" s="382"/>
      <c r="AA94" s="423"/>
      <c r="AB94" s="384">
        <f t="shared" si="70"/>
        <v>0</v>
      </c>
      <c r="AC94" s="385">
        <f t="shared" si="69"/>
        <v>0</v>
      </c>
      <c r="AD94" s="385">
        <f t="shared" si="61"/>
        <v>0</v>
      </c>
      <c r="AE94" s="386">
        <f t="shared" si="62"/>
        <v>0</v>
      </c>
      <c r="AF94" s="670">
        <f t="shared" si="71"/>
        <v>0</v>
      </c>
      <c r="AG94" s="352"/>
      <c r="AH94" s="655"/>
      <c r="AJ94" s="353"/>
      <c r="AK94" s="16">
        <f t="shared" si="72"/>
        <v>0</v>
      </c>
    </row>
    <row r="95" spans="1:42" s="12" customFormat="1" ht="23.1" hidden="1" customHeight="1" x14ac:dyDescent="0.3">
      <c r="A95" s="99"/>
      <c r="B95" s="371"/>
      <c r="C95" s="382"/>
      <c r="D95" s="436"/>
      <c r="E95" s="437"/>
      <c r="F95" s="437"/>
      <c r="G95" s="683">
        <f t="shared" si="76"/>
        <v>0</v>
      </c>
      <c r="H95" s="777"/>
      <c r="I95" s="424"/>
      <c r="J95" s="777"/>
      <c r="K95" s="685"/>
      <c r="L95" s="777"/>
      <c r="M95" s="685"/>
      <c r="N95" s="777"/>
      <c r="O95" s="685"/>
      <c r="P95" s="369">
        <f>+SUMIF(秏料!$B$3:$B$133,$A95,秏料!$F$3:$F$133)</f>
        <v>0</v>
      </c>
      <c r="Q95" s="382">
        <f>+SUMIF(秏料!$B$3:$B$133,$A95,秏料!$H$3:$H$133)</f>
        <v>0</v>
      </c>
      <c r="R95" s="382">
        <f>+SUMIF(秏料!$B$3:$B$133,$A95,秏料!$J$3:$J$133)</f>
        <v>0</v>
      </c>
      <c r="S95" s="424">
        <f>+SUMIF(秏料!$B$3:$B$133,$A95,秏料!$L$3:$L$133)</f>
        <v>0</v>
      </c>
      <c r="T95" s="777"/>
      <c r="U95" s="420"/>
      <c r="V95" s="420"/>
      <c r="W95" s="421"/>
      <c r="X95" s="422"/>
      <c r="Y95" s="382"/>
      <c r="Z95" s="382"/>
      <c r="AA95" s="423"/>
      <c r="AB95" s="384">
        <f t="shared" si="70"/>
        <v>0</v>
      </c>
      <c r="AC95" s="385">
        <f t="shared" si="69"/>
        <v>0</v>
      </c>
      <c r="AD95" s="385">
        <f t="shared" si="61"/>
        <v>0</v>
      </c>
      <c r="AE95" s="386">
        <f t="shared" si="62"/>
        <v>0</v>
      </c>
      <c r="AF95" s="670">
        <f t="shared" si="71"/>
        <v>0</v>
      </c>
      <c r="AG95" s="352"/>
      <c r="AH95" s="655"/>
      <c r="AJ95" s="353"/>
      <c r="AK95" s="16">
        <f t="shared" si="72"/>
        <v>0</v>
      </c>
    </row>
    <row r="96" spans="1:42" s="12" customFormat="1" ht="23.1" hidden="1" customHeight="1" x14ac:dyDescent="0.3">
      <c r="A96" s="99"/>
      <c r="B96" s="371"/>
      <c r="C96" s="382"/>
      <c r="D96" s="436"/>
      <c r="E96" s="437"/>
      <c r="F96" s="437"/>
      <c r="G96" s="683">
        <f t="shared" si="76"/>
        <v>0</v>
      </c>
      <c r="H96" s="777"/>
      <c r="I96" s="424"/>
      <c r="J96" s="777"/>
      <c r="K96" s="685"/>
      <c r="L96" s="777"/>
      <c r="M96" s="685"/>
      <c r="N96" s="777"/>
      <c r="O96" s="685"/>
      <c r="P96" s="369">
        <f>+SUMIF(秏料!$B$3:$B$133,$A96,秏料!$F$3:$F$133)</f>
        <v>0</v>
      </c>
      <c r="Q96" s="382">
        <f>+SUMIF(秏料!$B$3:$B$133,$A96,秏料!$H$3:$H$133)</f>
        <v>0</v>
      </c>
      <c r="R96" s="382">
        <f>+SUMIF(秏料!$B$3:$B$133,$A96,秏料!$J$3:$J$133)</f>
        <v>0</v>
      </c>
      <c r="S96" s="424">
        <f>+SUMIF(秏料!$B$3:$B$133,$A96,秏料!$L$3:$L$133)</f>
        <v>0</v>
      </c>
      <c r="T96" s="777"/>
      <c r="U96" s="420"/>
      <c r="V96" s="420"/>
      <c r="W96" s="421"/>
      <c r="X96" s="422"/>
      <c r="Y96" s="382"/>
      <c r="Z96" s="382"/>
      <c r="AA96" s="423"/>
      <c r="AB96" s="384">
        <f t="shared" si="70"/>
        <v>0</v>
      </c>
      <c r="AC96" s="385">
        <f t="shared" si="69"/>
        <v>0</v>
      </c>
      <c r="AD96" s="385">
        <f t="shared" si="61"/>
        <v>0</v>
      </c>
      <c r="AE96" s="386">
        <f t="shared" si="62"/>
        <v>0</v>
      </c>
      <c r="AF96" s="670">
        <f t="shared" si="71"/>
        <v>0</v>
      </c>
      <c r="AG96" s="352"/>
      <c r="AH96" s="655"/>
      <c r="AJ96" s="353"/>
      <c r="AK96" s="16">
        <f t="shared" si="72"/>
        <v>0</v>
      </c>
    </row>
    <row r="97" spans="1:42" s="12" customFormat="1" ht="23.1" hidden="1" customHeight="1" x14ac:dyDescent="0.3">
      <c r="A97" s="103"/>
      <c r="B97" s="451"/>
      <c r="C97" s="382"/>
      <c r="D97" s="436"/>
      <c r="E97" s="437"/>
      <c r="F97" s="437"/>
      <c r="G97" s="683">
        <f t="shared" si="76"/>
        <v>0</v>
      </c>
      <c r="H97" s="777"/>
      <c r="I97" s="424"/>
      <c r="J97" s="777"/>
      <c r="K97" s="685"/>
      <c r="L97" s="777"/>
      <c r="M97" s="685"/>
      <c r="N97" s="777"/>
      <c r="O97" s="685"/>
      <c r="P97" s="369">
        <f>+SUMIF(秏料!$B$3:$B$133,$A97,秏料!$F$3:$F$133)</f>
        <v>0</v>
      </c>
      <c r="Q97" s="382">
        <f>+SUMIF(秏料!$B$3:$B$133,$A97,秏料!$H$3:$H$133)</f>
        <v>0</v>
      </c>
      <c r="R97" s="382">
        <f>+SUMIF(秏料!$B$3:$B$133,$A97,秏料!$J$3:$J$133)</f>
        <v>0</v>
      </c>
      <c r="S97" s="424">
        <f>+SUMIF(秏料!$B$3:$B$133,$A97,秏料!$L$3:$L$133)</f>
        <v>0</v>
      </c>
      <c r="T97" s="777"/>
      <c r="U97" s="420"/>
      <c r="V97" s="420"/>
      <c r="W97" s="421"/>
      <c r="X97" s="422"/>
      <c r="Y97" s="382"/>
      <c r="Z97" s="382"/>
      <c r="AA97" s="423"/>
      <c r="AB97" s="384">
        <f t="shared" si="70"/>
        <v>0</v>
      </c>
      <c r="AC97" s="385">
        <f t="shared" si="69"/>
        <v>0</v>
      </c>
      <c r="AD97" s="385">
        <f t="shared" si="61"/>
        <v>0</v>
      </c>
      <c r="AE97" s="386">
        <f t="shared" si="62"/>
        <v>0</v>
      </c>
      <c r="AF97" s="670">
        <f t="shared" si="71"/>
        <v>0</v>
      </c>
      <c r="AG97" s="352"/>
      <c r="AH97" s="655"/>
      <c r="AJ97" s="353"/>
      <c r="AK97" s="16">
        <f t="shared" si="72"/>
        <v>0</v>
      </c>
    </row>
    <row r="98" spans="1:42" s="12" customFormat="1" ht="23.1" hidden="1" customHeight="1" x14ac:dyDescent="0.3">
      <c r="A98" s="99"/>
      <c r="B98" s="371"/>
      <c r="C98" s="382"/>
      <c r="D98" s="436"/>
      <c r="E98" s="437"/>
      <c r="F98" s="437"/>
      <c r="G98" s="683">
        <f t="shared" si="76"/>
        <v>0</v>
      </c>
      <c r="H98" s="777"/>
      <c r="I98" s="424"/>
      <c r="J98" s="777"/>
      <c r="K98" s="685"/>
      <c r="L98" s="777"/>
      <c r="M98" s="685"/>
      <c r="N98" s="777"/>
      <c r="O98" s="685"/>
      <c r="P98" s="369">
        <f>+SUMIF(秏料!$B$3:$B$133,$A98,秏料!$F$3:$F$133)</f>
        <v>0</v>
      </c>
      <c r="Q98" s="382">
        <f>+SUMIF(秏料!$B$3:$B$133,$A98,秏料!$H$3:$H$133)</f>
        <v>0</v>
      </c>
      <c r="R98" s="382">
        <f>+SUMIF(秏料!$B$3:$B$133,$A98,秏料!$J$3:$J$133)</f>
        <v>0</v>
      </c>
      <c r="S98" s="424">
        <f>+SUMIF(秏料!$B$3:$B$133,$A98,秏料!$L$3:$L$133)</f>
        <v>0</v>
      </c>
      <c r="T98" s="777"/>
      <c r="U98" s="420"/>
      <c r="V98" s="420"/>
      <c r="W98" s="421"/>
      <c r="X98" s="422"/>
      <c r="Y98" s="382"/>
      <c r="Z98" s="382"/>
      <c r="AA98" s="423"/>
      <c r="AB98" s="384">
        <f t="shared" si="70"/>
        <v>0</v>
      </c>
      <c r="AC98" s="385">
        <f t="shared" si="69"/>
        <v>0</v>
      </c>
      <c r="AD98" s="385">
        <f t="shared" si="61"/>
        <v>0</v>
      </c>
      <c r="AE98" s="386">
        <f t="shared" si="62"/>
        <v>0</v>
      </c>
      <c r="AF98" s="670">
        <f t="shared" si="71"/>
        <v>0</v>
      </c>
      <c r="AG98" s="352"/>
      <c r="AH98" s="655"/>
      <c r="AJ98" s="353"/>
      <c r="AK98" s="16">
        <f t="shared" si="72"/>
        <v>0</v>
      </c>
    </row>
    <row r="99" spans="1:42" s="12" customFormat="1" ht="23.1" hidden="1" customHeight="1" thickBot="1" x14ac:dyDescent="0.35">
      <c r="A99" s="100"/>
      <c r="B99" s="452"/>
      <c r="C99" s="439"/>
      <c r="D99" s="453"/>
      <c r="E99" s="454"/>
      <c r="F99" s="454"/>
      <c r="G99" s="782">
        <f t="shared" si="76"/>
        <v>0</v>
      </c>
      <c r="H99" s="783"/>
      <c r="I99" s="443"/>
      <c r="J99" s="783"/>
      <c r="K99" s="456"/>
      <c r="L99" s="783"/>
      <c r="M99" s="456"/>
      <c r="N99" s="783"/>
      <c r="O99" s="456"/>
      <c r="P99" s="442">
        <f>+SUMIF(秏料!$B$3:$B$133,$A99,秏料!$F$3:$F$133)</f>
        <v>0</v>
      </c>
      <c r="Q99" s="439">
        <f>+SUMIF(秏料!$B$3:$B$133,$A99,秏料!$H$3:$H$133)</f>
        <v>0</v>
      </c>
      <c r="R99" s="439">
        <f>+SUMIF(秏料!$B$3:$B$133,$A99,秏料!$J$3:$J$133)</f>
        <v>0</v>
      </c>
      <c r="S99" s="443">
        <f>+SUMIF(秏料!$B$3:$B$133,$A99,秏料!$L$3:$L$133)</f>
        <v>0</v>
      </c>
      <c r="T99" s="783"/>
      <c r="U99" s="444"/>
      <c r="V99" s="444"/>
      <c r="W99" s="445"/>
      <c r="X99" s="455"/>
      <c r="Y99" s="443"/>
      <c r="Z99" s="443"/>
      <c r="AA99" s="456"/>
      <c r="AB99" s="457">
        <f t="shared" si="70"/>
        <v>0</v>
      </c>
      <c r="AC99" s="458">
        <f t="shared" si="69"/>
        <v>0</v>
      </c>
      <c r="AD99" s="458">
        <f t="shared" si="61"/>
        <v>0</v>
      </c>
      <c r="AE99" s="459">
        <f t="shared" si="62"/>
        <v>0</v>
      </c>
      <c r="AF99" s="670">
        <f t="shared" si="71"/>
        <v>0</v>
      </c>
      <c r="AG99" s="352"/>
      <c r="AH99" s="659"/>
      <c r="AJ99" s="353"/>
      <c r="AK99" s="16">
        <f t="shared" si="72"/>
        <v>0</v>
      </c>
    </row>
    <row r="100" spans="1:42" ht="23.1" customHeight="1" thickTop="1" x14ac:dyDescent="0.3">
      <c r="A100" s="874" t="s">
        <v>140</v>
      </c>
      <c r="B100" s="169"/>
      <c r="C100" s="169"/>
      <c r="G100" s="875" t="s">
        <v>141</v>
      </c>
      <c r="H100" s="876"/>
      <c r="I100" s="876"/>
      <c r="J100" s="876"/>
      <c r="K100" s="876"/>
      <c r="L100" s="876"/>
      <c r="M100" s="876"/>
      <c r="N100" s="876"/>
      <c r="O100" s="876"/>
      <c r="P100" s="876"/>
      <c r="Q100" s="876"/>
      <c r="R100" s="877"/>
      <c r="S100" s="169"/>
      <c r="T100" s="876"/>
      <c r="U100" s="876"/>
      <c r="V100" s="169"/>
      <c r="W100" s="169"/>
      <c r="X100" s="877"/>
      <c r="Y100" s="877"/>
      <c r="Z100" s="169"/>
      <c r="AA100" s="169"/>
      <c r="AB100" s="169"/>
      <c r="AC100" s="169"/>
      <c r="AD100" s="169"/>
      <c r="AE100" s="878"/>
      <c r="AF100" s="784">
        <v>1</v>
      </c>
      <c r="AK100" s="493">
        <f t="shared" ref="AK100:AK107" si="77">(+IF(SUM(G100,H100:O100,R100,U100,X100,AA100,AB100:AE100)&lt;&gt;0,1,0))+1</f>
        <v>1</v>
      </c>
      <c r="AL100" s="1"/>
      <c r="AM100" s="352"/>
      <c r="AN100" s="465"/>
      <c r="AO100" s="465"/>
      <c r="AP100" s="352"/>
    </row>
    <row r="101" spans="1:42" ht="23.1" customHeight="1" x14ac:dyDescent="0.3">
      <c r="A101" s="10"/>
      <c r="B101" s="170"/>
      <c r="G101" s="89" t="s">
        <v>142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1"/>
      <c r="S101" s="116"/>
      <c r="T101" s="141"/>
      <c r="U101" s="141"/>
      <c r="V101" s="12"/>
      <c r="W101" s="12"/>
      <c r="X101" s="344"/>
      <c r="Y101" s="344"/>
      <c r="Z101" s="168" t="s">
        <v>143</v>
      </c>
      <c r="AA101" s="168"/>
      <c r="AB101" s="352">
        <f>+G76-H76-I76-P76+T76+X76-AB76</f>
        <v>0</v>
      </c>
      <c r="AC101" s="352">
        <f>AB76-J76-K76-Q76+U76+Y76-AC76</f>
        <v>0</v>
      </c>
      <c r="AD101" s="352">
        <f t="shared" ref="AD101" si="78">AC76-K76-L76-R76+V76+Z76-AD76</f>
        <v>0</v>
      </c>
      <c r="AE101" s="491"/>
      <c r="AF101" s="784">
        <v>1</v>
      </c>
      <c r="AK101" s="493">
        <f t="shared" si="77"/>
        <v>1</v>
      </c>
      <c r="AL101" s="1"/>
    </row>
    <row r="102" spans="1:42" ht="23.1" customHeight="1" x14ac:dyDescent="0.3">
      <c r="A102" s="10"/>
      <c r="B102" s="16"/>
      <c r="G102" s="89" t="s">
        <v>144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X102" s="345"/>
      <c r="Y102" s="345"/>
      <c r="Z102" s="12" t="s">
        <v>145</v>
      </c>
      <c r="AA102" s="12"/>
      <c r="AE102" s="20"/>
      <c r="AF102" s="784">
        <v>1</v>
      </c>
      <c r="AH102" s="1"/>
      <c r="AK102" s="493">
        <f t="shared" si="77"/>
        <v>1</v>
      </c>
      <c r="AL102" s="1"/>
    </row>
    <row r="103" spans="1:42" ht="23.1" customHeight="1" x14ac:dyDescent="0.3">
      <c r="A103" s="183"/>
      <c r="B103" s="16"/>
      <c r="G103" s="89" t="s">
        <v>266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AE103" s="20"/>
      <c r="AF103" s="784">
        <v>1</v>
      </c>
      <c r="AH103" s="1"/>
      <c r="AK103" s="493">
        <f t="shared" si="77"/>
        <v>1</v>
      </c>
      <c r="AL103" s="1"/>
    </row>
    <row r="104" spans="1:42" ht="23.1" customHeight="1" x14ac:dyDescent="0.3">
      <c r="A104" s="183"/>
      <c r="B104" s="16"/>
      <c r="G104" s="89" t="s">
        <v>265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AE104" s="20"/>
      <c r="AF104" s="784">
        <v>1</v>
      </c>
      <c r="AH104" s="1"/>
      <c r="AK104" s="493">
        <f t="shared" si="77"/>
        <v>1</v>
      </c>
      <c r="AL104" s="1"/>
    </row>
    <row r="105" spans="1:42" ht="23.1" customHeight="1" thickBot="1" x14ac:dyDescent="0.35">
      <c r="A105" s="58" t="s">
        <v>146</v>
      </c>
      <c r="B105" s="166"/>
      <c r="C105" s="140"/>
      <c r="D105" s="140"/>
      <c r="E105" s="140"/>
      <c r="F105" s="140"/>
      <c r="G105" s="140" t="s">
        <v>267</v>
      </c>
      <c r="H105" s="90"/>
      <c r="I105" s="90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21"/>
      <c r="AF105" s="784">
        <v>1</v>
      </c>
      <c r="AK105" s="493">
        <f t="shared" si="77"/>
        <v>1</v>
      </c>
      <c r="AL105" s="1"/>
    </row>
    <row r="106" spans="1:42" ht="23.1" customHeight="1" thickTop="1" x14ac:dyDescent="0.3">
      <c r="A106" s="122"/>
      <c r="B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AE106" s="20"/>
      <c r="AF106" s="784"/>
      <c r="AH106" s="1"/>
      <c r="AK106" s="493">
        <f t="shared" si="77"/>
        <v>1</v>
      </c>
      <c r="AL106" s="1"/>
    </row>
    <row r="107" spans="1:42" s="104" customFormat="1" ht="23.1" customHeight="1" x14ac:dyDescent="0.3">
      <c r="A107" s="124" t="s">
        <v>147</v>
      </c>
      <c r="B107" s="125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42"/>
      <c r="U107" s="142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7"/>
      <c r="AF107" s="785"/>
      <c r="AH107" s="130"/>
      <c r="AJ107" s="105"/>
      <c r="AK107" s="493">
        <f t="shared" si="77"/>
        <v>1</v>
      </c>
    </row>
    <row r="108" spans="1:42" ht="23.1" customHeight="1" x14ac:dyDescent="0.3">
      <c r="AD108" s="1064"/>
      <c r="AE108" s="1064"/>
    </row>
    <row r="109" spans="1:42" ht="23.1" customHeight="1" x14ac:dyDescent="0.3">
      <c r="B109" s="1">
        <v>2</v>
      </c>
      <c r="C109" s="1"/>
      <c r="D109" s="1">
        <v>4</v>
      </c>
      <c r="E109" s="1">
        <v>5</v>
      </c>
      <c r="F109" s="1">
        <v>6</v>
      </c>
      <c r="G109" s="1"/>
    </row>
    <row r="110" spans="1:42" ht="23.1" customHeight="1" x14ac:dyDescent="0.3">
      <c r="AD110" s="1064"/>
      <c r="AE110" s="1064"/>
    </row>
    <row r="111" spans="1:42" ht="23.1" customHeight="1" x14ac:dyDescent="0.3">
      <c r="AD111" s="1064"/>
      <c r="AE111" s="1064"/>
    </row>
    <row r="112" spans="1:42" ht="23.1" customHeight="1" x14ac:dyDescent="0.3">
      <c r="AD112" s="1064"/>
      <c r="AE112" s="1064"/>
    </row>
    <row r="113" spans="30:31" ht="23.1" customHeight="1" x14ac:dyDescent="0.3">
      <c r="AD113" s="1064"/>
      <c r="AE113" s="1064"/>
    </row>
  </sheetData>
  <autoFilter ref="A4:AP103">
    <filterColumn colId="15" showButton="0"/>
    <filterColumn colId="18" showButton="0"/>
    <filterColumn colId="21" showButton="0"/>
    <filterColumn colId="24" showButton="0"/>
    <filterColumn colId="31">
      <customFilters>
        <customFilter operator="notEqual" val=" "/>
      </customFilters>
    </filterColumn>
  </autoFilter>
  <customSheetViews>
    <customSheetView guid="{59A05416-DD26-4EFD-AA04-054D4DE97D89}" scale="70" showGridLines="0" outlineSymbols="0" zeroValues="0" printArea="1" showAutoFilter="1" view="pageBreakPreview">
      <pane xSplit="2" ySplit="4" topLeftCell="C5" activePane="bottomRight" state="frozenSplit"/>
      <selection pane="bottomRight" activeCell="D14" sqref="D14"/>
      <rowBreaks count="1" manualBreakCount="1">
        <brk id="47" max="30" man="1"/>
      </rowBreaks>
      <pageMargins left="0" right="0" top="0" bottom="0" header="0" footer="0"/>
      <printOptions horizontalCentered="1"/>
      <pageSetup paperSize="9" scale="49" orientation="landscape" r:id="rId1"/>
      <autoFilter ref="AK4:AL105"/>
    </customSheetView>
    <customSheetView guid="{D065F4F3-1224-4D29-89D7-CAAF2080B907}" scale="75" showGridLines="0" outlineSymbols="0" zeroValues="0" printArea="1" filter="1" showAutoFilter="1" hiddenColumns="1" view="pageBreakPreview">
      <selection activeCell="AA13" sqref="AA13"/>
      <pageMargins left="0" right="0" top="0" bottom="0" header="0" footer="0"/>
      <printOptions horizontalCentered="1"/>
      <pageSetup paperSize="9" scale="53" orientation="landscape" r:id="rId2"/>
      <autoFilter ref="AK4:AL105">
        <filterColumn colId="0">
          <customFilters>
            <customFilter operator="notEqual" val=" "/>
          </customFilters>
        </filterColumn>
      </autoFilter>
    </customSheetView>
    <customSheetView guid="{FA048ABB-8FB5-4FAE-8F9E-3B68073934F1}" scale="75" showGridLines="0" outlineSymbols="0" zeroValues="0" printArea="1" filter="1" showAutoFilter="1" hiddenColumns="1" view="pageBreakPreview">
      <selection activeCell="J28" sqref="J28"/>
      <pageMargins left="0" right="0" top="0" bottom="0" header="0" footer="0"/>
      <printOptions horizontalCentered="1"/>
      <pageSetup paperSize="9" scale="53" orientation="landscape" r:id="rId3"/>
      <autoFilter ref="AK4:AL105">
        <filterColumn colId="0">
          <customFilters>
            <customFilter operator="notEqual" val=" "/>
          </customFilters>
        </filterColumn>
      </autoFilter>
    </customSheetView>
    <customSheetView guid="{8FD9726D-5B41-4C43-8FCB-EB4C2E6B9AD0}" scale="70" showGridLines="0" outlineSymbols="0" zeroValues="0" printArea="1" filter="1" showAutoFilter="1" view="pageBreakPreview">
      <pane xSplit="7" ySplit="4" topLeftCell="H5" activePane="bottomRight" state="frozen"/>
      <selection pane="bottomRight" activeCell="B14" sqref="B14"/>
      <pageMargins left="0" right="0" top="0" bottom="0" header="0" footer="0"/>
      <printOptions horizontalCentered="1"/>
      <pageSetup paperSize="9" scale="53" orientation="landscape" r:id="rId4"/>
      <autoFilter ref="AK4:AL105">
        <filterColumn colId="0">
          <customFilters>
            <customFilter operator="notEqual" val=" "/>
          </customFilters>
        </filterColumn>
      </autoFilter>
    </customSheetView>
    <customSheetView guid="{C30CE12B-11DC-4479-B6AC-C3BD3E3ED3C8}" scale="80" showGridLines="0" outlineSymbols="0" zeroValues="0" printArea="1" filter="1" showAutoFilter="1" hiddenColumns="1" view="pageBreakPreview">
      <pane xSplit="7" ySplit="4" topLeftCell="H31" activePane="bottomRight" state="frozen"/>
      <selection pane="bottomRight" activeCell="H13" sqref="H13"/>
      <pageMargins left="0" right="0" top="0" bottom="0" header="0" footer="0"/>
      <printOptions horizontalCentered="1"/>
      <pageSetup paperSize="9" scale="53" orientation="landscape" r:id="rId5"/>
      <autoFilter ref="AK4:AL105">
        <filterColumn colId="0">
          <customFilters>
            <customFilter operator="notEqual" val=" "/>
          </customFilters>
        </filterColumn>
      </autoFilter>
    </customSheetView>
    <customSheetView guid="{64D5D33D-6419-4A8B-A3B3-237161841645}" scale="70" showGridLines="0" outlineSymbols="0" zeroValues="0" printArea="1" showAutoFilter="1" view="pageBreakPreview">
      <pane xSplit="6" ySplit="4" topLeftCell="G5" activePane="bottomRight" state="frozen"/>
      <selection pane="bottomRight" activeCell="E11" sqref="E11"/>
      <pageMargins left="0" right="0" top="0" bottom="0" header="0" footer="0"/>
      <printOptions horizontalCentered="1"/>
      <pageSetup paperSize="9" scale="53" orientation="landscape" r:id="rId6"/>
      <autoFilter ref="AK4:AL105"/>
    </customSheetView>
    <customSheetView guid="{CAC14F13-5914-49F8-AD5B-F24608798ED8}" scale="75" showGridLines="0" outlineSymbols="0" zeroValues="0" printArea="1" filter="1" showAutoFilter="1" hiddenColumns="1" view="pageBreakPreview" topLeftCell="A11">
      <pane xSplit="1" topLeftCell="R1" activePane="topRight" state="frozen"/>
      <selection pane="topRight" activeCell="T65" sqref="T65"/>
      <pageMargins left="0" right="0" top="0" bottom="0" header="0" footer="0"/>
      <printOptions horizontalCentered="1"/>
      <pageSetup paperSize="9" scale="53" orientation="landscape" r:id="rId7"/>
      <autoFilter ref="AK4:AL105">
        <filterColumn colId="0">
          <customFilters>
            <customFilter operator="notEqual" val=" "/>
          </customFilters>
        </filterColumn>
      </autoFilter>
    </customSheetView>
    <customSheetView guid="{0BF804C9-51A0-4E06-8256-5D8C4B043A4A}" scale="75" showGridLines="0" outlineSymbols="0" zeroValues="0" printArea="1" filter="1" showAutoFilter="1" hiddenColumns="1" view="pageBreakPreview">
      <selection activeCell="D10" sqref="D10"/>
      <pageMargins left="0" right="0" top="0" bottom="0" header="0" footer="0"/>
      <printOptions horizontalCentered="1"/>
      <pageSetup paperSize="9" orientation="portrait" r:id="rId8"/>
      <autoFilter ref="AK4:AL105">
        <filterColumn colId="0">
          <customFilters>
            <customFilter operator="notEqual" val=" "/>
          </customFilters>
        </filterColumn>
      </autoFilter>
    </customSheetView>
    <customSheetView guid="{D56D14CC-1901-479F-B779-31FEC2383487}" scale="80" showGridLines="0" outlineSymbols="0" zeroValues="0" printArea="1" filter="1" showAutoFilter="1" hiddenColumns="1" view="pageBreakPreview">
      <pane xSplit="7" ySplit="4" topLeftCell="H28" activePane="bottomRight" state="frozen"/>
      <selection pane="bottomRight" activeCell="W61" sqref="W61"/>
      <pageMargins left="0" right="0" top="0" bottom="0" header="0" footer="0"/>
      <printOptions horizontalCentered="1"/>
      <pageSetup paperSize="9" scale="53" orientation="landscape" r:id="rId9"/>
      <autoFilter ref="A4:AP103">
        <filterColumn colId="15" showButton="0"/>
        <filterColumn colId="18" showButton="0"/>
        <filterColumn colId="21" showButton="0"/>
        <filterColumn colId="24" showButton="0"/>
        <filterColumn colId="31">
          <customFilters>
            <customFilter operator="notEqual" val=" "/>
          </customFilters>
        </filterColumn>
      </autoFilter>
    </customSheetView>
    <customSheetView guid="{F2AA7D74-DB02-43AC-850B-A44D18BDB1CB}" scale="75" showGridLines="0" outlineSymbols="0" zeroValues="0" printArea="1" filter="1" showAutoFilter="1" hiddenColumns="1" view="pageBreakPreview" topLeftCell="I13">
      <selection activeCell="T69" sqref="T69"/>
      <pageMargins left="0" right="0" top="0" bottom="0" header="0" footer="0"/>
      <printOptions horizontalCentered="1"/>
      <pageSetup paperSize="9" scale="53" orientation="landscape" r:id="rId10"/>
      <autoFilter ref="AK4:AL103">
        <filterColumn colId="0">
          <customFilters>
            <customFilter operator="notEqual" val=" "/>
          </customFilters>
        </filterColumn>
      </autoFilter>
    </customSheetView>
    <customSheetView guid="{8B7A0CA2-9BA6-4CC3-AA36-677EA0765FE7}" scale="75" showGridLines="0" outlineSymbols="0" zeroValues="0" printArea="1" filter="1" showAutoFilter="1" view="pageBreakPreview">
      <pane xSplit="6" ySplit="4" topLeftCell="G5" activePane="bottomRight" state="frozen"/>
      <selection pane="bottomRight" activeCell="G21" sqref="G21"/>
      <pageMargins left="0" right="0" top="0" bottom="0" header="0" footer="0"/>
      <printOptions horizontalCentered="1"/>
      <pageSetup paperSize="9" scale="53" orientation="landscape" r:id="rId11"/>
      <autoFilter ref="AK4:AL104">
        <filterColumn colId="0">
          <customFilters>
            <customFilter operator="notEqual" val=" "/>
          </customFilters>
        </filterColumn>
      </autoFilter>
    </customSheetView>
    <customSheetView guid="{465CD905-854A-4F4A-908D-83ABAB5FB252}" scale="75" showGridLines="0" outlineSymbols="0" zeroValues="0" printArea="1" filter="1" showAutoFilter="1" hiddenColumns="1" view="pageBreakPreview">
      <pane xSplit="7" ySplit="4" topLeftCell="H5" activePane="bottomRight" state="frozen"/>
      <selection pane="bottomRight" activeCell="P61" sqref="P61"/>
      <pageMargins left="0" right="0" top="0" bottom="0" header="0" footer="0"/>
      <printOptions horizontalCentered="1"/>
      <pageSetup paperSize="9" scale="53" orientation="landscape" r:id="rId12"/>
      <autoFilter ref="AK4:AL104">
        <filterColumn colId="0">
          <customFilters>
            <customFilter operator="notEqual" val=" "/>
          </customFilters>
        </filterColumn>
      </autoFilter>
    </customSheetView>
    <customSheetView guid="{ACCDD429-9CAD-4FB8-A198-ABDEDE66D100}" scale="75" showGridLines="0" outlineSymbols="0" zeroValues="0" printArea="1" filter="1" showAutoFilter="1" view="pageBreakPreview">
      <pane xSplit="7" ySplit="4" topLeftCell="H5" activePane="bottomRight" state="frozen"/>
      <selection pane="bottomRight" activeCell="D5" sqref="D5"/>
      <pageMargins left="0" right="0" top="0" bottom="0" header="0" footer="0"/>
      <printOptions horizontalCentered="1"/>
      <pageSetup paperSize="9" scale="53" orientation="landscape" r:id="rId13"/>
      <autoFilter ref="AK4:AL104">
        <filterColumn colId="0">
          <customFilters>
            <customFilter operator="notEqual" val=" "/>
          </customFilters>
        </filterColumn>
      </autoFilter>
    </customSheetView>
    <customSheetView guid="{8DC863AD-DDD2-40E0-9202-FF25DA9A15AC}" scale="75" showGridLines="0" outlineSymbols="0" zeroValues="0" printArea="1" filter="1" showAutoFilter="1" view="pageBreakPreview">
      <pane xSplit="5" ySplit="4" topLeftCell="F5" activePane="bottomRight" state="frozen"/>
      <selection pane="bottomRight" activeCell="D17" sqref="D17"/>
      <pageMargins left="0" right="0" top="0" bottom="0" header="0" footer="0"/>
      <printOptions horizontalCentered="1"/>
      <pageSetup paperSize="9" scale="53" orientation="landscape" r:id="rId14"/>
      <autoFilter ref="AK4:AL104">
        <filterColumn colId="0">
          <customFilters>
            <customFilter operator="notEqual" val=" "/>
          </customFilters>
        </filterColumn>
      </autoFilter>
    </customSheetView>
    <customSheetView guid="{D8E05E9A-74D8-4931-8653-8099BB0F822F}" scale="75" showGridLines="0" outlineSymbols="0" zeroValues="0" printArea="1" filter="1" showAutoFilter="1" view="pageBreakPreview">
      <pane xSplit="7" ySplit="4" topLeftCell="H5" activePane="bottomRight" state="frozen"/>
      <selection pane="bottomRight" activeCell="Z18" sqref="Z18"/>
      <pageMargins left="0" right="0" top="0" bottom="0" header="0" footer="0"/>
      <printOptions horizontalCentered="1"/>
      <pageSetup paperSize="9" scale="53" orientation="landscape" r:id="rId15"/>
      <autoFilter ref="AK4:AL99">
        <filterColumn colId="0">
          <customFilters>
            <customFilter operator="notEqual" val=" "/>
          </customFilters>
        </filterColumn>
      </autoFilter>
    </customSheetView>
    <customSheetView guid="{7B90250F-6C77-4F16-BAAD-82EC380D0549}" scale="75" showGridLines="0" outlineSymbols="0" zeroValues="0" printArea="1" filter="1" showAutoFilter="1" view="pageBreakPreview">
      <pane xSplit="6" ySplit="4" topLeftCell="G19" activePane="bottomRight" state="frozen"/>
      <selection pane="bottomRight" activeCell="I46" sqref="I46"/>
      <pageMargins left="0" right="0" top="0" bottom="0" header="0" footer="0"/>
      <printOptions horizontalCentered="1"/>
      <pageSetup paperSize="9" scale="54" orientation="landscape" r:id="rId16"/>
      <autoFilter ref="AG4:AH85">
        <filterColumn colId="0">
          <customFilters>
            <customFilter operator="notEqual" val=" "/>
          </customFilters>
        </filterColumn>
      </autoFilter>
    </customSheetView>
    <customSheetView guid="{346DCC42-7B8B-4D0F-8BCA-6EB3F9DD5B12}" scale="85" showGridLines="0" outlineSymbols="0" zeroValues="0" printArea="1" filter="1" showAutoFilter="1" hiddenRows="1" hiddenColumns="1" view="pageBreakPreview">
      <pane xSplit="5" ySplit="4" topLeftCell="G5" activePane="bottomRight" state="frozen"/>
      <selection pane="bottomRight" activeCell="R34" sqref="R34"/>
      <pageMargins left="0" right="0" top="0" bottom="0" header="0" footer="0"/>
      <printOptions horizontalCentered="1"/>
      <pageSetup paperSize="9" scale="54" orientation="landscape" r:id="rId17"/>
      <autoFilter ref="AG4:AH79">
        <filterColumn colId="0">
          <customFilters>
            <customFilter operator="notEqual" val=" "/>
          </customFilters>
        </filterColumn>
      </autoFilter>
    </customSheetView>
    <customSheetView guid="{79F26E0A-5E9E-4EF8-AE70-B7DA8FAE47AC}" scale="75" showGridLines="0" outlineSymbols="0" zeroValues="0" printArea="1" filter="1" showAutoFilter="1" hiddenRows="1" hiddenColumns="1" view="pageBreakPreview">
      <pane xSplit="4" ySplit="4" topLeftCell="E5" activePane="bottomRight" state="frozen"/>
      <selection pane="bottomRight" activeCell="E5" sqref="E5"/>
      <pageMargins left="0" right="0" top="0" bottom="0" header="0" footer="0"/>
      <printOptions horizontalCentered="1"/>
      <pageSetup paperSize="9" scale="31" orientation="landscape" r:id="rId18"/>
      <autoFilter ref="B1">
        <filterColumn colId="0">
          <customFilters and="1">
            <customFilter operator="notEqual" val=" "/>
          </customFilters>
        </filterColumn>
      </autoFilter>
    </customSheetView>
    <customSheetView guid="{1BC3F178-54C0-4A8C-A5C3-CF7D6D208825}" scale="75" showGridLines="0" outlineSymbols="0" zeroValues="0" printArea="1" filter="1" showAutoFilter="1" hiddenRows="1" hiddenColumns="1" view="pageBreakPreview" topLeftCell="A4">
      <selection activeCell="O21" sqref="O21"/>
      <pageMargins left="0" right="0" top="0" bottom="0" header="0" footer="0"/>
      <printOptions horizontalCentered="1"/>
      <pageSetup paperSize="9" scale="31" orientation="landscape" r:id="rId19"/>
      <autoFilter ref="B1">
        <filterColumn colId="0">
          <customFilters>
            <customFilter operator="notEqual" val=" "/>
          </customFilters>
        </filterColumn>
      </autoFilter>
    </customSheetView>
    <customSheetView guid="{326CC155-93DA-4269-A552-D000400252E8}" scale="75" showGridLines="0" outlineSymbols="0" zeroValues="0" printArea="1" filter="1" showAutoFilter="1" hiddenRows="1" view="pageBreakPreview">
      <pane xSplit="5" ySplit="4" topLeftCell="F29" activePane="bottomRight" state="frozen"/>
      <selection pane="bottomRight" activeCell="D50" sqref="D50"/>
      <pageMargins left="0" right="0" top="0" bottom="0" header="0" footer="0"/>
      <printOptions horizontalCentered="1"/>
      <pageSetup paperSize="9" scale="64" orientation="landscape" r:id="rId20"/>
      <autoFilter ref="B1:C1">
        <filterColumn colId="1">
          <customFilters>
            <customFilter operator="notEqual" val=" "/>
          </customFilters>
        </filterColumn>
      </autoFilter>
    </customSheetView>
    <customSheetView guid="{9189FF41-907B-4DB4-B0EF-C9C35E41617A}" scale="75" showGridLines="0" outlineSymbols="0" zeroValues="0" printArea="1" filter="1" showAutoFilter="1" hiddenColumns="1" view="pageBreakPreview">
      <pane xSplit="2" ySplit="4" topLeftCell="D5" activePane="bottomRight" state="frozen"/>
      <selection pane="bottomRight" activeCell="M19" sqref="M19"/>
      <pageMargins left="0" right="0" top="0" bottom="0" header="0" footer="0"/>
      <printOptions horizontalCentered="1"/>
      <pageSetup paperSize="9" scale="70" orientation="landscape" r:id="rId21"/>
      <autoFilter ref="B1:AE1">
        <filterColumn colId="0">
          <filters>
            <filter val="精餾"/>
          </filters>
        </filterColumn>
        <filterColumn colId="29">
          <customFilters>
            <customFilter operator="notEqual" val=" "/>
          </customFilters>
        </filterColumn>
      </autoFilter>
    </customSheetView>
    <customSheetView guid="{502F3196-9B33-4199-B129-D6F07DE04859}" scale="75" showGridLines="0" outlineSymbols="0" zeroValues="0" showAutoFilter="1" hiddenRows="1" hiddenColumns="1" view="pageBreakPreview">
      <selection activeCell="U14" sqref="U14"/>
      <pageMargins left="0" right="0" top="0" bottom="0" header="0" footer="0"/>
      <printOptions horizontalCentered="1"/>
      <pageSetup paperSize="9" scale="31" orientation="landscape" r:id="rId22"/>
      <autoFilter ref="B1:C1"/>
    </customSheetView>
    <customSheetView guid="{77AD3D17-AD21-4070-93C9-23AFEA189F06}" scale="80" showGridLines="0" outlineSymbols="0" zeroValues="0" printArea="1" filter="1" showAutoFilter="1" hiddenRows="1" view="pageBreakPreview">
      <pane xSplit="6" ySplit="4" topLeftCell="G12" activePane="bottomRight" state="frozen"/>
      <selection pane="bottomRight" activeCell="D51" sqref="D51"/>
      <pageMargins left="0" right="0" top="0" bottom="0" header="0" footer="0"/>
      <printOptions horizontalCentered="1"/>
      <pageSetup paperSize="9" scale="54" orientation="landscape" r:id="rId23"/>
      <autoFilter ref="AG4:AH79">
        <filterColumn colId="0">
          <customFilters>
            <customFilter operator="notEqual" val=" "/>
          </customFilters>
        </filterColumn>
      </autoFilter>
    </customSheetView>
    <customSheetView guid="{38078408-6EFE-4052-8C51-50A488F2EA59}" scale="87" showGridLines="0" outlineSymbols="0" zeroValues="0" printArea="1" filter="1" showAutoFilter="1" hiddenRows="1" hiddenColumns="1" view="pageBreakPreview">
      <pane xSplit="5" ySplit="4" topLeftCell="H5" activePane="bottomRight" state="frozen"/>
      <selection pane="bottomRight" activeCell="AA44" sqref="AA44"/>
      <pageMargins left="0" right="0" top="0" bottom="0" header="0" footer="0"/>
      <printOptions horizontalCentered="1"/>
      <pageSetup paperSize="9" scale="54" orientation="landscape" r:id="rId24"/>
      <autoFilter ref="AB4:AC82">
        <filterColumn colId="0">
          <customFilters>
            <customFilter operator="notEqual" val=" "/>
          </customFilters>
        </filterColumn>
      </autoFilter>
    </customSheetView>
    <customSheetView guid="{83B3BC4F-78EE-4A15-89B0-51F9D7CE21C1}" scale="75" showGridLines="0" outlineSymbols="0" zeroValues="0" printArea="1" filter="1" showAutoFilter="1" hiddenColumns="1" view="pageBreakPreview">
      <pane xSplit="5" ySplit="4" topLeftCell="G5" activePane="bottomRight" state="frozen"/>
      <selection pane="bottomRight" activeCell="T43" sqref="T43"/>
      <pageMargins left="0" right="0" top="0" bottom="0" header="0" footer="0"/>
      <printOptions horizontalCentered="1"/>
      <pageSetup paperSize="9" scale="54" orientation="landscape" r:id="rId25"/>
      <autoFilter ref="AG4:AH86">
        <filterColumn colId="0">
          <customFilters>
            <customFilter operator="notEqual" val=" "/>
          </customFilters>
        </filterColumn>
      </autoFilter>
    </customSheetView>
    <customSheetView guid="{9E710D7F-3A88-4D24-8673-5A6EF0E9C423}" scale="85" showGridLines="0" outlineSymbols="0" zeroValues="0" printArea="1" filter="1" showAutoFilter="1" hiddenColumns="1" view="pageBreakPreview">
      <pane xSplit="5" ySplit="4" topLeftCell="G34" activePane="bottomRight" state="frozen"/>
      <selection pane="bottomRight" activeCell="T58" sqref="T58"/>
      <pageMargins left="0" right="0" top="0" bottom="0" header="0" footer="0"/>
      <printOptions horizontalCentered="1"/>
      <pageSetup paperSize="9" scale="54" orientation="landscape" r:id="rId26"/>
      <autoFilter ref="AG4:AH86">
        <filterColumn colId="0">
          <customFilters>
            <customFilter operator="notEqual" val=" "/>
          </customFilters>
        </filterColumn>
      </autoFilter>
    </customSheetView>
    <customSheetView guid="{95BA1282-001B-43C6-8050-6BEE483A7F6F}" scale="75" showGridLines="0" outlineSymbols="0" zeroValues="0" printArea="1" filter="1" showAutoFilter="1" hiddenColumns="1" view="pageBreakPreview">
      <pane xSplit="5" ySplit="4" topLeftCell="G31" activePane="bottomRight" state="frozen"/>
      <selection pane="bottomRight" activeCell="T50" sqref="T50"/>
      <pageMargins left="0" right="0" top="0" bottom="0" header="0" footer="0"/>
      <printOptions horizontalCentered="1"/>
      <pageSetup paperSize="9" scale="54" orientation="landscape" r:id="rId27"/>
      <autoFilter ref="AG4:AH86">
        <filterColumn colId="0">
          <customFilters>
            <customFilter operator="notEqual" val=" "/>
          </customFilters>
        </filterColumn>
      </autoFilter>
    </customSheetView>
    <customSheetView guid="{3663236C-AFB0-419A-AC6A-E981D6F1A9BC}" scale="75" showGridLines="0" outlineSymbols="0" zeroValues="0" printArea="1" filter="1" showAutoFilter="1" hiddenColumns="1" view="pageBreakPreview">
      <pane xSplit="7" ySplit="4" topLeftCell="H28" activePane="bottomRight" state="frozen"/>
      <selection pane="bottomRight" activeCell="R25" sqref="R25"/>
      <pageMargins left="0" right="0" top="0" bottom="0" header="0" footer="0"/>
      <printOptions horizontalCentered="1"/>
      <pageSetup paperSize="9" scale="51" orientation="landscape" r:id="rId28"/>
      <autoFilter ref="AK4:AL101">
        <filterColumn colId="0">
          <customFilters>
            <customFilter operator="notEqual" val=" "/>
          </customFilters>
        </filterColumn>
      </autoFilter>
    </customSheetView>
    <customSheetView guid="{6DC87DBB-EAA4-4C74-8564-B6BAF0231FE0}" scale="72" showGridLines="0" outlineSymbols="0" zeroValues="0" printArea="1" filter="1" showAutoFilter="1" hiddenColumns="1" view="pageBreakPreview">
      <pane xSplit="7" ySplit="4" topLeftCell="H5" activePane="bottomRight" state="frozen"/>
      <selection pane="bottomRight" activeCell="S20" sqref="S20"/>
      <pageMargins left="0" right="0" top="0" bottom="0" header="0" footer="0"/>
      <printOptions horizontalCentered="1"/>
      <pageSetup paperSize="9" scale="53" orientation="landscape" r:id="rId29"/>
      <autoFilter ref="AK4:AL102">
        <filterColumn colId="0">
          <customFilters>
            <customFilter operator="notEqual" val=" "/>
          </customFilters>
        </filterColumn>
      </autoFilter>
    </customSheetView>
    <customSheetView guid="{3B8D84A7-3495-4488-8D42-6EFF30C18699}" scale="70" showGridLines="0" outlineSymbols="0" zeroValues="0" printArea="1" filter="1" showAutoFilter="1" view="pageBreakPreview">
      <pane xSplit="7" ySplit="4" topLeftCell="H5" activePane="bottomRight" state="frozen"/>
      <selection pane="bottomRight" activeCell="E10" sqref="E10"/>
      <pageMargins left="0" right="0" top="0" bottom="0" header="0" footer="0"/>
      <printOptions horizontalCentered="1"/>
      <pageSetup paperSize="9" scale="53" orientation="landscape" r:id="rId30"/>
      <autoFilter ref="AK4:AL103">
        <filterColumn colId="0">
          <customFilters>
            <customFilter operator="notEqual" val=" "/>
          </customFilters>
        </filterColumn>
      </autoFilter>
    </customSheetView>
    <customSheetView guid="{6A49BCC3-CB5F-40F7-835F-8F4EBC3E8643}" scale="70" showGridLines="0" outlineSymbols="0" zeroValues="0" printArea="1" showAutoFilter="1" hiddenColumns="1" view="pageBreakPreview">
      <pane xSplit="7" ySplit="4" topLeftCell="H95" activePane="bottomRight" state="frozen"/>
      <selection pane="bottomRight" activeCell="G5" sqref="G5"/>
      <pageMargins left="0" right="0" top="0" bottom="0" header="0" footer="0"/>
      <printOptions horizontalCentered="1"/>
      <pageSetup paperSize="9" scale="53" orientation="landscape" r:id="rId31"/>
      <autoFilter ref="AK4:AL103"/>
    </customSheetView>
    <customSheetView guid="{173F84CF-9EE5-4693-9F18-A0544E920AC9}" scale="85" showGridLines="0" outlineSymbols="0" zeroValues="0" printArea="1" filter="1" showAutoFilter="1" hiddenColumns="1" view="pageBreakPreview">
      <pane xSplit="7" ySplit="4" topLeftCell="H31" activePane="bottomRight" state="frozen"/>
      <selection pane="bottomRight" activeCell="J59" sqref="J59:K59"/>
      <pageMargins left="0" right="0" top="0" bottom="0" header="0" footer="0"/>
      <printOptions horizontalCentered="1"/>
      <pageSetup paperSize="9" scale="53" orientation="landscape" r:id="rId32"/>
      <autoFilter ref="AK4:AL105">
        <filterColumn colId="0">
          <customFilters>
            <customFilter operator="notEqual" val=" "/>
          </customFilters>
        </filterColumn>
      </autoFilter>
    </customSheetView>
    <customSheetView guid="{99FB95A8-1218-4283-9800-5DBBB640B9CC}" scale="70" showGridLines="0" outlineSymbols="0" zeroValues="0" printArea="1" filter="1" showAutoFilter="1" hiddenColumns="1" view="pageBreakPreview">
      <pane xSplit="7" ySplit="4" topLeftCell="I28" activePane="bottomRight" state="frozen"/>
      <selection pane="bottomRight" activeCell="W74" sqref="W74"/>
      <pageMargins left="0" right="0" top="0" bottom="0" header="0" footer="0"/>
      <printOptions horizontalCentered="1"/>
      <pageSetup paperSize="9" scale="53" orientation="landscape" r:id="rId33"/>
      <autoFilter ref="AK4:AL105">
        <filterColumn colId="0">
          <customFilters>
            <customFilter operator="notEqual" val=" "/>
          </customFilters>
        </filterColumn>
      </autoFilter>
    </customSheetView>
    <customSheetView guid="{3ADFB3B6-162A-4CDB-AB24-348E8A99991A}" scale="80" showGridLines="0" outlineSymbols="0" zeroValues="0" printArea="1" filter="1" showAutoFilter="1" view="pageBreakPreview">
      <pane xSplit="7" ySplit="4" topLeftCell="H5" activePane="bottomRight" state="frozen"/>
      <selection pane="bottomRight" activeCell="D28" sqref="D28"/>
      <pageMargins left="0" right="0" top="0" bottom="0" header="0" footer="0"/>
      <printOptions horizontalCentered="1"/>
      <pageSetup paperSize="9" scale="53" orientation="landscape" r:id="rId34"/>
      <autoFilter ref="AK4:AL105">
        <filterColumn colId="0">
          <customFilters>
            <customFilter operator="notEqual" val=" "/>
          </customFilters>
        </filterColumn>
      </autoFilter>
    </customSheetView>
    <customSheetView guid="{4B6E1B38-E439-406A-9E0D-5C2F40D928F2}" scale="85" showGridLines="0" outlineSymbols="0" zeroValues="0" printArea="1" filter="1" showAutoFilter="1" view="pageBreakPreview">
      <pane xSplit="5" ySplit="4" topLeftCell="H8" activePane="bottomRight" state="frozen"/>
      <selection pane="bottomRight" activeCell="D13" sqref="D13"/>
      <pageMargins left="0" right="0" top="0" bottom="0" header="0" footer="0"/>
      <printOptions horizontalCentered="1"/>
      <pageSetup paperSize="9" scale="53" orientation="landscape" r:id="rId35"/>
      <autoFilter ref="AK4:AL105">
        <filterColumn colId="0">
          <customFilters>
            <customFilter operator="notEqual" val=" "/>
          </customFilters>
        </filterColumn>
      </autoFilter>
    </customSheetView>
    <customSheetView guid="{F93DD6E0-2AD2-4C47-B879-ABE0581F49BB}" scale="70" showGridLines="0" outlineSymbols="0" zeroValues="0" printArea="1" filter="1" showAutoFilter="1" hiddenColumns="1" view="pageBreakPreview">
      <pane xSplit="5" ySplit="4" topLeftCell="G46" activePane="bottomRight" state="frozen"/>
      <selection pane="bottomRight" activeCell="V74" sqref="V74"/>
      <rowBreaks count="1" manualBreakCount="1">
        <brk id="47" max="30" man="1"/>
      </rowBreaks>
      <pageMargins left="0" right="0" top="0" bottom="0" header="0" footer="0"/>
      <printOptions horizontalCentered="1"/>
      <pageSetup paperSize="9" scale="49" orientation="landscape" r:id="rId36"/>
      <autoFilter ref="AK4:AL105">
        <filterColumn colId="0">
          <customFilters>
            <customFilter operator="notEqual" val=" "/>
          </customFilters>
        </filterColumn>
      </autoFilter>
    </customSheetView>
    <customSheetView guid="{77B14F7C-DBD2-4BE8-8492-093BF9A7E4E6}" scale="75" showGridLines="0" outlineSymbols="0" zeroValues="0" printArea="1" filter="1" showAutoFilter="1" view="pageBreakPreview">
      <pane xSplit="7" ySplit="4" topLeftCell="H31" activePane="bottomRight" state="frozen"/>
      <selection pane="bottomRight" activeCell="B62" sqref="B62"/>
      <pageMargins left="0" right="0" top="0" bottom="0" header="0" footer="0"/>
      <printOptions horizontalCentered="1"/>
      <pageSetup paperSize="9" scale="53" orientation="landscape" r:id="rId37"/>
      <autoFilter ref="AK4:AL105">
        <filterColumn colId="0">
          <customFilters>
            <customFilter operator="notEqual" val=" "/>
          </customFilters>
        </filterColumn>
      </autoFilter>
    </customSheetView>
    <customSheetView guid="{BEF1F9A1-9BE8-4B92-B921-6FE20F0F8630}" scale="70" showGridLines="0" outlineSymbols="0" zeroValues="0" printArea="1" showAutoFilter="1" hiddenColumns="1" view="pageBreakPreview">
      <pane xSplit="7" ySplit="4" topLeftCell="H53" activePane="bottomRight" state="frozen"/>
      <selection pane="bottomRight" activeCell="P5" sqref="P5"/>
      <pageMargins left="0" right="0" top="0" bottom="0" header="0" footer="0"/>
      <printOptions horizontalCentered="1"/>
      <pageSetup paperSize="9" scale="53" orientation="landscape" r:id="rId38"/>
      <autoFilter ref="AK4:AL105"/>
    </customSheetView>
    <customSheetView guid="{13B17853-2F7C-4003-B2CE-F9B420C9ECC4}" scale="70" showGridLines="0" outlineSymbols="0" zeroValues="0" filter="1" showAutoFilter="1" hiddenColumns="1">
      <pane xSplit="7" ySplit="4" topLeftCell="J8" activePane="bottomRight" state="frozen"/>
      <selection pane="bottomRight" activeCell="AA28" sqref="AA28"/>
      <pageMargins left="0" right="0" top="0" bottom="0" header="0" footer="0"/>
      <printOptions horizontalCentered="1"/>
      <pageSetup paperSize="9" scale="53" orientation="landscape" r:id="rId39"/>
      <autoFilter ref="AK4:AL105">
        <filterColumn colId="0">
          <customFilters>
            <customFilter operator="notEqual" val=" "/>
          </customFilters>
        </filterColumn>
      </autoFilter>
    </customSheetView>
    <customSheetView guid="{03286019-F3C8-4017-B71E-61FCF78BA513}" scale="80" showGridLines="0" outlineSymbols="0" zeroValues="0" printArea="1" filter="1" showAutoFilter="1" hiddenColumns="1" view="pageBreakPreview">
      <pane xSplit="7" ySplit="4" topLeftCell="H58" activePane="bottomRight" state="frozen"/>
      <selection pane="bottomRight" activeCell="U65" sqref="U65"/>
      <pageMargins left="0" right="0" top="0" bottom="0" header="0" footer="0"/>
      <printOptions horizontalCentered="1"/>
      <pageSetup paperSize="9" scale="53" orientation="landscape" r:id="rId40"/>
      <autoFilter ref="A4:AP103">
        <filterColumn colId="15" showButton="0"/>
        <filterColumn colId="18" showButton="0"/>
        <filterColumn colId="21" showButton="0"/>
        <filterColumn colId="24" showButton="0"/>
        <filterColumn colId="31">
          <customFilters>
            <customFilter operator="notEqual" val=" "/>
          </customFilters>
        </filterColumn>
      </autoFilter>
    </customSheetView>
    <customSheetView guid="{A5947B2F-936B-413A-8E47-744AE1AC646A}" scale="70" showGridLines="0" outlineSymbols="0" zeroValues="0" printArea="1" filter="1" showAutoFilter="1" hiddenColumns="1" view="pageBreakPreview">
      <pane xSplit="5" ySplit="4" topLeftCell="G5" activePane="bottomRight" state="frozen"/>
      <selection pane="bottomRight" activeCell="O13" sqref="O13"/>
      <rowBreaks count="1" manualBreakCount="1">
        <brk id="47" max="30" man="1"/>
      </rowBreaks>
      <pageMargins left="0" right="0" top="0" bottom="0" header="0" footer="0"/>
      <printOptions horizontalCentered="1"/>
      <pageSetup paperSize="9" scale="49" orientation="landscape" r:id="rId41"/>
      <autoFilter ref="AK4:AL105">
        <filterColumn colId="0">
          <customFilters>
            <customFilter operator="notEqual" val=" "/>
          </customFilters>
        </filterColumn>
      </autoFilter>
    </customSheetView>
  </customSheetViews>
  <mergeCells count="35">
    <mergeCell ref="AD112:AE112"/>
    <mergeCell ref="AD113:AE113"/>
    <mergeCell ref="J60:K60"/>
    <mergeCell ref="L60:M60"/>
    <mergeCell ref="N60:O60"/>
    <mergeCell ref="AD108:AE108"/>
    <mergeCell ref="AB59:AE59"/>
    <mergeCell ref="H60:I60"/>
    <mergeCell ref="AD110:AE110"/>
    <mergeCell ref="AD111:AE111"/>
    <mergeCell ref="Y4:Z4"/>
    <mergeCell ref="V4:W4"/>
    <mergeCell ref="P4:Q4"/>
    <mergeCell ref="X59:AA59"/>
    <mergeCell ref="T59:W59"/>
    <mergeCell ref="A59:A60"/>
    <mergeCell ref="C59:C60"/>
    <mergeCell ref="G59:G60"/>
    <mergeCell ref="H59:O59"/>
    <mergeCell ref="P59:S59"/>
    <mergeCell ref="B11:B12"/>
    <mergeCell ref="B5:B9"/>
    <mergeCell ref="S4:T4"/>
    <mergeCell ref="A1:AE1"/>
    <mergeCell ref="A3:A4"/>
    <mergeCell ref="B3:B4"/>
    <mergeCell ref="C3:C4"/>
    <mergeCell ref="G3:G4"/>
    <mergeCell ref="H3:I3"/>
    <mergeCell ref="J3:K3"/>
    <mergeCell ref="L3:M3"/>
    <mergeCell ref="N3:O3"/>
    <mergeCell ref="AB3:AE3"/>
    <mergeCell ref="F3:F4"/>
    <mergeCell ref="P3:AA3"/>
  </mergeCells>
  <phoneticPr fontId="3" type="noConversion"/>
  <conditionalFormatting sqref="AB5:AE33 AB55:AE58 AB61:AE99">
    <cfRule type="cellIs" dxfId="9" priority="59" operator="lessThan">
      <formula>$AH5</formula>
    </cfRule>
    <cfRule type="cellIs" dxfId="8" priority="60" operator="greaterThan">
      <formula>$C5</formula>
    </cfRule>
  </conditionalFormatting>
  <conditionalFormatting sqref="AB34:AE42 AB52:AE54">
    <cfRule type="cellIs" dxfId="7" priority="71" operator="lessThan">
      <formula>$AH34</formula>
    </cfRule>
    <cfRule type="cellIs" dxfId="6" priority="72" operator="greaterThan">
      <formula>$C34</formula>
    </cfRule>
  </conditionalFormatting>
  <conditionalFormatting sqref="AB43:AE51">
    <cfRule type="cellIs" dxfId="5" priority="1" operator="lessThan">
      <formula>$AH43</formula>
    </cfRule>
    <cfRule type="cellIs" dxfId="4" priority="2" operator="greaterThan">
      <formula>$C43</formula>
    </cfRule>
  </conditionalFormatting>
  <printOptions horizontalCentered="1"/>
  <pageMargins left="0.39370078740157483" right="0.39370078740157483" top="0.39370078740157483" bottom="0.27559055118110237" header="0.19685039370078741" footer="0.19685039370078741"/>
  <pageSetup paperSize="9" scale="37" orientation="landscape" r:id="rId42"/>
  <rowBreaks count="1" manualBreakCount="1">
    <brk id="48" max="16383" man="1"/>
  </rowBreaks>
  <legacyDrawing r:id="rId4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生產線別參照!$A$2:$A$3</xm:f>
          </x14:formula1>
          <xm:sqref>Y11:Y13 P17 S32 V32 Y32 V11:V13 P19 P11:P13 S16 P32 S11:S13</xm:sqref>
        </x14:dataValidation>
        <x14:dataValidation type="list" allowBlank="1" showInputMessage="1" showErrorMessage="1">
          <x14:formula1>
            <xm:f>生產線別參照!$A$2:$A$5</xm:f>
          </x14:formula1>
          <xm:sqref>Y15 S15 V15:V16 P15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89FFFF"/>
    <pageSetUpPr autoPageBreaks="0" fitToPage="1"/>
  </sheetPr>
  <dimension ref="A1:AM79"/>
  <sheetViews>
    <sheetView showGridLines="0" showZeros="0" showOutlineSymbols="0" view="pageBreakPreview" zoomScale="80" zoomScaleNormal="90" zoomScaleSheetLayoutView="80" zoomScalePageLayoutView="72" workbookViewId="0">
      <pane xSplit="6" ySplit="1" topLeftCell="N2" activePane="bottomRight" state="frozen"/>
      <selection pane="topRight" activeCell="Z135" sqref="Z135"/>
      <selection pane="bottomLeft" activeCell="Z135" sqref="Z135"/>
      <selection pane="bottomRight" activeCell="X34" sqref="X34:AA34"/>
    </sheetView>
  </sheetViews>
  <sheetFormatPr defaultColWidth="9" defaultRowHeight="17.25" x14ac:dyDescent="0.3"/>
  <cols>
    <col min="1" max="1" width="13.625" style="12" customWidth="1"/>
    <col min="2" max="2" width="17.5" style="1" hidden="1" customWidth="1"/>
    <col min="3" max="3" width="8.875" style="12" customWidth="1"/>
    <col min="4" max="6" width="7.625" style="12" hidden="1" customWidth="1"/>
    <col min="7" max="7" width="8.875" style="12" customWidth="1"/>
    <col min="8" max="25" width="8.875" style="1" customWidth="1"/>
    <col min="26" max="31" width="7.625" style="1" customWidth="1"/>
    <col min="32" max="32" width="7.625" style="121" customWidth="1"/>
    <col min="33" max="33" width="7.625" style="1" customWidth="1"/>
    <col min="34" max="34" width="8.875" style="1" bestFit="1" customWidth="1"/>
    <col min="35" max="35" width="9" style="1" customWidth="1"/>
    <col min="36" max="36" width="8.875" style="236" bestFit="1" customWidth="1"/>
    <col min="37" max="37" width="6.125" style="1" customWidth="1"/>
    <col min="38" max="16384" width="9" style="1"/>
  </cols>
  <sheetData>
    <row r="1" spans="1:39" ht="28.5" customHeight="1" x14ac:dyDescent="0.25">
      <c r="A1" s="1015" t="s">
        <v>148</v>
      </c>
      <c r="B1" s="1041"/>
      <c r="C1" s="1071"/>
      <c r="D1" s="1041"/>
      <c r="E1" s="1041"/>
      <c r="F1" s="1041"/>
      <c r="G1" s="1071"/>
      <c r="H1" s="1071"/>
      <c r="I1" s="1071"/>
      <c r="J1" s="1071"/>
      <c r="K1" s="1071"/>
      <c r="L1" s="1071"/>
      <c r="M1" s="1071"/>
      <c r="N1" s="1071"/>
      <c r="O1" s="1071"/>
      <c r="P1" s="1071"/>
      <c r="Q1" s="1071"/>
      <c r="R1" s="1071"/>
      <c r="S1" s="1071"/>
      <c r="T1" s="1071"/>
      <c r="U1" s="1071"/>
      <c r="V1" s="1071"/>
      <c r="W1" s="1071"/>
      <c r="X1" s="1071"/>
      <c r="Y1" s="1071"/>
      <c r="Z1" s="1071"/>
      <c r="AA1" s="1071"/>
      <c r="AB1" s="1071"/>
      <c r="AC1" s="1071"/>
      <c r="AD1" s="1071"/>
      <c r="AE1" s="1071"/>
      <c r="AF1" s="1071"/>
      <c r="AG1" s="1071"/>
      <c r="AH1" s="1071"/>
      <c r="AI1" s="1071"/>
    </row>
    <row r="2" spans="1:39" ht="20.100000000000001" customHeight="1" thickBot="1" x14ac:dyDescent="0.3">
      <c r="A2" s="109" t="s">
        <v>2</v>
      </c>
      <c r="B2" s="3"/>
      <c r="C2" s="17"/>
      <c r="D2" s="17"/>
      <c r="E2" s="17"/>
      <c r="F2" s="17"/>
      <c r="G2" s="1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X2" s="5"/>
      <c r="Y2" s="5"/>
      <c r="AF2" s="6"/>
      <c r="AG2" s="5"/>
      <c r="AH2" s="19"/>
      <c r="AI2" s="19" t="str">
        <f>+"日期："&amp;TEXT($G$3,"YYYY/MM/DD")</f>
        <v>日期：2026/08/24</v>
      </c>
    </row>
    <row r="3" spans="1:39" ht="33.4" customHeight="1" thickTop="1" thickBot="1" x14ac:dyDescent="0.3">
      <c r="A3" s="1004" t="str">
        <f>精餾產銷!A3</f>
        <v>成品品名</v>
      </c>
      <c r="B3" s="1006" t="str">
        <f>精餾產銷!B3</f>
        <v>存放位置
(隱藏)</v>
      </c>
      <c r="C3" s="1044" t="str">
        <f>精餾產銷!C3</f>
        <v>儲槽
容量
(MT)</v>
      </c>
      <c r="D3" s="184" t="str">
        <f>精餾產銷!D3</f>
        <v>資材</v>
      </c>
      <c r="E3" s="185" t="str">
        <f>精餾產銷!E3</f>
        <v>製2</v>
      </c>
      <c r="F3" s="1047" t="str">
        <f>精餾產銷!F3</f>
        <v>桶底</v>
      </c>
      <c r="G3" s="1010">
        <f>精餾產銷!G3</f>
        <v>46258</v>
      </c>
      <c r="H3" s="1012" t="str">
        <f>精餾產銷!H3</f>
        <v>08/24~08/31</v>
      </c>
      <c r="I3" s="1013"/>
      <c r="J3" s="1013"/>
      <c r="K3" s="1028">
        <f>精餾產銷!J3</f>
        <v>46295</v>
      </c>
      <c r="L3" s="1030"/>
      <c r="M3" s="1029"/>
      <c r="N3" s="1028">
        <f>精餾產銷!L3</f>
        <v>46326</v>
      </c>
      <c r="O3" s="1030"/>
      <c r="P3" s="1029"/>
      <c r="Q3" s="1030">
        <f>精餾產銷!N3</f>
        <v>46356</v>
      </c>
      <c r="R3" s="1030"/>
      <c r="S3" s="1029"/>
      <c r="T3" s="1031" t="str">
        <f>精餾產銷!P3</f>
        <v>生產量</v>
      </c>
      <c r="U3" s="1032"/>
      <c r="V3" s="1032"/>
      <c r="W3" s="1032"/>
      <c r="X3" s="1032"/>
      <c r="Y3" s="1032"/>
      <c r="Z3" s="1032"/>
      <c r="AA3" s="1032"/>
      <c r="AB3" s="1032"/>
      <c r="AC3" s="1032"/>
      <c r="AD3" s="1032"/>
      <c r="AE3" s="1033"/>
      <c r="AF3" s="1017" t="str">
        <f>精餾產銷!AB3</f>
        <v>庫存</v>
      </c>
      <c r="AG3" s="1018"/>
      <c r="AH3" s="1018"/>
      <c r="AI3" s="1023"/>
      <c r="AL3" s="15" t="s">
        <v>18</v>
      </c>
      <c r="AM3" s="129"/>
    </row>
    <row r="4" spans="1:39" ht="33.4" customHeight="1" thickBot="1" x14ac:dyDescent="0.3">
      <c r="A4" s="1043"/>
      <c r="B4" s="1007"/>
      <c r="C4" s="1045"/>
      <c r="D4" s="186" t="str">
        <f>精餾產銷!D4</f>
        <v>庫存</v>
      </c>
      <c r="E4" s="187" t="str">
        <f>精餾產銷!E4</f>
        <v>庫存</v>
      </c>
      <c r="F4" s="1048"/>
      <c r="G4" s="1046"/>
      <c r="H4" s="308" t="str">
        <f>精餾產銷!H4</f>
        <v>銷售</v>
      </c>
      <c r="I4" s="483" t="s">
        <v>149</v>
      </c>
      <c r="J4" s="302" t="str">
        <f>精餾產銷!I4</f>
        <v>耗用</v>
      </c>
      <c r="K4" s="308" t="str">
        <f>精餾產銷!J4</f>
        <v>銷售</v>
      </c>
      <c r="L4" s="483" t="s">
        <v>149</v>
      </c>
      <c r="M4" s="309" t="str">
        <f>精餾產銷!K4</f>
        <v>耗用</v>
      </c>
      <c r="N4" s="308" t="str">
        <f>精餾產銷!L4</f>
        <v>銷售</v>
      </c>
      <c r="O4" s="483" t="s">
        <v>149</v>
      </c>
      <c r="P4" s="309" t="str">
        <f>精餾產銷!M4</f>
        <v>耗用</v>
      </c>
      <c r="Q4" s="310" t="str">
        <f>精餾產銷!N4</f>
        <v>銷售</v>
      </c>
      <c r="R4" s="483" t="s">
        <v>149</v>
      </c>
      <c r="S4" s="311" t="str">
        <f>精餾產銷!O4</f>
        <v>耗用</v>
      </c>
      <c r="T4" s="1072" t="str">
        <f>精餾產銷!P4</f>
        <v>24~31</v>
      </c>
      <c r="U4" s="1073"/>
      <c r="V4" s="312" t="str">
        <f>精餾產銷!R4</f>
        <v>數量</v>
      </c>
      <c r="W4" s="1039" t="str">
        <f>精餾產銷!S4</f>
        <v>9月</v>
      </c>
      <c r="X4" s="1040"/>
      <c r="Y4" s="313" t="str">
        <f>精餾產銷!U4</f>
        <v>數量</v>
      </c>
      <c r="Z4" s="1039" t="str">
        <f>精餾產銷!V4</f>
        <v>10月</v>
      </c>
      <c r="AA4" s="1039"/>
      <c r="AB4" s="319" t="str">
        <f>精餾產銷!X4</f>
        <v>數量</v>
      </c>
      <c r="AC4" s="1074" t="str">
        <f>精餾產銷!Y4</f>
        <v>11月</v>
      </c>
      <c r="AD4" s="1074"/>
      <c r="AE4" s="314" t="str">
        <f>精餾產銷!AA4</f>
        <v>數量</v>
      </c>
      <c r="AF4" s="315" t="str">
        <f>精餾產銷!AB4</f>
        <v>8/31</v>
      </c>
      <c r="AG4" s="316">
        <f>精餾產銷!AC4</f>
        <v>46295</v>
      </c>
      <c r="AH4" s="317">
        <f>精餾產銷!AD4</f>
        <v>46326</v>
      </c>
      <c r="AI4" s="318">
        <f>精餾產銷!AE4</f>
        <v>46356</v>
      </c>
      <c r="AL4" s="9" t="s">
        <v>22</v>
      </c>
      <c r="AM4" s="653" t="s">
        <v>23</v>
      </c>
    </row>
    <row r="5" spans="1:39" ht="33.4" customHeight="1" x14ac:dyDescent="0.25">
      <c r="A5" s="99" t="s">
        <v>150</v>
      </c>
      <c r="B5" s="194" t="s">
        <v>151</v>
      </c>
      <c r="C5" s="37">
        <f>225+460</f>
        <v>685</v>
      </c>
      <c r="D5" s="194">
        <f>67+146.9</f>
        <v>213.9</v>
      </c>
      <c r="E5" s="203"/>
      <c r="F5" s="203">
        <v>2</v>
      </c>
      <c r="G5" s="165">
        <f t="shared" ref="G5:G11" si="0">IF(+D5+E5-F5&lt;=0,0,+D5+E5-F5)</f>
        <v>211.9</v>
      </c>
      <c r="H5" s="92">
        <v>306</v>
      </c>
      <c r="I5" s="470"/>
      <c r="J5" s="52">
        <f>+SUMIF(秏料!$B$3:$B$133,$A5,秏料!$F$3:$F$133)</f>
        <v>0</v>
      </c>
      <c r="K5" s="92">
        <v>1550</v>
      </c>
      <c r="L5" s="470"/>
      <c r="M5" s="226">
        <f>+SUMIF(秏料!$B$3:$B$133,$A5,秏料!$H$3:$H$133)</f>
        <v>0</v>
      </c>
      <c r="N5" s="92">
        <v>1550</v>
      </c>
      <c r="O5" s="470"/>
      <c r="P5" s="226">
        <f>+SUMIF(秏料!$B$3:$B$133,$A5,秏料!$J$3:$J$133)</f>
        <v>0</v>
      </c>
      <c r="Q5" s="92">
        <v>1550</v>
      </c>
      <c r="R5" s="470"/>
      <c r="S5" s="226">
        <f>+SUMIF(秏料!$B$3:$B$133,$A5,秏料!$L$3:$L$133)</f>
        <v>0</v>
      </c>
      <c r="T5" s="227" t="s">
        <v>152</v>
      </c>
      <c r="U5" s="985" t="s">
        <v>33</v>
      </c>
      <c r="V5" s="986">
        <v>350</v>
      </c>
      <c r="W5" s="229" t="s">
        <v>153</v>
      </c>
      <c r="X5" s="273" t="s">
        <v>35</v>
      </c>
      <c r="Y5" s="268">
        <v>1500</v>
      </c>
      <c r="Z5" s="229" t="s">
        <v>153</v>
      </c>
      <c r="AA5" s="273" t="s">
        <v>35</v>
      </c>
      <c r="AB5" s="268">
        <v>1500</v>
      </c>
      <c r="AC5" s="229" t="s">
        <v>153</v>
      </c>
      <c r="AD5" s="273" t="s">
        <v>29</v>
      </c>
      <c r="AE5" s="268">
        <v>1500</v>
      </c>
      <c r="AF5" s="131">
        <f>+G5-SUM(H5:J5)+SUM(V5:V5)</f>
        <v>255.9</v>
      </c>
      <c r="AG5" s="132">
        <f>+AF5-SUM(K5:M5)+SUM(Y5:Y5)</f>
        <v>205.90000000000009</v>
      </c>
      <c r="AH5" s="132">
        <f>+AG5-SUM(N5:P5)+SUM(AB5:AB5)</f>
        <v>155.90000000000009</v>
      </c>
      <c r="AI5" s="133">
        <f>+AH5-SUM(Q5:S5)+SUM(AE5:AE5)</f>
        <v>105.90000000000009</v>
      </c>
      <c r="AJ5" s="236">
        <f>+IF(SUM(G5,H5:S5,V5,Y5,AB5,AE5)=0,0,1)</f>
        <v>1</v>
      </c>
      <c r="AM5" s="660"/>
    </row>
    <row r="6" spans="1:39" ht="33.4" customHeight="1" x14ac:dyDescent="0.25">
      <c r="A6" s="99" t="s">
        <v>154</v>
      </c>
      <c r="B6" s="911" t="s">
        <v>155</v>
      </c>
      <c r="C6" s="37">
        <f>450</f>
        <v>450</v>
      </c>
      <c r="D6" s="194">
        <f>187+0</f>
        <v>187</v>
      </c>
      <c r="E6" s="190">
        <v>511</v>
      </c>
      <c r="F6" s="190"/>
      <c r="G6" s="65">
        <f>IF(+D6+E6-F6&lt;=0,0,+D6+E6-F6)</f>
        <v>698</v>
      </c>
      <c r="H6" s="92"/>
      <c r="I6" s="470"/>
      <c r="J6" s="52">
        <f>+SUMIF(秏料!$B$3:$B$133,$A6,秏料!$F$3:$F$133)</f>
        <v>0</v>
      </c>
      <c r="K6" s="92"/>
      <c r="L6" s="470"/>
      <c r="M6" s="52">
        <f>+SUMIF(秏料!$B$3:$B$133,$A6,秏料!$H$3:$H$133)</f>
        <v>763</v>
      </c>
      <c r="N6" s="92">
        <v>0</v>
      </c>
      <c r="O6" s="470"/>
      <c r="P6" s="52">
        <f>+SUMIF(秏料!$B$3:$B$133,$A6,秏料!$J$3:$J$133)</f>
        <v>861</v>
      </c>
      <c r="Q6" s="92">
        <v>0</v>
      </c>
      <c r="R6" s="470"/>
      <c r="S6" s="52">
        <f>+SUMIF(秏料!$B$3:$B$133,$A6,秏料!$L$3:$L$133)</f>
        <v>861</v>
      </c>
      <c r="T6" s="227" t="s">
        <v>153</v>
      </c>
      <c r="U6" s="985" t="s">
        <v>33</v>
      </c>
      <c r="V6" s="986">
        <v>160</v>
      </c>
      <c r="W6" s="229" t="s">
        <v>152</v>
      </c>
      <c r="X6" s="912" t="s">
        <v>35</v>
      </c>
      <c r="Y6" s="268">
        <v>350</v>
      </c>
      <c r="Z6" s="229" t="s">
        <v>152</v>
      </c>
      <c r="AA6" s="273" t="s">
        <v>156</v>
      </c>
      <c r="AB6" s="268">
        <f>340</f>
        <v>340</v>
      </c>
      <c r="AC6" s="229" t="s">
        <v>152</v>
      </c>
      <c r="AD6" s="273" t="s">
        <v>29</v>
      </c>
      <c r="AE6" s="268">
        <v>340</v>
      </c>
      <c r="AF6" s="131">
        <f>+G6-SUM(H6:J6)+SUM(V6:V6)+200</f>
        <v>1058</v>
      </c>
      <c r="AG6" s="132">
        <f>+AF6-SUM(K6:M6)+SUM(Y6:Y6)+200</f>
        <v>845</v>
      </c>
      <c r="AH6" s="132">
        <f>+AG6-SUM(N6:P6)+SUM(AB6:AB6)+100</f>
        <v>424</v>
      </c>
      <c r="AI6" s="133">
        <f>+AH6-SUM(Q6:S6)+SUM(AE6:AE6)+100</f>
        <v>3</v>
      </c>
      <c r="AJ6" s="236">
        <f t="shared" ref="AJ6:AJ69" si="1">+IF(SUM(G6,H6:S6,V6,Y6,AB6,AE6)=0,0,1)</f>
        <v>1</v>
      </c>
      <c r="AM6" s="660"/>
    </row>
    <row r="7" spans="1:39" ht="33.4" hidden="1" customHeight="1" x14ac:dyDescent="0.25">
      <c r="A7" s="97" t="s">
        <v>157</v>
      </c>
      <c r="B7" s="213" t="s">
        <v>158</v>
      </c>
      <c r="C7" s="40">
        <v>48</v>
      </c>
      <c r="D7" s="194">
        <f>0</f>
        <v>0</v>
      </c>
      <c r="E7" s="190"/>
      <c r="F7" s="190">
        <v>1</v>
      </c>
      <c r="G7" s="65">
        <f t="shared" si="0"/>
        <v>0</v>
      </c>
      <c r="H7" s="68"/>
      <c r="I7" s="471"/>
      <c r="J7" s="30">
        <f>+SUMIF(秏料!$B$3:$B$133,$A7,秏料!$F$3:$F$133)</f>
        <v>0</v>
      </c>
      <c r="K7" s="68"/>
      <c r="L7" s="471"/>
      <c r="M7" s="30">
        <f>+SUMIF(秏料!$B$3:$B$133,$A7,秏料!$H$3:$H$133)</f>
        <v>0</v>
      </c>
      <c r="N7" s="146"/>
      <c r="O7" s="471"/>
      <c r="P7" s="30">
        <f>+SUMIF(秏料!$B$3:$B$133,$A7,秏料!$J$3:$J$133)</f>
        <v>0</v>
      </c>
      <c r="Q7" s="146"/>
      <c r="R7" s="471"/>
      <c r="S7" s="30">
        <f>+SUMIF(秏料!$B$3:$B$133,$A7,秏料!$L$3:$L$133)</f>
        <v>0</v>
      </c>
      <c r="T7" s="227"/>
      <c r="U7" s="273"/>
      <c r="V7" s="268"/>
      <c r="W7" s="229"/>
      <c r="X7" s="273"/>
      <c r="Y7" s="268"/>
      <c r="Z7" s="229"/>
      <c r="AA7" s="273"/>
      <c r="AB7" s="268"/>
      <c r="AC7" s="229"/>
      <c r="AD7" s="273"/>
      <c r="AE7" s="268"/>
      <c r="AF7" s="131">
        <f>+G7-SUM(H7:J7)+SUM(V7)</f>
        <v>0</v>
      </c>
      <c r="AG7" s="132">
        <f>+AF7-SUM(K7:M7)+SUM(Y7)</f>
        <v>0</v>
      </c>
      <c r="AH7" s="132">
        <f>+AG7-SUM(N7:P7)+SUM(AB7)</f>
        <v>0</v>
      </c>
      <c r="AI7" s="133">
        <f>+AH7-SUM(Q7:S7)+SUM(AE7)</f>
        <v>0</v>
      </c>
      <c r="AJ7" s="236">
        <f t="shared" si="1"/>
        <v>0</v>
      </c>
      <c r="AM7" s="660"/>
    </row>
    <row r="8" spans="1:39" ht="33" customHeight="1" x14ac:dyDescent="0.25">
      <c r="A8" s="97" t="s">
        <v>159</v>
      </c>
      <c r="B8" s="213" t="s">
        <v>160</v>
      </c>
      <c r="C8" s="40">
        <v>50</v>
      </c>
      <c r="D8" s="194">
        <v>36.9</v>
      </c>
      <c r="E8" s="190"/>
      <c r="F8" s="190">
        <v>1</v>
      </c>
      <c r="G8" s="62">
        <v>37</v>
      </c>
      <c r="H8" s="68">
        <v>37</v>
      </c>
      <c r="I8" s="471"/>
      <c r="J8" s="29">
        <f>+SUMIF(秏料!$B$3:$B$133,$A8,秏料!$F$3:$F$133)</f>
        <v>0</v>
      </c>
      <c r="K8" s="68"/>
      <c r="L8" s="471"/>
      <c r="M8" s="30">
        <f>+SUMIF(秏料!$B$3:$B$133,$A8,秏料!$H$3:$H$133)</f>
        <v>0</v>
      </c>
      <c r="N8" s="68">
        <v>35</v>
      </c>
      <c r="O8" s="471"/>
      <c r="P8" s="30">
        <f>+SUMIF(秏料!$B$3:$B$133,$A8,秏料!$J$3:$J$133)</f>
        <v>0</v>
      </c>
      <c r="Q8" s="146">
        <v>0</v>
      </c>
      <c r="R8" s="471"/>
      <c r="S8" s="30">
        <f>+SUMIF(秏料!$B$3:$B$133,$A8,秏料!$L$3:$L$133)</f>
        <v>0</v>
      </c>
      <c r="T8" s="227"/>
      <c r="U8" s="273"/>
      <c r="V8" s="268"/>
      <c r="W8" s="229"/>
      <c r="X8" s="273"/>
      <c r="Y8" s="268"/>
      <c r="Z8" s="229" t="s">
        <v>152</v>
      </c>
      <c r="AA8" s="273" t="s">
        <v>161</v>
      </c>
      <c r="AB8" s="268">
        <v>35</v>
      </c>
      <c r="AC8" s="229"/>
      <c r="AD8" s="273"/>
      <c r="AE8" s="268"/>
      <c r="AF8" s="137">
        <f>+G8-SUM(H8:J8)+SUM(V8:V8)</f>
        <v>0</v>
      </c>
      <c r="AG8" s="138">
        <f>+AF8-SUM(K8:M8)+SUM(Y8:Y8)</f>
        <v>0</v>
      </c>
      <c r="AH8" s="138">
        <f>+AG8-SUM(N8:P8)+SUM(AB8:AB8)</f>
        <v>0</v>
      </c>
      <c r="AI8" s="139">
        <f>+AH8-SUM(Q8:S8)+SUM(AE8:AE8)</f>
        <v>0</v>
      </c>
      <c r="AJ8" s="236">
        <f t="shared" si="1"/>
        <v>1</v>
      </c>
      <c r="AM8" s="660"/>
    </row>
    <row r="9" spans="1:39" ht="33.75" customHeight="1" x14ac:dyDescent="0.25">
      <c r="A9" s="99" t="s">
        <v>162</v>
      </c>
      <c r="B9" s="206" t="s">
        <v>163</v>
      </c>
      <c r="C9" s="37">
        <f>58+58</f>
        <v>116</v>
      </c>
      <c r="D9" s="194">
        <f>0+0</f>
        <v>0</v>
      </c>
      <c r="E9" s="203"/>
      <c r="F9" s="203">
        <v>1</v>
      </c>
      <c r="G9" s="62">
        <f t="shared" si="0"/>
        <v>0</v>
      </c>
      <c r="H9" s="71">
        <v>0</v>
      </c>
      <c r="I9" s="472"/>
      <c r="J9" s="39">
        <f>+SUMIF(秏料!$B$3:$B$133,$A9,秏料!$F$3:$F$133)</f>
        <v>0</v>
      </c>
      <c r="K9" s="71">
        <v>0</v>
      </c>
      <c r="L9" s="472"/>
      <c r="M9" s="39">
        <f>+SUMIF(秏料!$B$3:$B$133,$A9,秏料!$H$3:$H$133)</f>
        <v>0</v>
      </c>
      <c r="N9" s="71"/>
      <c r="O9" s="472"/>
      <c r="P9" s="39">
        <f>+SUMIF(秏料!$B$3:$B$133,$A9,秏料!$J$3:$J$133)</f>
        <v>0</v>
      </c>
      <c r="Q9" s="71"/>
      <c r="R9" s="472"/>
      <c r="S9" s="39">
        <f>+SUMIF(秏料!$B$3:$B$133,$A9,秏料!$L$3:$L$133)</f>
        <v>0</v>
      </c>
      <c r="T9" s="227"/>
      <c r="U9" s="912"/>
      <c r="V9" s="268"/>
      <c r="W9" s="229" t="s">
        <v>152</v>
      </c>
      <c r="X9" s="273" t="s">
        <v>164</v>
      </c>
      <c r="Y9" s="268">
        <v>80</v>
      </c>
      <c r="Z9" s="229"/>
      <c r="AA9" s="273"/>
      <c r="AB9" s="268"/>
      <c r="AC9" s="229"/>
      <c r="AD9" s="273"/>
      <c r="AE9" s="268"/>
      <c r="AF9" s="137">
        <f>+G9-SUM(H9:J9)+SUM(V9:V9)</f>
        <v>0</v>
      </c>
      <c r="AG9" s="138">
        <f>+AF9-SUM(K9:M9)+SUM(Y9:Y9)</f>
        <v>80</v>
      </c>
      <c r="AH9" s="138">
        <f>+AG9-SUM(N9:P9)+SUM(AB9:AB9)</f>
        <v>80</v>
      </c>
      <c r="AI9" s="139">
        <f>+AH9-SUM(Q9:S9)+SUM(AE9:AE9)</f>
        <v>80</v>
      </c>
      <c r="AJ9" s="236">
        <f t="shared" si="1"/>
        <v>1</v>
      </c>
      <c r="AM9" s="660"/>
    </row>
    <row r="10" spans="1:39" ht="33.4" customHeight="1" thickBot="1" x14ac:dyDescent="0.3">
      <c r="A10" s="99" t="s">
        <v>165</v>
      </c>
      <c r="B10" s="209" t="s">
        <v>166</v>
      </c>
      <c r="C10" s="37">
        <v>115</v>
      </c>
      <c r="D10" s="194">
        <v>46.6</v>
      </c>
      <c r="E10" s="190"/>
      <c r="F10" s="190">
        <v>1</v>
      </c>
      <c r="G10" s="65">
        <f t="shared" si="0"/>
        <v>45.6</v>
      </c>
      <c r="H10" s="128">
        <v>0</v>
      </c>
      <c r="I10" s="473"/>
      <c r="J10" s="150">
        <f>+SUMIF(秏料!$B$3:$B$133,$A10,秏料!$F$3:$F$133)</f>
        <v>0</v>
      </c>
      <c r="K10" s="128">
        <v>40</v>
      </c>
      <c r="L10" s="473"/>
      <c r="M10" s="150">
        <f>+SUMIF(秏料!$B$3:$B$133,$A10,秏料!$H$3:$H$133)</f>
        <v>0</v>
      </c>
      <c r="N10" s="128">
        <v>20</v>
      </c>
      <c r="O10" s="473"/>
      <c r="P10" s="150"/>
      <c r="Q10" s="128">
        <v>20</v>
      </c>
      <c r="R10" s="473"/>
      <c r="S10" s="150"/>
      <c r="T10" s="227"/>
      <c r="U10" s="273"/>
      <c r="V10" s="268"/>
      <c r="W10" s="229"/>
      <c r="X10" s="912"/>
      <c r="Y10" s="268"/>
      <c r="Z10" s="229" t="s">
        <v>152</v>
      </c>
      <c r="AA10" s="273" t="s">
        <v>167</v>
      </c>
      <c r="AB10" s="268">
        <v>60</v>
      </c>
      <c r="AC10" s="229"/>
      <c r="AD10" s="273"/>
      <c r="AE10" s="268"/>
      <c r="AF10" s="147">
        <f>+G10-SUM(H10:J10)+SUM(V10:V10)</f>
        <v>45.6</v>
      </c>
      <c r="AG10" s="148">
        <f>+AF10-SUM(K10:M10)+SUM(Y10:Y10)</f>
        <v>5.6000000000000014</v>
      </c>
      <c r="AH10" s="148">
        <f>+AG10-SUM(N10:P10)+SUM(AB10:AB10)</f>
        <v>45.6</v>
      </c>
      <c r="AI10" s="149">
        <f>+AH10-SUM(Q10:S10)+SUM(AE10:AE10)</f>
        <v>25.6</v>
      </c>
      <c r="AJ10" s="236">
        <f t="shared" si="1"/>
        <v>1</v>
      </c>
      <c r="AM10" s="660"/>
    </row>
    <row r="11" spans="1:39" ht="33.4" hidden="1" customHeight="1" x14ac:dyDescent="0.25">
      <c r="A11" s="151" t="s">
        <v>168</v>
      </c>
      <c r="B11" s="191" t="s">
        <v>169</v>
      </c>
      <c r="C11" s="40">
        <f>65+54</f>
        <v>119</v>
      </c>
      <c r="D11" s="190">
        <v>0</v>
      </c>
      <c r="E11" s="190"/>
      <c r="F11" s="190">
        <v>1</v>
      </c>
      <c r="G11" s="65">
        <f t="shared" si="0"/>
        <v>0</v>
      </c>
      <c r="H11" s="68">
        <v>0</v>
      </c>
      <c r="I11" s="471"/>
      <c r="J11" s="29">
        <f>+SUMIF(秏料!$B$3:$B$133,$A11,秏料!$F$3:$F$133)</f>
        <v>0</v>
      </c>
      <c r="K11" s="68"/>
      <c r="L11" s="471"/>
      <c r="M11" s="30">
        <f>+SUMIF(秏料!$B$3:$B$133,$A11,秏料!$H$3:$H$133)</f>
        <v>0</v>
      </c>
      <c r="N11" s="68"/>
      <c r="O11" s="471"/>
      <c r="P11" s="30">
        <f>+SUMIF(秏料!$B$3:$B$133,$A11,秏料!$J$3:$J$133)</f>
        <v>0</v>
      </c>
      <c r="Q11" s="146"/>
      <c r="R11" s="471"/>
      <c r="S11" s="30">
        <f>+SUMIF(秏料!$B$3:$B$133,$A11,秏料!$L$3:$L$133)</f>
        <v>0</v>
      </c>
      <c r="T11" s="227"/>
      <c r="U11" s="273"/>
      <c r="V11" s="268"/>
      <c r="W11" s="229"/>
      <c r="X11" s="273"/>
      <c r="Y11" s="268"/>
      <c r="Z11" s="229"/>
      <c r="AA11" s="273"/>
      <c r="AB11" s="268"/>
      <c r="AC11" s="229"/>
      <c r="AD11" s="273"/>
      <c r="AE11" s="268"/>
      <c r="AF11" s="131">
        <f>+G11-SUM(H11:J11)+SUM(V11)</f>
        <v>0</v>
      </c>
      <c r="AG11" s="132">
        <f>+AF11-SUM(K11:M11)+SUM(Y11)</f>
        <v>0</v>
      </c>
      <c r="AH11" s="132">
        <f>+AG11-SUM(N11:P11)+SUM(AB11)</f>
        <v>0</v>
      </c>
      <c r="AI11" s="133">
        <f>+AH11-SUM(Q11:S11)+SUM(AE11)</f>
        <v>0</v>
      </c>
      <c r="AJ11" s="236">
        <f t="shared" si="1"/>
        <v>0</v>
      </c>
      <c r="AM11" s="660"/>
    </row>
    <row r="12" spans="1:39" ht="33.4" hidden="1" customHeight="1" x14ac:dyDescent="0.25">
      <c r="A12" s="97"/>
      <c r="B12" s="209"/>
      <c r="C12" s="40"/>
      <c r="D12" s="190"/>
      <c r="E12" s="190"/>
      <c r="F12" s="190"/>
      <c r="G12" s="65">
        <f t="shared" ref="G12:G13" si="2">+D12+E12-F12</f>
        <v>0</v>
      </c>
      <c r="H12" s="68"/>
      <c r="I12" s="471"/>
      <c r="J12" s="29">
        <f>+SUMIF(秏料!$B$3:$B$133,$A12,秏料!$F$3:$F$133)</f>
        <v>0</v>
      </c>
      <c r="K12" s="68"/>
      <c r="L12" s="471"/>
      <c r="M12" s="30">
        <f>+SUMIF(秏料!$B$3:$B$133,$A12,秏料!$H$3:$H$133)</f>
        <v>0</v>
      </c>
      <c r="N12" s="68"/>
      <c r="O12" s="471"/>
      <c r="P12" s="30">
        <f>+SUMIF(秏料!$B$3:$B$133,$A12,秏料!$J$3:$J$133)</f>
        <v>0</v>
      </c>
      <c r="Q12" s="146"/>
      <c r="R12" s="471"/>
      <c r="S12" s="30">
        <f>+SUMIF(秏料!$B$3:$B$133,$A12,秏料!$L$3:$L$133)</f>
        <v>0</v>
      </c>
      <c r="T12" s="227"/>
      <c r="U12" s="273"/>
      <c r="V12" s="268"/>
      <c r="W12" s="229"/>
      <c r="X12" s="270"/>
      <c r="Y12" s="268"/>
      <c r="Z12" s="229"/>
      <c r="AA12" s="270"/>
      <c r="AB12" s="268"/>
      <c r="AC12" s="229"/>
      <c r="AD12" s="270"/>
      <c r="AE12" s="268"/>
      <c r="AF12" s="93">
        <f>+G12-SUM(H12:J12)+SUM(V12)</f>
        <v>0</v>
      </c>
      <c r="AG12" s="94">
        <f>+AF12-SUM(K12:M12)+SUM(Y12)</f>
        <v>0</v>
      </c>
      <c r="AH12" s="94">
        <f>+AG12-SUM(N12:P12)+SUM(AB12)</f>
        <v>0</v>
      </c>
      <c r="AI12" s="95">
        <f>+AH12-SUM(Q12:S12)+SUM(AE12)</f>
        <v>0</v>
      </c>
      <c r="AJ12" s="236">
        <f t="shared" si="1"/>
        <v>0</v>
      </c>
      <c r="AM12" s="660"/>
    </row>
    <row r="13" spans="1:39" ht="33.4" hidden="1" customHeight="1" x14ac:dyDescent="0.25">
      <c r="A13" s="99"/>
      <c r="B13" s="206"/>
      <c r="C13" s="51"/>
      <c r="D13" s="221"/>
      <c r="E13" s="221"/>
      <c r="F13" s="221"/>
      <c r="G13" s="62">
        <f t="shared" si="2"/>
        <v>0</v>
      </c>
      <c r="H13" s="68"/>
      <c r="I13" s="471"/>
      <c r="J13" s="29">
        <f>+SUMIF(秏料!$B$3:$B$133,$A13,秏料!$F$3:$F$133)</f>
        <v>0</v>
      </c>
      <c r="K13" s="68"/>
      <c r="L13" s="471"/>
      <c r="M13" s="30">
        <f>+SUMIF(秏料!$B$3:$B$133,$A13,秏料!$H$3:$H$133)</f>
        <v>0</v>
      </c>
      <c r="N13" s="68"/>
      <c r="O13" s="471"/>
      <c r="P13" s="30">
        <f>+SUMIF(秏料!$B$3:$B$133,$A13,秏料!$J$3:$J$133)</f>
        <v>0</v>
      </c>
      <c r="Q13" s="146"/>
      <c r="R13" s="471"/>
      <c r="S13" s="30">
        <f>+SUMIF(秏料!$B$3:$B$133,$A13,秏料!$L$3:$L$133)</f>
        <v>0</v>
      </c>
      <c r="T13" s="227"/>
      <c r="U13" s="273"/>
      <c r="V13" s="268"/>
      <c r="W13" s="229"/>
      <c r="X13" s="270"/>
      <c r="Y13" s="268"/>
      <c r="Z13" s="229"/>
      <c r="AA13" s="270"/>
      <c r="AB13" s="268"/>
      <c r="AC13" s="229"/>
      <c r="AD13" s="270"/>
      <c r="AE13" s="268"/>
      <c r="AF13" s="131">
        <f>+G13-SUM(H13:J13)+SUM(V13)</f>
        <v>0</v>
      </c>
      <c r="AG13" s="132">
        <f>+AF13-SUM(K13:M13)+SUM(Y13)</f>
        <v>0</v>
      </c>
      <c r="AH13" s="132">
        <f>+AG13-SUM(N13:P13)+SUM(AB13)</f>
        <v>0</v>
      </c>
      <c r="AI13" s="133">
        <f>+AH13-SUM(Q13:S13)+SUM(AE13)</f>
        <v>0</v>
      </c>
      <c r="AJ13" s="236">
        <f t="shared" si="1"/>
        <v>0</v>
      </c>
      <c r="AM13" s="660"/>
    </row>
    <row r="14" spans="1:39" ht="33.4" hidden="1" customHeight="1" x14ac:dyDescent="0.25">
      <c r="A14" s="99"/>
      <c r="B14" s="206"/>
      <c r="C14" s="28"/>
      <c r="D14" s="193"/>
      <c r="E14" s="194"/>
      <c r="F14" s="194"/>
      <c r="G14" s="63">
        <f t="shared" ref="G14:G28" si="3">IF(+D14+E14-F14&lt;=0,0,+D14+E14-F14)</f>
        <v>0</v>
      </c>
      <c r="H14" s="68"/>
      <c r="I14" s="471"/>
      <c r="J14" s="29">
        <f>+SUMIF(秏料!$B$3:$B$133,$A14,秏料!$F$3:$F$133)</f>
        <v>0</v>
      </c>
      <c r="K14" s="68"/>
      <c r="L14" s="471"/>
      <c r="M14" s="30">
        <f>+SUMIF(秏料!$B$3:$B$133,$A14,秏料!$H$3:$H$133)</f>
        <v>0</v>
      </c>
      <c r="N14" s="68"/>
      <c r="O14" s="471"/>
      <c r="P14" s="30">
        <f>+SUMIF(秏料!$B$3:$B$133,$A14,秏料!$J$3:$J$133)</f>
        <v>0</v>
      </c>
      <c r="Q14" s="146"/>
      <c r="R14" s="471"/>
      <c r="S14" s="30">
        <f>+SUMIF(秏料!$B$3:$B$133,$A14,秏料!$L$3:$L$133)</f>
        <v>0</v>
      </c>
      <c r="T14" s="227"/>
      <c r="U14" s="273"/>
      <c r="V14" s="268"/>
      <c r="W14" s="229"/>
      <c r="X14" s="270"/>
      <c r="Y14" s="268"/>
      <c r="Z14" s="229"/>
      <c r="AA14" s="270"/>
      <c r="AB14" s="268"/>
      <c r="AC14" s="229"/>
      <c r="AD14" s="270"/>
      <c r="AE14" s="268"/>
      <c r="AF14" s="131">
        <f>+G14-SUM(H14:J14)+SUM(V14)</f>
        <v>0</v>
      </c>
      <c r="AG14" s="132">
        <f>+AF14-SUM(K14:M14)+SUM(Y14)</f>
        <v>0</v>
      </c>
      <c r="AH14" s="132">
        <f>+AG14-SUM(N14:P14)+SUM(AB14)</f>
        <v>0</v>
      </c>
      <c r="AI14" s="133">
        <f>+AH14-SUM(Q14:S14)+SUM(AE14)</f>
        <v>0</v>
      </c>
      <c r="AJ14" s="236">
        <f t="shared" si="1"/>
        <v>0</v>
      </c>
      <c r="AM14" s="660"/>
    </row>
    <row r="15" spans="1:39" ht="33.4" hidden="1" customHeight="1" x14ac:dyDescent="0.25">
      <c r="A15" s="98"/>
      <c r="B15" s="208"/>
      <c r="C15" s="119"/>
      <c r="D15" s="196"/>
      <c r="E15" s="192"/>
      <c r="F15" s="192"/>
      <c r="G15" s="143">
        <f t="shared" si="3"/>
        <v>0</v>
      </c>
      <c r="H15" s="144"/>
      <c r="I15" s="474"/>
      <c r="J15" s="87">
        <f>+SUMIF(秏料!$B$3:$B$133,$A15,秏料!$F$3:$F$133)</f>
        <v>0</v>
      </c>
      <c r="K15" s="144"/>
      <c r="L15" s="474"/>
      <c r="M15" s="85">
        <f>+SUMIF(秏料!$B$3:$B$133,$A15,秏料!$H$3:$H$133)</f>
        <v>0</v>
      </c>
      <c r="N15" s="144"/>
      <c r="O15" s="474"/>
      <c r="P15" s="85">
        <f>+SUMIF(秏料!$B$3:$B$133,$A15,秏料!$J$3:$J$133)</f>
        <v>0</v>
      </c>
      <c r="Q15" s="145"/>
      <c r="R15" s="474"/>
      <c r="S15" s="85">
        <f>+SUMIF(秏料!$B$3:$B$133,$A15,秏料!$L$3:$L$133)</f>
        <v>0</v>
      </c>
      <c r="T15" s="227"/>
      <c r="U15" s="273"/>
      <c r="V15" s="268"/>
      <c r="W15" s="229"/>
      <c r="X15" s="270"/>
      <c r="Y15" s="268"/>
      <c r="Z15" s="229"/>
      <c r="AA15" s="270"/>
      <c r="AB15" s="268"/>
      <c r="AC15" s="229"/>
      <c r="AD15" s="270"/>
      <c r="AE15" s="268"/>
      <c r="AF15" s="131">
        <f>+G15-SUM(H15:J15)+SUM(V15:V15)</f>
        <v>0</v>
      </c>
      <c r="AG15" s="132">
        <f>+AF15-SUM(K15:M15)+SUM(Y15:Y15)</f>
        <v>0</v>
      </c>
      <c r="AH15" s="132">
        <f>+AG15-SUM(N15:P15)+SUM(AB15:AB15)</f>
        <v>0</v>
      </c>
      <c r="AI15" s="133">
        <f>+AH15-SUM(Q15:S15)+SUM(AE15:AE15)</f>
        <v>0</v>
      </c>
      <c r="AJ15" s="236">
        <f t="shared" si="1"/>
        <v>0</v>
      </c>
      <c r="AM15" s="660"/>
    </row>
    <row r="16" spans="1:39" ht="33.4" hidden="1" customHeight="1" x14ac:dyDescent="0.25">
      <c r="A16" s="99"/>
      <c r="B16" s="206"/>
      <c r="C16" s="28"/>
      <c r="D16" s="193"/>
      <c r="E16" s="194"/>
      <c r="F16" s="194"/>
      <c r="G16" s="63">
        <f t="shared" si="3"/>
        <v>0</v>
      </c>
      <c r="H16" s="68"/>
      <c r="I16" s="471"/>
      <c r="J16" s="29">
        <f>+SUMIF(秏料!$B$3:$B$133,$A16,秏料!$F$3:$F$133)</f>
        <v>0</v>
      </c>
      <c r="K16" s="68"/>
      <c r="L16" s="471"/>
      <c r="M16" s="30">
        <f>+SUMIF(秏料!$B$3:$B$133,$A16,秏料!$H$3:$H$133)</f>
        <v>0</v>
      </c>
      <c r="N16" s="68"/>
      <c r="O16" s="471"/>
      <c r="P16" s="30">
        <f>+SUMIF(秏料!$B$3:$B$133,$A16,秏料!$J$3:$J$133)</f>
        <v>0</v>
      </c>
      <c r="Q16" s="146"/>
      <c r="R16" s="471"/>
      <c r="S16" s="30">
        <f>+SUMIF(秏料!$B$3:$B$133,$A16,秏料!$L$3:$L$133)</f>
        <v>0</v>
      </c>
      <c r="T16" s="227"/>
      <c r="U16" s="273"/>
      <c r="V16" s="268"/>
      <c r="W16" s="229"/>
      <c r="X16" s="270"/>
      <c r="Y16" s="268"/>
      <c r="Z16" s="229"/>
      <c r="AA16" s="270"/>
      <c r="AB16" s="268"/>
      <c r="AC16" s="229"/>
      <c r="AD16" s="270"/>
      <c r="AE16" s="268"/>
      <c r="AF16" s="93">
        <f>+G16-SUM(H16:J16)+SUM(V16)</f>
        <v>0</v>
      </c>
      <c r="AG16" s="94">
        <f>+AF16-SUM(K16:M16)+SUM(Y16)</f>
        <v>0</v>
      </c>
      <c r="AH16" s="94">
        <f>+AG16-SUM(N16:P16)+SUM(AB16)</f>
        <v>0</v>
      </c>
      <c r="AI16" s="95">
        <f>+AH16-SUM(Q16:S16)+SUM(AE16)</f>
        <v>0</v>
      </c>
      <c r="AJ16" s="236">
        <f t="shared" si="1"/>
        <v>0</v>
      </c>
      <c r="AM16" s="660"/>
    </row>
    <row r="17" spans="1:39" ht="33.4" hidden="1" customHeight="1" x14ac:dyDescent="0.25">
      <c r="A17" s="99"/>
      <c r="B17" s="194"/>
      <c r="C17" s="28"/>
      <c r="D17" s="193"/>
      <c r="E17" s="194"/>
      <c r="F17" s="194"/>
      <c r="G17" s="63">
        <f t="shared" si="3"/>
        <v>0</v>
      </c>
      <c r="H17" s="68"/>
      <c r="I17" s="471"/>
      <c r="J17" s="29">
        <f>+SUMIF(秏料!$B$3:$B$133,$A17,秏料!$F$3:$F$133)</f>
        <v>0</v>
      </c>
      <c r="K17" s="68"/>
      <c r="L17" s="471"/>
      <c r="M17" s="30">
        <f>+SUMIF(秏料!$B$3:$B$133,$A17,秏料!$H$3:$H$133)</f>
        <v>0</v>
      </c>
      <c r="N17" s="68"/>
      <c r="O17" s="471"/>
      <c r="P17" s="30">
        <f>+SUMIF(秏料!$B$3:$B$133,$A17,秏料!$J$3:$J$133)</f>
        <v>0</v>
      </c>
      <c r="Q17" s="146"/>
      <c r="R17" s="471"/>
      <c r="S17" s="30">
        <f>+SUMIF(秏料!$B$3:$B$133,$A17,秏料!$L$3:$L$133)</f>
        <v>0</v>
      </c>
      <c r="T17" s="227"/>
      <c r="U17" s="273"/>
      <c r="V17" s="268"/>
      <c r="W17" s="229"/>
      <c r="X17" s="270"/>
      <c r="Y17" s="268"/>
      <c r="Z17" s="229"/>
      <c r="AA17" s="270"/>
      <c r="AB17" s="268"/>
      <c r="AC17" s="229"/>
      <c r="AD17" s="270"/>
      <c r="AE17" s="268"/>
      <c r="AF17" s="137">
        <f>+G17-SUM(H17:J17)+SUM(V17:V17)</f>
        <v>0</v>
      </c>
      <c r="AG17" s="138">
        <f>+AF17-SUM(K17:M17)+SUM(Y17:Y17)</f>
        <v>0</v>
      </c>
      <c r="AH17" s="138">
        <f>+AG17-SUM(N17:P17)+SUM(AB17:AB17)</f>
        <v>0</v>
      </c>
      <c r="AI17" s="139">
        <f>+AH17-SUM(Q17:S17)+SUM(AE17:AE17)</f>
        <v>0</v>
      </c>
      <c r="AJ17" s="236">
        <f t="shared" si="1"/>
        <v>0</v>
      </c>
      <c r="AM17" s="660"/>
    </row>
    <row r="18" spans="1:39" ht="33.4" hidden="1" customHeight="1" x14ac:dyDescent="0.25">
      <c r="A18" s="97"/>
      <c r="B18" s="209"/>
      <c r="C18" s="18"/>
      <c r="D18" s="197"/>
      <c r="E18" s="191"/>
      <c r="F18" s="191"/>
      <c r="G18" s="160">
        <f t="shared" si="3"/>
        <v>0</v>
      </c>
      <c r="H18" s="161"/>
      <c r="I18" s="475"/>
      <c r="J18" s="88">
        <f>+SUMIF(秏料!$B$3:$B$133,$A18,秏料!$F$3:$F$133)</f>
        <v>0</v>
      </c>
      <c r="K18" s="161"/>
      <c r="L18" s="475"/>
      <c r="M18" s="86">
        <f>+SUMIF(秏料!$B$3:$B$133,$A18,秏料!$H$3:$H$133)</f>
        <v>0</v>
      </c>
      <c r="N18" s="161"/>
      <c r="O18" s="475"/>
      <c r="P18" s="86">
        <f>+SUMIF(秏料!$B$3:$B$133,$A18,秏料!$J$3:$J$133)</f>
        <v>0</v>
      </c>
      <c r="Q18" s="162"/>
      <c r="R18" s="475"/>
      <c r="S18" s="86">
        <f>+SUMIF(秏料!$B$3:$B$133,$A18,秏料!$L$3:$L$133)</f>
        <v>0</v>
      </c>
      <c r="T18" s="227"/>
      <c r="U18" s="273"/>
      <c r="V18" s="268"/>
      <c r="W18" s="229"/>
      <c r="X18" s="270"/>
      <c r="Y18" s="268"/>
      <c r="Z18" s="229"/>
      <c r="AA18" s="270"/>
      <c r="AB18" s="268"/>
      <c r="AC18" s="229"/>
      <c r="AD18" s="270"/>
      <c r="AE18" s="268"/>
      <c r="AF18" s="113">
        <f>+G18-SUM(H18:J18)+SUM(V18)</f>
        <v>0</v>
      </c>
      <c r="AG18" s="114">
        <f>+AF18-SUM(K18:M18)+SUM(Y18)</f>
        <v>0</v>
      </c>
      <c r="AH18" s="114">
        <f>+AG18-SUM(N18:P18)+SUM(AB18)</f>
        <v>0</v>
      </c>
      <c r="AI18" s="115">
        <f>+AH18-SUM(Q18:S18)+SUM(AE18)</f>
        <v>0</v>
      </c>
      <c r="AJ18" s="236">
        <f t="shared" si="1"/>
        <v>0</v>
      </c>
      <c r="AM18" s="660"/>
    </row>
    <row r="19" spans="1:39" ht="33.4" hidden="1" customHeight="1" x14ac:dyDescent="0.25">
      <c r="A19" s="99"/>
      <c r="B19" s="206"/>
      <c r="C19" s="28"/>
      <c r="D19" s="193"/>
      <c r="E19" s="194"/>
      <c r="F19" s="194"/>
      <c r="G19" s="63">
        <f t="shared" si="3"/>
        <v>0</v>
      </c>
      <c r="H19" s="68"/>
      <c r="I19" s="471"/>
      <c r="J19" s="29">
        <f>+SUMIF(秏料!$B$3:$B$133,$A19,秏料!$F$3:$F$133)</f>
        <v>0</v>
      </c>
      <c r="K19" s="68"/>
      <c r="L19" s="471"/>
      <c r="M19" s="30">
        <f>+SUMIF(秏料!$B$3:$B$133,$A19,秏料!$H$3:$H$133)</f>
        <v>0</v>
      </c>
      <c r="N19" s="68"/>
      <c r="O19" s="471"/>
      <c r="P19" s="30">
        <f>+SUMIF(秏料!$B$3:$B$133,$A19,秏料!$J$3:$J$133)</f>
        <v>0</v>
      </c>
      <c r="Q19" s="146"/>
      <c r="R19" s="471"/>
      <c r="S19" s="30">
        <f>+SUMIF(秏料!$B$3:$B$133,$A19,秏料!$L$3:$L$133)</f>
        <v>0</v>
      </c>
      <c r="T19" s="227"/>
      <c r="U19" s="273"/>
      <c r="V19" s="268"/>
      <c r="W19" s="229"/>
      <c r="X19" s="270"/>
      <c r="Y19" s="268"/>
      <c r="Z19" s="229"/>
      <c r="AA19" s="270"/>
      <c r="AB19" s="268"/>
      <c r="AC19" s="229"/>
      <c r="AD19" s="270"/>
      <c r="AE19" s="268"/>
      <c r="AF19" s="137">
        <f t="shared" ref="AF19:AF22" si="4">+G19-SUM(H19:J19)+SUM(V19)</f>
        <v>0</v>
      </c>
      <c r="AG19" s="138">
        <f t="shared" ref="AG19:AG22" si="5">+AF19-SUM(K19:M19)+SUM(Y19)</f>
        <v>0</v>
      </c>
      <c r="AH19" s="138">
        <f t="shared" ref="AH19:AH33" si="6">+AG19-SUM(N19:P19)+SUM(AB19)</f>
        <v>0</v>
      </c>
      <c r="AI19" s="139">
        <f t="shared" ref="AI19:AI33" si="7">+AH19-SUM(Q19:S19)+SUM(AE19)</f>
        <v>0</v>
      </c>
      <c r="AJ19" s="237">
        <f t="shared" si="1"/>
        <v>0</v>
      </c>
      <c r="AM19" s="660"/>
    </row>
    <row r="20" spans="1:39" ht="33.4" hidden="1" customHeight="1" x14ac:dyDescent="0.25">
      <c r="A20" s="99"/>
      <c r="B20" s="206"/>
      <c r="C20" s="37"/>
      <c r="D20" s="193"/>
      <c r="E20" s="194"/>
      <c r="F20" s="194"/>
      <c r="G20" s="63">
        <f t="shared" si="3"/>
        <v>0</v>
      </c>
      <c r="H20" s="68"/>
      <c r="I20" s="471"/>
      <c r="J20" s="29">
        <f>+SUMIF(秏料!$B$3:$B$133,$A20,秏料!$F$3:$F$133)</f>
        <v>0</v>
      </c>
      <c r="K20" s="68"/>
      <c r="L20" s="471"/>
      <c r="M20" s="30">
        <f>+SUMIF(秏料!$B$3:$B$133,$A20,秏料!$H$3:$H$133)</f>
        <v>0</v>
      </c>
      <c r="N20" s="68"/>
      <c r="O20" s="471"/>
      <c r="P20" s="30">
        <f>+SUMIF(秏料!$B$3:$B$133,$A20,秏料!$J$3:$J$133)</f>
        <v>0</v>
      </c>
      <c r="Q20" s="146"/>
      <c r="R20" s="471"/>
      <c r="S20" s="30">
        <f>+SUMIF(秏料!$B$3:$B$133,$A20,秏料!$L$3:$L$133)</f>
        <v>0</v>
      </c>
      <c r="T20" s="227"/>
      <c r="U20" s="273"/>
      <c r="V20" s="268"/>
      <c r="W20" s="229"/>
      <c r="X20" s="270"/>
      <c r="Y20" s="268"/>
      <c r="Z20" s="229"/>
      <c r="AA20" s="270"/>
      <c r="AB20" s="268"/>
      <c r="AC20" s="229"/>
      <c r="AD20" s="270"/>
      <c r="AE20" s="268"/>
      <c r="AF20" s="137">
        <f t="shared" si="4"/>
        <v>0</v>
      </c>
      <c r="AG20" s="138">
        <f t="shared" si="5"/>
        <v>0</v>
      </c>
      <c r="AH20" s="138">
        <f t="shared" si="6"/>
        <v>0</v>
      </c>
      <c r="AI20" s="139">
        <f t="shared" si="7"/>
        <v>0</v>
      </c>
      <c r="AJ20" s="238">
        <f t="shared" si="1"/>
        <v>0</v>
      </c>
      <c r="AM20" s="660"/>
    </row>
    <row r="21" spans="1:39" ht="33.4" hidden="1" customHeight="1" x14ac:dyDescent="0.25">
      <c r="A21" s="97"/>
      <c r="B21" s="206"/>
      <c r="C21" s="18"/>
      <c r="D21" s="193"/>
      <c r="E21" s="191"/>
      <c r="F21" s="191"/>
      <c r="G21" s="160">
        <f t="shared" si="3"/>
        <v>0</v>
      </c>
      <c r="H21" s="161"/>
      <c r="I21" s="475"/>
      <c r="J21" s="88">
        <f>+SUMIF(秏料!$B$3:$B$133,$A21,秏料!$F$3:$F$133)</f>
        <v>0</v>
      </c>
      <c r="K21" s="161"/>
      <c r="L21" s="475"/>
      <c r="M21" s="86">
        <f>+SUMIF(秏料!$B$3:$B$133,$A21,秏料!$H$3:$H$133)</f>
        <v>0</v>
      </c>
      <c r="N21" s="161"/>
      <c r="O21" s="475"/>
      <c r="P21" s="86">
        <f>+SUMIF(秏料!$B$3:$B$133,$A21,秏料!$J$3:$J$133)</f>
        <v>0</v>
      </c>
      <c r="Q21" s="162"/>
      <c r="R21" s="475"/>
      <c r="S21" s="86">
        <f>+SUMIF(秏料!$B$3:$B$133,$A21,秏料!$L$3:$L$133)</f>
        <v>0</v>
      </c>
      <c r="T21" s="227"/>
      <c r="U21" s="273"/>
      <c r="V21" s="268"/>
      <c r="W21" s="229"/>
      <c r="X21" s="270"/>
      <c r="Y21" s="268"/>
      <c r="Z21" s="229"/>
      <c r="AA21" s="270"/>
      <c r="AB21" s="268"/>
      <c r="AC21" s="229"/>
      <c r="AD21" s="270"/>
      <c r="AE21" s="268"/>
      <c r="AF21" s="113">
        <f t="shared" si="4"/>
        <v>0</v>
      </c>
      <c r="AG21" s="114">
        <f t="shared" si="5"/>
        <v>0</v>
      </c>
      <c r="AH21" s="114">
        <f t="shared" si="6"/>
        <v>0</v>
      </c>
      <c r="AI21" s="115">
        <f t="shared" si="7"/>
        <v>0</v>
      </c>
      <c r="AJ21" s="236">
        <f t="shared" si="1"/>
        <v>0</v>
      </c>
      <c r="AM21" s="660"/>
    </row>
    <row r="22" spans="1:39" ht="33.4" hidden="1" customHeight="1" x14ac:dyDescent="0.25">
      <c r="A22" s="99"/>
      <c r="B22" s="206"/>
      <c r="C22" s="28"/>
      <c r="D22" s="193"/>
      <c r="E22" s="194"/>
      <c r="F22" s="194"/>
      <c r="G22" s="63">
        <f t="shared" si="3"/>
        <v>0</v>
      </c>
      <c r="H22" s="68"/>
      <c r="I22" s="471"/>
      <c r="J22" s="29">
        <f>+SUMIF(秏料!$B$3:$B$133,$A22,秏料!$F$3:$F$133)</f>
        <v>0</v>
      </c>
      <c r="K22" s="68"/>
      <c r="L22" s="471"/>
      <c r="M22" s="30">
        <f>+SUMIF(秏料!$B$3:$B$133,$A22,秏料!$H$3:$H$133)</f>
        <v>0</v>
      </c>
      <c r="N22" s="68"/>
      <c r="O22" s="471"/>
      <c r="P22" s="30">
        <f>+SUMIF(秏料!$B$3:$B$133,$A22,秏料!$J$3:$J$133)</f>
        <v>0</v>
      </c>
      <c r="Q22" s="146"/>
      <c r="R22" s="471"/>
      <c r="S22" s="30">
        <f>+SUMIF(秏料!$B$3:$B$133,$A22,秏料!$L$3:$L$133)</f>
        <v>0</v>
      </c>
      <c r="T22" s="227"/>
      <c r="U22" s="273"/>
      <c r="V22" s="268"/>
      <c r="W22" s="229"/>
      <c r="X22" s="270"/>
      <c r="Y22" s="268"/>
      <c r="Z22" s="229"/>
      <c r="AA22" s="270"/>
      <c r="AB22" s="268"/>
      <c r="AC22" s="229"/>
      <c r="AD22" s="270"/>
      <c r="AE22" s="268"/>
      <c r="AF22" s="25">
        <f t="shared" si="4"/>
        <v>0</v>
      </c>
      <c r="AG22" s="26">
        <f t="shared" si="5"/>
        <v>0</v>
      </c>
      <c r="AH22" s="26">
        <f t="shared" si="6"/>
        <v>0</v>
      </c>
      <c r="AI22" s="27">
        <f t="shared" si="7"/>
        <v>0</v>
      </c>
      <c r="AJ22" s="236">
        <f t="shared" si="1"/>
        <v>0</v>
      </c>
      <c r="AM22" s="660"/>
    </row>
    <row r="23" spans="1:39" ht="33.4" hidden="1" customHeight="1" x14ac:dyDescent="0.25">
      <c r="A23" s="101"/>
      <c r="B23" s="207"/>
      <c r="C23" s="53"/>
      <c r="D23" s="188"/>
      <c r="E23" s="191"/>
      <c r="F23" s="191"/>
      <c r="G23" s="67">
        <f t="shared" si="3"/>
        <v>0</v>
      </c>
      <c r="H23" s="74"/>
      <c r="I23" s="476"/>
      <c r="J23" s="41">
        <f>+SUMIF(秏料!$B$3:$B$133,$A23,秏料!$F$3:$F$133)</f>
        <v>0</v>
      </c>
      <c r="K23" s="77"/>
      <c r="L23" s="481"/>
      <c r="M23" s="42">
        <f>+SUMIF(秏料!$B$3:$B$133,$A23,秏料!$H$3:$H$133)</f>
        <v>0</v>
      </c>
      <c r="N23" s="72"/>
      <c r="O23" s="481"/>
      <c r="P23" s="42">
        <f>+SUMIF(秏料!$B$3:$B$133,$A23,秏料!$J$3:$J$133)</f>
        <v>0</v>
      </c>
      <c r="Q23" s="83"/>
      <c r="R23" s="83"/>
      <c r="S23" s="47">
        <f>+SUMIF(秏料!$B$3:$B$133,$A23,秏料!$L$3:$L$133)</f>
        <v>0</v>
      </c>
      <c r="T23" s="274">
        <f t="shared" ref="T23:T33" si="8">IF(V23=0,0,T$4)</f>
        <v>0</v>
      </c>
      <c r="U23" s="272"/>
      <c r="V23" s="269">
        <f>+H23+J23</f>
        <v>0</v>
      </c>
      <c r="W23" s="275">
        <f t="shared" ref="W23:W33" si="9">IF(Y23=0,0,W$4)</f>
        <v>0</v>
      </c>
      <c r="X23" s="271"/>
      <c r="Y23" s="269">
        <f>+K23+M23</f>
        <v>0</v>
      </c>
      <c r="Z23" s="275">
        <f t="shared" ref="Z23:Z33" si="10">IF(AB23=0,0,Z$4)</f>
        <v>0</v>
      </c>
      <c r="AA23" s="271"/>
      <c r="AB23" s="269">
        <f>+N23+P23</f>
        <v>0</v>
      </c>
      <c r="AC23" s="275">
        <f t="shared" ref="AC23:AC33" si="11">IF(AE23=0,0,AC$4)</f>
        <v>0</v>
      </c>
      <c r="AD23" s="271"/>
      <c r="AE23" s="269">
        <f>+Q23+S23</f>
        <v>0</v>
      </c>
      <c r="AF23" s="147">
        <f t="shared" ref="AF23:AF33" si="12">+G23-SUM(H23:J23)+SUM(V23)</f>
        <v>0</v>
      </c>
      <c r="AG23" s="148">
        <f t="shared" ref="AG23:AG33" si="13">+AF23-SUM(K23:M23)+SUM(Y23)</f>
        <v>0</v>
      </c>
      <c r="AH23" s="148">
        <f t="shared" si="6"/>
        <v>0</v>
      </c>
      <c r="AI23" s="149">
        <f t="shared" si="7"/>
        <v>0</v>
      </c>
      <c r="AJ23" s="236">
        <f t="shared" si="1"/>
        <v>0</v>
      </c>
      <c r="AM23" s="660"/>
    </row>
    <row r="24" spans="1:39" ht="33.4" hidden="1" customHeight="1" x14ac:dyDescent="0.25">
      <c r="A24" s="99"/>
      <c r="B24" s="206"/>
      <c r="C24" s="54"/>
      <c r="D24" s="200"/>
      <c r="E24" s="201"/>
      <c r="F24" s="201"/>
      <c r="G24" s="62">
        <f t="shared" si="3"/>
        <v>0</v>
      </c>
      <c r="H24" s="75"/>
      <c r="I24" s="477"/>
      <c r="J24" s="38">
        <f>+SUMIF(秏料!$B$3:$B$133,$A24,秏料!$F$3:$F$133)</f>
        <v>0</v>
      </c>
      <c r="K24" s="78"/>
      <c r="L24" s="472"/>
      <c r="M24" s="39">
        <f>+SUMIF(秏料!$B$3:$B$133,$A24,秏料!$H$3:$H$133)</f>
        <v>0</v>
      </c>
      <c r="N24" s="71"/>
      <c r="O24" s="472"/>
      <c r="P24" s="39">
        <f>+SUMIF(秏料!$B$3:$B$133,$A24,秏料!$J$3:$J$133)</f>
        <v>0</v>
      </c>
      <c r="Q24" s="84"/>
      <c r="R24" s="84"/>
      <c r="S24" s="50">
        <f>+SUMIF(秏料!$B$3:$B$133,$A24,秏料!$L$3:$L$133)</f>
        <v>0</v>
      </c>
      <c r="T24" s="227">
        <f t="shared" si="8"/>
        <v>0</v>
      </c>
      <c r="U24" s="273"/>
      <c r="V24" s="268">
        <f>+H24+J24</f>
        <v>0</v>
      </c>
      <c r="W24" s="229">
        <f t="shared" si="9"/>
        <v>0</v>
      </c>
      <c r="X24" s="270"/>
      <c r="Y24" s="268">
        <f t="shared" ref="Y24:Y32" si="14">+K24+M24</f>
        <v>0</v>
      </c>
      <c r="Z24" s="229">
        <f t="shared" si="10"/>
        <v>0</v>
      </c>
      <c r="AA24" s="270"/>
      <c r="AB24" s="268">
        <f t="shared" ref="AB24:AB33" si="15">+N24+P24</f>
        <v>0</v>
      </c>
      <c r="AC24" s="229">
        <f t="shared" si="11"/>
        <v>0</v>
      </c>
      <c r="AD24" s="270"/>
      <c r="AE24" s="268">
        <f t="shared" ref="AE24:AE33" si="16">+Q24+S24</f>
        <v>0</v>
      </c>
      <c r="AF24" s="131">
        <f t="shared" si="12"/>
        <v>0</v>
      </c>
      <c r="AG24" s="132">
        <f t="shared" si="13"/>
        <v>0</v>
      </c>
      <c r="AH24" s="132">
        <f t="shared" si="6"/>
        <v>0</v>
      </c>
      <c r="AI24" s="133">
        <f t="shared" si="7"/>
        <v>0</v>
      </c>
      <c r="AJ24" s="236">
        <f t="shared" si="1"/>
        <v>0</v>
      </c>
      <c r="AM24" s="660"/>
    </row>
    <row r="25" spans="1:39" ht="33.4" hidden="1" customHeight="1" x14ac:dyDescent="0.25">
      <c r="A25" s="97"/>
      <c r="B25" s="209"/>
      <c r="C25" s="40"/>
      <c r="D25" s="200"/>
      <c r="E25" s="191"/>
      <c r="F25" s="191"/>
      <c r="G25" s="65">
        <f t="shared" si="3"/>
        <v>0</v>
      </c>
      <c r="H25" s="123"/>
      <c r="I25" s="478"/>
      <c r="J25" s="41">
        <f>+SUMIF(秏料!$B$3:$B$133,$A25,秏料!$F$3:$F$133)</f>
        <v>0</v>
      </c>
      <c r="K25" s="77"/>
      <c r="L25" s="481"/>
      <c r="M25" s="42">
        <f>+SUMIF(秏料!$B$3:$B$133,$A25,秏料!$H$3:$H$133)</f>
        <v>0</v>
      </c>
      <c r="N25" s="72"/>
      <c r="O25" s="481"/>
      <c r="P25" s="42">
        <f>+SUMIF(秏料!$B$3:$B$133,$A25,秏料!$J$3:$J$133)</f>
        <v>0</v>
      </c>
      <c r="Q25" s="83"/>
      <c r="R25" s="83"/>
      <c r="S25" s="47">
        <f>+SUMIF(秏料!$B$3:$B$133,$A25,秏料!$L$3:$L$133)</f>
        <v>0</v>
      </c>
      <c r="T25" s="227">
        <f t="shared" si="8"/>
        <v>0</v>
      </c>
      <c r="U25" s="273"/>
      <c r="V25" s="268">
        <f>+H25+J25</f>
        <v>0</v>
      </c>
      <c r="W25" s="229">
        <f t="shared" si="9"/>
        <v>0</v>
      </c>
      <c r="X25" s="270"/>
      <c r="Y25" s="268">
        <f t="shared" si="14"/>
        <v>0</v>
      </c>
      <c r="Z25" s="229">
        <f t="shared" si="10"/>
        <v>0</v>
      </c>
      <c r="AA25" s="270"/>
      <c r="AB25" s="268">
        <f t="shared" si="15"/>
        <v>0</v>
      </c>
      <c r="AC25" s="229">
        <f t="shared" si="11"/>
        <v>0</v>
      </c>
      <c r="AD25" s="270"/>
      <c r="AE25" s="268">
        <f t="shared" si="16"/>
        <v>0</v>
      </c>
      <c r="AF25" s="131">
        <f t="shared" si="12"/>
        <v>0</v>
      </c>
      <c r="AG25" s="132">
        <f t="shared" si="13"/>
        <v>0</v>
      </c>
      <c r="AH25" s="132">
        <f t="shared" si="6"/>
        <v>0</v>
      </c>
      <c r="AI25" s="133">
        <f t="shared" si="7"/>
        <v>0</v>
      </c>
      <c r="AJ25" s="236">
        <f t="shared" si="1"/>
        <v>0</v>
      </c>
      <c r="AM25" s="660"/>
    </row>
    <row r="26" spans="1:39" ht="33.4" hidden="1" customHeight="1" x14ac:dyDescent="0.25">
      <c r="A26" s="101"/>
      <c r="B26" s="207"/>
      <c r="C26" s="53"/>
      <c r="D26" s="188"/>
      <c r="E26" s="189"/>
      <c r="F26" s="189"/>
      <c r="G26" s="67">
        <f t="shared" si="3"/>
        <v>0</v>
      </c>
      <c r="H26" s="74"/>
      <c r="I26" s="476"/>
      <c r="J26" s="41">
        <f>+SUMIF(秏料!$B$3:$B$133,$A26,秏料!$F$3:$F$133)</f>
        <v>0</v>
      </c>
      <c r="K26" s="77"/>
      <c r="L26" s="481"/>
      <c r="M26" s="42">
        <f>+SUMIF(秏料!$B$3:$B$133,$A26,秏料!$H$3:$H$133)</f>
        <v>0</v>
      </c>
      <c r="N26" s="72"/>
      <c r="O26" s="481"/>
      <c r="P26" s="42">
        <f>+SUMIF(秏料!$B$3:$B$133,$A26,秏料!$J$3:$J$133)</f>
        <v>0</v>
      </c>
      <c r="Q26" s="83"/>
      <c r="R26" s="83"/>
      <c r="S26" s="47">
        <f>+SUMIF(秏料!$B$3:$B$133,$A26,秏料!$L$3:$L$133)</f>
        <v>0</v>
      </c>
      <c r="T26" s="227">
        <f t="shared" si="8"/>
        <v>0</v>
      </c>
      <c r="U26" s="273"/>
      <c r="V26" s="268">
        <f>+H26+J26</f>
        <v>0</v>
      </c>
      <c r="W26" s="229">
        <f t="shared" si="9"/>
        <v>0</v>
      </c>
      <c r="X26" s="270"/>
      <c r="Y26" s="268">
        <f t="shared" si="14"/>
        <v>0</v>
      </c>
      <c r="Z26" s="229">
        <f t="shared" si="10"/>
        <v>0</v>
      </c>
      <c r="AA26" s="270"/>
      <c r="AB26" s="268">
        <f t="shared" si="15"/>
        <v>0</v>
      </c>
      <c r="AC26" s="229">
        <f t="shared" si="11"/>
        <v>0</v>
      </c>
      <c r="AD26" s="270"/>
      <c r="AE26" s="268">
        <f t="shared" si="16"/>
        <v>0</v>
      </c>
      <c r="AF26" s="131">
        <f t="shared" si="12"/>
        <v>0</v>
      </c>
      <c r="AG26" s="132">
        <f t="shared" si="13"/>
        <v>0</v>
      </c>
      <c r="AH26" s="132">
        <f t="shared" si="6"/>
        <v>0</v>
      </c>
      <c r="AI26" s="133">
        <f t="shared" si="7"/>
        <v>0</v>
      </c>
      <c r="AJ26" s="236">
        <f t="shared" si="1"/>
        <v>0</v>
      </c>
      <c r="AM26" s="660"/>
    </row>
    <row r="27" spans="1:39" ht="33.4" hidden="1" customHeight="1" x14ac:dyDescent="0.25">
      <c r="A27" s="99"/>
      <c r="B27" s="206"/>
      <c r="C27" s="54"/>
      <c r="D27" s="200"/>
      <c r="E27" s="202"/>
      <c r="F27" s="202"/>
      <c r="G27" s="62">
        <f t="shared" si="3"/>
        <v>0</v>
      </c>
      <c r="H27" s="75"/>
      <c r="I27" s="477"/>
      <c r="J27" s="38">
        <f>+SUMIF(秏料!$B$3:$B$133,$A27,秏料!$F$3:$F$133)</f>
        <v>0</v>
      </c>
      <c r="K27" s="78"/>
      <c r="L27" s="472"/>
      <c r="M27" s="39">
        <f>+SUMIF(秏料!$B$3:$B$133,$A27,秏料!$H$3:$H$133)</f>
        <v>0</v>
      </c>
      <c r="N27" s="71"/>
      <c r="O27" s="472"/>
      <c r="P27" s="39">
        <f>+SUMIF(秏料!$B$3:$B$133,$A27,秏料!$J$3:$J$133)</f>
        <v>0</v>
      </c>
      <c r="Q27" s="84"/>
      <c r="R27" s="84"/>
      <c r="S27" s="50">
        <f>+SUMIF(秏料!$B$3:$B$133,$A27,秏料!$L$3:$L$133)</f>
        <v>0</v>
      </c>
      <c r="T27" s="227">
        <f t="shared" si="8"/>
        <v>0</v>
      </c>
      <c r="U27" s="273"/>
      <c r="V27" s="268">
        <f>+H27+J27</f>
        <v>0</v>
      </c>
      <c r="W27" s="229">
        <f t="shared" si="9"/>
        <v>0</v>
      </c>
      <c r="X27" s="270"/>
      <c r="Y27" s="268">
        <f t="shared" si="14"/>
        <v>0</v>
      </c>
      <c r="Z27" s="229">
        <f t="shared" si="10"/>
        <v>0</v>
      </c>
      <c r="AA27" s="270"/>
      <c r="AB27" s="268">
        <f t="shared" si="15"/>
        <v>0</v>
      </c>
      <c r="AC27" s="229">
        <f t="shared" si="11"/>
        <v>0</v>
      </c>
      <c r="AD27" s="270"/>
      <c r="AE27" s="268">
        <f t="shared" si="16"/>
        <v>0</v>
      </c>
      <c r="AF27" s="131">
        <f t="shared" si="12"/>
        <v>0</v>
      </c>
      <c r="AG27" s="132">
        <f t="shared" si="13"/>
        <v>0</v>
      </c>
      <c r="AH27" s="132">
        <f t="shared" si="6"/>
        <v>0</v>
      </c>
      <c r="AI27" s="133">
        <f t="shared" si="7"/>
        <v>0</v>
      </c>
      <c r="AJ27" s="236">
        <f t="shared" si="1"/>
        <v>0</v>
      </c>
      <c r="AM27" s="660"/>
    </row>
    <row r="28" spans="1:39" ht="33.4" hidden="1" customHeight="1" x14ac:dyDescent="0.25">
      <c r="A28" s="97"/>
      <c r="B28" s="209"/>
      <c r="C28" s="40"/>
      <c r="D28" s="190"/>
      <c r="E28" s="191"/>
      <c r="F28" s="191"/>
      <c r="G28" s="65">
        <f t="shared" si="3"/>
        <v>0</v>
      </c>
      <c r="H28" s="74"/>
      <c r="I28" s="476"/>
      <c r="J28" s="41">
        <f>+SUMIF(秏料!$B$3:$B$133,$A28,秏料!$F$3:$F$133)</f>
        <v>0</v>
      </c>
      <c r="K28" s="77"/>
      <c r="L28" s="481"/>
      <c r="M28" s="42">
        <f>+SUMIF(秏料!$B$3:$B$133,$A28,秏料!$H$3:$H$133)</f>
        <v>0</v>
      </c>
      <c r="N28" s="72"/>
      <c r="O28" s="481"/>
      <c r="P28" s="42">
        <f>+SUMIF(秏料!$B$3:$B$133,$A28,秏料!$J$3:$J$133)</f>
        <v>0</v>
      </c>
      <c r="Q28" s="83"/>
      <c r="R28" s="83"/>
      <c r="S28" s="47">
        <f>+SUMIF(秏料!$B$3:$B$133,$A28,秏料!$L$3:$L$133)</f>
        <v>0</v>
      </c>
      <c r="T28" s="227">
        <f t="shared" si="8"/>
        <v>0</v>
      </c>
      <c r="U28" s="273"/>
      <c r="V28" s="268">
        <f t="shared" ref="V28:V33" si="17">+H28+J28</f>
        <v>0</v>
      </c>
      <c r="W28" s="229">
        <f t="shared" si="9"/>
        <v>0</v>
      </c>
      <c r="X28" s="270"/>
      <c r="Y28" s="268">
        <f t="shared" si="14"/>
        <v>0</v>
      </c>
      <c r="Z28" s="229">
        <f t="shared" si="10"/>
        <v>0</v>
      </c>
      <c r="AA28" s="270"/>
      <c r="AB28" s="268">
        <f t="shared" si="15"/>
        <v>0</v>
      </c>
      <c r="AC28" s="229">
        <f t="shared" si="11"/>
        <v>0</v>
      </c>
      <c r="AD28" s="270"/>
      <c r="AE28" s="268">
        <f t="shared" si="16"/>
        <v>0</v>
      </c>
      <c r="AF28" s="131">
        <f t="shared" si="12"/>
        <v>0</v>
      </c>
      <c r="AG28" s="132">
        <f t="shared" si="13"/>
        <v>0</v>
      </c>
      <c r="AH28" s="132">
        <f t="shared" si="6"/>
        <v>0</v>
      </c>
      <c r="AI28" s="133">
        <f t="shared" si="7"/>
        <v>0</v>
      </c>
      <c r="AJ28" s="236">
        <f t="shared" si="1"/>
        <v>0</v>
      </c>
      <c r="AM28" s="660"/>
    </row>
    <row r="29" spans="1:39" ht="33.4" hidden="1" customHeight="1" x14ac:dyDescent="0.25">
      <c r="A29" s="97"/>
      <c r="B29" s="207"/>
      <c r="C29" s="53"/>
      <c r="D29" s="188"/>
      <c r="E29" s="189"/>
      <c r="F29" s="189"/>
      <c r="G29" s="67"/>
      <c r="H29" s="74"/>
      <c r="I29" s="476"/>
      <c r="J29" s="41">
        <f>+SUMIF(秏料!$B$3:$B$133,$A29,秏料!$F$3:$F$133)</f>
        <v>0</v>
      </c>
      <c r="K29" s="77"/>
      <c r="L29" s="481"/>
      <c r="M29" s="42">
        <f>+SUMIF(秏料!$B$3:$B$133,$A29,秏料!$H$3:$H$133)</f>
        <v>0</v>
      </c>
      <c r="N29" s="72"/>
      <c r="O29" s="481"/>
      <c r="P29" s="42">
        <f>+SUMIF(秏料!$B$3:$B$133,$A29,秏料!$J$3:$J$133)</f>
        <v>0</v>
      </c>
      <c r="Q29" s="83"/>
      <c r="R29" s="83"/>
      <c r="S29" s="47">
        <f>+SUMIF(秏料!$B$3:$B$133,$A29,秏料!$L$3:$L$133)</f>
        <v>0</v>
      </c>
      <c r="T29" s="227">
        <f t="shared" si="8"/>
        <v>0</v>
      </c>
      <c r="U29" s="273"/>
      <c r="V29" s="268">
        <f t="shared" si="17"/>
        <v>0</v>
      </c>
      <c r="W29" s="229">
        <f t="shared" si="9"/>
        <v>0</v>
      </c>
      <c r="X29" s="270"/>
      <c r="Y29" s="268">
        <f t="shared" si="14"/>
        <v>0</v>
      </c>
      <c r="Z29" s="229">
        <f t="shared" si="10"/>
        <v>0</v>
      </c>
      <c r="AA29" s="270"/>
      <c r="AB29" s="268">
        <f t="shared" si="15"/>
        <v>0</v>
      </c>
      <c r="AC29" s="229">
        <f t="shared" si="11"/>
        <v>0</v>
      </c>
      <c r="AD29" s="270"/>
      <c r="AE29" s="268">
        <f t="shared" si="16"/>
        <v>0</v>
      </c>
      <c r="AF29" s="93">
        <f t="shared" si="12"/>
        <v>0</v>
      </c>
      <c r="AG29" s="94">
        <f t="shared" si="13"/>
        <v>0</v>
      </c>
      <c r="AH29" s="94">
        <f t="shared" si="6"/>
        <v>0</v>
      </c>
      <c r="AI29" s="95">
        <f t="shared" si="7"/>
        <v>0</v>
      </c>
      <c r="AJ29" s="236">
        <f t="shared" si="1"/>
        <v>0</v>
      </c>
      <c r="AM29" s="660"/>
    </row>
    <row r="30" spans="1:39" ht="33.4" hidden="1" customHeight="1" x14ac:dyDescent="0.25">
      <c r="A30" s="99"/>
      <c r="B30" s="206"/>
      <c r="C30" s="54"/>
      <c r="D30" s="200"/>
      <c r="E30" s="202"/>
      <c r="F30" s="202"/>
      <c r="G30" s="62">
        <f t="shared" ref="G30:G33" si="18">+D30+E30-F30</f>
        <v>0</v>
      </c>
      <c r="H30" s="75"/>
      <c r="I30" s="477"/>
      <c r="J30" s="38">
        <f>+SUMIF(秏料!$B$3:$B$133,$A30,秏料!$F$3:$F$133)</f>
        <v>0</v>
      </c>
      <c r="K30" s="78"/>
      <c r="L30" s="472"/>
      <c r="M30" s="39">
        <f>+SUMIF(秏料!$B$3:$B$133,$A30,秏料!$H$3:$H$133)</f>
        <v>0</v>
      </c>
      <c r="N30" s="71"/>
      <c r="O30" s="472"/>
      <c r="P30" s="39">
        <f>+SUMIF(秏料!$B$3:$B$133,$A30,秏料!$J$3:$J$133)</f>
        <v>0</v>
      </c>
      <c r="Q30" s="84"/>
      <c r="R30" s="84"/>
      <c r="S30" s="50">
        <f>+SUMIF(秏料!$B$3:$B$133,$A30,秏料!$L$3:$L$133)</f>
        <v>0</v>
      </c>
      <c r="T30" s="227">
        <f t="shared" si="8"/>
        <v>0</v>
      </c>
      <c r="U30" s="273"/>
      <c r="V30" s="268">
        <f t="shared" si="17"/>
        <v>0</v>
      </c>
      <c r="W30" s="229">
        <f t="shared" si="9"/>
        <v>0</v>
      </c>
      <c r="X30" s="270"/>
      <c r="Y30" s="268">
        <f t="shared" si="14"/>
        <v>0</v>
      </c>
      <c r="Z30" s="229">
        <f t="shared" si="10"/>
        <v>0</v>
      </c>
      <c r="AA30" s="270"/>
      <c r="AB30" s="268">
        <f t="shared" si="15"/>
        <v>0</v>
      </c>
      <c r="AC30" s="229">
        <f t="shared" si="11"/>
        <v>0</v>
      </c>
      <c r="AD30" s="270"/>
      <c r="AE30" s="268">
        <f t="shared" si="16"/>
        <v>0</v>
      </c>
      <c r="AF30" s="93">
        <f t="shared" si="12"/>
        <v>0</v>
      </c>
      <c r="AG30" s="94">
        <f t="shared" si="13"/>
        <v>0</v>
      </c>
      <c r="AH30" s="94">
        <f t="shared" si="6"/>
        <v>0</v>
      </c>
      <c r="AI30" s="95">
        <f t="shared" si="7"/>
        <v>0</v>
      </c>
      <c r="AJ30" s="236">
        <f t="shared" si="1"/>
        <v>0</v>
      </c>
      <c r="AM30" s="660"/>
    </row>
    <row r="31" spans="1:39" ht="33.4" hidden="1" customHeight="1" x14ac:dyDescent="0.25">
      <c r="A31" s="97"/>
      <c r="B31" s="209"/>
      <c r="C31" s="40"/>
      <c r="D31" s="190"/>
      <c r="E31" s="191"/>
      <c r="F31" s="191"/>
      <c r="G31" s="65">
        <f t="shared" si="18"/>
        <v>0</v>
      </c>
      <c r="H31" s="74"/>
      <c r="I31" s="476"/>
      <c r="J31" s="41">
        <f>+SUMIF(秏料!$B$3:$B$133,$A31,秏料!$F$3:$F$133)</f>
        <v>0</v>
      </c>
      <c r="K31" s="77"/>
      <c r="L31" s="481"/>
      <c r="M31" s="42">
        <f>+SUMIF(秏料!$B$3:$B$133,$A31,秏料!$H$3:$H$133)</f>
        <v>0</v>
      </c>
      <c r="N31" s="72"/>
      <c r="O31" s="481"/>
      <c r="P31" s="42">
        <f>+SUMIF(秏料!$B$3:$B$133,$A31,秏料!$J$3:$J$133)</f>
        <v>0</v>
      </c>
      <c r="Q31" s="83"/>
      <c r="R31" s="83"/>
      <c r="S31" s="47">
        <f>+SUMIF(秏料!$B$3:$B$133,$A31,秏料!$L$3:$L$133)</f>
        <v>0</v>
      </c>
      <c r="T31" s="227">
        <f t="shared" si="8"/>
        <v>0</v>
      </c>
      <c r="U31" s="273"/>
      <c r="V31" s="268">
        <f t="shared" si="17"/>
        <v>0</v>
      </c>
      <c r="W31" s="229">
        <f t="shared" si="9"/>
        <v>0</v>
      </c>
      <c r="X31" s="270"/>
      <c r="Y31" s="268">
        <f t="shared" si="14"/>
        <v>0</v>
      </c>
      <c r="Z31" s="229">
        <f t="shared" si="10"/>
        <v>0</v>
      </c>
      <c r="AA31" s="270"/>
      <c r="AB31" s="268">
        <f t="shared" si="15"/>
        <v>0</v>
      </c>
      <c r="AC31" s="229">
        <f t="shared" si="11"/>
        <v>0</v>
      </c>
      <c r="AD31" s="270"/>
      <c r="AE31" s="268">
        <f t="shared" si="16"/>
        <v>0</v>
      </c>
      <c r="AF31" s="93">
        <f t="shared" si="12"/>
        <v>0</v>
      </c>
      <c r="AG31" s="94">
        <f t="shared" si="13"/>
        <v>0</v>
      </c>
      <c r="AH31" s="94">
        <f t="shared" si="6"/>
        <v>0</v>
      </c>
      <c r="AI31" s="95">
        <f t="shared" si="7"/>
        <v>0</v>
      </c>
      <c r="AJ31" s="236">
        <f t="shared" si="1"/>
        <v>0</v>
      </c>
      <c r="AM31" s="660"/>
    </row>
    <row r="32" spans="1:39" ht="33.4" hidden="1" customHeight="1" x14ac:dyDescent="0.25">
      <c r="A32" s="99"/>
      <c r="B32" s="206"/>
      <c r="C32" s="37"/>
      <c r="D32" s="203"/>
      <c r="E32" s="194"/>
      <c r="F32" s="194"/>
      <c r="G32" s="62">
        <f t="shared" si="18"/>
        <v>0</v>
      </c>
      <c r="H32" s="75"/>
      <c r="I32" s="477"/>
      <c r="J32" s="38">
        <f>+SUMIF(秏料!$B$3:$B$133,$A32,秏料!$F$3:$F$133)</f>
        <v>0</v>
      </c>
      <c r="K32" s="78"/>
      <c r="L32" s="472"/>
      <c r="M32" s="39">
        <f>+SUMIF(秏料!$B$3:$B$133,$A32,秏料!$H$3:$H$133)</f>
        <v>0</v>
      </c>
      <c r="N32" s="71"/>
      <c r="O32" s="472"/>
      <c r="P32" s="39">
        <f>+SUMIF(秏料!$B$3:$B$133,$A32,秏料!$J$3:$J$133)</f>
        <v>0</v>
      </c>
      <c r="Q32" s="84"/>
      <c r="R32" s="84"/>
      <c r="S32" s="50">
        <f>+SUMIF(秏料!$B$3:$B$133,$A32,秏料!$L$3:$L$133)</f>
        <v>0</v>
      </c>
      <c r="T32" s="227">
        <f t="shared" si="8"/>
        <v>0</v>
      </c>
      <c r="U32" s="273"/>
      <c r="V32" s="268">
        <f t="shared" si="17"/>
        <v>0</v>
      </c>
      <c r="W32" s="229">
        <f t="shared" si="9"/>
        <v>0</v>
      </c>
      <c r="X32" s="270"/>
      <c r="Y32" s="268">
        <f t="shared" si="14"/>
        <v>0</v>
      </c>
      <c r="Z32" s="229">
        <f t="shared" si="10"/>
        <v>0</v>
      </c>
      <c r="AA32" s="270"/>
      <c r="AB32" s="268">
        <f t="shared" si="15"/>
        <v>0</v>
      </c>
      <c r="AC32" s="229">
        <f t="shared" si="11"/>
        <v>0</v>
      </c>
      <c r="AD32" s="270"/>
      <c r="AE32" s="268">
        <f t="shared" si="16"/>
        <v>0</v>
      </c>
      <c r="AF32" s="93">
        <f t="shared" si="12"/>
        <v>0</v>
      </c>
      <c r="AG32" s="94">
        <f t="shared" si="13"/>
        <v>0</v>
      </c>
      <c r="AH32" s="94">
        <f t="shared" si="6"/>
        <v>0</v>
      </c>
      <c r="AI32" s="95">
        <f t="shared" si="7"/>
        <v>0</v>
      </c>
      <c r="AJ32" s="236">
        <f t="shared" si="1"/>
        <v>0</v>
      </c>
      <c r="AM32" s="660"/>
    </row>
    <row r="33" spans="1:39" ht="33.4" hidden="1" customHeight="1" thickBot="1" x14ac:dyDescent="0.3">
      <c r="A33" s="102"/>
      <c r="B33" s="214"/>
      <c r="C33" s="37"/>
      <c r="D33" s="203"/>
      <c r="E33" s="194"/>
      <c r="F33" s="194"/>
      <c r="G33" s="62">
        <f t="shared" si="18"/>
        <v>0</v>
      </c>
      <c r="H33" s="73"/>
      <c r="I33" s="479"/>
      <c r="J33" s="44">
        <f>+SUMIF(秏料!$B$3:$B$133,$A33,秏料!$F$3:$F$133)</f>
        <v>0</v>
      </c>
      <c r="K33" s="76"/>
      <c r="L33" s="480"/>
      <c r="M33" s="45">
        <f>+SUMIF(秏料!$B$3:$B$133,$A33,秏料!$H$3:$H$133)</f>
        <v>0</v>
      </c>
      <c r="N33" s="79"/>
      <c r="O33" s="480"/>
      <c r="P33" s="45">
        <f>+SUMIF(秏料!$B$3:$B$133,$A33,秏料!$J$3:$J$133)</f>
        <v>0</v>
      </c>
      <c r="Q33" s="82"/>
      <c r="R33" s="82"/>
      <c r="S33" s="46">
        <f>+SUMIF(秏料!$B$3:$B$133,$A33,秏料!$L$3:$L$133)</f>
        <v>0</v>
      </c>
      <c r="T33" s="227">
        <f t="shared" si="8"/>
        <v>0</v>
      </c>
      <c r="U33" s="273"/>
      <c r="V33" s="268">
        <f t="shared" si="17"/>
        <v>0</v>
      </c>
      <c r="W33" s="229">
        <f t="shared" si="9"/>
        <v>0</v>
      </c>
      <c r="X33" s="270"/>
      <c r="Y33" s="268">
        <f>+K33+M33</f>
        <v>0</v>
      </c>
      <c r="Z33" s="229">
        <f t="shared" si="10"/>
        <v>0</v>
      </c>
      <c r="AA33" s="270"/>
      <c r="AB33" s="268">
        <f t="shared" si="15"/>
        <v>0</v>
      </c>
      <c r="AC33" s="229">
        <f t="shared" si="11"/>
        <v>0</v>
      </c>
      <c r="AD33" s="270"/>
      <c r="AE33" s="268">
        <f t="shared" si="16"/>
        <v>0</v>
      </c>
      <c r="AF33" s="93">
        <f t="shared" si="12"/>
        <v>0</v>
      </c>
      <c r="AG33" s="94">
        <f t="shared" si="13"/>
        <v>0</v>
      </c>
      <c r="AH33" s="94">
        <f t="shared" si="6"/>
        <v>0</v>
      </c>
      <c r="AI33" s="95">
        <f t="shared" si="7"/>
        <v>0</v>
      </c>
      <c r="AJ33" s="236">
        <f t="shared" si="1"/>
        <v>0</v>
      </c>
      <c r="AM33" s="660"/>
    </row>
    <row r="34" spans="1:39" ht="33.4" customHeight="1" thickTop="1" x14ac:dyDescent="0.25">
      <c r="A34" s="1004" t="str">
        <f>精餾產銷!A59</f>
        <v>原料品名</v>
      </c>
      <c r="B34" s="215">
        <f>精餾產銷!B59</f>
        <v>0</v>
      </c>
      <c r="C34" s="1044" t="str">
        <f>精餾產銷!C59</f>
        <v>儲槽
容量
(MT)</v>
      </c>
      <c r="D34" s="184">
        <f>精餾產銷!D59</f>
        <v>0</v>
      </c>
      <c r="E34" s="185">
        <f>精餾產銷!E59</f>
        <v>0</v>
      </c>
      <c r="F34" s="185">
        <f>精餾產銷!F59</f>
        <v>0</v>
      </c>
      <c r="G34" s="1010">
        <f>精餾產銷!G59</f>
        <v>46258</v>
      </c>
      <c r="H34" s="1012" t="str">
        <f>精餾產銷!H59</f>
        <v>銷售</v>
      </c>
      <c r="I34" s="1013"/>
      <c r="J34" s="1013"/>
      <c r="K34" s="1013"/>
      <c r="L34" s="1013"/>
      <c r="M34" s="1013"/>
      <c r="N34" s="1013"/>
      <c r="O34" s="1013"/>
      <c r="P34" s="1013"/>
      <c r="Q34" s="1013"/>
      <c r="R34" s="1013"/>
      <c r="S34" s="1014"/>
      <c r="T34" s="1017" t="str">
        <f>精餾產銷!P59</f>
        <v>耗用量</v>
      </c>
      <c r="U34" s="1018"/>
      <c r="V34" s="1018"/>
      <c r="W34" s="1018"/>
      <c r="X34" s="1020" t="str">
        <f>精餾產銷!T59</f>
        <v>進貨</v>
      </c>
      <c r="Y34" s="1021"/>
      <c r="Z34" s="1021"/>
      <c r="AA34" s="1022"/>
      <c r="AB34" s="1021" t="str">
        <f>精餾產銷!X59</f>
        <v>其他入庫</v>
      </c>
      <c r="AC34" s="1021"/>
      <c r="AD34" s="1021"/>
      <c r="AE34" s="1022"/>
      <c r="AF34" s="1017" t="str">
        <f>精餾產銷!AB59</f>
        <v>庫存</v>
      </c>
      <c r="AG34" s="1018"/>
      <c r="AH34" s="1018"/>
      <c r="AI34" s="1023"/>
      <c r="AJ34" s="236">
        <f t="shared" si="1"/>
        <v>1</v>
      </c>
      <c r="AM34" s="660"/>
    </row>
    <row r="35" spans="1:39" ht="33.4" customHeight="1" thickBot="1" x14ac:dyDescent="0.3">
      <c r="A35" s="1043"/>
      <c r="B35" s="216">
        <f>精餾產銷!B60</f>
        <v>0</v>
      </c>
      <c r="C35" s="1045"/>
      <c r="D35" s="186">
        <f>精餾產銷!D60</f>
        <v>0</v>
      </c>
      <c r="E35" s="187">
        <f>精餾產銷!E60</f>
        <v>0</v>
      </c>
      <c r="F35" s="187">
        <f>精餾產銷!F60</f>
        <v>0</v>
      </c>
      <c r="G35" s="1075"/>
      <c r="H35" s="1076" t="str">
        <f>精餾產銷!H60</f>
        <v>08/24~08/31</v>
      </c>
      <c r="I35" s="1077"/>
      <c r="J35" s="1077"/>
      <c r="K35" s="1076">
        <f>精餾產銷!J60</f>
        <v>46295</v>
      </c>
      <c r="L35" s="1077"/>
      <c r="M35" s="1078"/>
      <c r="N35" s="1076">
        <f>精餾產銷!L60</f>
        <v>46326</v>
      </c>
      <c r="O35" s="1077"/>
      <c r="P35" s="1078"/>
      <c r="Q35" s="1076">
        <f>精餾產銷!N60</f>
        <v>46356</v>
      </c>
      <c r="R35" s="1077"/>
      <c r="S35" s="1078"/>
      <c r="T35" s="301" t="str">
        <f>精餾產銷!P60</f>
        <v>24~31</v>
      </c>
      <c r="U35" s="302">
        <f>精餾產銷!Q60</f>
        <v>46295</v>
      </c>
      <c r="V35" s="303">
        <f>精餾產銷!R60</f>
        <v>46326</v>
      </c>
      <c r="W35" s="303">
        <f>精餾產銷!S60</f>
        <v>46356</v>
      </c>
      <c r="X35" s="322" t="str">
        <f>精餾產銷!T60</f>
        <v>24~31</v>
      </c>
      <c r="Y35" s="302">
        <f>精餾產銷!U60</f>
        <v>46295</v>
      </c>
      <c r="Z35" s="303">
        <f>精餾產銷!V60</f>
        <v>46326</v>
      </c>
      <c r="AA35" s="321">
        <f>精餾產銷!W60</f>
        <v>46356</v>
      </c>
      <c r="AB35" s="301" t="str">
        <f>精餾產銷!X60</f>
        <v>24~31</v>
      </c>
      <c r="AC35" s="302">
        <f>精餾產銷!Y60</f>
        <v>46295</v>
      </c>
      <c r="AD35" s="303">
        <f>精餾產銷!Z60</f>
        <v>46326</v>
      </c>
      <c r="AE35" s="321">
        <f>精餾產銷!AA60</f>
        <v>46356</v>
      </c>
      <c r="AF35" s="305" t="str">
        <f>精餾產銷!AB60</f>
        <v>8/31</v>
      </c>
      <c r="AG35" s="306">
        <f>精餾產銷!AC60</f>
        <v>46295</v>
      </c>
      <c r="AH35" s="306">
        <f>精餾產銷!AD60</f>
        <v>46326</v>
      </c>
      <c r="AI35" s="307">
        <f>精餾產銷!AE60</f>
        <v>46356</v>
      </c>
      <c r="AJ35" s="236">
        <f t="shared" si="1"/>
        <v>1</v>
      </c>
      <c r="AM35" s="660"/>
    </row>
    <row r="36" spans="1:39" ht="33.4" customHeight="1" x14ac:dyDescent="0.25">
      <c r="A36" s="99" t="s">
        <v>170</v>
      </c>
      <c r="B36" s="194" t="s">
        <v>171</v>
      </c>
      <c r="C36" s="37">
        <f>42*8</f>
        <v>336</v>
      </c>
      <c r="D36" s="194">
        <f>47.5+36+38+25.7+0+7.9+0+37.8+31.5</f>
        <v>224.39999999999998</v>
      </c>
      <c r="E36" s="203"/>
      <c r="F36" s="203">
        <v>0</v>
      </c>
      <c r="G36" s="165">
        <f t="shared" ref="G36:G40" si="19">IF(+D36+E36-F36&lt;=0,0,+D36+E36-F36)</f>
        <v>224.39999999999998</v>
      </c>
      <c r="H36" s="106"/>
      <c r="I36" s="650"/>
      <c r="J36" s="38"/>
      <c r="K36" s="106"/>
      <c r="L36" s="650"/>
      <c r="M36" s="39"/>
      <c r="N36" s="106"/>
      <c r="O36" s="650"/>
      <c r="P36" s="39"/>
      <c r="Q36" s="106"/>
      <c r="R36" s="650"/>
      <c r="S36" s="39"/>
      <c r="T36" s="28">
        <f>+SUMIF(秏料!$B$3:$B$133,$A36,秏料!$F$3:$F$133)</f>
        <v>371</v>
      </c>
      <c r="U36" s="28">
        <f>+SUMIF(秏料!$B$3:$B$133,$A36,秏料!$H$3:$H$133)</f>
        <v>1590</v>
      </c>
      <c r="V36" s="28">
        <f>+SUMIF(秏料!$B$3:$B$133,$A36,秏料!$J$3:$J$133)</f>
        <v>1590</v>
      </c>
      <c r="W36" s="277">
        <f>+SUMIF(秏料!$B$3:$B$133,$A36,秏料!$L$3:$L$133)</f>
        <v>1590</v>
      </c>
      <c r="X36" s="278">
        <v>526</v>
      </c>
      <c r="Y36" s="332">
        <v>1600</v>
      </c>
      <c r="Z36" s="280">
        <v>1600</v>
      </c>
      <c r="AA36" s="91">
        <v>1600</v>
      </c>
      <c r="AB36" s="329"/>
      <c r="AC36" s="40"/>
      <c r="AD36" s="326"/>
      <c r="AE36" s="22"/>
      <c r="AF36" s="131">
        <f>+G36-SUM(H36:J36,T36)+SUM(X36,AB36)</f>
        <v>379.4</v>
      </c>
      <c r="AG36" s="132">
        <f t="shared" ref="AG36:AG71" si="20">+AF36-SUM(K36:M36,U36)+SUM(Y36,AC36)</f>
        <v>389.40000000000009</v>
      </c>
      <c r="AH36" s="132">
        <f t="shared" ref="AH36:AH71" si="21">+AG36-SUM(N36:P36,V36)+SUM(Z36,AD36)</f>
        <v>399.40000000000009</v>
      </c>
      <c r="AI36" s="133">
        <f t="shared" ref="AI36:AI71" si="22">+AH36-SUM(Q36:S36,W36)+SUM(AA36,AE36)</f>
        <v>409.40000000000009</v>
      </c>
      <c r="AJ36" s="236">
        <f t="shared" si="1"/>
        <v>1</v>
      </c>
      <c r="AM36" s="660"/>
    </row>
    <row r="37" spans="1:39" ht="33.4" customHeight="1" x14ac:dyDescent="0.25">
      <c r="A37" s="99" t="s">
        <v>172</v>
      </c>
      <c r="B37" s="194" t="s">
        <v>173</v>
      </c>
      <c r="C37" s="37">
        <v>100</v>
      </c>
      <c r="D37" s="203">
        <f>14.7+18.9</f>
        <v>33.599999999999994</v>
      </c>
      <c r="E37" s="203"/>
      <c r="F37" s="203">
        <v>0</v>
      </c>
      <c r="G37" s="62">
        <f t="shared" si="19"/>
        <v>33.599999999999994</v>
      </c>
      <c r="H37" s="106">
        <v>94</v>
      </c>
      <c r="I37" s="650"/>
      <c r="J37" s="38"/>
      <c r="K37" s="106">
        <v>350</v>
      </c>
      <c r="L37" s="650"/>
      <c r="M37" s="39"/>
      <c r="N37" s="106">
        <v>300</v>
      </c>
      <c r="O37" s="650"/>
      <c r="P37" s="39"/>
      <c r="Q37" s="106">
        <v>300</v>
      </c>
      <c r="R37" s="650"/>
      <c r="S37" s="39"/>
      <c r="T37" s="28">
        <f>+SUMIF(秏料!$B$3:$B$133,$A37,秏料!$F$3:$F$133)</f>
        <v>0</v>
      </c>
      <c r="U37" s="37">
        <f>+SUMIF(秏料!$B$3:$B$133,$A37,秏料!$H$3:$H$133)</f>
        <v>0</v>
      </c>
      <c r="V37" s="37">
        <f>+SUMIF(秏料!$B$3:$B$133,$A37,秏料!$J$3:$J$133)</f>
        <v>0</v>
      </c>
      <c r="W37" s="55">
        <f>+SUMIF(秏料!$B$3:$B$133,$A37,秏料!$L$3:$L$133)</f>
        <v>0</v>
      </c>
      <c r="X37" s="278">
        <v>105</v>
      </c>
      <c r="Y37" s="324">
        <v>350</v>
      </c>
      <c r="Z37" s="281">
        <v>350</v>
      </c>
      <c r="AA37" s="333">
        <v>350</v>
      </c>
      <c r="AB37" s="330"/>
      <c r="AC37" s="37"/>
      <c r="AD37" s="327"/>
      <c r="AE37" s="119"/>
      <c r="AF37" s="131">
        <f t="shared" ref="AF37:AF71" si="23">+G37-SUM(H37:J37,T37)+SUM(X37,AB37)</f>
        <v>44.599999999999994</v>
      </c>
      <c r="AG37" s="132">
        <f t="shared" si="20"/>
        <v>44.600000000000023</v>
      </c>
      <c r="AH37" s="132">
        <f t="shared" si="21"/>
        <v>94.600000000000023</v>
      </c>
      <c r="AI37" s="133">
        <f t="shared" si="22"/>
        <v>144.60000000000002</v>
      </c>
      <c r="AJ37" s="236">
        <f t="shared" si="1"/>
        <v>1</v>
      </c>
      <c r="AM37" s="660"/>
    </row>
    <row r="38" spans="1:39" hidden="1" x14ac:dyDescent="0.25">
      <c r="A38" s="99" t="s">
        <v>174</v>
      </c>
      <c r="B38" s="194"/>
      <c r="C38" s="37"/>
      <c r="D38" s="203"/>
      <c r="E38" s="190"/>
      <c r="F38" s="190"/>
      <c r="G38" s="65">
        <f t="shared" si="19"/>
        <v>0</v>
      </c>
      <c r="H38" s="106"/>
      <c r="I38" s="472"/>
      <c r="J38" s="38"/>
      <c r="K38" s="106"/>
      <c r="L38" s="650"/>
      <c r="M38" s="39"/>
      <c r="N38" s="106"/>
      <c r="O38" s="650"/>
      <c r="P38" s="39"/>
      <c r="Q38" s="106"/>
      <c r="R38" s="650"/>
      <c r="S38" s="39"/>
      <c r="T38" s="28">
        <f>+SUMIF(秏料!$B$3:$B$133,$A38,秏料!$F$3:$F$133)</f>
        <v>0</v>
      </c>
      <c r="U38" s="37">
        <f>+SUMIF(秏料!$B$3:$B$133,$A38,秏料!$H$3:$H$133)</f>
        <v>0</v>
      </c>
      <c r="V38" s="37">
        <f>+SUMIF(秏料!$B$3:$B$133,$A38,秏料!$J$3:$J$133)</f>
        <v>0</v>
      </c>
      <c r="W38" s="55">
        <f>+SUMIF(秏料!$B$3:$B$133,$A38,秏料!$L$3:$L$133)</f>
        <v>0</v>
      </c>
      <c r="X38" s="278"/>
      <c r="Y38" s="324"/>
      <c r="Z38" s="281"/>
      <c r="AA38" s="333"/>
      <c r="AB38" s="330"/>
      <c r="AC38" s="37"/>
      <c r="AD38" s="327"/>
      <c r="AE38" s="119"/>
      <c r="AF38" s="131">
        <f t="shared" si="23"/>
        <v>0</v>
      </c>
      <c r="AG38" s="132">
        <f t="shared" si="20"/>
        <v>0</v>
      </c>
      <c r="AH38" s="132">
        <f t="shared" si="21"/>
        <v>0</v>
      </c>
      <c r="AI38" s="133">
        <f t="shared" si="22"/>
        <v>0</v>
      </c>
      <c r="AJ38" s="236">
        <f t="shared" si="1"/>
        <v>0</v>
      </c>
      <c r="AM38" s="660"/>
    </row>
    <row r="39" spans="1:39" hidden="1" x14ac:dyDescent="0.25">
      <c r="A39" s="153"/>
      <c r="B39" s="191"/>
      <c r="C39" s="40"/>
      <c r="D39" s="195"/>
      <c r="E39" s="190"/>
      <c r="F39" s="190">
        <v>0</v>
      </c>
      <c r="G39" s="62">
        <f t="shared" si="19"/>
        <v>0</v>
      </c>
      <c r="H39" s="106"/>
      <c r="I39" s="472"/>
      <c r="J39" s="39"/>
      <c r="K39" s="106"/>
      <c r="L39" s="650"/>
      <c r="M39" s="39"/>
      <c r="N39" s="106"/>
      <c r="O39" s="650"/>
      <c r="P39" s="39"/>
      <c r="Q39" s="106"/>
      <c r="R39" s="650"/>
      <c r="S39" s="39"/>
      <c r="T39" s="28">
        <f>+SUMIF(秏料!$B$3:$B$133,$A39,秏料!$F$3:$F$133)</f>
        <v>0</v>
      </c>
      <c r="U39" s="37">
        <f>+SUMIF(秏料!$B$3:$B$133,$A39,秏料!$H$3:$H$133)</f>
        <v>0</v>
      </c>
      <c r="V39" s="37">
        <f>+SUMIF(秏料!$B$3:$B$133,$A39,秏料!$J$3:$J$133)</f>
        <v>0</v>
      </c>
      <c r="W39" s="55">
        <f>+SUMIF(秏料!$B$3:$B$133,$A39,秏料!$L$3:$L$133)</f>
        <v>0</v>
      </c>
      <c r="X39" s="278"/>
      <c r="Y39" s="324"/>
      <c r="Z39" s="281"/>
      <c r="AA39" s="333"/>
      <c r="AB39" s="330"/>
      <c r="AC39" s="37"/>
      <c r="AD39" s="327"/>
      <c r="AE39" s="119"/>
      <c r="AF39" s="131">
        <f t="shared" si="23"/>
        <v>0</v>
      </c>
      <c r="AG39" s="132">
        <f t="shared" si="20"/>
        <v>0</v>
      </c>
      <c r="AH39" s="132">
        <f t="shared" si="21"/>
        <v>0</v>
      </c>
      <c r="AI39" s="133">
        <f t="shared" si="22"/>
        <v>0</v>
      </c>
      <c r="AJ39" s="236">
        <f t="shared" si="1"/>
        <v>0</v>
      </c>
      <c r="AM39" s="660"/>
    </row>
    <row r="40" spans="1:39" ht="18" hidden="1" thickBot="1" x14ac:dyDescent="0.3">
      <c r="A40" s="99" t="s">
        <v>175</v>
      </c>
      <c r="B40" s="194"/>
      <c r="C40" s="37">
        <v>33</v>
      </c>
      <c r="D40" s="220"/>
      <c r="E40" s="195"/>
      <c r="F40" s="195"/>
      <c r="G40" s="62">
        <f t="shared" si="19"/>
        <v>0</v>
      </c>
      <c r="H40" s="106"/>
      <c r="I40" s="472"/>
      <c r="J40" s="38"/>
      <c r="K40" s="106"/>
      <c r="L40" s="651"/>
      <c r="M40" s="39"/>
      <c r="N40" s="106"/>
      <c r="O40" s="651"/>
      <c r="P40" s="39"/>
      <c r="Q40" s="106"/>
      <c r="R40" s="651"/>
      <c r="S40" s="39"/>
      <c r="T40" s="28">
        <f>+SUMIF(秏料!$B$3:$B$133,$A40,秏料!$F$3:$F$133)</f>
        <v>0</v>
      </c>
      <c r="U40" s="37">
        <f>+SUMIF(秏料!$B$3:$B$133,$A40,秏料!$H$3:$H$133)</f>
        <v>0</v>
      </c>
      <c r="V40" s="37">
        <f>+SUMIF(秏料!$B$3:$B$133,$A40,秏料!$J$3:$J$133)</f>
        <v>0</v>
      </c>
      <c r="W40" s="55">
        <f>+SUMIF(秏料!$B$3:$B$133,$A40,秏料!$L$3:$L$133)</f>
        <v>0</v>
      </c>
      <c r="X40" s="278"/>
      <c r="Y40" s="324"/>
      <c r="Z40" s="281"/>
      <c r="AA40" s="333"/>
      <c r="AB40" s="330"/>
      <c r="AC40" s="37"/>
      <c r="AD40" s="327"/>
      <c r="AE40" s="119"/>
      <c r="AF40" s="131">
        <f t="shared" si="23"/>
        <v>0</v>
      </c>
      <c r="AG40" s="132">
        <f t="shared" si="20"/>
        <v>0</v>
      </c>
      <c r="AH40" s="132">
        <f t="shared" si="21"/>
        <v>0</v>
      </c>
      <c r="AI40" s="133">
        <f t="shared" si="22"/>
        <v>0</v>
      </c>
      <c r="AJ40" s="236">
        <f t="shared" si="1"/>
        <v>0</v>
      </c>
      <c r="AM40" s="660"/>
    </row>
    <row r="41" spans="1:39" ht="33.4" customHeight="1" x14ac:dyDescent="0.25">
      <c r="A41" s="99" t="s">
        <v>176</v>
      </c>
      <c r="B41" s="194" t="s">
        <v>177</v>
      </c>
      <c r="C41" s="37">
        <v>45</v>
      </c>
      <c r="D41" s="203">
        <v>0</v>
      </c>
      <c r="E41" s="203"/>
      <c r="F41" s="203">
        <v>0</v>
      </c>
      <c r="G41" s="65">
        <v>0</v>
      </c>
      <c r="H41" s="106"/>
      <c r="I41" s="650"/>
      <c r="J41" s="38"/>
      <c r="K41" s="106"/>
      <c r="L41" s="650"/>
      <c r="M41" s="39"/>
      <c r="N41" s="106"/>
      <c r="O41" s="650"/>
      <c r="P41" s="39"/>
      <c r="Q41" s="106"/>
      <c r="R41" s="650"/>
      <c r="S41" s="39"/>
      <c r="T41" s="28">
        <f>V8*1.1</f>
        <v>0</v>
      </c>
      <c r="U41" s="28">
        <f>Y8*1.1</f>
        <v>0</v>
      </c>
      <c r="V41" s="28">
        <f>AB8*1.1</f>
        <v>38.5</v>
      </c>
      <c r="W41" s="277">
        <f>AE8*1.1</f>
        <v>0</v>
      </c>
      <c r="X41" s="278">
        <v>100</v>
      </c>
      <c r="Y41" s="921">
        <v>0</v>
      </c>
      <c r="Z41" s="281"/>
      <c r="AA41" s="922"/>
      <c r="AB41" s="330"/>
      <c r="AC41" s="37"/>
      <c r="AD41" s="327"/>
      <c r="AE41" s="119"/>
      <c r="AF41" s="131">
        <f>+G41-SUM(H41:J41,T41)+SUM(X41,AB41)</f>
        <v>100</v>
      </c>
      <c r="AG41" s="132">
        <f t="shared" si="20"/>
        <v>100</v>
      </c>
      <c r="AH41" s="132">
        <f t="shared" si="21"/>
        <v>61.5</v>
      </c>
      <c r="AI41" s="133">
        <f>+AH41-SUM(Q41:S41,W41)+SUM(AA41,AE41)</f>
        <v>61.5</v>
      </c>
      <c r="AJ41" s="236">
        <f t="shared" si="1"/>
        <v>1</v>
      </c>
      <c r="AM41" s="660"/>
    </row>
    <row r="42" spans="1:39" ht="33.4" customHeight="1" x14ac:dyDescent="0.25">
      <c r="A42" s="99" t="s">
        <v>178</v>
      </c>
      <c r="B42" s="194" t="s">
        <v>179</v>
      </c>
      <c r="C42" s="37">
        <v>46</v>
      </c>
      <c r="D42" s="933">
        <v>30</v>
      </c>
      <c r="E42" s="195"/>
      <c r="F42" s="195">
        <v>0</v>
      </c>
      <c r="G42" s="62">
        <f>IF(+D42+E42-F42&lt;=0,0,+D42+E75-F42)</f>
        <v>30</v>
      </c>
      <c r="H42" s="106"/>
      <c r="I42" s="650"/>
      <c r="J42" s="38"/>
      <c r="K42" s="106"/>
      <c r="L42" s="650"/>
      <c r="M42" s="39"/>
      <c r="N42" s="106"/>
      <c r="O42" s="650"/>
      <c r="P42" s="39"/>
      <c r="Q42" s="106"/>
      <c r="R42" s="650"/>
      <c r="S42" s="39"/>
      <c r="T42" s="28">
        <f>+SUMIF(秏料!$B$3:$B$133,$A42,秏料!$F$3:$F$133)</f>
        <v>0</v>
      </c>
      <c r="U42" s="28">
        <f>+SUMIF(秏料!$B$3:$B$133,$A42,秏料!$H$3:$H$133)</f>
        <v>89</v>
      </c>
      <c r="V42" s="28">
        <f>+SUMIF(秏料!$B$3:$B$133,$A42,秏料!$J$3:$J$133)</f>
        <v>67</v>
      </c>
      <c r="W42" s="277">
        <f>SUMIF(秏料!$B$3:$B$133,$A42,秏料!$L$3:$L$133)</f>
        <v>0</v>
      </c>
      <c r="X42" s="278"/>
      <c r="Y42" s="324">
        <v>115</v>
      </c>
      <c r="Z42" s="281">
        <v>46</v>
      </c>
      <c r="AA42" s="333">
        <v>0</v>
      </c>
      <c r="AB42" s="330"/>
      <c r="AC42" s="37"/>
      <c r="AD42" s="327"/>
      <c r="AE42" s="119"/>
      <c r="AF42" s="131">
        <f>+G42-SUM(H42:J42,T42)+SUM(X42,AB42)</f>
        <v>30</v>
      </c>
      <c r="AG42" s="132">
        <f t="shared" si="20"/>
        <v>56</v>
      </c>
      <c r="AH42" s="132">
        <f>+AG42-SUM(N42:P42,V42)+SUM(Z42,AD42)</f>
        <v>35</v>
      </c>
      <c r="AI42" s="133">
        <f>+AH42-SUM(Q42:S42,W42)+SUM(AA42,AE42)</f>
        <v>35</v>
      </c>
      <c r="AJ42" s="236">
        <f t="shared" si="1"/>
        <v>1</v>
      </c>
      <c r="AM42" s="660"/>
    </row>
    <row r="43" spans="1:39" ht="28.5" hidden="1" customHeight="1" thickBot="1" x14ac:dyDescent="0.3">
      <c r="A43" s="180" t="s">
        <v>180</v>
      </c>
      <c r="B43" s="194" t="s">
        <v>181</v>
      </c>
      <c r="C43" s="53">
        <v>41</v>
      </c>
      <c r="D43" s="220"/>
      <c r="E43" s="203"/>
      <c r="F43" s="194"/>
      <c r="G43" s="181">
        <f t="shared" ref="G43" si="24">+D43+E43-F43</f>
        <v>0</v>
      </c>
      <c r="H43" s="106"/>
      <c r="I43" s="472"/>
      <c r="J43" s="38"/>
      <c r="K43" s="106"/>
      <c r="L43" s="650"/>
      <c r="M43" s="39"/>
      <c r="N43" s="106"/>
      <c r="O43" s="650"/>
      <c r="P43" s="39"/>
      <c r="Q43" s="106"/>
      <c r="R43" s="650"/>
      <c r="S43" s="39"/>
      <c r="T43" s="28">
        <f>+SUMIF(秏料!$B$3:$B$133,$A43,秏料!$F$3:$F$133)</f>
        <v>0</v>
      </c>
      <c r="U43" s="28">
        <f>+SUMIF(秏料!$B$3:$B$133,$A43,秏料!$H$3:$H$133)</f>
        <v>0</v>
      </c>
      <c r="V43" s="28">
        <f>+SUMIF(秏料!$B$3:$B$133,$A43,秏料!$J$3:$J$133)</f>
        <v>0</v>
      </c>
      <c r="W43" s="277">
        <f>+SUMIF(秏料!$B$3:$B$133,$A43,秏料!$L$3:$L$133)</f>
        <v>0</v>
      </c>
      <c r="X43" s="278"/>
      <c r="Y43" s="324"/>
      <c r="Z43" s="281"/>
      <c r="AA43" s="333"/>
      <c r="AB43" s="330"/>
      <c r="AC43" s="37"/>
      <c r="AD43" s="327"/>
      <c r="AE43" s="119"/>
      <c r="AF43" s="131">
        <f t="shared" si="23"/>
        <v>0</v>
      </c>
      <c r="AG43" s="132">
        <f t="shared" si="20"/>
        <v>0</v>
      </c>
      <c r="AH43" s="132">
        <f t="shared" si="21"/>
        <v>0</v>
      </c>
      <c r="AI43" s="133">
        <f t="shared" si="22"/>
        <v>0</v>
      </c>
      <c r="AJ43" s="236">
        <f t="shared" si="1"/>
        <v>0</v>
      </c>
      <c r="AM43" s="660"/>
    </row>
    <row r="44" spans="1:39" ht="33.4" customHeight="1" thickBot="1" x14ac:dyDescent="0.3">
      <c r="A44" s="100" t="s">
        <v>182</v>
      </c>
      <c r="B44" s="199" t="s">
        <v>183</v>
      </c>
      <c r="C44" s="43">
        <v>74.8</v>
      </c>
      <c r="D44" s="220">
        <f>16+7</f>
        <v>23</v>
      </c>
      <c r="E44" s="220"/>
      <c r="F44" s="220"/>
      <c r="G44" s="66">
        <f>IF(+D44+E44-F44&lt;=0,0,+D44+E44-F44)</f>
        <v>23</v>
      </c>
      <c r="H44" s="107"/>
      <c r="I44" s="651"/>
      <c r="J44" s="44"/>
      <c r="K44" s="107"/>
      <c r="L44" s="651"/>
      <c r="M44" s="45"/>
      <c r="N44" s="107"/>
      <c r="O44" s="651"/>
      <c r="P44" s="45"/>
      <c r="Q44" s="107"/>
      <c r="R44" s="651"/>
      <c r="S44" s="45"/>
      <c r="T44" s="31">
        <f>+SUMIF(秏料!$B$3:$B$133,$A44,秏料!$F$3:$F$133)</f>
        <v>186</v>
      </c>
      <c r="U44" s="35">
        <f>+SUMIF(秏料!$B$3:$B$133,$A44,秏料!$H$3:$H$133)</f>
        <v>407</v>
      </c>
      <c r="V44" s="43">
        <f>+SUMIF(秏料!$B$3:$B$133,$A44,秏料!$J$3:$J$133)</f>
        <v>395</v>
      </c>
      <c r="W44" s="59">
        <f>+SUMIF(秏料!$B$3:$B$133,$A44,秏料!$L$3:$L$133)</f>
        <v>395</v>
      </c>
      <c r="X44" s="279">
        <v>50</v>
      </c>
      <c r="Y44" s="325">
        <v>400</v>
      </c>
      <c r="Z44" s="248">
        <v>400</v>
      </c>
      <c r="AA44" s="325">
        <v>400</v>
      </c>
      <c r="AB44" s="331"/>
      <c r="AC44" s="43"/>
      <c r="AD44" s="328"/>
      <c r="AE44" s="31"/>
      <c r="AF44" s="134">
        <f t="shared" si="23"/>
        <v>-113</v>
      </c>
      <c r="AG44" s="135">
        <f>+AF44-SUM(K44:M44,U44)+SUM(Y44,AC44)</f>
        <v>-120</v>
      </c>
      <c r="AH44" s="135">
        <f>+AG44-SUM(N44:P44,V44)+SUM(Z44,AD44)</f>
        <v>-115</v>
      </c>
      <c r="AI44" s="136">
        <f t="shared" si="22"/>
        <v>-110</v>
      </c>
      <c r="AJ44" s="236">
        <f t="shared" si="1"/>
        <v>1</v>
      </c>
      <c r="AM44" s="660"/>
    </row>
    <row r="45" spans="1:39" ht="18.600000000000001" hidden="1" customHeight="1" thickTop="1" thickBot="1" x14ac:dyDescent="0.3">
      <c r="A45" s="97"/>
      <c r="B45" s="191"/>
      <c r="C45" s="40"/>
      <c r="D45" s="190"/>
      <c r="E45" s="191"/>
      <c r="F45" s="191"/>
      <c r="G45" s="240">
        <f t="shared" ref="G45:G50" si="25">IF(+D45+E45-F45&lt;=0,0,+D45+E45-F45)</f>
        <v>0</v>
      </c>
      <c r="H45" s="152"/>
      <c r="I45" s="481"/>
      <c r="J45" s="41"/>
      <c r="K45" s="152"/>
      <c r="L45" s="667"/>
      <c r="M45" s="42"/>
      <c r="N45" s="152"/>
      <c r="O45" s="667"/>
      <c r="P45" s="42"/>
      <c r="Q45" s="152"/>
      <c r="R45" s="667"/>
      <c r="S45" s="42"/>
      <c r="T45" s="18">
        <f>+SUMIF(秏料!$B$3:$B$133,$A45,秏料!$F$3:$F$133)</f>
        <v>0</v>
      </c>
      <c r="U45" s="40">
        <f>+SUMIF(秏料!$B$3:$B$133,$A45,秏料!$H$3:$H$133)</f>
        <v>0</v>
      </c>
      <c r="V45" s="40">
        <f>+SUMIF(秏料!$B$3:$B$133,$A45,秏料!$J$3:$J$133)</f>
        <v>0</v>
      </c>
      <c r="W45" s="57">
        <f>+SUMIF(秏料!$B$3:$B$133,$A45,秏料!$L$3:$L$133)</f>
        <v>0</v>
      </c>
      <c r="X45" s="286"/>
      <c r="Y45" s="323"/>
      <c r="Z45" s="287"/>
      <c r="AA45" s="91"/>
      <c r="AB45" s="341"/>
      <c r="AC45" s="40"/>
      <c r="AD45" s="342"/>
      <c r="AE45" s="22"/>
      <c r="AF45" s="147">
        <f t="shared" si="23"/>
        <v>0</v>
      </c>
      <c r="AG45" s="148">
        <f t="shared" si="20"/>
        <v>0</v>
      </c>
      <c r="AH45" s="148">
        <f t="shared" si="21"/>
        <v>0</v>
      </c>
      <c r="AI45" s="149">
        <f t="shared" si="22"/>
        <v>0</v>
      </c>
      <c r="AJ45" s="236">
        <f t="shared" si="1"/>
        <v>0</v>
      </c>
      <c r="AM45" s="660"/>
    </row>
    <row r="46" spans="1:39" ht="17.850000000000001" hidden="1" customHeight="1" thickTop="1" x14ac:dyDescent="0.25">
      <c r="A46" s="99"/>
      <c r="B46" s="194"/>
      <c r="C46" s="37"/>
      <c r="D46" s="188"/>
      <c r="E46" s="194"/>
      <c r="F46" s="194"/>
      <c r="G46" s="62">
        <f t="shared" si="25"/>
        <v>0</v>
      </c>
      <c r="H46" s="106"/>
      <c r="I46" s="472"/>
      <c r="J46" s="39"/>
      <c r="K46" s="106"/>
      <c r="L46" s="472"/>
      <c r="M46" s="39"/>
      <c r="N46" s="106"/>
      <c r="O46" s="472"/>
      <c r="P46" s="39"/>
      <c r="Q46" s="106"/>
      <c r="R46" s="472"/>
      <c r="S46" s="39"/>
      <c r="T46" s="28">
        <f>+SUMIF(秏料!$B$3:$B$133,$A46,秏料!$F$3:$F$133)</f>
        <v>0</v>
      </c>
      <c r="U46" s="37">
        <f>+SUMIF(秏料!$B$3:$B$133,$A46,秏料!$H$3:$H$133)</f>
        <v>0</v>
      </c>
      <c r="V46" s="37">
        <f>+SUMIF(秏料!$B$3:$B$133,$A46,秏料!$J$3:$J$133)</f>
        <v>0</v>
      </c>
      <c r="W46" s="55">
        <f>+SUMIF(秏料!$B$3:$B$133,$A46,秏料!$L$3:$L$133)</f>
        <v>0</v>
      </c>
      <c r="X46" s="278"/>
      <c r="Y46" s="324"/>
      <c r="Z46" s="281"/>
      <c r="AA46" s="333"/>
      <c r="AB46" s="330"/>
      <c r="AC46" s="37"/>
      <c r="AD46" s="327"/>
      <c r="AE46" s="119"/>
      <c r="AF46" s="131">
        <f t="shared" si="23"/>
        <v>0</v>
      </c>
      <c r="AG46" s="132">
        <f t="shared" si="20"/>
        <v>0</v>
      </c>
      <c r="AH46" s="182">
        <f t="shared" si="21"/>
        <v>0</v>
      </c>
      <c r="AI46" s="133">
        <f t="shared" si="22"/>
        <v>0</v>
      </c>
      <c r="AJ46" s="236">
        <f t="shared" si="1"/>
        <v>0</v>
      </c>
      <c r="AM46" s="660"/>
    </row>
    <row r="47" spans="1:39" ht="17.850000000000001" hidden="1" customHeight="1" x14ac:dyDescent="0.25">
      <c r="A47" s="99"/>
      <c r="B47" s="194"/>
      <c r="C47" s="37"/>
      <c r="D47" s="203"/>
      <c r="E47" s="194"/>
      <c r="F47" s="194"/>
      <c r="G47" s="62">
        <v>0</v>
      </c>
      <c r="H47" s="106"/>
      <c r="I47" s="472"/>
      <c r="J47" s="38"/>
      <c r="K47" s="106"/>
      <c r="L47" s="472"/>
      <c r="M47" s="39"/>
      <c r="N47" s="106"/>
      <c r="O47" s="472"/>
      <c r="P47" s="39"/>
      <c r="Q47" s="106"/>
      <c r="R47" s="472"/>
      <c r="S47" s="39"/>
      <c r="T47" s="28">
        <f>+SUMIF(秏料!$B$3:$B$133,$A47,秏料!$F$3:$F$133)</f>
        <v>0</v>
      </c>
      <c r="U47" s="37">
        <f>+SUMIF(秏料!$B$3:$B$133,$A47,秏料!$H$3:$H$133)</f>
        <v>0</v>
      </c>
      <c r="V47" s="37">
        <f>+SUMIF(秏料!$B$3:$B$133,$A47,秏料!$J$3:$J$133)</f>
        <v>0</v>
      </c>
      <c r="W47" s="55">
        <f>+SUMIF(秏料!$B$3:$B$133,$A47,秏料!$L$3:$L$133)</f>
        <v>0</v>
      </c>
      <c r="X47" s="278"/>
      <c r="Y47" s="324"/>
      <c r="Z47" s="281"/>
      <c r="AA47" s="333"/>
      <c r="AB47" s="330"/>
      <c r="AC47" s="37"/>
      <c r="AD47" s="327"/>
      <c r="AE47" s="119"/>
      <c r="AF47" s="131">
        <f t="shared" si="23"/>
        <v>0</v>
      </c>
      <c r="AG47" s="132">
        <f t="shared" si="20"/>
        <v>0</v>
      </c>
      <c r="AH47" s="132">
        <f t="shared" si="21"/>
        <v>0</v>
      </c>
      <c r="AI47" s="133">
        <f t="shared" si="22"/>
        <v>0</v>
      </c>
      <c r="AJ47" s="236">
        <f t="shared" si="1"/>
        <v>0</v>
      </c>
      <c r="AM47" s="660"/>
    </row>
    <row r="48" spans="1:39" ht="17.850000000000001" hidden="1" customHeight="1" x14ac:dyDescent="0.25">
      <c r="A48" s="99"/>
      <c r="B48" s="194"/>
      <c r="C48" s="37"/>
      <c r="D48" s="203"/>
      <c r="E48" s="194"/>
      <c r="F48" s="194"/>
      <c r="G48" s="62">
        <f>IF(+D48+E48-F48&lt;=0,0,+D48+E48-F48)</f>
        <v>0</v>
      </c>
      <c r="H48" s="179"/>
      <c r="I48" s="482"/>
      <c r="J48" s="38"/>
      <c r="K48" s="106"/>
      <c r="L48" s="472"/>
      <c r="M48" s="39"/>
      <c r="N48" s="106"/>
      <c r="O48" s="472"/>
      <c r="P48" s="39"/>
      <c r="Q48" s="106"/>
      <c r="R48" s="472"/>
      <c r="S48" s="39"/>
      <c r="T48" s="28">
        <f>+SUMIF(秏料!$B$3:$B$133,$A48,秏料!$F$3:$F$133)</f>
        <v>0</v>
      </c>
      <c r="U48" s="37">
        <f>+SUMIF(秏料!$B$3:$B$133,$A48,秏料!$H$3:$H$133)</f>
        <v>0</v>
      </c>
      <c r="V48" s="37">
        <f>+SUMIF(秏料!$B$3:$B$133,$A48,秏料!$J$3:$J$133)</f>
        <v>0</v>
      </c>
      <c r="W48" s="55">
        <f>+SUMIF(秏料!$B$3:$B$133,$A48,秏料!$L$3:$L$133)</f>
        <v>0</v>
      </c>
      <c r="X48" s="278"/>
      <c r="Y48" s="324"/>
      <c r="Z48" s="281"/>
      <c r="AA48" s="333"/>
      <c r="AB48" s="330"/>
      <c r="AC48" s="37"/>
      <c r="AD48" s="327"/>
      <c r="AE48" s="28"/>
      <c r="AF48" s="137">
        <f t="shared" si="23"/>
        <v>0</v>
      </c>
      <c r="AG48" s="138">
        <f t="shared" si="20"/>
        <v>0</v>
      </c>
      <c r="AH48" s="138">
        <f t="shared" si="21"/>
        <v>0</v>
      </c>
      <c r="AI48" s="225">
        <f t="shared" si="22"/>
        <v>0</v>
      </c>
      <c r="AJ48" s="236">
        <f t="shared" si="1"/>
        <v>0</v>
      </c>
      <c r="AM48" s="660"/>
    </row>
    <row r="49" spans="1:39" ht="17.850000000000001" hidden="1" customHeight="1" x14ac:dyDescent="0.25">
      <c r="A49" s="99"/>
      <c r="B49" s="194"/>
      <c r="C49" s="37"/>
      <c r="D49" s="203"/>
      <c r="E49" s="194"/>
      <c r="F49" s="194"/>
      <c r="G49" s="108">
        <f t="shared" si="25"/>
        <v>0</v>
      </c>
      <c r="H49" s="106"/>
      <c r="I49" s="472"/>
      <c r="J49" s="38"/>
      <c r="K49" s="106"/>
      <c r="L49" s="472"/>
      <c r="M49" s="39"/>
      <c r="N49" s="106"/>
      <c r="O49" s="472"/>
      <c r="P49" s="39"/>
      <c r="Q49" s="106"/>
      <c r="R49" s="472"/>
      <c r="S49" s="39"/>
      <c r="T49" s="28">
        <f>+SUMIF(秏料!$B$3:$B$133,$A49,秏料!$F$3:$F$133)</f>
        <v>0</v>
      </c>
      <c r="U49" s="37">
        <f>+SUMIF(秏料!$B$3:$B$133,$A49,秏料!$H$3:$H$133)</f>
        <v>0</v>
      </c>
      <c r="V49" s="37">
        <f>+SUMIF(秏料!$B$3:$B$133,$A49,秏料!$J$3:$J$133)</f>
        <v>0</v>
      </c>
      <c r="W49" s="55">
        <f>+SUMIF(秏料!$B$3:$B$133,$A49,秏料!$L$3:$L$133)</f>
        <v>0</v>
      </c>
      <c r="X49" s="278"/>
      <c r="Y49" s="324"/>
      <c r="Z49" s="281"/>
      <c r="AA49" s="333"/>
      <c r="AB49" s="330"/>
      <c r="AC49" s="37"/>
      <c r="AD49" s="327"/>
      <c r="AE49" s="119"/>
      <c r="AF49" s="93">
        <f t="shared" si="23"/>
        <v>0</v>
      </c>
      <c r="AG49" s="94">
        <f t="shared" si="20"/>
        <v>0</v>
      </c>
      <c r="AH49" s="94">
        <f t="shared" si="21"/>
        <v>0</v>
      </c>
      <c r="AI49" s="95">
        <f t="shared" si="22"/>
        <v>0</v>
      </c>
      <c r="AJ49" s="236">
        <f t="shared" si="1"/>
        <v>0</v>
      </c>
      <c r="AM49" s="660"/>
    </row>
    <row r="50" spans="1:39" ht="17.850000000000001" hidden="1" customHeight="1" x14ac:dyDescent="0.25">
      <c r="A50" s="99"/>
      <c r="B50" s="194"/>
      <c r="C50" s="26"/>
      <c r="D50" s="204"/>
      <c r="E50" s="205"/>
      <c r="F50" s="205"/>
      <c r="G50" s="230">
        <f t="shared" si="25"/>
        <v>0</v>
      </c>
      <c r="H50" s="106"/>
      <c r="I50" s="472"/>
      <c r="J50" s="38"/>
      <c r="K50" s="106"/>
      <c r="L50" s="472"/>
      <c r="M50" s="39"/>
      <c r="N50" s="106"/>
      <c r="O50" s="472"/>
      <c r="P50" s="39"/>
      <c r="Q50" s="106"/>
      <c r="R50" s="472"/>
      <c r="S50" s="39"/>
      <c r="T50" s="28">
        <f>+SUMIF(秏料!$B$3:$B$133,$A50,秏料!$F$3:$F$133)</f>
        <v>0</v>
      </c>
      <c r="U50" s="26">
        <f>+SUMIF(秏料!$B$3:$B$133,$A50,秏料!$H$3:$H$133)</f>
        <v>0</v>
      </c>
      <c r="V50" s="26">
        <f>+SUMIF(秏料!$B$3:$B$133,$A50,秏料!$J$3:$J$133)</f>
        <v>0</v>
      </c>
      <c r="W50" s="56">
        <f>+SUMIF(秏料!$B$3:$B$133,$A50,秏料!$L$3:$L$133)</f>
        <v>0</v>
      </c>
      <c r="X50" s="278"/>
      <c r="Y50" s="324"/>
      <c r="Z50" s="281"/>
      <c r="AA50" s="333"/>
      <c r="AB50" s="330"/>
      <c r="AC50" s="37"/>
      <c r="AD50" s="327"/>
      <c r="AE50" s="28"/>
      <c r="AF50" s="137">
        <f t="shared" si="23"/>
        <v>0</v>
      </c>
      <c r="AG50" s="138">
        <f t="shared" si="20"/>
        <v>0</v>
      </c>
      <c r="AH50" s="138">
        <f t="shared" si="21"/>
        <v>0</v>
      </c>
      <c r="AI50" s="139">
        <f t="shared" si="22"/>
        <v>0</v>
      </c>
      <c r="AJ50" s="236">
        <f t="shared" si="1"/>
        <v>0</v>
      </c>
      <c r="AM50" s="660"/>
    </row>
    <row r="51" spans="1:39" ht="17.850000000000001" hidden="1" customHeight="1" x14ac:dyDescent="0.25">
      <c r="A51" s="97"/>
      <c r="B51" s="191"/>
      <c r="C51" s="40"/>
      <c r="D51" s="176"/>
      <c r="E51" s="49"/>
      <c r="F51" s="49"/>
      <c r="G51" s="65">
        <f t="shared" ref="G51:G71" si="26">+D51+E51-F51</f>
        <v>0</v>
      </c>
      <c r="H51" s="152"/>
      <c r="I51" s="481"/>
      <c r="J51" s="41"/>
      <c r="K51" s="152"/>
      <c r="L51" s="481"/>
      <c r="M51" s="42"/>
      <c r="N51" s="152"/>
      <c r="O51" s="481"/>
      <c r="P51" s="42"/>
      <c r="Q51" s="152"/>
      <c r="R51" s="481"/>
      <c r="S51" s="42"/>
      <c r="T51" s="18">
        <f>+SUMIF(秏料!$B$3:$B$133,$A51,秏料!$F$3:$F$133)</f>
        <v>0</v>
      </c>
      <c r="U51" s="40">
        <f>+SUMIF(秏料!$B$3:$B$133,$A51,秏料!$H$3:$H$133)</f>
        <v>0</v>
      </c>
      <c r="V51" s="40">
        <f>+SUMIF(秏料!$B$3:$B$133,$A51,秏料!$J$3:$J$133)</f>
        <v>0</v>
      </c>
      <c r="W51" s="57">
        <f>+SUMIF(秏料!$B$3:$B$133,$A51,秏料!$L$3:$L$133)</f>
        <v>0</v>
      </c>
      <c r="X51" s="278"/>
      <c r="Y51" s="323"/>
      <c r="Z51" s="281"/>
      <c r="AA51" s="91"/>
      <c r="AB51" s="330"/>
      <c r="AC51" s="40"/>
      <c r="AD51" s="327"/>
      <c r="AE51" s="22"/>
      <c r="AF51" s="113">
        <f t="shared" si="23"/>
        <v>0</v>
      </c>
      <c r="AG51" s="114">
        <f t="shared" si="20"/>
        <v>0</v>
      </c>
      <c r="AH51" s="114">
        <f t="shared" si="21"/>
        <v>0</v>
      </c>
      <c r="AI51" s="115">
        <f t="shared" si="22"/>
        <v>0</v>
      </c>
      <c r="AJ51" s="236">
        <f t="shared" si="1"/>
        <v>0</v>
      </c>
      <c r="AM51" s="660"/>
    </row>
    <row r="52" spans="1:39" ht="17.850000000000001" hidden="1" customHeight="1" x14ac:dyDescent="0.25">
      <c r="A52" s="99"/>
      <c r="B52" s="194"/>
      <c r="C52" s="37"/>
      <c r="D52" s="177"/>
      <c r="E52" s="48"/>
      <c r="F52" s="48"/>
      <c r="G52" s="62">
        <f t="shared" si="26"/>
        <v>0</v>
      </c>
      <c r="H52" s="106"/>
      <c r="I52" s="472"/>
      <c r="J52" s="38"/>
      <c r="K52" s="106"/>
      <c r="L52" s="472"/>
      <c r="M52" s="39"/>
      <c r="N52" s="106"/>
      <c r="O52" s="472"/>
      <c r="P52" s="39"/>
      <c r="Q52" s="106"/>
      <c r="R52" s="472"/>
      <c r="S52" s="39"/>
      <c r="T52" s="28">
        <f>+SUMIF(秏料!$B$3:$B$133,$A52,秏料!$F$3:$F$133)</f>
        <v>0</v>
      </c>
      <c r="U52" s="37">
        <f>+SUMIF(秏料!$B$3:$B$133,$A52,秏料!$H$3:$H$133)</f>
        <v>0</v>
      </c>
      <c r="V52" s="37">
        <f>+SUMIF(秏料!$B$3:$B$133,$A52,秏料!$J$3:$J$133)</f>
        <v>0</v>
      </c>
      <c r="W52" s="55">
        <f>+SUMIF(秏料!$B$3:$B$133,$A52,秏料!$L$3:$L$133)</f>
        <v>0</v>
      </c>
      <c r="X52" s="278"/>
      <c r="Y52" s="324"/>
      <c r="Z52" s="281"/>
      <c r="AA52" s="333"/>
      <c r="AB52" s="330"/>
      <c r="AC52" s="37"/>
      <c r="AD52" s="327"/>
      <c r="AE52" s="119"/>
      <c r="AF52" s="93">
        <f t="shared" si="23"/>
        <v>0</v>
      </c>
      <c r="AG52" s="94">
        <f t="shared" si="20"/>
        <v>0</v>
      </c>
      <c r="AH52" s="94">
        <f t="shared" si="21"/>
        <v>0</v>
      </c>
      <c r="AI52" s="95">
        <f t="shared" si="22"/>
        <v>0</v>
      </c>
      <c r="AJ52" s="236">
        <f t="shared" si="1"/>
        <v>0</v>
      </c>
      <c r="AM52" s="660"/>
    </row>
    <row r="53" spans="1:39" ht="16.350000000000001" hidden="1" customHeight="1" x14ac:dyDescent="0.25">
      <c r="A53" s="231"/>
      <c r="B53" s="194"/>
      <c r="C53" s="37"/>
      <c r="D53" s="177"/>
      <c r="E53" s="48"/>
      <c r="F53" s="48"/>
      <c r="G53" s="62">
        <f t="shared" si="26"/>
        <v>0</v>
      </c>
      <c r="H53" s="106"/>
      <c r="I53" s="472"/>
      <c r="J53" s="38"/>
      <c r="K53" s="106"/>
      <c r="L53" s="472"/>
      <c r="M53" s="39"/>
      <c r="N53" s="106"/>
      <c r="O53" s="472"/>
      <c r="P53" s="39"/>
      <c r="Q53" s="106"/>
      <c r="R53" s="472"/>
      <c r="S53" s="39"/>
      <c r="T53" s="28">
        <f>+SUMIF(秏料!$B$3:$B$133,$A53,秏料!$F$3:$F$133)</f>
        <v>0</v>
      </c>
      <c r="U53" s="37">
        <f>+SUMIF(秏料!$B$3:$B$133,$A53,秏料!$H$3:$H$133)</f>
        <v>0</v>
      </c>
      <c r="V53" s="37">
        <f>+SUMIF(秏料!$B$3:$B$133,$A53,秏料!$J$3:$J$133)</f>
        <v>0</v>
      </c>
      <c r="W53" s="55">
        <f>+SUMIF(秏料!$B$3:$B$133,$A53,秏料!$L$3:$L$133)</f>
        <v>0</v>
      </c>
      <c r="X53" s="278"/>
      <c r="Y53" s="324"/>
      <c r="Z53" s="281"/>
      <c r="AA53" s="333"/>
      <c r="AB53" s="330"/>
      <c r="AC53" s="37"/>
      <c r="AD53" s="327"/>
      <c r="AE53" s="28"/>
      <c r="AF53" s="137">
        <f t="shared" si="23"/>
        <v>0</v>
      </c>
      <c r="AG53" s="138">
        <f t="shared" si="20"/>
        <v>0</v>
      </c>
      <c r="AH53" s="138">
        <f t="shared" si="21"/>
        <v>0</v>
      </c>
      <c r="AI53" s="139">
        <f t="shared" si="22"/>
        <v>0</v>
      </c>
      <c r="AJ53" s="236">
        <f t="shared" si="1"/>
        <v>0</v>
      </c>
      <c r="AM53" s="660"/>
    </row>
    <row r="54" spans="1:39" ht="16.350000000000001" hidden="1" customHeight="1" x14ac:dyDescent="0.25">
      <c r="A54" s="232"/>
      <c r="B54" s="194"/>
      <c r="C54" s="40"/>
      <c r="D54" s="176"/>
      <c r="E54" s="49"/>
      <c r="F54" s="49"/>
      <c r="G54" s="65">
        <f t="shared" si="26"/>
        <v>0</v>
      </c>
      <c r="H54" s="152"/>
      <c r="I54" s="481"/>
      <c r="J54" s="41"/>
      <c r="K54" s="152"/>
      <c r="L54" s="481"/>
      <c r="M54" s="42"/>
      <c r="N54" s="152"/>
      <c r="O54" s="481"/>
      <c r="P54" s="42"/>
      <c r="Q54" s="152"/>
      <c r="R54" s="481"/>
      <c r="S54" s="42"/>
      <c r="T54" s="28">
        <f>+SUMIF(秏料!$B$3:$B$133,$A54,秏料!$F$3:$F$133)</f>
        <v>0</v>
      </c>
      <c r="U54" s="40">
        <f>+SUMIF(秏料!$B$3:$B$133,$A54,秏料!$H$3:$H$133)</f>
        <v>0</v>
      </c>
      <c r="V54" s="40">
        <f>+SUMIF(秏料!$B$3:$B$133,$A54,秏料!$J$3:$J$133)</f>
        <v>0</v>
      </c>
      <c r="W54" s="57">
        <f>+SUMIF(秏料!$B$3:$B$133,$A54,秏料!$L$3:$L$133)</f>
        <v>0</v>
      </c>
      <c r="X54" s="278"/>
      <c r="Y54" s="323"/>
      <c r="Z54" s="281"/>
      <c r="AA54" s="91"/>
      <c r="AB54" s="330"/>
      <c r="AC54" s="40"/>
      <c r="AD54" s="327"/>
      <c r="AE54" s="22"/>
      <c r="AF54" s="113">
        <f t="shared" si="23"/>
        <v>0</v>
      </c>
      <c r="AG54" s="114">
        <f t="shared" si="20"/>
        <v>0</v>
      </c>
      <c r="AH54" s="114">
        <f t="shared" si="21"/>
        <v>0</v>
      </c>
      <c r="AI54" s="115">
        <f t="shared" si="22"/>
        <v>0</v>
      </c>
      <c r="AJ54" s="236">
        <f t="shared" si="1"/>
        <v>0</v>
      </c>
      <c r="AM54" s="660"/>
    </row>
    <row r="55" spans="1:39" s="104" customFormat="1" ht="19.5" hidden="1" customHeight="1" x14ac:dyDescent="0.3">
      <c r="A55" s="231"/>
      <c r="B55" s="194"/>
      <c r="C55" s="37"/>
      <c r="D55" s="177"/>
      <c r="E55" s="48"/>
      <c r="F55" s="48"/>
      <c r="G55" s="62">
        <f t="shared" si="26"/>
        <v>0</v>
      </c>
      <c r="H55" s="106"/>
      <c r="I55" s="472"/>
      <c r="J55" s="38"/>
      <c r="K55" s="106"/>
      <c r="L55" s="472"/>
      <c r="M55" s="39"/>
      <c r="N55" s="106"/>
      <c r="O55" s="472"/>
      <c r="P55" s="39"/>
      <c r="Q55" s="106"/>
      <c r="R55" s="472"/>
      <c r="S55" s="39"/>
      <c r="T55" s="28">
        <f>+SUMIF(秏料!$B$3:$B$133,$A55,秏料!$F$3:$F$133)</f>
        <v>0</v>
      </c>
      <c r="U55" s="37">
        <f>+SUMIF(秏料!$B$3:$B$133,$A55,秏料!$H$3:$H$133)</f>
        <v>0</v>
      </c>
      <c r="V55" s="37">
        <f>+SUMIF(秏料!$B$3:$B$133,$A55,秏料!$J$3:$J$133)</f>
        <v>0</v>
      </c>
      <c r="W55" s="55">
        <f>+SUMIF(秏料!$B$3:$B$133,$A55,秏料!$L$3:$L$133)</f>
        <v>0</v>
      </c>
      <c r="X55" s="278"/>
      <c r="Y55" s="324"/>
      <c r="Z55" s="281"/>
      <c r="AA55" s="333"/>
      <c r="AB55" s="330"/>
      <c r="AC55" s="37"/>
      <c r="AD55" s="327"/>
      <c r="AE55" s="119"/>
      <c r="AF55" s="93">
        <f t="shared" si="23"/>
        <v>0</v>
      </c>
      <c r="AG55" s="94">
        <f t="shared" si="20"/>
        <v>0</v>
      </c>
      <c r="AH55" s="94">
        <f t="shared" si="21"/>
        <v>0</v>
      </c>
      <c r="AI55" s="95">
        <f t="shared" si="22"/>
        <v>0</v>
      </c>
      <c r="AJ55" s="239">
        <f t="shared" si="1"/>
        <v>0</v>
      </c>
      <c r="AM55" s="661"/>
    </row>
    <row r="56" spans="1:39" ht="16.350000000000001" hidden="1" customHeight="1" x14ac:dyDescent="0.25">
      <c r="A56" s="233"/>
      <c r="B56" s="194"/>
      <c r="C56" s="37"/>
      <c r="D56" s="177"/>
      <c r="E56" s="48"/>
      <c r="F56" s="48"/>
      <c r="G56" s="62">
        <f t="shared" si="26"/>
        <v>0</v>
      </c>
      <c r="H56" s="106"/>
      <c r="I56" s="472"/>
      <c r="J56" s="38"/>
      <c r="K56" s="106"/>
      <c r="L56" s="472"/>
      <c r="M56" s="39"/>
      <c r="N56" s="106"/>
      <c r="O56" s="472"/>
      <c r="P56" s="39"/>
      <c r="Q56" s="106"/>
      <c r="R56" s="472"/>
      <c r="S56" s="39"/>
      <c r="T56" s="28">
        <f>+SUMIF(秏料!$B$3:$B$133,$A56,秏料!$F$3:$F$133)</f>
        <v>0</v>
      </c>
      <c r="U56" s="37">
        <f>+SUMIF(秏料!$B$3:$B$133,$A56,秏料!$H$3:$H$133)</f>
        <v>0</v>
      </c>
      <c r="V56" s="37">
        <f>+SUMIF(秏料!$B$3:$B$133,$A56,秏料!$J$3:$J$133)</f>
        <v>0</v>
      </c>
      <c r="W56" s="55">
        <f>+SUMIF(秏料!$B$3:$B$133,$A56,秏料!$L$3:$L$133)</f>
        <v>0</v>
      </c>
      <c r="X56" s="278"/>
      <c r="Y56" s="324"/>
      <c r="Z56" s="281"/>
      <c r="AA56" s="333"/>
      <c r="AB56" s="330"/>
      <c r="AC56" s="37"/>
      <c r="AD56" s="327"/>
      <c r="AE56" s="276"/>
      <c r="AF56" s="25">
        <f t="shared" si="23"/>
        <v>0</v>
      </c>
      <c r="AG56" s="26">
        <f t="shared" si="20"/>
        <v>0</v>
      </c>
      <c r="AH56" s="26">
        <f t="shared" si="21"/>
        <v>0</v>
      </c>
      <c r="AI56" s="27">
        <f t="shared" si="22"/>
        <v>0</v>
      </c>
      <c r="AJ56" s="236">
        <f t="shared" si="1"/>
        <v>0</v>
      </c>
      <c r="AM56" s="660"/>
    </row>
    <row r="57" spans="1:39" ht="16.350000000000001" hidden="1" customHeight="1" x14ac:dyDescent="0.25">
      <c r="A57" s="234"/>
      <c r="B57" s="191"/>
      <c r="C57" s="40"/>
      <c r="D57" s="176"/>
      <c r="E57" s="49"/>
      <c r="F57" s="49"/>
      <c r="G57" s="65">
        <f t="shared" si="26"/>
        <v>0</v>
      </c>
      <c r="H57" s="152"/>
      <c r="I57" s="481"/>
      <c r="J57" s="41"/>
      <c r="K57" s="152"/>
      <c r="L57" s="481"/>
      <c r="M57" s="42"/>
      <c r="N57" s="152"/>
      <c r="O57" s="481"/>
      <c r="P57" s="42"/>
      <c r="Q57" s="152"/>
      <c r="R57" s="481"/>
      <c r="S57" s="42"/>
      <c r="T57" s="18">
        <f>+SUMIF(秏料!$B$3:$B$133,$A57,秏料!$F$3:$F$133)</f>
        <v>0</v>
      </c>
      <c r="U57" s="40">
        <f>+SUMIF(秏料!$B$3:$B$133,$A57,秏料!$H$3:$H$133)</f>
        <v>0</v>
      </c>
      <c r="V57" s="40">
        <f>+SUMIF(秏料!$B$3:$B$133,$A57,秏料!$J$3:$J$133)</f>
        <v>0</v>
      </c>
      <c r="W57" s="57">
        <f>+SUMIF(秏料!$B$3:$B$133,$A57,秏料!$L$3:$L$133)</f>
        <v>0</v>
      </c>
      <c r="X57" s="278"/>
      <c r="Y57" s="323"/>
      <c r="Z57" s="281"/>
      <c r="AA57" s="91"/>
      <c r="AB57" s="330"/>
      <c r="AC57" s="40"/>
      <c r="AD57" s="327"/>
      <c r="AE57" s="22"/>
      <c r="AF57" s="113">
        <f t="shared" si="23"/>
        <v>0</v>
      </c>
      <c r="AG57" s="114">
        <f t="shared" si="20"/>
        <v>0</v>
      </c>
      <c r="AH57" s="114">
        <f t="shared" si="21"/>
        <v>0</v>
      </c>
      <c r="AI57" s="115">
        <f t="shared" si="22"/>
        <v>0</v>
      </c>
      <c r="AJ57" s="236">
        <f t="shared" si="1"/>
        <v>0</v>
      </c>
      <c r="AM57" s="660"/>
    </row>
    <row r="58" spans="1:39" ht="17.850000000000001" hidden="1" customHeight="1" x14ac:dyDescent="0.25">
      <c r="A58" s="99"/>
      <c r="B58" s="194"/>
      <c r="C58" s="37"/>
      <c r="D58" s="177"/>
      <c r="E58" s="48"/>
      <c r="F58" s="48"/>
      <c r="G58" s="62">
        <f t="shared" si="26"/>
        <v>0</v>
      </c>
      <c r="H58" s="106"/>
      <c r="I58" s="472"/>
      <c r="J58" s="38"/>
      <c r="K58" s="106"/>
      <c r="L58" s="472"/>
      <c r="M58" s="39"/>
      <c r="N58" s="106"/>
      <c r="O58" s="472"/>
      <c r="P58" s="39"/>
      <c r="Q58" s="106"/>
      <c r="R58" s="472"/>
      <c r="S58" s="39"/>
      <c r="T58" s="28">
        <f>+SUMIF(秏料!$B$3:$B$133,$A58,秏料!$F$3:$F$133)</f>
        <v>0</v>
      </c>
      <c r="U58" s="37">
        <f>+SUMIF(秏料!$B$3:$B$133,$A58,秏料!$H$3:$H$133)</f>
        <v>0</v>
      </c>
      <c r="V58" s="37">
        <f>+SUMIF(秏料!$B$3:$B$133,$A58,秏料!$J$3:$J$133)</f>
        <v>0</v>
      </c>
      <c r="W58" s="55">
        <f>+SUMIF(秏料!$B$3:$B$133,$A58,秏料!$L$3:$L$133)</f>
        <v>0</v>
      </c>
      <c r="X58" s="278"/>
      <c r="Y58" s="324"/>
      <c r="Z58" s="281"/>
      <c r="AA58" s="333"/>
      <c r="AB58" s="330"/>
      <c r="AC58" s="37"/>
      <c r="AD58" s="327"/>
      <c r="AE58" s="119"/>
      <c r="AF58" s="93">
        <f t="shared" si="23"/>
        <v>0</v>
      </c>
      <c r="AG58" s="94">
        <f t="shared" si="20"/>
        <v>0</v>
      </c>
      <c r="AH58" s="94">
        <f t="shared" si="21"/>
        <v>0</v>
      </c>
      <c r="AI58" s="95">
        <f t="shared" si="22"/>
        <v>0</v>
      </c>
      <c r="AJ58" s="236">
        <f t="shared" si="1"/>
        <v>0</v>
      </c>
      <c r="AM58" s="660"/>
    </row>
    <row r="59" spans="1:39" ht="17.850000000000001" hidden="1" customHeight="1" x14ac:dyDescent="0.25">
      <c r="A59" s="99"/>
      <c r="B59" s="194"/>
      <c r="C59" s="37"/>
      <c r="D59" s="177"/>
      <c r="E59" s="48"/>
      <c r="F59" s="48"/>
      <c r="G59" s="62">
        <f t="shared" si="26"/>
        <v>0</v>
      </c>
      <c r="H59" s="106"/>
      <c r="I59" s="472"/>
      <c r="J59" s="38"/>
      <c r="K59" s="106"/>
      <c r="L59" s="472"/>
      <c r="M59" s="39"/>
      <c r="N59" s="106"/>
      <c r="O59" s="472"/>
      <c r="P59" s="39"/>
      <c r="Q59" s="106"/>
      <c r="R59" s="472"/>
      <c r="S59" s="39"/>
      <c r="T59" s="28">
        <f>+SUMIF(秏料!$B$3:$B$133,$A59,秏料!$F$3:$F$133)</f>
        <v>0</v>
      </c>
      <c r="U59" s="37">
        <f>+SUMIF(秏料!$B$3:$B$133,$A59,秏料!$H$3:$H$133)</f>
        <v>0</v>
      </c>
      <c r="V59" s="37">
        <f>+SUMIF(秏料!$B$3:$B$133,$A59,秏料!$J$3:$J$133)</f>
        <v>0</v>
      </c>
      <c r="W59" s="55">
        <f>+SUMIF(秏料!$B$3:$B$133,$A59,秏料!$L$3:$L$133)</f>
        <v>0</v>
      </c>
      <c r="X59" s="278"/>
      <c r="Y59" s="324"/>
      <c r="Z59" s="281"/>
      <c r="AA59" s="333"/>
      <c r="AB59" s="330"/>
      <c r="AC59" s="37"/>
      <c r="AD59" s="327"/>
      <c r="AE59" s="119"/>
      <c r="AF59" s="93">
        <f t="shared" si="23"/>
        <v>0</v>
      </c>
      <c r="AG59" s="94">
        <f t="shared" si="20"/>
        <v>0</v>
      </c>
      <c r="AH59" s="94">
        <f t="shared" si="21"/>
        <v>0</v>
      </c>
      <c r="AI59" s="95">
        <f t="shared" si="22"/>
        <v>0</v>
      </c>
      <c r="AJ59" s="236">
        <f t="shared" si="1"/>
        <v>0</v>
      </c>
      <c r="AM59" s="660"/>
    </row>
    <row r="60" spans="1:39" ht="17.850000000000001" hidden="1" customHeight="1" x14ac:dyDescent="0.25">
      <c r="A60" s="99"/>
      <c r="B60" s="194"/>
      <c r="C60" s="37"/>
      <c r="D60" s="177"/>
      <c r="E60" s="48"/>
      <c r="F60" s="48"/>
      <c r="G60" s="62">
        <f t="shared" si="26"/>
        <v>0</v>
      </c>
      <c r="H60" s="106"/>
      <c r="I60" s="472"/>
      <c r="J60" s="38"/>
      <c r="K60" s="106"/>
      <c r="L60" s="472"/>
      <c r="M60" s="39"/>
      <c r="N60" s="106"/>
      <c r="O60" s="472"/>
      <c r="P60" s="39"/>
      <c r="Q60" s="106"/>
      <c r="R60" s="472"/>
      <c r="S60" s="39"/>
      <c r="T60" s="28">
        <f>+SUMIF(秏料!$B$3:$B$133,$A60,秏料!$F$3:$F$133)</f>
        <v>0</v>
      </c>
      <c r="U60" s="37">
        <f>+SUMIF(秏料!$B$3:$B$133,$A60,秏料!$H$3:$H$133)</f>
        <v>0</v>
      </c>
      <c r="V60" s="37">
        <f>+SUMIF(秏料!$B$3:$B$133,$A60,秏料!$J$3:$J$133)</f>
        <v>0</v>
      </c>
      <c r="W60" s="55">
        <f>+SUMIF(秏料!$B$3:$B$133,$A60,秏料!$L$3:$L$133)</f>
        <v>0</v>
      </c>
      <c r="X60" s="278"/>
      <c r="Y60" s="324"/>
      <c r="Z60" s="281"/>
      <c r="AA60" s="333"/>
      <c r="AB60" s="330"/>
      <c r="AC60" s="37"/>
      <c r="AD60" s="327"/>
      <c r="AE60" s="119"/>
      <c r="AF60" s="93">
        <f t="shared" si="23"/>
        <v>0</v>
      </c>
      <c r="AG60" s="94">
        <f t="shared" si="20"/>
        <v>0</v>
      </c>
      <c r="AH60" s="94">
        <f t="shared" si="21"/>
        <v>0</v>
      </c>
      <c r="AI60" s="95">
        <f t="shared" si="22"/>
        <v>0</v>
      </c>
      <c r="AJ60" s="236">
        <f t="shared" si="1"/>
        <v>0</v>
      </c>
      <c r="AM60" s="660"/>
    </row>
    <row r="61" spans="1:39" ht="17.850000000000001" hidden="1" customHeight="1" x14ac:dyDescent="0.25">
      <c r="A61" s="103"/>
      <c r="B61" s="217"/>
      <c r="C61" s="37"/>
      <c r="D61" s="177"/>
      <c r="E61" s="48"/>
      <c r="F61" s="48"/>
      <c r="G61" s="62">
        <f t="shared" si="26"/>
        <v>0</v>
      </c>
      <c r="H61" s="106"/>
      <c r="I61" s="472"/>
      <c r="J61" s="38"/>
      <c r="K61" s="106"/>
      <c r="L61" s="472"/>
      <c r="M61" s="39"/>
      <c r="N61" s="106"/>
      <c r="O61" s="472"/>
      <c r="P61" s="39"/>
      <c r="Q61" s="106"/>
      <c r="R61" s="472"/>
      <c r="S61" s="39"/>
      <c r="T61" s="28">
        <f>+SUMIF(秏料!$B$3:$B$133,$A61,秏料!$F$3:$F$133)</f>
        <v>0</v>
      </c>
      <c r="U61" s="37">
        <f>+SUMIF(秏料!$B$3:$B$133,$A61,秏料!$H$3:$H$133)</f>
        <v>0</v>
      </c>
      <c r="V61" s="37">
        <f>+SUMIF(秏料!$B$3:$B$133,$A61,秏料!$J$3:$J$133)</f>
        <v>0</v>
      </c>
      <c r="W61" s="55">
        <f>+SUMIF(秏料!$B$3:$B$133,$A61,秏料!$L$3:$L$133)</f>
        <v>0</v>
      </c>
      <c r="X61" s="278"/>
      <c r="Y61" s="324"/>
      <c r="Z61" s="281"/>
      <c r="AA61" s="333"/>
      <c r="AB61" s="330"/>
      <c r="AC61" s="37"/>
      <c r="AD61" s="327"/>
      <c r="AE61" s="28"/>
      <c r="AF61" s="25">
        <f t="shared" si="23"/>
        <v>0</v>
      </c>
      <c r="AG61" s="26">
        <f t="shared" si="20"/>
        <v>0</v>
      </c>
      <c r="AH61" s="26">
        <f t="shared" si="21"/>
        <v>0</v>
      </c>
      <c r="AI61" s="27">
        <f t="shared" si="22"/>
        <v>0</v>
      </c>
      <c r="AJ61" s="236">
        <f t="shared" si="1"/>
        <v>0</v>
      </c>
      <c r="AM61" s="660"/>
    </row>
    <row r="62" spans="1:39" ht="17.850000000000001" hidden="1" customHeight="1" x14ac:dyDescent="0.25">
      <c r="A62" s="97"/>
      <c r="B62" s="191"/>
      <c r="C62" s="40"/>
      <c r="D62" s="176"/>
      <c r="E62" s="49"/>
      <c r="F62" s="49"/>
      <c r="G62" s="65">
        <f t="shared" si="26"/>
        <v>0</v>
      </c>
      <c r="H62" s="152"/>
      <c r="I62" s="481"/>
      <c r="J62" s="41"/>
      <c r="K62" s="152"/>
      <c r="L62" s="481"/>
      <c r="M62" s="42"/>
      <c r="N62" s="152"/>
      <c r="O62" s="481"/>
      <c r="P62" s="42"/>
      <c r="Q62" s="152"/>
      <c r="R62" s="481"/>
      <c r="S62" s="42"/>
      <c r="T62" s="18">
        <f>+SUMIF(秏料!$B$3:$B$133,$A62,秏料!$F$3:$F$133)</f>
        <v>0</v>
      </c>
      <c r="U62" s="40">
        <f>+SUMIF(秏料!$B$3:$B$133,$A62,秏料!$H$3:$H$133)</f>
        <v>0</v>
      </c>
      <c r="V62" s="40">
        <f>+SUMIF(秏料!$B$3:$B$133,$A62,秏料!$J$3:$J$133)</f>
        <v>0</v>
      </c>
      <c r="W62" s="57">
        <f>+SUMIF(秏料!$B$3:$B$133,$A62,秏料!$L$3:$L$133)</f>
        <v>0</v>
      </c>
      <c r="X62" s="278"/>
      <c r="Y62" s="323"/>
      <c r="Z62" s="281"/>
      <c r="AA62" s="91"/>
      <c r="AB62" s="330"/>
      <c r="AC62" s="40"/>
      <c r="AD62" s="327"/>
      <c r="AE62" s="22"/>
      <c r="AF62" s="113">
        <f t="shared" si="23"/>
        <v>0</v>
      </c>
      <c r="AG62" s="114">
        <f t="shared" si="20"/>
        <v>0</v>
      </c>
      <c r="AH62" s="114">
        <f t="shared" si="21"/>
        <v>0</v>
      </c>
      <c r="AI62" s="115">
        <f t="shared" si="22"/>
        <v>0</v>
      </c>
      <c r="AJ62" s="236">
        <f t="shared" si="1"/>
        <v>0</v>
      </c>
      <c r="AM62" s="660"/>
    </row>
    <row r="63" spans="1:39" ht="17.850000000000001" hidden="1" customHeight="1" x14ac:dyDescent="0.25">
      <c r="A63" s="99"/>
      <c r="B63" s="194"/>
      <c r="C63" s="37"/>
      <c r="D63" s="177"/>
      <c r="E63" s="48"/>
      <c r="F63" s="48"/>
      <c r="G63" s="62">
        <f t="shared" si="26"/>
        <v>0</v>
      </c>
      <c r="H63" s="106"/>
      <c r="I63" s="472"/>
      <c r="J63" s="38"/>
      <c r="K63" s="106"/>
      <c r="L63" s="472"/>
      <c r="M63" s="39"/>
      <c r="N63" s="106"/>
      <c r="O63" s="472"/>
      <c r="P63" s="39"/>
      <c r="Q63" s="106"/>
      <c r="R63" s="472"/>
      <c r="S63" s="39"/>
      <c r="T63" s="28">
        <f>+SUMIF(秏料!$B$3:$B$133,$A63,秏料!$F$3:$F$133)</f>
        <v>0</v>
      </c>
      <c r="U63" s="37">
        <f>+SUMIF(秏料!$B$3:$B$133,$A63,秏料!$H$3:$H$133)</f>
        <v>0</v>
      </c>
      <c r="V63" s="37">
        <f>+SUMIF(秏料!$B$3:$B$133,$A63,秏料!$J$3:$J$133)</f>
        <v>0</v>
      </c>
      <c r="W63" s="55">
        <f>+SUMIF(秏料!$B$3:$B$133,$A63,秏料!$L$3:$L$133)</f>
        <v>0</v>
      </c>
      <c r="X63" s="278"/>
      <c r="Y63" s="324"/>
      <c r="Z63" s="281"/>
      <c r="AA63" s="333"/>
      <c r="AB63" s="330"/>
      <c r="AC63" s="37"/>
      <c r="AD63" s="327"/>
      <c r="AE63" s="119"/>
      <c r="AF63" s="93">
        <f t="shared" si="23"/>
        <v>0</v>
      </c>
      <c r="AG63" s="94">
        <f t="shared" si="20"/>
        <v>0</v>
      </c>
      <c r="AH63" s="94">
        <f t="shared" si="21"/>
        <v>0</v>
      </c>
      <c r="AI63" s="95">
        <f t="shared" si="22"/>
        <v>0</v>
      </c>
      <c r="AJ63" s="236">
        <f t="shared" si="1"/>
        <v>0</v>
      </c>
      <c r="AM63" s="660"/>
    </row>
    <row r="64" spans="1:39" ht="17.850000000000001" hidden="1" customHeight="1" x14ac:dyDescent="0.25">
      <c r="A64" s="99"/>
      <c r="B64" s="194"/>
      <c r="C64" s="37"/>
      <c r="D64" s="177"/>
      <c r="E64" s="48"/>
      <c r="F64" s="48"/>
      <c r="G64" s="62">
        <f t="shared" si="26"/>
        <v>0</v>
      </c>
      <c r="H64" s="106"/>
      <c r="I64" s="472"/>
      <c r="J64" s="38"/>
      <c r="K64" s="106"/>
      <c r="L64" s="472"/>
      <c r="M64" s="39"/>
      <c r="N64" s="106"/>
      <c r="O64" s="472"/>
      <c r="P64" s="39"/>
      <c r="Q64" s="106"/>
      <c r="R64" s="472"/>
      <c r="S64" s="39"/>
      <c r="T64" s="28">
        <f>+SUMIF(秏料!$B$3:$B$133,$A64,秏料!$F$3:$F$133)</f>
        <v>0</v>
      </c>
      <c r="U64" s="37">
        <f>+SUMIF(秏料!$B$3:$B$133,$A64,秏料!$H$3:$H$133)</f>
        <v>0</v>
      </c>
      <c r="V64" s="37">
        <f>+SUMIF(秏料!$B$3:$B$133,$A64,秏料!$J$3:$J$133)</f>
        <v>0</v>
      </c>
      <c r="W64" s="55">
        <f>+SUMIF(秏料!$B$3:$B$133,$A64,秏料!$L$3:$L$133)</f>
        <v>0</v>
      </c>
      <c r="X64" s="278"/>
      <c r="Y64" s="324"/>
      <c r="Z64" s="281"/>
      <c r="AA64" s="333"/>
      <c r="AB64" s="330"/>
      <c r="AC64" s="37"/>
      <c r="AD64" s="327"/>
      <c r="AE64" s="119"/>
      <c r="AF64" s="93">
        <f t="shared" si="23"/>
        <v>0</v>
      </c>
      <c r="AG64" s="94">
        <f t="shared" si="20"/>
        <v>0</v>
      </c>
      <c r="AH64" s="94">
        <f t="shared" si="21"/>
        <v>0</v>
      </c>
      <c r="AI64" s="95">
        <f t="shared" si="22"/>
        <v>0</v>
      </c>
      <c r="AJ64" s="236">
        <f t="shared" si="1"/>
        <v>0</v>
      </c>
      <c r="AM64" s="660"/>
    </row>
    <row r="65" spans="1:39" ht="17.850000000000001" hidden="1" customHeight="1" x14ac:dyDescent="0.25">
      <c r="A65" s="99"/>
      <c r="B65" s="194"/>
      <c r="C65" s="37"/>
      <c r="D65" s="177"/>
      <c r="E65" s="48"/>
      <c r="F65" s="48"/>
      <c r="G65" s="62">
        <f t="shared" si="26"/>
        <v>0</v>
      </c>
      <c r="H65" s="106"/>
      <c r="I65" s="472"/>
      <c r="J65" s="38"/>
      <c r="K65" s="106"/>
      <c r="L65" s="472"/>
      <c r="M65" s="39"/>
      <c r="N65" s="106"/>
      <c r="O65" s="472"/>
      <c r="P65" s="39"/>
      <c r="Q65" s="106"/>
      <c r="R65" s="472"/>
      <c r="S65" s="39"/>
      <c r="T65" s="28">
        <f>+SUMIF(秏料!$B$3:$B$133,$A65,秏料!$F$3:$F$133)</f>
        <v>0</v>
      </c>
      <c r="U65" s="37">
        <f>+SUMIF(秏料!$B$3:$B$133,$A65,秏料!$H$3:$H$133)</f>
        <v>0</v>
      </c>
      <c r="V65" s="37">
        <f>+SUMIF(秏料!$B$3:$B$133,$A65,秏料!$J$3:$J$133)</f>
        <v>0</v>
      </c>
      <c r="W65" s="55">
        <f>+SUMIF(秏料!$B$3:$B$133,$A65,秏料!$L$3:$L$133)</f>
        <v>0</v>
      </c>
      <c r="X65" s="278"/>
      <c r="Y65" s="324"/>
      <c r="Z65" s="281"/>
      <c r="AA65" s="333"/>
      <c r="AB65" s="330"/>
      <c r="AC65" s="37"/>
      <c r="AD65" s="327"/>
      <c r="AE65" s="119"/>
      <c r="AF65" s="93">
        <f t="shared" si="23"/>
        <v>0</v>
      </c>
      <c r="AG65" s="94">
        <f t="shared" si="20"/>
        <v>0</v>
      </c>
      <c r="AH65" s="94">
        <f t="shared" si="21"/>
        <v>0</v>
      </c>
      <c r="AI65" s="95">
        <f t="shared" si="22"/>
        <v>0</v>
      </c>
      <c r="AJ65" s="236">
        <f t="shared" si="1"/>
        <v>0</v>
      </c>
      <c r="AM65" s="660"/>
    </row>
    <row r="66" spans="1:39" ht="17.850000000000001" hidden="1" customHeight="1" x14ac:dyDescent="0.25">
      <c r="A66" s="99"/>
      <c r="B66" s="194"/>
      <c r="C66" s="37"/>
      <c r="D66" s="177"/>
      <c r="E66" s="48"/>
      <c r="F66" s="48"/>
      <c r="G66" s="62">
        <f t="shared" si="26"/>
        <v>0</v>
      </c>
      <c r="H66" s="106"/>
      <c r="I66" s="472"/>
      <c r="J66" s="38"/>
      <c r="K66" s="106"/>
      <c r="L66" s="472"/>
      <c r="M66" s="39"/>
      <c r="N66" s="106"/>
      <c r="O66" s="472"/>
      <c r="P66" s="39"/>
      <c r="Q66" s="106"/>
      <c r="R66" s="472"/>
      <c r="S66" s="39"/>
      <c r="T66" s="28">
        <f>+SUMIF(秏料!$B$3:$B$133,$A66,秏料!$F$3:$F$133)</f>
        <v>0</v>
      </c>
      <c r="U66" s="37">
        <f>+SUMIF(秏料!$B$3:$B$133,$A66,秏料!$H$3:$H$133)</f>
        <v>0</v>
      </c>
      <c r="V66" s="37">
        <f>+SUMIF(秏料!$B$3:$B$133,$A66,秏料!$J$3:$J$133)</f>
        <v>0</v>
      </c>
      <c r="W66" s="55">
        <f>+SUMIF(秏料!$B$3:$B$133,$A66,秏料!$L$3:$L$133)</f>
        <v>0</v>
      </c>
      <c r="X66" s="278"/>
      <c r="Y66" s="324"/>
      <c r="Z66" s="281"/>
      <c r="AA66" s="333"/>
      <c r="AB66" s="330"/>
      <c r="AC66" s="37"/>
      <c r="AD66" s="327"/>
      <c r="AE66" s="119"/>
      <c r="AF66" s="93">
        <f t="shared" si="23"/>
        <v>0</v>
      </c>
      <c r="AG66" s="94">
        <f t="shared" si="20"/>
        <v>0</v>
      </c>
      <c r="AH66" s="94">
        <f t="shared" si="21"/>
        <v>0</v>
      </c>
      <c r="AI66" s="95">
        <f t="shared" si="22"/>
        <v>0</v>
      </c>
      <c r="AJ66" s="236">
        <f t="shared" si="1"/>
        <v>0</v>
      </c>
      <c r="AM66" s="660"/>
    </row>
    <row r="67" spans="1:39" ht="17.850000000000001" hidden="1" customHeight="1" x14ac:dyDescent="0.25">
      <c r="A67" s="99"/>
      <c r="B67" s="194"/>
      <c r="C67" s="37"/>
      <c r="D67" s="177"/>
      <c r="E67" s="48"/>
      <c r="F67" s="48"/>
      <c r="G67" s="62">
        <f t="shared" si="26"/>
        <v>0</v>
      </c>
      <c r="H67" s="106"/>
      <c r="I67" s="472"/>
      <c r="J67" s="38"/>
      <c r="K67" s="106"/>
      <c r="L67" s="472"/>
      <c r="M67" s="39"/>
      <c r="N67" s="106"/>
      <c r="O67" s="472"/>
      <c r="P67" s="39"/>
      <c r="Q67" s="106"/>
      <c r="R67" s="472"/>
      <c r="S67" s="39"/>
      <c r="T67" s="28">
        <f>+SUMIF(秏料!$B$3:$B$133,$A67,秏料!$F$3:$F$133)</f>
        <v>0</v>
      </c>
      <c r="U67" s="37">
        <f>+SUMIF(秏料!$B$3:$B$133,$A67,秏料!$H$3:$H$133)</f>
        <v>0</v>
      </c>
      <c r="V67" s="37">
        <f>+SUMIF(秏料!$B$3:$B$133,$A67,秏料!$J$3:$J$133)</f>
        <v>0</v>
      </c>
      <c r="W67" s="55">
        <f>+SUMIF(秏料!$B$3:$B$133,$A67,秏料!$L$3:$L$133)</f>
        <v>0</v>
      </c>
      <c r="X67" s="278"/>
      <c r="Y67" s="324"/>
      <c r="Z67" s="281"/>
      <c r="AA67" s="333"/>
      <c r="AB67" s="330"/>
      <c r="AC67" s="37"/>
      <c r="AD67" s="327"/>
      <c r="AE67" s="119"/>
      <c r="AF67" s="93">
        <f t="shared" si="23"/>
        <v>0</v>
      </c>
      <c r="AG67" s="94">
        <f t="shared" si="20"/>
        <v>0</v>
      </c>
      <c r="AH67" s="94">
        <f t="shared" si="21"/>
        <v>0</v>
      </c>
      <c r="AI67" s="95">
        <f t="shared" si="22"/>
        <v>0</v>
      </c>
      <c r="AJ67" s="236">
        <f t="shared" si="1"/>
        <v>0</v>
      </c>
      <c r="AM67" s="660"/>
    </row>
    <row r="68" spans="1:39" ht="17.850000000000001" hidden="1" customHeight="1" x14ac:dyDescent="0.25">
      <c r="A68" s="99"/>
      <c r="B68" s="194"/>
      <c r="C68" s="37"/>
      <c r="D68" s="177"/>
      <c r="E68" s="48"/>
      <c r="F68" s="48"/>
      <c r="G68" s="62">
        <f t="shared" si="26"/>
        <v>0</v>
      </c>
      <c r="H68" s="106"/>
      <c r="I68" s="472"/>
      <c r="J68" s="38"/>
      <c r="K68" s="106"/>
      <c r="L68" s="472"/>
      <c r="M68" s="39"/>
      <c r="N68" s="106"/>
      <c r="O68" s="472"/>
      <c r="P68" s="39"/>
      <c r="Q68" s="106"/>
      <c r="R68" s="472"/>
      <c r="S68" s="39"/>
      <c r="T68" s="28">
        <f>+SUMIF(秏料!$B$3:$B$133,$A68,秏料!$F$3:$F$133)</f>
        <v>0</v>
      </c>
      <c r="U68" s="37">
        <f>+SUMIF(秏料!$B$3:$B$133,$A68,秏料!$H$3:$H$133)</f>
        <v>0</v>
      </c>
      <c r="V68" s="37">
        <f>+SUMIF(秏料!$B$3:$B$133,$A68,秏料!$J$3:$J$133)</f>
        <v>0</v>
      </c>
      <c r="W68" s="55">
        <f>+SUMIF(秏料!$B$3:$B$133,$A68,秏料!$L$3:$L$133)</f>
        <v>0</v>
      </c>
      <c r="X68" s="278"/>
      <c r="Y68" s="324"/>
      <c r="Z68" s="281"/>
      <c r="AA68" s="333"/>
      <c r="AB68" s="330"/>
      <c r="AC68" s="37"/>
      <c r="AD68" s="327"/>
      <c r="AE68" s="119"/>
      <c r="AF68" s="93">
        <f t="shared" si="23"/>
        <v>0</v>
      </c>
      <c r="AG68" s="94">
        <f t="shared" si="20"/>
        <v>0</v>
      </c>
      <c r="AH68" s="94">
        <f t="shared" si="21"/>
        <v>0</v>
      </c>
      <c r="AI68" s="95">
        <f t="shared" si="22"/>
        <v>0</v>
      </c>
      <c r="AJ68" s="236">
        <f t="shared" si="1"/>
        <v>0</v>
      </c>
      <c r="AM68" s="660"/>
    </row>
    <row r="69" spans="1:39" ht="17.850000000000001" hidden="1" customHeight="1" x14ac:dyDescent="0.25">
      <c r="A69" s="103"/>
      <c r="B69" s="217"/>
      <c r="C69" s="37"/>
      <c r="D69" s="177"/>
      <c r="E69" s="48"/>
      <c r="F69" s="48"/>
      <c r="G69" s="62">
        <f t="shared" si="26"/>
        <v>0</v>
      </c>
      <c r="H69" s="106"/>
      <c r="I69" s="472"/>
      <c r="J69" s="38"/>
      <c r="K69" s="106"/>
      <c r="L69" s="472"/>
      <c r="M69" s="39"/>
      <c r="N69" s="106"/>
      <c r="O69" s="472"/>
      <c r="P69" s="39"/>
      <c r="Q69" s="106"/>
      <c r="R69" s="472"/>
      <c r="S69" s="39"/>
      <c r="T69" s="28">
        <f>+SUMIF(秏料!$B$3:$B$133,$A69,秏料!$F$3:$F$133)</f>
        <v>0</v>
      </c>
      <c r="U69" s="37">
        <f>+SUMIF(秏料!$B$3:$B$133,$A69,秏料!$H$3:$H$133)</f>
        <v>0</v>
      </c>
      <c r="V69" s="37">
        <f>+SUMIF(秏料!$B$3:$B$133,$A69,秏料!$J$3:$J$133)</f>
        <v>0</v>
      </c>
      <c r="W69" s="55">
        <f>+SUMIF(秏料!$B$3:$B$133,$A69,秏料!$L$3:$L$133)</f>
        <v>0</v>
      </c>
      <c r="X69" s="278"/>
      <c r="Y69" s="324"/>
      <c r="Z69" s="281"/>
      <c r="AA69" s="333"/>
      <c r="AB69" s="330"/>
      <c r="AC69" s="37"/>
      <c r="AD69" s="327"/>
      <c r="AE69" s="119"/>
      <c r="AF69" s="93">
        <f t="shared" si="23"/>
        <v>0</v>
      </c>
      <c r="AG69" s="94">
        <f t="shared" si="20"/>
        <v>0</v>
      </c>
      <c r="AH69" s="94">
        <f t="shared" si="21"/>
        <v>0</v>
      </c>
      <c r="AI69" s="95">
        <f t="shared" si="22"/>
        <v>0</v>
      </c>
      <c r="AJ69" s="236">
        <f t="shared" si="1"/>
        <v>0</v>
      </c>
      <c r="AM69" s="660"/>
    </row>
    <row r="70" spans="1:39" ht="17.850000000000001" hidden="1" customHeight="1" x14ac:dyDescent="0.25">
      <c r="A70" s="99"/>
      <c r="B70" s="194"/>
      <c r="C70" s="37"/>
      <c r="D70" s="177"/>
      <c r="E70" s="48"/>
      <c r="F70" s="48"/>
      <c r="G70" s="62">
        <f t="shared" si="26"/>
        <v>0</v>
      </c>
      <c r="H70" s="106"/>
      <c r="I70" s="472"/>
      <c r="J70" s="38"/>
      <c r="K70" s="106"/>
      <c r="L70" s="472"/>
      <c r="M70" s="39"/>
      <c r="N70" s="106"/>
      <c r="O70" s="472"/>
      <c r="P70" s="39"/>
      <c r="Q70" s="106"/>
      <c r="R70" s="472"/>
      <c r="S70" s="39"/>
      <c r="T70" s="28">
        <f>+SUMIF(秏料!$B$3:$B$133,$A70,秏料!$F$3:$F$133)</f>
        <v>0</v>
      </c>
      <c r="U70" s="37">
        <f>+SUMIF(秏料!$B$3:$B$133,$A70,秏料!$H$3:$H$133)</f>
        <v>0</v>
      </c>
      <c r="V70" s="37">
        <f>+SUMIF(秏料!$B$3:$B$133,$A70,秏料!$J$3:$J$133)</f>
        <v>0</v>
      </c>
      <c r="W70" s="55">
        <f>+SUMIF(秏料!$B$3:$B$133,$A70,秏料!$L$3:$L$133)</f>
        <v>0</v>
      </c>
      <c r="X70" s="278"/>
      <c r="Y70" s="324"/>
      <c r="Z70" s="281"/>
      <c r="AA70" s="333"/>
      <c r="AB70" s="330"/>
      <c r="AC70" s="37"/>
      <c r="AD70" s="327"/>
      <c r="AE70" s="119"/>
      <c r="AF70" s="93">
        <f t="shared" si="23"/>
        <v>0</v>
      </c>
      <c r="AG70" s="94">
        <f t="shared" si="20"/>
        <v>0</v>
      </c>
      <c r="AH70" s="94">
        <f t="shared" si="21"/>
        <v>0</v>
      </c>
      <c r="AI70" s="95">
        <f t="shared" si="22"/>
        <v>0</v>
      </c>
      <c r="AJ70" s="236">
        <f t="shared" ref="AJ70:AJ71" si="27">+IF(SUM(G70,H70:S70,V70,Y70,AB70,AE70)=0,0,1)</f>
        <v>0</v>
      </c>
      <c r="AM70" s="660"/>
    </row>
    <row r="71" spans="1:39" ht="18.600000000000001" hidden="1" customHeight="1" thickBot="1" x14ac:dyDescent="0.3">
      <c r="A71" s="100"/>
      <c r="B71" s="210"/>
      <c r="C71" s="43"/>
      <c r="D71" s="178"/>
      <c r="E71" s="96"/>
      <c r="F71" s="96"/>
      <c r="G71" s="66">
        <f t="shared" si="26"/>
        <v>0</v>
      </c>
      <c r="H71" s="107"/>
      <c r="I71" s="480"/>
      <c r="J71" s="44"/>
      <c r="K71" s="107"/>
      <c r="L71" s="480"/>
      <c r="M71" s="45"/>
      <c r="N71" s="107"/>
      <c r="O71" s="480"/>
      <c r="P71" s="45"/>
      <c r="Q71" s="107"/>
      <c r="R71" s="480"/>
      <c r="S71" s="45"/>
      <c r="T71" s="31">
        <f>+SUMIF(秏料!$B$3:$B$133,$A71,秏料!$F$3:$F$133)</f>
        <v>0</v>
      </c>
      <c r="U71" s="43">
        <f>+SUMIF(秏料!$B$3:$B$133,$A71,秏料!$H$3:$H$133)</f>
        <v>0</v>
      </c>
      <c r="V71" s="43">
        <f>+SUMIF(秏料!$B$3:$B$133,$A71,秏料!$J$3:$J$133)</f>
        <v>0</v>
      </c>
      <c r="W71" s="59">
        <f>+SUMIF(秏料!$B$3:$B$133,$A71,秏料!$L$3:$L$133)</f>
        <v>0</v>
      </c>
      <c r="X71" s="279"/>
      <c r="Y71" s="325"/>
      <c r="Z71" s="282"/>
      <c r="AA71" s="334"/>
      <c r="AB71" s="331"/>
      <c r="AC71" s="59"/>
      <c r="AD71" s="328"/>
      <c r="AE71" s="257"/>
      <c r="AF71" s="34">
        <f t="shared" si="23"/>
        <v>0</v>
      </c>
      <c r="AG71" s="35">
        <f t="shared" si="20"/>
        <v>0</v>
      </c>
      <c r="AH71" s="35">
        <f t="shared" si="21"/>
        <v>0</v>
      </c>
      <c r="AI71" s="36">
        <f t="shared" si="22"/>
        <v>0</v>
      </c>
      <c r="AJ71" s="236">
        <f t="shared" si="27"/>
        <v>0</v>
      </c>
      <c r="AM71" s="662"/>
    </row>
    <row r="72" spans="1:39" ht="18" thickTop="1" x14ac:dyDescent="0.3">
      <c r="A72" s="10" t="s">
        <v>140</v>
      </c>
      <c r="B72" s="169"/>
      <c r="G72" s="89" t="s">
        <v>141</v>
      </c>
      <c r="V72" s="11"/>
      <c r="W72" s="12"/>
      <c r="Z72" s="12"/>
      <c r="AA72" s="12"/>
      <c r="AB72" s="11"/>
      <c r="AC72" s="11"/>
      <c r="AD72" s="12"/>
      <c r="AE72" s="12"/>
      <c r="AF72" s="12"/>
      <c r="AG72" s="12"/>
      <c r="AH72" s="12"/>
      <c r="AI72" s="117"/>
      <c r="AJ72" s="236">
        <v>1</v>
      </c>
    </row>
    <row r="73" spans="1:39" x14ac:dyDescent="0.3">
      <c r="A73" s="10"/>
      <c r="B73" s="170"/>
      <c r="G73" s="89" t="s">
        <v>142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1"/>
      <c r="W73" s="116"/>
      <c r="X73" s="141"/>
      <c r="Y73" s="141"/>
      <c r="Z73" s="12"/>
      <c r="AA73" s="12"/>
      <c r="AB73" s="344"/>
      <c r="AC73" s="344"/>
      <c r="AD73" s="168" t="s">
        <v>143</v>
      </c>
      <c r="AE73" s="168"/>
      <c r="AF73" s="12"/>
      <c r="AG73" s="12"/>
      <c r="AH73" s="12"/>
      <c r="AI73" s="117"/>
      <c r="AJ73" s="236">
        <v>1</v>
      </c>
    </row>
    <row r="74" spans="1:39" x14ac:dyDescent="0.3">
      <c r="A74" s="10"/>
      <c r="B74" s="16"/>
      <c r="G74" s="173" t="s">
        <v>144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AB74" s="345"/>
      <c r="AC74" s="345"/>
      <c r="AD74" s="12" t="s">
        <v>145</v>
      </c>
      <c r="AE74" s="12"/>
      <c r="AF74" s="1"/>
      <c r="AI74" s="20"/>
      <c r="AJ74" s="236">
        <v>1</v>
      </c>
    </row>
    <row r="75" spans="1:39" hidden="1" x14ac:dyDescent="0.3">
      <c r="A75" s="183"/>
      <c r="B75" s="16"/>
      <c r="G75" s="173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AF75" s="1"/>
      <c r="AI75" s="20"/>
    </row>
    <row r="76" spans="1:39" ht="18" thickBot="1" x14ac:dyDescent="0.35">
      <c r="A76" s="58" t="s">
        <v>146</v>
      </c>
      <c r="B76" s="166"/>
      <c r="C76" s="140"/>
      <c r="D76" s="140"/>
      <c r="E76" s="140"/>
      <c r="F76" s="140"/>
      <c r="G76" s="174"/>
      <c r="H76" s="90"/>
      <c r="I76" s="90"/>
      <c r="J76" s="90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1"/>
      <c r="AJ76" s="236">
        <v>1</v>
      </c>
    </row>
    <row r="77" spans="1:39" ht="18" thickTop="1" x14ac:dyDescent="0.3">
      <c r="A77" s="122"/>
      <c r="B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AF77" s="1"/>
      <c r="AI77" s="20"/>
      <c r="AJ77" s="236">
        <v>1</v>
      </c>
    </row>
    <row r="78" spans="1:39" ht="18" thickBot="1" x14ac:dyDescent="0.3">
      <c r="A78" s="124" t="s">
        <v>184</v>
      </c>
      <c r="B78" s="125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42"/>
      <c r="Y78" s="142"/>
      <c r="Z78" s="126"/>
      <c r="AA78" s="126"/>
      <c r="AB78" s="126"/>
      <c r="AC78" s="126"/>
      <c r="AD78" s="126"/>
      <c r="AE78" s="126"/>
      <c r="AF78" s="126"/>
      <c r="AG78" s="126"/>
      <c r="AH78" s="126"/>
      <c r="AI78" s="127"/>
      <c r="AJ78" s="236">
        <v>1</v>
      </c>
    </row>
    <row r="79" spans="1:39" ht="18" thickTop="1" x14ac:dyDescent="0.3"/>
  </sheetData>
  <autoFilter ref="AJ4:AJ78">
    <filterColumn colId="0">
      <customFilters>
        <customFilter operator="notEqual" val=" "/>
      </customFilters>
    </filterColumn>
  </autoFilter>
  <customSheetViews>
    <customSheetView guid="{59A05416-DD26-4EFD-AA04-054D4DE97D89}" scale="90" showGridLines="0" outlineSymbols="0" zeroValues="0" fitToPage="1" printArea="1" filter="1" showAutoFilter="1" view="pageBreakPreview">
      <pane xSplit="5" ySplit="1" topLeftCell="C11" activePane="bottomLeft"/>
      <selection pane="bottomLeft" activeCell="D72" sqref="D72"/>
      <pageMargins left="0" right="0" top="0" bottom="0" header="0" footer="0"/>
      <printOptions horizontalCentered="1"/>
      <pageSetup paperSize="9" scale="48" orientation="landscape" r:id="rId1"/>
      <autoFilter ref="AJ4:AJ78">
        <filterColumn colId="0">
          <customFilters>
            <customFilter operator="notEqual" val=" "/>
          </customFilters>
        </filterColumn>
      </autoFilter>
    </customSheetView>
    <customSheetView guid="{D065F4F3-1224-4D29-89D7-CAAF2080B907}" scale="80" showGridLines="0" outlineSymbols="0" zeroValues="0" fitToPage="1" printArea="1" filter="1" showAutoFilter="1" hiddenColumns="1" view="pageBreakPreview" topLeftCell="A2">
      <selection activeCell="P37" sqref="P37"/>
      <pageMargins left="0" right="0" top="0" bottom="0" header="0" footer="0"/>
      <printOptions horizontalCentered="1"/>
      <pageSetup paperSize="9" scale="55" orientation="landscape" r:id="rId2"/>
      <autoFilter ref="AJ4:AJ78">
        <filterColumn colId="0">
          <customFilters>
            <customFilter operator="notEqual" val=" "/>
          </customFilters>
        </filterColumn>
      </autoFilter>
    </customSheetView>
    <customSheetView guid="{FA048ABB-8FB5-4FAE-8F9E-3B68073934F1}" scale="90" showGridLines="0" outlineSymbols="0" zeroValues="0" fitToPage="1" printArea="1" showAutoFilter="1" hiddenRows="1" hiddenColumns="1" view="pageBreakPreview">
      <selection activeCell="K37" sqref="K37"/>
      <pageMargins left="0" right="0" top="0" bottom="0" header="0" footer="0"/>
      <printOptions horizontalCentered="1"/>
      <pageSetup paperSize="9" scale="56" orientation="landscape" r:id="rId3"/>
      <autoFilter ref="AJ4:AJ78"/>
    </customSheetView>
    <customSheetView guid="{8FD9726D-5B41-4C43-8FCB-EB4C2E6B9AD0}" scale="90" showGridLines="0" outlineSymbols="0" zeroValues="0" fitToPage="1" printArea="1" filter="1" showAutoFilter="1" hiddenColumns="1" view="pageBreakPreview">
      <pane xSplit="7" ySplit="4" topLeftCell="H37"/>
      <selection activeCell="Y42" sqref="Y42"/>
      <pageMargins left="0" right="0" top="0" bottom="0" header="0" footer="0"/>
      <printOptions horizontalCentered="1"/>
      <pageSetup paperSize="9" scale="55" orientation="landscape" r:id="rId4"/>
      <autoFilter ref="AJ4:AJ78">
        <filterColumn colId="0">
          <customFilters>
            <customFilter operator="notEqual" val=" "/>
          </customFilters>
        </filterColumn>
      </autoFilter>
    </customSheetView>
    <customSheetView guid="{C30CE12B-11DC-4479-B6AC-C3BD3E3ED3C8}" scale="90" showGridLines="0" outlineSymbols="0" zeroValues="0" fitToPage="1" printArea="1" filter="1" showAutoFilter="1" hiddenColumns="1" view="pageBreakPreview">
      <pane xSplit="5" ySplit="4" topLeftCell="G8" activePane="bottomRight" state="frozen"/>
      <selection pane="bottomRight" activeCell="G10" sqref="G10"/>
      <pageMargins left="0" right="0" top="0" bottom="0" header="0" footer="0"/>
      <printOptions horizontalCentered="1"/>
      <pageSetup paperSize="9" scale="52" orientation="landscape" r:id="rId5"/>
      <autoFilter ref="AJ4:AJ78">
        <filterColumn colId="0">
          <customFilters>
            <customFilter operator="notEqual" val=" "/>
          </customFilters>
        </filterColumn>
      </autoFilter>
    </customSheetView>
    <customSheetView guid="{64D5D33D-6419-4A8B-A3B3-237161841645}" scale="90" showGridLines="0" outlineSymbols="0" zeroValues="0" fitToPage="1" printArea="1" filter="1" showAutoFilter="1" view="pageBreakPreview">
      <pane xSplit="6" ySplit="1" topLeftCell="G11" activePane="bottomRight" state="frozen"/>
      <selection pane="bottomRight" activeCell="N3" sqref="N3:P3"/>
      <pageMargins left="0" right="0" top="0" bottom="0" header="0" footer="0"/>
      <printOptions horizontalCentered="1"/>
      <pageSetup paperSize="9" scale="47" orientation="landscape" r:id="rId6"/>
      <autoFilter ref="AJ4:AJ78">
        <filterColumn colId="0">
          <customFilters>
            <customFilter operator="notEqual" val=" "/>
          </customFilters>
        </filterColumn>
      </autoFilter>
    </customSheetView>
    <customSheetView guid="{CAC14F13-5914-49F8-AD5B-F24608798ED8}" scale="80" showGridLines="0" outlineSymbols="0" zeroValues="0" fitToPage="1" printArea="1" filter="1" showAutoFilter="1" hiddenColumns="1" view="pageBreakPreview">
      <selection activeCell="Y81" sqref="Y81"/>
      <pageMargins left="0" right="0" top="0" bottom="0" header="0" footer="0"/>
      <printOptions horizontalCentered="1"/>
      <pageSetup paperSize="9" scale="56" orientation="landscape" r:id="rId7"/>
      <autoFilter ref="AJ4:AJ78">
        <filterColumn colId="0">
          <customFilters>
            <customFilter operator="notEqual" val=" "/>
          </customFilters>
        </filterColumn>
      </autoFilter>
    </customSheetView>
    <customSheetView guid="{0BF804C9-51A0-4E06-8256-5D8C4B043A4A}" scale="90" showGridLines="0" outlineSymbols="0" zeroValues="0" fitToPage="1" printArea="1" filter="1" showAutoFilter="1" hiddenColumns="1" view="pageBreakPreview" topLeftCell="A4">
      <selection activeCell="B5" sqref="B1:B1048576"/>
      <pageMargins left="0" right="0" top="0" bottom="0" header="0" footer="0"/>
      <printOptions horizontalCentered="1"/>
      <pageSetup paperSize="9" scale="38" orientation="portrait" r:id="rId8"/>
      <autoFilter ref="AJ4:AJ78">
        <filterColumn colId="0">
          <customFilters>
            <customFilter operator="notEqual" val=" "/>
          </customFilters>
        </filterColumn>
      </autoFilter>
    </customSheetView>
    <customSheetView guid="{D56D14CC-1901-479F-B779-31FEC2383487}" scale="70" showGridLines="0" outlineSymbols="0" zeroValues="0" fitToPage="1" printArea="1" filter="1" showAutoFilter="1" hiddenColumns="1" view="pageBreakPreview">
      <pane xSplit="7" ySplit="4" topLeftCell="L8" activePane="bottomRight" state="frozen"/>
      <selection pane="bottomRight" activeCell="Y44" sqref="Y44"/>
      <pageMargins left="0" right="0" top="0" bottom="0" header="0" footer="0"/>
      <printOptions horizontalCentered="1"/>
      <pageSetup paperSize="9" scale="56" orientation="landscape" r:id="rId9"/>
      <autoFilter ref="AJ4:AJ78">
        <filterColumn colId="0">
          <customFilters>
            <customFilter operator="notEqual" val=" "/>
          </customFilters>
        </filterColumn>
      </autoFilter>
    </customSheetView>
    <customSheetView guid="{F2AA7D74-DB02-43AC-850B-A44D18BDB1CB}" scale="80" showGridLines="0" outlineSymbols="0" zeroValues="0" fitToPage="1" printArea="1" filter="1" showAutoFilter="1" hiddenColumns="1" view="pageBreakPreview">
      <selection activeCell="AC37" sqref="AC37"/>
      <pageMargins left="0" right="0" top="0" bottom="0" header="0" footer="0"/>
      <printOptions horizontalCentered="1"/>
      <pageSetup paperSize="9" scale="56" orientation="landscape" r:id="rId10"/>
      <autoFilter ref="AJ4:AJ78">
        <filterColumn colId="0">
          <customFilters>
            <customFilter operator="notEqual" val=" "/>
          </customFilters>
        </filterColumn>
      </autoFilter>
    </customSheetView>
    <customSheetView guid="{8B7A0CA2-9BA6-4CC3-AA36-677EA0765FE7}" scale="90" showGridLines="0" outlineSymbols="0" zeroValues="0" fitToPage="1" printArea="1" filter="1" showAutoFilter="1" view="pageBreakPreview">
      <pane xSplit="6" ySplit="3" topLeftCell="G5" activePane="bottomRight" state="frozen"/>
      <selection pane="bottomRight" activeCell="D72" sqref="D72"/>
      <pageMargins left="0" right="0" top="0" bottom="0" header="0" footer="0"/>
      <printOptions horizontalCentered="1"/>
      <pageSetup paperSize="9" scale="48" orientation="landscape" r:id="rId11"/>
      <autoFilter ref="AJ4:AJ78">
        <filterColumn colId="0">
          <customFilters>
            <customFilter operator="notEqual" val=" "/>
          </customFilters>
        </filterColumn>
      </autoFilter>
    </customSheetView>
    <customSheetView guid="{465CD905-854A-4F4A-908D-83ABAB5FB252}" scale="80" showGridLines="0" outlineSymbols="0" zeroValues="0" fitToPage="1" printArea="1" filter="1" showAutoFilter="1" hiddenColumns="1" view="pageBreakPreview">
      <selection activeCell="T34" sqref="T34:W34"/>
      <pageMargins left="0" right="0" top="0" bottom="0" header="0" footer="0"/>
      <printOptions horizontalCentered="1"/>
      <pageSetup paperSize="9" scale="55" orientation="landscape" r:id="rId12"/>
      <autoFilter ref="AJ4:AJ78">
        <filterColumn colId="0">
          <customFilters>
            <customFilter operator="notEqual" val=" "/>
          </customFilters>
        </filterColumn>
      </autoFilter>
    </customSheetView>
    <customSheetView guid="{ACCDD429-9CAD-4FB8-A198-ABDEDE66D100}" scale="90" showGridLines="0" outlineSymbols="0" zeroValues="0" fitToPage="1" printArea="1" filter="1" showAutoFilter="1" view="pageBreakPreview">
      <pane xSplit="6.580645161290323" ySplit="4" topLeftCell="N5" activePane="bottomRight" state="frozen"/>
      <selection pane="bottomRight" activeCell="D72" sqref="D72"/>
      <pageMargins left="0" right="0" top="0" bottom="0" header="0" footer="0"/>
      <printOptions horizontalCentered="1"/>
      <pageSetup paperSize="9" scale="49" orientation="landscape" r:id="rId13"/>
      <autoFilter ref="AJ4:AJ78">
        <filterColumn colId="0">
          <customFilters>
            <customFilter operator="notEqual" val=" "/>
          </customFilters>
        </filterColumn>
      </autoFilter>
    </customSheetView>
    <customSheetView guid="{8DC863AD-DDD2-40E0-9202-FF25DA9A15AC}" scale="85" showGridLines="0" outlineSymbols="0" zeroValues="0" fitToPage="1" printArea="1" filter="1" showAutoFilter="1" view="pageBreakPreview">
      <pane xSplit="5" ySplit="4" topLeftCell="F5" activePane="bottomRight" state="frozen"/>
      <selection pane="bottomRight" activeCell="D72" sqref="D72"/>
      <pageMargins left="0" right="0" top="0" bottom="0" header="0" footer="0"/>
      <printOptions horizontalCentered="1"/>
      <pageSetup paperSize="9" scale="49" orientation="landscape" r:id="rId14"/>
      <autoFilter ref="AJ4:AJ78">
        <filterColumn colId="0">
          <customFilters>
            <customFilter operator="notEqual" val=" "/>
          </customFilters>
        </filterColumn>
      </autoFilter>
    </customSheetView>
    <customSheetView guid="{D8E05E9A-74D8-4931-8653-8099BB0F822F}" scale="90" showGridLines="0" outlineSymbols="0" zeroValues="0" fitToPage="1" printArea="1" filter="1" showAutoFilter="1" view="pageBreakPreview">
      <pane xSplit="7" ySplit="4" topLeftCell="N5" activePane="bottomRight" state="frozen"/>
      <selection pane="bottomRight" activeCell="U6" sqref="U6"/>
      <pageMargins left="0" right="0" top="0" bottom="0" header="0" footer="0"/>
      <printOptions horizontalCentered="1"/>
      <pageSetup paperSize="9" scale="57" orientation="landscape" r:id="rId15"/>
      <autoFilter ref="AF4:AF78">
        <filterColumn colId="0">
          <customFilters>
            <customFilter operator="notEqual" val=" "/>
          </customFilters>
        </filterColumn>
      </autoFilter>
    </customSheetView>
    <customSheetView guid="{7B90250F-6C77-4F16-BAAD-82EC380D0549}" scale="75" showGridLines="0" outlineSymbols="0" zeroValues="0" fitToPage="1" printArea="1" filter="1" showAutoFilter="1" hiddenColumns="1" view="pageBreakPreview">
      <pane xSplit="5" ySplit="3" topLeftCell="G4" activePane="bottomRight" state="frozen"/>
      <selection pane="bottomRight" activeCell="W34" sqref="W34"/>
      <pageMargins left="0" right="0" top="0" bottom="0" header="0" footer="0"/>
      <printOptions horizontalCentered="1"/>
      <pageSetup paperSize="9" scale="74" orientation="landscape" r:id="rId16"/>
      <autoFilter ref="A4:AF53">
        <filterColumn colId="27">
          <customFilters>
            <customFilter operator="notEqual" val=" "/>
          </customFilters>
        </filterColumn>
      </autoFilter>
    </customSheetView>
    <customSheetView guid="{346DCC42-7B8B-4D0F-8BCA-6EB3F9DD5B12}" scale="75" showGridLines="0" outlineSymbols="0" zeroValues="0" fitToPage="1" printArea="1" filter="1" showAutoFilter="1" hiddenColumns="1" view="pageBreakPreview">
      <pane xSplit="5" ySplit="4" topLeftCell="G5" activePane="bottomRight" state="frozen"/>
      <selection pane="bottomRight" activeCell="T37" sqref="T37"/>
      <pageMargins left="0" right="0" top="0" bottom="0" header="0" footer="0"/>
      <printOptions horizontalCentered="1"/>
      <pageSetup paperSize="9" scale="71" orientation="landscape" r:id="rId17"/>
      <autoFilter ref="A4:AF53">
        <filterColumn colId="27">
          <customFilters>
            <customFilter operator="notEqual" val=" "/>
          </customFilters>
        </filterColumn>
      </autoFilter>
    </customSheetView>
    <customSheetView guid="{79F26E0A-5E9E-4EF8-AE70-B7DA8FAE47AC}" scale="75" showGridLines="0" outlineSymbols="0" zeroValues="0" fitToPage="1" printArea="1" filter="1" showAutoFilter="1" hiddenColumns="1" view="pageBreakPreview">
      <pane xSplit="4" ySplit="4" topLeftCell="E5" activePane="bottomRight" state="frozen"/>
      <selection pane="bottomRight" activeCell="J35" sqref="J35"/>
      <pageMargins left="0" right="0" top="0" bottom="0" header="0" footer="0"/>
      <printOptions horizontalCentered="1"/>
      <pageSetup paperSize="9" scale="71" orientation="landscape" r:id="rId18"/>
      <autoFilter ref="B1">
        <filterColumn colId="0">
          <customFilters>
            <customFilter operator="notEqual" val=" "/>
          </customFilters>
        </filterColumn>
      </autoFilter>
    </customSheetView>
    <customSheetView guid="{1BC3F178-54C0-4A8C-A5C3-CF7D6D208825}" scale="75" showGridLines="0" outlineSymbols="0" zeroValues="0" fitToPage="1" printArea="1" filter="1" showAutoFilter="1" hiddenColumns="1" view="pageBreakPreview">
      <pane xSplit="4" ySplit="4" topLeftCell="E5" activePane="bottomRight" state="frozen"/>
      <selection pane="bottomRight" activeCell="Q37" sqref="Q37"/>
      <pageMargins left="0" right="0" top="0" bottom="0" header="0" footer="0"/>
      <printOptions horizontalCentered="1"/>
      <pageSetup paperSize="9" scale="71" orientation="landscape" r:id="rId19"/>
      <autoFilter ref="B1">
        <filterColumn colId="0">
          <customFilters>
            <customFilter operator="notEqual" val=" "/>
          </customFilters>
        </filterColumn>
      </autoFilter>
    </customSheetView>
    <customSheetView guid="{326CC155-93DA-4269-A552-D000400252E8}" scale="75" showGridLines="0" outlineSymbols="0" zeroValues="0" fitToPage="1" printArea="1" filter="1" showAutoFilter="1" hiddenColumns="1" view="pageBreakPreview">
      <pane xSplit="5" ySplit="4" topLeftCell="F5" activePane="bottomRight" state="frozen"/>
      <selection pane="bottomRight" activeCell="Z31" sqref="Z31:Z38"/>
      <pageMargins left="0" right="0" top="0" bottom="0" header="0" footer="0"/>
      <printOptions horizontalCentered="1"/>
      <pageSetup paperSize="9" scale="69" orientation="landscape" r:id="rId20"/>
      <autoFilter ref="B1:C1">
        <filterColumn colId="1">
          <customFilters>
            <customFilter operator="notEqual" val=" "/>
          </customFilters>
        </filterColumn>
      </autoFilter>
    </customSheetView>
    <customSheetView guid="{9189FF41-907B-4DB4-B0EF-C9C35E41617A}" scale="75" showGridLines="0" outlineSymbols="0" zeroValues="0" fitToPage="1" printArea="1" filter="1" showAutoFilter="1" hiddenRows="1" hiddenColumns="1" view="pageBreakPreview">
      <pane xSplit="2" ySplit="35" topLeftCell="D37" activePane="bottomRight" state="frozen"/>
      <selection pane="bottomRight" activeCell="N42" sqref="N42"/>
      <pageMargins left="0" right="0" top="0" bottom="0" header="0" footer="0"/>
      <printOptions horizontalCentered="1"/>
      <pageSetup paperSize="9" scale="69" orientation="landscape" r:id="rId21"/>
      <autoFilter ref="B1:AE1">
        <filterColumn colId="0">
          <filters>
            <filter val="初餾"/>
          </filters>
        </filterColumn>
        <filterColumn colId="29">
          <customFilters>
            <customFilter operator="notEqual" val=" "/>
          </customFilters>
        </filterColumn>
      </autoFilter>
    </customSheetView>
    <customSheetView guid="{502F3196-9B33-4199-B129-D6F07DE04859}" scale="75" showGridLines="0" outlineSymbols="0" zeroValues="0" fitToPage="1" printArea="1" showAutoFilter="1" hiddenColumns="1" view="pageBreakPreview">
      <selection activeCell="P33" sqref="P33"/>
      <pageMargins left="0" right="0" top="0" bottom="0" header="0" footer="0"/>
      <printOptions horizontalCentered="1"/>
      <pageSetup paperSize="9" scale="44" orientation="landscape" r:id="rId22"/>
      <autoFilter ref="B1:C1"/>
    </customSheetView>
    <customSheetView guid="{77AD3D17-AD21-4070-93C9-23AFEA189F06}" scale="75" showGridLines="0" outlineSymbols="0" zeroValues="0" fitToPage="1" printArea="1" filter="1" showAutoFilter="1" view="pageBreakPreview">
      <pane xSplit="6" ySplit="4" topLeftCell="G8" activePane="bottomRight" state="frozen"/>
      <selection pane="bottomRight" activeCell="D37" sqref="D37"/>
      <pageMargins left="0" right="0" top="0" bottom="0" header="0" footer="0"/>
      <printOptions horizontalCentered="1"/>
      <pageSetup paperSize="9" scale="59" orientation="landscape" r:id="rId23"/>
      <autoFilter ref="A4:AF53">
        <filterColumn colId="27">
          <customFilters>
            <customFilter operator="notEqual" val=" "/>
          </customFilters>
        </filterColumn>
      </autoFilter>
    </customSheetView>
    <customSheetView guid="{38078408-6EFE-4052-8C51-50A488F2EA59}" scale="85" showGridLines="0" outlineSymbols="0" zeroValues="0" fitToPage="1" printArea="1" filter="1" showAutoFilter="1" hiddenColumns="1" view="pageBreakPreview">
      <pane xSplit="5" ySplit="4" topLeftCell="G5" activePane="bottomRight" state="frozen"/>
      <selection pane="bottomRight" activeCell="AA2" sqref="AA1:AA1048576"/>
      <pageMargins left="0" right="0" top="0" bottom="0" header="0" footer="0"/>
      <printOptions horizontalCentered="1"/>
      <pageSetup paperSize="9" scale="71" orientation="landscape" r:id="rId24"/>
      <autoFilter ref="A4:AF53">
        <filterColumn colId="27">
          <customFilters>
            <customFilter operator="notEqual" val=" "/>
          </customFilters>
        </filterColumn>
      </autoFilter>
    </customSheetView>
    <customSheetView guid="{83B3BC4F-78EE-4A15-89B0-51F9D7CE21C1}" scale="75" showGridLines="0" outlineSymbols="0" zeroValues="0" fitToPage="1" printArea="1" filter="1" showAutoFilter="1" hiddenColumns="1" view="pageBreakPreview">
      <pane xSplit="5" ySplit="3" topLeftCell="G4" activePane="bottomRight" state="frozen"/>
      <selection pane="bottomRight" activeCell="T20" sqref="T20"/>
      <pageMargins left="0" right="0" top="0" bottom="0" header="0" footer="0"/>
      <printOptions horizontalCentered="1"/>
      <pageSetup paperSize="9" scale="74" orientation="landscape" r:id="rId25"/>
      <autoFilter ref="A4:AF53">
        <filterColumn colId="27">
          <customFilters>
            <customFilter operator="notEqual" val=" "/>
          </customFilters>
        </filterColumn>
      </autoFilter>
    </customSheetView>
    <customSheetView guid="{9E710D7F-3A88-4D24-8673-5A6EF0E9C423}" scale="75" showGridLines="0" outlineSymbols="0" zeroValues="0" fitToPage="1" printArea="1" filter="1" showAutoFilter="1" hiddenColumns="1" view="pageBreakPreview">
      <pane xSplit="5" ySplit="3" topLeftCell="G4" activePane="bottomRight" state="frozen"/>
      <selection pane="bottomRight" activeCell="G7" sqref="G7"/>
      <pageMargins left="0" right="0" top="0" bottom="0" header="0" footer="0"/>
      <printOptions horizontalCentered="1"/>
      <pageSetup paperSize="9" scale="74" orientation="landscape" r:id="rId26"/>
      <autoFilter ref="A4:AF53">
        <filterColumn colId="27">
          <customFilters>
            <customFilter operator="notEqual" val=" "/>
          </customFilters>
        </filterColumn>
      </autoFilter>
    </customSheetView>
    <customSheetView guid="{95BA1282-001B-43C6-8050-6BEE483A7F6F}" scale="75" showGridLines="0" outlineSymbols="0" zeroValues="0" fitToPage="1" printArea="1" filter="1" showAutoFilter="1" hiddenColumns="1" view="pageBreakPreview">
      <pane xSplit="5" ySplit="4" topLeftCell="G5" activePane="bottomRight" state="frozen"/>
      <selection pane="bottomRight" activeCell="Q54" sqref="Q54"/>
      <pageMargins left="0" right="0" top="0" bottom="0" header="0" footer="0"/>
      <printOptions horizontalCentered="1"/>
      <pageSetup paperSize="9" scale="74" orientation="landscape" r:id="rId27"/>
      <autoFilter ref="A4:AF53">
        <filterColumn colId="27">
          <customFilters>
            <customFilter operator="notEqual" val=" "/>
          </customFilters>
        </filterColumn>
      </autoFilter>
    </customSheetView>
    <customSheetView guid="{3663236C-AFB0-419A-AC6A-E981D6F1A9BC}" scale="90" showGridLines="0" outlineSymbols="0" zeroValues="0" fitToPage="1" printArea="1" filter="1" showAutoFilter="1" hiddenColumns="1" view="pageBreakPreview" topLeftCell="A10">
      <selection activeCell="X34" sqref="X34:AA34"/>
      <pageMargins left="0" right="0" top="0" bottom="0" header="0" footer="0"/>
      <printOptions horizontalCentered="1"/>
      <pageSetup paperSize="9" scale="65" orientation="landscape" r:id="rId28"/>
      <autoFilter ref="AF4:AF78">
        <filterColumn colId="0">
          <customFilters>
            <customFilter operator="notEqual" val=" "/>
          </customFilters>
        </filterColumn>
      </autoFilter>
    </customSheetView>
    <customSheetView guid="{6DC87DBB-EAA4-4C74-8564-B6BAF0231FE0}" scale="90" showGridLines="0" outlineSymbols="0" zeroValues="0" fitToPage="1" printArea="1" filter="1" showAutoFilter="1" hiddenColumns="1" view="pageBreakPreview">
      <pane xSplit="5" ySplit="4" topLeftCell="G34" activePane="bottomRight" state="frozen"/>
      <selection pane="bottomRight" activeCell="X35" sqref="X35:X44"/>
      <pageMargins left="0" right="0" top="0" bottom="0" header="0" footer="0"/>
      <printOptions horizontalCentered="1"/>
      <pageSetup paperSize="9" scale="58" orientation="landscape" r:id="rId29"/>
      <autoFilter ref="AJ4:AJ78">
        <filterColumn colId="0">
          <customFilters>
            <customFilter operator="notEqual" val=" "/>
          </customFilters>
        </filterColumn>
      </autoFilter>
    </customSheetView>
    <customSheetView guid="{3B8D84A7-3495-4488-8D42-6EFF30C18699}" scale="90" showGridLines="0" outlineSymbols="0" zeroValues="0" fitToPage="1" printArea="1" filter="1" showAutoFilter="1" hiddenColumns="1" view="pageBreakPreview">
      <pane xSplit="7.032258064516129" ySplit="4.04" topLeftCell="H37"/>
      <selection activeCell="Y42" sqref="Y42"/>
      <pageMargins left="0" right="0" top="0" bottom="0" header="0" footer="0"/>
      <printOptions horizontalCentered="1"/>
      <pageSetup paperSize="9" scale="54" orientation="landscape" r:id="rId30"/>
      <autoFilter ref="AJ4:AJ78">
        <filterColumn colId="0">
          <customFilters>
            <customFilter operator="notEqual" val=" "/>
          </customFilters>
        </filterColumn>
      </autoFilter>
    </customSheetView>
    <customSheetView guid="{6A49BCC3-CB5F-40F7-835F-8F4EBC3E8643}" scale="90" showGridLines="0" outlineSymbols="0" zeroValues="0" fitToPage="1" printArea="1" showAutoFilter="1" hiddenColumns="1" view="pageBreakPreview">
      <pane xSplit="5" ySplit="1" topLeftCell="G2" activePane="bottomRight" state="frozen"/>
      <selection pane="bottomRight" activeCell="B2" sqref="B1:B1048576"/>
      <pageMargins left="0" right="0" top="0" bottom="0" header="0" footer="0"/>
      <printOptions horizontalCentered="1"/>
      <pageSetup paperSize="9" scale="27" orientation="landscape" r:id="rId31"/>
      <autoFilter ref="AJ4:AJ78"/>
    </customSheetView>
    <customSheetView guid="{173F84CF-9EE5-4693-9F18-A0544E920AC9}" scale="90" showGridLines="0" outlineSymbols="0" zeroValues="0" fitToPage="1" printArea="1" filter="1" showAutoFilter="1" hiddenColumns="1" view="pageBreakPreview">
      <selection activeCell="N41" sqref="N41"/>
      <pageMargins left="0" right="0" top="0" bottom="0" header="0" footer="0"/>
      <printOptions horizontalCentered="1"/>
      <pageSetup paperSize="9" scale="56" orientation="landscape" r:id="rId32"/>
      <autoFilter ref="AJ4:AJ78">
        <filterColumn colId="0">
          <customFilters>
            <customFilter operator="notEqual" val=" "/>
          </customFilters>
        </filterColumn>
      </autoFilter>
    </customSheetView>
    <customSheetView guid="{99FB95A8-1218-4283-9800-5DBBB640B9CC}" scale="80" showGridLines="0" outlineSymbols="0" zeroValues="0" fitToPage="1" printArea="1" filter="1" showAutoFilter="1" hiddenColumns="1" view="pageBreakPreview">
      <pane xSplit="5" ySplit="1" topLeftCell="L2" activePane="bottomRight" state="frozen"/>
      <selection pane="bottomRight" activeCell="AC42" sqref="AC42"/>
      <pageMargins left="0" right="0" top="0" bottom="0" header="0" footer="0"/>
      <printOptions horizontalCentered="1"/>
      <pageSetup paperSize="9" scale="56" orientation="landscape" r:id="rId33"/>
      <autoFilter ref="AJ4:AJ78">
        <filterColumn colId="0">
          <customFilters>
            <customFilter operator="notEqual" val=" "/>
          </customFilters>
        </filterColumn>
      </autoFilter>
    </customSheetView>
    <customSheetView guid="{3ADFB3B6-162A-4CDB-AB24-348E8A99991A}" scale="90" showGridLines="0" outlineSymbols="0" zeroValues="0" fitToPage="1" printArea="1" filter="1" showAutoFilter="1" hiddenColumns="1" view="pageBreakPreview">
      <pane xSplit="5" ySplit="4" topLeftCell="H8" activePane="bottomRight" state="frozen"/>
      <selection pane="bottomRight" activeCell="K11" sqref="K11"/>
      <pageMargins left="0" right="0" top="0" bottom="0" header="0" footer="0"/>
      <printOptions horizontalCentered="1"/>
      <pageSetup paperSize="9" scale="56" orientation="landscape" r:id="rId34"/>
      <autoFilter ref="AJ4:AJ78">
        <filterColumn colId="0">
          <customFilters>
            <customFilter operator="notEqual" val=" "/>
          </customFilters>
        </filterColumn>
      </autoFilter>
    </customSheetView>
    <customSheetView guid="{4B6E1B38-E439-406A-9E0D-5C2F40D928F2}" scale="90" showGridLines="0" outlineSymbols="0" zeroValues="0" fitToPage="1" printArea="1" filter="1" showAutoFilter="1" view="pageBreakPreview">
      <selection activeCell="D44" sqref="D44"/>
      <pageMargins left="0" right="0" top="0" bottom="0" header="0" footer="0"/>
      <printOptions horizontalCentered="1"/>
      <pageSetup paperSize="9" scale="48" orientation="landscape" r:id="rId35"/>
      <autoFilter ref="AJ4:AJ78">
        <filterColumn colId="0">
          <customFilters>
            <customFilter operator="notEqual" val=" "/>
          </customFilters>
        </filterColumn>
      </autoFilter>
    </customSheetView>
    <customSheetView guid="{F93DD6E0-2AD2-4C47-B879-ABE0581F49BB}" scale="70" showGridLines="0" outlineSymbols="0" zeroValues="0" fitToPage="1" printArea="1" filter="1" showAutoFilter="1" hiddenColumns="1" view="pageBreakPreview">
      <pane xSplit="5" ySplit="1" topLeftCell="G2" activePane="bottomRight" state="frozen"/>
      <selection pane="bottomRight" activeCell="M10" sqref="M10"/>
      <pageMargins left="0" right="0" top="0" bottom="0" header="0" footer="0"/>
      <printOptions horizontalCentered="1"/>
      <pageSetup paperSize="9" scale="55" orientation="landscape" r:id="rId36"/>
      <autoFilter ref="AJ4:AJ78">
        <filterColumn colId="0">
          <customFilters>
            <customFilter operator="notEqual" val=" "/>
          </customFilters>
        </filterColumn>
      </autoFilter>
    </customSheetView>
    <customSheetView guid="{77B14F7C-DBD2-4BE8-8492-093BF9A7E4E6}" scale="80" showGridLines="0" outlineSymbols="0" zeroValues="0" fitToPage="1" printArea="1" filter="1" showAutoFilter="1" hiddenColumns="1" view="pageBreakPreview">
      <selection activeCell="G6" sqref="G6"/>
      <pageMargins left="0" right="0" top="0" bottom="0" header="0" footer="0"/>
      <printOptions horizontalCentered="1"/>
      <pageSetup paperSize="9" scale="56" orientation="landscape" r:id="rId37"/>
      <autoFilter ref="AJ4:AJ78">
        <filterColumn colId="0">
          <customFilters>
            <customFilter operator="notEqual" val=" "/>
          </customFilters>
        </filterColumn>
      </autoFilter>
    </customSheetView>
    <customSheetView guid="{BEF1F9A1-9BE8-4B92-B921-6FE20F0F8630}" scale="90" showGridLines="0" outlineSymbols="0" zeroValues="0" fitToPage="1" printArea="1" showAutoFilter="1" hiddenColumns="1" view="pageBreakPreview">
      <pane xSplit="5" ySplit="1" topLeftCell="G35" activePane="bottomRight" state="frozen"/>
      <selection pane="bottomRight" activeCell="X44" sqref="X44"/>
      <pageMargins left="0" right="0" top="0" bottom="0" header="0" footer="0"/>
      <printOptions horizontalCentered="1"/>
      <pageSetup paperSize="9" scale="27" orientation="landscape" r:id="rId38"/>
      <autoFilter ref="AJ4:AJ78"/>
    </customSheetView>
    <customSheetView guid="{13B17853-2F7C-4003-B2CE-F9B420C9ECC4}" scale="70" showGridLines="0" outlineSymbols="0" zeroValues="0" fitToPage="1" filter="1" showAutoFilter="1" hiddenColumns="1" view="pageBreakPreview">
      <pane xSplit="7" ySplit="4" topLeftCell="J5" activePane="bottomRight" state="frozen"/>
      <selection pane="bottomRight" activeCell="Y8" sqref="Y8"/>
      <pageMargins left="0" right="0" top="0" bottom="0" header="0" footer="0"/>
      <printOptions horizontalCentered="1"/>
      <pageSetup paperSize="9" scale="49" orientation="landscape" r:id="rId39"/>
      <autoFilter ref="AJ4:AJ78">
        <filterColumn colId="0">
          <customFilters>
            <customFilter operator="notEqual" val=" "/>
          </customFilters>
        </filterColumn>
      </autoFilter>
    </customSheetView>
    <customSheetView guid="{03286019-F3C8-4017-B71E-61FCF78BA513}" scale="70" showGridLines="0" outlineSymbols="0" zeroValues="0" fitToPage="1" printArea="1" filter="1" showAutoFilter="1" hiddenColumns="1" view="pageBreakPreview">
      <pane xSplit="7" ySplit="4" topLeftCell="H8" activePane="bottomRight" state="frozen"/>
      <selection pane="bottomRight" activeCell="X41" sqref="X41"/>
      <pageMargins left="0" right="0" top="0" bottom="0" header="0" footer="0"/>
      <printOptions horizontalCentered="1"/>
      <pageSetup paperSize="9" scale="55" orientation="landscape" r:id="rId40"/>
      <autoFilter ref="AJ4:AJ78">
        <filterColumn colId="0">
          <customFilters>
            <customFilter operator="notEqual" val=" "/>
          </customFilters>
        </filterColumn>
      </autoFilter>
    </customSheetView>
    <customSheetView guid="{A5947B2F-936B-413A-8E47-744AE1AC646A}" scale="90" showGridLines="0" outlineSymbols="0" zeroValues="0" fitToPage="1" printArea="1" filter="1" showAutoFilter="1" hiddenColumns="1" view="pageBreakPreview">
      <pane xSplit="5" ySplit="1" topLeftCell="G2" activePane="bottomRight" state="frozen"/>
      <selection pane="bottomRight" activeCell="M10" sqref="M10"/>
      <pageMargins left="0" right="0" top="0" bottom="0" header="0" footer="0"/>
      <printOptions horizontalCentered="1"/>
      <pageSetup paperSize="9" scale="55" orientation="landscape" r:id="rId41"/>
      <autoFilter ref="AJ4:AJ78">
        <filterColumn colId="0">
          <customFilters>
            <customFilter operator="notEqual" val=" "/>
          </customFilters>
        </filterColumn>
      </autoFilter>
    </customSheetView>
  </customSheetViews>
  <mergeCells count="28">
    <mergeCell ref="AF34:AI34"/>
    <mergeCell ref="H35:J35"/>
    <mergeCell ref="K35:M35"/>
    <mergeCell ref="N35:P35"/>
    <mergeCell ref="Q35:S35"/>
    <mergeCell ref="X34:AA34"/>
    <mergeCell ref="AB34:AE34"/>
    <mergeCell ref="A34:A35"/>
    <mergeCell ref="C34:C35"/>
    <mergeCell ref="G34:G35"/>
    <mergeCell ref="H34:S34"/>
    <mergeCell ref="T34:W34"/>
    <mergeCell ref="F3:F4"/>
    <mergeCell ref="A1:AI1"/>
    <mergeCell ref="T3:AE3"/>
    <mergeCell ref="AF3:AI3"/>
    <mergeCell ref="T4:U4"/>
    <mergeCell ref="A3:A4"/>
    <mergeCell ref="B3:B4"/>
    <mergeCell ref="C3:C4"/>
    <mergeCell ref="G3:G4"/>
    <mergeCell ref="H3:J3"/>
    <mergeCell ref="W4:X4"/>
    <mergeCell ref="Z4:AA4"/>
    <mergeCell ref="AC4:AD4"/>
    <mergeCell ref="K3:M3"/>
    <mergeCell ref="N3:P3"/>
    <mergeCell ref="Q3:S3"/>
  </mergeCells>
  <phoneticPr fontId="3" type="noConversion"/>
  <conditionalFormatting sqref="AF5:AI33 AF36:AI71">
    <cfRule type="cellIs" dxfId="3" priority="3" operator="greaterThan">
      <formula>$C5</formula>
    </cfRule>
  </conditionalFormatting>
  <conditionalFormatting sqref="AF5:AI71">
    <cfRule type="cellIs" dxfId="2" priority="1" operator="lessThan">
      <formula>$AM5</formula>
    </cfRule>
  </conditionalFormatting>
  <printOptions horizontalCentered="1"/>
  <pageMargins left="0.39370078740157483" right="0.39370078740157483" top="0.39370078740157483" bottom="0.59055118110236227" header="0.19685039370078741" footer="0.19685039370078741"/>
  <pageSetup paperSize="9" scale="52" orientation="landscape" r:id="rId42"/>
  <legacyDrawing r:id="rId4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生產線別參照!$B$2:$B$3</xm:f>
          </x14:formula1>
          <xm:sqref>T5:T22 W5:W22 Z5:Z22 AC5:AC22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89FFFF"/>
    <pageSetUpPr autoPageBreaks="0" fitToPage="1"/>
  </sheetPr>
  <dimension ref="A1:AM84"/>
  <sheetViews>
    <sheetView showGridLines="0" showZeros="0" showOutlineSymbols="0" view="pageBreakPreview" zoomScale="80" zoomScaleNormal="80" zoomScaleSheetLayoutView="80" zoomScalePageLayoutView="72" workbookViewId="0">
      <pane xSplit="6" ySplit="5" topLeftCell="G6" activePane="bottomRight" state="frozen"/>
      <selection pane="topRight" activeCell="Z135" sqref="Z135"/>
      <selection pane="bottomLeft" activeCell="Z135" sqref="Z135"/>
      <selection pane="bottomRight" activeCell="D2" sqref="D1:F1048576"/>
    </sheetView>
  </sheetViews>
  <sheetFormatPr defaultColWidth="8.875" defaultRowHeight="17.25" x14ac:dyDescent="0.3"/>
  <cols>
    <col min="1" max="1" width="11.125" style="12" customWidth="1"/>
    <col min="2" max="2" width="35" style="1" hidden="1" customWidth="1"/>
    <col min="3" max="3" width="8.875" style="12" customWidth="1"/>
    <col min="4" max="4" width="11.625" style="12" hidden="1" customWidth="1"/>
    <col min="5" max="5" width="8.875" style="352" hidden="1" customWidth="1"/>
    <col min="6" max="6" width="11.625" style="12" hidden="1" customWidth="1"/>
    <col min="7" max="7" width="8.875" style="12" customWidth="1"/>
    <col min="8" max="18" width="8.875" style="1" customWidth="1"/>
    <col min="19" max="19" width="11.875" style="1" bestFit="1" customWidth="1"/>
    <col min="20" max="20" width="7.625" style="1" customWidth="1"/>
    <col min="21" max="21" width="8.875" style="1" customWidth="1"/>
    <col min="22" max="27" width="7.625" style="1" customWidth="1"/>
    <col min="28" max="28" width="9" style="121" bestFit="1" customWidth="1"/>
    <col min="29" max="29" width="8.375" style="1" customWidth="1"/>
    <col min="30" max="30" width="8.875" style="1" customWidth="1"/>
    <col min="31" max="31" width="9.375" style="1" customWidth="1"/>
    <col min="32" max="32" width="8.875" style="236" bestFit="1" customWidth="1"/>
    <col min="33" max="33" width="2.5" style="1" bestFit="1" customWidth="1"/>
    <col min="34" max="34" width="8.875" style="1"/>
    <col min="35" max="35" width="8.875" style="663"/>
    <col min="36" max="16384" width="8.875" style="1"/>
  </cols>
  <sheetData>
    <row r="1" spans="1:35" ht="20.100000000000001" customHeight="1" x14ac:dyDescent="0.25">
      <c r="A1" s="1016" t="s">
        <v>185</v>
      </c>
      <c r="B1" s="1041"/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1041"/>
      <c r="N1" s="1041"/>
      <c r="O1" s="1041"/>
      <c r="P1" s="1041"/>
      <c r="Q1" s="1041"/>
      <c r="R1" s="1041"/>
      <c r="S1" s="1041"/>
      <c r="T1" s="1042"/>
      <c r="U1" s="1042"/>
      <c r="V1" s="1041"/>
      <c r="W1" s="1041"/>
      <c r="X1" s="1041"/>
      <c r="Y1" s="1041"/>
      <c r="Z1" s="1041"/>
      <c r="AA1" s="1041"/>
      <c r="AB1" s="1041"/>
      <c r="AC1" s="1041"/>
      <c r="AD1" s="1041"/>
      <c r="AE1" s="1041"/>
    </row>
    <row r="2" spans="1:35" ht="20.100000000000001" customHeight="1" thickBot="1" x14ac:dyDescent="0.3">
      <c r="A2" s="109" t="s">
        <v>2</v>
      </c>
      <c r="B2" s="3"/>
      <c r="C2" s="17"/>
      <c r="D2" s="17"/>
      <c r="E2" s="17"/>
      <c r="F2" s="17"/>
      <c r="G2" s="1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T2" s="5"/>
      <c r="U2" s="5"/>
      <c r="AB2" s="6"/>
      <c r="AC2" s="5"/>
      <c r="AD2" s="19"/>
      <c r="AE2" s="19" t="str">
        <f>+"日期："&amp;TEXT($G$3,"YYYY/MM/DD")</f>
        <v>日期：2026/08/24</v>
      </c>
    </row>
    <row r="3" spans="1:35" ht="33.4" customHeight="1" thickTop="1" thickBot="1" x14ac:dyDescent="0.3">
      <c r="A3" s="1004" t="str">
        <f>精餾產銷!A3</f>
        <v>成品品名</v>
      </c>
      <c r="B3" s="1006" t="str">
        <f>精餾產銷!B3</f>
        <v>存放位置
(隱藏)</v>
      </c>
      <c r="C3" s="1044" t="str">
        <f>精餾產銷!C3</f>
        <v>儲槽
容量
(MT)</v>
      </c>
      <c r="D3" s="184" t="str">
        <f>精餾產銷!D3</f>
        <v>資材</v>
      </c>
      <c r="E3" s="185" t="str">
        <f>精餾產銷!E3</f>
        <v>製2</v>
      </c>
      <c r="F3" s="1047" t="str">
        <f>精餾產銷!F3</f>
        <v>桶底</v>
      </c>
      <c r="G3" s="1010">
        <f>精餾產銷!G3</f>
        <v>46258</v>
      </c>
      <c r="H3" s="1012" t="str">
        <f>精餾產銷!H3</f>
        <v>08/24~08/31</v>
      </c>
      <c r="I3" s="1013"/>
      <c r="J3" s="1028">
        <f>精餾產銷!J3</f>
        <v>46295</v>
      </c>
      <c r="K3" s="1029"/>
      <c r="L3" s="1028">
        <f>精餾產銷!L3</f>
        <v>46326</v>
      </c>
      <c r="M3" s="1029"/>
      <c r="N3" s="1030">
        <f>精餾產銷!N3</f>
        <v>46356</v>
      </c>
      <c r="O3" s="1030"/>
      <c r="P3" s="1031" t="str">
        <f>精餾產銷!P3</f>
        <v>生產量</v>
      </c>
      <c r="Q3" s="1032"/>
      <c r="R3" s="1032"/>
      <c r="S3" s="1032"/>
      <c r="T3" s="1032"/>
      <c r="U3" s="1032"/>
      <c r="V3" s="1032"/>
      <c r="W3" s="1032"/>
      <c r="X3" s="1032"/>
      <c r="Y3" s="1032"/>
      <c r="Z3" s="1032"/>
      <c r="AA3" s="1033"/>
      <c r="AB3" s="1017" t="str">
        <f>精餾產銷!AB3</f>
        <v>庫存</v>
      </c>
      <c r="AC3" s="1018"/>
      <c r="AD3" s="1018"/>
      <c r="AE3" s="1023"/>
      <c r="AH3" s="15" t="s">
        <v>18</v>
      </c>
      <c r="AI3" s="664"/>
    </row>
    <row r="4" spans="1:35" ht="33.4" customHeight="1" thickBot="1" x14ac:dyDescent="0.3">
      <c r="A4" s="1043"/>
      <c r="B4" s="1007"/>
      <c r="C4" s="1045"/>
      <c r="D4" s="186" t="str">
        <f>精餾產銷!D4</f>
        <v>庫存</v>
      </c>
      <c r="E4" s="187" t="str">
        <f>精餾產銷!E4</f>
        <v>庫存</v>
      </c>
      <c r="F4" s="1048"/>
      <c r="G4" s="1046"/>
      <c r="H4" s="308" t="str">
        <f>精餾產銷!H4</f>
        <v>銷售</v>
      </c>
      <c r="I4" s="302" t="str">
        <f>精餾產銷!I4</f>
        <v>耗用</v>
      </c>
      <c r="J4" s="308" t="str">
        <f>精餾產銷!J4</f>
        <v>銷售</v>
      </c>
      <c r="K4" s="309" t="str">
        <f>精餾產銷!K4</f>
        <v>耗用</v>
      </c>
      <c r="L4" s="308" t="str">
        <f>精餾產銷!L4</f>
        <v>銷售</v>
      </c>
      <c r="M4" s="309" t="str">
        <f>精餾產銷!M4</f>
        <v>耗用</v>
      </c>
      <c r="N4" s="310" t="str">
        <f>精餾產銷!N4</f>
        <v>銷售</v>
      </c>
      <c r="O4" s="302" t="str">
        <f>精餾產銷!O4</f>
        <v>耗用</v>
      </c>
      <c r="P4" s="1072" t="str">
        <f>精餾產銷!P4</f>
        <v>24~31</v>
      </c>
      <c r="Q4" s="1073"/>
      <c r="R4" s="312" t="str">
        <f>精餾產銷!R4</f>
        <v>數量</v>
      </c>
      <c r="S4" s="1039" t="str">
        <f>精餾產銷!S4</f>
        <v>9月</v>
      </c>
      <c r="T4" s="1040"/>
      <c r="U4" s="313" t="str">
        <f>精餾產銷!U4</f>
        <v>數量</v>
      </c>
      <c r="V4" s="1039" t="str">
        <f>精餾產銷!V4</f>
        <v>10月</v>
      </c>
      <c r="W4" s="1039"/>
      <c r="X4" s="319" t="str">
        <f>精餾產銷!X4</f>
        <v>數量</v>
      </c>
      <c r="Y4" s="1074" t="str">
        <f>精餾產銷!Y4</f>
        <v>11月</v>
      </c>
      <c r="Z4" s="1074"/>
      <c r="AA4" s="314" t="str">
        <f>精餾產銷!AA4</f>
        <v>數量</v>
      </c>
      <c r="AB4" s="315" t="str">
        <f>精餾產銷!AB4</f>
        <v>8/31</v>
      </c>
      <c r="AC4" s="316">
        <f>精餾產銷!AC4</f>
        <v>46295</v>
      </c>
      <c r="AD4" s="317">
        <f>精餾產銷!AD4</f>
        <v>46326</v>
      </c>
      <c r="AE4" s="318">
        <f>精餾產銷!AE4</f>
        <v>46356</v>
      </c>
      <c r="AH4" s="9" t="s">
        <v>22</v>
      </c>
      <c r="AI4" s="665" t="s">
        <v>23</v>
      </c>
    </row>
    <row r="5" spans="1:35" ht="33.4" hidden="1" customHeight="1" x14ac:dyDescent="0.25">
      <c r="A5" s="98"/>
      <c r="B5" s="208"/>
      <c r="C5" s="913"/>
      <c r="D5" s="203">
        <v>0</v>
      </c>
      <c r="E5" s="246"/>
      <c r="F5" s="246"/>
      <c r="G5" s="143">
        <f>+D5+E5-F5</f>
        <v>0</v>
      </c>
      <c r="H5" s="144">
        <v>0</v>
      </c>
      <c r="I5" s="87"/>
      <c r="J5" s="241">
        <v>0</v>
      </c>
      <c r="K5" s="242"/>
      <c r="L5" s="241">
        <v>0</v>
      </c>
      <c r="M5" s="242"/>
      <c r="N5" s="243">
        <v>0</v>
      </c>
      <c r="O5" s="288"/>
      <c r="P5" s="289">
        <f>+IF(R5=0,0,"參配")</f>
        <v>0</v>
      </c>
      <c r="Q5" s="295">
        <f>+IF(R5=0,0,P$4)</f>
        <v>0</v>
      </c>
      <c r="R5" s="268"/>
      <c r="S5" s="229">
        <f t="shared" ref="S5" si="0">+IF(U5=0,0,"參配")</f>
        <v>0</v>
      </c>
      <c r="T5" s="298">
        <f t="shared" ref="T5" si="1">+IF(U5=0,0,S$4)</f>
        <v>0</v>
      </c>
      <c r="U5" s="268"/>
      <c r="V5" s="229">
        <f t="shared" ref="V5" si="2">+IF(X5=0,0,"參配")</f>
        <v>0</v>
      </c>
      <c r="W5" s="298">
        <f t="shared" ref="W5" si="3">+IF(X5=0,0,V$4)</f>
        <v>0</v>
      </c>
      <c r="X5" s="268"/>
      <c r="Y5" s="229">
        <f t="shared" ref="Y5" si="4">+IF(AA5=0,0,"參配")</f>
        <v>0</v>
      </c>
      <c r="Z5" s="298">
        <f t="shared" ref="Z5" si="5">+IF(AA5=0,0,Y$4)</f>
        <v>0</v>
      </c>
      <c r="AA5" s="290"/>
      <c r="AB5" s="131">
        <f>+G5-SUM(H5:I5)+SUM(R5:R5)</f>
        <v>0</v>
      </c>
      <c r="AC5" s="132">
        <f>+AB5-SUM(J5:K5)+SUM(U5:U5)</f>
        <v>0</v>
      </c>
      <c r="AD5" s="132">
        <f>+AC5-SUM(L5:M5)+SUM(X5:X5)</f>
        <v>0</v>
      </c>
      <c r="AE5" s="133">
        <f>+AD5-SUM(N5:O5)+SUM(AA5:AA5)</f>
        <v>0</v>
      </c>
      <c r="AF5" s="236">
        <f>+IF(SUM(G5,H5:O5,R5,U5,X5,AA5)=0,0,1)</f>
        <v>0</v>
      </c>
      <c r="AI5" s="660"/>
    </row>
    <row r="6" spans="1:35" ht="33.4" customHeight="1" x14ac:dyDescent="0.25">
      <c r="A6" s="99" t="s">
        <v>186</v>
      </c>
      <c r="B6" s="206" t="s">
        <v>187</v>
      </c>
      <c r="C6" s="37">
        <v>170</v>
      </c>
      <c r="D6" s="203">
        <v>157.58600000000001</v>
      </c>
      <c r="E6" s="203"/>
      <c r="F6" s="203"/>
      <c r="G6" s="62">
        <f>IF(+D6+E6-F6&lt;=0,0,+D6+E6-F6)</f>
        <v>157.58600000000001</v>
      </c>
      <c r="H6" s="71">
        <v>29</v>
      </c>
      <c r="I6" s="38"/>
      <c r="J6" s="72">
        <v>110</v>
      </c>
      <c r="K6" s="42"/>
      <c r="L6" s="72">
        <v>110</v>
      </c>
      <c r="M6" s="42"/>
      <c r="N6" s="72">
        <v>110</v>
      </c>
      <c r="O6" s="41"/>
      <c r="P6" s="289" t="str">
        <f>+IF(R6=0,0,"參配")</f>
        <v>參配</v>
      </c>
      <c r="Q6" s="295" t="str">
        <f>+IF(R6=0,0,P$4)</f>
        <v>24~31</v>
      </c>
      <c r="R6" s="268">
        <v>26.3</v>
      </c>
      <c r="S6" s="229" t="str">
        <f>+IF(U6=0,0,"參配")</f>
        <v>參配</v>
      </c>
      <c r="T6" s="298" t="str">
        <f>+IF(U6=0,0,S$4)</f>
        <v>9月</v>
      </c>
      <c r="U6" s="268">
        <v>114</v>
      </c>
      <c r="V6" s="229" t="str">
        <f>+IF(X6=0,0,"參配")</f>
        <v>參配</v>
      </c>
      <c r="W6" s="298" t="str">
        <f>+IF(X6=0,0,V$4)</f>
        <v>10月</v>
      </c>
      <c r="X6" s="268">
        <v>114</v>
      </c>
      <c r="Y6" s="229" t="str">
        <f>+IF(AA6=0,0,"參配")</f>
        <v>參配</v>
      </c>
      <c r="Z6" s="298" t="str">
        <f>+IF(AA6=0,0,Y$4)</f>
        <v>11月</v>
      </c>
      <c r="AA6" s="268">
        <v>114</v>
      </c>
      <c r="AB6" s="131">
        <f>+G6-SUM(H6:I6)+SUM(R6:R6)</f>
        <v>154.88600000000002</v>
      </c>
      <c r="AC6" s="132">
        <f>+AB6-SUM(J6:K6)+SUM(U6:U6)</f>
        <v>158.88600000000002</v>
      </c>
      <c r="AD6" s="132">
        <f>+AC6-SUM(L6:M6)+SUM(X6:X6)</f>
        <v>162.88600000000002</v>
      </c>
      <c r="AE6" s="133">
        <f>+AD6-SUM(N6:O6)+SUM(AA6:AA6)</f>
        <v>166.88600000000002</v>
      </c>
      <c r="AF6" s="236">
        <f t="shared" ref="AF6:AF74" si="6">+IF(SUM(G6,H6:O6,R6,U6,X6,AA6)=0,0,1)</f>
        <v>1</v>
      </c>
      <c r="AI6" s="666">
        <v>315</v>
      </c>
    </row>
    <row r="7" spans="1:35" ht="33.4" customHeight="1" x14ac:dyDescent="0.25">
      <c r="A7" s="101" t="s">
        <v>188</v>
      </c>
      <c r="B7" s="207" t="s">
        <v>189</v>
      </c>
      <c r="C7" s="40">
        <v>50</v>
      </c>
      <c r="D7" s="203">
        <v>60.561999999999998</v>
      </c>
      <c r="E7" s="194"/>
      <c r="F7" s="194"/>
      <c r="G7" s="65">
        <f>IF(+D7+E7-F7&lt;=0,0,+D7+E7-F7)</f>
        <v>60.561999999999998</v>
      </c>
      <c r="H7" s="72">
        <v>11</v>
      </c>
      <c r="I7" s="41"/>
      <c r="J7" s="72">
        <v>40</v>
      </c>
      <c r="K7" s="42"/>
      <c r="L7" s="72">
        <v>40</v>
      </c>
      <c r="M7" s="42"/>
      <c r="N7" s="81">
        <v>40</v>
      </c>
      <c r="O7" s="41"/>
      <c r="P7" s="289">
        <f t="shared" ref="P7:P34" si="7">+IF(R7=0,0,"參配")</f>
        <v>0</v>
      </c>
      <c r="Q7" s="295">
        <f t="shared" ref="Q7:Q34" si="8">+IF(R7=0,0,P$4)</f>
        <v>0</v>
      </c>
      <c r="R7" s="268"/>
      <c r="S7" s="229" t="str">
        <f>+IF(U7=0,0,"參配")</f>
        <v>參配</v>
      </c>
      <c r="T7" s="298" t="str">
        <f t="shared" ref="T7:T34" si="9">+IF(U7=0,0,S$4)</f>
        <v>9月</v>
      </c>
      <c r="U7" s="268">
        <v>36</v>
      </c>
      <c r="V7" s="229" t="str">
        <f t="shared" ref="V7:V34" si="10">+IF(X7=0,0,"參配")</f>
        <v>參配</v>
      </c>
      <c r="W7" s="298" t="str">
        <f t="shared" ref="W7:W34" si="11">+IF(X7=0,0,V$4)</f>
        <v>10月</v>
      </c>
      <c r="X7" s="268">
        <v>36</v>
      </c>
      <c r="Y7" s="229" t="str">
        <f t="shared" ref="Y7:Y34" si="12">+IF(AA7=0,0,"參配")</f>
        <v>參配</v>
      </c>
      <c r="Z7" s="298" t="str">
        <f t="shared" ref="Z7:Z34" si="13">+IF(AA7=0,0,Y$4)</f>
        <v>11月</v>
      </c>
      <c r="AA7" s="268">
        <v>36</v>
      </c>
      <c r="AB7" s="131">
        <f>+G7-SUM(H7:I7)+SUM(R7)</f>
        <v>49.561999999999998</v>
      </c>
      <c r="AC7" s="132">
        <f>+AB7-SUM(J7:K7)+SUM(U7)</f>
        <v>45.561999999999998</v>
      </c>
      <c r="AD7" s="132">
        <f>+AC7-SUM(L7:M7)+SUM(X7)</f>
        <v>41.561999999999998</v>
      </c>
      <c r="AE7" s="133">
        <f>+AD7-SUM(N7:O7)+SUM(AA7)</f>
        <v>37.561999999999998</v>
      </c>
      <c r="AF7" s="236">
        <f>+IF(SUM(G7,H7:O7,R7,U7,X7,AA7)=0,0,1)</f>
        <v>1</v>
      </c>
      <c r="AI7" s="666">
        <v>210</v>
      </c>
    </row>
    <row r="8" spans="1:35" ht="33.4" customHeight="1" x14ac:dyDescent="0.25">
      <c r="A8" s="99" t="s">
        <v>190</v>
      </c>
      <c r="B8" s="211" t="s">
        <v>191</v>
      </c>
      <c r="C8" s="37">
        <v>25</v>
      </c>
      <c r="D8" s="203">
        <v>26</v>
      </c>
      <c r="E8" s="194"/>
      <c r="F8" s="194"/>
      <c r="G8" s="62">
        <f>IF(+D8+E8-F8&lt;=0,0,+D8+E8-F8)</f>
        <v>26</v>
      </c>
      <c r="H8" s="75">
        <v>0</v>
      </c>
      <c r="I8" s="38"/>
      <c r="J8" s="78">
        <v>0</v>
      </c>
      <c r="K8" s="39"/>
      <c r="L8" s="71">
        <v>0</v>
      </c>
      <c r="M8" s="39"/>
      <c r="N8" s="84">
        <v>0</v>
      </c>
      <c r="O8" s="38"/>
      <c r="P8" s="289">
        <f t="shared" si="7"/>
        <v>0</v>
      </c>
      <c r="Q8" s="295">
        <f t="shared" si="8"/>
        <v>0</v>
      </c>
      <c r="R8" s="268">
        <v>0</v>
      </c>
      <c r="S8" s="229">
        <f>+IF(U8=0,0,"參配")</f>
        <v>0</v>
      </c>
      <c r="T8" s="298">
        <f t="shared" si="9"/>
        <v>0</v>
      </c>
      <c r="U8" s="268"/>
      <c r="V8" s="229">
        <f t="shared" si="10"/>
        <v>0</v>
      </c>
      <c r="W8" s="298">
        <f t="shared" si="11"/>
        <v>0</v>
      </c>
      <c r="X8" s="268"/>
      <c r="Y8" s="229">
        <f t="shared" si="12"/>
        <v>0</v>
      </c>
      <c r="Z8" s="298">
        <f t="shared" si="13"/>
        <v>0</v>
      </c>
      <c r="AA8" s="268"/>
      <c r="AB8" s="131">
        <f>+G8-SUM(H8:I8)+SUM(R8)</f>
        <v>26</v>
      </c>
      <c r="AC8" s="132">
        <f>+AB8-SUM(J8:K8)+SUM(U8)</f>
        <v>26</v>
      </c>
      <c r="AD8" s="132">
        <f>+AC8-SUM(L8:M8)+SUM(X8)</f>
        <v>26</v>
      </c>
      <c r="AE8" s="133">
        <f>+AD8-SUM(N8:O8)+SUM(AA8)</f>
        <v>26</v>
      </c>
      <c r="AF8" s="236">
        <f t="shared" si="6"/>
        <v>1</v>
      </c>
      <c r="AI8" s="666">
        <v>35</v>
      </c>
    </row>
    <row r="9" spans="1:35" ht="33.4" customHeight="1" x14ac:dyDescent="0.25">
      <c r="A9" s="99" t="s">
        <v>192</v>
      </c>
      <c r="B9" s="211" t="s">
        <v>193</v>
      </c>
      <c r="C9" s="37">
        <v>500</v>
      </c>
      <c r="D9" s="203">
        <v>587.00199999999995</v>
      </c>
      <c r="E9" s="194"/>
      <c r="F9" s="194"/>
      <c r="G9" s="62">
        <f t="shared" ref="G9" si="14">IF(+D9+E9-F9&lt;=0,0,+D9+E9-F9)</f>
        <v>587.00199999999995</v>
      </c>
      <c r="H9" s="75">
        <v>80</v>
      </c>
      <c r="I9" s="38"/>
      <c r="J9" s="78">
        <v>310</v>
      </c>
      <c r="K9" s="39"/>
      <c r="L9" s="71">
        <v>310</v>
      </c>
      <c r="M9" s="39"/>
      <c r="N9" s="84">
        <v>310</v>
      </c>
      <c r="O9" s="38"/>
      <c r="P9" s="289" t="str">
        <f t="shared" si="7"/>
        <v>參配</v>
      </c>
      <c r="Q9" s="295" t="str">
        <f t="shared" si="8"/>
        <v>24~31</v>
      </c>
      <c r="R9" s="268">
        <v>54</v>
      </c>
      <c r="S9" s="229" t="str">
        <f t="shared" ref="S9:S34" si="15">+IF(U9=0,0,"參配")</f>
        <v>參配</v>
      </c>
      <c r="T9" s="298" t="str">
        <f t="shared" si="9"/>
        <v>9月</v>
      </c>
      <c r="U9" s="268">
        <v>287.60000000000002</v>
      </c>
      <c r="V9" s="229" t="str">
        <f t="shared" si="10"/>
        <v>參配</v>
      </c>
      <c r="W9" s="298" t="str">
        <f t="shared" si="11"/>
        <v>10月</v>
      </c>
      <c r="X9" s="268">
        <v>287.60000000000002</v>
      </c>
      <c r="Y9" s="229" t="str">
        <f t="shared" si="12"/>
        <v>參配</v>
      </c>
      <c r="Z9" s="298" t="str">
        <f t="shared" si="13"/>
        <v>11月</v>
      </c>
      <c r="AA9" s="268">
        <v>287.60000000000002</v>
      </c>
      <c r="AB9" s="137">
        <f t="shared" ref="AB9:AB34" si="16">+G9-SUM(H9:I9)+SUM(R9)</f>
        <v>561.00199999999995</v>
      </c>
      <c r="AC9" s="138">
        <f t="shared" ref="AC9:AC34" si="17">+AB9-SUM(J9:K9)+SUM(U9)</f>
        <v>538.60199999999998</v>
      </c>
      <c r="AD9" s="138">
        <f t="shared" ref="AD9:AD34" si="18">+AC9-SUM(L9:M9)+SUM(X9)</f>
        <v>516.202</v>
      </c>
      <c r="AE9" s="139">
        <f t="shared" ref="AE9:AE34" si="19">+AD9-SUM(N9:O9)+SUM(AA9)</f>
        <v>493.80200000000002</v>
      </c>
      <c r="AF9" s="236">
        <f t="shared" si="6"/>
        <v>1</v>
      </c>
      <c r="AI9" s="666">
        <v>920</v>
      </c>
    </row>
    <row r="10" spans="1:35" ht="33.4" customHeight="1" x14ac:dyDescent="0.25">
      <c r="A10" s="99" t="s">
        <v>194</v>
      </c>
      <c r="B10" s="211" t="s">
        <v>195</v>
      </c>
      <c r="C10" s="37">
        <v>80</v>
      </c>
      <c r="D10" s="203">
        <f>53.922+28.215</f>
        <v>82.137</v>
      </c>
      <c r="E10" s="194"/>
      <c r="F10" s="194"/>
      <c r="G10" s="62">
        <f>IF(+D10+E10-F10&lt;=0,0,+D10+E10-F10)</f>
        <v>82.137</v>
      </c>
      <c r="H10" s="75">
        <v>0</v>
      </c>
      <c r="I10" s="38"/>
      <c r="J10" s="78"/>
      <c r="K10" s="39"/>
      <c r="L10" s="71"/>
      <c r="M10" s="39"/>
      <c r="N10" s="84"/>
      <c r="O10" s="38"/>
      <c r="P10" s="289">
        <f t="shared" si="7"/>
        <v>0</v>
      </c>
      <c r="Q10" s="295">
        <f t="shared" si="8"/>
        <v>0</v>
      </c>
      <c r="R10" s="268">
        <v>0</v>
      </c>
      <c r="S10" s="229">
        <f t="shared" si="15"/>
        <v>0</v>
      </c>
      <c r="T10" s="298">
        <f t="shared" si="9"/>
        <v>0</v>
      </c>
      <c r="U10" s="268"/>
      <c r="V10" s="229">
        <f t="shared" si="10"/>
        <v>0</v>
      </c>
      <c r="W10" s="298">
        <f t="shared" si="11"/>
        <v>0</v>
      </c>
      <c r="X10" s="268"/>
      <c r="Y10" s="229">
        <f t="shared" si="12"/>
        <v>0</v>
      </c>
      <c r="Z10" s="298">
        <f t="shared" si="13"/>
        <v>0</v>
      </c>
      <c r="AA10" s="268"/>
      <c r="AB10" s="147">
        <f t="shared" si="16"/>
        <v>82.137</v>
      </c>
      <c r="AC10" s="138">
        <f t="shared" si="17"/>
        <v>82.137</v>
      </c>
      <c r="AD10" s="138">
        <f>+AC10-SUM(L10:M10)+SUM(X10)</f>
        <v>82.137</v>
      </c>
      <c r="AE10" s="139">
        <f t="shared" si="19"/>
        <v>82.137</v>
      </c>
      <c r="AF10" s="236">
        <f t="shared" si="6"/>
        <v>1</v>
      </c>
      <c r="AI10" s="666"/>
    </row>
    <row r="11" spans="1:35" ht="33.4" customHeight="1" x14ac:dyDescent="0.25">
      <c r="A11" s="99" t="s">
        <v>196</v>
      </c>
      <c r="B11" s="194" t="s">
        <v>197</v>
      </c>
      <c r="C11" s="40">
        <v>40</v>
      </c>
      <c r="D11" s="203">
        <v>34.72</v>
      </c>
      <c r="E11" s="194"/>
      <c r="F11" s="194"/>
      <c r="G11" s="927">
        <f>IF(+D11+E11-F11&lt;=0,0,+D11+E11-F11)</f>
        <v>34.72</v>
      </c>
      <c r="H11" s="72">
        <v>17</v>
      </c>
      <c r="I11" s="41"/>
      <c r="J11" s="72">
        <v>17</v>
      </c>
      <c r="K11" s="42"/>
      <c r="L11" s="72">
        <v>34</v>
      </c>
      <c r="M11" s="42"/>
      <c r="N11" s="81">
        <v>34</v>
      </c>
      <c r="O11" s="41"/>
      <c r="P11" s="289" t="str">
        <f>+IF(R11=0,0,"參配")</f>
        <v>參配</v>
      </c>
      <c r="Q11" s="295" t="str">
        <f>+IF(R11=0,0,P$4)</f>
        <v>24~31</v>
      </c>
      <c r="R11" s="268">
        <v>8.9</v>
      </c>
      <c r="S11" s="229" t="str">
        <f>+IF(U11=0,0,"參配")</f>
        <v>參配</v>
      </c>
      <c r="T11" s="298" t="str">
        <f>+IF(U11=0,0,S$4)</f>
        <v>9月</v>
      </c>
      <c r="U11" s="268">
        <v>34</v>
      </c>
      <c r="V11" s="229" t="str">
        <f>+IF(X11=0,0,"參配")</f>
        <v>參配</v>
      </c>
      <c r="W11" s="298" t="str">
        <f>+IF(X11=0,0,V$4)</f>
        <v>10月</v>
      </c>
      <c r="X11" s="268">
        <v>34</v>
      </c>
      <c r="Y11" s="229" t="str">
        <f>+IF(AA11=0,0,"參配")</f>
        <v>參配</v>
      </c>
      <c r="Z11" s="298" t="str">
        <f>+IF(AA11=0,0,Y$4)</f>
        <v>11月</v>
      </c>
      <c r="AA11" s="268">
        <v>34</v>
      </c>
      <c r="AB11" s="131">
        <f>+G11-SUM(H11:I11)+SUM(R11)</f>
        <v>26.619999999999997</v>
      </c>
      <c r="AC11" s="148">
        <f>+AB11-SUM(J11:K11)+SUM(U11)</f>
        <v>43.62</v>
      </c>
      <c r="AD11" s="148">
        <f>+AC11-SUM(K11:L11)+SUM(X11)</f>
        <v>43.62</v>
      </c>
      <c r="AE11" s="149">
        <f>+AD11-SUM(N11:O11)+SUM(AA11)</f>
        <v>43.62</v>
      </c>
      <c r="AF11" s="236">
        <f>+IF(SUM(G11,H11:O11,R11,U11,X11,AA11)=0,0,1)</f>
        <v>1</v>
      </c>
      <c r="AI11" s="666">
        <v>210</v>
      </c>
    </row>
    <row r="12" spans="1:35" ht="33.4" customHeight="1" x14ac:dyDescent="0.25">
      <c r="A12" s="101" t="s">
        <v>198</v>
      </c>
      <c r="B12" s="212" t="s">
        <v>199</v>
      </c>
      <c r="C12" s="22">
        <f>54+5+5</f>
        <v>64</v>
      </c>
      <c r="D12" s="203">
        <f>3.8+5.47+0</f>
        <v>9.27</v>
      </c>
      <c r="E12" s="189"/>
      <c r="F12" s="189"/>
      <c r="G12" s="70">
        <f>IF(+D12+E12-F12&lt;=0,0,+D12+E12-F12)</f>
        <v>9.27</v>
      </c>
      <c r="H12" s="70">
        <v>14</v>
      </c>
      <c r="I12" s="23"/>
      <c r="J12" s="70">
        <v>40</v>
      </c>
      <c r="K12" s="24"/>
      <c r="L12" s="70">
        <v>40</v>
      </c>
      <c r="M12" s="24"/>
      <c r="N12" s="80">
        <v>40</v>
      </c>
      <c r="O12" s="38"/>
      <c r="P12" s="289">
        <f>+IF(R12=0,0,"參配")</f>
        <v>0</v>
      </c>
      <c r="Q12" s="298">
        <f>+IF(R12=0,0,P$4)</f>
        <v>0</v>
      </c>
      <c r="R12" s="268">
        <v>0</v>
      </c>
      <c r="S12" s="229" t="str">
        <f t="shared" si="15"/>
        <v>參配</v>
      </c>
      <c r="T12" s="298" t="str">
        <f t="shared" si="9"/>
        <v>9月</v>
      </c>
      <c r="U12" s="268">
        <v>40</v>
      </c>
      <c r="V12" s="229" t="str">
        <f t="shared" si="10"/>
        <v>參配</v>
      </c>
      <c r="W12" s="298" t="str">
        <f t="shared" si="11"/>
        <v>10月</v>
      </c>
      <c r="X12" s="268">
        <v>40</v>
      </c>
      <c r="Y12" s="229" t="str">
        <f t="shared" si="12"/>
        <v>參配</v>
      </c>
      <c r="Z12" s="298" t="str">
        <f t="shared" si="13"/>
        <v>11月</v>
      </c>
      <c r="AA12" s="290">
        <v>40</v>
      </c>
      <c r="AB12" s="131">
        <f t="shared" si="16"/>
        <v>-4.7300000000000004</v>
      </c>
      <c r="AC12" s="132">
        <f t="shared" si="17"/>
        <v>-4.730000000000004</v>
      </c>
      <c r="AD12" s="132">
        <f t="shared" si="18"/>
        <v>-4.730000000000004</v>
      </c>
      <c r="AE12" s="133">
        <f t="shared" si="19"/>
        <v>-4.730000000000004</v>
      </c>
      <c r="AF12" s="236">
        <f t="shared" si="6"/>
        <v>1</v>
      </c>
      <c r="AI12" s="666"/>
    </row>
    <row r="13" spans="1:35" ht="33.4" customHeight="1" thickBot="1" x14ac:dyDescent="0.3">
      <c r="A13" s="100" t="s">
        <v>200</v>
      </c>
      <c r="B13" s="210" t="s">
        <v>95</v>
      </c>
      <c r="C13" s="154">
        <v>23</v>
      </c>
      <c r="D13" s="247">
        <v>1.248</v>
      </c>
      <c r="E13" s="219">
        <v>2.4790000000000001</v>
      </c>
      <c r="F13" s="219"/>
      <c r="G13" s="69">
        <f>IF(+D13+E13-F13&lt;=0,0,+D13+E13-F13)</f>
        <v>3.7270000000000003</v>
      </c>
      <c r="H13" s="69">
        <v>1</v>
      </c>
      <c r="I13" s="32"/>
      <c r="J13" s="69">
        <v>2.5</v>
      </c>
      <c r="K13" s="33"/>
      <c r="L13" s="69">
        <v>2.5</v>
      </c>
      <c r="M13" s="33"/>
      <c r="N13" s="163">
        <v>2.5</v>
      </c>
      <c r="O13" s="32"/>
      <c r="P13" s="291">
        <f t="shared" si="7"/>
        <v>0</v>
      </c>
      <c r="Q13" s="296">
        <f t="shared" si="8"/>
        <v>0</v>
      </c>
      <c r="R13" s="283">
        <v>0</v>
      </c>
      <c r="S13" s="284" t="str">
        <f t="shared" si="15"/>
        <v>參配</v>
      </c>
      <c r="T13" s="299" t="str">
        <f t="shared" si="9"/>
        <v>9月</v>
      </c>
      <c r="U13" s="283">
        <v>4</v>
      </c>
      <c r="V13" s="284" t="str">
        <f t="shared" si="10"/>
        <v>參配</v>
      </c>
      <c r="W13" s="299" t="str">
        <f t="shared" si="11"/>
        <v>10月</v>
      </c>
      <c r="X13" s="283">
        <v>2</v>
      </c>
      <c r="Y13" s="284" t="str">
        <f t="shared" si="12"/>
        <v>參配</v>
      </c>
      <c r="Z13" s="299" t="str">
        <f t="shared" si="13"/>
        <v>11月</v>
      </c>
      <c r="AA13" s="292">
        <v>2</v>
      </c>
      <c r="AB13" s="134">
        <f t="shared" si="16"/>
        <v>2.7270000000000003</v>
      </c>
      <c r="AC13" s="135">
        <f t="shared" si="17"/>
        <v>4.2270000000000003</v>
      </c>
      <c r="AD13" s="135">
        <f t="shared" si="18"/>
        <v>3.7270000000000003</v>
      </c>
      <c r="AE13" s="136">
        <f t="shared" si="19"/>
        <v>3.2270000000000003</v>
      </c>
      <c r="AF13" s="236">
        <f t="shared" si="6"/>
        <v>1</v>
      </c>
      <c r="AI13" s="666"/>
    </row>
    <row r="14" spans="1:35" ht="33.4" hidden="1" customHeight="1" thickTop="1" x14ac:dyDescent="0.25">
      <c r="A14" s="97" t="s">
        <v>201</v>
      </c>
      <c r="B14" s="209"/>
      <c r="C14" s="18"/>
      <c r="D14" s="197"/>
      <c r="E14" s="191"/>
      <c r="F14" s="191"/>
      <c r="G14" s="160">
        <f t="shared" ref="G14:G17" si="20">+D14+E14-F14</f>
        <v>0</v>
      </c>
      <c r="H14" s="161"/>
      <c r="I14" s="88"/>
      <c r="J14" s="161"/>
      <c r="K14" s="86"/>
      <c r="L14" s="161"/>
      <c r="M14" s="86"/>
      <c r="N14" s="162"/>
      <c r="O14" s="88"/>
      <c r="P14" s="293">
        <f t="shared" si="7"/>
        <v>0</v>
      </c>
      <c r="Q14" s="297">
        <f t="shared" si="8"/>
        <v>0</v>
      </c>
      <c r="R14" s="269"/>
      <c r="S14" s="275">
        <f t="shared" si="15"/>
        <v>0</v>
      </c>
      <c r="T14" s="300">
        <f t="shared" si="9"/>
        <v>0</v>
      </c>
      <c r="U14" s="269"/>
      <c r="V14" s="275">
        <f t="shared" si="10"/>
        <v>0</v>
      </c>
      <c r="W14" s="300">
        <f t="shared" si="11"/>
        <v>0</v>
      </c>
      <c r="X14" s="269"/>
      <c r="Y14" s="275">
        <f t="shared" si="12"/>
        <v>0</v>
      </c>
      <c r="Z14" s="300">
        <f t="shared" si="13"/>
        <v>0</v>
      </c>
      <c r="AA14" s="294"/>
      <c r="AB14" s="147">
        <f t="shared" si="16"/>
        <v>0</v>
      </c>
      <c r="AC14" s="148">
        <f t="shared" si="17"/>
        <v>0</v>
      </c>
      <c r="AD14" s="148">
        <f t="shared" si="18"/>
        <v>0</v>
      </c>
      <c r="AE14" s="149">
        <f t="shared" si="19"/>
        <v>0</v>
      </c>
      <c r="AF14" s="236">
        <f t="shared" si="6"/>
        <v>0</v>
      </c>
      <c r="AI14" s="660"/>
    </row>
    <row r="15" spans="1:35" ht="33.4" hidden="1" customHeight="1" x14ac:dyDescent="0.25">
      <c r="A15" s="99"/>
      <c r="B15" s="206"/>
      <c r="C15" s="28"/>
      <c r="D15" s="193"/>
      <c r="E15" s="194"/>
      <c r="F15" s="194"/>
      <c r="G15" s="63">
        <f t="shared" si="20"/>
        <v>0</v>
      </c>
      <c r="H15" s="68"/>
      <c r="I15" s="29"/>
      <c r="J15" s="68"/>
      <c r="K15" s="30"/>
      <c r="L15" s="68"/>
      <c r="M15" s="30"/>
      <c r="N15" s="146"/>
      <c r="O15" s="29"/>
      <c r="P15" s="289">
        <f t="shared" si="7"/>
        <v>0</v>
      </c>
      <c r="Q15" s="295">
        <f t="shared" si="8"/>
        <v>0</v>
      </c>
      <c r="R15" s="268"/>
      <c r="S15" s="229">
        <f t="shared" si="15"/>
        <v>0</v>
      </c>
      <c r="T15" s="298">
        <f t="shared" si="9"/>
        <v>0</v>
      </c>
      <c r="U15" s="268"/>
      <c r="V15" s="229">
        <f t="shared" si="10"/>
        <v>0</v>
      </c>
      <c r="W15" s="298">
        <f t="shared" si="11"/>
        <v>0</v>
      </c>
      <c r="X15" s="268"/>
      <c r="Y15" s="229">
        <f t="shared" si="12"/>
        <v>0</v>
      </c>
      <c r="Z15" s="298">
        <f t="shared" si="13"/>
        <v>0</v>
      </c>
      <c r="AA15" s="290"/>
      <c r="AB15" s="131">
        <f t="shared" si="16"/>
        <v>0</v>
      </c>
      <c r="AC15" s="132">
        <f t="shared" si="17"/>
        <v>0</v>
      </c>
      <c r="AD15" s="132">
        <f t="shared" si="18"/>
        <v>0</v>
      </c>
      <c r="AE15" s="133">
        <f t="shared" si="19"/>
        <v>0</v>
      </c>
      <c r="AF15" s="236">
        <f t="shared" si="6"/>
        <v>0</v>
      </c>
      <c r="AI15" s="660"/>
    </row>
    <row r="16" spans="1:35" ht="33.4" hidden="1" customHeight="1" x14ac:dyDescent="0.25">
      <c r="A16" s="99"/>
      <c r="B16" s="206"/>
      <c r="C16" s="28"/>
      <c r="D16" s="193"/>
      <c r="E16" s="194"/>
      <c r="F16" s="194"/>
      <c r="G16" s="63">
        <f t="shared" si="20"/>
        <v>0</v>
      </c>
      <c r="H16" s="68"/>
      <c r="I16" s="29"/>
      <c r="J16" s="68"/>
      <c r="K16" s="30"/>
      <c r="L16" s="68"/>
      <c r="M16" s="30"/>
      <c r="N16" s="146"/>
      <c r="O16" s="29"/>
      <c r="P16" s="289">
        <f t="shared" si="7"/>
        <v>0</v>
      </c>
      <c r="Q16" s="295">
        <f t="shared" si="8"/>
        <v>0</v>
      </c>
      <c r="R16" s="268"/>
      <c r="S16" s="229">
        <f t="shared" si="15"/>
        <v>0</v>
      </c>
      <c r="T16" s="298">
        <f t="shared" si="9"/>
        <v>0</v>
      </c>
      <c r="U16" s="268"/>
      <c r="V16" s="229">
        <f t="shared" si="10"/>
        <v>0</v>
      </c>
      <c r="W16" s="298">
        <f t="shared" si="11"/>
        <v>0</v>
      </c>
      <c r="X16" s="268"/>
      <c r="Y16" s="229">
        <f t="shared" si="12"/>
        <v>0</v>
      </c>
      <c r="Z16" s="298">
        <f t="shared" si="13"/>
        <v>0</v>
      </c>
      <c r="AA16" s="290"/>
      <c r="AB16" s="131">
        <f t="shared" si="16"/>
        <v>0</v>
      </c>
      <c r="AC16" s="132">
        <f t="shared" si="17"/>
        <v>0</v>
      </c>
      <c r="AD16" s="132">
        <f t="shared" si="18"/>
        <v>0</v>
      </c>
      <c r="AE16" s="133">
        <f t="shared" si="19"/>
        <v>0</v>
      </c>
      <c r="AF16" s="236">
        <f t="shared" si="6"/>
        <v>0</v>
      </c>
      <c r="AI16" s="660"/>
    </row>
    <row r="17" spans="1:35" ht="33.4" hidden="1" customHeight="1" x14ac:dyDescent="0.25">
      <c r="A17" s="99"/>
      <c r="B17" s="206"/>
      <c r="C17" s="28"/>
      <c r="D17" s="193"/>
      <c r="E17" s="194"/>
      <c r="F17" s="194"/>
      <c r="G17" s="63">
        <f t="shared" si="20"/>
        <v>0</v>
      </c>
      <c r="H17" s="68"/>
      <c r="I17" s="29"/>
      <c r="J17" s="68"/>
      <c r="K17" s="30"/>
      <c r="L17" s="68"/>
      <c r="M17" s="30"/>
      <c r="N17" s="146"/>
      <c r="O17" s="29"/>
      <c r="P17" s="289">
        <f t="shared" si="7"/>
        <v>0</v>
      </c>
      <c r="Q17" s="295">
        <f t="shared" si="8"/>
        <v>0</v>
      </c>
      <c r="R17" s="268"/>
      <c r="S17" s="229">
        <f t="shared" si="15"/>
        <v>0</v>
      </c>
      <c r="T17" s="298">
        <f t="shared" si="9"/>
        <v>0</v>
      </c>
      <c r="U17" s="268"/>
      <c r="V17" s="229">
        <f t="shared" si="10"/>
        <v>0</v>
      </c>
      <c r="W17" s="298">
        <f t="shared" si="11"/>
        <v>0</v>
      </c>
      <c r="X17" s="268"/>
      <c r="Y17" s="229">
        <f t="shared" si="12"/>
        <v>0</v>
      </c>
      <c r="Z17" s="298">
        <f t="shared" si="13"/>
        <v>0</v>
      </c>
      <c r="AA17" s="290"/>
      <c r="AB17" s="93">
        <f t="shared" si="16"/>
        <v>0</v>
      </c>
      <c r="AC17" s="94">
        <f t="shared" si="17"/>
        <v>0</v>
      </c>
      <c r="AD17" s="94">
        <f t="shared" si="18"/>
        <v>0</v>
      </c>
      <c r="AE17" s="95">
        <f t="shared" si="19"/>
        <v>0</v>
      </c>
      <c r="AF17" s="236">
        <f t="shared" si="6"/>
        <v>0</v>
      </c>
      <c r="AI17" s="660"/>
    </row>
    <row r="18" spans="1:35" ht="33.4" hidden="1" customHeight="1" x14ac:dyDescent="0.25">
      <c r="A18" s="99"/>
      <c r="B18" s="194"/>
      <c r="C18" s="28"/>
      <c r="D18" s="193"/>
      <c r="E18" s="194"/>
      <c r="F18" s="194"/>
      <c r="G18" s="63"/>
      <c r="H18" s="68"/>
      <c r="I18" s="29"/>
      <c r="J18" s="68"/>
      <c r="K18" s="30"/>
      <c r="L18" s="68"/>
      <c r="M18" s="30"/>
      <c r="N18" s="146"/>
      <c r="O18" s="29"/>
      <c r="P18" s="289">
        <f t="shared" si="7"/>
        <v>0</v>
      </c>
      <c r="Q18" s="295">
        <f t="shared" si="8"/>
        <v>0</v>
      </c>
      <c r="R18" s="268"/>
      <c r="S18" s="229">
        <f t="shared" si="15"/>
        <v>0</v>
      </c>
      <c r="T18" s="298">
        <f t="shared" si="9"/>
        <v>0</v>
      </c>
      <c r="U18" s="268"/>
      <c r="V18" s="229">
        <f t="shared" si="10"/>
        <v>0</v>
      </c>
      <c r="W18" s="298">
        <f t="shared" si="11"/>
        <v>0</v>
      </c>
      <c r="X18" s="268"/>
      <c r="Y18" s="229">
        <f t="shared" si="12"/>
        <v>0</v>
      </c>
      <c r="Z18" s="298">
        <f t="shared" si="13"/>
        <v>0</v>
      </c>
      <c r="AA18" s="290"/>
      <c r="AB18" s="137">
        <f t="shared" si="16"/>
        <v>0</v>
      </c>
      <c r="AC18" s="138">
        <f t="shared" si="17"/>
        <v>0</v>
      </c>
      <c r="AD18" s="138">
        <f t="shared" si="18"/>
        <v>0</v>
      </c>
      <c r="AE18" s="139">
        <f t="shared" si="19"/>
        <v>0</v>
      </c>
      <c r="AF18" s="236">
        <f t="shared" si="6"/>
        <v>0</v>
      </c>
      <c r="AI18" s="660"/>
    </row>
    <row r="19" spans="1:35" ht="33.4" hidden="1" customHeight="1" x14ac:dyDescent="0.25">
      <c r="A19" s="97"/>
      <c r="B19" s="209"/>
      <c r="C19" s="18"/>
      <c r="D19" s="197"/>
      <c r="E19" s="191"/>
      <c r="F19" s="191"/>
      <c r="G19" s="160"/>
      <c r="H19" s="161"/>
      <c r="I19" s="88"/>
      <c r="J19" s="161"/>
      <c r="K19" s="86"/>
      <c r="L19" s="161"/>
      <c r="M19" s="86"/>
      <c r="N19" s="162"/>
      <c r="O19" s="88"/>
      <c r="P19" s="289">
        <f t="shared" si="7"/>
        <v>0</v>
      </c>
      <c r="Q19" s="295">
        <f t="shared" si="8"/>
        <v>0</v>
      </c>
      <c r="R19" s="268"/>
      <c r="S19" s="229">
        <f t="shared" si="15"/>
        <v>0</v>
      </c>
      <c r="T19" s="298">
        <f t="shared" si="9"/>
        <v>0</v>
      </c>
      <c r="U19" s="268"/>
      <c r="V19" s="229">
        <f t="shared" si="10"/>
        <v>0</v>
      </c>
      <c r="W19" s="298">
        <f t="shared" si="11"/>
        <v>0</v>
      </c>
      <c r="X19" s="268"/>
      <c r="Y19" s="229">
        <f t="shared" si="12"/>
        <v>0</v>
      </c>
      <c r="Z19" s="298">
        <f t="shared" si="13"/>
        <v>0</v>
      </c>
      <c r="AA19" s="290"/>
      <c r="AB19" s="113">
        <f t="shared" si="16"/>
        <v>0</v>
      </c>
      <c r="AC19" s="114">
        <f t="shared" si="17"/>
        <v>0</v>
      </c>
      <c r="AD19" s="114">
        <f t="shared" si="18"/>
        <v>0</v>
      </c>
      <c r="AE19" s="115">
        <f t="shared" si="19"/>
        <v>0</v>
      </c>
      <c r="AF19" s="236">
        <f t="shared" si="6"/>
        <v>0</v>
      </c>
      <c r="AI19" s="660"/>
    </row>
    <row r="20" spans="1:35" ht="33.4" hidden="1" customHeight="1" x14ac:dyDescent="0.25">
      <c r="A20" s="99"/>
      <c r="B20" s="206"/>
      <c r="C20" s="28"/>
      <c r="D20" s="193"/>
      <c r="E20" s="194"/>
      <c r="F20" s="194"/>
      <c r="G20" s="63"/>
      <c r="H20" s="68"/>
      <c r="I20" s="29"/>
      <c r="J20" s="68"/>
      <c r="K20" s="30"/>
      <c r="L20" s="68"/>
      <c r="M20" s="30"/>
      <c r="N20" s="146"/>
      <c r="O20" s="29"/>
      <c r="P20" s="289">
        <f t="shared" si="7"/>
        <v>0</v>
      </c>
      <c r="Q20" s="295">
        <f t="shared" si="8"/>
        <v>0</v>
      </c>
      <c r="R20" s="268"/>
      <c r="S20" s="229">
        <f t="shared" si="15"/>
        <v>0</v>
      </c>
      <c r="T20" s="298">
        <f t="shared" si="9"/>
        <v>0</v>
      </c>
      <c r="U20" s="268"/>
      <c r="V20" s="229">
        <f t="shared" si="10"/>
        <v>0</v>
      </c>
      <c r="W20" s="298">
        <f t="shared" si="11"/>
        <v>0</v>
      </c>
      <c r="X20" s="268"/>
      <c r="Y20" s="229">
        <f t="shared" si="12"/>
        <v>0</v>
      </c>
      <c r="Z20" s="298">
        <f t="shared" si="13"/>
        <v>0</v>
      </c>
      <c r="AA20" s="290"/>
      <c r="AB20" s="137">
        <f t="shared" si="16"/>
        <v>0</v>
      </c>
      <c r="AC20" s="138">
        <f t="shared" si="17"/>
        <v>0</v>
      </c>
      <c r="AD20" s="138">
        <f t="shared" si="18"/>
        <v>0</v>
      </c>
      <c r="AE20" s="139">
        <f t="shared" si="19"/>
        <v>0</v>
      </c>
      <c r="AF20" s="237">
        <f t="shared" si="6"/>
        <v>0</v>
      </c>
      <c r="AI20" s="660"/>
    </row>
    <row r="21" spans="1:35" ht="33.4" hidden="1" customHeight="1" x14ac:dyDescent="0.25">
      <c r="A21" s="99"/>
      <c r="B21" s="206"/>
      <c r="C21" s="37"/>
      <c r="D21" s="193"/>
      <c r="E21" s="194"/>
      <c r="F21" s="194"/>
      <c r="G21" s="63"/>
      <c r="H21" s="68"/>
      <c r="I21" s="29"/>
      <c r="J21" s="68"/>
      <c r="K21" s="30"/>
      <c r="L21" s="68"/>
      <c r="M21" s="30"/>
      <c r="N21" s="146"/>
      <c r="O21" s="29"/>
      <c r="P21" s="289">
        <f t="shared" si="7"/>
        <v>0</v>
      </c>
      <c r="Q21" s="295">
        <f t="shared" si="8"/>
        <v>0</v>
      </c>
      <c r="R21" s="268"/>
      <c r="S21" s="229">
        <f t="shared" si="15"/>
        <v>0</v>
      </c>
      <c r="T21" s="298">
        <f t="shared" si="9"/>
        <v>0</v>
      </c>
      <c r="U21" s="268"/>
      <c r="V21" s="229">
        <f t="shared" si="10"/>
        <v>0</v>
      </c>
      <c r="W21" s="298">
        <f t="shared" si="11"/>
        <v>0</v>
      </c>
      <c r="X21" s="268"/>
      <c r="Y21" s="229">
        <f t="shared" si="12"/>
        <v>0</v>
      </c>
      <c r="Z21" s="298">
        <f t="shared" si="13"/>
        <v>0</v>
      </c>
      <c r="AA21" s="290"/>
      <c r="AB21" s="137">
        <f t="shared" si="16"/>
        <v>0</v>
      </c>
      <c r="AC21" s="138">
        <f t="shared" si="17"/>
        <v>0</v>
      </c>
      <c r="AD21" s="138">
        <f t="shared" si="18"/>
        <v>0</v>
      </c>
      <c r="AE21" s="139">
        <f t="shared" si="19"/>
        <v>0</v>
      </c>
      <c r="AF21" s="238">
        <f t="shared" si="6"/>
        <v>0</v>
      </c>
      <c r="AI21" s="660"/>
    </row>
    <row r="22" spans="1:35" ht="33.4" hidden="1" customHeight="1" x14ac:dyDescent="0.25">
      <c r="A22" s="97"/>
      <c r="B22" s="206"/>
      <c r="C22" s="18"/>
      <c r="D22" s="193"/>
      <c r="E22" s="191"/>
      <c r="F22" s="191"/>
      <c r="G22" s="160"/>
      <c r="H22" s="161"/>
      <c r="I22" s="88"/>
      <c r="J22" s="161"/>
      <c r="K22" s="86"/>
      <c r="L22" s="161"/>
      <c r="M22" s="86"/>
      <c r="N22" s="162"/>
      <c r="O22" s="88"/>
      <c r="P22" s="289">
        <f t="shared" si="7"/>
        <v>0</v>
      </c>
      <c r="Q22" s="295">
        <f t="shared" si="8"/>
        <v>0</v>
      </c>
      <c r="R22" s="268"/>
      <c r="S22" s="229">
        <f t="shared" si="15"/>
        <v>0</v>
      </c>
      <c r="T22" s="298">
        <f t="shared" si="9"/>
        <v>0</v>
      </c>
      <c r="U22" s="268"/>
      <c r="V22" s="229">
        <f t="shared" si="10"/>
        <v>0</v>
      </c>
      <c r="W22" s="298">
        <f t="shared" si="11"/>
        <v>0</v>
      </c>
      <c r="X22" s="268"/>
      <c r="Y22" s="229">
        <f t="shared" si="12"/>
        <v>0</v>
      </c>
      <c r="Z22" s="298">
        <f t="shared" si="13"/>
        <v>0</v>
      </c>
      <c r="AA22" s="290"/>
      <c r="AB22" s="113">
        <f t="shared" si="16"/>
        <v>0</v>
      </c>
      <c r="AC22" s="114">
        <f t="shared" si="17"/>
        <v>0</v>
      </c>
      <c r="AD22" s="114">
        <f t="shared" si="18"/>
        <v>0</v>
      </c>
      <c r="AE22" s="115">
        <f t="shared" si="19"/>
        <v>0</v>
      </c>
      <c r="AF22" s="236">
        <f t="shared" si="6"/>
        <v>0</v>
      </c>
      <c r="AI22" s="660"/>
    </row>
    <row r="23" spans="1:35" ht="33.4" hidden="1" customHeight="1" thickBot="1" x14ac:dyDescent="0.3">
      <c r="A23" s="100"/>
      <c r="B23" s="210"/>
      <c r="C23" s="31"/>
      <c r="D23" s="198"/>
      <c r="E23" s="199"/>
      <c r="F23" s="199"/>
      <c r="G23" s="64"/>
      <c r="H23" s="69"/>
      <c r="I23" s="32"/>
      <c r="J23" s="69"/>
      <c r="K23" s="33"/>
      <c r="L23" s="69"/>
      <c r="M23" s="33"/>
      <c r="N23" s="163"/>
      <c r="O23" s="32"/>
      <c r="P23" s="291">
        <f t="shared" si="7"/>
        <v>0</v>
      </c>
      <c r="Q23" s="296">
        <f t="shared" si="8"/>
        <v>0</v>
      </c>
      <c r="R23" s="283"/>
      <c r="S23" s="284">
        <f t="shared" si="15"/>
        <v>0</v>
      </c>
      <c r="T23" s="299">
        <f t="shared" si="9"/>
        <v>0</v>
      </c>
      <c r="U23" s="283"/>
      <c r="V23" s="284">
        <f t="shared" si="10"/>
        <v>0</v>
      </c>
      <c r="W23" s="299">
        <f t="shared" si="11"/>
        <v>0</v>
      </c>
      <c r="X23" s="283"/>
      <c r="Y23" s="284">
        <f t="shared" si="12"/>
        <v>0</v>
      </c>
      <c r="Z23" s="299">
        <f t="shared" si="13"/>
        <v>0</v>
      </c>
      <c r="AA23" s="292"/>
      <c r="AB23" s="34">
        <f t="shared" si="16"/>
        <v>0</v>
      </c>
      <c r="AC23" s="35">
        <f t="shared" si="17"/>
        <v>0</v>
      </c>
      <c r="AD23" s="35">
        <f t="shared" si="18"/>
        <v>0</v>
      </c>
      <c r="AE23" s="36">
        <f t="shared" si="19"/>
        <v>0</v>
      </c>
      <c r="AF23" s="236">
        <f t="shared" si="6"/>
        <v>0</v>
      </c>
      <c r="AI23" s="660"/>
    </row>
    <row r="24" spans="1:35" ht="33.4" hidden="1" customHeight="1" thickTop="1" x14ac:dyDescent="0.25">
      <c r="A24" s="101"/>
      <c r="B24" s="207"/>
      <c r="C24" s="53"/>
      <c r="D24" s="188"/>
      <c r="E24" s="194"/>
      <c r="F24" s="194"/>
      <c r="G24" s="67"/>
      <c r="H24" s="74"/>
      <c r="I24" s="41"/>
      <c r="J24" s="77"/>
      <c r="K24" s="42"/>
      <c r="L24" s="72"/>
      <c r="M24" s="42"/>
      <c r="N24" s="83"/>
      <c r="O24" s="41"/>
      <c r="P24" s="293">
        <f t="shared" si="7"/>
        <v>0</v>
      </c>
      <c r="Q24" s="297">
        <f t="shared" si="8"/>
        <v>0</v>
      </c>
      <c r="R24" s="269"/>
      <c r="S24" s="275">
        <f t="shared" si="15"/>
        <v>0</v>
      </c>
      <c r="T24" s="300">
        <f t="shared" si="9"/>
        <v>0</v>
      </c>
      <c r="U24" s="269"/>
      <c r="V24" s="275">
        <f t="shared" si="10"/>
        <v>0</v>
      </c>
      <c r="W24" s="300">
        <f t="shared" si="11"/>
        <v>0</v>
      </c>
      <c r="X24" s="269"/>
      <c r="Y24" s="275">
        <f t="shared" si="12"/>
        <v>0</v>
      </c>
      <c r="Z24" s="300">
        <f t="shared" si="13"/>
        <v>0</v>
      </c>
      <c r="AA24" s="294"/>
      <c r="AB24" s="147">
        <f t="shared" si="16"/>
        <v>0</v>
      </c>
      <c r="AC24" s="148">
        <f t="shared" si="17"/>
        <v>0</v>
      </c>
      <c r="AD24" s="148">
        <f t="shared" si="18"/>
        <v>0</v>
      </c>
      <c r="AE24" s="133">
        <f t="shared" si="19"/>
        <v>0</v>
      </c>
      <c r="AF24" s="236">
        <f t="shared" si="6"/>
        <v>0</v>
      </c>
      <c r="AI24" s="660"/>
    </row>
    <row r="25" spans="1:35" ht="33.4" hidden="1" customHeight="1" x14ac:dyDescent="0.25">
      <c r="A25" s="99"/>
      <c r="B25" s="206"/>
      <c r="C25" s="54"/>
      <c r="D25" s="200"/>
      <c r="E25" s="201"/>
      <c r="F25" s="201"/>
      <c r="G25" s="62"/>
      <c r="H25" s="75"/>
      <c r="I25" s="38"/>
      <c r="J25" s="78"/>
      <c r="K25" s="39"/>
      <c r="L25" s="71"/>
      <c r="M25" s="39"/>
      <c r="N25" s="84"/>
      <c r="O25" s="38"/>
      <c r="P25" s="289">
        <f t="shared" si="7"/>
        <v>0</v>
      </c>
      <c r="Q25" s="295">
        <f t="shared" si="8"/>
        <v>0</v>
      </c>
      <c r="R25" s="268"/>
      <c r="S25" s="229">
        <f t="shared" si="15"/>
        <v>0</v>
      </c>
      <c r="T25" s="298">
        <f t="shared" si="9"/>
        <v>0</v>
      </c>
      <c r="U25" s="268"/>
      <c r="V25" s="229">
        <f t="shared" si="10"/>
        <v>0</v>
      </c>
      <c r="W25" s="298">
        <f t="shared" si="11"/>
        <v>0</v>
      </c>
      <c r="X25" s="268"/>
      <c r="Y25" s="229">
        <f t="shared" si="12"/>
        <v>0</v>
      </c>
      <c r="Z25" s="298">
        <f t="shared" si="13"/>
        <v>0</v>
      </c>
      <c r="AA25" s="290"/>
      <c r="AB25" s="131">
        <f t="shared" si="16"/>
        <v>0</v>
      </c>
      <c r="AC25" s="132">
        <f t="shared" si="17"/>
        <v>0</v>
      </c>
      <c r="AD25" s="132">
        <f t="shared" si="18"/>
        <v>0</v>
      </c>
      <c r="AE25" s="133">
        <f t="shared" si="19"/>
        <v>0</v>
      </c>
      <c r="AF25" s="236">
        <f t="shared" si="6"/>
        <v>0</v>
      </c>
      <c r="AI25" s="660"/>
    </row>
    <row r="26" spans="1:35" ht="33.4" hidden="1" customHeight="1" x14ac:dyDescent="0.25">
      <c r="A26" s="97"/>
      <c r="B26" s="209"/>
      <c r="C26" s="40"/>
      <c r="D26" s="200"/>
      <c r="E26" s="191"/>
      <c r="F26" s="191"/>
      <c r="G26" s="65"/>
      <c r="H26" s="123"/>
      <c r="I26" s="41"/>
      <c r="J26" s="77"/>
      <c r="K26" s="42"/>
      <c r="L26" s="72"/>
      <c r="M26" s="42"/>
      <c r="N26" s="83"/>
      <c r="O26" s="41"/>
      <c r="P26" s="289">
        <f t="shared" si="7"/>
        <v>0</v>
      </c>
      <c r="Q26" s="295">
        <f t="shared" si="8"/>
        <v>0</v>
      </c>
      <c r="R26" s="268"/>
      <c r="S26" s="229">
        <f t="shared" si="15"/>
        <v>0</v>
      </c>
      <c r="T26" s="298">
        <f t="shared" si="9"/>
        <v>0</v>
      </c>
      <c r="U26" s="268"/>
      <c r="V26" s="229">
        <f t="shared" si="10"/>
        <v>0</v>
      </c>
      <c r="W26" s="298">
        <f t="shared" si="11"/>
        <v>0</v>
      </c>
      <c r="X26" s="268"/>
      <c r="Y26" s="229">
        <f t="shared" si="12"/>
        <v>0</v>
      </c>
      <c r="Z26" s="298">
        <f t="shared" si="13"/>
        <v>0</v>
      </c>
      <c r="AA26" s="290"/>
      <c r="AB26" s="131">
        <f t="shared" si="16"/>
        <v>0</v>
      </c>
      <c r="AC26" s="132">
        <f t="shared" si="17"/>
        <v>0</v>
      </c>
      <c r="AD26" s="132">
        <f t="shared" si="18"/>
        <v>0</v>
      </c>
      <c r="AE26" s="133">
        <f t="shared" si="19"/>
        <v>0</v>
      </c>
      <c r="AF26" s="236">
        <f t="shared" si="6"/>
        <v>0</v>
      </c>
      <c r="AI26" s="660"/>
    </row>
    <row r="27" spans="1:35" ht="33.4" hidden="1" customHeight="1" x14ac:dyDescent="0.25">
      <c r="A27" s="101"/>
      <c r="B27" s="207"/>
      <c r="C27" s="53"/>
      <c r="D27" s="188"/>
      <c r="E27" s="189"/>
      <c r="F27" s="189"/>
      <c r="G27" s="67"/>
      <c r="H27" s="74"/>
      <c r="I27" s="41"/>
      <c r="J27" s="77"/>
      <c r="K27" s="42"/>
      <c r="L27" s="72"/>
      <c r="M27" s="42"/>
      <c r="N27" s="83"/>
      <c r="O27" s="41"/>
      <c r="P27" s="289">
        <f t="shared" si="7"/>
        <v>0</v>
      </c>
      <c r="Q27" s="295">
        <f t="shared" si="8"/>
        <v>0</v>
      </c>
      <c r="R27" s="268"/>
      <c r="S27" s="229">
        <f t="shared" si="15"/>
        <v>0</v>
      </c>
      <c r="T27" s="298">
        <f t="shared" si="9"/>
        <v>0</v>
      </c>
      <c r="U27" s="268"/>
      <c r="V27" s="229">
        <f t="shared" si="10"/>
        <v>0</v>
      </c>
      <c r="W27" s="298">
        <f t="shared" si="11"/>
        <v>0</v>
      </c>
      <c r="X27" s="268"/>
      <c r="Y27" s="229">
        <f t="shared" si="12"/>
        <v>0</v>
      </c>
      <c r="Z27" s="298">
        <f t="shared" si="13"/>
        <v>0</v>
      </c>
      <c r="AA27" s="290"/>
      <c r="AB27" s="131">
        <f t="shared" si="16"/>
        <v>0</v>
      </c>
      <c r="AC27" s="132">
        <f t="shared" si="17"/>
        <v>0</v>
      </c>
      <c r="AD27" s="132">
        <f t="shared" si="18"/>
        <v>0</v>
      </c>
      <c r="AE27" s="133">
        <f t="shared" si="19"/>
        <v>0</v>
      </c>
      <c r="AF27" s="236">
        <f t="shared" si="6"/>
        <v>0</v>
      </c>
      <c r="AI27" s="660"/>
    </row>
    <row r="28" spans="1:35" ht="33.4" hidden="1" customHeight="1" x14ac:dyDescent="0.25">
      <c r="A28" s="99"/>
      <c r="B28" s="206"/>
      <c r="C28" s="54"/>
      <c r="D28" s="200"/>
      <c r="E28" s="202"/>
      <c r="F28" s="202"/>
      <c r="G28" s="62"/>
      <c r="H28" s="75"/>
      <c r="I28" s="38"/>
      <c r="J28" s="78"/>
      <c r="K28" s="39"/>
      <c r="L28" s="71"/>
      <c r="M28" s="39"/>
      <c r="N28" s="84"/>
      <c r="O28" s="38"/>
      <c r="P28" s="289">
        <f t="shared" si="7"/>
        <v>0</v>
      </c>
      <c r="Q28" s="295">
        <f t="shared" si="8"/>
        <v>0</v>
      </c>
      <c r="R28" s="268"/>
      <c r="S28" s="229">
        <f t="shared" si="15"/>
        <v>0</v>
      </c>
      <c r="T28" s="298">
        <f t="shared" si="9"/>
        <v>0</v>
      </c>
      <c r="U28" s="268"/>
      <c r="V28" s="229">
        <f t="shared" si="10"/>
        <v>0</v>
      </c>
      <c r="W28" s="298">
        <f t="shared" si="11"/>
        <v>0</v>
      </c>
      <c r="X28" s="268"/>
      <c r="Y28" s="229">
        <f t="shared" si="12"/>
        <v>0</v>
      </c>
      <c r="Z28" s="298">
        <f t="shared" si="13"/>
        <v>0</v>
      </c>
      <c r="AA28" s="290"/>
      <c r="AB28" s="131">
        <f t="shared" si="16"/>
        <v>0</v>
      </c>
      <c r="AC28" s="132">
        <f t="shared" si="17"/>
        <v>0</v>
      </c>
      <c r="AD28" s="132">
        <f t="shared" si="18"/>
        <v>0</v>
      </c>
      <c r="AE28" s="133">
        <f t="shared" si="19"/>
        <v>0</v>
      </c>
      <c r="AF28" s="236">
        <f t="shared" si="6"/>
        <v>0</v>
      </c>
      <c r="AI28" s="660"/>
    </row>
    <row r="29" spans="1:35" ht="33.4" hidden="1" customHeight="1" x14ac:dyDescent="0.25">
      <c r="A29" s="97"/>
      <c r="B29" s="209"/>
      <c r="C29" s="40"/>
      <c r="D29" s="190"/>
      <c r="E29" s="191"/>
      <c r="F29" s="191"/>
      <c r="G29" s="65"/>
      <c r="H29" s="74"/>
      <c r="I29" s="41"/>
      <c r="J29" s="77"/>
      <c r="K29" s="42"/>
      <c r="L29" s="72"/>
      <c r="M29" s="42"/>
      <c r="N29" s="83"/>
      <c r="O29" s="41"/>
      <c r="P29" s="289">
        <f t="shared" si="7"/>
        <v>0</v>
      </c>
      <c r="Q29" s="295">
        <f t="shared" si="8"/>
        <v>0</v>
      </c>
      <c r="R29" s="268"/>
      <c r="S29" s="229">
        <f t="shared" si="15"/>
        <v>0</v>
      </c>
      <c r="T29" s="298">
        <f t="shared" si="9"/>
        <v>0</v>
      </c>
      <c r="U29" s="268"/>
      <c r="V29" s="229">
        <f t="shared" si="10"/>
        <v>0</v>
      </c>
      <c r="W29" s="298">
        <f t="shared" si="11"/>
        <v>0</v>
      </c>
      <c r="X29" s="268"/>
      <c r="Y29" s="229">
        <f t="shared" si="12"/>
        <v>0</v>
      </c>
      <c r="Z29" s="298">
        <f t="shared" si="13"/>
        <v>0</v>
      </c>
      <c r="AA29" s="290"/>
      <c r="AB29" s="131">
        <f t="shared" si="16"/>
        <v>0</v>
      </c>
      <c r="AC29" s="132">
        <f t="shared" si="17"/>
        <v>0</v>
      </c>
      <c r="AD29" s="132">
        <f t="shared" si="18"/>
        <v>0</v>
      </c>
      <c r="AE29" s="133">
        <f t="shared" si="19"/>
        <v>0</v>
      </c>
      <c r="AF29" s="236">
        <f t="shared" si="6"/>
        <v>0</v>
      </c>
      <c r="AI29" s="660"/>
    </row>
    <row r="30" spans="1:35" ht="33.4" hidden="1" customHeight="1" x14ac:dyDescent="0.25">
      <c r="A30" s="97"/>
      <c r="B30" s="207"/>
      <c r="C30" s="53"/>
      <c r="D30" s="188"/>
      <c r="E30" s="189"/>
      <c r="F30" s="189"/>
      <c r="G30" s="67"/>
      <c r="H30" s="74"/>
      <c r="I30" s="41"/>
      <c r="J30" s="77"/>
      <c r="K30" s="42"/>
      <c r="L30" s="72"/>
      <c r="M30" s="42"/>
      <c r="N30" s="83"/>
      <c r="O30" s="41"/>
      <c r="P30" s="289">
        <f t="shared" si="7"/>
        <v>0</v>
      </c>
      <c r="Q30" s="295">
        <f t="shared" si="8"/>
        <v>0</v>
      </c>
      <c r="R30" s="268"/>
      <c r="S30" s="229">
        <f t="shared" si="15"/>
        <v>0</v>
      </c>
      <c r="T30" s="298">
        <f t="shared" si="9"/>
        <v>0</v>
      </c>
      <c r="U30" s="268"/>
      <c r="V30" s="229">
        <f t="shared" si="10"/>
        <v>0</v>
      </c>
      <c r="W30" s="298">
        <f t="shared" si="11"/>
        <v>0</v>
      </c>
      <c r="X30" s="268"/>
      <c r="Y30" s="229">
        <f t="shared" si="12"/>
        <v>0</v>
      </c>
      <c r="Z30" s="298">
        <f t="shared" si="13"/>
        <v>0</v>
      </c>
      <c r="AA30" s="290"/>
      <c r="AB30" s="93">
        <f t="shared" si="16"/>
        <v>0</v>
      </c>
      <c r="AC30" s="94">
        <f t="shared" si="17"/>
        <v>0</v>
      </c>
      <c r="AD30" s="94">
        <f t="shared" si="18"/>
        <v>0</v>
      </c>
      <c r="AE30" s="95">
        <f t="shared" si="19"/>
        <v>0</v>
      </c>
      <c r="AF30" s="236">
        <f t="shared" si="6"/>
        <v>0</v>
      </c>
      <c r="AI30" s="660"/>
    </row>
    <row r="31" spans="1:35" ht="33.4" hidden="1" customHeight="1" x14ac:dyDescent="0.25">
      <c r="A31" s="99"/>
      <c r="B31" s="206"/>
      <c r="C31" s="54"/>
      <c r="D31" s="200"/>
      <c r="E31" s="202"/>
      <c r="F31" s="202"/>
      <c r="G31" s="62"/>
      <c r="H31" s="75"/>
      <c r="I31" s="38"/>
      <c r="J31" s="78"/>
      <c r="K31" s="39"/>
      <c r="L31" s="71"/>
      <c r="M31" s="39"/>
      <c r="N31" s="84"/>
      <c r="O31" s="38"/>
      <c r="P31" s="289">
        <f t="shared" si="7"/>
        <v>0</v>
      </c>
      <c r="Q31" s="295">
        <f t="shared" si="8"/>
        <v>0</v>
      </c>
      <c r="R31" s="268"/>
      <c r="S31" s="229">
        <f t="shared" si="15"/>
        <v>0</v>
      </c>
      <c r="T31" s="298">
        <f t="shared" si="9"/>
        <v>0</v>
      </c>
      <c r="U31" s="268"/>
      <c r="V31" s="229">
        <f t="shared" si="10"/>
        <v>0</v>
      </c>
      <c r="W31" s="298">
        <f t="shared" si="11"/>
        <v>0</v>
      </c>
      <c r="X31" s="268"/>
      <c r="Y31" s="229">
        <f t="shared" si="12"/>
        <v>0</v>
      </c>
      <c r="Z31" s="298">
        <f t="shared" si="13"/>
        <v>0</v>
      </c>
      <c r="AA31" s="290"/>
      <c r="AB31" s="93">
        <f t="shared" si="16"/>
        <v>0</v>
      </c>
      <c r="AC31" s="94">
        <f t="shared" si="17"/>
        <v>0</v>
      </c>
      <c r="AD31" s="94">
        <f t="shared" si="18"/>
        <v>0</v>
      </c>
      <c r="AE31" s="95">
        <f t="shared" si="19"/>
        <v>0</v>
      </c>
      <c r="AF31" s="236">
        <f t="shared" si="6"/>
        <v>0</v>
      </c>
      <c r="AI31" s="660"/>
    </row>
    <row r="32" spans="1:35" ht="33.4" hidden="1" customHeight="1" x14ac:dyDescent="0.25">
      <c r="A32" s="97"/>
      <c r="B32" s="209"/>
      <c r="C32" s="40"/>
      <c r="D32" s="190"/>
      <c r="E32" s="191"/>
      <c r="F32" s="191"/>
      <c r="G32" s="65"/>
      <c r="H32" s="74"/>
      <c r="I32" s="41"/>
      <c r="J32" s="77"/>
      <c r="K32" s="42"/>
      <c r="L32" s="72"/>
      <c r="M32" s="42"/>
      <c r="N32" s="83"/>
      <c r="O32" s="41"/>
      <c r="P32" s="289">
        <f t="shared" si="7"/>
        <v>0</v>
      </c>
      <c r="Q32" s="295">
        <f t="shared" si="8"/>
        <v>0</v>
      </c>
      <c r="R32" s="268"/>
      <c r="S32" s="229">
        <f t="shared" si="15"/>
        <v>0</v>
      </c>
      <c r="T32" s="298">
        <f t="shared" si="9"/>
        <v>0</v>
      </c>
      <c r="U32" s="268"/>
      <c r="V32" s="229">
        <f t="shared" si="10"/>
        <v>0</v>
      </c>
      <c r="W32" s="298">
        <f t="shared" si="11"/>
        <v>0</v>
      </c>
      <c r="X32" s="268"/>
      <c r="Y32" s="229">
        <f t="shared" si="12"/>
        <v>0</v>
      </c>
      <c r="Z32" s="298">
        <f t="shared" si="13"/>
        <v>0</v>
      </c>
      <c r="AA32" s="290"/>
      <c r="AB32" s="93">
        <f t="shared" si="16"/>
        <v>0</v>
      </c>
      <c r="AC32" s="94">
        <f t="shared" si="17"/>
        <v>0</v>
      </c>
      <c r="AD32" s="94">
        <f t="shared" si="18"/>
        <v>0</v>
      </c>
      <c r="AE32" s="95">
        <f t="shared" si="19"/>
        <v>0</v>
      </c>
      <c r="AF32" s="236">
        <f t="shared" si="6"/>
        <v>0</v>
      </c>
      <c r="AI32" s="660"/>
    </row>
    <row r="33" spans="1:39" ht="33.4" hidden="1" customHeight="1" x14ac:dyDescent="0.25">
      <c r="A33" s="99"/>
      <c r="B33" s="206"/>
      <c r="C33" s="37"/>
      <c r="D33" s="203"/>
      <c r="E33" s="194"/>
      <c r="F33" s="194"/>
      <c r="G33" s="62"/>
      <c r="H33" s="75"/>
      <c r="I33" s="38"/>
      <c r="J33" s="78"/>
      <c r="K33" s="39"/>
      <c r="L33" s="71"/>
      <c r="M33" s="39"/>
      <c r="N33" s="84"/>
      <c r="O33" s="38"/>
      <c r="P33" s="289">
        <f t="shared" si="7"/>
        <v>0</v>
      </c>
      <c r="Q33" s="295">
        <f t="shared" si="8"/>
        <v>0</v>
      </c>
      <c r="R33" s="268"/>
      <c r="S33" s="229">
        <f t="shared" si="15"/>
        <v>0</v>
      </c>
      <c r="T33" s="298">
        <f t="shared" si="9"/>
        <v>0</v>
      </c>
      <c r="U33" s="268"/>
      <c r="V33" s="229">
        <f t="shared" si="10"/>
        <v>0</v>
      </c>
      <c r="W33" s="298">
        <f t="shared" si="11"/>
        <v>0</v>
      </c>
      <c r="X33" s="268"/>
      <c r="Y33" s="229">
        <f t="shared" si="12"/>
        <v>0</v>
      </c>
      <c r="Z33" s="298">
        <f t="shared" si="13"/>
        <v>0</v>
      </c>
      <c r="AA33" s="290"/>
      <c r="AB33" s="93">
        <f t="shared" si="16"/>
        <v>0</v>
      </c>
      <c r="AC33" s="94">
        <f t="shared" si="17"/>
        <v>0</v>
      </c>
      <c r="AD33" s="94">
        <f t="shared" si="18"/>
        <v>0</v>
      </c>
      <c r="AE33" s="95">
        <f t="shared" si="19"/>
        <v>0</v>
      </c>
      <c r="AF33" s="236">
        <f t="shared" si="6"/>
        <v>0</v>
      </c>
      <c r="AI33" s="660"/>
    </row>
    <row r="34" spans="1:39" ht="33.4" hidden="1" customHeight="1" thickBot="1" x14ac:dyDescent="0.3">
      <c r="A34" s="102"/>
      <c r="B34" s="214"/>
      <c r="C34" s="37"/>
      <c r="D34" s="203"/>
      <c r="E34" s="194"/>
      <c r="F34" s="194"/>
      <c r="G34" s="62"/>
      <c r="H34" s="73"/>
      <c r="I34" s="44"/>
      <c r="J34" s="76"/>
      <c r="K34" s="45"/>
      <c r="L34" s="79"/>
      <c r="M34" s="45"/>
      <c r="N34" s="82"/>
      <c r="O34" s="44"/>
      <c r="P34" s="291">
        <f t="shared" si="7"/>
        <v>0</v>
      </c>
      <c r="Q34" s="296">
        <f t="shared" si="8"/>
        <v>0</v>
      </c>
      <c r="R34" s="283"/>
      <c r="S34" s="284">
        <f t="shared" si="15"/>
        <v>0</v>
      </c>
      <c r="T34" s="299">
        <f t="shared" si="9"/>
        <v>0</v>
      </c>
      <c r="U34" s="283"/>
      <c r="V34" s="284">
        <f t="shared" si="10"/>
        <v>0</v>
      </c>
      <c r="W34" s="299">
        <f t="shared" si="11"/>
        <v>0</v>
      </c>
      <c r="X34" s="283"/>
      <c r="Y34" s="284">
        <f t="shared" si="12"/>
        <v>0</v>
      </c>
      <c r="Z34" s="299">
        <f t="shared" si="13"/>
        <v>0</v>
      </c>
      <c r="AA34" s="292"/>
      <c r="AB34" s="93">
        <f t="shared" si="16"/>
        <v>0</v>
      </c>
      <c r="AC34" s="94">
        <f t="shared" si="17"/>
        <v>0</v>
      </c>
      <c r="AD34" s="94">
        <f t="shared" si="18"/>
        <v>0</v>
      </c>
      <c r="AE34" s="95">
        <f t="shared" si="19"/>
        <v>0</v>
      </c>
      <c r="AF34" s="236">
        <f t="shared" si="6"/>
        <v>0</v>
      </c>
      <c r="AI34" s="660"/>
    </row>
    <row r="35" spans="1:39" ht="33.4" customHeight="1" thickTop="1" x14ac:dyDescent="0.25">
      <c r="A35" s="1004" t="str">
        <f>初餾產銷!A34</f>
        <v>原料品名</v>
      </c>
      <c r="B35" s="1006" t="str">
        <f t="shared" ref="B35" si="21">$B$3</f>
        <v>存放位置
(隱藏)</v>
      </c>
      <c r="C35" s="1044" t="str">
        <f>初餾產銷!C34</f>
        <v>儲槽
容量
(MT)</v>
      </c>
      <c r="D35" s="184" t="str">
        <f>D3</f>
        <v>資材</v>
      </c>
      <c r="E35" s="185" t="str">
        <f>E3</f>
        <v>製2</v>
      </c>
      <c r="F35" s="1047" t="str">
        <f>F3</f>
        <v>桶底</v>
      </c>
      <c r="G35" s="1010">
        <f>初餾產銷!G34</f>
        <v>46258</v>
      </c>
      <c r="H35" s="1012" t="str">
        <f>初餾產銷!H34</f>
        <v>銷售</v>
      </c>
      <c r="I35" s="1013"/>
      <c r="J35" s="1013"/>
      <c r="K35" s="1013"/>
      <c r="L35" s="1013"/>
      <c r="M35" s="1013"/>
      <c r="N35" s="1013"/>
      <c r="O35" s="1014"/>
      <c r="P35" s="1017" t="str">
        <f>初餾產銷!T34</f>
        <v>耗用量</v>
      </c>
      <c r="Q35" s="1018"/>
      <c r="R35" s="1018"/>
      <c r="S35" s="1019"/>
      <c r="T35" s="1020" t="str">
        <f>精餾產銷!T59</f>
        <v>進貨</v>
      </c>
      <c r="U35" s="1021"/>
      <c r="V35" s="1021"/>
      <c r="W35" s="1021"/>
      <c r="X35" s="1020" t="str">
        <f>精餾產銷!X59</f>
        <v>其他入庫</v>
      </c>
      <c r="Y35" s="1021"/>
      <c r="Z35" s="1021"/>
      <c r="AA35" s="1022"/>
      <c r="AB35" s="1017" t="str">
        <f>初餾產銷!AF34</f>
        <v>庫存</v>
      </c>
      <c r="AC35" s="1018"/>
      <c r="AD35" s="1018"/>
      <c r="AE35" s="1023"/>
      <c r="AF35" s="236">
        <f t="shared" si="6"/>
        <v>1</v>
      </c>
      <c r="AI35" s="666"/>
    </row>
    <row r="36" spans="1:39" ht="33.4" customHeight="1" thickBot="1" x14ac:dyDescent="0.3">
      <c r="A36" s="1043"/>
      <c r="B36" s="1007"/>
      <c r="C36" s="1045"/>
      <c r="D36" s="186" t="str">
        <f>D4</f>
        <v>庫存</v>
      </c>
      <c r="E36" s="187" t="str">
        <f>E4</f>
        <v>庫存</v>
      </c>
      <c r="F36" s="1048"/>
      <c r="G36" s="1075"/>
      <c r="H36" s="1076" t="str">
        <f>初餾產銷!H35</f>
        <v>08/24~08/31</v>
      </c>
      <c r="I36" s="1077"/>
      <c r="J36" s="1076">
        <f>初餾產銷!K35</f>
        <v>46295</v>
      </c>
      <c r="K36" s="1078"/>
      <c r="L36" s="1076">
        <f>初餾產銷!N35</f>
        <v>46326</v>
      </c>
      <c r="M36" s="1078"/>
      <c r="N36" s="1076">
        <f>初餾產銷!Q35</f>
        <v>46356</v>
      </c>
      <c r="O36" s="1078"/>
      <c r="P36" s="301" t="str">
        <f>初餾產銷!T35</f>
        <v>24~31</v>
      </c>
      <c r="Q36" s="302">
        <f>初餾產銷!U35</f>
        <v>46295</v>
      </c>
      <c r="R36" s="303">
        <f>初餾產銷!V35</f>
        <v>46326</v>
      </c>
      <c r="S36" s="304">
        <f>初餾產銷!W35</f>
        <v>46356</v>
      </c>
      <c r="T36" s="322" t="str">
        <f>精餾產銷!T60</f>
        <v>24~31</v>
      </c>
      <c r="U36" s="302">
        <f>精餾產銷!U60</f>
        <v>46295</v>
      </c>
      <c r="V36" s="303">
        <f>精餾產銷!V60</f>
        <v>46326</v>
      </c>
      <c r="W36" s="303">
        <f>精餾產銷!W60</f>
        <v>46356</v>
      </c>
      <c r="X36" s="320" t="str">
        <f>精餾產銷!X60</f>
        <v>24~31</v>
      </c>
      <c r="Y36" s="302">
        <f>精餾產銷!Y60</f>
        <v>46295</v>
      </c>
      <c r="Z36" s="303">
        <f>精餾產銷!Z60</f>
        <v>46326</v>
      </c>
      <c r="AA36" s="321">
        <f>精餾產銷!AA60</f>
        <v>46356</v>
      </c>
      <c r="AB36" s="305" t="str">
        <f>初餾產銷!AF35</f>
        <v>8/31</v>
      </c>
      <c r="AC36" s="306">
        <f>初餾產銷!AG35</f>
        <v>46295</v>
      </c>
      <c r="AD36" s="306">
        <f>初餾產銷!AH35</f>
        <v>46326</v>
      </c>
      <c r="AE36" s="307">
        <f>初餾產銷!AI35</f>
        <v>46356</v>
      </c>
      <c r="AF36" s="236">
        <f t="shared" si="6"/>
        <v>1</v>
      </c>
      <c r="AI36" s="666"/>
    </row>
    <row r="37" spans="1:39" ht="33.4" customHeight="1" x14ac:dyDescent="0.25">
      <c r="A37" s="157" t="str">
        <f>精餾產銷!A11</f>
        <v>EGUPS</v>
      </c>
      <c r="B37" s="255" t="str">
        <f>精餾產銷!B11</f>
        <v>TK623.E40.E48.E56.E59.E60.E66.E67(E21 外部鏽蝕處理中).TK692.TK689</v>
      </c>
      <c r="C37" s="158">
        <f>精餾產銷!C11</f>
        <v>537</v>
      </c>
      <c r="D37" s="256">
        <f>精餾產銷!D11</f>
        <v>20.9</v>
      </c>
      <c r="E37" s="255">
        <v>45</v>
      </c>
      <c r="F37" s="255">
        <v>20</v>
      </c>
      <c r="G37" s="159">
        <f>精餾產銷!G11</f>
        <v>6.8999999999999986</v>
      </c>
      <c r="H37" s="106">
        <f>精餾產銷!H11</f>
        <v>5</v>
      </c>
      <c r="I37" s="38"/>
      <c r="J37" s="106">
        <f>精餾產銷!J11</f>
        <v>20</v>
      </c>
      <c r="K37" s="39"/>
      <c r="L37" s="106">
        <f>精餾產銷!L11</f>
        <v>20</v>
      </c>
      <c r="M37" s="39"/>
      <c r="N37" s="106">
        <f>精餾產銷!N11</f>
        <v>20</v>
      </c>
      <c r="O37" s="39"/>
      <c r="P37" s="899">
        <f>精餾產銷!I11</f>
        <v>52.436</v>
      </c>
      <c r="Q37" s="899">
        <f>精餾產銷!K11</f>
        <v>291.005</v>
      </c>
      <c r="R37" s="899">
        <f>精餾產銷!M11</f>
        <v>291.005</v>
      </c>
      <c r="S37" s="899">
        <f>精餾產銷!O11</f>
        <v>291.005</v>
      </c>
      <c r="T37" s="278"/>
      <c r="U37" s="332"/>
      <c r="V37" s="280"/>
      <c r="W37" s="91"/>
      <c r="X37" s="327">
        <f>精餾產銷!$R$11+精餾產銷!$R$12</f>
        <v>200</v>
      </c>
      <c r="Y37" s="37">
        <f>精餾產銷!$U$11+精餾產銷!$U$12</f>
        <v>910</v>
      </c>
      <c r="Z37" s="327">
        <f>精餾產銷!$X$11+精餾產銷!$X$12</f>
        <v>0</v>
      </c>
      <c r="AA37" s="119">
        <f>精餾產銷!$AA$11+精餾產銷!$AA$12</f>
        <v>675</v>
      </c>
      <c r="AB37" s="131">
        <f>精餾產銷!AB11</f>
        <v>149.464</v>
      </c>
      <c r="AC37" s="132">
        <f>精餾產銷!AC11</f>
        <v>748.45900000000006</v>
      </c>
      <c r="AD37" s="132">
        <f>精餾產銷!AD11</f>
        <v>437.45400000000006</v>
      </c>
      <c r="AE37" s="133">
        <f>精餾產銷!AE11</f>
        <v>801.44900000000007</v>
      </c>
      <c r="AF37" s="236">
        <f t="shared" si="6"/>
        <v>1</v>
      </c>
      <c r="AI37" s="666"/>
      <c r="AJ37" s="8"/>
      <c r="AK37" s="8"/>
      <c r="AL37" s="8"/>
      <c r="AM37" s="8"/>
    </row>
    <row r="38" spans="1:39" ht="33.4" customHeight="1" x14ac:dyDescent="0.25">
      <c r="A38" s="155" t="s">
        <v>202</v>
      </c>
      <c r="B38" s="191" t="s">
        <v>203</v>
      </c>
      <c r="C38" s="156">
        <f>80*2+11.68</f>
        <v>171.68</v>
      </c>
      <c r="D38" s="890">
        <f>58.575+14.81+14.62+0+0</f>
        <v>88.00500000000001</v>
      </c>
      <c r="E38" s="194">
        <v>9.3322000000000003</v>
      </c>
      <c r="F38" s="245"/>
      <c r="G38" s="118">
        <f>IF(+D38+E38-F38&lt;=0,0,+D38+E38-F38)</f>
        <v>97.33720000000001</v>
      </c>
      <c r="H38" s="106"/>
      <c r="I38" s="38"/>
      <c r="J38" s="106"/>
      <c r="K38" s="39"/>
      <c r="L38" s="106"/>
      <c r="M38" s="39"/>
      <c r="N38" s="106"/>
      <c r="O38" s="39"/>
      <c r="P38" s="899">
        <f>+SUMIF(秏料!$B$3:$B$133,$A38,秏料!$F$3:$F$133)</f>
        <v>16.297000000000001</v>
      </c>
      <c r="Q38" s="899">
        <f>+SUMIF(秏料!$B$3:$B$133,$A38,秏料!$H$3:$H$133)</f>
        <v>74.887</v>
      </c>
      <c r="R38" s="899">
        <f>+SUMIF(秏料!$B$3:$B$133,$A38,秏料!$J$3:$J$133)</f>
        <v>74.887</v>
      </c>
      <c r="S38" s="899">
        <f>+SUMIF(秏料!$B$3:$B$133,$A38,秏料!$L$3:$L$133)</f>
        <v>74.887</v>
      </c>
      <c r="T38" s="278">
        <v>14</v>
      </c>
      <c r="U38" s="461">
        <v>72.8</v>
      </c>
      <c r="V38" s="652">
        <v>72.8</v>
      </c>
      <c r="W38" s="463">
        <v>72.8</v>
      </c>
      <c r="X38" s="327"/>
      <c r="Y38" s="37"/>
      <c r="Z38" s="327"/>
      <c r="AA38" s="119"/>
      <c r="AB38" s="131">
        <f>+G38-SUM(H38:I38,P38)+SUM(T38,X38)</f>
        <v>95.040200000000013</v>
      </c>
      <c r="AC38" s="132">
        <f>+AB38-SUM(J38:K38,Q38)+SUM(U38,Y38)</f>
        <v>92.95320000000001</v>
      </c>
      <c r="AD38" s="132">
        <f>+AC38-SUM(L38:M38,R38)+SUM(V38,Z38)</f>
        <v>90.866200000000006</v>
      </c>
      <c r="AE38" s="133">
        <f>+AD38-SUM(N38:O38,S38)+SUM(W38,AA38)</f>
        <v>88.779200000000003</v>
      </c>
      <c r="AF38" s="236">
        <f>+IF(SUM(G38,H38:O38,R38,U38,X38,AA38)=0,0,1)</f>
        <v>1</v>
      </c>
      <c r="AI38" s="666"/>
    </row>
    <row r="39" spans="1:39" ht="33.4" customHeight="1" x14ac:dyDescent="0.25">
      <c r="A39" s="112" t="s">
        <v>204</v>
      </c>
      <c r="B39" s="194" t="s">
        <v>205</v>
      </c>
      <c r="C39" s="60">
        <f>13.2*2</f>
        <v>26.4</v>
      </c>
      <c r="D39" s="205">
        <v>76</v>
      </c>
      <c r="E39" s="194">
        <v>6.7744999999999997</v>
      </c>
      <c r="F39" s="245"/>
      <c r="G39" s="118">
        <f t="shared" ref="G39:G48" si="22">IF(+D39+E39-F39&lt;=0,0,+D39+E39-F39)</f>
        <v>82.774500000000003</v>
      </c>
      <c r="H39" s="106"/>
      <c r="I39" s="38"/>
      <c r="J39" s="905"/>
      <c r="K39" s="39"/>
      <c r="L39" s="106"/>
      <c r="M39" s="39"/>
      <c r="N39" s="106"/>
      <c r="O39" s="39"/>
      <c r="P39" s="899">
        <f>+SUMIF(秏料!$B$3:$B$133,$A39,秏料!$F$3:$F$133)</f>
        <v>4.6349999999999998</v>
      </c>
      <c r="Q39" s="899">
        <f>+SUMIF(秏料!$B$3:$B$133,$A39,秏料!$H$3:$H$133)</f>
        <v>24.507999999999999</v>
      </c>
      <c r="R39" s="899">
        <f>+SUMIF(秏料!$B$3:$B$133,$A39,秏料!$J$3:$J$133)</f>
        <v>24.507999999999999</v>
      </c>
      <c r="S39" s="899">
        <f>+SUMIF(秏料!$B$3:$B$133,$A39,秏料!$L$3:$L$133)</f>
        <v>24.507999999999999</v>
      </c>
      <c r="T39" s="278">
        <v>11.2</v>
      </c>
      <c r="U39" s="324">
        <v>24</v>
      </c>
      <c r="V39" s="281">
        <v>24</v>
      </c>
      <c r="W39" s="333">
        <v>24</v>
      </c>
      <c r="X39" s="327"/>
      <c r="Y39" s="37"/>
      <c r="Z39" s="327"/>
      <c r="AA39" s="119"/>
      <c r="AB39" s="131">
        <f t="shared" ref="AB39:AB76" si="23">+G39-SUM(H39:I39,P39)+SUM(T39,X39)</f>
        <v>89.339500000000001</v>
      </c>
      <c r="AC39" s="132">
        <f t="shared" ref="AC39:AC76" si="24">+AB39-SUM(J39:K39,Q39)+SUM(U39,Y39)</f>
        <v>88.831500000000005</v>
      </c>
      <c r="AD39" s="132">
        <f t="shared" ref="AD39:AD76" si="25">+AC39-SUM(L39:M39,R39)+SUM(V39,Z39)</f>
        <v>88.32350000000001</v>
      </c>
      <c r="AE39" s="133">
        <f t="shared" ref="AE39:AE76" si="26">+AD39-SUM(N39:O39,S39)+SUM(W39,AA39)</f>
        <v>87.815500000000014</v>
      </c>
      <c r="AF39" s="236">
        <f t="shared" si="6"/>
        <v>1</v>
      </c>
      <c r="AI39" s="666"/>
    </row>
    <row r="40" spans="1:39" ht="33.4" customHeight="1" x14ac:dyDescent="0.25">
      <c r="A40" s="112" t="s">
        <v>206</v>
      </c>
      <c r="B40" s="371" t="s">
        <v>206</v>
      </c>
      <c r="C40" s="60"/>
      <c r="D40" s="892">
        <v>0.52991999999999995</v>
      </c>
      <c r="E40" s="194">
        <v>6.4920000000000005E-2</v>
      </c>
      <c r="F40" s="245"/>
      <c r="G40" s="118">
        <f>IF(+D40+E40-F40&lt;=0,0,+D40+E40-F40)</f>
        <v>0.59483999999999992</v>
      </c>
      <c r="H40" s="106"/>
      <c r="I40" s="38"/>
      <c r="J40" s="106"/>
      <c r="K40" s="39"/>
      <c r="L40" s="106"/>
      <c r="M40" s="39"/>
      <c r="N40" s="106"/>
      <c r="O40" s="39"/>
      <c r="P40" s="899">
        <f>+SUMIF(秏料!$B$3:$B$133,$A40,秏料!$F$3:$F$133)</f>
        <v>8.7999999999999995E-2</v>
      </c>
      <c r="Q40" s="899">
        <f>+SUMIF(秏料!$B$3:$B$133,$A40,秏料!$H$3:$H$133)</f>
        <v>0.46</v>
      </c>
      <c r="R40" s="899">
        <f>+SUMIF(秏料!$B$3:$B$133,$A40,秏料!$J$3:$J$133)</f>
        <v>0.46</v>
      </c>
      <c r="S40" s="899">
        <f>+SUMIF(秏料!$B$3:$B$133,$A40,秏料!$L$3:$L$133)</f>
        <v>0.46</v>
      </c>
      <c r="T40" s="901">
        <v>0</v>
      </c>
      <c r="U40" s="464">
        <v>0.35327999999999998</v>
      </c>
      <c r="V40" s="928">
        <v>0.35327999999999998</v>
      </c>
      <c r="W40" s="929">
        <v>0.2208</v>
      </c>
      <c r="X40" s="327"/>
      <c r="Y40" s="37"/>
      <c r="Z40" s="327"/>
      <c r="AA40" s="119"/>
      <c r="AB40" s="893">
        <f>+G40-SUM(H40:I40,P40)+SUM(T40,X40)</f>
        <v>0.50683999999999996</v>
      </c>
      <c r="AC40" s="894">
        <f>+AB40-SUM(J40:K40,Q40)+SUM(U40,Y40)</f>
        <v>0.40011999999999992</v>
      </c>
      <c r="AD40" s="894">
        <f>+AC40-SUM(L40:M40,R40)+SUM(V40,Z40)</f>
        <v>0.29339999999999988</v>
      </c>
      <c r="AE40" s="895">
        <f>+AD40-SUM(N40:O40,S40)+SUM(W40,AA40)</f>
        <v>5.4199999999999859E-2</v>
      </c>
      <c r="AF40" s="236">
        <f>+IF(SUM(G40,H40:O40,R40,U40,X40,AA40)=0,0,1)</f>
        <v>1</v>
      </c>
      <c r="AI40" s="666"/>
    </row>
    <row r="41" spans="1:39" ht="33.4" hidden="1" customHeight="1" x14ac:dyDescent="0.25">
      <c r="A41" s="112" t="s">
        <v>207</v>
      </c>
      <c r="B41" s="371" t="s">
        <v>207</v>
      </c>
      <c r="C41" s="60"/>
      <c r="D41" s="892">
        <f>0</f>
        <v>0</v>
      </c>
      <c r="E41" s="897">
        <v>0</v>
      </c>
      <c r="F41" s="245"/>
      <c r="G41" s="118">
        <f>IF(+D41+E41-F41&lt;=0,0,+D41+E41-F41)</f>
        <v>0</v>
      </c>
      <c r="H41" s="106"/>
      <c r="I41" s="38"/>
      <c r="J41" s="106"/>
      <c r="K41" s="39"/>
      <c r="L41" s="106"/>
      <c r="M41" s="39"/>
      <c r="N41" s="106"/>
      <c r="O41" s="39"/>
      <c r="P41" s="923">
        <f>+SUMIF(秏料!$B$3:$B$133,$A41,秏料!$F$3:$F$133)</f>
        <v>0</v>
      </c>
      <c r="Q41" s="923">
        <f>+SUMIF(秏料!$B$3:$B$133,$A41,秏料!$H$3:$H$133)</f>
        <v>0</v>
      </c>
      <c r="R41" s="923">
        <f>+SUMIF(秏料!$B$3:$B$133,$A41,秏料!$J$3:$J$133)</f>
        <v>0</v>
      </c>
      <c r="S41" s="923">
        <f>+SUMIF(秏料!$B$3:$B$133,$A41,秏料!$L$3:$L$133)</f>
        <v>0</v>
      </c>
      <c r="T41" s="460"/>
      <c r="U41" s="461"/>
      <c r="V41" s="462"/>
      <c r="W41" s="463"/>
      <c r="X41" s="327"/>
      <c r="Y41" s="37"/>
      <c r="Z41" s="327"/>
      <c r="AA41" s="119"/>
      <c r="AB41" s="893">
        <f>+G41-SUM(H41:I41,P41)+SUM(T41,X41)</f>
        <v>0</v>
      </c>
      <c r="AC41" s="894">
        <f>+AB41-SUM(J41:K41,Q41)+SUM(U41,Y41)</f>
        <v>0</v>
      </c>
      <c r="AD41" s="894">
        <f>+AC41-SUM(L41:M41,R41)+SUM(V41,Z41)</f>
        <v>0</v>
      </c>
      <c r="AE41" s="895">
        <f>+AD41-SUM(N41:O41,S41)+SUM(W41,AA41)</f>
        <v>0</v>
      </c>
      <c r="AF41" s="236">
        <f>+IF(SUM(G41,H41:O41,R41,U41,X41,AA41)=0,0,1)</f>
        <v>0</v>
      </c>
      <c r="AI41" s="666"/>
    </row>
    <row r="42" spans="1:39" ht="33.4" customHeight="1" x14ac:dyDescent="0.25">
      <c r="A42" s="112" t="s">
        <v>208</v>
      </c>
      <c r="B42" s="371" t="s">
        <v>208</v>
      </c>
      <c r="C42" s="60"/>
      <c r="D42" s="892">
        <v>0.79200000000000004</v>
      </c>
      <c r="E42" s="194">
        <v>0.16880000000000001</v>
      </c>
      <c r="F42" s="245"/>
      <c r="G42" s="118">
        <f>IF(+D42+E42-F42&lt;=0,0,+D42+E42-F42)</f>
        <v>0.9608000000000001</v>
      </c>
      <c r="H42" s="106"/>
      <c r="I42" s="38"/>
      <c r="J42" s="106"/>
      <c r="K42" s="39"/>
      <c r="L42" s="106"/>
      <c r="M42" s="39"/>
      <c r="N42" s="106"/>
      <c r="O42" s="39"/>
      <c r="P42" s="899">
        <f>+SUMIF(秏料!$B$3:$B$133,$A42,秏料!$F$3:$F$133)</f>
        <v>0.13500000000000001</v>
      </c>
      <c r="Q42" s="899">
        <f>+SUMIF(秏料!$B$3:$B$133,$A42,秏料!$H$3:$H$133)</f>
        <v>0.71899999999999997</v>
      </c>
      <c r="R42" s="899">
        <f>+SUMIF(秏料!$B$3:$B$133,$A42,秏料!$J$3:$J$133)</f>
        <v>0.71899999999999997</v>
      </c>
      <c r="S42" s="899">
        <f>+SUMIF(秏料!$B$3:$B$133,$A42,秏料!$L$3:$L$133)</f>
        <v>0.71899999999999997</v>
      </c>
      <c r="T42" s="901">
        <v>0.39600000000000002</v>
      </c>
      <c r="U42" s="464">
        <v>0.83599999999999997</v>
      </c>
      <c r="V42" s="464">
        <v>0.88</v>
      </c>
      <c r="W42" s="464">
        <v>0.88</v>
      </c>
      <c r="X42" s="327"/>
      <c r="Y42" s="37"/>
      <c r="Z42" s="327"/>
      <c r="AA42" s="119"/>
      <c r="AB42" s="953">
        <f>+G42-SUM(H42:I42,P42)+SUM(T42,X42)</f>
        <v>1.2218</v>
      </c>
      <c r="AC42" s="954">
        <f>+AB42-SUM(J42:K42,Q42)+SUM(U42,Y42)</f>
        <v>1.3388</v>
      </c>
      <c r="AD42" s="954">
        <f>+AC42-SUM(L42:M42,R42)+SUM(V42,Z42)</f>
        <v>1.4998</v>
      </c>
      <c r="AE42" s="955">
        <f>+AD42-SUM(N42:O42,S42)+SUM(W42,AA42)</f>
        <v>1.6608000000000001</v>
      </c>
      <c r="AF42" s="236">
        <f>+IF(SUM(G42,H42:O42,R42,U42,X42,AA42)=0,0,1)</f>
        <v>1</v>
      </c>
      <c r="AI42" s="666"/>
    </row>
    <row r="43" spans="1:39" ht="33.4" customHeight="1" x14ac:dyDescent="0.25">
      <c r="A43" s="112" t="s">
        <v>209</v>
      </c>
      <c r="B43" s="371" t="s">
        <v>209</v>
      </c>
      <c r="C43" s="60"/>
      <c r="D43" s="892">
        <f>0.001</f>
        <v>1E-3</v>
      </c>
      <c r="E43" s="194">
        <v>2.7699999999999999E-3</v>
      </c>
      <c r="F43" s="245"/>
      <c r="G43" s="902">
        <f>IF(+D43+E43-F43&lt;=0,0,+D43+E43-F43)</f>
        <v>3.7699999999999999E-3</v>
      </c>
      <c r="H43" s="106"/>
      <c r="I43" s="38"/>
      <c r="J43" s="106"/>
      <c r="K43" s="39"/>
      <c r="L43" s="106"/>
      <c r="M43" s="39"/>
      <c r="N43" s="106"/>
      <c r="O43" s="39"/>
      <c r="P43" s="899">
        <f>+SUMIF(秏料!$B$3:$B$133,$A43,秏料!$F$3:$F$133)</f>
        <v>0</v>
      </c>
      <c r="Q43" s="899">
        <f>+SUMIF(秏料!$B$3:$B$133,$A43,秏料!$H$3:$H$133)</f>
        <v>0</v>
      </c>
      <c r="R43" s="899">
        <f>+SUMIF(秏料!$B$3:$B$133,$A43,秏料!$J$3:$J$133)</f>
        <v>0</v>
      </c>
      <c r="S43" s="899">
        <f>+SUMIF(秏料!$B$3:$B$133,$A43,秏料!$L$3:$L$133)</f>
        <v>0</v>
      </c>
      <c r="T43" s="900">
        <v>0</v>
      </c>
      <c r="U43" s="898">
        <v>0</v>
      </c>
      <c r="V43" s="898">
        <v>0</v>
      </c>
      <c r="W43" s="898">
        <v>0</v>
      </c>
      <c r="X43" s="327"/>
      <c r="Y43" s="37"/>
      <c r="Z43" s="327"/>
      <c r="AA43" s="119"/>
      <c r="AB43" s="908">
        <f>+G43-SUM(H43:I43,P43)+SUM(T43,X43)</f>
        <v>3.7699999999999999E-3</v>
      </c>
      <c r="AC43" s="909">
        <f>+AB43-SUM(J43:K43,Q43)+SUM(U43,Y43)</f>
        <v>3.7699999999999999E-3</v>
      </c>
      <c r="AD43" s="909">
        <f>+AC43-SUM(L43:M43,R43)+SUM(V43,Z43)</f>
        <v>3.7699999999999999E-3</v>
      </c>
      <c r="AE43" s="910">
        <f>+AD43-SUM(N43:O43,S43)+SUM(W43,AA43)</f>
        <v>3.7699999999999999E-3</v>
      </c>
      <c r="AF43" s="236">
        <f>+IF(SUM(G43,H43:O43,R43,U43,X43,AA43)=0,0,1)</f>
        <v>1</v>
      </c>
      <c r="AI43" s="666"/>
    </row>
    <row r="44" spans="1:39" ht="33.4" customHeight="1" x14ac:dyDescent="0.25">
      <c r="A44" s="112" t="s">
        <v>210</v>
      </c>
      <c r="B44" s="371" t="s">
        <v>118</v>
      </c>
      <c r="C44" s="60"/>
      <c r="D44" s="205">
        <v>3.008</v>
      </c>
      <c r="E44" s="194">
        <v>0.32779999999999998</v>
      </c>
      <c r="F44" s="245"/>
      <c r="G44" s="118">
        <f>IF(+D44+E44-F44&lt;=0,0,+D44+E44-F44)</f>
        <v>3.3357999999999999</v>
      </c>
      <c r="H44" s="106"/>
      <c r="I44" s="38"/>
      <c r="J44" s="106"/>
      <c r="K44" s="39"/>
      <c r="L44" s="106"/>
      <c r="M44" s="39"/>
      <c r="N44" s="106"/>
      <c r="O44" s="39"/>
      <c r="P44" s="899">
        <f>+SUMIF(秏料!$B$3:$B$133,$A44,秏料!$F$3:$F$133)</f>
        <v>0</v>
      </c>
      <c r="Q44" s="899">
        <f>+SUMIF(秏料!$B$3:$B$133,$A44,秏料!$H$3:$H$133)</f>
        <v>0</v>
      </c>
      <c r="R44" s="899">
        <f>+SUMIF(秏料!$B$3:$B$133,$A44,秏料!$J$3:$J$133)</f>
        <v>0</v>
      </c>
      <c r="S44" s="899">
        <f>+SUMIF(秏料!$B$3:$B$133,$A44,秏料!$L$3:$L$133)</f>
        <v>0</v>
      </c>
      <c r="T44" s="460">
        <v>0</v>
      </c>
      <c r="U44" s="461">
        <v>0</v>
      </c>
      <c r="V44" s="462">
        <v>0</v>
      </c>
      <c r="W44" s="462">
        <v>0</v>
      </c>
      <c r="X44" s="327"/>
      <c r="Y44" s="37"/>
      <c r="Z44" s="327"/>
      <c r="AA44" s="119"/>
      <c r="AB44" s="131">
        <f>+G44-SUM(H44:I44,P44)+SUM(T44,X44)</f>
        <v>3.3357999999999999</v>
      </c>
      <c r="AC44" s="132">
        <f>+AB44-SUM(J44:K44,Q44)+SUM(U44,Y44)</f>
        <v>3.3357999999999999</v>
      </c>
      <c r="AD44" s="132">
        <f>+AC44-SUM(L44:M44,R44)+SUM(V44,Z44)</f>
        <v>3.3357999999999999</v>
      </c>
      <c r="AE44" s="133">
        <f>+AD44-SUM(N44:O44,S44)+SUM(W44,AA44)</f>
        <v>3.3357999999999999</v>
      </c>
      <c r="AF44" s="236">
        <f>+IF(SUM(G44,H44:O44,R44,U44,X44,AA44)=0,0,1)</f>
        <v>1</v>
      </c>
      <c r="AI44" s="666"/>
    </row>
    <row r="45" spans="1:39" ht="33.4" customHeight="1" x14ac:dyDescent="0.25">
      <c r="A45" s="97" t="s">
        <v>211</v>
      </c>
      <c r="B45" s="209" t="s">
        <v>212</v>
      </c>
      <c r="C45" s="40">
        <v>60</v>
      </c>
      <c r="D45" s="194">
        <f>14.9+3</f>
        <v>17.899999999999999</v>
      </c>
      <c r="E45" s="191"/>
      <c r="F45" s="191"/>
      <c r="G45" s="62">
        <f t="shared" si="22"/>
        <v>17.899999999999999</v>
      </c>
      <c r="H45" s="106"/>
      <c r="I45" s="38"/>
      <c r="J45" s="106"/>
      <c r="K45" s="39"/>
      <c r="L45" s="106"/>
      <c r="M45" s="39"/>
      <c r="N45" s="106"/>
      <c r="O45" s="39"/>
      <c r="P45" s="899">
        <f>+SUMIF(秏料!$B$3:$B$133,$A45,秏料!$F$3:$F$133)</f>
        <v>0</v>
      </c>
      <c r="Q45" s="899">
        <f>+SUMIF(秏料!$B$3:$B$133,$A45,秏料!$H$3:$H$133)</f>
        <v>28</v>
      </c>
      <c r="R45" s="899">
        <f>+SUMIF(秏料!$B$3:$B$133,$A45,秏料!$J$3:$J$133)</f>
        <v>28</v>
      </c>
      <c r="S45" s="899">
        <f>+SUMIF(秏料!$B$3:$B$133,$A45,秏料!$L$3:$L$133)</f>
        <v>28</v>
      </c>
      <c r="T45" s="68">
        <v>0</v>
      </c>
      <c r="U45" s="896">
        <v>15</v>
      </c>
      <c r="V45" s="281">
        <v>30</v>
      </c>
      <c r="W45" s="333">
        <v>30</v>
      </c>
      <c r="X45" s="327"/>
      <c r="Y45" s="37"/>
      <c r="Z45" s="327"/>
      <c r="AA45" s="119"/>
      <c r="AB45" s="131">
        <f t="shared" si="23"/>
        <v>17.899999999999999</v>
      </c>
      <c r="AC45" s="132">
        <f t="shared" si="24"/>
        <v>4.8999999999999986</v>
      </c>
      <c r="AD45" s="132">
        <f t="shared" si="25"/>
        <v>6.8999999999999986</v>
      </c>
      <c r="AE45" s="133">
        <f t="shared" si="26"/>
        <v>8.8999999999999986</v>
      </c>
      <c r="AF45" s="236">
        <f t="shared" si="6"/>
        <v>1</v>
      </c>
      <c r="AI45" s="666"/>
    </row>
    <row r="46" spans="1:39" ht="34.35" customHeight="1" x14ac:dyDescent="0.25">
      <c r="A46" s="99" t="s">
        <v>213</v>
      </c>
      <c r="B46" s="194" t="s">
        <v>214</v>
      </c>
      <c r="C46" s="37">
        <v>20</v>
      </c>
      <c r="D46" s="194">
        <f>0+7.46+0+0</f>
        <v>7.46</v>
      </c>
      <c r="E46" s="194"/>
      <c r="F46" s="194"/>
      <c r="G46" s="62">
        <f t="shared" si="22"/>
        <v>7.46</v>
      </c>
      <c r="H46" s="106"/>
      <c r="I46" s="38"/>
      <c r="J46" s="106"/>
      <c r="K46" s="39"/>
      <c r="L46" s="106"/>
      <c r="M46" s="39"/>
      <c r="N46" s="106"/>
      <c r="O46" s="39"/>
      <c r="P46" s="899">
        <f>+SUMIF(秏料!$B$3:$B$133,$A46,秏料!$F$3:$F$133)</f>
        <v>0</v>
      </c>
      <c r="Q46" s="899">
        <f>+SUMIF(秏料!$B$3:$B$133,$A46,秏料!$H$3:$H$133)</f>
        <v>12</v>
      </c>
      <c r="R46" s="899">
        <f>+SUMIF(秏料!$B$3:$B$133,$A46,秏料!$J$3:$J$133)</f>
        <v>12</v>
      </c>
      <c r="S46" s="899">
        <f>+SUMIF(秏料!$B$3:$B$133,$A46,秏料!$L$3:$L$133)</f>
        <v>12</v>
      </c>
      <c r="T46" s="68">
        <v>0</v>
      </c>
      <c r="U46" s="896">
        <v>15</v>
      </c>
      <c r="V46" s="281">
        <v>15</v>
      </c>
      <c r="W46" s="333">
        <v>15</v>
      </c>
      <c r="X46" s="327"/>
      <c r="Y46" s="37"/>
      <c r="Z46" s="327"/>
      <c r="AA46" s="119"/>
      <c r="AB46" s="131">
        <f t="shared" si="23"/>
        <v>7.46</v>
      </c>
      <c r="AC46" s="132">
        <f t="shared" si="24"/>
        <v>10.46</v>
      </c>
      <c r="AD46" s="132">
        <f t="shared" si="25"/>
        <v>13.46</v>
      </c>
      <c r="AE46" s="133">
        <f t="shared" si="26"/>
        <v>16.46</v>
      </c>
      <c r="AF46" s="236">
        <f t="shared" si="6"/>
        <v>1</v>
      </c>
      <c r="AI46" s="666"/>
    </row>
    <row r="47" spans="1:39" ht="34.35" customHeight="1" thickBot="1" x14ac:dyDescent="0.3">
      <c r="A47" s="97" t="s">
        <v>215</v>
      </c>
      <c r="B47" s="194" t="s">
        <v>118</v>
      </c>
      <c r="C47" s="40"/>
      <c r="D47" s="194">
        <v>6.4</v>
      </c>
      <c r="E47" s="191">
        <v>0.182</v>
      </c>
      <c r="F47" s="191"/>
      <c r="G47" s="65">
        <f t="shared" si="22"/>
        <v>6.5820000000000007</v>
      </c>
      <c r="H47" s="106"/>
      <c r="I47" s="38"/>
      <c r="J47" s="106"/>
      <c r="K47" s="39"/>
      <c r="L47" s="106"/>
      <c r="M47" s="39"/>
      <c r="N47" s="106"/>
      <c r="O47" s="39"/>
      <c r="P47" s="28">
        <f>+SUMIF(秏料!$B$3:$B$133,$A47,秏料!$F$3:$F$133)</f>
        <v>0</v>
      </c>
      <c r="Q47" s="28">
        <f>+SUMIF(秏料!$B$3:$B$133,$A47,秏料!$H$3:$H$133)</f>
        <v>1</v>
      </c>
      <c r="R47" s="28">
        <f>+SUMIF(秏料!$B$3:$B$133,$A47,秏料!$J$3:$J$133)</f>
        <v>0</v>
      </c>
      <c r="S47" s="28">
        <f>+SUMIF(秏料!$B$3:$B$133,$A47,秏料!$L$3:$L$133)</f>
        <v>0</v>
      </c>
      <c r="T47" s="278"/>
      <c r="U47" s="324">
        <v>0</v>
      </c>
      <c r="V47" s="281"/>
      <c r="W47" s="333"/>
      <c r="X47" s="327"/>
      <c r="Y47" s="37"/>
      <c r="Z47" s="327"/>
      <c r="AA47" s="469"/>
      <c r="AB47" s="137">
        <f t="shared" si="23"/>
        <v>6.5820000000000007</v>
      </c>
      <c r="AC47" s="138">
        <f t="shared" si="24"/>
        <v>5.5820000000000007</v>
      </c>
      <c r="AD47" s="138">
        <f t="shared" si="25"/>
        <v>5.5820000000000007</v>
      </c>
      <c r="AE47" s="139">
        <f t="shared" si="26"/>
        <v>5.5820000000000007</v>
      </c>
      <c r="AF47" s="236">
        <f t="shared" si="6"/>
        <v>1</v>
      </c>
      <c r="AI47" s="666"/>
    </row>
    <row r="48" spans="1:39" ht="34.35" hidden="1" customHeight="1" thickBot="1" x14ac:dyDescent="0.3">
      <c r="A48" s="100" t="s">
        <v>216</v>
      </c>
      <c r="B48" s="199" t="s">
        <v>217</v>
      </c>
      <c r="C48" s="43"/>
      <c r="D48" s="224"/>
      <c r="E48" s="224"/>
      <c r="F48" s="224"/>
      <c r="G48" s="66">
        <f t="shared" si="22"/>
        <v>0</v>
      </c>
      <c r="H48" s="107"/>
      <c r="I48" s="44"/>
      <c r="J48" s="107"/>
      <c r="K48" s="45"/>
      <c r="L48" s="107"/>
      <c r="M48" s="45"/>
      <c r="N48" s="107"/>
      <c r="O48" s="45"/>
      <c r="P48" s="31">
        <f>+SUMIF(秏料!$B$3:$B$133,$A48,秏料!$F$3:$F$133)</f>
        <v>0</v>
      </c>
      <c r="Q48" s="31"/>
      <c r="R48" s="43"/>
      <c r="S48" s="43">
        <f>+SUMIF(秏料!$B$3:$B$133,$A48,秏料!$L$3:$L$133)</f>
        <v>1</v>
      </c>
      <c r="T48" s="279">
        <v>8.8149999999999995</v>
      </c>
      <c r="U48" s="325"/>
      <c r="V48" s="282"/>
      <c r="W48" s="334"/>
      <c r="X48" s="328"/>
      <c r="Y48" s="43"/>
      <c r="Z48" s="328"/>
      <c r="AA48" s="31"/>
      <c r="AB48" s="134">
        <f t="shared" si="23"/>
        <v>8.8149999999999995</v>
      </c>
      <c r="AC48" s="135">
        <f t="shared" si="24"/>
        <v>8.8149999999999995</v>
      </c>
      <c r="AD48" s="135">
        <f t="shared" si="25"/>
        <v>8.8149999999999995</v>
      </c>
      <c r="AE48" s="136">
        <f t="shared" si="26"/>
        <v>7.8149999999999995</v>
      </c>
      <c r="AF48" s="236">
        <f t="shared" si="6"/>
        <v>0</v>
      </c>
      <c r="AI48" s="660"/>
    </row>
    <row r="49" spans="1:35" ht="18.75" hidden="1" thickTop="1" thickBot="1" x14ac:dyDescent="0.3">
      <c r="A49" s="258"/>
      <c r="B49" s="199"/>
      <c r="C49" s="171"/>
      <c r="D49" s="220"/>
      <c r="E49" s="220"/>
      <c r="F49" s="220"/>
      <c r="G49" s="172"/>
      <c r="H49" s="259"/>
      <c r="I49" s="260"/>
      <c r="J49" s="259"/>
      <c r="K49" s="261"/>
      <c r="L49" s="259"/>
      <c r="M49" s="261"/>
      <c r="N49" s="259"/>
      <c r="O49" s="261"/>
      <c r="P49" s="262">
        <f>+SUMIF(秏料!$B$3:$B$133,$A49,秏料!$F$3:$F$133)</f>
        <v>0</v>
      </c>
      <c r="Q49" s="244">
        <f>+SUMIF(秏料!$B$3:$B$133,$A49,秏料!$H$3:$H$133)</f>
        <v>0</v>
      </c>
      <c r="R49" s="171">
        <f>+SUMIF(秏料!$B$3:$B$133,$A49,秏料!$J$3:$J$133)</f>
        <v>0</v>
      </c>
      <c r="S49" s="263">
        <f>+SUMIF(秏料!$B$3:$B$133,$A49,秏料!$L$3:$L$133)</f>
        <v>0</v>
      </c>
      <c r="T49" s="335"/>
      <c r="U49" s="336"/>
      <c r="V49" s="337"/>
      <c r="W49" s="338"/>
      <c r="X49" s="343"/>
      <c r="Y49" s="339"/>
      <c r="Z49" s="343"/>
      <c r="AA49" s="340"/>
      <c r="AB49" s="264">
        <f t="shared" si="23"/>
        <v>0</v>
      </c>
      <c r="AC49" s="265">
        <f t="shared" si="24"/>
        <v>0</v>
      </c>
      <c r="AD49" s="265">
        <f t="shared" si="25"/>
        <v>0</v>
      </c>
      <c r="AE49" s="266">
        <f t="shared" si="26"/>
        <v>0</v>
      </c>
      <c r="AF49" s="236">
        <f t="shared" si="6"/>
        <v>0</v>
      </c>
      <c r="AI49" s="660"/>
    </row>
    <row r="50" spans="1:35" ht="18" hidden="1" thickBot="1" x14ac:dyDescent="0.3">
      <c r="A50" s="97"/>
      <c r="B50" s="191"/>
      <c r="C50" s="40"/>
      <c r="D50" s="190"/>
      <c r="E50" s="191"/>
      <c r="F50" s="191"/>
      <c r="G50" s="240"/>
      <c r="H50" s="152"/>
      <c r="I50" s="41"/>
      <c r="J50" s="152"/>
      <c r="K50" s="42"/>
      <c r="L50" s="152"/>
      <c r="M50" s="42"/>
      <c r="N50" s="152"/>
      <c r="O50" s="42"/>
      <c r="P50" s="18">
        <f>+SUMIF(秏料!$B$3:$B$133,$A50,秏料!$F$3:$F$133)</f>
        <v>0</v>
      </c>
      <c r="Q50" s="40">
        <f>+SUMIF(秏料!$B$3:$B$133,$A50,秏料!$H$3:$H$133)</f>
        <v>0</v>
      </c>
      <c r="R50" s="40">
        <f>+SUMIF(秏料!$B$3:$B$133,$A50,秏料!$J$3:$J$133)</f>
        <v>0</v>
      </c>
      <c r="S50" s="57">
        <f>+SUMIF(秏料!$B$3:$B$133,$A50,秏料!$L$3:$L$133)</f>
        <v>0</v>
      </c>
      <c r="T50" s="286"/>
      <c r="U50" s="323"/>
      <c r="V50" s="287"/>
      <c r="W50" s="91"/>
      <c r="X50" s="342"/>
      <c r="Y50" s="40"/>
      <c r="Z50" s="342"/>
      <c r="AA50" s="22"/>
      <c r="AB50" s="147">
        <f t="shared" si="23"/>
        <v>0</v>
      </c>
      <c r="AC50" s="148">
        <f t="shared" si="24"/>
        <v>0</v>
      </c>
      <c r="AD50" s="148">
        <f t="shared" si="25"/>
        <v>0</v>
      </c>
      <c r="AE50" s="149">
        <f t="shared" si="26"/>
        <v>0</v>
      </c>
      <c r="AF50" s="236">
        <f t="shared" si="6"/>
        <v>0</v>
      </c>
      <c r="AI50" s="660"/>
    </row>
    <row r="51" spans="1:35" ht="18" hidden="1" thickBot="1" x14ac:dyDescent="0.3">
      <c r="A51" s="99"/>
      <c r="B51" s="194"/>
      <c r="C51" s="37"/>
      <c r="D51" s="188"/>
      <c r="E51" s="194"/>
      <c r="F51" s="194"/>
      <c r="G51" s="62"/>
      <c r="H51" s="106"/>
      <c r="I51" s="39"/>
      <c r="J51" s="106"/>
      <c r="K51" s="39"/>
      <c r="L51" s="106"/>
      <c r="M51" s="39"/>
      <c r="N51" s="106"/>
      <c r="O51" s="39"/>
      <c r="P51" s="28">
        <f>+SUMIF(秏料!$B$3:$B$133,$A51,秏料!$F$3:$F$133)</f>
        <v>0</v>
      </c>
      <c r="Q51" s="37">
        <f>+SUMIF(秏料!$B$3:$B$133,$A51,秏料!$H$3:$H$133)</f>
        <v>0</v>
      </c>
      <c r="R51" s="37">
        <f>+SUMIF(秏料!$B$3:$B$133,$A51,秏料!$J$3:$J$133)</f>
        <v>0</v>
      </c>
      <c r="S51" s="55">
        <f>+SUMIF(秏料!$B$3:$B$133,$A51,秏料!$L$3:$L$133)</f>
        <v>0</v>
      </c>
      <c r="T51" s="278"/>
      <c r="U51" s="324"/>
      <c r="V51" s="281"/>
      <c r="W51" s="333"/>
      <c r="X51" s="327"/>
      <c r="Y51" s="37"/>
      <c r="Z51" s="327"/>
      <c r="AA51" s="119"/>
      <c r="AB51" s="131">
        <f t="shared" si="23"/>
        <v>0</v>
      </c>
      <c r="AC51" s="132">
        <f t="shared" si="24"/>
        <v>0</v>
      </c>
      <c r="AD51" s="182">
        <f t="shared" si="25"/>
        <v>0</v>
      </c>
      <c r="AE51" s="133">
        <f t="shared" si="26"/>
        <v>0</v>
      </c>
      <c r="AF51" s="236">
        <f t="shared" si="6"/>
        <v>0</v>
      </c>
      <c r="AI51" s="660"/>
    </row>
    <row r="52" spans="1:35" ht="18" hidden="1" thickBot="1" x14ac:dyDescent="0.3">
      <c r="A52" s="99"/>
      <c r="B52" s="194"/>
      <c r="C52" s="37"/>
      <c r="D52" s="203"/>
      <c r="E52" s="194"/>
      <c r="F52" s="194"/>
      <c r="G52" s="62"/>
      <c r="H52" s="106"/>
      <c r="I52" s="38"/>
      <c r="J52" s="106"/>
      <c r="K52" s="39"/>
      <c r="L52" s="106"/>
      <c r="M52" s="39"/>
      <c r="N52" s="106"/>
      <c r="O52" s="39"/>
      <c r="P52" s="28">
        <f>+SUMIF(秏料!$B$3:$B$133,$A52,秏料!$F$3:$F$133)</f>
        <v>0</v>
      </c>
      <c r="Q52" s="37">
        <f>+SUMIF(秏料!$B$3:$B$133,$A52,秏料!$H$3:$H$133)</f>
        <v>0</v>
      </c>
      <c r="R52" s="37">
        <f>+SUMIF(秏料!$B$3:$B$133,$A52,秏料!$J$3:$J$133)</f>
        <v>0</v>
      </c>
      <c r="S52" s="55">
        <f>+SUMIF(秏料!$B$3:$B$133,$A52,秏料!$L$3:$L$133)</f>
        <v>0</v>
      </c>
      <c r="T52" s="278"/>
      <c r="U52" s="324"/>
      <c r="V52" s="281"/>
      <c r="W52" s="333"/>
      <c r="X52" s="327"/>
      <c r="Y52" s="37"/>
      <c r="Z52" s="327"/>
      <c r="AA52" s="119"/>
      <c r="AB52" s="131">
        <f t="shared" si="23"/>
        <v>0</v>
      </c>
      <c r="AC52" s="132">
        <f t="shared" si="24"/>
        <v>0</v>
      </c>
      <c r="AD52" s="132">
        <f t="shared" si="25"/>
        <v>0</v>
      </c>
      <c r="AE52" s="133">
        <f t="shared" si="26"/>
        <v>0</v>
      </c>
      <c r="AF52" s="236">
        <f t="shared" si="6"/>
        <v>0</v>
      </c>
      <c r="AI52" s="660"/>
    </row>
    <row r="53" spans="1:35" ht="18" hidden="1" thickBot="1" x14ac:dyDescent="0.3">
      <c r="A53" s="99"/>
      <c r="B53" s="194"/>
      <c r="C53" s="37"/>
      <c r="D53" s="203"/>
      <c r="E53" s="194"/>
      <c r="F53" s="194"/>
      <c r="G53" s="62"/>
      <c r="H53" s="179"/>
      <c r="I53" s="38"/>
      <c r="J53" s="106"/>
      <c r="K53" s="39"/>
      <c r="L53" s="106"/>
      <c r="M53" s="39"/>
      <c r="N53" s="106"/>
      <c r="O53" s="39"/>
      <c r="P53" s="28">
        <f>+SUMIF(秏料!$B$3:$B$133,$A53,秏料!$F$3:$F$133)</f>
        <v>0</v>
      </c>
      <c r="Q53" s="37">
        <f>+SUMIF(秏料!$B$3:$B$133,$A53,秏料!$H$3:$H$133)</f>
        <v>0</v>
      </c>
      <c r="R53" s="37">
        <f>+SUMIF(秏料!$B$3:$B$133,$A53,秏料!$J$3:$J$133)</f>
        <v>0</v>
      </c>
      <c r="S53" s="55">
        <f>+SUMIF(秏料!$B$3:$B$133,$A53,秏料!$L$3:$L$133)</f>
        <v>0</v>
      </c>
      <c r="T53" s="278"/>
      <c r="U53" s="324"/>
      <c r="V53" s="281"/>
      <c r="W53" s="333"/>
      <c r="X53" s="327"/>
      <c r="Y53" s="37"/>
      <c r="Z53" s="327"/>
      <c r="AA53" s="119"/>
      <c r="AB53" s="137">
        <f t="shared" si="23"/>
        <v>0</v>
      </c>
      <c r="AC53" s="138">
        <f t="shared" si="24"/>
        <v>0</v>
      </c>
      <c r="AD53" s="138">
        <f t="shared" si="25"/>
        <v>0</v>
      </c>
      <c r="AE53" s="225">
        <f t="shared" si="26"/>
        <v>0</v>
      </c>
      <c r="AF53" s="236">
        <f t="shared" si="6"/>
        <v>0</v>
      </c>
      <c r="AI53" s="660"/>
    </row>
    <row r="54" spans="1:35" ht="18" hidden="1" thickBot="1" x14ac:dyDescent="0.3">
      <c r="A54" s="99"/>
      <c r="B54" s="194"/>
      <c r="C54" s="37"/>
      <c r="D54" s="203"/>
      <c r="E54" s="194"/>
      <c r="F54" s="194"/>
      <c r="G54" s="108"/>
      <c r="H54" s="106"/>
      <c r="I54" s="38"/>
      <c r="J54" s="106"/>
      <c r="K54" s="39"/>
      <c r="L54" s="106"/>
      <c r="M54" s="39"/>
      <c r="N54" s="106"/>
      <c r="O54" s="39"/>
      <c r="P54" s="28">
        <f>+SUMIF(秏料!$B$3:$B$133,$A54,秏料!$F$3:$F$133)</f>
        <v>0</v>
      </c>
      <c r="Q54" s="37">
        <f>+SUMIF(秏料!$B$3:$B$133,$A54,秏料!$H$3:$H$133)</f>
        <v>0</v>
      </c>
      <c r="R54" s="37">
        <f>+SUMIF(秏料!$B$3:$B$133,$A54,秏料!$J$3:$J$133)</f>
        <v>0</v>
      </c>
      <c r="S54" s="55">
        <f>+SUMIF(秏料!$B$3:$B$133,$A54,秏料!$L$3:$L$133)</f>
        <v>0</v>
      </c>
      <c r="T54" s="278"/>
      <c r="U54" s="324"/>
      <c r="V54" s="281"/>
      <c r="W54" s="333"/>
      <c r="X54" s="327"/>
      <c r="Y54" s="37"/>
      <c r="Z54" s="327"/>
      <c r="AA54" s="119"/>
      <c r="AB54" s="93">
        <f t="shared" si="23"/>
        <v>0</v>
      </c>
      <c r="AC54" s="94">
        <f t="shared" si="24"/>
        <v>0</v>
      </c>
      <c r="AD54" s="94">
        <f t="shared" si="25"/>
        <v>0</v>
      </c>
      <c r="AE54" s="95">
        <f t="shared" si="26"/>
        <v>0</v>
      </c>
      <c r="AF54" s="236">
        <f t="shared" si="6"/>
        <v>0</v>
      </c>
      <c r="AI54" s="660"/>
    </row>
    <row r="55" spans="1:35" ht="18" hidden="1" thickBot="1" x14ac:dyDescent="0.3">
      <c r="A55" s="99"/>
      <c r="B55" s="194"/>
      <c r="C55" s="26"/>
      <c r="D55" s="204"/>
      <c r="E55" s="205"/>
      <c r="F55" s="205"/>
      <c r="G55" s="230"/>
      <c r="H55" s="106"/>
      <c r="I55" s="38"/>
      <c r="J55" s="106"/>
      <c r="K55" s="39"/>
      <c r="L55" s="106"/>
      <c r="M55" s="39"/>
      <c r="N55" s="106"/>
      <c r="O55" s="39"/>
      <c r="P55" s="28">
        <f>+SUMIF(秏料!$B$3:$B$133,$A55,秏料!$F$3:$F$133)</f>
        <v>0</v>
      </c>
      <c r="Q55" s="26">
        <f>+SUMIF(秏料!$B$3:$B$133,$A55,秏料!$H$3:$H$133)</f>
        <v>0</v>
      </c>
      <c r="R55" s="26">
        <f>+SUMIF(秏料!$B$3:$B$133,$A55,秏料!$J$3:$J$133)</f>
        <v>0</v>
      </c>
      <c r="S55" s="56">
        <f>+SUMIF(秏料!$B$3:$B$133,$A55,秏料!$L$3:$L$133)</f>
        <v>0</v>
      </c>
      <c r="T55" s="278"/>
      <c r="U55" s="324"/>
      <c r="V55" s="281"/>
      <c r="W55" s="333"/>
      <c r="X55" s="327"/>
      <c r="Y55" s="37"/>
      <c r="Z55" s="327"/>
      <c r="AA55" s="119"/>
      <c r="AB55" s="137">
        <f t="shared" si="23"/>
        <v>0</v>
      </c>
      <c r="AC55" s="138">
        <f t="shared" si="24"/>
        <v>0</v>
      </c>
      <c r="AD55" s="138">
        <f t="shared" si="25"/>
        <v>0</v>
      </c>
      <c r="AE55" s="139">
        <f t="shared" si="26"/>
        <v>0</v>
      </c>
      <c r="AF55" s="236">
        <f t="shared" si="6"/>
        <v>0</v>
      </c>
      <c r="AI55" s="660"/>
    </row>
    <row r="56" spans="1:35" ht="18" hidden="1" thickBot="1" x14ac:dyDescent="0.3">
      <c r="A56" s="97"/>
      <c r="B56" s="191"/>
      <c r="C56" s="40"/>
      <c r="D56" s="190"/>
      <c r="E56" s="191"/>
      <c r="F56" s="191"/>
      <c r="G56" s="65"/>
      <c r="H56" s="152"/>
      <c r="I56" s="41"/>
      <c r="J56" s="152"/>
      <c r="K56" s="42"/>
      <c r="L56" s="152"/>
      <c r="M56" s="42"/>
      <c r="N56" s="152"/>
      <c r="O56" s="42"/>
      <c r="P56" s="18">
        <f>+SUMIF(秏料!$B$3:$B$133,$A56,秏料!$F$3:$F$133)</f>
        <v>0</v>
      </c>
      <c r="Q56" s="40">
        <f>+SUMIF(秏料!$B$3:$B$133,$A56,秏料!$H$3:$H$133)</f>
        <v>0</v>
      </c>
      <c r="R56" s="40">
        <f>+SUMIF(秏料!$B$3:$B$133,$A56,秏料!$J$3:$J$133)</f>
        <v>0</v>
      </c>
      <c r="S56" s="57">
        <f>+SUMIF(秏料!$B$3:$B$133,$A56,秏料!$L$3:$L$133)</f>
        <v>0</v>
      </c>
      <c r="T56" s="278"/>
      <c r="U56" s="323"/>
      <c r="V56" s="281"/>
      <c r="W56" s="91"/>
      <c r="X56" s="327"/>
      <c r="Y56" s="37"/>
      <c r="Z56" s="327"/>
      <c r="AA56" s="119"/>
      <c r="AB56" s="113">
        <f t="shared" si="23"/>
        <v>0</v>
      </c>
      <c r="AC56" s="114">
        <f t="shared" si="24"/>
        <v>0</v>
      </c>
      <c r="AD56" s="114">
        <f t="shared" si="25"/>
        <v>0</v>
      </c>
      <c r="AE56" s="115">
        <f t="shared" si="26"/>
        <v>0</v>
      </c>
      <c r="AF56" s="236">
        <f t="shared" si="6"/>
        <v>0</v>
      </c>
      <c r="AI56" s="660"/>
    </row>
    <row r="57" spans="1:35" ht="18" hidden="1" thickBot="1" x14ac:dyDescent="0.3">
      <c r="A57" s="99"/>
      <c r="B57" s="194"/>
      <c r="C57" s="37"/>
      <c r="D57" s="203"/>
      <c r="E57" s="194"/>
      <c r="F57" s="194"/>
      <c r="G57" s="62"/>
      <c r="H57" s="106"/>
      <c r="I57" s="38"/>
      <c r="J57" s="106"/>
      <c r="K57" s="39"/>
      <c r="L57" s="106"/>
      <c r="M57" s="39"/>
      <c r="N57" s="106"/>
      <c r="O57" s="39"/>
      <c r="P57" s="28">
        <f>+SUMIF(秏料!$B$3:$B$133,$A57,秏料!$F$3:$F$133)</f>
        <v>0</v>
      </c>
      <c r="Q57" s="37">
        <f>+SUMIF(秏料!$B$3:$B$133,$A57,秏料!$H$3:$H$133)</f>
        <v>0</v>
      </c>
      <c r="R57" s="37">
        <f>+SUMIF(秏料!$B$3:$B$133,$A57,秏料!$J$3:$J$133)</f>
        <v>0</v>
      </c>
      <c r="S57" s="55">
        <f>+SUMIF(秏料!$B$3:$B$133,$A57,秏料!$L$3:$L$133)</f>
        <v>0</v>
      </c>
      <c r="T57" s="278"/>
      <c r="U57" s="324"/>
      <c r="V57" s="281"/>
      <c r="W57" s="333"/>
      <c r="X57" s="327"/>
      <c r="Y57" s="37"/>
      <c r="Z57" s="327"/>
      <c r="AA57" s="119"/>
      <c r="AB57" s="93">
        <f t="shared" si="23"/>
        <v>0</v>
      </c>
      <c r="AC57" s="94">
        <f t="shared" si="24"/>
        <v>0</v>
      </c>
      <c r="AD57" s="94">
        <f t="shared" si="25"/>
        <v>0</v>
      </c>
      <c r="AE57" s="95">
        <f t="shared" si="26"/>
        <v>0</v>
      </c>
      <c r="AF57" s="236">
        <f t="shared" si="6"/>
        <v>0</v>
      </c>
      <c r="AI57" s="660"/>
    </row>
    <row r="58" spans="1:35" ht="16.5" hidden="1" thickBot="1" x14ac:dyDescent="0.3">
      <c r="A58" s="231"/>
      <c r="B58" s="194"/>
      <c r="C58" s="37"/>
      <c r="D58" s="203"/>
      <c r="E58" s="194"/>
      <c r="F58" s="194"/>
      <c r="G58" s="62"/>
      <c r="H58" s="106"/>
      <c r="I58" s="38"/>
      <c r="J58" s="106"/>
      <c r="K58" s="39"/>
      <c r="L58" s="106"/>
      <c r="M58" s="39"/>
      <c r="N58" s="106"/>
      <c r="O58" s="39"/>
      <c r="P58" s="28">
        <f>+SUMIF(秏料!$B$3:$B$133,$A58,秏料!$F$3:$F$133)</f>
        <v>0</v>
      </c>
      <c r="Q58" s="37">
        <f>+SUMIF(秏料!$B$3:$B$133,$A58,秏料!$H$3:$H$133)</f>
        <v>0</v>
      </c>
      <c r="R58" s="37">
        <f>+SUMIF(秏料!$B$3:$B$133,$A58,秏料!$J$3:$J$133)</f>
        <v>0</v>
      </c>
      <c r="S58" s="55">
        <f>+SUMIF(秏料!$B$3:$B$133,$A58,秏料!$L$3:$L$133)</f>
        <v>0</v>
      </c>
      <c r="T58" s="278"/>
      <c r="U58" s="324"/>
      <c r="V58" s="281"/>
      <c r="W58" s="333"/>
      <c r="X58" s="327"/>
      <c r="Y58" s="37"/>
      <c r="Z58" s="327"/>
      <c r="AA58" s="119"/>
      <c r="AB58" s="137">
        <f t="shared" si="23"/>
        <v>0</v>
      </c>
      <c r="AC58" s="138">
        <f t="shared" si="24"/>
        <v>0</v>
      </c>
      <c r="AD58" s="138">
        <f t="shared" si="25"/>
        <v>0</v>
      </c>
      <c r="AE58" s="139">
        <f t="shared" si="26"/>
        <v>0</v>
      </c>
      <c r="AF58" s="236">
        <f t="shared" si="6"/>
        <v>0</v>
      </c>
      <c r="AI58" s="660"/>
    </row>
    <row r="59" spans="1:35" ht="16.5" hidden="1" thickBot="1" x14ac:dyDescent="0.3">
      <c r="A59" s="232"/>
      <c r="B59" s="194"/>
      <c r="C59" s="40"/>
      <c r="D59" s="190"/>
      <c r="E59" s="191"/>
      <c r="F59" s="191"/>
      <c r="G59" s="65"/>
      <c r="H59" s="152"/>
      <c r="I59" s="41"/>
      <c r="J59" s="152"/>
      <c r="K59" s="42"/>
      <c r="L59" s="152"/>
      <c r="M59" s="42"/>
      <c r="N59" s="152"/>
      <c r="O59" s="42"/>
      <c r="P59" s="28">
        <f>+SUMIF(秏料!$B$3:$B$133,$A59,秏料!$F$3:$F$133)</f>
        <v>0</v>
      </c>
      <c r="Q59" s="40">
        <f>+SUMIF(秏料!$B$3:$B$133,$A59,秏料!$H$3:$H$133)</f>
        <v>0</v>
      </c>
      <c r="R59" s="40">
        <f>+SUMIF(秏料!$B$3:$B$133,$A59,秏料!$J$3:$J$133)</f>
        <v>0</v>
      </c>
      <c r="S59" s="57">
        <f>+SUMIF(秏料!$B$3:$B$133,$A59,秏料!$L$3:$L$133)</f>
        <v>0</v>
      </c>
      <c r="T59" s="278"/>
      <c r="U59" s="323"/>
      <c r="V59" s="281"/>
      <c r="W59" s="91"/>
      <c r="X59" s="327"/>
      <c r="Y59" s="37"/>
      <c r="Z59" s="327"/>
      <c r="AA59" s="119"/>
      <c r="AB59" s="113">
        <f t="shared" si="23"/>
        <v>0</v>
      </c>
      <c r="AC59" s="114">
        <f t="shared" si="24"/>
        <v>0</v>
      </c>
      <c r="AD59" s="114">
        <f t="shared" si="25"/>
        <v>0</v>
      </c>
      <c r="AE59" s="115">
        <f t="shared" si="26"/>
        <v>0</v>
      </c>
      <c r="AF59" s="236">
        <f t="shared" si="6"/>
        <v>0</v>
      </c>
      <c r="AI59" s="660"/>
    </row>
    <row r="60" spans="1:35" s="104" customFormat="1" ht="19.5" hidden="1" thickBot="1" x14ac:dyDescent="0.35">
      <c r="A60" s="231"/>
      <c r="B60" s="194"/>
      <c r="C60" s="37"/>
      <c r="D60" s="203"/>
      <c r="E60" s="194"/>
      <c r="F60" s="194"/>
      <c r="G60" s="62"/>
      <c r="H60" s="106"/>
      <c r="I60" s="38"/>
      <c r="J60" s="106"/>
      <c r="K60" s="39"/>
      <c r="L60" s="106"/>
      <c r="M60" s="39"/>
      <c r="N60" s="106"/>
      <c r="O60" s="39"/>
      <c r="P60" s="28">
        <f>+SUMIF(秏料!$B$3:$B$133,$A60,秏料!$F$3:$F$133)</f>
        <v>0</v>
      </c>
      <c r="Q60" s="37">
        <f>+SUMIF(秏料!$B$3:$B$133,$A60,秏料!$H$3:$H$133)</f>
        <v>0</v>
      </c>
      <c r="R60" s="37">
        <f>+SUMIF(秏料!$B$3:$B$133,$A60,秏料!$J$3:$J$133)</f>
        <v>0</v>
      </c>
      <c r="S60" s="55">
        <f>+SUMIF(秏料!$B$3:$B$133,$A60,秏料!$L$3:$L$133)</f>
        <v>0</v>
      </c>
      <c r="T60" s="278"/>
      <c r="U60" s="324"/>
      <c r="V60" s="281"/>
      <c r="W60" s="333"/>
      <c r="X60" s="327"/>
      <c r="Y60" s="37"/>
      <c r="Z60" s="327"/>
      <c r="AA60" s="119"/>
      <c r="AB60" s="93">
        <f t="shared" si="23"/>
        <v>0</v>
      </c>
      <c r="AC60" s="94">
        <f t="shared" si="24"/>
        <v>0</v>
      </c>
      <c r="AD60" s="94">
        <f t="shared" si="25"/>
        <v>0</v>
      </c>
      <c r="AE60" s="95">
        <f t="shared" si="26"/>
        <v>0</v>
      </c>
      <c r="AF60" s="239">
        <f t="shared" si="6"/>
        <v>0</v>
      </c>
      <c r="AI60" s="661"/>
    </row>
    <row r="61" spans="1:35" ht="16.5" hidden="1" thickBot="1" x14ac:dyDescent="0.3">
      <c r="A61" s="233"/>
      <c r="B61" s="194"/>
      <c r="C61" s="37"/>
      <c r="D61" s="203"/>
      <c r="E61" s="194"/>
      <c r="F61" s="194"/>
      <c r="G61" s="62"/>
      <c r="H61" s="106"/>
      <c r="I61" s="38"/>
      <c r="J61" s="106"/>
      <c r="K61" s="39"/>
      <c r="L61" s="106"/>
      <c r="M61" s="39"/>
      <c r="N61" s="106"/>
      <c r="O61" s="39"/>
      <c r="P61" s="28">
        <f>+SUMIF(秏料!$B$3:$B$133,$A61,秏料!$F$3:$F$133)</f>
        <v>0</v>
      </c>
      <c r="Q61" s="37">
        <f>+SUMIF(秏料!$B$3:$B$133,$A61,秏料!$H$3:$H$133)</f>
        <v>0</v>
      </c>
      <c r="R61" s="37">
        <f>+SUMIF(秏料!$B$3:$B$133,$A61,秏料!$J$3:$J$133)</f>
        <v>0</v>
      </c>
      <c r="S61" s="55">
        <f>+SUMIF(秏料!$B$3:$B$133,$A61,秏料!$L$3:$L$133)</f>
        <v>0</v>
      </c>
      <c r="T61" s="278"/>
      <c r="U61" s="324"/>
      <c r="V61" s="281"/>
      <c r="W61" s="333"/>
      <c r="X61" s="327"/>
      <c r="Y61" s="37"/>
      <c r="Z61" s="327"/>
      <c r="AA61" s="119"/>
      <c r="AB61" s="25">
        <f t="shared" si="23"/>
        <v>0</v>
      </c>
      <c r="AC61" s="26">
        <f t="shared" si="24"/>
        <v>0</v>
      </c>
      <c r="AD61" s="26">
        <f t="shared" si="25"/>
        <v>0</v>
      </c>
      <c r="AE61" s="27">
        <f t="shared" si="26"/>
        <v>0</v>
      </c>
      <c r="AF61" s="236">
        <f t="shared" si="6"/>
        <v>0</v>
      </c>
      <c r="AI61" s="660"/>
    </row>
    <row r="62" spans="1:35" ht="16.5" hidden="1" thickBot="1" x14ac:dyDescent="0.3">
      <c r="A62" s="234"/>
      <c r="B62" s="191"/>
      <c r="C62" s="40"/>
      <c r="D62" s="190"/>
      <c r="E62" s="191"/>
      <c r="F62" s="191"/>
      <c r="G62" s="65"/>
      <c r="H62" s="152"/>
      <c r="I62" s="41"/>
      <c r="J62" s="152"/>
      <c r="K62" s="42"/>
      <c r="L62" s="152"/>
      <c r="M62" s="42"/>
      <c r="N62" s="152"/>
      <c r="O62" s="42"/>
      <c r="P62" s="18">
        <f>+SUMIF(秏料!$B$3:$B$133,$A62,秏料!$F$3:$F$133)</f>
        <v>0</v>
      </c>
      <c r="Q62" s="40">
        <f>+SUMIF(秏料!$B$3:$B$133,$A62,秏料!$H$3:$H$133)</f>
        <v>0</v>
      </c>
      <c r="R62" s="40">
        <f>+SUMIF(秏料!$B$3:$B$133,$A62,秏料!$J$3:$J$133)</f>
        <v>0</v>
      </c>
      <c r="S62" s="57">
        <f>+SUMIF(秏料!$B$3:$B$133,$A62,秏料!$L$3:$L$133)</f>
        <v>0</v>
      </c>
      <c r="T62" s="278"/>
      <c r="U62" s="323"/>
      <c r="V62" s="281"/>
      <c r="W62" s="91"/>
      <c r="X62" s="327"/>
      <c r="Y62" s="37"/>
      <c r="Z62" s="327"/>
      <c r="AA62" s="119"/>
      <c r="AB62" s="113">
        <f t="shared" si="23"/>
        <v>0</v>
      </c>
      <c r="AC62" s="114">
        <f t="shared" si="24"/>
        <v>0</v>
      </c>
      <c r="AD62" s="114">
        <f t="shared" si="25"/>
        <v>0</v>
      </c>
      <c r="AE62" s="115">
        <f t="shared" si="26"/>
        <v>0</v>
      </c>
      <c r="AF62" s="236">
        <f t="shared" si="6"/>
        <v>0</v>
      </c>
      <c r="AI62" s="660"/>
    </row>
    <row r="63" spans="1:35" ht="18" hidden="1" thickBot="1" x14ac:dyDescent="0.3">
      <c r="A63" s="99"/>
      <c r="B63" s="194"/>
      <c r="C63" s="37"/>
      <c r="D63" s="203"/>
      <c r="E63" s="194"/>
      <c r="F63" s="194"/>
      <c r="G63" s="62"/>
      <c r="H63" s="106"/>
      <c r="I63" s="38"/>
      <c r="J63" s="106"/>
      <c r="K63" s="39"/>
      <c r="L63" s="106"/>
      <c r="M63" s="39"/>
      <c r="N63" s="106"/>
      <c r="O63" s="39"/>
      <c r="P63" s="28">
        <f>+SUMIF(秏料!$B$3:$B$133,$A63,秏料!$F$3:$F$133)</f>
        <v>0</v>
      </c>
      <c r="Q63" s="37">
        <f>+SUMIF(秏料!$B$3:$B$133,$A63,秏料!$H$3:$H$133)</f>
        <v>0</v>
      </c>
      <c r="R63" s="37">
        <f>+SUMIF(秏料!$B$3:$B$133,$A63,秏料!$J$3:$J$133)</f>
        <v>0</v>
      </c>
      <c r="S63" s="55">
        <f>+SUMIF(秏料!$B$3:$B$133,$A63,秏料!$L$3:$L$133)</f>
        <v>0</v>
      </c>
      <c r="T63" s="278"/>
      <c r="U63" s="324"/>
      <c r="V63" s="281"/>
      <c r="W63" s="333"/>
      <c r="X63" s="327"/>
      <c r="Y63" s="37"/>
      <c r="Z63" s="327"/>
      <c r="AA63" s="119"/>
      <c r="AB63" s="93">
        <f t="shared" si="23"/>
        <v>0</v>
      </c>
      <c r="AC63" s="94">
        <f t="shared" si="24"/>
        <v>0</v>
      </c>
      <c r="AD63" s="94">
        <f t="shared" si="25"/>
        <v>0</v>
      </c>
      <c r="AE63" s="95">
        <f t="shared" si="26"/>
        <v>0</v>
      </c>
      <c r="AF63" s="236">
        <f t="shared" si="6"/>
        <v>0</v>
      </c>
      <c r="AI63" s="660"/>
    </row>
    <row r="64" spans="1:35" ht="18" hidden="1" thickBot="1" x14ac:dyDescent="0.3">
      <c r="A64" s="99"/>
      <c r="B64" s="194"/>
      <c r="C64" s="37"/>
      <c r="D64" s="203"/>
      <c r="E64" s="194"/>
      <c r="F64" s="194"/>
      <c r="G64" s="62"/>
      <c r="H64" s="106"/>
      <c r="I64" s="38"/>
      <c r="J64" s="106"/>
      <c r="K64" s="39"/>
      <c r="L64" s="106"/>
      <c r="M64" s="39"/>
      <c r="N64" s="106"/>
      <c r="O64" s="39"/>
      <c r="P64" s="28">
        <f>+SUMIF(秏料!$B$3:$B$133,$A64,秏料!$F$3:$F$133)</f>
        <v>0</v>
      </c>
      <c r="Q64" s="37">
        <f>+SUMIF(秏料!$B$3:$B$133,$A64,秏料!$H$3:$H$133)</f>
        <v>0</v>
      </c>
      <c r="R64" s="37">
        <f>+SUMIF(秏料!$B$3:$B$133,$A64,秏料!$J$3:$J$133)</f>
        <v>0</v>
      </c>
      <c r="S64" s="55">
        <f>+SUMIF(秏料!$B$3:$B$133,$A64,秏料!$L$3:$L$133)</f>
        <v>0</v>
      </c>
      <c r="T64" s="278"/>
      <c r="U64" s="324"/>
      <c r="V64" s="281"/>
      <c r="W64" s="333"/>
      <c r="X64" s="327"/>
      <c r="Y64" s="37"/>
      <c r="Z64" s="327"/>
      <c r="AA64" s="119"/>
      <c r="AB64" s="93">
        <f t="shared" si="23"/>
        <v>0</v>
      </c>
      <c r="AC64" s="94">
        <f t="shared" si="24"/>
        <v>0</v>
      </c>
      <c r="AD64" s="94">
        <f t="shared" si="25"/>
        <v>0</v>
      </c>
      <c r="AE64" s="95">
        <f t="shared" si="26"/>
        <v>0</v>
      </c>
      <c r="AF64" s="236">
        <f t="shared" si="6"/>
        <v>0</v>
      </c>
      <c r="AI64" s="660"/>
    </row>
    <row r="65" spans="1:35" ht="18" hidden="1" thickBot="1" x14ac:dyDescent="0.3">
      <c r="A65" s="99"/>
      <c r="B65" s="194"/>
      <c r="C65" s="37"/>
      <c r="D65" s="203"/>
      <c r="E65" s="194"/>
      <c r="F65" s="194"/>
      <c r="G65" s="62"/>
      <c r="H65" s="106"/>
      <c r="I65" s="38"/>
      <c r="J65" s="106"/>
      <c r="K65" s="39"/>
      <c r="L65" s="106"/>
      <c r="M65" s="39"/>
      <c r="N65" s="106"/>
      <c r="O65" s="39"/>
      <c r="P65" s="28">
        <f>+SUMIF(秏料!$B$3:$B$133,$A65,秏料!$F$3:$F$133)</f>
        <v>0</v>
      </c>
      <c r="Q65" s="37">
        <f>+SUMIF(秏料!$B$3:$B$133,$A65,秏料!$H$3:$H$133)</f>
        <v>0</v>
      </c>
      <c r="R65" s="37">
        <f>+SUMIF(秏料!$B$3:$B$133,$A65,秏料!$J$3:$J$133)</f>
        <v>0</v>
      </c>
      <c r="S65" s="55">
        <f>+SUMIF(秏料!$B$3:$B$133,$A65,秏料!$L$3:$L$133)</f>
        <v>0</v>
      </c>
      <c r="T65" s="278"/>
      <c r="U65" s="324"/>
      <c r="V65" s="281"/>
      <c r="W65" s="333"/>
      <c r="X65" s="327"/>
      <c r="Y65" s="37"/>
      <c r="Z65" s="327"/>
      <c r="AA65" s="119"/>
      <c r="AB65" s="93">
        <f t="shared" si="23"/>
        <v>0</v>
      </c>
      <c r="AC65" s="94">
        <f t="shared" si="24"/>
        <v>0</v>
      </c>
      <c r="AD65" s="94">
        <f t="shared" si="25"/>
        <v>0</v>
      </c>
      <c r="AE65" s="95">
        <f t="shared" si="26"/>
        <v>0</v>
      </c>
      <c r="AF65" s="236">
        <f t="shared" si="6"/>
        <v>0</v>
      </c>
      <c r="AI65" s="660"/>
    </row>
    <row r="66" spans="1:35" ht="18" hidden="1" thickBot="1" x14ac:dyDescent="0.3">
      <c r="A66" s="103"/>
      <c r="B66" s="217"/>
      <c r="C66" s="37"/>
      <c r="D66" s="203"/>
      <c r="E66" s="194"/>
      <c r="F66" s="194"/>
      <c r="G66" s="62"/>
      <c r="H66" s="106"/>
      <c r="I66" s="38"/>
      <c r="J66" s="106"/>
      <c r="K66" s="39"/>
      <c r="L66" s="106"/>
      <c r="M66" s="39"/>
      <c r="N66" s="106"/>
      <c r="O66" s="39"/>
      <c r="P66" s="28">
        <f>+SUMIF(秏料!$B$3:$B$133,$A66,秏料!$F$3:$F$133)</f>
        <v>0</v>
      </c>
      <c r="Q66" s="37">
        <f>+SUMIF(秏料!$B$3:$B$133,$A66,秏料!$H$3:$H$133)</f>
        <v>0</v>
      </c>
      <c r="R66" s="37">
        <f>+SUMIF(秏料!$B$3:$B$133,$A66,秏料!$J$3:$J$133)</f>
        <v>0</v>
      </c>
      <c r="S66" s="55">
        <f>+SUMIF(秏料!$B$3:$B$133,$A66,秏料!$L$3:$L$133)</f>
        <v>0</v>
      </c>
      <c r="T66" s="278"/>
      <c r="U66" s="324"/>
      <c r="V66" s="281"/>
      <c r="W66" s="333"/>
      <c r="X66" s="327"/>
      <c r="Y66" s="37"/>
      <c r="Z66" s="327"/>
      <c r="AA66" s="119"/>
      <c r="AB66" s="25">
        <f t="shared" si="23"/>
        <v>0</v>
      </c>
      <c r="AC66" s="26">
        <f t="shared" si="24"/>
        <v>0</v>
      </c>
      <c r="AD66" s="26">
        <f t="shared" si="25"/>
        <v>0</v>
      </c>
      <c r="AE66" s="27">
        <f t="shared" si="26"/>
        <v>0</v>
      </c>
      <c r="AF66" s="236">
        <f t="shared" si="6"/>
        <v>0</v>
      </c>
      <c r="AI66" s="660"/>
    </row>
    <row r="67" spans="1:35" ht="18" hidden="1" thickBot="1" x14ac:dyDescent="0.3">
      <c r="A67" s="97"/>
      <c r="B67" s="191"/>
      <c r="C67" s="40"/>
      <c r="D67" s="190"/>
      <c r="E67" s="191"/>
      <c r="F67" s="191"/>
      <c r="G67" s="65"/>
      <c r="H67" s="152"/>
      <c r="I67" s="41"/>
      <c r="J67" s="152"/>
      <c r="K67" s="42"/>
      <c r="L67" s="152"/>
      <c r="M67" s="42"/>
      <c r="N67" s="152"/>
      <c r="O67" s="42"/>
      <c r="P67" s="18">
        <f>+SUMIF(秏料!$B$3:$B$133,$A67,秏料!$F$3:$F$133)</f>
        <v>0</v>
      </c>
      <c r="Q67" s="40">
        <f>+SUMIF(秏料!$B$3:$B$133,$A67,秏料!$H$3:$H$133)</f>
        <v>0</v>
      </c>
      <c r="R67" s="40">
        <f>+SUMIF(秏料!$B$3:$B$133,$A67,秏料!$J$3:$J$133)</f>
        <v>0</v>
      </c>
      <c r="S67" s="57">
        <f>+SUMIF(秏料!$B$3:$B$133,$A67,秏料!$L$3:$L$133)</f>
        <v>0</v>
      </c>
      <c r="T67" s="278"/>
      <c r="U67" s="323"/>
      <c r="V67" s="281"/>
      <c r="W67" s="91"/>
      <c r="X67" s="327"/>
      <c r="Y67" s="37"/>
      <c r="Z67" s="327"/>
      <c r="AA67" s="119"/>
      <c r="AB67" s="113">
        <f t="shared" si="23"/>
        <v>0</v>
      </c>
      <c r="AC67" s="114">
        <f t="shared" si="24"/>
        <v>0</v>
      </c>
      <c r="AD67" s="114">
        <f t="shared" si="25"/>
        <v>0</v>
      </c>
      <c r="AE67" s="115">
        <f t="shared" si="26"/>
        <v>0</v>
      </c>
      <c r="AF67" s="236">
        <f t="shared" si="6"/>
        <v>0</v>
      </c>
      <c r="AI67" s="660"/>
    </row>
    <row r="68" spans="1:35" ht="18" hidden="1" thickBot="1" x14ac:dyDescent="0.3">
      <c r="A68" s="99"/>
      <c r="B68" s="194"/>
      <c r="C68" s="37"/>
      <c r="D68" s="203"/>
      <c r="E68" s="194"/>
      <c r="F68" s="194"/>
      <c r="G68" s="62"/>
      <c r="H68" s="106"/>
      <c r="I68" s="38"/>
      <c r="J68" s="106"/>
      <c r="K68" s="39"/>
      <c r="L68" s="106"/>
      <c r="M68" s="39"/>
      <c r="N68" s="106"/>
      <c r="O68" s="39"/>
      <c r="P68" s="28">
        <f>+SUMIF(秏料!$B$3:$B$133,$A68,秏料!$F$3:$F$133)</f>
        <v>0</v>
      </c>
      <c r="Q68" s="37">
        <f>+SUMIF(秏料!$B$3:$B$133,$A68,秏料!$H$3:$H$133)</f>
        <v>0</v>
      </c>
      <c r="R68" s="37">
        <f>+SUMIF(秏料!$B$3:$B$133,$A68,秏料!$J$3:$J$133)</f>
        <v>0</v>
      </c>
      <c r="S68" s="55">
        <f>+SUMIF(秏料!$B$3:$B$133,$A68,秏料!$L$3:$L$133)</f>
        <v>0</v>
      </c>
      <c r="T68" s="278"/>
      <c r="U68" s="324"/>
      <c r="V68" s="281"/>
      <c r="W68" s="333"/>
      <c r="X68" s="327"/>
      <c r="Y68" s="37"/>
      <c r="Z68" s="327"/>
      <c r="AA68" s="119"/>
      <c r="AB68" s="93">
        <f t="shared" si="23"/>
        <v>0</v>
      </c>
      <c r="AC68" s="94">
        <f t="shared" si="24"/>
        <v>0</v>
      </c>
      <c r="AD68" s="94">
        <f t="shared" si="25"/>
        <v>0</v>
      </c>
      <c r="AE68" s="95">
        <f t="shared" si="26"/>
        <v>0</v>
      </c>
      <c r="AF68" s="236">
        <f t="shared" si="6"/>
        <v>0</v>
      </c>
      <c r="AI68" s="660"/>
    </row>
    <row r="69" spans="1:35" ht="18" hidden="1" thickBot="1" x14ac:dyDescent="0.3">
      <c r="A69" s="99"/>
      <c r="B69" s="194"/>
      <c r="C69" s="37"/>
      <c r="D69" s="203"/>
      <c r="E69" s="194"/>
      <c r="F69" s="194"/>
      <c r="G69" s="62"/>
      <c r="H69" s="106"/>
      <c r="I69" s="38"/>
      <c r="J69" s="106"/>
      <c r="K69" s="39"/>
      <c r="L69" s="106"/>
      <c r="M69" s="39"/>
      <c r="N69" s="106"/>
      <c r="O69" s="39"/>
      <c r="P69" s="28">
        <f>+SUMIF(秏料!$B$3:$B$133,$A69,秏料!$F$3:$F$133)</f>
        <v>0</v>
      </c>
      <c r="Q69" s="37">
        <f>+SUMIF(秏料!$B$3:$B$133,$A69,秏料!$H$3:$H$133)</f>
        <v>0</v>
      </c>
      <c r="R69" s="37">
        <f>+SUMIF(秏料!$B$3:$B$133,$A69,秏料!$J$3:$J$133)</f>
        <v>0</v>
      </c>
      <c r="S69" s="55">
        <f>+SUMIF(秏料!$B$3:$B$133,$A69,秏料!$L$3:$L$133)</f>
        <v>0</v>
      </c>
      <c r="T69" s="278"/>
      <c r="U69" s="324"/>
      <c r="V69" s="281"/>
      <c r="W69" s="333"/>
      <c r="X69" s="327"/>
      <c r="Y69" s="37"/>
      <c r="Z69" s="327"/>
      <c r="AA69" s="119"/>
      <c r="AB69" s="93">
        <f t="shared" si="23"/>
        <v>0</v>
      </c>
      <c r="AC69" s="94">
        <f t="shared" si="24"/>
        <v>0</v>
      </c>
      <c r="AD69" s="94">
        <f t="shared" si="25"/>
        <v>0</v>
      </c>
      <c r="AE69" s="95">
        <f t="shared" si="26"/>
        <v>0</v>
      </c>
      <c r="AF69" s="236">
        <f t="shared" si="6"/>
        <v>0</v>
      </c>
      <c r="AI69" s="660"/>
    </row>
    <row r="70" spans="1:35" ht="18" hidden="1" thickBot="1" x14ac:dyDescent="0.3">
      <c r="A70" s="99"/>
      <c r="B70" s="194"/>
      <c r="C70" s="37"/>
      <c r="D70" s="203"/>
      <c r="E70" s="194"/>
      <c r="F70" s="194"/>
      <c r="G70" s="62"/>
      <c r="H70" s="106"/>
      <c r="I70" s="38"/>
      <c r="J70" s="106"/>
      <c r="K70" s="39"/>
      <c r="L70" s="106"/>
      <c r="M70" s="39"/>
      <c r="N70" s="106"/>
      <c r="O70" s="39"/>
      <c r="P70" s="28">
        <f>+SUMIF(秏料!$B$3:$B$133,$A70,秏料!$F$3:$F$133)</f>
        <v>0</v>
      </c>
      <c r="Q70" s="37">
        <f>+SUMIF(秏料!$B$3:$B$133,$A70,秏料!$H$3:$H$133)</f>
        <v>0</v>
      </c>
      <c r="R70" s="37">
        <f>+SUMIF(秏料!$B$3:$B$133,$A70,秏料!$J$3:$J$133)</f>
        <v>0</v>
      </c>
      <c r="S70" s="55">
        <f>+SUMIF(秏料!$B$3:$B$133,$A70,秏料!$L$3:$L$133)</f>
        <v>0</v>
      </c>
      <c r="T70" s="278"/>
      <c r="U70" s="324"/>
      <c r="V70" s="281"/>
      <c r="W70" s="333"/>
      <c r="X70" s="327"/>
      <c r="Y70" s="37"/>
      <c r="Z70" s="327"/>
      <c r="AA70" s="119"/>
      <c r="AB70" s="93">
        <f t="shared" si="23"/>
        <v>0</v>
      </c>
      <c r="AC70" s="94">
        <f t="shared" si="24"/>
        <v>0</v>
      </c>
      <c r="AD70" s="94">
        <f t="shared" si="25"/>
        <v>0</v>
      </c>
      <c r="AE70" s="95">
        <f t="shared" si="26"/>
        <v>0</v>
      </c>
      <c r="AF70" s="236">
        <f t="shared" si="6"/>
        <v>0</v>
      </c>
      <c r="AI70" s="660"/>
    </row>
    <row r="71" spans="1:35" ht="18" hidden="1" thickBot="1" x14ac:dyDescent="0.3">
      <c r="A71" s="99"/>
      <c r="B71" s="194"/>
      <c r="C71" s="37"/>
      <c r="D71" s="203"/>
      <c r="E71" s="194"/>
      <c r="F71" s="194"/>
      <c r="G71" s="62"/>
      <c r="H71" s="106"/>
      <c r="I71" s="38"/>
      <c r="J71" s="106"/>
      <c r="K71" s="39"/>
      <c r="L71" s="106"/>
      <c r="M71" s="39"/>
      <c r="N71" s="106"/>
      <c r="O71" s="39"/>
      <c r="P71" s="28">
        <f>+SUMIF(秏料!$B$3:$B$133,$A71,秏料!$F$3:$F$133)</f>
        <v>0</v>
      </c>
      <c r="Q71" s="37">
        <f>+SUMIF(秏料!$B$3:$B$133,$A71,秏料!$H$3:$H$133)</f>
        <v>0</v>
      </c>
      <c r="R71" s="37">
        <f>+SUMIF(秏料!$B$3:$B$133,$A71,秏料!$J$3:$J$133)</f>
        <v>0</v>
      </c>
      <c r="S71" s="55">
        <f>+SUMIF(秏料!$B$3:$B$133,$A71,秏料!$L$3:$L$133)</f>
        <v>0</v>
      </c>
      <c r="T71" s="278"/>
      <c r="U71" s="324"/>
      <c r="V71" s="281"/>
      <c r="W71" s="333"/>
      <c r="X71" s="327"/>
      <c r="Y71" s="37"/>
      <c r="Z71" s="327"/>
      <c r="AA71" s="119"/>
      <c r="AB71" s="93">
        <f t="shared" si="23"/>
        <v>0</v>
      </c>
      <c r="AC71" s="94">
        <f t="shared" si="24"/>
        <v>0</v>
      </c>
      <c r="AD71" s="94">
        <f t="shared" si="25"/>
        <v>0</v>
      </c>
      <c r="AE71" s="95">
        <f t="shared" si="26"/>
        <v>0</v>
      </c>
      <c r="AF71" s="236">
        <f t="shared" si="6"/>
        <v>0</v>
      </c>
      <c r="AI71" s="660"/>
    </row>
    <row r="72" spans="1:35" ht="18" hidden="1" thickBot="1" x14ac:dyDescent="0.3">
      <c r="A72" s="99"/>
      <c r="B72" s="194"/>
      <c r="C72" s="37"/>
      <c r="D72" s="203"/>
      <c r="E72" s="194"/>
      <c r="F72" s="194"/>
      <c r="G72" s="62"/>
      <c r="H72" s="106"/>
      <c r="I72" s="38"/>
      <c r="J72" s="106"/>
      <c r="K72" s="39"/>
      <c r="L72" s="106"/>
      <c r="M72" s="39"/>
      <c r="N72" s="106"/>
      <c r="O72" s="39"/>
      <c r="P72" s="28">
        <f>+SUMIF(秏料!$B$3:$B$133,$A72,秏料!$F$3:$F$133)</f>
        <v>0</v>
      </c>
      <c r="Q72" s="37">
        <f>+SUMIF(秏料!$B$3:$B$133,$A72,秏料!$H$3:$H$133)</f>
        <v>0</v>
      </c>
      <c r="R72" s="37">
        <f>+SUMIF(秏料!$B$3:$B$133,$A72,秏料!$J$3:$J$133)</f>
        <v>0</v>
      </c>
      <c r="S72" s="55">
        <f>+SUMIF(秏料!$B$3:$B$133,$A72,秏料!$L$3:$L$133)</f>
        <v>0</v>
      </c>
      <c r="T72" s="278"/>
      <c r="U72" s="324"/>
      <c r="V72" s="281"/>
      <c r="W72" s="333"/>
      <c r="X72" s="327"/>
      <c r="Y72" s="37"/>
      <c r="Z72" s="327"/>
      <c r="AA72" s="119"/>
      <c r="AB72" s="93">
        <f t="shared" si="23"/>
        <v>0</v>
      </c>
      <c r="AC72" s="94">
        <f t="shared" si="24"/>
        <v>0</v>
      </c>
      <c r="AD72" s="94">
        <f t="shared" si="25"/>
        <v>0</v>
      </c>
      <c r="AE72" s="95">
        <f t="shared" si="26"/>
        <v>0</v>
      </c>
      <c r="AF72" s="236">
        <f t="shared" si="6"/>
        <v>0</v>
      </c>
      <c r="AI72" s="660"/>
    </row>
    <row r="73" spans="1:35" ht="18" hidden="1" thickBot="1" x14ac:dyDescent="0.3">
      <c r="A73" s="99"/>
      <c r="B73" s="194"/>
      <c r="C73" s="37"/>
      <c r="D73" s="203"/>
      <c r="E73" s="194"/>
      <c r="F73" s="194"/>
      <c r="G73" s="62"/>
      <c r="H73" s="106"/>
      <c r="I73" s="38"/>
      <c r="J73" s="106"/>
      <c r="K73" s="39"/>
      <c r="L73" s="106"/>
      <c r="M73" s="39"/>
      <c r="N73" s="106"/>
      <c r="O73" s="39"/>
      <c r="P73" s="28">
        <f>+SUMIF(秏料!$B$3:$B$133,$A73,秏料!$F$3:$F$133)</f>
        <v>0</v>
      </c>
      <c r="Q73" s="37">
        <f>+SUMIF(秏料!$B$3:$B$133,$A73,秏料!$H$3:$H$133)</f>
        <v>0</v>
      </c>
      <c r="R73" s="37">
        <f>+SUMIF(秏料!$B$3:$B$133,$A73,秏料!$J$3:$J$133)</f>
        <v>0</v>
      </c>
      <c r="S73" s="55">
        <f>+SUMIF(秏料!$B$3:$B$133,$A73,秏料!$L$3:$L$133)</f>
        <v>0</v>
      </c>
      <c r="T73" s="278"/>
      <c r="U73" s="324"/>
      <c r="V73" s="281"/>
      <c r="W73" s="333"/>
      <c r="X73" s="327"/>
      <c r="Y73" s="37"/>
      <c r="Z73" s="327"/>
      <c r="AA73" s="119"/>
      <c r="AB73" s="93">
        <f t="shared" si="23"/>
        <v>0</v>
      </c>
      <c r="AC73" s="94">
        <f t="shared" si="24"/>
        <v>0</v>
      </c>
      <c r="AD73" s="94">
        <f t="shared" si="25"/>
        <v>0</v>
      </c>
      <c r="AE73" s="95">
        <f t="shared" si="26"/>
        <v>0</v>
      </c>
      <c r="AF73" s="236">
        <f t="shared" si="6"/>
        <v>0</v>
      </c>
      <c r="AI73" s="660"/>
    </row>
    <row r="74" spans="1:35" ht="18" hidden="1" thickBot="1" x14ac:dyDescent="0.3">
      <c r="A74" s="103"/>
      <c r="B74" s="217"/>
      <c r="C74" s="37"/>
      <c r="D74" s="203"/>
      <c r="E74" s="194"/>
      <c r="F74" s="194"/>
      <c r="G74" s="62"/>
      <c r="H74" s="106"/>
      <c r="I74" s="38"/>
      <c r="J74" s="106"/>
      <c r="K74" s="39"/>
      <c r="L74" s="106"/>
      <c r="M74" s="39"/>
      <c r="N74" s="106"/>
      <c r="O74" s="39"/>
      <c r="P74" s="28">
        <f>+SUMIF(秏料!$B$3:$B$133,$A74,秏料!$F$3:$F$133)</f>
        <v>0</v>
      </c>
      <c r="Q74" s="37">
        <f>+SUMIF(秏料!$B$3:$B$133,$A74,秏料!$H$3:$H$133)</f>
        <v>0</v>
      </c>
      <c r="R74" s="37">
        <f>+SUMIF(秏料!$B$3:$B$133,$A74,秏料!$J$3:$J$133)</f>
        <v>0</v>
      </c>
      <c r="S74" s="55">
        <f>+SUMIF(秏料!$B$3:$B$133,$A74,秏料!$L$3:$L$133)</f>
        <v>0</v>
      </c>
      <c r="T74" s="278"/>
      <c r="U74" s="324"/>
      <c r="V74" s="281"/>
      <c r="W74" s="333"/>
      <c r="X74" s="327"/>
      <c r="Y74" s="37"/>
      <c r="Z74" s="327"/>
      <c r="AA74" s="119"/>
      <c r="AB74" s="93">
        <f t="shared" si="23"/>
        <v>0</v>
      </c>
      <c r="AC74" s="94">
        <f t="shared" si="24"/>
        <v>0</v>
      </c>
      <c r="AD74" s="94">
        <f t="shared" si="25"/>
        <v>0</v>
      </c>
      <c r="AE74" s="95">
        <f t="shared" si="26"/>
        <v>0</v>
      </c>
      <c r="AF74" s="236">
        <f t="shared" si="6"/>
        <v>0</v>
      </c>
      <c r="AI74" s="660"/>
    </row>
    <row r="75" spans="1:35" ht="18" hidden="1" thickBot="1" x14ac:dyDescent="0.3">
      <c r="A75" s="99"/>
      <c r="B75" s="194"/>
      <c r="C75" s="37"/>
      <c r="D75" s="203"/>
      <c r="E75" s="194"/>
      <c r="F75" s="194"/>
      <c r="G75" s="62"/>
      <c r="H75" s="106"/>
      <c r="I75" s="38"/>
      <c r="J75" s="106"/>
      <c r="K75" s="39"/>
      <c r="L75" s="106"/>
      <c r="M75" s="39"/>
      <c r="N75" s="106"/>
      <c r="O75" s="39"/>
      <c r="P75" s="28">
        <f>+SUMIF(秏料!$B$3:$B$133,$A75,秏料!$F$3:$F$133)</f>
        <v>0</v>
      </c>
      <c r="Q75" s="37">
        <f>+SUMIF(秏料!$B$3:$B$133,$A75,秏料!$H$3:$H$133)</f>
        <v>0</v>
      </c>
      <c r="R75" s="37">
        <f>+SUMIF(秏料!$B$3:$B$133,$A75,秏料!$J$3:$J$133)</f>
        <v>0</v>
      </c>
      <c r="S75" s="55">
        <f>+SUMIF(秏料!$B$3:$B$133,$A75,秏料!$L$3:$L$133)</f>
        <v>0</v>
      </c>
      <c r="T75" s="278"/>
      <c r="U75" s="324"/>
      <c r="V75" s="281"/>
      <c r="W75" s="333"/>
      <c r="X75" s="327"/>
      <c r="Y75" s="37"/>
      <c r="Z75" s="327"/>
      <c r="AA75" s="119"/>
      <c r="AB75" s="93">
        <f t="shared" si="23"/>
        <v>0</v>
      </c>
      <c r="AC75" s="94">
        <f t="shared" si="24"/>
        <v>0</v>
      </c>
      <c r="AD75" s="94">
        <f t="shared" si="25"/>
        <v>0</v>
      </c>
      <c r="AE75" s="95">
        <f t="shared" si="26"/>
        <v>0</v>
      </c>
      <c r="AF75" s="236">
        <f t="shared" ref="AF75:AF76" si="27">+IF(SUM(G75,H75:O75,R75,U75,X75,AA75)=0,0,1)</f>
        <v>0</v>
      </c>
      <c r="AI75" s="660"/>
    </row>
    <row r="76" spans="1:35" ht="18" hidden="1" thickBot="1" x14ac:dyDescent="0.3">
      <c r="A76" s="100"/>
      <c r="B76" s="210"/>
      <c r="C76" s="43"/>
      <c r="D76" s="220"/>
      <c r="E76" s="199"/>
      <c r="F76" s="199"/>
      <c r="G76" s="66"/>
      <c r="H76" s="107"/>
      <c r="I76" s="44"/>
      <c r="J76" s="107"/>
      <c r="K76" s="45"/>
      <c r="L76" s="107"/>
      <c r="M76" s="45"/>
      <c r="N76" s="107"/>
      <c r="O76" s="45"/>
      <c r="P76" s="31">
        <f>+SUMIF(秏料!$B$3:$B$133,$A76,秏料!$F$3:$F$133)</f>
        <v>0</v>
      </c>
      <c r="Q76" s="43">
        <f>+SUMIF(秏料!$B$3:$B$133,$A76,秏料!$H$3:$H$133)</f>
        <v>0</v>
      </c>
      <c r="R76" s="43">
        <f>+SUMIF(秏料!$B$3:$B$133,$A76,秏料!$J$3:$J$133)</f>
        <v>0</v>
      </c>
      <c r="S76" s="59">
        <f>+SUMIF(秏料!$B$3:$B$133,$A76,秏料!$L$3:$L$133)</f>
        <v>0</v>
      </c>
      <c r="T76" s="279"/>
      <c r="U76" s="325"/>
      <c r="V76" s="282"/>
      <c r="W76" s="334"/>
      <c r="X76" s="328"/>
      <c r="Y76" s="43"/>
      <c r="Z76" s="328"/>
      <c r="AA76" s="285"/>
      <c r="AB76" s="34">
        <f t="shared" si="23"/>
        <v>0</v>
      </c>
      <c r="AC76" s="35">
        <f t="shared" si="24"/>
        <v>0</v>
      </c>
      <c r="AD76" s="35">
        <f t="shared" si="25"/>
        <v>0</v>
      </c>
      <c r="AE76" s="36">
        <f t="shared" si="26"/>
        <v>0</v>
      </c>
      <c r="AF76" s="236">
        <f t="shared" si="27"/>
        <v>0</v>
      </c>
      <c r="AI76" s="662"/>
    </row>
    <row r="77" spans="1:35" ht="18" thickTop="1" x14ac:dyDescent="0.3">
      <c r="A77" s="874" t="s">
        <v>140</v>
      </c>
      <c r="B77" s="169"/>
      <c r="C77" s="169"/>
      <c r="G77" s="875" t="s">
        <v>141</v>
      </c>
      <c r="H77" s="876"/>
      <c r="I77" s="876"/>
      <c r="J77" s="876"/>
      <c r="K77" s="876"/>
      <c r="L77" s="876"/>
      <c r="M77" s="876"/>
      <c r="N77" s="876"/>
      <c r="O77" s="876"/>
      <c r="P77" s="876"/>
      <c r="Q77" s="876"/>
      <c r="R77" s="877"/>
      <c r="S77" s="169"/>
      <c r="T77" s="876"/>
      <c r="U77" s="876"/>
      <c r="V77" s="169"/>
      <c r="W77" s="169"/>
      <c r="X77" s="877"/>
      <c r="Y77" s="877"/>
      <c r="Z77" s="169"/>
      <c r="AA77" s="169"/>
      <c r="AB77" s="169"/>
      <c r="AC77" s="169"/>
      <c r="AD77" s="169"/>
      <c r="AE77" s="878"/>
      <c r="AF77" s="236">
        <v>1</v>
      </c>
    </row>
    <row r="78" spans="1:35" x14ac:dyDescent="0.3">
      <c r="A78" s="10"/>
      <c r="B78" s="170"/>
      <c r="G78" s="89" t="s">
        <v>142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1"/>
      <c r="S78" s="116"/>
      <c r="T78" s="141"/>
      <c r="U78" s="141"/>
      <c r="V78" s="12"/>
      <c r="W78" s="12"/>
      <c r="X78" s="344"/>
      <c r="Y78" s="344"/>
      <c r="Z78" s="168" t="s">
        <v>143</v>
      </c>
      <c r="AA78" s="168"/>
      <c r="AB78" s="12"/>
      <c r="AC78" s="12"/>
      <c r="AD78" s="12"/>
      <c r="AE78" s="117"/>
      <c r="AF78" s="236">
        <v>1</v>
      </c>
    </row>
    <row r="79" spans="1:35" x14ac:dyDescent="0.3">
      <c r="A79" s="10"/>
      <c r="B79" s="16"/>
      <c r="G79" s="173" t="s">
        <v>144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X79" s="345"/>
      <c r="Y79" s="345"/>
      <c r="Z79" s="12" t="s">
        <v>145</v>
      </c>
      <c r="AA79" s="12"/>
      <c r="AB79" s="1"/>
      <c r="AE79" s="20"/>
      <c r="AF79" s="236">
        <v>1</v>
      </c>
    </row>
    <row r="80" spans="1:35" hidden="1" x14ac:dyDescent="0.3">
      <c r="A80" s="183"/>
      <c r="B80" s="16"/>
      <c r="E80" s="12"/>
      <c r="G80" s="173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AB80" s="1"/>
      <c r="AE80" s="20"/>
      <c r="AI80" s="1"/>
    </row>
    <row r="81" spans="1:32" ht="18" thickBot="1" x14ac:dyDescent="0.35">
      <c r="A81" s="58" t="s">
        <v>146</v>
      </c>
      <c r="B81" s="166"/>
      <c r="C81" s="140"/>
      <c r="D81" s="140"/>
      <c r="E81" s="903"/>
      <c r="F81" s="140"/>
      <c r="G81" s="174"/>
      <c r="H81" s="90"/>
      <c r="I81" s="90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21"/>
      <c r="AF81" s="236">
        <v>1</v>
      </c>
    </row>
    <row r="82" spans="1:32" ht="18" thickTop="1" x14ac:dyDescent="0.3">
      <c r="A82" s="122"/>
      <c r="B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AB82" s="1"/>
      <c r="AE82" s="20"/>
    </row>
    <row r="83" spans="1:32" ht="18" thickBot="1" x14ac:dyDescent="0.3">
      <c r="A83" s="124" t="s">
        <v>184</v>
      </c>
      <c r="B83" s="125"/>
      <c r="C83" s="126"/>
      <c r="D83" s="126"/>
      <c r="E83" s="904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42"/>
      <c r="U83" s="142"/>
      <c r="V83" s="126"/>
      <c r="W83" s="126"/>
      <c r="X83" s="126"/>
      <c r="Y83" s="126"/>
      <c r="Z83" s="126"/>
      <c r="AA83" s="126"/>
      <c r="AB83" s="126"/>
      <c r="AC83" s="126"/>
      <c r="AD83" s="126"/>
      <c r="AE83" s="127"/>
    </row>
    <row r="84" spans="1:32" ht="18" thickTop="1" x14ac:dyDescent="0.3"/>
  </sheetData>
  <autoFilter ref="AF4:AF81">
    <filterColumn colId="0">
      <customFilters>
        <customFilter operator="notEqual" val=" "/>
      </customFilters>
    </filterColumn>
  </autoFilter>
  <customSheetViews>
    <customSheetView guid="{59A05416-DD26-4EFD-AA04-054D4DE97D89}" scale="80" showGridLines="0" outlineSymbols="0" zeroValues="0" fitToPage="1" printArea="1" filter="1" showAutoFilter="1" view="pageBreakPreview" topLeftCell="A13">
      <selection activeCell="D47" sqref="D47"/>
      <pageMargins left="0" right="0" top="0" bottom="0" header="0" footer="0"/>
      <printOptions horizontalCentered="1"/>
      <pageSetup paperSize="9" scale="50" orientation="landscape" r:id="rId1"/>
      <autoFilter ref="AF4:AF81">
        <filterColumn colId="0">
          <customFilters>
            <customFilter operator="notEqual" val=" "/>
          </customFilters>
        </filterColumn>
      </autoFilter>
    </customSheetView>
    <customSheetView guid="{D065F4F3-1224-4D29-89D7-CAAF2080B907}" scale="80" showGridLines="0" outlineSymbols="0" zeroValues="0" fitToPage="1" printArea="1" filter="1" showAutoFilter="1" hiddenColumns="1" view="pageBreakPreview">
      <selection activeCell="A11" sqref="A11:XFD11"/>
      <pageMargins left="0" right="0" top="0" bottom="0" header="0" footer="0"/>
      <printOptions horizontalCentered="1"/>
      <pageSetup paperSize="9" scale="60" orientation="landscape" r:id="rId2"/>
      <autoFilter ref="AF4:AF81">
        <filterColumn colId="0">
          <customFilters>
            <customFilter operator="notEqual" val=" "/>
          </customFilters>
        </filterColumn>
      </autoFilter>
    </customSheetView>
    <customSheetView guid="{FA048ABB-8FB5-4FAE-8F9E-3B68073934F1}" scale="70" showGridLines="0" outlineSymbols="0" zeroValues="0" fitToPage="1" printArea="1" filter="1" showAutoFilter="1" hiddenColumns="1" view="pageBreakPreview">
      <pane xSplit="1" ySplit="4" topLeftCell="C6" activePane="bottomRight" state="frozen"/>
      <selection pane="bottomRight" activeCell="V11" sqref="V11"/>
      <pageMargins left="0" right="0" top="0" bottom="0" header="0" footer="0"/>
      <printOptions horizontalCentered="1"/>
      <pageSetup paperSize="9" scale="52" orientation="landscape" r:id="rId3"/>
      <autoFilter ref="AF4:AF81">
        <filterColumn colId="0">
          <customFilters>
            <customFilter operator="notEqual" val=" "/>
          </customFilters>
        </filterColumn>
      </autoFilter>
    </customSheetView>
    <customSheetView guid="{8FD9726D-5B41-4C43-8FCB-EB4C2E6B9AD0}" scale="80" showGridLines="0" outlineSymbols="0" zeroValues="0" fitToPage="1" printArea="1" filter="1" showAutoFilter="1" hiddenColumns="1" view="pageBreakPreview">
      <selection activeCell="W10" sqref="W10"/>
      <pageMargins left="0" right="0" top="0" bottom="0" header="0" footer="0"/>
      <printOptions horizontalCentered="1"/>
      <pageSetup paperSize="9" scale="52" orientation="landscape" r:id="rId4"/>
      <autoFilter ref="AF4:AF81">
        <filterColumn colId="0">
          <customFilters>
            <customFilter operator="notEqual" val=" "/>
          </customFilters>
        </filterColumn>
      </autoFilter>
    </customSheetView>
    <customSheetView guid="{C30CE12B-11DC-4479-B6AC-C3BD3E3ED3C8}" scale="80" showGridLines="0" outlineSymbols="0" zeroValues="0" fitToPage="1" printArea="1" filter="1" showAutoFilter="1" hiddenColumns="1" view="pageBreakPreview">
      <pane xSplit="7" ySplit="4" topLeftCell="H35" activePane="bottomRight" state="frozen"/>
      <selection pane="bottomRight" activeCell="N44" sqref="N44"/>
      <pageMargins left="0" right="0" top="0" bottom="0" header="0" footer="0"/>
      <printOptions horizontalCentered="1"/>
      <pageSetup paperSize="9" scale="60" orientation="landscape" r:id="rId5"/>
      <autoFilter ref="AF4:AF81">
        <filterColumn colId="0">
          <customFilters>
            <customFilter operator="notEqual" val=" "/>
          </customFilters>
        </filterColumn>
      </autoFilter>
    </customSheetView>
    <customSheetView guid="{64D5D33D-6419-4A8B-A3B3-237161841645}" scale="80" showGridLines="0" outlineSymbols="0" zeroValues="0" fitToPage="1" printArea="1" filter="1" showAutoFilter="1" view="pageBreakPreview">
      <pane xSplit="6" ySplit="4" topLeftCell="G6" activePane="bottomRight" state="frozen"/>
      <selection pane="bottomRight" activeCell="R6" sqref="R6"/>
      <pageMargins left="0" right="0" top="0" bottom="0" header="0" footer="0"/>
      <printOptions horizontalCentered="1"/>
      <pageSetup paperSize="9" scale="50" orientation="landscape" r:id="rId6"/>
      <autoFilter ref="AF4:AF81">
        <filterColumn colId="0">
          <customFilters>
            <customFilter operator="notEqual" val=" "/>
          </customFilters>
        </filterColumn>
      </autoFilter>
    </customSheetView>
    <customSheetView guid="{CAC14F13-5914-49F8-AD5B-F24608798ED8}" scale="80" showGridLines="0" outlineSymbols="0" zeroValues="0" fitToPage="1" printArea="1" filter="1" showAutoFilter="1" view="pageBreakPreview">
      <selection activeCell="E12" sqref="E12"/>
      <pageMargins left="0" right="0" top="0" bottom="0" header="0" footer="0"/>
      <printOptions horizontalCentered="1"/>
      <pageSetup paperSize="9" scale="50" orientation="landscape" r:id="rId7"/>
      <autoFilter ref="AF4:AF81">
        <filterColumn colId="0">
          <customFilters>
            <customFilter operator="notEqual" val=" "/>
          </customFilters>
        </filterColumn>
      </autoFilter>
    </customSheetView>
    <customSheetView guid="{0BF804C9-51A0-4E06-8256-5D8C4B043A4A}" scale="80" showGridLines="0" outlineSymbols="0" zeroValues="0" fitToPage="1" printArea="1" filter="1" showAutoFilter="1" view="pageBreakPreview" topLeftCell="A12">
      <selection activeCell="G38" sqref="G37:G38"/>
      <pageMargins left="0" right="0" top="0" bottom="0" header="0" footer="0"/>
      <printOptions horizontalCentered="1"/>
      <pageSetup paperSize="9" scale="34" orientation="portrait" r:id="rId8"/>
      <autoFilter ref="AF4:AF80">
        <filterColumn colId="0">
          <customFilters>
            <customFilter operator="notEqual" val=" "/>
          </customFilters>
        </filterColumn>
      </autoFilter>
    </customSheetView>
    <customSheetView guid="{D56D14CC-1901-479F-B779-31FEC2383487}" scale="80" showGridLines="0" outlineSymbols="0" zeroValues="0" fitToPage="1" printArea="1" filter="1" showAutoFilter="1" hiddenColumns="1" view="pageBreakPreview">
      <pane xSplit="7" ySplit="4" topLeftCell="H12" activePane="bottomRight" state="frozen"/>
      <selection pane="bottomRight" activeCell="E37" sqref="E37"/>
      <pageMargins left="0" right="0" top="0" bottom="0" header="0" footer="0"/>
      <printOptions horizontalCentered="1"/>
      <pageSetup paperSize="9" scale="60" orientation="landscape" r:id="rId9"/>
      <autoFilter ref="AF4:AF80">
        <filterColumn colId="0">
          <customFilters>
            <customFilter operator="notEqual" val=" "/>
          </customFilters>
        </filterColumn>
      </autoFilter>
    </customSheetView>
    <customSheetView guid="{F2AA7D74-DB02-43AC-850B-A44D18BDB1CB}" scale="80" showGridLines="0" outlineSymbols="0" zeroValues="0" fitToPage="1" printArea="1" filter="1" showAutoFilter="1" hiddenColumns="1" view="pageBreakPreview" topLeftCell="A3">
      <selection activeCell="V41" sqref="V41"/>
      <pageMargins left="0" right="0" top="0" bottom="0" header="0" footer="0"/>
      <printOptions horizontalCentered="1"/>
      <pageSetup paperSize="9" scale="65" orientation="landscape" r:id="rId10"/>
      <autoFilter ref="AF4:AF76">
        <filterColumn colId="0">
          <customFilters>
            <customFilter operator="notEqual" val=" "/>
          </customFilters>
        </filterColumn>
      </autoFilter>
    </customSheetView>
    <customSheetView guid="{8B7A0CA2-9BA6-4CC3-AA36-677EA0765FE7}" scale="80" showGridLines="0" outlineSymbols="0" zeroValues="0" fitToPage="1" printArea="1" filter="1" showAutoFilter="1" view="pageBreakPreview">
      <pane xSplit="7" ySplit="4" topLeftCell="P8" activePane="bottomRight" state="frozen"/>
      <selection pane="bottomRight" activeCell="Z9" sqref="Z9"/>
      <pageMargins left="0" right="0" top="0" bottom="0" header="0" footer="0"/>
      <printOptions horizontalCentered="1"/>
      <pageSetup paperSize="9" scale="53" orientation="landscape" r:id="rId11"/>
      <autoFilter ref="AF4:AF76">
        <filterColumn colId="0">
          <customFilters>
            <customFilter operator="notEqual" val=" "/>
          </customFilters>
        </filterColumn>
      </autoFilter>
    </customSheetView>
    <customSheetView guid="{465CD905-854A-4F4A-908D-83ABAB5FB252}" scale="80" showGridLines="0" outlineSymbols="0" zeroValues="0" fitToPage="1" printArea="1" filter="1" showAutoFilter="1" hiddenColumns="1" view="pageBreakPreview">
      <selection activeCell="K38" sqref="K38"/>
      <pageMargins left="0" right="0" top="0" bottom="0" header="0" footer="0"/>
      <printOptions horizontalCentered="1"/>
      <pageSetup paperSize="9" scale="65" orientation="landscape" r:id="rId12"/>
      <autoFilter ref="AF4:AF76">
        <filterColumn colId="0">
          <customFilters>
            <customFilter operator="notEqual" val=" "/>
          </customFilters>
        </filterColumn>
      </autoFilter>
    </customSheetView>
    <customSheetView guid="{ACCDD429-9CAD-4FB8-A198-ABDEDE66D100}" scale="80" showGridLines="0" outlineSymbols="0" zeroValues="0" fitToPage="1" printArea="1" filter="1" showAutoFilter="1" view="pageBreakPreview">
      <pane xSplit="6" ySplit="4" topLeftCell="W6" activePane="bottomRight" state="frozen"/>
      <selection pane="bottomRight" activeCell="D41" sqref="D41"/>
      <pageMargins left="0" right="0" top="0" bottom="0" header="0" footer="0"/>
      <printOptions horizontalCentered="1"/>
      <pageSetup paperSize="9" scale="53" orientation="landscape" r:id="rId13"/>
      <autoFilter ref="AF4:AF76">
        <filterColumn colId="0">
          <customFilters>
            <customFilter operator="notEqual" val=" "/>
          </customFilters>
        </filterColumn>
      </autoFilter>
    </customSheetView>
    <customSheetView guid="{8DC863AD-DDD2-40E0-9202-FF25DA9A15AC}" scale="80" showGridLines="0" outlineSymbols="0" zeroValues="0" fitToPage="1" printArea="1" filter="1" showAutoFilter="1" view="pageBreakPreview">
      <pane xSplit="5" ySplit="4" topLeftCell="F6" activePane="bottomRight" state="frozen"/>
      <selection pane="bottomRight" activeCell="D41" sqref="D41"/>
      <pageMargins left="0" right="0" top="0" bottom="0" header="0" footer="0"/>
      <printOptions horizontalCentered="1"/>
      <pageSetup paperSize="9" scale="53" orientation="landscape" r:id="rId14"/>
      <autoFilter ref="AF4:AF76">
        <filterColumn colId="0">
          <customFilters>
            <customFilter operator="notEqual" val=" "/>
          </customFilters>
        </filterColumn>
      </autoFilter>
    </customSheetView>
    <customSheetView guid="{D8E05E9A-74D8-4931-8653-8099BB0F822F}" scale="80" showGridLines="0" outlineSymbols="0" zeroValues="0" fitToPage="1" printArea="1" filter="1" showAutoFilter="1" view="pageBreakPreview">
      <pane xSplit="7" ySplit="4" topLeftCell="R6" activePane="bottomRight" state="frozen"/>
      <selection pane="bottomRight" activeCell="D42" sqref="D42"/>
      <pageMargins left="0" right="0" top="0" bottom="0" header="0" footer="0"/>
      <printOptions horizontalCentered="1"/>
      <pageSetup paperSize="9" scale="50" orientation="landscape" r:id="rId15"/>
      <autoFilter ref="AF4:AF76">
        <filterColumn colId="0">
          <customFilters>
            <customFilter operator="notEqual" val=" "/>
          </customFilters>
        </filterColumn>
      </autoFilter>
    </customSheetView>
    <customSheetView guid="{7B90250F-6C77-4F16-BAAD-82EC380D0549}" scale="75" showGridLines="0" outlineSymbols="0" zeroValues="0" fitToPage="1" printArea="1" filter="1" showAutoFilter="1" hiddenColumns="1" view="pageBreakPreview">
      <pane xSplit="5" ySplit="4" topLeftCell="G6" activePane="bottomRight" state="frozen"/>
      <selection pane="bottomRight" activeCell="AE33" sqref="AE33"/>
      <pageMargins left="0" right="0" top="0" bottom="0" header="0" footer="0"/>
      <printOptions horizontalCentered="1"/>
      <pageSetup paperSize="9" scale="70" orientation="landscape" r:id="rId16"/>
      <autoFilter ref="AB4:AB31">
        <filterColumn colId="0">
          <customFilters>
            <customFilter operator="notEqual" val=" "/>
          </customFilters>
        </filterColumn>
      </autoFilter>
    </customSheetView>
    <customSheetView guid="{346DCC42-7B8B-4D0F-8BCA-6EB3F9DD5B12}" scale="85" showGridLines="0" outlineSymbols="0" zeroValues="0" fitToPage="1" printArea="1" filter="1" showAutoFilter="1" hiddenColumns="1" view="pageBreakPreview">
      <pane xSplit="5" ySplit="4" topLeftCell="G6" activePane="bottomRight" state="frozen"/>
      <selection pane="bottomRight" activeCell="G17" sqref="C17:G24"/>
      <pageMargins left="0" right="0" top="0" bottom="0" header="0" footer="0"/>
      <printOptions horizontalCentered="1"/>
      <pageSetup paperSize="9" scale="71" orientation="landscape" r:id="rId17"/>
      <autoFilter ref="AB4:AB29">
        <filterColumn colId="0">
          <customFilters>
            <customFilter operator="notEqual" val=" "/>
          </customFilters>
        </filterColumn>
      </autoFilter>
    </customSheetView>
    <customSheetView guid="{79F26E0A-5E9E-4EF8-AE70-B7DA8FAE47AC}" scale="75" showGridLines="0" outlineSymbols="0" zeroValues="0" fitToPage="1" printArea="1" filter="1" showAutoFilter="1" hiddenColumns="1" view="pageBreakPreview">
      <pane xSplit="3" ySplit="4" topLeftCell="D5" activePane="bottomRight" state="frozen"/>
      <selection pane="bottomRight" activeCell="K10" sqref="K10"/>
      <pageMargins left="0" right="0" top="0" bottom="0" header="0" footer="0"/>
      <printOptions horizontalCentered="1"/>
      <pageSetup paperSize="9" scale="71" orientation="landscape" r:id="rId18"/>
      <autoFilter ref="B1">
        <filterColumn colId="0">
          <customFilters>
            <customFilter operator="notEqual" val=" "/>
          </customFilters>
        </filterColumn>
      </autoFilter>
    </customSheetView>
    <customSheetView guid="{1BC3F178-54C0-4A8C-A5C3-CF7D6D208825}" scale="75" showGridLines="0" outlineSymbols="0" zeroValues="0" fitToPage="1" printArea="1" filter="1" showAutoFilter="1" hiddenColumns="1" view="pageBreakPreview">
      <pane xSplit="3" ySplit="4" topLeftCell="D5" activePane="bottomRight" state="frozen"/>
      <selection pane="bottomRight" activeCell="Q22" sqref="Q22"/>
      <pageMargins left="0" right="0" top="0" bottom="0" header="0" footer="0"/>
      <printOptions horizontalCentered="1"/>
      <pageSetup paperSize="9" scale="71" orientation="landscape" r:id="rId19"/>
      <autoFilter ref="B1">
        <filterColumn colId="0">
          <customFilters>
            <customFilter operator="notEqual" val=" "/>
          </customFilters>
        </filterColumn>
      </autoFilter>
    </customSheetView>
    <customSheetView guid="{326CC155-93DA-4269-A552-D000400252E8}" scale="75" showGridLines="0" outlineSymbols="0" zeroValues="0" fitToPage="1" printArea="1" filter="1" showAutoFilter="1" hiddenColumns="1" view="pageBreakPreview">
      <pane xSplit="5" ySplit="4" topLeftCell="F5" activePane="bottomRight" state="frozen"/>
      <selection pane="bottomRight" activeCell="W8" sqref="W8"/>
      <pageMargins left="0" right="0" top="0" bottom="0" header="0" footer="0"/>
      <printOptions horizontalCentered="1"/>
      <pageSetup paperSize="9" scale="69" orientation="landscape" r:id="rId20"/>
      <autoFilter ref="B1:C1">
        <filterColumn colId="1">
          <customFilters>
            <customFilter operator="notEqual" val=" "/>
          </customFilters>
        </filterColumn>
      </autoFilter>
    </customSheetView>
    <customSheetView guid="{9189FF41-907B-4DB4-B0EF-C9C35E41617A}" scale="75" showGridLines="0" outlineSymbols="0" zeroValues="0" fitToPage="1" printArea="1" filter="1" showAutoFilter="1" hiddenRows="1" hiddenColumns="1" view="pageBreakPreview">
      <pane xSplit="2" ySplit="25" topLeftCell="D27" activePane="bottomRight" state="frozen"/>
      <selection pane="bottomRight" activeCell="P84" sqref="P84"/>
      <pageMargins left="0" right="0" top="0" bottom="0" header="0" footer="0"/>
      <printOptions horizontalCentered="1"/>
      <pageSetup paperSize="9" scale="69" orientation="landscape" r:id="rId21"/>
      <autoFilter ref="B1:AE1">
        <filterColumn colId="0">
          <filters>
            <filter val="調配"/>
          </filters>
        </filterColumn>
        <filterColumn colId="29">
          <customFilters>
            <customFilter operator="notEqual" val=" "/>
          </customFilters>
        </filterColumn>
      </autoFilter>
    </customSheetView>
    <customSheetView guid="{502F3196-9B33-4199-B129-D6F07DE04859}" scale="75" showGridLines="0" outlineSymbols="0" zeroValues="0" fitToPage="1" printArea="1" showAutoFilter="1" hiddenColumns="1" view="pageBreakPreview" topLeftCell="C156">
      <selection activeCell="I13" sqref="I13"/>
      <pageMargins left="0" right="0" top="0" bottom="0" header="0" footer="0"/>
      <printOptions horizontalCentered="1"/>
      <pageSetup paperSize="9" scale="69" orientation="landscape" r:id="rId22"/>
      <autoFilter ref="B1:AE1"/>
    </customSheetView>
    <customSheetView guid="{77AD3D17-AD21-4070-93C9-23AFEA189F06}" scale="85" showGridLines="0" outlineSymbols="0" zeroValues="0" fitToPage="1" printArea="1" filter="1" showAutoFilter="1" view="pageBreakPreview">
      <pane xSplit="5" ySplit="4" topLeftCell="F6" activePane="bottomRight" state="frozen"/>
      <selection pane="bottomRight" activeCell="D23" sqref="D23"/>
      <pageMargins left="0" right="0" top="0" bottom="0" header="0" footer="0"/>
      <printOptions horizontalCentered="1"/>
      <pageSetup paperSize="9" scale="59" orientation="landscape" r:id="rId23"/>
      <autoFilter ref="AB4:AB31">
        <filterColumn colId="0">
          <customFilters>
            <customFilter operator="notEqual" val=" "/>
          </customFilters>
        </filterColumn>
      </autoFilter>
    </customSheetView>
    <customSheetView guid="{38078408-6EFE-4052-8C51-50A488F2EA59}" scale="85" showGridLines="0" outlineSymbols="0" zeroValues="0" fitToPage="1" printArea="1" filter="1" showAutoFilter="1" hiddenColumns="1" view="pageBreakPreview">
      <pane xSplit="5" ySplit="4" topLeftCell="G6" activePane="bottomRight" state="frozen"/>
      <selection pane="bottomRight" activeCell="A20" sqref="A20:XFD20"/>
      <pageMargins left="0" right="0" top="0" bottom="0" header="0" footer="0"/>
      <printOptions horizontalCentered="1"/>
      <pageSetup paperSize="9" scale="73" orientation="landscape" r:id="rId24"/>
      <autoFilter ref="AB4:AB31">
        <filterColumn colId="0">
          <customFilters>
            <customFilter operator="notEqual" val=" "/>
          </customFilters>
        </filterColumn>
      </autoFilter>
    </customSheetView>
    <customSheetView guid="{83B3BC4F-78EE-4A15-89B0-51F9D7CE21C1}" scale="75" showGridLines="0" outlineSymbols="0" zeroValues="0" fitToPage="1" printArea="1" filter="1" showAutoFilter="1" hiddenColumns="1" view="pageBreakPreview">
      <pane xSplit="5" ySplit="4" topLeftCell="G6" activePane="bottomRight" state="frozen"/>
      <selection pane="bottomRight" activeCell="U26" sqref="U26"/>
      <pageMargins left="0" right="0" top="0" bottom="0" header="0" footer="0"/>
      <printOptions horizontalCentered="1"/>
      <pageSetup paperSize="9" scale="70" orientation="landscape" r:id="rId25"/>
      <autoFilter ref="AB4:AB31">
        <filterColumn colId="0">
          <customFilters>
            <customFilter operator="notEqual" val=" "/>
          </customFilters>
        </filterColumn>
      </autoFilter>
    </customSheetView>
    <customSheetView guid="{9E710D7F-3A88-4D24-8673-5A6EF0E9C423}" scale="75" showGridLines="0" outlineSymbols="0" zeroValues="0" fitToPage="1" printArea="1" filter="1" showAutoFilter="1" view="pageBreakPreview">
      <pane xSplit="6" ySplit="4" topLeftCell="I6" activePane="bottomRight" state="frozen"/>
      <selection pane="bottomRight" activeCell="H22" sqref="H22"/>
      <pageMargins left="0" right="0" top="0" bottom="0" header="0" footer="0"/>
      <printOptions horizontalCentered="1"/>
      <pageSetup paperSize="9" scale="59" orientation="landscape" r:id="rId26"/>
      <autoFilter ref="AB4:AB31">
        <filterColumn colId="0">
          <customFilters>
            <customFilter operator="notEqual" val=" "/>
          </customFilters>
        </filterColumn>
      </autoFilter>
    </customSheetView>
    <customSheetView guid="{95BA1282-001B-43C6-8050-6BEE483A7F6F}" scale="75" showGridLines="0" outlineSymbols="0" zeroValues="0" fitToPage="1" printArea="1" filter="1" showAutoFilter="1" hiddenColumns="1" view="pageBreakPreview">
      <pane xSplit="5" ySplit="4" topLeftCell="G6" activePane="bottomRight" state="frozen"/>
      <selection pane="bottomRight" activeCell="P16" sqref="P16"/>
      <pageMargins left="0" right="0" top="0" bottom="0" header="0" footer="0"/>
      <printOptions horizontalCentered="1"/>
      <pageSetup paperSize="9" scale="73" orientation="landscape" r:id="rId27"/>
      <autoFilter ref="AB4:AB31">
        <filterColumn colId="0">
          <customFilters>
            <customFilter operator="notEqual" val=" "/>
          </customFilters>
        </filterColumn>
      </autoFilter>
    </customSheetView>
    <customSheetView guid="{3663236C-AFB0-419A-AC6A-E981D6F1A9BC}" scale="80" showGridLines="0" outlineSymbols="0" zeroValues="0" fitToPage="1" printArea="1" filter="1" showAutoFilter="1" hiddenColumns="1" view="pageBreakPreview">
      <selection activeCell="I9" sqref="I9"/>
      <pageMargins left="0" right="0" top="0" bottom="0" header="0" footer="0"/>
      <printOptions horizontalCentered="1"/>
      <pageSetup paperSize="9" scale="66" orientation="landscape" r:id="rId28"/>
      <autoFilter ref="AF4:AF76">
        <filterColumn colId="0">
          <customFilters>
            <customFilter operator="notEqual" val=" "/>
          </customFilters>
        </filterColumn>
      </autoFilter>
    </customSheetView>
    <customSheetView guid="{6DC87DBB-EAA4-4C74-8564-B6BAF0231FE0}" scale="80" showGridLines="0" outlineSymbols="0" zeroValues="0" fitToPage="1" printArea="1" filter="1" showAutoFilter="1" hiddenColumns="1" view="pageBreakPreview">
      <pane xSplit="5" ySplit="4" topLeftCell="T6" activePane="bottomRight" state="frozen"/>
      <selection pane="bottomRight" activeCell="AA9" sqref="AA9"/>
      <pageMargins left="0" right="0" top="0" bottom="0" header="0" footer="0"/>
      <printOptions horizontalCentered="1"/>
      <pageSetup paperSize="9" scale="66" orientation="landscape" r:id="rId29"/>
      <autoFilter ref="AF4:AF76">
        <filterColumn colId="0">
          <customFilters>
            <customFilter operator="notEqual" val=" "/>
          </customFilters>
        </filterColumn>
      </autoFilter>
    </customSheetView>
    <customSheetView guid="{3B8D84A7-3495-4488-8D42-6EFF30C18699}" scale="80" showGridLines="0" outlineSymbols="0" zeroValues="0" fitToPage="1" printArea="1" filter="1" showAutoFilter="1" hiddenColumns="1" view="pageBreakPreview">
      <pane xSplit="16" ySplit="3.9777777777777779" topLeftCell="A6" activePane="bottomRight"/>
      <selection pane="bottomRight" activeCell="X8" sqref="X8"/>
      <pageMargins left="0" right="0" top="0" bottom="0" header="0" footer="0"/>
      <printOptions horizontalCentered="1"/>
      <pageSetup paperSize="9" scale="65" orientation="landscape" r:id="rId30"/>
      <autoFilter ref="AF4:AF76">
        <filterColumn colId="0">
          <customFilters>
            <customFilter operator="notEqual" val=" "/>
          </customFilters>
        </filterColumn>
      </autoFilter>
    </customSheetView>
    <customSheetView guid="{6A49BCC3-CB5F-40F7-835F-8F4EBC3E8643}" scale="80" showGridLines="0" outlineSymbols="0" zeroValues="0" fitToPage="1" printArea="1" showAutoFilter="1" hiddenColumns="1" view="pageBreakPreview">
      <pane xSplit="5" ySplit="5" topLeftCell="G6" activePane="bottomRight" state="frozen"/>
      <selection pane="bottomRight" activeCell="D2" sqref="D1:F1048576"/>
      <pageMargins left="0" right="0" top="0" bottom="0" header="0" footer="0"/>
      <printOptions horizontalCentered="1"/>
      <pageSetup paperSize="9" scale="27" orientation="landscape" r:id="rId31"/>
      <autoFilter ref="AF4:AF76"/>
    </customSheetView>
    <customSheetView guid="{173F84CF-9EE5-4693-9F18-A0544E920AC9}" scale="90" showGridLines="0" outlineSymbols="0" zeroValues="0" fitToPage="1" printArea="1" filter="1" showAutoFilter="1" hiddenColumns="1" view="pageBreakPreview" topLeftCell="A12">
      <selection activeCell="K41" sqref="K41"/>
      <pageMargins left="0" right="0" top="0" bottom="0" header="0" footer="0"/>
      <printOptions horizontalCentered="1"/>
      <pageSetup paperSize="9" scale="65" orientation="landscape" r:id="rId32"/>
      <autoFilter ref="AF4:AF80">
        <filterColumn colId="0">
          <customFilters>
            <customFilter operator="notEqual" val=" "/>
          </customFilters>
        </filterColumn>
      </autoFilter>
    </customSheetView>
    <customSheetView guid="{99FB95A8-1218-4283-9800-5DBBB640B9CC}" scale="80" showGridLines="0" outlineSymbols="0" zeroValues="0" fitToPage="1" printArea="1" filter="1" showAutoFilter="1" hiddenColumns="1" view="pageBreakPreview">
      <pane xSplit="5" ySplit="4" topLeftCell="G6" activePane="bottomRight" state="frozen"/>
      <selection pane="bottomRight" activeCell="T38" sqref="T38"/>
      <pageMargins left="0" right="0" top="0" bottom="0" header="0" footer="0"/>
      <printOptions horizontalCentered="1"/>
      <pageSetup paperSize="9" scale="66" orientation="landscape" r:id="rId33"/>
      <autoFilter ref="AF4:AF80">
        <filterColumn colId="0">
          <customFilters>
            <customFilter operator="notEqual" val=" "/>
          </customFilters>
        </filterColumn>
      </autoFilter>
    </customSheetView>
    <customSheetView guid="{3ADFB3B6-162A-4CDB-AB24-348E8A99991A}" scale="80" showGridLines="0" outlineSymbols="0" zeroValues="0" fitToPage="1" printArea="1" filter="1" showAutoFilter="1" hiddenColumns="1" view="pageBreakPreview">
      <pane xSplit="7" ySplit="4" topLeftCell="I12" activePane="bottomRight" state="frozen"/>
      <selection pane="bottomRight" activeCell="W41" sqref="W41"/>
      <pageMargins left="0" right="0" top="0" bottom="0" header="0" footer="0"/>
      <printOptions horizontalCentered="1"/>
      <pageSetup paperSize="9" scale="64" orientation="landscape" r:id="rId34"/>
      <autoFilter ref="AF4:AF80">
        <filterColumn colId="0">
          <customFilters>
            <customFilter operator="notEqual" val=" "/>
          </customFilters>
        </filterColumn>
      </autoFilter>
    </customSheetView>
    <customSheetView guid="{4B6E1B38-E439-406A-9E0D-5C2F40D928F2}" scale="90" showGridLines="0" outlineSymbols="0" zeroValues="0" fitToPage="1" printArea="1" filter="1" showAutoFilter="1" view="pageBreakPreview" topLeftCell="A7">
      <selection activeCell="D46" sqref="D46"/>
      <pageMargins left="0" right="0" top="0" bottom="0" header="0" footer="0"/>
      <printOptions horizontalCentered="1"/>
      <pageSetup paperSize="9" scale="51" orientation="landscape" r:id="rId35"/>
      <autoFilter ref="AF4:AF80">
        <filterColumn colId="0">
          <customFilters>
            <customFilter operator="notEqual" val=" "/>
          </customFilters>
        </filterColumn>
      </autoFilter>
    </customSheetView>
    <customSheetView guid="{F93DD6E0-2AD2-4C47-B879-ABE0581F49BB}" scale="80" showGridLines="0" outlineSymbols="0" zeroValues="0" fitToPage="1" printArea="1" showAutoFilter="1" hiddenColumns="1" view="pageBreakPreview">
      <pane xSplit="5" ySplit="5" topLeftCell="G6" activePane="bottomRight" state="frozen"/>
      <selection pane="bottomRight" activeCell="C11" sqref="C11"/>
      <pageMargins left="0" right="0" top="0" bottom="0" header="0" footer="0"/>
      <printOptions horizontalCentered="1"/>
      <pageSetup paperSize="9" scale="24" orientation="landscape" r:id="rId36"/>
      <autoFilter ref="AF4:AF81"/>
    </customSheetView>
    <customSheetView guid="{77B14F7C-DBD2-4BE8-8492-093BF9A7E4E6}" scale="80" showGridLines="0" outlineSymbols="0" zeroValues="0" fitToPage="1" printArea="1" filter="1" showAutoFilter="1" view="pageBreakPreview" topLeftCell="A4">
      <selection activeCell="F44" sqref="F44"/>
      <pageMargins left="0" right="0" top="0" bottom="0" header="0" footer="0"/>
      <printOptions horizontalCentered="1"/>
      <pageSetup paperSize="9" scale="50" orientation="landscape" r:id="rId37"/>
      <autoFilter ref="AF4:AF81">
        <filterColumn colId="0">
          <customFilters>
            <customFilter operator="notEqual" val=" "/>
          </customFilters>
        </filterColumn>
      </autoFilter>
    </customSheetView>
    <customSheetView guid="{BEF1F9A1-9BE8-4B92-B921-6FE20F0F8630}" scale="80" showGridLines="0" outlineSymbols="0" zeroValues="0" fitToPage="1" printArea="1" showAutoFilter="1" hiddenColumns="1" view="pageBreakPreview">
      <pane xSplit="5" ySplit="5" topLeftCell="G33" activePane="bottomRight" state="frozen"/>
      <selection pane="bottomRight" activeCell="J15" sqref="J15"/>
      <pageMargins left="0" right="0" top="0" bottom="0" header="0" footer="0"/>
      <printOptions horizontalCentered="1"/>
      <pageSetup paperSize="9" scale="25" orientation="landscape" r:id="rId38"/>
      <autoFilter ref="AF4:AF81"/>
    </customSheetView>
    <customSheetView guid="{13B17853-2F7C-4003-B2CE-F9B420C9ECC4}" scale="70" showGridLines="0" outlineSymbols="0" zeroValues="0" fitToPage="1" printArea="1" filter="1" showAutoFilter="1" hiddenColumns="1" view="pageBreakPreview">
      <pane xSplit="7" ySplit="4" topLeftCell="H6" activePane="bottomRight" state="frozen"/>
      <selection pane="bottomRight" activeCell="D2" sqref="D1:F1048576"/>
      <pageMargins left="0" right="0" top="0" bottom="0" header="0" footer="0"/>
      <printOptions horizontalCentered="1"/>
      <pageSetup paperSize="9" scale="60" orientation="landscape" r:id="rId39"/>
      <autoFilter ref="AF4:AF81">
        <filterColumn colId="0">
          <customFilters>
            <customFilter operator="notEqual" val=" "/>
          </customFilters>
        </filterColumn>
      </autoFilter>
    </customSheetView>
    <customSheetView guid="{03286019-F3C8-4017-B71E-61FCF78BA513}" scale="80" showGridLines="0" outlineSymbols="0" zeroValues="0" fitToPage="1" printArea="1" filter="1" showAutoFilter="1" hiddenColumns="1" view="pageBreakPreview">
      <pane xSplit="7" ySplit="4" topLeftCell="H10" activePane="bottomRight" state="frozen"/>
      <selection pane="bottomRight" activeCell="E37" sqref="E37"/>
      <pageMargins left="0" right="0" top="0" bottom="0" header="0" footer="0"/>
      <printOptions horizontalCentered="1"/>
      <pageSetup paperSize="9" scale="52" orientation="landscape" r:id="rId40"/>
      <autoFilter ref="AF4:AF81">
        <filterColumn colId="0">
          <customFilters>
            <customFilter operator="notEqual" val=" "/>
          </customFilters>
        </filterColumn>
      </autoFilter>
    </customSheetView>
    <customSheetView guid="{A5947B2F-936B-413A-8E47-744AE1AC646A}" scale="80" showGridLines="0" outlineSymbols="0" zeroValues="0" fitToPage="1" printArea="1" showAutoFilter="1" hiddenColumns="1" view="pageBreakPreview">
      <pane xSplit="5" ySplit="5" topLeftCell="G6" activePane="bottomRight" state="frozen"/>
      <selection pane="bottomRight" activeCell="A14" sqref="A14"/>
      <pageMargins left="0" right="0" top="0" bottom="0" header="0" footer="0"/>
      <printOptions horizontalCentered="1"/>
      <pageSetup paperSize="9" scale="25" orientation="landscape" r:id="rId41"/>
      <autoFilter ref="AF4:AF81"/>
    </customSheetView>
  </customSheetViews>
  <mergeCells count="30">
    <mergeCell ref="A1:AE1"/>
    <mergeCell ref="Y4:Z4"/>
    <mergeCell ref="AB3:AE3"/>
    <mergeCell ref="J3:K3"/>
    <mergeCell ref="L3:M3"/>
    <mergeCell ref="N3:O3"/>
    <mergeCell ref="F3:F4"/>
    <mergeCell ref="P3:AA3"/>
    <mergeCell ref="P4:Q4"/>
    <mergeCell ref="S4:T4"/>
    <mergeCell ref="V4:W4"/>
    <mergeCell ref="A3:A4"/>
    <mergeCell ref="B3:B4"/>
    <mergeCell ref="C3:C4"/>
    <mergeCell ref="G3:G4"/>
    <mergeCell ref="H3:I3"/>
    <mergeCell ref="A35:A36"/>
    <mergeCell ref="B35:B36"/>
    <mergeCell ref="C35:C36"/>
    <mergeCell ref="F35:F36"/>
    <mergeCell ref="G35:G36"/>
    <mergeCell ref="AB35:AE35"/>
    <mergeCell ref="H36:I36"/>
    <mergeCell ref="J36:K36"/>
    <mergeCell ref="L36:M36"/>
    <mergeCell ref="N36:O36"/>
    <mergeCell ref="T35:W35"/>
    <mergeCell ref="X35:AA35"/>
    <mergeCell ref="H35:O35"/>
    <mergeCell ref="P35:S35"/>
  </mergeCells>
  <phoneticPr fontId="3" type="noConversion"/>
  <conditionalFormatting sqref="AB5:AE34 AB37:AE76">
    <cfRule type="cellIs" dxfId="1" priority="3" operator="greaterThan">
      <formula>$C5</formula>
    </cfRule>
  </conditionalFormatting>
  <conditionalFormatting sqref="AB5:AE76">
    <cfRule type="cellIs" dxfId="0" priority="1" operator="lessThan">
      <formula>$AI5</formula>
    </cfRule>
  </conditionalFormatting>
  <printOptions horizontalCentered="1"/>
  <pageMargins left="0.39370078740157483" right="0.39370078740157483" top="0.39370078740157483" bottom="0.59055118110236227" header="0.19685039370078741" footer="0.19685039370078741"/>
  <pageSetup paperSize="9" scale="59" orientation="landscape" r:id="rId42"/>
  <legacy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A1:L134"/>
  <sheetViews>
    <sheetView showZeros="0" view="pageBreakPreview" zoomScaleNormal="85" zoomScaleSheetLayoutView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E36" sqref="E36"/>
    </sheetView>
  </sheetViews>
  <sheetFormatPr defaultColWidth="8.875" defaultRowHeight="18" customHeight="1" x14ac:dyDescent="0.25"/>
  <cols>
    <col min="1" max="1" width="17.625" style="235" bestFit="1" customWidth="1"/>
    <col min="2" max="2" width="17.875" style="235" customWidth="1"/>
    <col min="3" max="3" width="8.875" style="646"/>
    <col min="4" max="4" width="8.875" style="793"/>
    <col min="5" max="5" width="8.875" style="647"/>
    <col min="6" max="6" width="8.875" style="648"/>
    <col min="7" max="7" width="8.875" style="235"/>
    <col min="8" max="8" width="11.125" style="235" bestFit="1" customWidth="1"/>
    <col min="9" max="16384" width="8.875" style="235"/>
  </cols>
  <sheetData>
    <row r="1" spans="1:12" ht="18" customHeight="1" thickBot="1" x14ac:dyDescent="0.3">
      <c r="A1" s="1079" t="s">
        <v>218</v>
      </c>
      <c r="B1" s="1079"/>
      <c r="C1" s="1079"/>
      <c r="D1" s="1079"/>
      <c r="E1" s="1079"/>
      <c r="F1" s="1079"/>
      <c r="G1" s="1079"/>
      <c r="H1" s="1079"/>
      <c r="I1" s="1079"/>
      <c r="J1" s="1079"/>
      <c r="K1" s="1079"/>
      <c r="L1" s="1079"/>
    </row>
    <row r="2" spans="1:12" ht="18" customHeight="1" x14ac:dyDescent="0.25">
      <c r="A2" s="249" t="s">
        <v>219</v>
      </c>
      <c r="B2" s="250" t="s">
        <v>220</v>
      </c>
      <c r="C2" s="253" t="s">
        <v>221</v>
      </c>
      <c r="D2" s="254" t="s">
        <v>222</v>
      </c>
      <c r="E2" s="251" t="str">
        <f>TEXT(+'產銷總表 '!$AB$5,"M")&amp;"月"</f>
        <v>8月</v>
      </c>
      <c r="F2" s="251" t="str">
        <f>+E2&amp;"用量"</f>
        <v>8月用量</v>
      </c>
      <c r="G2" s="251" t="str">
        <f>TEXT(+'產銷總表 '!$AC$5,"M")&amp;"月"</f>
        <v>9月</v>
      </c>
      <c r="H2" s="251" t="str">
        <f>+G2&amp;"用量"</f>
        <v>9月用量</v>
      </c>
      <c r="I2" s="251" t="str">
        <f>TEXT(+'產銷總表 '!$AD$5,"M")&amp;"月"</f>
        <v>10月</v>
      </c>
      <c r="J2" s="251" t="str">
        <f>+I2&amp;"用量"</f>
        <v>10月用量</v>
      </c>
      <c r="K2" s="251" t="str">
        <f>TEXT(+'產銷總表 '!$AE$5,"M")&amp;"月"</f>
        <v>11月</v>
      </c>
      <c r="L2" s="252" t="str">
        <f>+K2&amp;"用量"</f>
        <v>11月用量</v>
      </c>
    </row>
    <row r="3" spans="1:12" ht="18" customHeight="1" x14ac:dyDescent="0.25">
      <c r="A3" s="620" t="str">
        <f>'產銷總表 '!$A$6</f>
        <v>IPAUPS</v>
      </c>
      <c r="B3" s="621" t="s">
        <v>223</v>
      </c>
      <c r="C3" s="786">
        <f>1/0.984420275179621</f>
        <v>1.0158262941278167</v>
      </c>
      <c r="D3" s="788">
        <v>1</v>
      </c>
      <c r="E3" s="623">
        <f>+SUMIF('產銷總表 '!$A$6:$A$118,$A3,'產銷總表 '!$R$6:$R$118)</f>
        <v>0</v>
      </c>
      <c r="F3" s="649">
        <f>+ROUND($C3*$D3*$E3,0)</f>
        <v>0</v>
      </c>
      <c r="G3" s="623">
        <f>+SUMIF('產銷總表 '!$A$6:$A$118,$A3,'產銷總表 '!$U$6:$U$118)</f>
        <v>0</v>
      </c>
      <c r="H3" s="623">
        <f>+ROUND($C3*$D3*$G3,0)-H5</f>
        <v>0</v>
      </c>
      <c r="I3" s="623">
        <f>+SUMIF('產銷總表 '!$A$6:$A$118,$A3,'產銷總表 '!$X$6:$X$118)</f>
        <v>0</v>
      </c>
      <c r="J3" s="624">
        <f>+ROUND($C3*$D3*$I3,0)</f>
        <v>0</v>
      </c>
      <c r="K3" s="623">
        <f>+SUMIF('產銷總表 '!$A$6:$A$118,$A3,'產銷總表 '!$AA$6:$AA$118)</f>
        <v>0</v>
      </c>
      <c r="L3" s="624">
        <f>+ROUND($C3*$D3*$K3,0)</f>
        <v>0</v>
      </c>
    </row>
    <row r="4" spans="1:12" ht="18" customHeight="1" x14ac:dyDescent="0.25">
      <c r="A4" s="620" t="str">
        <f>'產銷總表 '!$A$6</f>
        <v>IPAUPS</v>
      </c>
      <c r="B4" s="621" t="s">
        <v>224</v>
      </c>
      <c r="C4" s="786">
        <f t="shared" ref="C4:C7" si="0">1/0.984420275179621</f>
        <v>1.0158262941278167</v>
      </c>
      <c r="D4" s="788">
        <v>0</v>
      </c>
      <c r="E4" s="623">
        <f>+SUMIF('產銷總表 '!$A$6:$A$118,$A4,'產銷總表 '!$R$6:$R$118)</f>
        <v>0</v>
      </c>
      <c r="F4" s="649">
        <f>+ROUND($C4*$D4*$E4,0)</f>
        <v>0</v>
      </c>
      <c r="G4" s="623">
        <f>+SUMIF('產銷總表 '!$A$6:$A$118,$A4,'產銷總表 '!$U$6:$U$118)</f>
        <v>0</v>
      </c>
      <c r="H4" s="623">
        <f>+ROUND($C4*$D4*$G4,0)-H5</f>
        <v>0</v>
      </c>
      <c r="I4" s="623">
        <f>+SUMIF('產銷總表 '!$A$6:$A$118,$A4,'產銷總表 '!$X$6:$X$118)</f>
        <v>0</v>
      </c>
      <c r="J4" s="624">
        <f>+ROUND($C4*$D4*$I4,0)</f>
        <v>0</v>
      </c>
      <c r="K4" s="623">
        <f>+SUMIF('產銷總表 '!$A$6:$A$118,$A4,'產銷總表 '!$AA$6:$AA$118)</f>
        <v>0</v>
      </c>
      <c r="L4" s="624">
        <f>+ROUND($C4*$D4*$K4,0)</f>
        <v>0</v>
      </c>
    </row>
    <row r="5" spans="1:12" ht="18" customHeight="1" x14ac:dyDescent="0.25">
      <c r="A5" s="625">
        <f>'產銷總表 '!$A$7</f>
        <v>0</v>
      </c>
      <c r="B5" s="626" t="s">
        <v>225</v>
      </c>
      <c r="C5" s="787">
        <f t="shared" si="0"/>
        <v>1.0158262941278167</v>
      </c>
      <c r="D5" s="789" t="s">
        <v>226</v>
      </c>
      <c r="E5" s="627"/>
      <c r="F5" s="627"/>
      <c r="G5" s="627"/>
      <c r="H5" s="627"/>
      <c r="I5" s="627"/>
      <c r="J5" s="627"/>
      <c r="K5" s="627"/>
      <c r="L5" s="627"/>
    </row>
    <row r="6" spans="1:12" ht="18" customHeight="1" x14ac:dyDescent="0.25">
      <c r="A6" s="625" t="str">
        <f>'產銷總表 '!$A$9</f>
        <v>IPAUPS(崙尾區日本料)</v>
      </c>
      <c r="B6" s="626" t="s">
        <v>111</v>
      </c>
      <c r="C6" s="787">
        <f t="shared" si="0"/>
        <v>1.0158262941278167</v>
      </c>
      <c r="D6" s="789">
        <v>1</v>
      </c>
      <c r="E6" s="627">
        <f>+SUMIF('產銷總表 '!$A$6:$A$118,$A6,'產銷總表 '!$R$6:$R$118)</f>
        <v>100</v>
      </c>
      <c r="F6" s="627">
        <f t="shared" ref="F6:F7" si="1">+ROUND($C6*$D6*$E6,0)</f>
        <v>102</v>
      </c>
      <c r="G6" s="627">
        <f>+SUMIF('產銷總表 '!$A$6:$A$118,$A6,'產銷總表 '!$U$6:$U$118)</f>
        <v>500</v>
      </c>
      <c r="H6" s="627">
        <f>+ROUND($C6*$D6*$G6,0)</f>
        <v>508</v>
      </c>
      <c r="I6" s="627">
        <f>+SUMIF('產銷總表 '!$A$6:$A$118,$A6,'產銷總表 '!$X$6:$X$118)</f>
        <v>500</v>
      </c>
      <c r="J6" s="627">
        <f t="shared" ref="J6:J7" si="2">+ROUND($C6*$D6*$I6,0)</f>
        <v>508</v>
      </c>
      <c r="K6" s="627">
        <f>+SUMIF('產銷總表 '!$A$6:$A$118,$A6,'產銷總表 '!$AA$6:$AA$118)</f>
        <v>500</v>
      </c>
      <c r="L6" s="627">
        <f t="shared" ref="L6:L7" si="3">+ROUND($C6*$D6*$K6,0)</f>
        <v>508</v>
      </c>
    </row>
    <row r="7" spans="1:12" ht="18" customHeight="1" x14ac:dyDescent="0.25">
      <c r="A7" s="625" t="str">
        <f>'產銷總表 '!$A$10</f>
        <v>IPAUPS(崙尾區LG)</v>
      </c>
      <c r="B7" s="626" t="s">
        <v>113</v>
      </c>
      <c r="C7" s="787">
        <f t="shared" si="0"/>
        <v>1.0158262941278167</v>
      </c>
      <c r="D7" s="789">
        <v>1</v>
      </c>
      <c r="E7" s="627">
        <f>+SUMIF('產銷總表 '!$A$6:$A$118,$A7,'產銷總表 '!$R$6:$R$118)</f>
        <v>210</v>
      </c>
      <c r="F7" s="627">
        <f t="shared" si="1"/>
        <v>213</v>
      </c>
      <c r="G7" s="627">
        <f>+SUMIF('產銷總表 '!$A$6:$A$118,$A7,'產銷總表 '!$U$6:$U$118)</f>
        <v>900</v>
      </c>
      <c r="H7" s="627">
        <f>+ROUND($C7*$D7*$G7,0)</f>
        <v>914</v>
      </c>
      <c r="I7" s="627">
        <f>+SUMIF('產銷總表 '!$A$6:$A$118,$A7,'產銷總表 '!$X$6:$X$118)</f>
        <v>900</v>
      </c>
      <c r="J7" s="627">
        <f t="shared" si="2"/>
        <v>914</v>
      </c>
      <c r="K7" s="627">
        <f>+SUMIF('產銷總表 '!$A$6:$A$118,$A7,'產銷總表 '!$AA$6:$AA$118)</f>
        <v>900</v>
      </c>
      <c r="L7" s="627">
        <f t="shared" si="3"/>
        <v>914</v>
      </c>
    </row>
    <row r="8" spans="1:12" ht="18" customHeight="1" x14ac:dyDescent="0.25">
      <c r="A8" s="620" t="str">
        <f>'產銷總表 '!$A$12</f>
        <v>EGUPS</v>
      </c>
      <c r="B8" s="621" t="s">
        <v>115</v>
      </c>
      <c r="C8" s="786">
        <f>1/0.970455761524833</f>
        <v>1.03044367362892</v>
      </c>
      <c r="D8" s="788">
        <v>1</v>
      </c>
      <c r="E8" s="623">
        <f>+SUMIF('產銷總表 '!$A$6:$A$118,$A8,'產銷總表 '!$R$6:$R$118)</f>
        <v>200</v>
      </c>
      <c r="F8" s="623">
        <f t="shared" ref="F8:F97" si="4">+ROUND($C8*$D8*$E8,0)</f>
        <v>206</v>
      </c>
      <c r="G8" s="623">
        <f>+SUMIF('產銷總表 '!$A$6:$A$118,$A8,'產銷總表 '!$U$6:$U$118)</f>
        <v>140</v>
      </c>
      <c r="H8" s="623">
        <f t="shared" ref="H8:H97" si="5">+ROUND($C8*$D8*$G8,0)</f>
        <v>144</v>
      </c>
      <c r="I8" s="623">
        <f>+SUMIF('產銷總表 '!$A$6:$A$118,$A8,'產銷總表 '!$X$6:$X$118)</f>
        <v>0</v>
      </c>
      <c r="J8" s="623">
        <f t="shared" ref="J8:J97" si="6">+ROUND($C8*$D8*$I8,0)</f>
        <v>0</v>
      </c>
      <c r="K8" s="623">
        <f>+SUMIF('產銷總表 '!$A$6:$A$118,$A8,'產銷總表 '!$AA$6:$AA$118)</f>
        <v>675</v>
      </c>
      <c r="L8" s="623">
        <f t="shared" ref="L8:L97" si="7">+ROUND($C8*$D8*$K8,0)</f>
        <v>696</v>
      </c>
    </row>
    <row r="9" spans="1:12" ht="18" customHeight="1" x14ac:dyDescent="0.25">
      <c r="A9" s="620" t="str">
        <f>'產銷總表 '!$A$15</f>
        <v>CPNE4</v>
      </c>
      <c r="B9" s="621" t="s">
        <v>227</v>
      </c>
      <c r="C9" s="786">
        <f>1/0.969612584122662</f>
        <v>1.0313397498907602</v>
      </c>
      <c r="D9" s="788">
        <v>1</v>
      </c>
      <c r="E9" s="623">
        <f>+SUMIF('產銷總表 '!$A$6:$A$118,$A9,'產銷總表 '!$R$6:$R$118)</f>
        <v>110</v>
      </c>
      <c r="F9" s="623">
        <f t="shared" si="4"/>
        <v>113</v>
      </c>
      <c r="G9" s="623">
        <f>+SUMIF('產銷總表 '!$A$6:$A$118,$A9,'產銷總表 '!$U$6:$U$118)</f>
        <v>300</v>
      </c>
      <c r="H9" s="623">
        <f t="shared" si="5"/>
        <v>309</v>
      </c>
      <c r="I9" s="623">
        <f>+SUMIF('產銷總表 '!$A$6:$A$118,$A9,'產銷總表 '!$X$6:$X$118)</f>
        <v>320</v>
      </c>
      <c r="J9" s="623">
        <f t="shared" si="6"/>
        <v>330</v>
      </c>
      <c r="K9" s="623">
        <f>+SUMIF('產銷總表 '!$A$6:$A$118,$A9,'產銷總表 '!$AA$6:$AA$118)</f>
        <v>290</v>
      </c>
      <c r="L9" s="623">
        <f t="shared" si="7"/>
        <v>299</v>
      </c>
    </row>
    <row r="10" spans="1:12" ht="18" customHeight="1" x14ac:dyDescent="0.25">
      <c r="A10" s="628" t="str">
        <f>'產銷總表 '!$A$17</f>
        <v>CPNE4R(含浸)</v>
      </c>
      <c r="B10" s="621" t="s">
        <v>228</v>
      </c>
      <c r="C10" s="622">
        <v>1</v>
      </c>
      <c r="D10" s="788">
        <v>0.09</v>
      </c>
      <c r="E10" s="623">
        <f>+SUMIF('產銷總表 '!$A$6:$A$118,$A10,'產銷總表 '!$R$6:$R$118)</f>
        <v>0</v>
      </c>
      <c r="F10" s="623">
        <f t="shared" si="4"/>
        <v>0</v>
      </c>
      <c r="G10" s="623">
        <f>+SUMIF('產銷總表 '!$A$6:$A$118,$A10,'產銷總表 '!$U$6:$U$118)</f>
        <v>0</v>
      </c>
      <c r="H10" s="623">
        <f t="shared" si="5"/>
        <v>0</v>
      </c>
      <c r="I10" s="623">
        <f>+SUMIF('產銷總表 '!$A$6:$A$118,$A10,'產銷總表 '!$X$6:$X$118)</f>
        <v>0</v>
      </c>
      <c r="J10" s="623">
        <f t="shared" si="6"/>
        <v>0</v>
      </c>
      <c r="K10" s="623">
        <f>+SUMIF('產銷總表 '!$A$6:$A$118,$A10,'產銷總表 '!$AA$6:$AA$118)</f>
        <v>0</v>
      </c>
      <c r="L10" s="623">
        <f t="shared" si="7"/>
        <v>0</v>
      </c>
    </row>
    <row r="11" spans="1:12" ht="18" customHeight="1" x14ac:dyDescent="0.25">
      <c r="A11" s="628" t="str">
        <f>'產銷總表 '!$A$17</f>
        <v>CPNE4R(含浸)</v>
      </c>
      <c r="B11" s="621" t="s">
        <v>229</v>
      </c>
      <c r="C11" s="622">
        <v>1</v>
      </c>
      <c r="D11" s="788">
        <v>0.12</v>
      </c>
      <c r="E11" s="623">
        <f>+SUMIF('產銷總表 '!$A$6:$A$118,$A11,'產銷總表 '!$R$6:$R$118)</f>
        <v>0</v>
      </c>
      <c r="F11" s="623">
        <f t="shared" si="4"/>
        <v>0</v>
      </c>
      <c r="G11" s="623">
        <f>+SUMIF('產銷總表 '!$A$6:$A$118,$A11,'產銷總表 '!$U$6:$U$118)</f>
        <v>0</v>
      </c>
      <c r="H11" s="623">
        <f t="shared" si="5"/>
        <v>0</v>
      </c>
      <c r="I11" s="623">
        <f>+SUMIF('產銷總表 '!$A$6:$A$118,$A11,'產銷總表 '!$X$6:$X$118)</f>
        <v>0</v>
      </c>
      <c r="J11" s="623">
        <f t="shared" si="6"/>
        <v>0</v>
      </c>
      <c r="K11" s="623">
        <f>+SUMIF('產銷總表 '!$A$6:$A$118,$A11,'產銷總表 '!$AA$6:$AA$118)</f>
        <v>0</v>
      </c>
      <c r="L11" s="623">
        <f t="shared" si="7"/>
        <v>0</v>
      </c>
    </row>
    <row r="12" spans="1:12" ht="18" customHeight="1" x14ac:dyDescent="0.25">
      <c r="A12" s="628" t="str">
        <f>'產銷總表 '!$A$17</f>
        <v>CPNE4R(含浸)</v>
      </c>
      <c r="B12" s="621" t="s">
        <v>230</v>
      </c>
      <c r="C12" s="622">
        <v>1</v>
      </c>
      <c r="D12" s="788">
        <v>0.4</v>
      </c>
      <c r="E12" s="623">
        <f>+SUMIF('產銷總表 '!$A$6:$A$118,$A12,'產銷總表 '!$R$6:$R$118)</f>
        <v>0</v>
      </c>
      <c r="F12" s="623">
        <f t="shared" si="4"/>
        <v>0</v>
      </c>
      <c r="G12" s="623">
        <f>+SUMIF('產銷總表 '!$A$6:$A$118,$A12,'產銷總表 '!$U$6:$U$118)</f>
        <v>0</v>
      </c>
      <c r="H12" s="623">
        <f t="shared" si="5"/>
        <v>0</v>
      </c>
      <c r="I12" s="623">
        <f>+SUMIF('產銷總表 '!$A$6:$A$118,$A12,'產銷總表 '!$X$6:$X$118)</f>
        <v>0</v>
      </c>
      <c r="J12" s="623">
        <f t="shared" si="6"/>
        <v>0</v>
      </c>
      <c r="K12" s="623">
        <f>+SUMIF('產銷總表 '!$A$6:$A$118,$A12,'產銷總表 '!$AA$6:$AA$118)</f>
        <v>0</v>
      </c>
      <c r="L12" s="623">
        <f t="shared" si="7"/>
        <v>0</v>
      </c>
    </row>
    <row r="13" spans="1:12" ht="18" customHeight="1" x14ac:dyDescent="0.25">
      <c r="A13" s="628" t="str">
        <f>'產銷總表 '!$A$17</f>
        <v>CPNE4R(含浸)</v>
      </c>
      <c r="B13" s="621" t="s">
        <v>231</v>
      </c>
      <c r="C13" s="622">
        <v>1</v>
      </c>
      <c r="D13" s="788">
        <v>0.39</v>
      </c>
      <c r="E13" s="623">
        <f>+SUMIF('產銷總表 '!$A$6:$A$118,$A13,'產銷總表 '!$R$6:$R$118)</f>
        <v>0</v>
      </c>
      <c r="F13" s="623">
        <f t="shared" si="4"/>
        <v>0</v>
      </c>
      <c r="G13" s="623">
        <f>+SUMIF('產銷總表 '!$A$6:$A$118,$A13,'產銷總表 '!$U$6:$U$118)</f>
        <v>0</v>
      </c>
      <c r="H13" s="623">
        <f t="shared" si="5"/>
        <v>0</v>
      </c>
      <c r="I13" s="623">
        <f>+SUMIF('產銷總表 '!$A$6:$A$118,$A13,'產銷總表 '!$X$6:$X$118)</f>
        <v>0</v>
      </c>
      <c r="J13" s="623">
        <f t="shared" si="6"/>
        <v>0</v>
      </c>
      <c r="K13" s="623">
        <f>+SUMIF('產銷總表 '!$A$6:$A$118,$A13,'產銷總表 '!$AA$6:$AA$118)</f>
        <v>0</v>
      </c>
      <c r="L13" s="623">
        <f t="shared" si="7"/>
        <v>0</v>
      </c>
    </row>
    <row r="14" spans="1:12" ht="18" customHeight="1" x14ac:dyDescent="0.25">
      <c r="A14" s="628" t="str">
        <f>'產銷總表 '!$A$17</f>
        <v>CPNE4R(含浸)</v>
      </c>
      <c r="B14" s="621"/>
      <c r="C14" s="622">
        <v>1</v>
      </c>
      <c r="D14" s="788"/>
      <c r="E14" s="623">
        <f>+SUMIF('產銷總表 '!$A$6:$A$118,$A14,'產銷總表 '!$R$6:$R$118)</f>
        <v>0</v>
      </c>
      <c r="F14" s="623">
        <f t="shared" si="4"/>
        <v>0</v>
      </c>
      <c r="G14" s="623">
        <f>+SUMIF('產銷總表 '!$A$6:$A$118,$A14,'產銷總表 '!$U$6:$U$118)</f>
        <v>0</v>
      </c>
      <c r="H14" s="623">
        <f t="shared" si="5"/>
        <v>0</v>
      </c>
      <c r="I14" s="623">
        <f>+SUMIF('產銷總表 '!$A$6:$A$118,$A14,'產銷總表 '!$X$6:$X$118)</f>
        <v>0</v>
      </c>
      <c r="J14" s="623">
        <f t="shared" si="6"/>
        <v>0</v>
      </c>
      <c r="K14" s="623">
        <f>+SUMIF('產銷總表 '!$A$6:$A$118,$A14,'產銷總表 '!$AA$6:$AA$118)</f>
        <v>0</v>
      </c>
      <c r="L14" s="623">
        <f t="shared" si="7"/>
        <v>0</v>
      </c>
    </row>
    <row r="15" spans="1:12" ht="18" customHeight="1" x14ac:dyDescent="0.25">
      <c r="A15" s="628" t="str">
        <f>'產銷總表 '!$A$17</f>
        <v>CPNE4R(含浸)</v>
      </c>
      <c r="B15" s="621"/>
      <c r="C15" s="622">
        <v>1</v>
      </c>
      <c r="D15" s="788"/>
      <c r="E15" s="623">
        <f>+SUMIF('產銷總表 '!$A$6:$A$118,$A15,'產銷總表 '!$R$6:$R$118)</f>
        <v>0</v>
      </c>
      <c r="F15" s="623">
        <f t="shared" si="4"/>
        <v>0</v>
      </c>
      <c r="G15" s="623">
        <f>+SUMIF('產銷總表 '!$A$6:$A$118,$A15,'產銷總表 '!$U$6:$U$118)</f>
        <v>0</v>
      </c>
      <c r="H15" s="623">
        <f t="shared" si="5"/>
        <v>0</v>
      </c>
      <c r="I15" s="623">
        <f>+SUMIF('產銷總表 '!$A$6:$A$118,$A15,'產銷總表 '!$X$6:$X$118)</f>
        <v>0</v>
      </c>
      <c r="J15" s="623">
        <f t="shared" si="6"/>
        <v>0</v>
      </c>
      <c r="K15" s="623">
        <f>+SUMIF('產銷總表 '!$A$6:$A$118,$A15,'產銷總表 '!$AA$6:$AA$118)</f>
        <v>0</v>
      </c>
      <c r="L15" s="623">
        <f t="shared" si="7"/>
        <v>0</v>
      </c>
    </row>
    <row r="16" spans="1:12" ht="18" customHeight="1" x14ac:dyDescent="0.25">
      <c r="A16" s="628" t="str">
        <f>'產銷總表 '!$A$17</f>
        <v>CPNE4R(含浸)</v>
      </c>
      <c r="B16" s="621"/>
      <c r="C16" s="622">
        <v>1</v>
      </c>
      <c r="D16" s="788"/>
      <c r="E16" s="623">
        <f>+SUMIF('產銷總表 '!$A$6:$A$118,$A16,'產銷總表 '!$R$6:$R$118)</f>
        <v>0</v>
      </c>
      <c r="F16" s="623">
        <f t="shared" si="4"/>
        <v>0</v>
      </c>
      <c r="G16" s="623">
        <f>+SUMIF('產銷總表 '!$A$6:$A$118,$A16,'產銷總表 '!$U$6:$U$118)</f>
        <v>0</v>
      </c>
      <c r="H16" s="623">
        <f t="shared" si="5"/>
        <v>0</v>
      </c>
      <c r="I16" s="623">
        <f>+SUMIF('產銷總表 '!$A$6:$A$118,$A16,'產銷總表 '!$X$6:$X$118)</f>
        <v>0</v>
      </c>
      <c r="J16" s="623">
        <f t="shared" si="6"/>
        <v>0</v>
      </c>
      <c r="K16" s="623">
        <f>+SUMIF('產銷總表 '!$A$6:$A$118,$A16,'產銷總表 '!$AA$6:$AA$118)</f>
        <v>0</v>
      </c>
      <c r="L16" s="623">
        <f t="shared" si="7"/>
        <v>0</v>
      </c>
    </row>
    <row r="17" spans="1:12" ht="18" customHeight="1" x14ac:dyDescent="0.25">
      <c r="A17" s="628" t="str">
        <f>'產銷總表 '!$A$17</f>
        <v>CPNE4R(含浸)</v>
      </c>
      <c r="B17" s="621"/>
      <c r="C17" s="622">
        <v>1</v>
      </c>
      <c r="D17" s="788"/>
      <c r="E17" s="623">
        <f>+SUMIF('產銷總表 '!$A$6:$A$118,$A17,'產銷總表 '!$R$6:$R$118)</f>
        <v>0</v>
      </c>
      <c r="F17" s="623">
        <f t="shared" si="4"/>
        <v>0</v>
      </c>
      <c r="G17" s="623">
        <f>+SUMIF('產銷總表 '!$A$6:$A$118,$A17,'產銷總表 '!$U$6:$U$118)</f>
        <v>0</v>
      </c>
      <c r="H17" s="623">
        <f t="shared" si="5"/>
        <v>0</v>
      </c>
      <c r="I17" s="623">
        <f>+SUMIF('產銷總表 '!$A$6:$A$118,$A17,'產銷總表 '!$X$6:$X$118)</f>
        <v>0</v>
      </c>
      <c r="J17" s="623">
        <f t="shared" si="6"/>
        <v>0</v>
      </c>
      <c r="K17" s="623">
        <f>+SUMIF('產銷總表 '!$A$6:$A$118,$A17,'產銷總表 '!$AA$6:$AA$118)</f>
        <v>0</v>
      </c>
      <c r="L17" s="623">
        <f t="shared" si="7"/>
        <v>0</v>
      </c>
    </row>
    <row r="18" spans="1:12" ht="18" customHeight="1" x14ac:dyDescent="0.25">
      <c r="A18" s="628" t="str">
        <f>'產銷總表 '!$A$17</f>
        <v>CPNE4R(含浸)</v>
      </c>
      <c r="B18" s="621"/>
      <c r="C18" s="622">
        <v>1</v>
      </c>
      <c r="D18" s="788"/>
      <c r="E18" s="623">
        <f>+SUMIF('產銷總表 '!$A$6:$A$118,$A18,'產銷總表 '!$R$6:$R$118)</f>
        <v>0</v>
      </c>
      <c r="F18" s="623">
        <f t="shared" si="4"/>
        <v>0</v>
      </c>
      <c r="G18" s="623">
        <f>+SUMIF('產銷總表 '!$A$6:$A$118,$A18,'產銷總表 '!$U$6:$U$118)</f>
        <v>0</v>
      </c>
      <c r="H18" s="623">
        <f t="shared" si="5"/>
        <v>0</v>
      </c>
      <c r="I18" s="623">
        <f>+SUMIF('產銷總表 '!$A$6:$A$118,$A18,'產銷總表 '!$X$6:$X$118)</f>
        <v>0</v>
      </c>
      <c r="J18" s="623">
        <f t="shared" si="6"/>
        <v>0</v>
      </c>
      <c r="K18" s="623">
        <f>+SUMIF('產銷總表 '!$A$6:$A$118,$A18,'產銷總表 '!$AA$6:$AA$118)</f>
        <v>0</v>
      </c>
      <c r="L18" s="623">
        <f t="shared" si="7"/>
        <v>0</v>
      </c>
    </row>
    <row r="19" spans="1:12" ht="18" customHeight="1" x14ac:dyDescent="0.25">
      <c r="A19" s="628" t="str">
        <f>'產銷總表 '!$A$17</f>
        <v>CPNE4R(含浸)</v>
      </c>
      <c r="B19" s="621"/>
      <c r="C19" s="622">
        <v>1</v>
      </c>
      <c r="D19" s="788"/>
      <c r="E19" s="623">
        <f>+SUMIF('產銷總表 '!$A$6:$A$118,$A19,'產銷總表 '!$R$6:$R$118)</f>
        <v>0</v>
      </c>
      <c r="F19" s="623">
        <f t="shared" si="4"/>
        <v>0</v>
      </c>
      <c r="G19" s="623">
        <f>+SUMIF('產銷總表 '!$A$6:$A$118,$A19,'產銷總表 '!$U$6:$U$118)</f>
        <v>0</v>
      </c>
      <c r="H19" s="623">
        <f t="shared" si="5"/>
        <v>0</v>
      </c>
      <c r="I19" s="623">
        <f>+SUMIF('產銷總表 '!$A$6:$A$118,$A19,'產銷總表 '!$X$6:$X$118)</f>
        <v>0</v>
      </c>
      <c r="J19" s="623">
        <f t="shared" si="6"/>
        <v>0</v>
      </c>
      <c r="K19" s="623">
        <f>+SUMIF('產銷總表 '!$A$6:$A$118,$A19,'產銷總表 '!$AA$6:$AA$118)</f>
        <v>0</v>
      </c>
      <c r="L19" s="623">
        <f t="shared" si="7"/>
        <v>0</v>
      </c>
    </row>
    <row r="20" spans="1:12" ht="18" customHeight="1" x14ac:dyDescent="0.25">
      <c r="A20" s="620" t="str">
        <f>'產銷總表 '!$A$18</f>
        <v>ACTUPS</v>
      </c>
      <c r="B20" s="621" t="s">
        <v>127</v>
      </c>
      <c r="C20" s="786">
        <f>1/0.954525497083359</f>
        <v>1.0476409515047975</v>
      </c>
      <c r="D20" s="788">
        <v>1</v>
      </c>
      <c r="E20" s="623">
        <f>+SUMIF('產銷總表 '!$A$6:$A$118,$A20,'產銷總表 '!$R$6:$R$118)</f>
        <v>0</v>
      </c>
      <c r="F20" s="623">
        <f t="shared" si="4"/>
        <v>0</v>
      </c>
      <c r="G20" s="623">
        <f>+SUMIF('產銷總表 '!$A$6:$A$118,$A20,'產銷總表 '!$U$6:$U$118)</f>
        <v>0</v>
      </c>
      <c r="H20" s="623">
        <f t="shared" si="5"/>
        <v>0</v>
      </c>
      <c r="I20" s="623">
        <f>+SUMIF('產銷總表 '!$A$6:$A$118,$A20,'產銷總表 '!$X$6:$X$118)</f>
        <v>210</v>
      </c>
      <c r="J20" s="623">
        <f t="shared" si="6"/>
        <v>220</v>
      </c>
      <c r="K20" s="623">
        <f>+SUMIF('產銷總表 '!$A$6:$A$118,$A20,'產銷總表 '!$AA$6:$AA$118)</f>
        <v>0</v>
      </c>
      <c r="L20" s="623">
        <f t="shared" si="7"/>
        <v>0</v>
      </c>
    </row>
    <row r="21" spans="1:12" ht="18" customHeight="1" x14ac:dyDescent="0.25">
      <c r="A21" s="620" t="str">
        <f>'產銷總表 '!$A$20</f>
        <v>NMPUPS</v>
      </c>
      <c r="B21" s="621" t="s">
        <v>119</v>
      </c>
      <c r="C21" s="786">
        <f>1/0.929304531327629</f>
        <v>1.076073521960959</v>
      </c>
      <c r="D21" s="788">
        <v>1</v>
      </c>
      <c r="E21" s="623">
        <f>+SUMIF('產銷總表 '!$A$6:$A$118,$A21,'產銷總表 '!$R$6:$R$118)</f>
        <v>0</v>
      </c>
      <c r="F21" s="623">
        <f t="shared" si="4"/>
        <v>0</v>
      </c>
      <c r="G21" s="623">
        <f>+SUMIF('產銷總表 '!$A$6:$A$118,$A21,'產銷總表 '!$U$6:$U$118)</f>
        <v>0</v>
      </c>
      <c r="H21" s="623">
        <f t="shared" si="5"/>
        <v>0</v>
      </c>
      <c r="I21" s="623">
        <f>+SUMIF('產銷總表 '!$A$6:$A$118,$A21,'產銷總表 '!$X$6:$X$118)</f>
        <v>0</v>
      </c>
      <c r="J21" s="623">
        <f t="shared" si="6"/>
        <v>0</v>
      </c>
      <c r="K21" s="623">
        <f>+SUMIF('產銷總表 '!$A$6:$A$118,$A21,'產銷總表 '!$AA$6:$AA$118)</f>
        <v>0</v>
      </c>
      <c r="L21" s="623">
        <f t="shared" si="7"/>
        <v>0</v>
      </c>
    </row>
    <row r="22" spans="1:12" ht="18" customHeight="1" x14ac:dyDescent="0.25">
      <c r="A22" s="620" t="str">
        <f>'產銷總表 '!$A$22</f>
        <v>NMP-E1</v>
      </c>
      <c r="B22" s="621" t="s">
        <v>133</v>
      </c>
      <c r="C22" s="622">
        <v>1.5</v>
      </c>
      <c r="D22" s="788">
        <v>1</v>
      </c>
      <c r="E22" s="623">
        <f>+SUMIF('產銷總表 '!$A$6:$A$118,$A22,'產銷總表 '!$R$6:$R$118)</f>
        <v>0</v>
      </c>
      <c r="F22" s="623">
        <f t="shared" si="4"/>
        <v>0</v>
      </c>
      <c r="G22" s="623">
        <f>+SUMIF('產銷總表 '!$A$6:$A$118,$A22,'產銷總表 '!$U$6:$U$118)</f>
        <v>0</v>
      </c>
      <c r="H22" s="623">
        <f t="shared" si="5"/>
        <v>0</v>
      </c>
      <c r="I22" s="623">
        <f>+SUMIF('產銷總表 '!$A$6:$A$118,$A22,'產銷總表 '!$X$6:$X$118)</f>
        <v>0</v>
      </c>
      <c r="J22" s="623">
        <f t="shared" si="6"/>
        <v>0</v>
      </c>
      <c r="K22" s="623">
        <f>+SUMIF('產銷總表 '!$A$6:$A$118,$A22,'產銷總表 '!$AA$6:$AA$118)</f>
        <v>0</v>
      </c>
      <c r="L22" s="623">
        <f t="shared" si="7"/>
        <v>0</v>
      </c>
    </row>
    <row r="23" spans="1:12" ht="18" customHeight="1" x14ac:dyDescent="0.25">
      <c r="A23" s="620" t="str">
        <f>'產銷總表 '!$A$23</f>
        <v>CPNE3(T)</v>
      </c>
      <c r="B23" s="621" t="s">
        <v>67</v>
      </c>
      <c r="C23" s="786">
        <v>1.1000000000000001</v>
      </c>
      <c r="D23" s="788">
        <v>1</v>
      </c>
      <c r="E23" s="623">
        <f>+SUMIF('產銷總表 '!$A$6:$A$118,$A23,'產銷總表 '!$R$6:$R$118)</f>
        <v>36</v>
      </c>
      <c r="F23" s="623">
        <f t="shared" si="4"/>
        <v>40</v>
      </c>
      <c r="G23" s="623">
        <f>+SUMIF('產銷總表 '!$A$6:$A$118,$A23,'產銷總表 '!$U$6:$U$118)</f>
        <v>300</v>
      </c>
      <c r="H23" s="623">
        <f>+ROUND($C23*$D23*$G23,0)</f>
        <v>330</v>
      </c>
      <c r="I23" s="623">
        <f>+SUMIF('產銷總表 '!$A$6:$A$118,$A23,'產銷總表 '!$X$6:$X$118)</f>
        <v>450</v>
      </c>
      <c r="J23" s="623">
        <f t="shared" si="6"/>
        <v>495</v>
      </c>
      <c r="K23" s="623">
        <f>+SUMIF('產銷總表 '!$A$6:$A$118,$A23,'產銷總表 '!$AA$6:$AA$118)</f>
        <v>530</v>
      </c>
      <c r="L23" s="623">
        <f t="shared" si="7"/>
        <v>583</v>
      </c>
    </row>
    <row r="24" spans="1:12" ht="18" customHeight="1" x14ac:dyDescent="0.25">
      <c r="A24" s="620" t="str">
        <f>'產銷總表 '!$A$24</f>
        <v>CPNE3</v>
      </c>
      <c r="B24" s="621" t="s">
        <v>232</v>
      </c>
      <c r="C24" s="786">
        <v>1.1299999999999999</v>
      </c>
      <c r="D24" s="788">
        <v>1</v>
      </c>
      <c r="E24" s="623">
        <f>+SUMIF('產銷總表 '!$A$6:$A$118,$A24,'產銷總表 '!$R$6:$R$118)</f>
        <v>135</v>
      </c>
      <c r="F24" s="623">
        <f t="shared" si="4"/>
        <v>153</v>
      </c>
      <c r="G24" s="623">
        <f>+SUMIF('產銷總表 '!$A$6:$A$118,$A24,'產銷總表 '!$U$6:$U$118)</f>
        <v>565</v>
      </c>
      <c r="H24" s="623">
        <f>+ROUND($C24*$D24*$G24,0)</f>
        <v>638</v>
      </c>
      <c r="I24" s="623">
        <f>+SUMIF('產銷總表 '!$A$6:$A$118,$A24,'產銷總表 '!$X$6:$X$118)</f>
        <v>607.5</v>
      </c>
      <c r="J24" s="623">
        <f t="shared" si="6"/>
        <v>686</v>
      </c>
      <c r="K24" s="623">
        <f>+SUMIF('產銷總表 '!$A$6:$A$118,$A24,'產銷總表 '!$AA$6:$AA$118)</f>
        <v>520</v>
      </c>
      <c r="L24" s="623">
        <f t="shared" si="7"/>
        <v>588</v>
      </c>
    </row>
    <row r="25" spans="1:12" ht="18" customHeight="1" x14ac:dyDescent="0.25">
      <c r="A25" s="620" t="str">
        <f>'產銷總表 '!$A$25</f>
        <v>CPNE3-R</v>
      </c>
      <c r="B25" s="621" t="s">
        <v>154</v>
      </c>
      <c r="C25" s="622">
        <v>1.23</v>
      </c>
      <c r="D25" s="788">
        <v>1</v>
      </c>
      <c r="E25" s="623">
        <f>+SUMIF('產銷總表 '!$A$6:$A$118,$A25,'產銷總表 '!$R$6:$R$118)</f>
        <v>0</v>
      </c>
      <c r="F25" s="623">
        <f t="shared" si="4"/>
        <v>0</v>
      </c>
      <c r="G25" s="623">
        <f>+SUMIF('產銷總表 '!$A$6:$A$118,$A25,'產銷總表 '!$U$6:$U$118)</f>
        <v>620</v>
      </c>
      <c r="H25" s="623">
        <f t="shared" si="5"/>
        <v>763</v>
      </c>
      <c r="I25" s="623">
        <f>+SUMIF('產銷總表 '!$A$6:$A$118,$A25,'產銷總表 '!$X$6:$X$118)</f>
        <v>700</v>
      </c>
      <c r="J25" s="623">
        <f t="shared" si="6"/>
        <v>861</v>
      </c>
      <c r="K25" s="623">
        <f>+SUMIF('產銷總表 '!$A$6:$A$118,$A25,'產銷總表 '!$AA$6:$AA$118)</f>
        <v>700</v>
      </c>
      <c r="L25" s="623">
        <f t="shared" si="7"/>
        <v>861</v>
      </c>
    </row>
    <row r="26" spans="1:12" ht="18" customHeight="1" x14ac:dyDescent="0.25">
      <c r="A26" s="620" t="str">
        <f>'產銷總表 '!$A$26</f>
        <v>2SEP05(E2)</v>
      </c>
      <c r="B26" s="621" t="s">
        <v>233</v>
      </c>
      <c r="C26" s="622">
        <v>1.1000000000000001</v>
      </c>
      <c r="D26" s="788">
        <v>1</v>
      </c>
      <c r="E26" s="623">
        <f>+SUMIF('產銷總表 '!$A$6:$A$118,$A26,'產銷總表 '!$R$6:$R$118)</f>
        <v>0</v>
      </c>
      <c r="F26" s="629">
        <f t="shared" si="4"/>
        <v>0</v>
      </c>
      <c r="G26" s="621">
        <f>+SUMIF('產銷總表 '!$A$6:$A$118,$A26,'產銷總表 '!$U$6:$U$118)</f>
        <v>0</v>
      </c>
      <c r="H26" s="629">
        <f t="shared" si="5"/>
        <v>0</v>
      </c>
      <c r="I26" s="621">
        <f>+SUMIF('產銷總表 '!$A$6:$A$118,$A26,'產銷總表 '!$X$6:$X$118)</f>
        <v>0</v>
      </c>
      <c r="J26" s="629">
        <f t="shared" si="6"/>
        <v>0</v>
      </c>
      <c r="K26" s="621">
        <f>+SUMIF('產銷總表 '!$A$6:$A$118,$A26,'產銷總表 '!$AA$6:$AA$118)</f>
        <v>0</v>
      </c>
      <c r="L26" s="629">
        <f t="shared" si="7"/>
        <v>0</v>
      </c>
    </row>
    <row r="27" spans="1:12" ht="18" customHeight="1" x14ac:dyDescent="0.25">
      <c r="A27" s="620" t="str">
        <f>'產銷總表 '!$A$27</f>
        <v>2DPM-1</v>
      </c>
      <c r="B27" s="621" t="s">
        <v>234</v>
      </c>
      <c r="C27" s="622">
        <v>1.2</v>
      </c>
      <c r="D27" s="788">
        <v>1</v>
      </c>
      <c r="E27" s="623">
        <f>+SUMIF('產銷總表 '!$A$6:$A$118,$A27,'產銷總表 '!$R$6:$R$118)</f>
        <v>0</v>
      </c>
      <c r="F27" s="629">
        <f t="shared" si="4"/>
        <v>0</v>
      </c>
      <c r="G27" s="621">
        <f>+SUMIF('產銷總表 '!$A$6:$A$118,$A27,'產銷總表 '!$U$6:$U$118)</f>
        <v>0</v>
      </c>
      <c r="H27" s="629">
        <f t="shared" si="5"/>
        <v>0</v>
      </c>
      <c r="I27" s="621">
        <f>+SUMIF('產銷總表 '!$A$6:$A$118,$A27,'產銷總表 '!$X$6:$X$118)</f>
        <v>0</v>
      </c>
      <c r="J27" s="629">
        <f t="shared" si="6"/>
        <v>0</v>
      </c>
      <c r="K27" s="621">
        <f>+SUMIF('產銷總表 '!$A$6:$A$118,$A27,'產銷總表 '!$AA$6:$AA$118)</f>
        <v>0</v>
      </c>
      <c r="L27" s="629">
        <f t="shared" si="7"/>
        <v>0</v>
      </c>
    </row>
    <row r="28" spans="1:12" ht="18" customHeight="1" x14ac:dyDescent="0.25">
      <c r="A28" s="620" t="str">
        <f>'產銷總表 '!$A$29</f>
        <v>EBRUPS</v>
      </c>
      <c r="B28" s="621" t="s">
        <v>235</v>
      </c>
      <c r="C28" s="786">
        <f>1/0.9</f>
        <v>1.1111111111111112</v>
      </c>
      <c r="D28" s="788">
        <v>1</v>
      </c>
      <c r="E28" s="623">
        <f>+SUMIF('產銷總表 '!$A$6:$A$118,$A28,'產銷總表 '!$R$6:$R$118)</f>
        <v>0</v>
      </c>
      <c r="F28" s="629">
        <f t="shared" si="4"/>
        <v>0</v>
      </c>
      <c r="G28" s="621">
        <f>+SUMIF('產銷總表 '!$A$6:$A$118,$A28,'產銷總表 '!$U$6:$U$118)</f>
        <v>0</v>
      </c>
      <c r="H28" s="629">
        <f t="shared" si="5"/>
        <v>0</v>
      </c>
      <c r="I28" s="621">
        <f>+SUMIF('產銷總表 '!$A$6:$A$118,$A28,'產銷總表 '!$X$6:$X$118)</f>
        <v>0</v>
      </c>
      <c r="J28" s="629">
        <f t="shared" si="6"/>
        <v>0</v>
      </c>
      <c r="K28" s="621">
        <f>+SUMIF('產銷總表 '!$A$6:$A$118,$A28,'產銷總表 '!$AA$6:$AA$118)</f>
        <v>0</v>
      </c>
      <c r="L28" s="629">
        <f t="shared" si="7"/>
        <v>0</v>
      </c>
    </row>
    <row r="29" spans="1:12" ht="18" customHeight="1" x14ac:dyDescent="0.25">
      <c r="A29" s="620" t="str">
        <f>'產銷總表 '!$A$30</f>
        <v>NMP-3</v>
      </c>
      <c r="B29" s="621" t="s">
        <v>236</v>
      </c>
      <c r="C29" s="786">
        <f>1/0.922681616444756</f>
        <v>1.0837974683544302</v>
      </c>
      <c r="D29" s="788">
        <v>1</v>
      </c>
      <c r="E29" s="623">
        <f>+SUMIF('產銷總表 '!$A$6:$A$118,$A29,'產銷總表 '!$R$6:$R$118)</f>
        <v>0</v>
      </c>
      <c r="F29" s="629">
        <f t="shared" si="4"/>
        <v>0</v>
      </c>
      <c r="G29" s="621">
        <f>+SUMIF('產銷總表 '!$A$6:$A$118,$A29,'產銷總表 '!$U$6:$U$118)</f>
        <v>0</v>
      </c>
      <c r="H29" s="629">
        <f t="shared" si="5"/>
        <v>0</v>
      </c>
      <c r="I29" s="621">
        <f>+SUMIF('產銷總表 '!$A$6:$A$118,$A29,'產銷總表 '!$X$6:$X$118)</f>
        <v>0</v>
      </c>
      <c r="J29" s="629">
        <f t="shared" si="6"/>
        <v>0</v>
      </c>
      <c r="K29" s="621">
        <f>+SUMIF('產銷總表 '!$A$6:$A$118,$A29,'產銷總表 '!$AA$6:$AA$118)</f>
        <v>0</v>
      </c>
      <c r="L29" s="629">
        <f t="shared" si="7"/>
        <v>0</v>
      </c>
    </row>
    <row r="30" spans="1:12" ht="18" customHeight="1" x14ac:dyDescent="0.25">
      <c r="A30" s="620" t="str">
        <f>'產銷總表 '!$A$32</f>
        <v>2IPA</v>
      </c>
      <c r="B30" s="621" t="s">
        <v>237</v>
      </c>
      <c r="C30" s="786">
        <f>1/0.979072433045343</f>
        <v>1.0213748914261258</v>
      </c>
      <c r="D30" s="788">
        <v>1</v>
      </c>
      <c r="E30" s="623">
        <f>+SUMIF('產銷總表 '!$A$6:$A$118,$A30,'產銷總表 '!$R$6:$R$118)</f>
        <v>0</v>
      </c>
      <c r="F30" s="629">
        <f t="shared" si="4"/>
        <v>0</v>
      </c>
      <c r="G30" s="621">
        <f>+SUMIF('產銷總表 '!$A$6:$A$118,$A30,'產銷總表 '!$U$6:$U$118)</f>
        <v>0</v>
      </c>
      <c r="H30" s="629">
        <f t="shared" si="5"/>
        <v>0</v>
      </c>
      <c r="I30" s="621">
        <f>+SUMIF('產銷總表 '!$A$6:$A$118,$A30,'產銷總表 '!$X$6:$X$118)</f>
        <v>0</v>
      </c>
      <c r="J30" s="629">
        <f t="shared" si="6"/>
        <v>0</v>
      </c>
      <c r="K30" s="621">
        <f>+SUMIF('產銷總表 '!$A$6:$A$118,$A30,'產銷總表 '!$AA$6:$AA$118)</f>
        <v>0</v>
      </c>
      <c r="L30" s="629">
        <f t="shared" si="7"/>
        <v>0</v>
      </c>
    </row>
    <row r="31" spans="1:12" ht="18" customHeight="1" x14ac:dyDescent="0.25">
      <c r="A31" s="620" t="str">
        <f>'產銷總表 '!$A$33</f>
        <v>2EG</v>
      </c>
      <c r="B31" s="621" t="s">
        <v>238</v>
      </c>
      <c r="C31" s="786">
        <f>1/0.9455637465407</f>
        <v>1.0575701571242049</v>
      </c>
      <c r="D31" s="788">
        <v>1</v>
      </c>
      <c r="E31" s="623">
        <f>+SUMIF('產銷總表 '!$A$6:$A$118,$A31,'產銷總表 '!$R$6:$R$118)</f>
        <v>0</v>
      </c>
      <c r="F31" s="629">
        <f t="shared" si="4"/>
        <v>0</v>
      </c>
      <c r="G31" s="621">
        <f>+SUMIF('產銷總表 '!$A$6:$A$118,$A31,'產銷總表 '!$U$6:$U$118)</f>
        <v>35</v>
      </c>
      <c r="H31" s="629">
        <f t="shared" si="5"/>
        <v>37</v>
      </c>
      <c r="I31" s="621">
        <f>+SUMIF('產銷總表 '!$A$6:$A$118,$A31,'產銷總表 '!$X$6:$X$118)</f>
        <v>0</v>
      </c>
      <c r="J31" s="629">
        <f t="shared" si="6"/>
        <v>0</v>
      </c>
      <c r="K31" s="621">
        <f>+SUMIF('產銷總表 '!$A$6:$A$118,$A31,'產銷總表 '!$AA$6:$AA$118)</f>
        <v>0</v>
      </c>
      <c r="L31" s="629">
        <f t="shared" si="7"/>
        <v>0</v>
      </c>
    </row>
    <row r="32" spans="1:12" ht="18" customHeight="1" x14ac:dyDescent="0.25">
      <c r="A32" s="620" t="str">
        <f>'產銷總表 '!$A$34</f>
        <v>2CPN</v>
      </c>
      <c r="B32" s="621" t="s">
        <v>239</v>
      </c>
      <c r="C32" s="622">
        <v>1.1000000000000001</v>
      </c>
      <c r="D32" s="788">
        <v>1</v>
      </c>
      <c r="E32" s="623">
        <f>+SUMIF('產銷總表 '!$A$6:$A$118,$A32,'產銷總表 '!$R$6:$R$118)</f>
        <v>0</v>
      </c>
      <c r="F32" s="629">
        <f t="shared" si="4"/>
        <v>0</v>
      </c>
      <c r="G32" s="621">
        <f>+SUMIF('產銷總表 '!$A$6:$A$118,$A32,'產銷總表 '!$U$6:$U$118)</f>
        <v>0</v>
      </c>
      <c r="H32" s="629">
        <f t="shared" si="5"/>
        <v>0</v>
      </c>
      <c r="I32" s="621">
        <f>+SUMIF('產銷總表 '!$A$6:$A$118,$A32,'產銷總表 '!$X$6:$X$118)</f>
        <v>0</v>
      </c>
      <c r="J32" s="629">
        <f t="shared" si="6"/>
        <v>0</v>
      </c>
      <c r="K32" s="621">
        <f>+SUMIF('產銷總表 '!$A$6:$A$118,$A32,'產銷總表 '!$AA$6:$AA$118)</f>
        <v>0</v>
      </c>
      <c r="L32" s="629">
        <f t="shared" si="7"/>
        <v>0</v>
      </c>
    </row>
    <row r="33" spans="1:12" ht="18" customHeight="1" x14ac:dyDescent="0.25">
      <c r="A33" s="620" t="str">
        <f>'產銷總表 '!$A$11</f>
        <v>IPAHQ</v>
      </c>
      <c r="B33" s="621" t="s">
        <v>223</v>
      </c>
      <c r="C33" s="786">
        <f>1/0.973752456199449</f>
        <v>1.0269550475928915</v>
      </c>
      <c r="D33" s="788">
        <v>1</v>
      </c>
      <c r="E33" s="623">
        <f>+SUMIF('產銷總表 '!$A$6:$A$118,$A33,'產銷總表 '!$R$6:$R$118)</f>
        <v>240</v>
      </c>
      <c r="F33" s="629">
        <f t="shared" si="4"/>
        <v>246</v>
      </c>
      <c r="G33" s="621">
        <f>+SUMIF('產銷總表 '!$A$6:$A$118,$A33,'產銷總表 '!$U$6:$U$118)</f>
        <v>960</v>
      </c>
      <c r="H33" s="629">
        <f t="shared" si="5"/>
        <v>986</v>
      </c>
      <c r="I33" s="621">
        <f>+SUMIF('產銷總表 '!$A$6:$A$118,$A33,'產銷總表 '!$X$6:$X$118)</f>
        <v>990</v>
      </c>
      <c r="J33" s="629">
        <f t="shared" si="6"/>
        <v>1017</v>
      </c>
      <c r="K33" s="621">
        <f>+SUMIF('產銷總表 '!$A$6:$A$118,$A33,'產銷總表 '!$AA$6:$AA$118)</f>
        <v>960</v>
      </c>
      <c r="L33" s="629">
        <f t="shared" si="7"/>
        <v>986</v>
      </c>
    </row>
    <row r="34" spans="1:12" ht="18" customHeight="1" x14ac:dyDescent="0.25">
      <c r="A34" s="620" t="s">
        <v>240</v>
      </c>
      <c r="B34" s="621" t="s">
        <v>115</v>
      </c>
      <c r="C34" s="786">
        <f>C8</f>
        <v>1.03044367362892</v>
      </c>
      <c r="D34" s="788">
        <v>1</v>
      </c>
      <c r="E34" s="623">
        <f>+SUMIF('產銷總表 '!$A$6:$A$118,$A34,'產銷總表 '!$R$6:$R$118)</f>
        <v>0</v>
      </c>
      <c r="F34" s="629">
        <f t="shared" si="4"/>
        <v>0</v>
      </c>
      <c r="G34" s="621">
        <f>+SUMIF('產銷總表 '!$A$6:$A$118,$A34,'產銷總表 '!$U$6:$U$118)</f>
        <v>0</v>
      </c>
      <c r="H34" s="629">
        <f t="shared" si="5"/>
        <v>0</v>
      </c>
      <c r="I34" s="621">
        <f>+SUMIF('產銷總表 '!$A$6:$A$118,$A34,'產銷總表 '!$X$6:$X$118)</f>
        <v>0</v>
      </c>
      <c r="J34" s="629">
        <f t="shared" si="6"/>
        <v>0</v>
      </c>
      <c r="K34" s="621">
        <f>+SUMIF('產銷總表 '!$A$6:$A$118,$A34,'產銷總表 '!$AA$6:$AA$118)</f>
        <v>0</v>
      </c>
      <c r="L34" s="629">
        <f t="shared" si="7"/>
        <v>0</v>
      </c>
    </row>
    <row r="35" spans="1:12" ht="18" customHeight="1" x14ac:dyDescent="0.25">
      <c r="A35" s="620" t="s">
        <v>241</v>
      </c>
      <c r="B35" s="621" t="s">
        <v>227</v>
      </c>
      <c r="C35" s="786">
        <f>C9</f>
        <v>1.0313397498907602</v>
      </c>
      <c r="D35" s="788">
        <v>1</v>
      </c>
      <c r="E35" s="623">
        <f>+SUMIF('產銷總表 '!$A$6:$A$118,$A35,'產銷總表 '!$R$6:$R$118)</f>
        <v>0</v>
      </c>
      <c r="F35" s="629">
        <f t="shared" si="4"/>
        <v>0</v>
      </c>
      <c r="G35" s="621">
        <f>+SUMIF('產銷總表 '!$A$6:$A$118,$A35,'產銷總表 '!$U$6:$U$118)</f>
        <v>0</v>
      </c>
      <c r="H35" s="629">
        <f t="shared" si="5"/>
        <v>0</v>
      </c>
      <c r="I35" s="621">
        <f>+SUMIF('產銷總表 '!$A$6:$A$118,$A35,'產銷總表 '!$X$6:$X$118)</f>
        <v>0</v>
      </c>
      <c r="J35" s="629">
        <f t="shared" si="6"/>
        <v>0</v>
      </c>
      <c r="K35" s="621">
        <f>+SUMIF('產銷總表 '!$A$6:$A$118,$A35,'產銷總表 '!$AA$6:$AA$118)</f>
        <v>0</v>
      </c>
      <c r="L35" s="629">
        <f t="shared" si="7"/>
        <v>0</v>
      </c>
    </row>
    <row r="36" spans="1:12" ht="18" customHeight="1" x14ac:dyDescent="0.25">
      <c r="A36" s="620" t="s">
        <v>44</v>
      </c>
      <c r="B36" s="621" t="s">
        <v>242</v>
      </c>
      <c r="C36" s="622">
        <f>1/0.970455761524833</f>
        <v>1.03044367362892</v>
      </c>
      <c r="D36" s="788">
        <v>1</v>
      </c>
      <c r="E36" s="623">
        <f>+SUMIF('產銷總表 '!$A$6:$A$118,$A36,'產銷總表 '!$R$6:$R$118)</f>
        <v>0</v>
      </c>
      <c r="F36" s="629">
        <f t="shared" si="4"/>
        <v>0</v>
      </c>
      <c r="G36" s="621">
        <f>+SUMIF('產銷總表 '!$A$6:$A$118,$A36,'產銷總表 '!$U$6:$U$118)</f>
        <v>0</v>
      </c>
      <c r="H36" s="629">
        <f t="shared" si="5"/>
        <v>0</v>
      </c>
      <c r="I36" s="621">
        <f>+SUMIF('產銷總表 '!$A$6:$A$118,$A36,'產銷總表 '!$X$6:$X$118)</f>
        <v>0</v>
      </c>
      <c r="J36" s="629">
        <f t="shared" si="6"/>
        <v>0</v>
      </c>
      <c r="K36" s="621">
        <f>+SUMIF('產銷總表 '!$A$6:$A$118,$A36,'產銷總表 '!$AA$6:$AA$118)</f>
        <v>0</v>
      </c>
      <c r="L36" s="629">
        <f t="shared" si="7"/>
        <v>0</v>
      </c>
    </row>
    <row r="37" spans="1:12" ht="18" customHeight="1" x14ac:dyDescent="0.25">
      <c r="A37" s="620">
        <f>'產銷總表 '!$A38</f>
        <v>0</v>
      </c>
      <c r="B37" s="621"/>
      <c r="C37" s="622"/>
      <c r="D37" s="788"/>
      <c r="E37" s="623">
        <f>+SUMIF('產銷總表 '!$A$6:$A$118,$A37,'產銷總表 '!$R$6:$R$118)</f>
        <v>0</v>
      </c>
      <c r="F37" s="629">
        <f t="shared" si="4"/>
        <v>0</v>
      </c>
      <c r="G37" s="621">
        <f>+SUMIF('產銷總表 '!$A$6:$A$118,$A37,'產銷總表 '!$U$6:$U$118)</f>
        <v>0</v>
      </c>
      <c r="H37" s="629">
        <f t="shared" si="5"/>
        <v>0</v>
      </c>
      <c r="I37" s="621">
        <f>+SUMIF('產銷總表 '!$A$6:$A$118,$A37,'產銷總表 '!$X$6:$X$118)</f>
        <v>0</v>
      </c>
      <c r="J37" s="629">
        <f t="shared" si="6"/>
        <v>0</v>
      </c>
      <c r="K37" s="621">
        <f>+SUMIF('產銷總表 '!$A$6:$A$118,$A37,'產銷總表 '!$AA$6:$AA$118)</f>
        <v>0</v>
      </c>
      <c r="L37" s="629">
        <f t="shared" si="7"/>
        <v>0</v>
      </c>
    </row>
    <row r="38" spans="1:12" ht="18" customHeight="1" x14ac:dyDescent="0.25">
      <c r="A38" s="620">
        <f>'產銷總表 '!$A39</f>
        <v>0</v>
      </c>
      <c r="B38" s="621"/>
      <c r="C38" s="622"/>
      <c r="D38" s="788"/>
      <c r="E38" s="623">
        <f>+SUMIF('產銷總表 '!$A$6:$A$118,$A38,'產銷總表 '!$R$6:$R$118)</f>
        <v>0</v>
      </c>
      <c r="F38" s="629">
        <f t="shared" si="4"/>
        <v>0</v>
      </c>
      <c r="G38" s="621">
        <f>+SUMIF('產銷總表 '!$A$6:$A$118,$A38,'產銷總表 '!$U$6:$U$118)</f>
        <v>0</v>
      </c>
      <c r="H38" s="629">
        <f t="shared" si="5"/>
        <v>0</v>
      </c>
      <c r="I38" s="621">
        <f>+SUMIF('產銷總表 '!$A$6:$A$118,$A38,'產銷總表 '!$X$6:$X$118)</f>
        <v>0</v>
      </c>
      <c r="J38" s="629">
        <f t="shared" si="6"/>
        <v>0</v>
      </c>
      <c r="K38" s="621">
        <f>+SUMIF('產銷總表 '!$A$6:$A$118,$A38,'產銷總表 '!$AA$6:$AA$118)</f>
        <v>0</v>
      </c>
      <c r="L38" s="629">
        <f t="shared" si="7"/>
        <v>0</v>
      </c>
    </row>
    <row r="39" spans="1:12" ht="18" customHeight="1" x14ac:dyDescent="0.25">
      <c r="A39" s="620">
        <f>'產銷總表 '!$A40</f>
        <v>0</v>
      </c>
      <c r="B39" s="621"/>
      <c r="C39" s="622"/>
      <c r="D39" s="788"/>
      <c r="E39" s="623">
        <f>+SUMIF('產銷總表 '!$A$6:$A$118,$A39,'產銷總表 '!$R$6:$R$118)</f>
        <v>0</v>
      </c>
      <c r="F39" s="629">
        <f t="shared" si="4"/>
        <v>0</v>
      </c>
      <c r="G39" s="621">
        <f>+SUMIF('產銷總表 '!$A$6:$A$118,$A39,'產銷總表 '!$U$6:$U$118)</f>
        <v>0</v>
      </c>
      <c r="H39" s="629">
        <f t="shared" si="5"/>
        <v>0</v>
      </c>
      <c r="I39" s="621">
        <f>+SUMIF('產銷總表 '!$A$6:$A$118,$A39,'產銷總表 '!$X$6:$X$118)</f>
        <v>0</v>
      </c>
      <c r="J39" s="629">
        <f t="shared" si="6"/>
        <v>0</v>
      </c>
      <c r="K39" s="621">
        <f>+SUMIF('產銷總表 '!$A$6:$A$118,$A39,'產銷總表 '!$AA$6:$AA$118)</f>
        <v>0</v>
      </c>
      <c r="L39" s="629">
        <f t="shared" si="7"/>
        <v>0</v>
      </c>
    </row>
    <row r="40" spans="1:12" ht="18" customHeight="1" x14ac:dyDescent="0.25">
      <c r="A40" s="620">
        <f>'產銷總表 '!$A41</f>
        <v>0</v>
      </c>
      <c r="B40" s="621"/>
      <c r="C40" s="622"/>
      <c r="D40" s="788"/>
      <c r="E40" s="623">
        <f>+SUMIF('產銷總表 '!$A$6:$A$118,$A40,'產銷總表 '!$R$6:$R$118)</f>
        <v>0</v>
      </c>
      <c r="F40" s="629">
        <f t="shared" si="4"/>
        <v>0</v>
      </c>
      <c r="G40" s="621">
        <f>+SUMIF('產銷總表 '!$A$6:$A$118,$A40,'產銷總表 '!$U$6:$U$118)</f>
        <v>0</v>
      </c>
      <c r="H40" s="629">
        <f t="shared" si="5"/>
        <v>0</v>
      </c>
      <c r="I40" s="621">
        <f>+SUMIF('產銷總表 '!$A$6:$A$118,$A40,'產銷總表 '!$X$6:$X$118)</f>
        <v>0</v>
      </c>
      <c r="J40" s="629">
        <f t="shared" si="6"/>
        <v>0</v>
      </c>
      <c r="K40" s="621">
        <f>+SUMIF('產銷總表 '!$A$6:$A$118,$A40,'產銷總表 '!$AA$6:$AA$118)</f>
        <v>0</v>
      </c>
      <c r="L40" s="629">
        <f t="shared" si="7"/>
        <v>0</v>
      </c>
    </row>
    <row r="41" spans="1:12" ht="18" customHeight="1" x14ac:dyDescent="0.25">
      <c r="A41" s="620">
        <f>'產銷總表 '!$A42</f>
        <v>0</v>
      </c>
      <c r="B41" s="621"/>
      <c r="C41" s="622"/>
      <c r="D41" s="788"/>
      <c r="E41" s="623">
        <f>+SUMIF('產銷總表 '!$A$6:$A$118,$A41,'產銷總表 '!$R$6:$R$118)</f>
        <v>0</v>
      </c>
      <c r="F41" s="629">
        <f t="shared" si="4"/>
        <v>0</v>
      </c>
      <c r="G41" s="621">
        <f>+SUMIF('產銷總表 '!$A$6:$A$118,$A41,'產銷總表 '!$U$6:$U$118)</f>
        <v>0</v>
      </c>
      <c r="H41" s="629">
        <f t="shared" si="5"/>
        <v>0</v>
      </c>
      <c r="I41" s="621">
        <f>+SUMIF('產銷總表 '!$A$6:$A$118,$A41,'產銷總表 '!$X$6:$X$118)</f>
        <v>0</v>
      </c>
      <c r="J41" s="629">
        <f t="shared" si="6"/>
        <v>0</v>
      </c>
      <c r="K41" s="621">
        <f>+SUMIF('產銷總表 '!$A$6:$A$118,$A41,'產銷總表 '!$AA$6:$AA$118)</f>
        <v>0</v>
      </c>
      <c r="L41" s="629">
        <f t="shared" si="7"/>
        <v>0</v>
      </c>
    </row>
    <row r="42" spans="1:12" ht="18" customHeight="1" x14ac:dyDescent="0.25">
      <c r="A42" s="620">
        <f>'產銷總表 '!$A43</f>
        <v>0</v>
      </c>
      <c r="B42" s="621"/>
      <c r="C42" s="622"/>
      <c r="D42" s="788"/>
      <c r="E42" s="623">
        <f>+SUMIF('產銷總表 '!$A$6:$A$118,$A42,'產銷總表 '!$R$6:$R$118)</f>
        <v>0</v>
      </c>
      <c r="F42" s="629">
        <f t="shared" si="4"/>
        <v>0</v>
      </c>
      <c r="G42" s="621">
        <f>+SUMIF('產銷總表 '!$A$6:$A$118,$A42,'產銷總表 '!$U$6:$U$118)</f>
        <v>0</v>
      </c>
      <c r="H42" s="629">
        <f t="shared" si="5"/>
        <v>0</v>
      </c>
      <c r="I42" s="621">
        <f>+SUMIF('產銷總表 '!$A$6:$A$118,$A42,'產銷總表 '!$X$6:$X$118)</f>
        <v>0</v>
      </c>
      <c r="J42" s="629">
        <f t="shared" si="6"/>
        <v>0</v>
      </c>
      <c r="K42" s="621">
        <f>+SUMIF('產銷總表 '!$A$6:$A$118,$A42,'產銷總表 '!$AA$6:$AA$118)</f>
        <v>0</v>
      </c>
      <c r="L42" s="629">
        <f t="shared" si="7"/>
        <v>0</v>
      </c>
    </row>
    <row r="43" spans="1:12" ht="18" customHeight="1" x14ac:dyDescent="0.25">
      <c r="A43" s="620">
        <f>'產銷總表 '!$A44</f>
        <v>0</v>
      </c>
      <c r="B43" s="621"/>
      <c r="C43" s="622"/>
      <c r="D43" s="788"/>
      <c r="E43" s="623">
        <f>+SUMIF('產銷總表 '!$A$6:$A$118,$A43,'產銷總表 '!$R$6:$R$118)</f>
        <v>0</v>
      </c>
      <c r="F43" s="629">
        <f t="shared" si="4"/>
        <v>0</v>
      </c>
      <c r="G43" s="621">
        <f>+SUMIF('產銷總表 '!$A$6:$A$118,$A43,'產銷總表 '!$U$6:$U$118)</f>
        <v>0</v>
      </c>
      <c r="H43" s="629">
        <f t="shared" si="5"/>
        <v>0</v>
      </c>
      <c r="I43" s="621">
        <f>+SUMIF('產銷總表 '!$A$6:$A$118,$A43,'產銷總表 '!$X$6:$X$118)</f>
        <v>0</v>
      </c>
      <c r="J43" s="629">
        <f t="shared" si="6"/>
        <v>0</v>
      </c>
      <c r="K43" s="621">
        <f>+SUMIF('產銷總表 '!$A$6:$A$118,$A43,'產銷總表 '!$AA$6:$AA$118)</f>
        <v>0</v>
      </c>
      <c r="L43" s="629">
        <f t="shared" si="7"/>
        <v>0</v>
      </c>
    </row>
    <row r="44" spans="1:12" ht="18" customHeight="1" x14ac:dyDescent="0.25">
      <c r="A44" s="630" t="str">
        <f>'產銷總表 '!$A$45</f>
        <v>EBR-P1</v>
      </c>
      <c r="B44" s="621" t="s">
        <v>170</v>
      </c>
      <c r="C44" s="786">
        <f>1/0.943226289687267</f>
        <v>1.060190975308329</v>
      </c>
      <c r="D44" s="788">
        <v>1</v>
      </c>
      <c r="E44" s="623">
        <f>+SUMIF('產銷總表 '!$A$6:$A$118,$A44,'產銷總表 '!$R$6:$R$118)</f>
        <v>350</v>
      </c>
      <c r="F44" s="629">
        <f t="shared" si="4"/>
        <v>371</v>
      </c>
      <c r="G44" s="621">
        <f>+SUMIF('產銷總表 '!$A$6:$A$118,$A44,'產銷總表 '!$U$6:$U$118)</f>
        <v>1500</v>
      </c>
      <c r="H44" s="629">
        <f t="shared" si="5"/>
        <v>1590</v>
      </c>
      <c r="I44" s="621">
        <f>+SUMIF('產銷總表 '!$A$6:$A$118,$A44,'產銷總表 '!$X$6:$X$118)</f>
        <v>1500</v>
      </c>
      <c r="J44" s="629">
        <f t="shared" si="6"/>
        <v>1590</v>
      </c>
      <c r="K44" s="621">
        <f>+SUMIF('產銷總表 '!$A$6:$A$118,$A44,'產銷總表 '!$AA$6:$AA$118)</f>
        <v>1500</v>
      </c>
      <c r="L44" s="629">
        <f t="shared" si="7"/>
        <v>1590</v>
      </c>
    </row>
    <row r="45" spans="1:12" ht="18" customHeight="1" x14ac:dyDescent="0.25">
      <c r="A45" s="630" t="str">
        <f>'產銷總表 '!$A$46</f>
        <v>CPN-P1</v>
      </c>
      <c r="B45" s="621" t="s">
        <v>182</v>
      </c>
      <c r="C45" s="786">
        <f>1/0.86</f>
        <v>1.1627906976744187</v>
      </c>
      <c r="D45" s="788">
        <v>1</v>
      </c>
      <c r="E45" s="623">
        <f>+SUMIF('產銷總表 '!$A$6:$A$118,$A45,'產銷總表 '!$R$6:$R$118)</f>
        <v>160</v>
      </c>
      <c r="F45" s="629">
        <f t="shared" si="4"/>
        <v>186</v>
      </c>
      <c r="G45" s="621">
        <f>+SUMIF('產銷總表 '!$A$6:$A$118,$A45,'產銷總表 '!$U$6:$U$118)</f>
        <v>350</v>
      </c>
      <c r="H45" s="629">
        <f t="shared" si="5"/>
        <v>407</v>
      </c>
      <c r="I45" s="621">
        <f>+SUMIF('產銷總表 '!$A$6:$A$118,$A45,'產銷總表 '!$X$6:$X$118)</f>
        <v>340</v>
      </c>
      <c r="J45" s="629">
        <f t="shared" si="6"/>
        <v>395</v>
      </c>
      <c r="K45" s="621">
        <f>+SUMIF('產銷總表 '!$A$6:$A$118,$A45,'產銷總表 '!$AA$6:$AA$118)</f>
        <v>340</v>
      </c>
      <c r="L45" s="629">
        <f t="shared" si="7"/>
        <v>395</v>
      </c>
    </row>
    <row r="46" spans="1:12" ht="18" customHeight="1" x14ac:dyDescent="0.25">
      <c r="A46" s="631" t="str">
        <f>'產銷總表 '!$A$47</f>
        <v>EBR-P2</v>
      </c>
      <c r="B46" s="621" t="s">
        <v>170</v>
      </c>
      <c r="C46" s="622">
        <v>1.1499999999999999</v>
      </c>
      <c r="D46" s="788">
        <v>1</v>
      </c>
      <c r="E46" s="623">
        <f>+SUMIF('產銷總表 '!$A$6:$A$118,$A46,'產銷總表 '!$R$6:$R$118)</f>
        <v>0</v>
      </c>
      <c r="F46" s="629">
        <f t="shared" si="4"/>
        <v>0</v>
      </c>
      <c r="G46" s="621">
        <f>+SUMIF('產銷總表 '!$A$6:$A$118,$A46,'產銷總表 '!$U$6:$U$118)</f>
        <v>0</v>
      </c>
      <c r="H46" s="629">
        <f t="shared" si="5"/>
        <v>0</v>
      </c>
      <c r="I46" s="621">
        <f>+SUMIF('產銷總表 '!$A$6:$A$118,$A46,'產銷總表 '!$X$6:$X$118)</f>
        <v>0</v>
      </c>
      <c r="J46" s="629">
        <f t="shared" si="6"/>
        <v>0</v>
      </c>
      <c r="K46" s="621">
        <f>+SUMIF('產銷總表 '!$A$6:$A$118,$A46,'產銷總表 '!$AA$6:$AA$118)</f>
        <v>0</v>
      </c>
      <c r="L46" s="629">
        <f t="shared" si="7"/>
        <v>0</v>
      </c>
    </row>
    <row r="47" spans="1:12" ht="18" customHeight="1" x14ac:dyDescent="0.25">
      <c r="A47" s="631" t="str">
        <f>'產銷總表 '!$A$48</f>
        <v>EBR95</v>
      </c>
      <c r="B47" s="632" t="s">
        <v>176</v>
      </c>
      <c r="C47" s="786">
        <f>1/0.900678200692042</f>
        <v>1.1102744567722895</v>
      </c>
      <c r="D47" s="788">
        <v>1</v>
      </c>
      <c r="E47" s="623">
        <f>+SUMIF('產銷總表 '!$A$6:$A$118,$A47,'產銷總表 '!$R$6:$R$118)</f>
        <v>0</v>
      </c>
      <c r="F47" s="629">
        <f t="shared" si="4"/>
        <v>0</v>
      </c>
      <c r="G47" s="621">
        <f>+SUMIF('產銷總表 '!$A$6:$A$118,$A47,'產銷總表 '!$U$6:$U$118)</f>
        <v>0</v>
      </c>
      <c r="H47" s="629">
        <f t="shared" si="5"/>
        <v>0</v>
      </c>
      <c r="I47" s="621">
        <f>+SUMIF('產銷總表 '!$A$6:$A$118,$A47,'產銷總表 '!$X$6:$X$118)</f>
        <v>35</v>
      </c>
      <c r="J47" s="629">
        <f t="shared" si="6"/>
        <v>39</v>
      </c>
      <c r="K47" s="621">
        <f>+SUMIF('產銷總表 '!$A$6:$A$118,$A47,'產銷總表 '!$AA$6:$AA$118)</f>
        <v>0</v>
      </c>
      <c r="L47" s="629">
        <f t="shared" si="7"/>
        <v>0</v>
      </c>
    </row>
    <row r="48" spans="1:12" ht="18" customHeight="1" x14ac:dyDescent="0.25">
      <c r="A48" s="631" t="s">
        <v>162</v>
      </c>
      <c r="B48" s="621" t="s">
        <v>178</v>
      </c>
      <c r="C48" s="786">
        <f>1/0.899891933994625</f>
        <v>1.1112445419540486</v>
      </c>
      <c r="D48" s="788">
        <v>1</v>
      </c>
      <c r="E48" s="623">
        <f>+SUMIF('產銷總表 '!$A$6:$A$118,$A48,'產銷總表 '!$R$6:$R$118)</f>
        <v>0</v>
      </c>
      <c r="F48" s="629">
        <f t="shared" si="4"/>
        <v>0</v>
      </c>
      <c r="G48" s="621">
        <f>+SUMIF('產銷總表 '!$A$6:$A$118,$A48,'產銷總表 '!$U$6:$U$118)</f>
        <v>80</v>
      </c>
      <c r="H48" s="629">
        <f t="shared" si="5"/>
        <v>89</v>
      </c>
      <c r="I48" s="621">
        <f>+SUMIF('產銷總表 '!$A$6:$A$118,$A48,'產銷總表 '!$X$6:$X$118)</f>
        <v>0</v>
      </c>
      <c r="J48" s="629">
        <f t="shared" si="6"/>
        <v>0</v>
      </c>
      <c r="K48" s="621">
        <f>+SUMIF('產銷總表 '!$A$6:$A$118,$A48,'產銷總表 '!$AA$6:$AA$118)</f>
        <v>0</v>
      </c>
      <c r="L48" s="629">
        <f t="shared" si="7"/>
        <v>0</v>
      </c>
    </row>
    <row r="49" spans="1:12" ht="18" customHeight="1" x14ac:dyDescent="0.25">
      <c r="A49" s="631" t="str">
        <f>'產銷總表 '!$A$50</f>
        <v>DPM-B1</v>
      </c>
      <c r="B49" s="621" t="s">
        <v>178</v>
      </c>
      <c r="C49" s="786">
        <f>1/0.895336248800135</f>
        <v>1.1168988202366741</v>
      </c>
      <c r="D49" s="788">
        <v>1</v>
      </c>
      <c r="E49" s="623">
        <f>+SUMIF('產銷總表 '!$A$6:$A$118,$A49,'產銷總表 '!$R$6:$R$118)</f>
        <v>0</v>
      </c>
      <c r="F49" s="629">
        <f t="shared" si="4"/>
        <v>0</v>
      </c>
      <c r="G49" s="621">
        <f>+SUMIF('產銷總表 '!$A$6:$A$118,$A49,'產銷總表 '!$U$6:$U$118)</f>
        <v>0</v>
      </c>
      <c r="H49" s="629">
        <f t="shared" si="5"/>
        <v>0</v>
      </c>
      <c r="I49" s="621">
        <f>+SUMIF('產銷總表 '!$A$6:$A$118,$A49,'產銷總表 '!$X$6:$X$118)</f>
        <v>60</v>
      </c>
      <c r="J49" s="629">
        <f t="shared" si="6"/>
        <v>67</v>
      </c>
      <c r="K49" s="621">
        <f>+SUMIF('產銷總表 '!$A$6:$A$118,$A49,'產銷總表 '!$AA$6:$AA$118)</f>
        <v>0</v>
      </c>
      <c r="L49" s="629">
        <f t="shared" si="7"/>
        <v>0</v>
      </c>
    </row>
    <row r="50" spans="1:12" ht="18" customHeight="1" x14ac:dyDescent="0.25">
      <c r="A50" s="633" t="str">
        <f>'產銷總表 '!$A51</f>
        <v>EBR-P4</v>
      </c>
      <c r="B50" s="621" t="s">
        <v>170</v>
      </c>
      <c r="C50" s="622">
        <v>1.2</v>
      </c>
      <c r="D50" s="788">
        <v>1</v>
      </c>
      <c r="E50" s="623">
        <f>+SUMIF('產銷總表 '!$A$6:$A$118,$A50,'產銷總表 '!$R$6:$R$118)</f>
        <v>0</v>
      </c>
      <c r="F50" s="629">
        <f t="shared" si="4"/>
        <v>0</v>
      </c>
      <c r="G50" s="621">
        <f>+SUMIF('產銷總表 '!$A$6:$A$118,$A50,'產銷總表 '!$U$6:$U$118)</f>
        <v>0</v>
      </c>
      <c r="H50" s="629">
        <f t="shared" si="5"/>
        <v>0</v>
      </c>
      <c r="I50" s="621">
        <f>+SUMIF('產銷總表 '!$A$6:$A$118,$A50,'產銷總表 '!$X$6:$X$118)</f>
        <v>0</v>
      </c>
      <c r="J50" s="629">
        <f t="shared" si="6"/>
        <v>0</v>
      </c>
      <c r="K50" s="621">
        <f>+SUMIF('產銷總表 '!$A$6:$A$118,$A50,'產銷總表 '!$AA$6:$AA$118)</f>
        <v>0</v>
      </c>
      <c r="L50" s="629">
        <f t="shared" si="7"/>
        <v>0</v>
      </c>
    </row>
    <row r="51" spans="1:12" ht="18" customHeight="1" x14ac:dyDescent="0.25">
      <c r="A51" s="633">
        <f>'產銷總表 '!$A52</f>
        <v>0</v>
      </c>
      <c r="B51" s="621"/>
      <c r="C51" s="622"/>
      <c r="D51" s="788"/>
      <c r="E51" s="623">
        <f>+SUMIF('產銷總表 '!$A$6:$A$118,$A51,'產銷總表 '!$R$6:$R$118)</f>
        <v>0</v>
      </c>
      <c r="F51" s="629">
        <f t="shared" si="4"/>
        <v>0</v>
      </c>
      <c r="G51" s="621">
        <f>+SUMIF('產銷總表 '!$A$6:$A$118,$A51,'產銷總表 '!$U$6:$U$118)</f>
        <v>0</v>
      </c>
      <c r="H51" s="629">
        <f t="shared" si="5"/>
        <v>0</v>
      </c>
      <c r="I51" s="621">
        <f>+SUMIF('產銷總表 '!$A$6:$A$118,$A51,'產銷總表 '!$X$6:$X$118)</f>
        <v>0</v>
      </c>
      <c r="J51" s="629">
        <f t="shared" si="6"/>
        <v>0</v>
      </c>
      <c r="K51" s="621">
        <f>+SUMIF('產銷總表 '!$A$6:$A$118,$A51,'產銷總表 '!$AA$6:$AA$118)</f>
        <v>0</v>
      </c>
      <c r="L51" s="629">
        <f t="shared" si="7"/>
        <v>0</v>
      </c>
    </row>
    <row r="52" spans="1:12" ht="18" customHeight="1" x14ac:dyDescent="0.25">
      <c r="A52" s="633">
        <f>'產銷總表 '!$A53</f>
        <v>0</v>
      </c>
      <c r="B52" s="621"/>
      <c r="C52" s="622"/>
      <c r="D52" s="788"/>
      <c r="E52" s="623">
        <f>+SUMIF('產銷總表 '!$A$6:$A$118,$A52,'產銷總表 '!$R$6:$R$118)</f>
        <v>0</v>
      </c>
      <c r="F52" s="629">
        <f t="shared" si="4"/>
        <v>0</v>
      </c>
      <c r="G52" s="621">
        <f>+SUMIF('產銷總表 '!$A$6:$A$118,$A52,'產銷總表 '!$U$6:$U$118)</f>
        <v>0</v>
      </c>
      <c r="H52" s="629">
        <f t="shared" si="5"/>
        <v>0</v>
      </c>
      <c r="I52" s="621">
        <f>+SUMIF('產銷總表 '!$A$6:$A$118,$A52,'產銷總表 '!$X$6:$X$118)</f>
        <v>0</v>
      </c>
      <c r="J52" s="629">
        <f t="shared" si="6"/>
        <v>0</v>
      </c>
      <c r="K52" s="621">
        <f>+SUMIF('產銷總表 '!$A$6:$A$118,$A52,'產銷總表 '!$AA$6:$AA$118)</f>
        <v>0</v>
      </c>
      <c r="L52" s="629">
        <f t="shared" si="7"/>
        <v>0</v>
      </c>
    </row>
    <row r="53" spans="1:12" ht="18" customHeight="1" x14ac:dyDescent="0.25">
      <c r="A53" s="633">
        <f>'產銷總表 '!$A54</f>
        <v>0</v>
      </c>
      <c r="B53" s="621"/>
      <c r="C53" s="622"/>
      <c r="D53" s="788"/>
      <c r="E53" s="623">
        <f>+SUMIF('產銷總表 '!$A$6:$A$118,$A53,'產銷總表 '!$R$6:$R$118)</f>
        <v>0</v>
      </c>
      <c r="F53" s="629">
        <f t="shared" si="4"/>
        <v>0</v>
      </c>
      <c r="G53" s="621">
        <f>+SUMIF('產銷總表 '!$A$6:$A$118,$A53,'產銷總表 '!$U$6:$U$118)</f>
        <v>0</v>
      </c>
      <c r="H53" s="629">
        <f t="shared" si="5"/>
        <v>0</v>
      </c>
      <c r="I53" s="621">
        <f>+SUMIF('產銷總表 '!$A$6:$A$118,$A53,'產銷總表 '!$X$6:$X$118)</f>
        <v>0</v>
      </c>
      <c r="J53" s="629">
        <f t="shared" si="6"/>
        <v>0</v>
      </c>
      <c r="K53" s="621">
        <f>+SUMIF('產銷總表 '!$A$6:$A$118,$A53,'產銷總表 '!$AA$6:$AA$118)</f>
        <v>0</v>
      </c>
      <c r="L53" s="629">
        <f t="shared" si="7"/>
        <v>0</v>
      </c>
    </row>
    <row r="54" spans="1:12" ht="18" customHeight="1" x14ac:dyDescent="0.25">
      <c r="A54" s="633">
        <f>'產銷總表 '!$A55</f>
        <v>0</v>
      </c>
      <c r="B54" s="621"/>
      <c r="C54" s="622"/>
      <c r="D54" s="788"/>
      <c r="E54" s="623">
        <f>+SUMIF('產銷總表 '!$A$6:$A$118,$A54,'產銷總表 '!$R$6:$R$118)</f>
        <v>0</v>
      </c>
      <c r="F54" s="629">
        <f t="shared" si="4"/>
        <v>0</v>
      </c>
      <c r="G54" s="621">
        <f>+SUMIF('產銷總表 '!$A$6:$A$118,$A54,'產銷總表 '!$U$6:$U$118)</f>
        <v>0</v>
      </c>
      <c r="H54" s="629">
        <f t="shared" si="5"/>
        <v>0</v>
      </c>
      <c r="I54" s="621">
        <f>+SUMIF('產銷總表 '!$A$6:$A$118,$A54,'產銷總表 '!$X$6:$X$118)</f>
        <v>0</v>
      </c>
      <c r="J54" s="629">
        <f t="shared" si="6"/>
        <v>0</v>
      </c>
      <c r="K54" s="621">
        <f>+SUMIF('產銷總表 '!$A$6:$A$118,$A54,'產銷總表 '!$AA$6:$AA$118)</f>
        <v>0</v>
      </c>
      <c r="L54" s="629">
        <f t="shared" si="7"/>
        <v>0</v>
      </c>
    </row>
    <row r="55" spans="1:12" ht="18" customHeight="1" x14ac:dyDescent="0.25">
      <c r="A55" s="633">
        <f>'產銷總表 '!$A56</f>
        <v>0</v>
      </c>
      <c r="B55" s="621"/>
      <c r="C55" s="622"/>
      <c r="D55" s="788"/>
      <c r="E55" s="623">
        <f>+SUMIF('產銷總表 '!$A$6:$A$118,$A55,'產銷總表 '!$R$6:$R$118)</f>
        <v>0</v>
      </c>
      <c r="F55" s="629">
        <f t="shared" si="4"/>
        <v>0</v>
      </c>
      <c r="G55" s="621">
        <f>+SUMIF('產銷總表 '!$A$6:$A$118,$A55,'產銷總表 '!$U$6:$U$118)</f>
        <v>0</v>
      </c>
      <c r="H55" s="629">
        <f t="shared" si="5"/>
        <v>0</v>
      </c>
      <c r="I55" s="621">
        <f>+SUMIF('產銷總表 '!$A$6:$A$118,$A55,'產銷總表 '!$X$6:$X$118)</f>
        <v>0</v>
      </c>
      <c r="J55" s="629">
        <f t="shared" si="6"/>
        <v>0</v>
      </c>
      <c r="K55" s="621">
        <f>+SUMIF('產銷總表 '!$A$6:$A$118,$A55,'產銷總表 '!$AA$6:$AA$118)</f>
        <v>0</v>
      </c>
      <c r="L55" s="629">
        <f t="shared" si="7"/>
        <v>0</v>
      </c>
    </row>
    <row r="56" spans="1:12" ht="18" customHeight="1" x14ac:dyDescent="0.25">
      <c r="A56" s="633">
        <f>'產銷總表 '!$A57</f>
        <v>0</v>
      </c>
      <c r="B56" s="621"/>
      <c r="C56" s="622"/>
      <c r="D56" s="788"/>
      <c r="E56" s="623">
        <f>+SUMIF('產銷總表 '!$A$6:$A$118,$A56,'產銷總表 '!$R$6:$R$118)</f>
        <v>0</v>
      </c>
      <c r="F56" s="629">
        <f t="shared" si="4"/>
        <v>0</v>
      </c>
      <c r="G56" s="621">
        <f>+SUMIF('產銷總表 '!$A$6:$A$118,$A56,'產銷總表 '!$U$6:$U$118)</f>
        <v>0</v>
      </c>
      <c r="H56" s="629">
        <f t="shared" si="5"/>
        <v>0</v>
      </c>
      <c r="I56" s="621">
        <f>+SUMIF('產銷總表 '!$A$6:$A$118,$A56,'產銷總表 '!$X$6:$X$118)</f>
        <v>0</v>
      </c>
      <c r="J56" s="629">
        <f t="shared" si="6"/>
        <v>0</v>
      </c>
      <c r="K56" s="621">
        <f>+SUMIF('產銷總表 '!$A$6:$A$118,$A56,'產銷總表 '!$AA$6:$AA$118)</f>
        <v>0</v>
      </c>
      <c r="L56" s="629">
        <f t="shared" si="7"/>
        <v>0</v>
      </c>
    </row>
    <row r="57" spans="1:12" ht="18" customHeight="1" x14ac:dyDescent="0.25">
      <c r="A57" s="633">
        <f>'產銷總表 '!$A58</f>
        <v>0</v>
      </c>
      <c r="B57" s="621"/>
      <c r="C57" s="622"/>
      <c r="D57" s="788"/>
      <c r="E57" s="623">
        <f>+SUMIF('產銷總表 '!$A$6:$A$118,$A57,'產銷總表 '!$R$6:$R$118)</f>
        <v>0</v>
      </c>
      <c r="F57" s="629">
        <f t="shared" si="4"/>
        <v>0</v>
      </c>
      <c r="G57" s="621">
        <f>+SUMIF('產銷總表 '!$A$6:$A$118,$A57,'產銷總表 '!$U$6:$U$118)</f>
        <v>0</v>
      </c>
      <c r="H57" s="629">
        <f t="shared" si="5"/>
        <v>0</v>
      </c>
      <c r="I57" s="621">
        <f>+SUMIF('產銷總表 '!$A$6:$A$118,$A57,'產銷總表 '!$X$6:$X$118)</f>
        <v>0</v>
      </c>
      <c r="J57" s="629">
        <f t="shared" si="6"/>
        <v>0</v>
      </c>
      <c r="K57" s="621">
        <f>+SUMIF('產銷總表 '!$A$6:$A$118,$A57,'產銷總表 '!$AA$6:$AA$118)</f>
        <v>0</v>
      </c>
      <c r="L57" s="629">
        <f t="shared" si="7"/>
        <v>0</v>
      </c>
    </row>
    <row r="58" spans="1:12" ht="18" customHeight="1" x14ac:dyDescent="0.25">
      <c r="A58" s="633">
        <f>'產銷總表 '!$A59</f>
        <v>0</v>
      </c>
      <c r="B58" s="621"/>
      <c r="C58" s="622"/>
      <c r="D58" s="788"/>
      <c r="E58" s="623">
        <f>+SUMIF('產銷總表 '!$A$6:$A$118,$A58,'產銷總表 '!$R$6:$R$118)</f>
        <v>0</v>
      </c>
      <c r="F58" s="629">
        <f t="shared" si="4"/>
        <v>0</v>
      </c>
      <c r="G58" s="621">
        <f>+SUMIF('產銷總表 '!$A$6:$A$118,$A58,'產銷總表 '!$U$6:$U$118)</f>
        <v>0</v>
      </c>
      <c r="H58" s="629">
        <f t="shared" si="5"/>
        <v>0</v>
      </c>
      <c r="I58" s="621">
        <f>+SUMIF('產銷總表 '!$A$6:$A$118,$A58,'產銷總表 '!$X$6:$X$118)</f>
        <v>0</v>
      </c>
      <c r="J58" s="629">
        <f t="shared" si="6"/>
        <v>0</v>
      </c>
      <c r="K58" s="621">
        <f>+SUMIF('產銷總表 '!$A$6:$A$118,$A58,'產銷總表 '!$AA$6:$AA$118)</f>
        <v>0</v>
      </c>
      <c r="L58" s="629">
        <f t="shared" si="7"/>
        <v>0</v>
      </c>
    </row>
    <row r="59" spans="1:12" ht="18" customHeight="1" x14ac:dyDescent="0.25">
      <c r="A59" s="633">
        <f>'產銷總表 '!$A60</f>
        <v>0</v>
      </c>
      <c r="B59" s="621"/>
      <c r="C59" s="622"/>
      <c r="D59" s="788"/>
      <c r="E59" s="623">
        <f>+SUMIF('產銷總表 '!$A$6:$A$118,$A59,'產銷總表 '!$R$6:$R$118)</f>
        <v>0</v>
      </c>
      <c r="F59" s="629">
        <f t="shared" si="4"/>
        <v>0</v>
      </c>
      <c r="G59" s="621">
        <f>+SUMIF('產銷總表 '!$A$6:$A$118,$A59,'產銷總表 '!$U$6:$U$118)</f>
        <v>0</v>
      </c>
      <c r="H59" s="629">
        <f t="shared" si="5"/>
        <v>0</v>
      </c>
      <c r="I59" s="621">
        <f>+SUMIF('產銷總表 '!$A$6:$A$118,$A59,'產銷總表 '!$X$6:$X$118)</f>
        <v>0</v>
      </c>
      <c r="J59" s="629">
        <f t="shared" si="6"/>
        <v>0</v>
      </c>
      <c r="K59" s="621">
        <f>+SUMIF('產銷總表 '!$A$6:$A$118,$A59,'產銷總表 '!$AA$6:$AA$118)</f>
        <v>0</v>
      </c>
      <c r="L59" s="629">
        <f t="shared" si="7"/>
        <v>0</v>
      </c>
    </row>
    <row r="60" spans="1:12" ht="18" customHeight="1" x14ac:dyDescent="0.25">
      <c r="A60" s="633">
        <f>'產銷總表 '!$A61</f>
        <v>0</v>
      </c>
      <c r="B60" s="621"/>
      <c r="C60" s="622"/>
      <c r="D60" s="788"/>
      <c r="E60" s="623">
        <f>+SUMIF('產銷總表 '!$A$6:$A$118,$A60,'產銷總表 '!$R$6:$R$118)</f>
        <v>0</v>
      </c>
      <c r="F60" s="629">
        <f t="shared" si="4"/>
        <v>0</v>
      </c>
      <c r="G60" s="621">
        <f>+SUMIF('產銷總表 '!$A$6:$A$118,$A60,'產銷總表 '!$U$6:$U$118)</f>
        <v>0</v>
      </c>
      <c r="H60" s="629">
        <f t="shared" si="5"/>
        <v>0</v>
      </c>
      <c r="I60" s="621">
        <f>+SUMIF('產銷總表 '!$A$6:$A$118,$A60,'產銷總表 '!$X$6:$X$118)</f>
        <v>0</v>
      </c>
      <c r="J60" s="629">
        <f t="shared" si="6"/>
        <v>0</v>
      </c>
      <c r="K60" s="621">
        <f>+SUMIF('產銷總表 '!$A$6:$A$118,$A60,'產銷總表 '!$AA$6:$AA$118)</f>
        <v>0</v>
      </c>
      <c r="L60" s="629">
        <f t="shared" si="7"/>
        <v>0</v>
      </c>
    </row>
    <row r="61" spans="1:12" ht="18" customHeight="1" x14ac:dyDescent="0.25">
      <c r="A61" s="633">
        <f>'產銷總表 '!$A62</f>
        <v>0</v>
      </c>
      <c r="B61" s="621"/>
      <c r="C61" s="622"/>
      <c r="D61" s="788"/>
      <c r="E61" s="623">
        <f>+SUMIF('產銷總表 '!$A$6:$A$118,$A61,'產銷總表 '!$R$6:$R$118)</f>
        <v>0</v>
      </c>
      <c r="F61" s="629">
        <f t="shared" si="4"/>
        <v>0</v>
      </c>
      <c r="G61" s="621">
        <f>+SUMIF('產銷總表 '!$A$6:$A$118,$A61,'產銷總表 '!$U$6:$U$118)</f>
        <v>0</v>
      </c>
      <c r="H61" s="629">
        <f t="shared" si="5"/>
        <v>0</v>
      </c>
      <c r="I61" s="621">
        <f>+SUMIF('產銷總表 '!$A$6:$A$118,$A61,'產銷總表 '!$X$6:$X$118)</f>
        <v>0</v>
      </c>
      <c r="J61" s="629">
        <f t="shared" si="6"/>
        <v>0</v>
      </c>
      <c r="K61" s="621">
        <f>+SUMIF('產銷總表 '!$A$6:$A$118,$A61,'產銷總表 '!$AA$6:$AA$118)</f>
        <v>0</v>
      </c>
      <c r="L61" s="629">
        <f t="shared" si="7"/>
        <v>0</v>
      </c>
    </row>
    <row r="62" spans="1:12" ht="18" customHeight="1" x14ac:dyDescent="0.25">
      <c r="A62" s="633">
        <f>'產銷總表 '!$A63</f>
        <v>0</v>
      </c>
      <c r="B62" s="621"/>
      <c r="C62" s="622"/>
      <c r="D62" s="788"/>
      <c r="E62" s="623">
        <f>+SUMIF('產銷總表 '!$A$6:$A$118,$A62,'產銷總表 '!$R$6:$R$118)</f>
        <v>0</v>
      </c>
      <c r="F62" s="629">
        <f t="shared" si="4"/>
        <v>0</v>
      </c>
      <c r="G62" s="621">
        <f>+SUMIF('產銷總表 '!$A$6:$A$118,$A62,'產銷總表 '!$U$6:$U$118)</f>
        <v>0</v>
      </c>
      <c r="H62" s="629">
        <f t="shared" si="5"/>
        <v>0</v>
      </c>
      <c r="I62" s="621">
        <f>+SUMIF('產銷總表 '!$A$6:$A$118,$A62,'產銷總表 '!$X$6:$X$118)</f>
        <v>0</v>
      </c>
      <c r="J62" s="629">
        <f t="shared" si="6"/>
        <v>0</v>
      </c>
      <c r="K62" s="621">
        <f>+SUMIF('產銷總表 '!$A$6:$A$118,$A62,'產銷總表 '!$AA$6:$AA$118)</f>
        <v>0</v>
      </c>
      <c r="L62" s="629">
        <f t="shared" si="7"/>
        <v>0</v>
      </c>
    </row>
    <row r="63" spans="1:12" ht="18" customHeight="1" x14ac:dyDescent="0.25">
      <c r="A63" s="633">
        <f>'產銷總表 '!$A64</f>
        <v>0</v>
      </c>
      <c r="B63" s="621"/>
      <c r="C63" s="622"/>
      <c r="D63" s="788"/>
      <c r="E63" s="623">
        <f>+SUMIF('產銷總表 '!$A$6:$A$118,$A63,'產銷總表 '!$R$6:$R$118)</f>
        <v>0</v>
      </c>
      <c r="F63" s="629">
        <f t="shared" si="4"/>
        <v>0</v>
      </c>
      <c r="G63" s="621">
        <f>+SUMIF('產銷總表 '!$A$6:$A$118,$A63,'產銷總表 '!$U$6:$U$118)</f>
        <v>0</v>
      </c>
      <c r="H63" s="629">
        <f t="shared" si="5"/>
        <v>0</v>
      </c>
      <c r="I63" s="621">
        <f>+SUMIF('產銷總表 '!$A$6:$A$118,$A63,'產銷總表 '!$X$6:$X$118)</f>
        <v>0</v>
      </c>
      <c r="J63" s="629">
        <f t="shared" si="6"/>
        <v>0</v>
      </c>
      <c r="K63" s="621">
        <f>+SUMIF('產銷總表 '!$A$6:$A$118,$A63,'產銷總表 '!$AA$6:$AA$118)</f>
        <v>0</v>
      </c>
      <c r="L63" s="629">
        <f t="shared" si="7"/>
        <v>0</v>
      </c>
    </row>
    <row r="64" spans="1:12" ht="18" customHeight="1" x14ac:dyDescent="0.25">
      <c r="A64" s="633">
        <f>'產銷總表 '!$A65</f>
        <v>0</v>
      </c>
      <c r="B64" s="621"/>
      <c r="C64" s="622"/>
      <c r="D64" s="788"/>
      <c r="E64" s="623">
        <f>+SUMIF('產銷總表 '!$A$6:$A$118,$A64,'產銷總表 '!$R$6:$R$118)</f>
        <v>0</v>
      </c>
      <c r="F64" s="629">
        <f t="shared" si="4"/>
        <v>0</v>
      </c>
      <c r="G64" s="621">
        <f>+SUMIF('產銷總表 '!$A$6:$A$118,$A64,'產銷總表 '!$U$6:$U$118)</f>
        <v>0</v>
      </c>
      <c r="H64" s="629">
        <f t="shared" si="5"/>
        <v>0</v>
      </c>
      <c r="I64" s="621">
        <f>+SUMIF('產銷總表 '!$A$6:$A$118,$A64,'產銷總表 '!$X$6:$X$118)</f>
        <v>0</v>
      </c>
      <c r="J64" s="629">
        <f t="shared" si="6"/>
        <v>0</v>
      </c>
      <c r="K64" s="621">
        <f>+SUMIF('產銷總表 '!$A$6:$A$118,$A64,'產銷總表 '!$AA$6:$AA$118)</f>
        <v>0</v>
      </c>
      <c r="L64" s="629">
        <f t="shared" si="7"/>
        <v>0</v>
      </c>
    </row>
    <row r="65" spans="1:12" ht="18" customHeight="1" x14ac:dyDescent="0.25">
      <c r="A65" s="633">
        <f>'產銷總表 '!$A66</f>
        <v>0</v>
      </c>
      <c r="B65" s="621"/>
      <c r="C65" s="622"/>
      <c r="D65" s="788"/>
      <c r="E65" s="623">
        <f>+SUMIF('產銷總表 '!$A$6:$A$118,$A65,'產銷總表 '!$R$6:$R$118)</f>
        <v>0</v>
      </c>
      <c r="F65" s="629">
        <f t="shared" si="4"/>
        <v>0</v>
      </c>
      <c r="G65" s="621">
        <f>+SUMIF('產銷總表 '!$A$6:$A$118,$A65,'產銷總表 '!$U$6:$U$118)</f>
        <v>0</v>
      </c>
      <c r="H65" s="629">
        <f t="shared" si="5"/>
        <v>0</v>
      </c>
      <c r="I65" s="621">
        <f>+SUMIF('產銷總表 '!$A$6:$A$118,$A65,'產銷總表 '!$X$6:$X$118)</f>
        <v>0</v>
      </c>
      <c r="J65" s="629">
        <f t="shared" si="6"/>
        <v>0</v>
      </c>
      <c r="K65" s="621">
        <f>+SUMIF('產銷總表 '!$A$6:$A$118,$A65,'產銷總表 '!$AA$6:$AA$118)</f>
        <v>0</v>
      </c>
      <c r="L65" s="629">
        <f t="shared" si="7"/>
        <v>0</v>
      </c>
    </row>
    <row r="66" spans="1:12" ht="18" customHeight="1" x14ac:dyDescent="0.25">
      <c r="A66" s="633">
        <f>'產銷總表 '!$A67</f>
        <v>0</v>
      </c>
      <c r="B66" s="621"/>
      <c r="C66" s="622"/>
      <c r="D66" s="788"/>
      <c r="E66" s="623">
        <f>+SUMIF('產銷總表 '!$A$6:$A$118,$A66,'產銷總表 '!$R$6:$R$118)</f>
        <v>0</v>
      </c>
      <c r="F66" s="629">
        <f t="shared" si="4"/>
        <v>0</v>
      </c>
      <c r="G66" s="621">
        <f>+SUMIF('產銷總表 '!$A$6:$A$118,$A66,'產銷總表 '!$U$6:$U$118)</f>
        <v>0</v>
      </c>
      <c r="H66" s="629">
        <f t="shared" si="5"/>
        <v>0</v>
      </c>
      <c r="I66" s="621">
        <f>+SUMIF('產銷總表 '!$A$6:$A$118,$A66,'產銷總表 '!$X$6:$X$118)</f>
        <v>0</v>
      </c>
      <c r="J66" s="629">
        <f t="shared" si="6"/>
        <v>0</v>
      </c>
      <c r="K66" s="621">
        <f>+SUMIF('產銷總表 '!$A$6:$A$118,$A66,'產銷總表 '!$AA$6:$AA$118)</f>
        <v>0</v>
      </c>
      <c r="L66" s="629">
        <f t="shared" si="7"/>
        <v>0</v>
      </c>
    </row>
    <row r="67" spans="1:12" ht="18" customHeight="1" x14ac:dyDescent="0.25">
      <c r="A67" s="633">
        <f>'產銷總表 '!$A68</f>
        <v>0</v>
      </c>
      <c r="B67" s="621"/>
      <c r="C67" s="622"/>
      <c r="D67" s="788"/>
      <c r="E67" s="623">
        <f>+SUMIF('產銷總表 '!$A$6:$A$118,$A67,'產銷總表 '!$R$6:$R$118)</f>
        <v>0</v>
      </c>
      <c r="F67" s="629">
        <f t="shared" si="4"/>
        <v>0</v>
      </c>
      <c r="G67" s="621">
        <f>+SUMIF('產銷總表 '!$A$6:$A$118,$A67,'產銷總表 '!$U$6:$U$118)</f>
        <v>0</v>
      </c>
      <c r="H67" s="629">
        <f t="shared" si="5"/>
        <v>0</v>
      </c>
      <c r="I67" s="621">
        <f>+SUMIF('產銷總表 '!$A$6:$A$118,$A67,'產銷總表 '!$X$6:$X$118)</f>
        <v>0</v>
      </c>
      <c r="J67" s="629">
        <f t="shared" si="6"/>
        <v>0</v>
      </c>
      <c r="K67" s="621">
        <f>+SUMIF('產銷總表 '!$A$6:$A$118,$A67,'產銷總表 '!$AA$6:$AA$118)</f>
        <v>0</v>
      </c>
      <c r="L67" s="629">
        <f t="shared" si="7"/>
        <v>0</v>
      </c>
    </row>
    <row r="68" spans="1:12" ht="18" customHeight="1" x14ac:dyDescent="0.25">
      <c r="A68" s="633">
        <f>'產銷總表 '!$A69</f>
        <v>0</v>
      </c>
      <c r="B68" s="621"/>
      <c r="C68" s="622"/>
      <c r="D68" s="788"/>
      <c r="E68" s="623">
        <f>+SUMIF('產銷總表 '!$A$6:$A$118,$A68,'產銷總表 '!$R$6:$R$118)</f>
        <v>0</v>
      </c>
      <c r="F68" s="629">
        <f t="shared" si="4"/>
        <v>0</v>
      </c>
      <c r="G68" s="621">
        <f>+SUMIF('產銷總表 '!$A$6:$A$118,$A68,'產銷總表 '!$U$6:$U$118)</f>
        <v>0</v>
      </c>
      <c r="H68" s="629">
        <f t="shared" si="5"/>
        <v>0</v>
      </c>
      <c r="I68" s="621">
        <f>+SUMIF('產銷總表 '!$A$6:$A$118,$A68,'產銷總表 '!$X$6:$X$118)</f>
        <v>0</v>
      </c>
      <c r="J68" s="629">
        <f t="shared" si="6"/>
        <v>0</v>
      </c>
      <c r="K68" s="621">
        <f>+SUMIF('產銷總表 '!$A$6:$A$118,$A68,'產銷總表 '!$AA$6:$AA$118)</f>
        <v>0</v>
      </c>
      <c r="L68" s="629">
        <f t="shared" si="7"/>
        <v>0</v>
      </c>
    </row>
    <row r="69" spans="1:12" ht="18" customHeight="1" x14ac:dyDescent="0.25">
      <c r="A69" s="633">
        <f>'產銷總表 '!$A70</f>
        <v>0</v>
      </c>
      <c r="B69" s="621"/>
      <c r="C69" s="622"/>
      <c r="D69" s="788"/>
      <c r="E69" s="623">
        <f>+SUMIF('產銷總表 '!$A$6:$A$118,$A69,'產銷總表 '!$R$6:$R$118)</f>
        <v>0</v>
      </c>
      <c r="F69" s="629">
        <f t="shared" si="4"/>
        <v>0</v>
      </c>
      <c r="G69" s="621">
        <f>+SUMIF('產銷總表 '!$A$6:$A$118,$A69,'產銷總表 '!$U$6:$U$118)</f>
        <v>0</v>
      </c>
      <c r="H69" s="629">
        <f t="shared" si="5"/>
        <v>0</v>
      </c>
      <c r="I69" s="621">
        <f>+SUMIF('產銷總表 '!$A$6:$A$118,$A69,'產銷總表 '!$X$6:$X$118)</f>
        <v>0</v>
      </c>
      <c r="J69" s="629">
        <f t="shared" si="6"/>
        <v>0</v>
      </c>
      <c r="K69" s="621">
        <f>+SUMIF('產銷總表 '!$A$6:$A$118,$A69,'產銷總表 '!$AA$6:$AA$118)</f>
        <v>0</v>
      </c>
      <c r="L69" s="629">
        <f t="shared" si="7"/>
        <v>0</v>
      </c>
    </row>
    <row r="70" spans="1:12" ht="18" customHeight="1" x14ac:dyDescent="0.25">
      <c r="A70" s="633">
        <f>'產銷總表 '!$A71</f>
        <v>0</v>
      </c>
      <c r="B70" s="621"/>
      <c r="C70" s="622"/>
      <c r="D70" s="788"/>
      <c r="E70" s="623">
        <f>+SUMIF('產銷總表 '!$A$6:$A$118,$A70,'產銷總表 '!$R$6:$R$118)</f>
        <v>0</v>
      </c>
      <c r="F70" s="629">
        <f t="shared" si="4"/>
        <v>0</v>
      </c>
      <c r="G70" s="621">
        <f>+SUMIF('產銷總表 '!$A$6:$A$118,$A70,'產銷總表 '!$U$6:$U$118)</f>
        <v>0</v>
      </c>
      <c r="H70" s="629">
        <f t="shared" si="5"/>
        <v>0</v>
      </c>
      <c r="I70" s="621">
        <f>+SUMIF('產銷總表 '!$A$6:$A$118,$A70,'產銷總表 '!$X$6:$X$118)</f>
        <v>0</v>
      </c>
      <c r="J70" s="629">
        <f t="shared" si="6"/>
        <v>0</v>
      </c>
      <c r="K70" s="621">
        <f>+SUMIF('產銷總表 '!$A$6:$A$118,$A70,'產銷總表 '!$AA$6:$AA$118)</f>
        <v>0</v>
      </c>
      <c r="L70" s="629">
        <f t="shared" si="7"/>
        <v>0</v>
      </c>
    </row>
    <row r="71" spans="1:12" ht="18" customHeight="1" x14ac:dyDescent="0.25">
      <c r="A71" s="633">
        <f>'產銷總表 '!$A72</f>
        <v>0</v>
      </c>
      <c r="B71" s="621"/>
      <c r="C71" s="622"/>
      <c r="D71" s="788"/>
      <c r="E71" s="623">
        <f>+SUMIF('產銷總表 '!$A$6:$A$118,$A71,'產銷總表 '!$R$6:$R$118)</f>
        <v>0</v>
      </c>
      <c r="F71" s="629">
        <f t="shared" si="4"/>
        <v>0</v>
      </c>
      <c r="G71" s="621">
        <f>+SUMIF('產銷總表 '!$A$6:$A$118,$A71,'產銷總表 '!$U$6:$U$118)</f>
        <v>0</v>
      </c>
      <c r="H71" s="629">
        <f t="shared" si="5"/>
        <v>0</v>
      </c>
      <c r="I71" s="621">
        <f>+SUMIF('產銷總表 '!$A$6:$A$118,$A71,'產銷總表 '!$X$6:$X$118)</f>
        <v>0</v>
      </c>
      <c r="J71" s="629">
        <f t="shared" si="6"/>
        <v>0</v>
      </c>
      <c r="K71" s="621">
        <f>+SUMIF('產銷總表 '!$A$6:$A$118,$A71,'產銷總表 '!$AA$6:$AA$118)</f>
        <v>0</v>
      </c>
      <c r="L71" s="629">
        <f t="shared" si="7"/>
        <v>0</v>
      </c>
    </row>
    <row r="72" spans="1:12" ht="18" customHeight="1" x14ac:dyDescent="0.25">
      <c r="A72" s="633">
        <f>'產銷總表 '!$A73</f>
        <v>0</v>
      </c>
      <c r="B72" s="621"/>
      <c r="C72" s="622"/>
      <c r="D72" s="788"/>
      <c r="E72" s="623">
        <f>+SUMIF('產銷總表 '!$A$6:$A$118,$A72,'產銷總表 '!$R$6:$R$118)</f>
        <v>0</v>
      </c>
      <c r="F72" s="629">
        <f t="shared" si="4"/>
        <v>0</v>
      </c>
      <c r="G72" s="621">
        <f>+SUMIF('產銷總表 '!$A$6:$A$118,$A72,'產銷總表 '!$U$6:$U$118)</f>
        <v>0</v>
      </c>
      <c r="H72" s="629">
        <f t="shared" si="5"/>
        <v>0</v>
      </c>
      <c r="I72" s="621">
        <f>+SUMIF('產銷總表 '!$A$6:$A$118,$A72,'產銷總表 '!$X$6:$X$118)</f>
        <v>0</v>
      </c>
      <c r="J72" s="629">
        <f t="shared" si="6"/>
        <v>0</v>
      </c>
      <c r="K72" s="621">
        <f>+SUMIF('產銷總表 '!$A$6:$A$118,$A72,'產銷總表 '!$AA$6:$AA$118)</f>
        <v>0</v>
      </c>
      <c r="L72" s="629">
        <f t="shared" si="7"/>
        <v>0</v>
      </c>
    </row>
    <row r="73" spans="1:12" ht="18" customHeight="1" x14ac:dyDescent="0.25">
      <c r="A73" s="633">
        <f>'產銷總表 '!$A74</f>
        <v>0</v>
      </c>
      <c r="B73" s="621"/>
      <c r="C73" s="622"/>
      <c r="D73" s="788"/>
      <c r="E73" s="623">
        <f>+SUMIF('產銷總表 '!$A$6:$A$118,$A73,'產銷總表 '!$R$6:$R$118)</f>
        <v>0</v>
      </c>
      <c r="F73" s="629">
        <f t="shared" si="4"/>
        <v>0</v>
      </c>
      <c r="G73" s="621">
        <f>+SUMIF('產銷總表 '!$A$6:$A$118,$A73,'產銷總表 '!$U$6:$U$118)</f>
        <v>0</v>
      </c>
      <c r="H73" s="629">
        <f t="shared" si="5"/>
        <v>0</v>
      </c>
      <c r="I73" s="621">
        <f>+SUMIF('產銷總表 '!$A$6:$A$118,$A73,'產銷總表 '!$X$6:$X$118)</f>
        <v>0</v>
      </c>
      <c r="J73" s="629">
        <f t="shared" si="6"/>
        <v>0</v>
      </c>
      <c r="K73" s="621">
        <f>+SUMIF('產銷總表 '!$A$6:$A$118,$A73,'產銷總表 '!$AA$6:$AA$118)</f>
        <v>0</v>
      </c>
      <c r="L73" s="629">
        <f t="shared" si="7"/>
        <v>0</v>
      </c>
    </row>
    <row r="74" spans="1:12" ht="18" customHeight="1" x14ac:dyDescent="0.25">
      <c r="A74" s="634">
        <f>'產銷總表 '!A74</f>
        <v>0</v>
      </c>
      <c r="B74" s="621"/>
      <c r="C74" s="622"/>
      <c r="D74" s="788"/>
      <c r="E74" s="623">
        <f>+SUMIF('產銷總表 '!$A$6:$A$118,$A74,'產銷總表 '!$R$6:$R$118)</f>
        <v>0</v>
      </c>
      <c r="F74" s="629">
        <f t="shared" si="4"/>
        <v>0</v>
      </c>
      <c r="G74" s="621">
        <f>+SUMIF('產銷總表 '!$A$6:$A$118,$A74,'產銷總表 '!$U$6:$U$118)</f>
        <v>0</v>
      </c>
      <c r="H74" s="629">
        <f t="shared" si="5"/>
        <v>0</v>
      </c>
      <c r="I74" s="621">
        <f>+SUMIF('產銷總表 '!$A$6:$A$118,$A74,'產銷總表 '!$X$6:$X$118)</f>
        <v>0</v>
      </c>
      <c r="J74" s="629">
        <f t="shared" si="6"/>
        <v>0</v>
      </c>
      <c r="K74" s="621">
        <f>+SUMIF('產銷總表 '!$A$6:$A$118,$A74,'產銷總表 '!$AA$6:$AA$118)</f>
        <v>0</v>
      </c>
      <c r="L74" s="629">
        <f t="shared" si="7"/>
        <v>0</v>
      </c>
    </row>
    <row r="75" spans="1:12" ht="18" customHeight="1" x14ac:dyDescent="0.25">
      <c r="A75" s="634" t="str">
        <f>'產銷總表 '!A75</f>
        <v>NSE-115</v>
      </c>
      <c r="B75" s="621" t="s">
        <v>243</v>
      </c>
      <c r="C75" s="622">
        <v>1</v>
      </c>
      <c r="D75" s="788">
        <v>0.2000457214705168</v>
      </c>
      <c r="E75" s="623">
        <f>+SUMIF('產銷總表 '!$A$6:$A$118,$A75,'產銷總表 '!$R$6:$R$118)</f>
        <v>26.3</v>
      </c>
      <c r="F75" s="926">
        <f t="shared" ref="F75:F94" si="8">+ROUND($C75*$D75*$E75,3)</f>
        <v>5.2610000000000001</v>
      </c>
      <c r="G75" s="926">
        <f>+SUMIF('產銷總表 '!$A$6:$A$118,$A75,'產銷總表 '!$U$6:$U$118)</f>
        <v>114</v>
      </c>
      <c r="H75" s="926">
        <f t="shared" ref="H75:H94" si="9">+ROUND($C75*$D75*$G75,3)</f>
        <v>22.805</v>
      </c>
      <c r="I75" s="926">
        <f>+SUMIF('產銷總表 '!$A$6:$A$118,$A75,'產銷總表 '!$X$6:$X$118)</f>
        <v>114</v>
      </c>
      <c r="J75" s="926">
        <f t="shared" ref="J75:J94" si="10">+ROUND($C75*$D75*$I75,3)</f>
        <v>22.805</v>
      </c>
      <c r="K75" s="926">
        <f>+SUMIF('產銷總表 '!$A$6:$A$118,$A75,'產銷總表 '!$AA$6:$AA$118)</f>
        <v>114</v>
      </c>
      <c r="L75" s="926">
        <f t="shared" ref="L75:L94" si="11">+ROUND($C75*$D75*$K75,3)</f>
        <v>22.805</v>
      </c>
    </row>
    <row r="76" spans="1:12" ht="18" customHeight="1" x14ac:dyDescent="0.25">
      <c r="A76" s="634" t="str">
        <f t="shared" ref="A76:A78" si="12">$A$75</f>
        <v>NSE-115</v>
      </c>
      <c r="B76" s="621" t="s">
        <v>206</v>
      </c>
      <c r="C76" s="622">
        <v>1</v>
      </c>
      <c r="D76" s="790">
        <v>2.5003929188872538E-3</v>
      </c>
      <c r="E76" s="623">
        <f>+SUMIF('產銷總表 '!$A$6:$A$118,$A76,'產銷總表 '!$R$6:$R$118)</f>
        <v>26.3</v>
      </c>
      <c r="F76" s="926">
        <f t="shared" si="8"/>
        <v>6.6000000000000003E-2</v>
      </c>
      <c r="G76" s="926">
        <f>+SUMIF('產銷總表 '!$A$6:$A$118,$A76,'產銷總表 '!$U$6:$U$118)</f>
        <v>114</v>
      </c>
      <c r="H76" s="926">
        <f t="shared" si="9"/>
        <v>0.28499999999999998</v>
      </c>
      <c r="I76" s="926">
        <f>+SUMIF('產銷總表 '!$A$6:$A$118,$A76,'產銷總表 '!$X$6:$X$118)</f>
        <v>114</v>
      </c>
      <c r="J76" s="926">
        <f t="shared" si="10"/>
        <v>0.28499999999999998</v>
      </c>
      <c r="K76" s="926">
        <f>+SUMIF('產銷總表 '!$A$6:$A$118,$A76,'產銷總表 '!$AA$6:$AA$118)</f>
        <v>114</v>
      </c>
      <c r="L76" s="926">
        <f t="shared" si="11"/>
        <v>0.28499999999999998</v>
      </c>
    </row>
    <row r="77" spans="1:12" ht="18" customHeight="1" x14ac:dyDescent="0.25">
      <c r="A77" s="634" t="str">
        <f t="shared" si="12"/>
        <v>NSE-115</v>
      </c>
      <c r="B77" s="621" t="s">
        <v>202</v>
      </c>
      <c r="C77" s="622">
        <v>1</v>
      </c>
      <c r="D77" s="788">
        <v>0.50005715183814603</v>
      </c>
      <c r="E77" s="623">
        <f>+SUMIF('產銷總表 '!$A$6:$A$118,$A77,'產銷總表 '!$R$6:$R$118)</f>
        <v>26.3</v>
      </c>
      <c r="F77" s="926">
        <f t="shared" si="8"/>
        <v>13.151999999999999</v>
      </c>
      <c r="G77" s="926">
        <f>+SUMIF('產銷總表 '!$A$6:$A$118,$A77,'產銷總表 '!$U$6:$U$118)</f>
        <v>114</v>
      </c>
      <c r="H77" s="926">
        <f t="shared" si="9"/>
        <v>57.006999999999998</v>
      </c>
      <c r="I77" s="926">
        <f>+SUMIF('產銷總表 '!$A$6:$A$118,$A77,'產銷總表 '!$X$6:$X$118)</f>
        <v>114</v>
      </c>
      <c r="J77" s="926">
        <f t="shared" si="10"/>
        <v>57.006999999999998</v>
      </c>
      <c r="K77" s="926">
        <f>+SUMIF('產銷總表 '!$A$6:$A$118,$A77,'產銷總表 '!$AA$6:$AA$118)</f>
        <v>114</v>
      </c>
      <c r="L77" s="926">
        <f t="shared" si="11"/>
        <v>57.006999999999998</v>
      </c>
    </row>
    <row r="78" spans="1:12" ht="18" customHeight="1" x14ac:dyDescent="0.25">
      <c r="A78" s="634" t="str">
        <f t="shared" si="12"/>
        <v>NSE-115</v>
      </c>
      <c r="B78" s="621" t="s">
        <v>204</v>
      </c>
      <c r="C78" s="622">
        <v>1</v>
      </c>
      <c r="D78" s="788">
        <v>5.1858149137721646E-2</v>
      </c>
      <c r="E78" s="623">
        <f>+SUMIF('產銷總表 '!$A$6:$A$118,$A78,'產銷總表 '!$R$6:$R$118)</f>
        <v>26.3</v>
      </c>
      <c r="F78" s="926">
        <f t="shared" si="8"/>
        <v>1.3640000000000001</v>
      </c>
      <c r="G78" s="926">
        <f>+SUMIF('產銷總表 '!$A$6:$A$118,$A78,'產銷總表 '!$U$6:$U$118)</f>
        <v>114</v>
      </c>
      <c r="H78" s="926">
        <f t="shared" si="9"/>
        <v>5.9119999999999999</v>
      </c>
      <c r="I78" s="926">
        <f>+SUMIF('產銷總表 '!$A$6:$A$118,$A78,'產銷總表 '!$X$6:$X$118)</f>
        <v>114</v>
      </c>
      <c r="J78" s="926">
        <f t="shared" si="10"/>
        <v>5.9119999999999999</v>
      </c>
      <c r="K78" s="926">
        <f>+SUMIF('產銷總表 '!$A$6:$A$118,$A78,'產銷總表 '!$AA$6:$AA$118)</f>
        <v>114</v>
      </c>
      <c r="L78" s="926">
        <f t="shared" si="11"/>
        <v>5.9119999999999999</v>
      </c>
    </row>
    <row r="79" spans="1:12" ht="18" customHeight="1" x14ac:dyDescent="0.25">
      <c r="A79" s="634" t="str">
        <f>'產銷總表 '!A76</f>
        <v>NSE-1106</v>
      </c>
      <c r="B79" s="621" t="s">
        <v>243</v>
      </c>
      <c r="C79" s="622">
        <v>1</v>
      </c>
      <c r="D79" s="788">
        <v>0.75</v>
      </c>
      <c r="E79" s="623">
        <f>+SUMIF('產銷總表 '!$A$6:$A$118,$A79,'產銷總表 '!$R$6:$R$118)</f>
        <v>0</v>
      </c>
      <c r="F79" s="926">
        <f t="shared" si="8"/>
        <v>0</v>
      </c>
      <c r="G79" s="926">
        <f>+SUMIF('產銷總表 '!$A$6:$A$118,$A79,'產銷總表 '!$U$6:$U$118)</f>
        <v>36</v>
      </c>
      <c r="H79" s="926">
        <f t="shared" si="9"/>
        <v>27</v>
      </c>
      <c r="I79" s="926">
        <f>+SUMIF('產銷總表 '!$A$6:$A$118,$A79,'產銷總表 '!$X$6:$X$118)</f>
        <v>36</v>
      </c>
      <c r="J79" s="926">
        <f t="shared" si="10"/>
        <v>27</v>
      </c>
      <c r="K79" s="926">
        <f>+SUMIF('產銷總表 '!$A$6:$A$118,$A79,'產銷總表 '!$AA$6:$AA$118)</f>
        <v>36</v>
      </c>
      <c r="L79" s="926">
        <f t="shared" si="11"/>
        <v>27</v>
      </c>
    </row>
    <row r="80" spans="1:12" ht="18" customHeight="1" x14ac:dyDescent="0.25">
      <c r="A80" s="634" t="str">
        <f t="shared" ref="A80:A82" si="13">$A$79</f>
        <v>NSE-1106</v>
      </c>
      <c r="B80" s="621" t="s">
        <v>206</v>
      </c>
      <c r="C80" s="622">
        <v>1</v>
      </c>
      <c r="D80" s="790">
        <v>2.5000000000000001E-3</v>
      </c>
      <c r="E80" s="623">
        <f>+SUMIF('產銷總表 '!$A$6:$A$118,$A80,'產銷總表 '!$R$6:$R$118)</f>
        <v>0</v>
      </c>
      <c r="F80" s="926">
        <f t="shared" si="8"/>
        <v>0</v>
      </c>
      <c r="G80" s="926">
        <f>+SUMIF('產銷總表 '!$A$6:$A$118,$A80,'產銷總表 '!$U$6:$U$118)</f>
        <v>36</v>
      </c>
      <c r="H80" s="926">
        <f t="shared" si="9"/>
        <v>0.09</v>
      </c>
      <c r="I80" s="926">
        <f>+SUMIF('產銷總表 '!$A$6:$A$118,$A80,'產銷總表 '!$X$6:$X$118)</f>
        <v>36</v>
      </c>
      <c r="J80" s="926">
        <f t="shared" si="10"/>
        <v>0.09</v>
      </c>
      <c r="K80" s="926">
        <f>+SUMIF('產銷總表 '!$A$6:$A$118,$A80,'產銷總表 '!$AA$6:$AA$118)</f>
        <v>36</v>
      </c>
      <c r="L80" s="926">
        <f t="shared" si="11"/>
        <v>0.09</v>
      </c>
    </row>
    <row r="81" spans="1:12" ht="18" customHeight="1" x14ac:dyDescent="0.25">
      <c r="A81" s="634" t="str">
        <f t="shared" si="13"/>
        <v>NSE-1106</v>
      </c>
      <c r="B81" s="621" t="s">
        <v>202</v>
      </c>
      <c r="C81" s="622">
        <v>1</v>
      </c>
      <c r="D81" s="788">
        <v>0.05</v>
      </c>
      <c r="E81" s="623">
        <f>+SUMIF('產銷總表 '!$A$6:$A$118,$A81,'產銷總表 '!$R$6:$R$118)</f>
        <v>0</v>
      </c>
      <c r="F81" s="926">
        <f t="shared" si="8"/>
        <v>0</v>
      </c>
      <c r="G81" s="926">
        <f>+SUMIF('產銷總表 '!$A$6:$A$118,$A81,'產銷總表 '!$U$6:$U$118)</f>
        <v>36</v>
      </c>
      <c r="H81" s="926">
        <f t="shared" si="9"/>
        <v>1.8</v>
      </c>
      <c r="I81" s="926">
        <f>+SUMIF('產銷總表 '!$A$6:$A$118,$A81,'產銷總表 '!$X$6:$X$118)</f>
        <v>36</v>
      </c>
      <c r="J81" s="926">
        <f t="shared" si="10"/>
        <v>1.8</v>
      </c>
      <c r="K81" s="926">
        <f>+SUMIF('產銷總表 '!$A$6:$A$118,$A81,'產銷總表 '!$AA$6:$AA$118)</f>
        <v>36</v>
      </c>
      <c r="L81" s="926">
        <f t="shared" si="11"/>
        <v>1.8</v>
      </c>
    </row>
    <row r="82" spans="1:12" ht="18" customHeight="1" x14ac:dyDescent="0.25">
      <c r="A82" s="634" t="str">
        <f t="shared" si="13"/>
        <v>NSE-1106</v>
      </c>
      <c r="B82" s="621" t="s">
        <v>204</v>
      </c>
      <c r="C82" s="622">
        <v>1</v>
      </c>
      <c r="D82" s="788">
        <v>5.2001114309592339E-2</v>
      </c>
      <c r="E82" s="623">
        <f>+SUMIF('產銷總表 '!$A$6:$A$118,$A82,'產銷總表 '!$R$6:$R$118)</f>
        <v>0</v>
      </c>
      <c r="F82" s="926">
        <f t="shared" si="8"/>
        <v>0</v>
      </c>
      <c r="G82" s="926">
        <f>+SUMIF('產銷總表 '!$A$6:$A$118,$A82,'產銷總表 '!$U$6:$U$118)</f>
        <v>36</v>
      </c>
      <c r="H82" s="926">
        <f t="shared" si="9"/>
        <v>1.8720000000000001</v>
      </c>
      <c r="I82" s="926">
        <f>+SUMIF('產銷總表 '!$A$6:$A$118,$A82,'產銷總表 '!$X$6:$X$118)</f>
        <v>36</v>
      </c>
      <c r="J82" s="926">
        <f t="shared" si="10"/>
        <v>1.8720000000000001</v>
      </c>
      <c r="K82" s="926">
        <f>+SUMIF('產銷總表 '!$A$6:$A$118,$A82,'產銷總表 '!$AA$6:$AA$118)</f>
        <v>36</v>
      </c>
      <c r="L82" s="926">
        <f t="shared" si="11"/>
        <v>1.8720000000000001</v>
      </c>
    </row>
    <row r="83" spans="1:12" ht="18" customHeight="1" x14ac:dyDescent="0.25">
      <c r="A83" s="634" t="str">
        <f>'產銷總表 '!A77</f>
        <v>NSR-716-V05</v>
      </c>
      <c r="B83" s="621" t="s">
        <v>209</v>
      </c>
      <c r="C83" s="622">
        <v>1</v>
      </c>
      <c r="D83" s="790">
        <v>1.5041363750313363E-4</v>
      </c>
      <c r="E83" s="623">
        <f>+SUMIF('產銷總表 '!$A$6:$A$118,$A83,'產銷總表 '!$R$6:$R$118)</f>
        <v>0</v>
      </c>
      <c r="F83" s="926">
        <f t="shared" si="8"/>
        <v>0</v>
      </c>
      <c r="G83" s="926">
        <f>+SUMIF('產銷總表 '!$A$6:$A$118,$A83,'產銷總表 '!$U$6:$U$118)</f>
        <v>0</v>
      </c>
      <c r="H83" s="926">
        <f t="shared" si="9"/>
        <v>0</v>
      </c>
      <c r="I83" s="926">
        <f>+SUMIF('產銷總表 '!$A$6:$A$118,$A83,'產銷總表 '!$X$6:$X$118)</f>
        <v>0</v>
      </c>
      <c r="J83" s="926">
        <f t="shared" si="10"/>
        <v>0</v>
      </c>
      <c r="K83" s="926">
        <f>+SUMIF('產銷總表 '!$A$6:$A$118,$A83,'產銷總表 '!$AA$6:$AA$118)</f>
        <v>0</v>
      </c>
      <c r="L83" s="926">
        <f t="shared" si="11"/>
        <v>0</v>
      </c>
    </row>
    <row r="84" spans="1:12" ht="18" customHeight="1" x14ac:dyDescent="0.25">
      <c r="A84" s="634" t="str">
        <f t="shared" ref="A84:A86" si="14">$A$83</f>
        <v>NSR-716-V05</v>
      </c>
      <c r="B84" s="621" t="s">
        <v>243</v>
      </c>
      <c r="C84" s="622">
        <v>1</v>
      </c>
      <c r="D84" s="788">
        <v>0.10027575833542242</v>
      </c>
      <c r="E84" s="623">
        <f>+SUMIF('產銷總表 '!$A$6:$A$118,$A84,'產銷總表 '!$R$6:$R$118)</f>
        <v>0</v>
      </c>
      <c r="F84" s="926">
        <f t="shared" si="8"/>
        <v>0</v>
      </c>
      <c r="G84" s="926">
        <f>+SUMIF('產銷總表 '!$A$6:$A$118,$A84,'產銷總表 '!$U$6:$U$118)</f>
        <v>0</v>
      </c>
      <c r="H84" s="926">
        <f t="shared" si="9"/>
        <v>0</v>
      </c>
      <c r="I84" s="926">
        <f>+SUMIF('產銷總表 '!$A$6:$A$118,$A84,'產銷總表 '!$X$6:$X$118)</f>
        <v>0</v>
      </c>
      <c r="J84" s="926">
        <f t="shared" si="10"/>
        <v>0</v>
      </c>
      <c r="K84" s="926">
        <f>+SUMIF('產銷總表 '!$A$6:$A$118,$A84,'產銷總表 '!$AA$6:$AA$118)</f>
        <v>0</v>
      </c>
      <c r="L84" s="926">
        <f t="shared" si="11"/>
        <v>0</v>
      </c>
    </row>
    <row r="85" spans="1:12" ht="18" customHeight="1" x14ac:dyDescent="0.25">
      <c r="A85" s="634" t="str">
        <f t="shared" si="14"/>
        <v>NSR-716-V05</v>
      </c>
      <c r="B85" s="621" t="s">
        <v>210</v>
      </c>
      <c r="C85" s="622">
        <v>1</v>
      </c>
      <c r="D85" s="788">
        <v>0.18801704687891699</v>
      </c>
      <c r="E85" s="623">
        <f>+SUMIF('產銷總表 '!$A$6:$A$118,$A85,'產銷總表 '!$R$6:$R$118)</f>
        <v>0</v>
      </c>
      <c r="F85" s="926">
        <f t="shared" si="8"/>
        <v>0</v>
      </c>
      <c r="G85" s="926">
        <f>+SUMIF('產銷總表 '!$A$6:$A$118,$A85,'產銷總表 '!$U$6:$U$118)</f>
        <v>0</v>
      </c>
      <c r="H85" s="926">
        <f t="shared" si="9"/>
        <v>0</v>
      </c>
      <c r="I85" s="926">
        <f>+SUMIF('產銷總表 '!$A$6:$A$118,$A85,'產銷總表 '!$X$6:$X$118)</f>
        <v>0</v>
      </c>
      <c r="J85" s="926">
        <f t="shared" si="10"/>
        <v>0</v>
      </c>
      <c r="K85" s="926">
        <f>+SUMIF('產銷總表 '!$A$6:$A$118,$A85,'產銷總表 '!$AA$6:$AA$118)</f>
        <v>0</v>
      </c>
      <c r="L85" s="926">
        <f t="shared" si="11"/>
        <v>0</v>
      </c>
    </row>
    <row r="86" spans="1:12" ht="18" customHeight="1" x14ac:dyDescent="0.25">
      <c r="A86" s="634" t="str">
        <f t="shared" si="14"/>
        <v>NSR-716-V05</v>
      </c>
      <c r="B86" s="621" t="s">
        <v>204</v>
      </c>
      <c r="C86" s="622">
        <v>1</v>
      </c>
      <c r="D86" s="788">
        <v>2.0055151667084482E-2</v>
      </c>
      <c r="E86" s="623">
        <f>+SUMIF('產銷總表 '!$A$6:$A$118,$A86,'產銷總表 '!$R$6:$R$118)</f>
        <v>0</v>
      </c>
      <c r="F86" s="926">
        <f t="shared" si="8"/>
        <v>0</v>
      </c>
      <c r="G86" s="926">
        <f>+SUMIF('產銷總表 '!$A$6:$A$118,$A86,'產銷總表 '!$U$6:$U$118)</f>
        <v>0</v>
      </c>
      <c r="H86" s="926">
        <f t="shared" si="9"/>
        <v>0</v>
      </c>
      <c r="I86" s="926">
        <f>+SUMIF('產銷總表 '!$A$6:$A$118,$A86,'產銷總表 '!$X$6:$X$118)</f>
        <v>0</v>
      </c>
      <c r="J86" s="926">
        <f t="shared" si="10"/>
        <v>0</v>
      </c>
      <c r="K86" s="926">
        <f>+SUMIF('產銷總表 '!$A$6:$A$118,$A86,'產銷總表 '!$AA$6:$AA$118)</f>
        <v>0</v>
      </c>
      <c r="L86" s="926">
        <f t="shared" si="11"/>
        <v>0</v>
      </c>
    </row>
    <row r="87" spans="1:12" ht="18" customHeight="1" x14ac:dyDescent="0.25">
      <c r="A87" s="634" t="str">
        <f>'產銷總表 '!A78</f>
        <v>NSE-1106A</v>
      </c>
      <c r="B87" s="621" t="s">
        <v>243</v>
      </c>
      <c r="C87" s="622">
        <v>1</v>
      </c>
      <c r="D87" s="788">
        <v>0.75</v>
      </c>
      <c r="E87" s="623">
        <f>+SUMIF('產銷總表 '!$A$6:$A$118,$A87,'產銷總表 '!$R$6:$R$118)</f>
        <v>54</v>
      </c>
      <c r="F87" s="926">
        <f t="shared" si="8"/>
        <v>40.5</v>
      </c>
      <c r="G87" s="926">
        <f>+SUMIF('產銷總表 '!$A$6:$A$118,$A87,'產銷總表 '!$U$6:$U$118)</f>
        <v>287.60000000000002</v>
      </c>
      <c r="H87" s="926">
        <f t="shared" si="9"/>
        <v>215.7</v>
      </c>
      <c r="I87" s="926">
        <f>+SUMIF('產銷總表 '!$A$6:$A$118,$A87,'產銷總表 '!$X$6:$X$118)</f>
        <v>287.60000000000002</v>
      </c>
      <c r="J87" s="926">
        <f t="shared" si="10"/>
        <v>215.7</v>
      </c>
      <c r="K87" s="926">
        <f>+SUMIF('產銷總表 '!$A$6:$A$118,$A87,'產銷總表 '!$AA$6:$AA$118)</f>
        <v>287.60000000000002</v>
      </c>
      <c r="L87" s="926">
        <f t="shared" si="11"/>
        <v>215.7</v>
      </c>
    </row>
    <row r="88" spans="1:12" ht="18" customHeight="1" x14ac:dyDescent="0.25">
      <c r="A88" s="634" t="str">
        <f t="shared" ref="A88:A90" si="15">$A$87</f>
        <v>NSE-1106A</v>
      </c>
      <c r="B88" s="621" t="s">
        <v>202</v>
      </c>
      <c r="C88" s="622">
        <v>1</v>
      </c>
      <c r="D88" s="788">
        <v>0.05</v>
      </c>
      <c r="E88" s="623">
        <f>+SUMIF('產銷總表 '!$A$6:$A$118,$A88,'產銷總表 '!$R$6:$R$118)</f>
        <v>54</v>
      </c>
      <c r="F88" s="926">
        <f t="shared" si="8"/>
        <v>2.7</v>
      </c>
      <c r="G88" s="926">
        <f>+SUMIF('產銷總表 '!$A$6:$A$118,$A88,'產銷總表 '!$U$6:$U$118)</f>
        <v>287.60000000000002</v>
      </c>
      <c r="H88" s="926">
        <f t="shared" si="9"/>
        <v>14.38</v>
      </c>
      <c r="I88" s="926">
        <f>+SUMIF('產銷總表 '!$A$6:$A$118,$A88,'產銷總表 '!$X$6:$X$118)</f>
        <v>287.60000000000002</v>
      </c>
      <c r="J88" s="926">
        <f t="shared" si="10"/>
        <v>14.38</v>
      </c>
      <c r="K88" s="926">
        <f>+SUMIF('產銷總表 '!$A$6:$A$118,$A88,'產銷總表 '!$AA$6:$AA$118)</f>
        <v>287.60000000000002</v>
      </c>
      <c r="L88" s="926">
        <f t="shared" si="11"/>
        <v>14.38</v>
      </c>
    </row>
    <row r="89" spans="1:12" ht="18" customHeight="1" x14ac:dyDescent="0.25">
      <c r="A89" s="634" t="str">
        <f t="shared" si="15"/>
        <v>NSE-1106A</v>
      </c>
      <c r="B89" s="621" t="s">
        <v>208</v>
      </c>
      <c r="C89" s="622">
        <v>1</v>
      </c>
      <c r="D89" s="790">
        <f>517.5/207000</f>
        <v>2.5000000000000001E-3</v>
      </c>
      <c r="E89" s="623">
        <f>+SUMIF('產銷總表 '!$A$6:$A$118,$A89,'產銷總表 '!$R$6:$R$118)</f>
        <v>54</v>
      </c>
      <c r="F89" s="926">
        <f t="shared" si="8"/>
        <v>0.13500000000000001</v>
      </c>
      <c r="G89" s="926">
        <f>+SUMIF('產銷總表 '!$A$6:$A$118,$A89,'產銷總表 '!$U$6:$U$118)</f>
        <v>287.60000000000002</v>
      </c>
      <c r="H89" s="926">
        <f t="shared" si="9"/>
        <v>0.71899999999999997</v>
      </c>
      <c r="I89" s="926">
        <f>+SUMIF('產銷總表 '!$A$6:$A$118,$A89,'產銷總表 '!$X$6:$X$118)</f>
        <v>287.60000000000002</v>
      </c>
      <c r="J89" s="926">
        <f t="shared" si="10"/>
        <v>0.71899999999999997</v>
      </c>
      <c r="K89" s="926">
        <f>+SUMIF('產銷總表 '!$A$6:$A$118,$A89,'產銷總表 '!$AA$6:$AA$118)</f>
        <v>287.60000000000002</v>
      </c>
      <c r="L89" s="926">
        <f t="shared" si="11"/>
        <v>0.71899999999999997</v>
      </c>
    </row>
    <row r="90" spans="1:12" ht="18" customHeight="1" x14ac:dyDescent="0.25">
      <c r="A90" s="634" t="str">
        <f t="shared" si="15"/>
        <v>NSE-1106A</v>
      </c>
      <c r="B90" s="621" t="s">
        <v>204</v>
      </c>
      <c r="C90" s="622">
        <v>1</v>
      </c>
      <c r="D90" s="788">
        <v>5.2001114309592339E-2</v>
      </c>
      <c r="E90" s="623">
        <f>+SUMIF('產銷總表 '!$A$6:$A$118,$A90,'產銷總表 '!$R$6:$R$118)</f>
        <v>54</v>
      </c>
      <c r="F90" s="926">
        <f t="shared" si="8"/>
        <v>2.8079999999999998</v>
      </c>
      <c r="G90" s="926">
        <f>+SUMIF('產銷總表 '!$A$6:$A$118,$A90,'產銷總表 '!$U$6:$U$118)</f>
        <v>287.60000000000002</v>
      </c>
      <c r="H90" s="926">
        <f t="shared" si="9"/>
        <v>14.956</v>
      </c>
      <c r="I90" s="926">
        <f>+SUMIF('產銷總表 '!$A$6:$A$118,$A90,'產銷總表 '!$X$6:$X$118)</f>
        <v>287.60000000000002</v>
      </c>
      <c r="J90" s="926">
        <f t="shared" si="10"/>
        <v>14.956</v>
      </c>
      <c r="K90" s="926">
        <f>+SUMIF('產銷總表 '!$A$6:$A$118,$A90,'產銷總表 '!$AA$6:$AA$118)</f>
        <v>287.60000000000002</v>
      </c>
      <c r="L90" s="926">
        <f t="shared" si="11"/>
        <v>14.956</v>
      </c>
    </row>
    <row r="91" spans="1:12" ht="18" customHeight="1" x14ac:dyDescent="0.25">
      <c r="A91" s="634" t="str">
        <f>'產銷總表 '!A79</f>
        <v>NSE-115A</v>
      </c>
      <c r="B91" s="621" t="s">
        <v>243</v>
      </c>
      <c r="C91" s="622">
        <v>1</v>
      </c>
      <c r="D91" s="788">
        <v>0.19800000000000001</v>
      </c>
      <c r="E91" s="623">
        <f>+SUMIF('產銷總表 '!$A$6:$A$118,$A91,'產銷總表 '!$R$6:$R$118)</f>
        <v>0</v>
      </c>
      <c r="F91" s="926">
        <f t="shared" si="8"/>
        <v>0</v>
      </c>
      <c r="G91" s="926">
        <f>+SUMIF('產銷總表 '!$A$6:$A$118,$A91,'產銷總表 '!$U$6:$U$118)</f>
        <v>0</v>
      </c>
      <c r="H91" s="926">
        <f t="shared" si="9"/>
        <v>0</v>
      </c>
      <c r="I91" s="926">
        <f>+SUMIF('產銷總表 '!$A$6:$A$118,$A91,'產銷總表 '!$X$6:$X$118)</f>
        <v>0</v>
      </c>
      <c r="J91" s="926">
        <f t="shared" si="10"/>
        <v>0</v>
      </c>
      <c r="K91" s="926">
        <f>+SUMIF('產銷總表 '!$A$6:$A$118,$A91,'產銷總表 '!$AA$6:$AA$118)</f>
        <v>0</v>
      </c>
      <c r="L91" s="926">
        <f t="shared" si="11"/>
        <v>0</v>
      </c>
    </row>
    <row r="92" spans="1:12" ht="18" customHeight="1" x14ac:dyDescent="0.25">
      <c r="A92" s="634" t="str">
        <f t="shared" ref="A92:A94" si="16">$A$91</f>
        <v>NSE-115A</v>
      </c>
      <c r="B92" s="621" t="s">
        <v>208</v>
      </c>
      <c r="C92" s="622">
        <v>1</v>
      </c>
      <c r="D92" s="790">
        <v>2.5000000000000001E-3</v>
      </c>
      <c r="E92" s="623">
        <f>+SUMIF('產銷總表 '!$A$6:$A$118,$A92,'產銷總表 '!$R$6:$R$118)</f>
        <v>0</v>
      </c>
      <c r="F92" s="926">
        <f t="shared" si="8"/>
        <v>0</v>
      </c>
      <c r="G92" s="926">
        <f>+SUMIF('產銷總表 '!$A$6:$A$118,$A92,'產銷總表 '!$U$6:$U$118)</f>
        <v>0</v>
      </c>
      <c r="H92" s="926">
        <f t="shared" si="9"/>
        <v>0</v>
      </c>
      <c r="I92" s="926">
        <f>+SUMIF('產銷總表 '!$A$6:$A$118,$A92,'產銷總表 '!$X$6:$X$118)</f>
        <v>0</v>
      </c>
      <c r="J92" s="926">
        <f t="shared" si="10"/>
        <v>0</v>
      </c>
      <c r="K92" s="926">
        <f>+SUMIF('產銷總表 '!$A$6:$A$118,$A92,'產銷總表 '!$AA$6:$AA$118)</f>
        <v>0</v>
      </c>
      <c r="L92" s="926">
        <f t="shared" si="11"/>
        <v>0</v>
      </c>
    </row>
    <row r="93" spans="1:12" ht="18" customHeight="1" x14ac:dyDescent="0.25">
      <c r="A93" s="634" t="str">
        <f t="shared" si="16"/>
        <v>NSE-115A</v>
      </c>
      <c r="B93" s="621" t="s">
        <v>204</v>
      </c>
      <c r="C93" s="622">
        <v>1</v>
      </c>
      <c r="D93" s="788">
        <v>5.1999999999999998E-2</v>
      </c>
      <c r="E93" s="623">
        <f>+SUMIF('產銷總表 '!$A$6:$A$118,$A93,'產銷總表 '!$R$6:$R$118)</f>
        <v>0</v>
      </c>
      <c r="F93" s="926">
        <f t="shared" si="8"/>
        <v>0</v>
      </c>
      <c r="G93" s="926">
        <f>+SUMIF('產銷總表 '!$A$6:$A$118,$A93,'產銷總表 '!$U$6:$U$118)</f>
        <v>0</v>
      </c>
      <c r="H93" s="926">
        <f t="shared" si="9"/>
        <v>0</v>
      </c>
      <c r="I93" s="926">
        <f>+SUMIF('產銷總表 '!$A$6:$A$118,$A93,'產銷總表 '!$X$6:$X$118)</f>
        <v>0</v>
      </c>
      <c r="J93" s="926">
        <f t="shared" si="10"/>
        <v>0</v>
      </c>
      <c r="K93" s="926">
        <f>+SUMIF('產銷總表 '!$A$6:$A$118,$A93,'產銷總表 '!$AA$6:$AA$118)</f>
        <v>0</v>
      </c>
      <c r="L93" s="926">
        <f t="shared" si="11"/>
        <v>0</v>
      </c>
    </row>
    <row r="94" spans="1:12" ht="18" customHeight="1" x14ac:dyDescent="0.25">
      <c r="A94" s="634" t="str">
        <f t="shared" si="16"/>
        <v>NSE-115A</v>
      </c>
      <c r="B94" s="621" t="s">
        <v>202</v>
      </c>
      <c r="C94" s="622">
        <v>1</v>
      </c>
      <c r="D94" s="788">
        <v>0.5</v>
      </c>
      <c r="E94" s="623">
        <f>+SUMIF('產銷總表 '!$A$6:$A$118,$A94,'產銷總表 '!$R$6:$R$118)</f>
        <v>0</v>
      </c>
      <c r="F94" s="926">
        <f t="shared" si="8"/>
        <v>0</v>
      </c>
      <c r="G94" s="926">
        <f>+SUMIF('產銷總表 '!$A$6:$A$118,$A94,'產銷總表 '!$U$6:$U$118)</f>
        <v>0</v>
      </c>
      <c r="H94" s="926">
        <f t="shared" si="9"/>
        <v>0</v>
      </c>
      <c r="I94" s="926">
        <f>+SUMIF('產銷總表 '!$A$6:$A$118,$A94,'產銷總表 '!$X$6:$X$118)</f>
        <v>0</v>
      </c>
      <c r="J94" s="926">
        <f t="shared" si="10"/>
        <v>0</v>
      </c>
      <c r="K94" s="926">
        <f>+SUMIF('產銷總表 '!$A$6:$A$118,$A94,'產銷總表 '!$AA$6:$AA$118)</f>
        <v>0</v>
      </c>
      <c r="L94" s="926">
        <f t="shared" si="11"/>
        <v>0</v>
      </c>
    </row>
    <row r="95" spans="1:12" ht="18" customHeight="1" x14ac:dyDescent="0.25">
      <c r="A95" s="634" t="str">
        <f>'產銷總表 '!A81</f>
        <v>SEP73E3</v>
      </c>
      <c r="B95" s="621" t="s">
        <v>211</v>
      </c>
      <c r="C95" s="622">
        <v>1</v>
      </c>
      <c r="D95" s="788">
        <f>31270/44210/100%</f>
        <v>0.70730603935761138</v>
      </c>
      <c r="E95" s="623">
        <f>+SUMIF('產銷總表 '!$A$6:$A$118,$A95,'產銷總表 '!$R$6:$R$118)</f>
        <v>0</v>
      </c>
      <c r="F95" s="926">
        <f t="shared" si="4"/>
        <v>0</v>
      </c>
      <c r="G95" s="926">
        <f>+SUMIF('產銷總表 '!$A$6:$A$118,$A95,'產銷總表 '!$U$6:$U$118)</f>
        <v>40</v>
      </c>
      <c r="H95" s="926">
        <f t="shared" si="5"/>
        <v>28</v>
      </c>
      <c r="I95" s="926">
        <f>+SUMIF('產銷總表 '!$A$6:$A$118,$A95,'產銷總表 '!$X$6:$X$118)</f>
        <v>40</v>
      </c>
      <c r="J95" s="926">
        <f t="shared" si="6"/>
        <v>28</v>
      </c>
      <c r="K95" s="926">
        <f>+SUMIF('產銷總表 '!$A$6:$A$118,$A95,'產銷總表 '!$AA$6:$AA$118)</f>
        <v>40</v>
      </c>
      <c r="L95" s="926">
        <f t="shared" si="7"/>
        <v>28</v>
      </c>
    </row>
    <row r="96" spans="1:12" ht="18" customHeight="1" x14ac:dyDescent="0.25">
      <c r="A96" s="634" t="str">
        <f>$A$95</f>
        <v>SEP73E3</v>
      </c>
      <c r="B96" s="621" t="s">
        <v>213</v>
      </c>
      <c r="C96" s="622">
        <v>1</v>
      </c>
      <c r="D96" s="788">
        <v>0.29269396064238862</v>
      </c>
      <c r="E96" s="623">
        <f>+SUMIF('產銷總表 '!$A$6:$A$118,$A96,'產銷總表 '!$R$6:$R$118)</f>
        <v>0</v>
      </c>
      <c r="F96" s="926">
        <f t="shared" si="4"/>
        <v>0</v>
      </c>
      <c r="G96" s="926">
        <f>+SUMIF('產銷總表 '!$A$6:$A$118,$A96,'產銷總表 '!$U$6:$U$118)</f>
        <v>40</v>
      </c>
      <c r="H96" s="926">
        <f t="shared" si="5"/>
        <v>12</v>
      </c>
      <c r="I96" s="926">
        <f>+SUMIF('產銷總表 '!$A$6:$A$118,$A96,'產銷總表 '!$X$6:$X$118)</f>
        <v>40</v>
      </c>
      <c r="J96" s="926">
        <f t="shared" si="6"/>
        <v>12</v>
      </c>
      <c r="K96" s="926">
        <f>+SUMIF('產銷總表 '!$A$6:$A$118,$A96,'產銷總表 '!$AA$6:$AA$118)</f>
        <v>40</v>
      </c>
      <c r="L96" s="926">
        <f t="shared" si="7"/>
        <v>12</v>
      </c>
    </row>
    <row r="97" spans="1:12" ht="18" customHeight="1" x14ac:dyDescent="0.25">
      <c r="A97" s="634" t="str">
        <f>'產銷總表 '!A82</f>
        <v>PS300</v>
      </c>
      <c r="B97" s="621" t="s">
        <v>244</v>
      </c>
      <c r="C97" s="622">
        <v>1</v>
      </c>
      <c r="D97" s="788">
        <f>0.399913811678518/100%</f>
        <v>0.39991381167851803</v>
      </c>
      <c r="E97" s="623">
        <f>+SUMIF('產銷總表 '!$A$6:$A$118,$A97,'產銷總表 '!$R$6:$R$118)</f>
        <v>0</v>
      </c>
      <c r="F97" s="926">
        <f t="shared" si="4"/>
        <v>0</v>
      </c>
      <c r="G97" s="926">
        <f>+SUMIF('產銷總表 '!$A$6:$A$118,$A97,'產銷總表 '!$U$6:$U$118)</f>
        <v>4</v>
      </c>
      <c r="H97" s="926">
        <f t="shared" si="5"/>
        <v>2</v>
      </c>
      <c r="I97" s="926">
        <f>+SUMIF('產銷總表 '!$A$6:$A$118,$A97,'產銷總表 '!$X$6:$X$118)</f>
        <v>2</v>
      </c>
      <c r="J97" s="926">
        <f t="shared" si="6"/>
        <v>1</v>
      </c>
      <c r="K97" s="926">
        <f>+SUMIF('產銷總表 '!$A$6:$A$118,$A97,'產銷總表 '!$AA$6:$AA$118)</f>
        <v>2</v>
      </c>
      <c r="L97" s="926">
        <f t="shared" si="7"/>
        <v>1</v>
      </c>
    </row>
    <row r="98" spans="1:12" ht="18" customHeight="1" x14ac:dyDescent="0.25">
      <c r="A98" s="634" t="str">
        <f t="shared" ref="A98:A99" si="17">$A$97</f>
        <v>PS300</v>
      </c>
      <c r="B98" s="621" t="s">
        <v>245</v>
      </c>
      <c r="C98" s="622">
        <v>1</v>
      </c>
      <c r="D98" s="788">
        <f>0.451303598362422/100%</f>
        <v>0.45130359836242201</v>
      </c>
      <c r="E98" s="623">
        <f>+SUMIF('產銷總表 '!$A$6:$A$118,$A98,'產銷總表 '!$R$6:$R$118)</f>
        <v>0</v>
      </c>
      <c r="F98" s="926">
        <f t="shared" ref="F98:F133" si="18">+ROUND($C98*$D98*$E98,0)</f>
        <v>0</v>
      </c>
      <c r="G98" s="926">
        <f>+SUMIF('產銷總表 '!$A$6:$A$118,$A98,'產銷總表 '!$U$6:$U$118)</f>
        <v>4</v>
      </c>
      <c r="H98" s="926">
        <f t="shared" ref="H98:H133" si="19">+ROUND($C98*$D98*$G98,0)</f>
        <v>2</v>
      </c>
      <c r="I98" s="926">
        <f>+SUMIF('產銷總表 '!$A$6:$A$118,$A98,'產銷總表 '!$X$6:$X$118)</f>
        <v>2</v>
      </c>
      <c r="J98" s="926">
        <f t="shared" ref="J98:J133" si="20">+ROUND($C98*$D98*$I98,0)</f>
        <v>1</v>
      </c>
      <c r="K98" s="926">
        <f>+SUMIF('產銷總表 '!$A$6:$A$118,$A98,'產銷總表 '!$AA$6:$AA$118)</f>
        <v>2</v>
      </c>
      <c r="L98" s="926">
        <f t="shared" ref="L98:L133" si="21">+ROUND($C98*$D98*$K98,0)</f>
        <v>1</v>
      </c>
    </row>
    <row r="99" spans="1:12" ht="18" customHeight="1" x14ac:dyDescent="0.25">
      <c r="A99" s="634" t="str">
        <f t="shared" si="17"/>
        <v>PS300</v>
      </c>
      <c r="B99" s="621" t="s">
        <v>215</v>
      </c>
      <c r="C99" s="622">
        <v>1</v>
      </c>
      <c r="D99" s="788">
        <f>0.149967679379444/100%</f>
        <v>0.149967679379444</v>
      </c>
      <c r="E99" s="623">
        <f>+SUMIF('產銷總表 '!$A$6:$A$118,$A99,'產銷總表 '!$R$6:$R$118)</f>
        <v>0</v>
      </c>
      <c r="F99" s="926">
        <f t="shared" si="18"/>
        <v>0</v>
      </c>
      <c r="G99" s="926">
        <f>+SUMIF('產銷總表 '!$A$6:$A$118,$A99,'產銷總表 '!$U$6:$U$118)</f>
        <v>4</v>
      </c>
      <c r="H99" s="926">
        <f t="shared" si="19"/>
        <v>1</v>
      </c>
      <c r="I99" s="926">
        <f>+SUMIF('產銷總表 '!$A$6:$A$118,$A99,'產銷總表 '!$X$6:$X$118)</f>
        <v>2</v>
      </c>
      <c r="J99" s="926">
        <f t="shared" si="20"/>
        <v>0</v>
      </c>
      <c r="K99" s="926">
        <f>+SUMIF('產銷總表 '!$A$6:$A$118,$A99,'產銷總表 '!$AA$6:$AA$118)</f>
        <v>2</v>
      </c>
      <c r="L99" s="926">
        <f t="shared" si="21"/>
        <v>0</v>
      </c>
    </row>
    <row r="100" spans="1:12" ht="18" customHeight="1" x14ac:dyDescent="0.25">
      <c r="A100" s="634" t="str">
        <f>'產銷總表 '!$A$80</f>
        <v>ACT790</v>
      </c>
      <c r="B100" s="621" t="s">
        <v>243</v>
      </c>
      <c r="C100" s="622">
        <v>1</v>
      </c>
      <c r="D100" s="788">
        <v>0.75</v>
      </c>
      <c r="E100" s="623">
        <f>+SUMIF('產銷總表 '!$A$6:$A$118,$A100,'產銷總表 '!$R$6:$R$118)</f>
        <v>8.9</v>
      </c>
      <c r="F100" s="926">
        <f>+ROUND($C100*$D100*$E100,3)</f>
        <v>6.6749999999999998</v>
      </c>
      <c r="G100" s="926">
        <f>+SUMIF('產銷總表 '!$A$6:$A$118,$A100,'產銷總表 '!$U$6:$U$118)</f>
        <v>34</v>
      </c>
      <c r="H100" s="926">
        <f>+ROUND($C100*$D100*$G100,3)</f>
        <v>25.5</v>
      </c>
      <c r="I100" s="926">
        <f>+SUMIF('產銷總表 '!$A$6:$A$118,$A100,'產銷總表 '!$X$6:$X$118)</f>
        <v>34</v>
      </c>
      <c r="J100" s="926">
        <f>+ROUND($C100*$D100*$I100,3)</f>
        <v>25.5</v>
      </c>
      <c r="K100" s="926">
        <f>+SUMIF('產銷總表 '!$A$6:$A$118,$A100,'產銷總表 '!$AA$6:$AA$118)</f>
        <v>34</v>
      </c>
      <c r="L100" s="926">
        <f>+ROUND($C100*$D100*$K100,3)</f>
        <v>25.5</v>
      </c>
    </row>
    <row r="101" spans="1:12" ht="18" customHeight="1" x14ac:dyDescent="0.25">
      <c r="A101" s="634" t="str">
        <f>$A$100</f>
        <v>ACT790</v>
      </c>
      <c r="B101" s="621" t="s">
        <v>206</v>
      </c>
      <c r="C101" s="622">
        <v>1</v>
      </c>
      <c r="D101" s="788">
        <v>2.5000000000000001E-3</v>
      </c>
      <c r="E101" s="623">
        <f>+SUMIF('產銷總表 '!$A$6:$A$118,$A101,'產銷總表 '!$R$6:$R$118)</f>
        <v>8.9</v>
      </c>
      <c r="F101" s="926">
        <f>+ROUND($C101*$D101*$E101,3)</f>
        <v>2.1999999999999999E-2</v>
      </c>
      <c r="G101" s="926">
        <f>+SUMIF('產銷總表 '!$A$6:$A$118,$A101,'產銷總表 '!$U$6:$U$118)</f>
        <v>34</v>
      </c>
      <c r="H101" s="926">
        <f>+ROUND($C101*$D101*$G101,3)</f>
        <v>8.5000000000000006E-2</v>
      </c>
      <c r="I101" s="926">
        <f>+SUMIF('產銷總表 '!$A$6:$A$118,$A101,'產銷總表 '!$X$6:$X$118)</f>
        <v>34</v>
      </c>
      <c r="J101" s="926">
        <f>+ROUND($C101*$D101*$I101,3)</f>
        <v>8.5000000000000006E-2</v>
      </c>
      <c r="K101" s="926">
        <f>+SUMIF('產銷總表 '!$A$6:$A$118,$A101,'產銷總表 '!$AA$6:$AA$118)</f>
        <v>34</v>
      </c>
      <c r="L101" s="926">
        <f>+ROUND($C101*$D101*$K101,3)</f>
        <v>8.5000000000000006E-2</v>
      </c>
    </row>
    <row r="102" spans="1:12" ht="18" customHeight="1" x14ac:dyDescent="0.25">
      <c r="A102" s="634" t="str">
        <f t="shared" ref="A102:A103" si="22">$A$100</f>
        <v>ACT790</v>
      </c>
      <c r="B102" s="621" t="s">
        <v>202</v>
      </c>
      <c r="C102" s="622">
        <v>1</v>
      </c>
      <c r="D102" s="788">
        <v>0.05</v>
      </c>
      <c r="E102" s="623">
        <f>+SUMIF('產銷總表 '!$A$6:$A$118,$A102,'產銷總表 '!$R$6:$R$118)</f>
        <v>8.9</v>
      </c>
      <c r="F102" s="926">
        <f>+ROUND($C102*$D102*$E102,3)</f>
        <v>0.44500000000000001</v>
      </c>
      <c r="G102" s="926">
        <f>+SUMIF('產銷總表 '!$A$6:$A$118,$A102,'產銷總表 '!$U$6:$U$118)</f>
        <v>34</v>
      </c>
      <c r="H102" s="926">
        <f>+ROUND($C102*$D102*$G102,3)</f>
        <v>1.7</v>
      </c>
      <c r="I102" s="926">
        <f>+SUMIF('產銷總表 '!$A$6:$A$118,$A102,'產銷總表 '!$X$6:$X$118)</f>
        <v>34</v>
      </c>
      <c r="J102" s="926">
        <f>+ROUND($C102*$D102*$I102,3)</f>
        <v>1.7</v>
      </c>
      <c r="K102" s="926">
        <f>+SUMIF('產銷總表 '!$A$6:$A$118,$A102,'產銷總表 '!$AA$6:$AA$118)</f>
        <v>34</v>
      </c>
      <c r="L102" s="926">
        <f>+ROUND($C102*$D102*$K102,3)</f>
        <v>1.7</v>
      </c>
    </row>
    <row r="103" spans="1:12" ht="18" customHeight="1" x14ac:dyDescent="0.25">
      <c r="A103" s="634" t="str">
        <f t="shared" si="22"/>
        <v>ACT790</v>
      </c>
      <c r="B103" s="621" t="s">
        <v>204</v>
      </c>
      <c r="C103" s="622">
        <v>1</v>
      </c>
      <c r="D103" s="788">
        <v>5.2001114309592339E-2</v>
      </c>
      <c r="E103" s="623">
        <f>+SUMIF('產銷總表 '!$A$6:$A$118,$A103,'產銷總表 '!$R$6:$R$118)</f>
        <v>8.9</v>
      </c>
      <c r="F103" s="926">
        <f>+ROUND($C103*$D103*$E103,3)</f>
        <v>0.46300000000000002</v>
      </c>
      <c r="G103" s="926">
        <f>+SUMIF('產銷總表 '!$A$6:$A$118,$A103,'產銷總表 '!$U$6:$U$118)</f>
        <v>34</v>
      </c>
      <c r="H103" s="926">
        <f>+ROUND($C103*$D103*$G103,3)</f>
        <v>1.768</v>
      </c>
      <c r="I103" s="926">
        <f>+SUMIF('產銷總表 '!$A$6:$A$118,$A103,'產銷總表 '!$X$6:$X$118)</f>
        <v>34</v>
      </c>
      <c r="J103" s="926">
        <f>+ROUND($C103*$D103*$I103,3)</f>
        <v>1.768</v>
      </c>
      <c r="K103" s="926">
        <f>+SUMIF('產銷總表 '!$A$6:$A$118,$A103,'產銷總表 '!$AA$6:$AA$118)</f>
        <v>34</v>
      </c>
      <c r="L103" s="926">
        <f>+ROUND($C103*$D103*$K103,3)</f>
        <v>1.768</v>
      </c>
    </row>
    <row r="104" spans="1:12" ht="18" customHeight="1" x14ac:dyDescent="0.25">
      <c r="A104" s="634" t="s">
        <v>246</v>
      </c>
      <c r="B104" s="621" t="s">
        <v>49</v>
      </c>
      <c r="C104" s="622">
        <v>1</v>
      </c>
      <c r="D104" s="788">
        <v>0.5</v>
      </c>
      <c r="E104" s="623">
        <f>+SUMIF('產銷總表 '!$A$6:$A$118,$A104,'產銷總表 '!$R$6:$R$118)</f>
        <v>0</v>
      </c>
      <c r="F104" s="629">
        <f t="shared" si="18"/>
        <v>0</v>
      </c>
      <c r="G104" s="621">
        <f>+SUMIF('產銷總表 '!$A$6:$A$118,$A104,'產銷總表 '!$U$6:$U$118)</f>
        <v>0</v>
      </c>
      <c r="H104" s="629">
        <f t="shared" si="19"/>
        <v>0</v>
      </c>
      <c r="I104" s="621">
        <f>+SUMIF('產銷總表 '!$A$6:$A$118,$A104,'產銷總表 '!$X$6:$X$118)</f>
        <v>0</v>
      </c>
      <c r="J104" s="629">
        <f t="shared" si="20"/>
        <v>0</v>
      </c>
      <c r="K104" s="621">
        <f>+SUMIF('產銷總表 '!$A$6:$A$118,$A104,'產銷總表 '!$AA$6:$AA$118)</f>
        <v>0</v>
      </c>
      <c r="L104" s="629">
        <f t="shared" si="21"/>
        <v>0</v>
      </c>
    </row>
    <row r="105" spans="1:12" ht="18" customHeight="1" x14ac:dyDescent="0.25">
      <c r="A105" s="634" t="s">
        <v>246</v>
      </c>
      <c r="B105" s="621" t="s">
        <v>247</v>
      </c>
      <c r="C105" s="622">
        <v>1</v>
      </c>
      <c r="D105" s="788">
        <v>0.5</v>
      </c>
      <c r="E105" s="623">
        <f>+SUMIF('產銷總表 '!$A$6:$A$118,$A105,'產銷總表 '!$R$6:$R$118)</f>
        <v>0</v>
      </c>
      <c r="F105" s="629">
        <f t="shared" si="18"/>
        <v>0</v>
      </c>
      <c r="G105" s="621">
        <f>+SUMIF('產銷總表 '!$A$6:$A$118,$A105,'產銷總表 '!$U$6:$U$118)</f>
        <v>0</v>
      </c>
      <c r="H105" s="629">
        <f t="shared" si="19"/>
        <v>0</v>
      </c>
      <c r="I105" s="621">
        <f>+SUMIF('產銷總表 '!$A$6:$A$118,$A105,'產銷總表 '!$X$6:$X$118)</f>
        <v>0</v>
      </c>
      <c r="J105" s="629">
        <f t="shared" si="20"/>
        <v>0</v>
      </c>
      <c r="K105" s="621">
        <f>+SUMIF('產銷總表 '!$A$6:$A$118,$A105,'產銷總表 '!$AA$6:$AA$118)</f>
        <v>0</v>
      </c>
      <c r="L105" s="629">
        <f t="shared" si="21"/>
        <v>0</v>
      </c>
    </row>
    <row r="106" spans="1:12" ht="18" customHeight="1" x14ac:dyDescent="0.25">
      <c r="A106" s="634">
        <f>'產銷總表 '!A91</f>
        <v>0</v>
      </c>
      <c r="B106" s="621"/>
      <c r="C106" s="622"/>
      <c r="D106" s="788"/>
      <c r="E106" s="623">
        <f>+SUMIF('產銷總表 '!$A$6:$A$118,$A106,'產銷總表 '!$R$6:$R$118)</f>
        <v>0</v>
      </c>
      <c r="F106" s="629">
        <f t="shared" si="18"/>
        <v>0</v>
      </c>
      <c r="G106" s="621">
        <f>+SUMIF('產銷總表 '!$A$6:$A$118,$A106,'產銷總表 '!$U$6:$U$118)</f>
        <v>0</v>
      </c>
      <c r="H106" s="629">
        <f t="shared" si="19"/>
        <v>0</v>
      </c>
      <c r="I106" s="621">
        <f>+SUMIF('產銷總表 '!$A$6:$A$118,$A106,'產銷總表 '!$X$6:$X$118)</f>
        <v>0</v>
      </c>
      <c r="J106" s="629">
        <f t="shared" si="20"/>
        <v>0</v>
      </c>
      <c r="K106" s="621">
        <f>+SUMIF('產銷總表 '!$A$6:$A$118,$A106,'產銷總表 '!$AA$6:$AA$118)</f>
        <v>0</v>
      </c>
      <c r="L106" s="629">
        <f t="shared" si="21"/>
        <v>0</v>
      </c>
    </row>
    <row r="107" spans="1:12" ht="18" customHeight="1" x14ac:dyDescent="0.25">
      <c r="A107" s="634">
        <f>'產銷總表 '!A92</f>
        <v>0</v>
      </c>
      <c r="B107" s="621"/>
      <c r="C107" s="622"/>
      <c r="D107" s="788"/>
      <c r="E107" s="623">
        <f>+SUMIF('產銷總表 '!$A$6:$A$118,$A107,'產銷總表 '!$R$6:$R$118)</f>
        <v>0</v>
      </c>
      <c r="F107" s="629">
        <f t="shared" si="18"/>
        <v>0</v>
      </c>
      <c r="G107" s="621">
        <f>+SUMIF('產銷總表 '!$A$6:$A$118,$A107,'產銷總表 '!$U$6:$U$118)</f>
        <v>0</v>
      </c>
      <c r="H107" s="629">
        <f t="shared" si="19"/>
        <v>0</v>
      </c>
      <c r="I107" s="621">
        <f>+SUMIF('產銷總表 '!$A$6:$A$118,$A107,'產銷總表 '!$X$6:$X$118)</f>
        <v>0</v>
      </c>
      <c r="J107" s="629">
        <f t="shared" si="20"/>
        <v>0</v>
      </c>
      <c r="K107" s="621">
        <f>+SUMIF('產銷總表 '!$A$6:$A$118,$A107,'產銷總表 '!$AA$6:$AA$118)</f>
        <v>0</v>
      </c>
      <c r="L107" s="629">
        <f t="shared" si="21"/>
        <v>0</v>
      </c>
    </row>
    <row r="108" spans="1:12" ht="18" customHeight="1" x14ac:dyDescent="0.25">
      <c r="A108" s="634">
        <f>'產銷總表 '!A93</f>
        <v>0</v>
      </c>
      <c r="B108" s="621"/>
      <c r="C108" s="622"/>
      <c r="D108" s="788"/>
      <c r="E108" s="623">
        <f>+SUMIF('產銷總表 '!$A$6:$A$118,$A108,'產銷總表 '!$R$6:$R$118)</f>
        <v>0</v>
      </c>
      <c r="F108" s="629">
        <f t="shared" si="18"/>
        <v>0</v>
      </c>
      <c r="G108" s="621">
        <f>+SUMIF('產銷總表 '!$A$6:$A$118,$A108,'產銷總表 '!$U$6:$U$118)</f>
        <v>0</v>
      </c>
      <c r="H108" s="629">
        <f t="shared" si="19"/>
        <v>0</v>
      </c>
      <c r="I108" s="621">
        <f>+SUMIF('產銷總表 '!$A$6:$A$118,$A108,'產銷總表 '!$X$6:$X$118)</f>
        <v>0</v>
      </c>
      <c r="J108" s="629">
        <f t="shared" si="20"/>
        <v>0</v>
      </c>
      <c r="K108" s="621">
        <f>+SUMIF('產銷總表 '!$A$6:$A$118,$A108,'產銷總表 '!$AA$6:$AA$118)</f>
        <v>0</v>
      </c>
      <c r="L108" s="629">
        <f t="shared" si="21"/>
        <v>0</v>
      </c>
    </row>
    <row r="109" spans="1:12" ht="18" customHeight="1" x14ac:dyDescent="0.25">
      <c r="A109" s="634">
        <f>'產銷總表 '!A94</f>
        <v>0</v>
      </c>
      <c r="B109" s="621"/>
      <c r="C109" s="622"/>
      <c r="D109" s="788"/>
      <c r="E109" s="623">
        <f>+SUMIF('產銷總表 '!$A$6:$A$118,$A109,'產銷總表 '!$R$6:$R$118)</f>
        <v>0</v>
      </c>
      <c r="F109" s="629">
        <f t="shared" si="18"/>
        <v>0</v>
      </c>
      <c r="G109" s="621">
        <f>+SUMIF('產銷總表 '!$A$6:$A$118,$A109,'產銷總表 '!$U$6:$U$118)</f>
        <v>0</v>
      </c>
      <c r="H109" s="629">
        <f t="shared" si="19"/>
        <v>0</v>
      </c>
      <c r="I109" s="621">
        <f>+SUMIF('產銷總表 '!$A$6:$A$118,$A109,'產銷總表 '!$X$6:$X$118)</f>
        <v>0</v>
      </c>
      <c r="J109" s="629">
        <f t="shared" si="20"/>
        <v>0</v>
      </c>
      <c r="K109" s="621">
        <f>+SUMIF('產銷總表 '!$A$6:$A$118,$A109,'產銷總表 '!$AA$6:$AA$118)</f>
        <v>0</v>
      </c>
      <c r="L109" s="629">
        <f t="shared" si="21"/>
        <v>0</v>
      </c>
    </row>
    <row r="110" spans="1:12" ht="18" customHeight="1" x14ac:dyDescent="0.25">
      <c r="A110" s="634">
        <f>'產銷總表 '!A95</f>
        <v>0</v>
      </c>
      <c r="B110" s="621"/>
      <c r="C110" s="622"/>
      <c r="D110" s="788"/>
      <c r="E110" s="623">
        <f>+SUMIF('產銷總表 '!$A$6:$A$118,$A110,'產銷總表 '!$R$6:$R$118)</f>
        <v>0</v>
      </c>
      <c r="F110" s="629">
        <f t="shared" si="18"/>
        <v>0</v>
      </c>
      <c r="G110" s="621">
        <f>+SUMIF('產銷總表 '!$A$6:$A$118,$A110,'產銷總表 '!$U$6:$U$118)</f>
        <v>0</v>
      </c>
      <c r="H110" s="629">
        <f t="shared" si="19"/>
        <v>0</v>
      </c>
      <c r="I110" s="621">
        <f>+SUMIF('產銷總表 '!$A$6:$A$118,$A110,'產銷總表 '!$X$6:$X$118)</f>
        <v>0</v>
      </c>
      <c r="J110" s="629">
        <f t="shared" si="20"/>
        <v>0</v>
      </c>
      <c r="K110" s="621">
        <f>+SUMIF('產銷總表 '!$A$6:$A$118,$A110,'產銷總表 '!$AA$6:$AA$118)</f>
        <v>0</v>
      </c>
      <c r="L110" s="629">
        <f t="shared" si="21"/>
        <v>0</v>
      </c>
    </row>
    <row r="111" spans="1:12" ht="18" customHeight="1" x14ac:dyDescent="0.25">
      <c r="A111" s="634">
        <f>'產銷總表 '!A96</f>
        <v>0</v>
      </c>
      <c r="B111" s="621"/>
      <c r="C111" s="622"/>
      <c r="D111" s="788"/>
      <c r="E111" s="623">
        <f>+SUMIF('產銷總表 '!$A$6:$A$118,$A111,'產銷總表 '!$R$6:$R$118)</f>
        <v>0</v>
      </c>
      <c r="F111" s="629">
        <f t="shared" si="18"/>
        <v>0</v>
      </c>
      <c r="G111" s="621">
        <f>+SUMIF('產銷總表 '!$A$6:$A$118,$A111,'產銷總表 '!$U$6:$U$118)</f>
        <v>0</v>
      </c>
      <c r="H111" s="629">
        <f t="shared" si="19"/>
        <v>0</v>
      </c>
      <c r="I111" s="621">
        <f>+SUMIF('產銷總表 '!$A$6:$A$118,$A111,'產銷總表 '!$X$6:$X$118)</f>
        <v>0</v>
      </c>
      <c r="J111" s="629">
        <f t="shared" si="20"/>
        <v>0</v>
      </c>
      <c r="K111" s="621">
        <f>+SUMIF('產銷總表 '!$A$6:$A$118,$A111,'產銷總表 '!$AA$6:$AA$118)</f>
        <v>0</v>
      </c>
      <c r="L111" s="629">
        <f t="shared" si="21"/>
        <v>0</v>
      </c>
    </row>
    <row r="112" spans="1:12" ht="18" customHeight="1" x14ac:dyDescent="0.25">
      <c r="A112" s="634">
        <f>'產銷總表 '!A97</f>
        <v>0</v>
      </c>
      <c r="B112" s="621"/>
      <c r="C112" s="622"/>
      <c r="D112" s="788"/>
      <c r="E112" s="623">
        <f>+SUMIF('產銷總表 '!$A$6:$A$118,$A112,'產銷總表 '!$R$6:$R$118)</f>
        <v>0</v>
      </c>
      <c r="F112" s="629">
        <f t="shared" si="18"/>
        <v>0</v>
      </c>
      <c r="G112" s="621">
        <f>+SUMIF('產銷總表 '!$A$6:$A$118,$A112,'產銷總表 '!$U$6:$U$118)</f>
        <v>0</v>
      </c>
      <c r="H112" s="629">
        <f t="shared" si="19"/>
        <v>0</v>
      </c>
      <c r="I112" s="621">
        <f>+SUMIF('產銷總表 '!$A$6:$A$118,$A112,'產銷總表 '!$X$6:$X$118)</f>
        <v>0</v>
      </c>
      <c r="J112" s="629">
        <f t="shared" si="20"/>
        <v>0</v>
      </c>
      <c r="K112" s="621">
        <f>+SUMIF('產銷總表 '!$A$6:$A$118,$A112,'產銷總表 '!$AA$6:$AA$118)</f>
        <v>0</v>
      </c>
      <c r="L112" s="629">
        <f t="shared" si="21"/>
        <v>0</v>
      </c>
    </row>
    <row r="113" spans="1:12" ht="18" customHeight="1" x14ac:dyDescent="0.25">
      <c r="A113" s="634">
        <f>'產銷總表 '!A98</f>
        <v>0</v>
      </c>
      <c r="B113" s="621"/>
      <c r="C113" s="622"/>
      <c r="D113" s="788"/>
      <c r="E113" s="623">
        <f>+SUMIF('產銷總表 '!$A$6:$A$118,$A113,'產銷總表 '!$R$6:$R$118)</f>
        <v>0</v>
      </c>
      <c r="F113" s="629">
        <f t="shared" si="18"/>
        <v>0</v>
      </c>
      <c r="G113" s="621">
        <f>+SUMIF('產銷總表 '!$A$6:$A$118,$A113,'產銷總表 '!$U$6:$U$118)</f>
        <v>0</v>
      </c>
      <c r="H113" s="629">
        <f t="shared" si="19"/>
        <v>0</v>
      </c>
      <c r="I113" s="621">
        <f>+SUMIF('產銷總表 '!$A$6:$A$118,$A113,'產銷總表 '!$X$6:$X$118)</f>
        <v>0</v>
      </c>
      <c r="J113" s="629">
        <f t="shared" si="20"/>
        <v>0</v>
      </c>
      <c r="K113" s="621">
        <f>+SUMIF('產銷總表 '!$A$6:$A$118,$A113,'產銷總表 '!$AA$6:$AA$118)</f>
        <v>0</v>
      </c>
      <c r="L113" s="629">
        <f t="shared" si="21"/>
        <v>0</v>
      </c>
    </row>
    <row r="114" spans="1:12" ht="18" customHeight="1" x14ac:dyDescent="0.25">
      <c r="A114" s="634">
        <f>'產銷總表 '!A99</f>
        <v>0</v>
      </c>
      <c r="B114" s="621"/>
      <c r="C114" s="622"/>
      <c r="D114" s="788"/>
      <c r="E114" s="623">
        <f>+SUMIF('產銷總表 '!$A$6:$A$118,$A114,'產銷總表 '!$R$6:$R$118)</f>
        <v>0</v>
      </c>
      <c r="F114" s="629">
        <f t="shared" si="18"/>
        <v>0</v>
      </c>
      <c r="G114" s="621">
        <f>+SUMIF('產銷總表 '!$A$6:$A$118,$A114,'產銷總表 '!$U$6:$U$118)</f>
        <v>0</v>
      </c>
      <c r="H114" s="629">
        <f t="shared" si="19"/>
        <v>0</v>
      </c>
      <c r="I114" s="621">
        <f>+SUMIF('產銷總表 '!$A$6:$A$118,$A114,'產銷總表 '!$X$6:$X$118)</f>
        <v>0</v>
      </c>
      <c r="J114" s="629">
        <f t="shared" si="20"/>
        <v>0</v>
      </c>
      <c r="K114" s="621">
        <f>+SUMIF('產銷總表 '!$A$6:$A$118,$A114,'產銷總表 '!$AA$6:$AA$118)</f>
        <v>0</v>
      </c>
      <c r="L114" s="629">
        <f t="shared" si="21"/>
        <v>0</v>
      </c>
    </row>
    <row r="115" spans="1:12" ht="18" customHeight="1" x14ac:dyDescent="0.25">
      <c r="A115" s="634">
        <f>'產銷總表 '!A100</f>
        <v>0</v>
      </c>
      <c r="B115" s="621"/>
      <c r="C115" s="622"/>
      <c r="D115" s="788"/>
      <c r="E115" s="623">
        <f>+SUMIF('產銷總表 '!$A$6:$A$118,$A115,'產銷總表 '!$R$6:$R$118)</f>
        <v>0</v>
      </c>
      <c r="F115" s="629">
        <f t="shared" si="18"/>
        <v>0</v>
      </c>
      <c r="G115" s="621">
        <f>+SUMIF('產銷總表 '!$A$6:$A$118,$A115,'產銷總表 '!$U$6:$U$118)</f>
        <v>0</v>
      </c>
      <c r="H115" s="629">
        <f t="shared" si="19"/>
        <v>0</v>
      </c>
      <c r="I115" s="621">
        <f>+SUMIF('產銷總表 '!$A$6:$A$118,$A115,'產銷總表 '!$X$6:$X$118)</f>
        <v>0</v>
      </c>
      <c r="J115" s="629">
        <f t="shared" si="20"/>
        <v>0</v>
      </c>
      <c r="K115" s="621">
        <f>+SUMIF('產銷總表 '!$A$6:$A$118,$A115,'產銷總表 '!$AA$6:$AA$118)</f>
        <v>0</v>
      </c>
      <c r="L115" s="629">
        <f t="shared" si="21"/>
        <v>0</v>
      </c>
    </row>
    <row r="116" spans="1:12" ht="18" customHeight="1" x14ac:dyDescent="0.25">
      <c r="A116" s="634">
        <f>'產銷總表 '!A101</f>
        <v>0</v>
      </c>
      <c r="B116" s="621"/>
      <c r="C116" s="622"/>
      <c r="D116" s="788"/>
      <c r="E116" s="623">
        <f>+SUMIF('產銷總表 '!$A$6:$A$118,$A116,'產銷總表 '!$R$6:$R$118)</f>
        <v>0</v>
      </c>
      <c r="F116" s="629">
        <f t="shared" si="18"/>
        <v>0</v>
      </c>
      <c r="G116" s="621">
        <f>+SUMIF('產銷總表 '!$A$6:$A$118,$A116,'產銷總表 '!$U$6:$U$118)</f>
        <v>0</v>
      </c>
      <c r="H116" s="629">
        <f t="shared" si="19"/>
        <v>0</v>
      </c>
      <c r="I116" s="621">
        <f>+SUMIF('產銷總表 '!$A$6:$A$118,$A116,'產銷總表 '!$X$6:$X$118)</f>
        <v>0</v>
      </c>
      <c r="J116" s="629">
        <f t="shared" si="20"/>
        <v>0</v>
      </c>
      <c r="K116" s="621">
        <f>+SUMIF('產銷總表 '!$A$6:$A$118,$A116,'產銷總表 '!$AA$6:$AA$118)</f>
        <v>0</v>
      </c>
      <c r="L116" s="629">
        <f t="shared" si="21"/>
        <v>0</v>
      </c>
    </row>
    <row r="117" spans="1:12" ht="18" customHeight="1" x14ac:dyDescent="0.25">
      <c r="A117" s="634">
        <f>'產銷總表 '!A102</f>
        <v>0</v>
      </c>
      <c r="B117" s="621"/>
      <c r="C117" s="622"/>
      <c r="D117" s="788"/>
      <c r="E117" s="623">
        <f>+SUMIF('產銷總表 '!$A$6:$A$118,$A117,'產銷總表 '!$R$6:$R$118)</f>
        <v>0</v>
      </c>
      <c r="F117" s="629">
        <f t="shared" si="18"/>
        <v>0</v>
      </c>
      <c r="G117" s="621">
        <f>+SUMIF('產銷總表 '!$A$6:$A$118,$A117,'產銷總表 '!$U$6:$U$118)</f>
        <v>0</v>
      </c>
      <c r="H117" s="629">
        <f t="shared" si="19"/>
        <v>0</v>
      </c>
      <c r="I117" s="621">
        <f>+SUMIF('產銷總表 '!$A$6:$A$118,$A117,'產銷總表 '!$X$6:$X$118)</f>
        <v>0</v>
      </c>
      <c r="J117" s="629">
        <f t="shared" si="20"/>
        <v>0</v>
      </c>
      <c r="K117" s="621">
        <f>+SUMIF('產銷總表 '!$A$6:$A$118,$A117,'產銷總表 '!$AA$6:$AA$118)</f>
        <v>0</v>
      </c>
      <c r="L117" s="629">
        <f t="shared" si="21"/>
        <v>0</v>
      </c>
    </row>
    <row r="118" spans="1:12" ht="18" customHeight="1" thickBot="1" x14ac:dyDescent="0.3">
      <c r="A118" s="635">
        <f>'產銷總表 '!A103</f>
        <v>0</v>
      </c>
      <c r="B118" s="636"/>
      <c r="C118" s="637"/>
      <c r="D118" s="791"/>
      <c r="E118" s="638">
        <f>+SUMIF('產銷總表 '!$A$6:$A$118,$A118,'產銷總表 '!$R$6:$R$118)</f>
        <v>0</v>
      </c>
      <c r="F118" s="639">
        <f t="shared" si="18"/>
        <v>0</v>
      </c>
      <c r="G118" s="636">
        <f>+SUMIF('產銷總表 '!$A$6:$A$118,$A118,'產銷總表 '!$U$6:$U$118)</f>
        <v>0</v>
      </c>
      <c r="H118" s="639">
        <f t="shared" si="19"/>
        <v>0</v>
      </c>
      <c r="I118" s="636">
        <f>+SUMIF('產銷總表 '!$A$6:$A$118,$A118,'產銷總表 '!$X$6:$X$118)</f>
        <v>0</v>
      </c>
      <c r="J118" s="639">
        <f t="shared" si="20"/>
        <v>0</v>
      </c>
      <c r="K118" s="636">
        <f>+SUMIF('產銷總表 '!$A$6:$A$118,$A118,'產銷總表 '!$AA$6:$AA$118)</f>
        <v>0</v>
      </c>
      <c r="L118" s="639">
        <f t="shared" si="21"/>
        <v>0</v>
      </c>
    </row>
    <row r="119" spans="1:12" ht="18" customHeight="1" thickTop="1" x14ac:dyDescent="0.25">
      <c r="A119" s="640" t="str">
        <f>'產銷總表 '!A104</f>
        <v>IPAIF</v>
      </c>
      <c r="B119" s="621" t="s">
        <v>107</v>
      </c>
      <c r="C119" s="622">
        <v>1.05</v>
      </c>
      <c r="D119" s="788">
        <v>1</v>
      </c>
      <c r="E119" s="623">
        <f>+SUMIF('產銷總表 '!$A$6:$A$118,$A119,'產銷總表 '!$R$6:$R$118)</f>
        <v>7</v>
      </c>
      <c r="F119" s="629">
        <f t="shared" si="18"/>
        <v>7</v>
      </c>
      <c r="G119" s="621">
        <f>+SUMIF('產銷總表 '!$A$6:$A$118,$A119,'產銷總表 '!$U$6:$U$118)</f>
        <v>34</v>
      </c>
      <c r="H119" s="629">
        <f t="shared" si="19"/>
        <v>36</v>
      </c>
      <c r="I119" s="621">
        <f>+SUMIF('產銷總表 '!$A$6:$A$118,$A119,'產銷總表 '!$X$6:$X$118)</f>
        <v>34</v>
      </c>
      <c r="J119" s="629">
        <f t="shared" si="20"/>
        <v>36</v>
      </c>
      <c r="K119" s="621">
        <f>+SUMIF('產銷總表 '!$A$6:$A$118,$A119,'產銷總表 '!$AA$6:$AA$118)</f>
        <v>34</v>
      </c>
      <c r="L119" s="629">
        <f t="shared" si="21"/>
        <v>36</v>
      </c>
    </row>
    <row r="120" spans="1:12" ht="18" customHeight="1" x14ac:dyDescent="0.25">
      <c r="A120" s="640" t="str">
        <f>'產銷總表 '!A105</f>
        <v>ACTIF</v>
      </c>
      <c r="B120" s="621" t="s">
        <v>127</v>
      </c>
      <c r="C120" s="622">
        <v>1.05</v>
      </c>
      <c r="D120" s="788">
        <v>1</v>
      </c>
      <c r="E120" s="623">
        <f>+SUMIF('產銷總表 '!$A$6:$A$118,$A120,'產銷總表 '!$R$6:$R$118)</f>
        <v>5</v>
      </c>
      <c r="F120" s="629">
        <f t="shared" si="18"/>
        <v>5</v>
      </c>
      <c r="G120" s="621">
        <f>+SUMIF('產銷總表 '!$A$6:$A$118,$A120,'產銷總表 '!$U$6:$U$118)</f>
        <v>21</v>
      </c>
      <c r="H120" s="629">
        <f t="shared" si="19"/>
        <v>22</v>
      </c>
      <c r="I120" s="621">
        <f>+SUMIF('產銷總表 '!$A$6:$A$118,$A120,'產銷總表 '!$X$6:$X$118)</f>
        <v>21</v>
      </c>
      <c r="J120" s="629">
        <f t="shared" si="20"/>
        <v>22</v>
      </c>
      <c r="K120" s="621">
        <f>+SUMIF('產銷總表 '!$A$6:$A$118,$A120,'產銷總表 '!$AA$6:$AA$118)</f>
        <v>21</v>
      </c>
      <c r="L120" s="629">
        <f t="shared" si="21"/>
        <v>22</v>
      </c>
    </row>
    <row r="121" spans="1:12" ht="18" customHeight="1" x14ac:dyDescent="0.25">
      <c r="A121" s="640" t="str">
        <f>'產銷總表 '!A106</f>
        <v>GBLIF(OEM)</v>
      </c>
      <c r="B121" s="621" t="s">
        <v>248</v>
      </c>
      <c r="C121" s="622">
        <v>1.05</v>
      </c>
      <c r="D121" s="788">
        <v>1</v>
      </c>
      <c r="E121" s="623">
        <f>+SUMIF('產銷總表 '!$A$6:$A$118,$A121,'產銷總表 '!$R$6:$R$118)</f>
        <v>0</v>
      </c>
      <c r="F121" s="629">
        <f t="shared" si="18"/>
        <v>0</v>
      </c>
      <c r="G121" s="621">
        <f>+SUMIF('產銷總表 '!$A$6:$A$118,$A121,'產銷總表 '!$U$6:$U$118)</f>
        <v>0</v>
      </c>
      <c r="H121" s="629">
        <f t="shared" si="19"/>
        <v>0</v>
      </c>
      <c r="I121" s="621">
        <f>+SUMIF('產銷總表 '!$A$6:$A$118,$A121,'產銷總表 '!$X$6:$X$118)</f>
        <v>0</v>
      </c>
      <c r="J121" s="629">
        <f t="shared" si="20"/>
        <v>0</v>
      </c>
      <c r="K121" s="621">
        <f>+SUMIF('產銷總表 '!$A$6:$A$118,$A121,'產銷總表 '!$AA$6:$AA$118)</f>
        <v>0</v>
      </c>
      <c r="L121" s="629">
        <f t="shared" si="21"/>
        <v>0</v>
      </c>
    </row>
    <row r="122" spans="1:12" ht="18" customHeight="1" x14ac:dyDescent="0.25">
      <c r="A122" s="640" t="str">
        <f>'產銷總表 '!A107</f>
        <v>GAAIF</v>
      </c>
      <c r="B122" s="621" t="s">
        <v>129</v>
      </c>
      <c r="C122" s="622">
        <v>1.05</v>
      </c>
      <c r="D122" s="788">
        <v>1</v>
      </c>
      <c r="E122" s="623">
        <f>+SUMIF('產銷總表 '!$A$6:$A$118,$A122,'產銷總表 '!$R$6:$R$118)</f>
        <v>24</v>
      </c>
      <c r="F122" s="629">
        <f t="shared" si="18"/>
        <v>25</v>
      </c>
      <c r="G122" s="621">
        <f>+SUMIF('產銷總表 '!$A$6:$A$118,$A122,'產銷總表 '!$U$6:$U$118)</f>
        <v>130</v>
      </c>
      <c r="H122" s="629">
        <f t="shared" si="19"/>
        <v>137</v>
      </c>
      <c r="I122" s="621">
        <f>+SUMIF('產銷總表 '!$A$6:$A$118,$A122,'產銷總表 '!$X$6:$X$118)</f>
        <v>130</v>
      </c>
      <c r="J122" s="629">
        <f t="shared" si="20"/>
        <v>137</v>
      </c>
      <c r="K122" s="621">
        <f>+SUMIF('產銷總表 '!$A$6:$A$118,$A122,'產銷總表 '!$AA$6:$AA$118)</f>
        <v>130</v>
      </c>
      <c r="L122" s="629">
        <f t="shared" si="21"/>
        <v>137</v>
      </c>
    </row>
    <row r="123" spans="1:12" ht="18" customHeight="1" x14ac:dyDescent="0.25">
      <c r="A123" s="640" t="str">
        <f>'產銷總表 '!A108</f>
        <v>NMPIF-1</v>
      </c>
      <c r="B123" s="621" t="s">
        <v>249</v>
      </c>
      <c r="C123" s="622">
        <v>1.05</v>
      </c>
      <c r="D123" s="788">
        <v>1</v>
      </c>
      <c r="E123" s="623">
        <f>+SUMIF('產銷總表 '!$A$6:$A$118,$A123,'產銷總表 '!$R$6:$R$118)</f>
        <v>0</v>
      </c>
      <c r="F123" s="629">
        <f t="shared" si="18"/>
        <v>0</v>
      </c>
      <c r="G123" s="621">
        <f>+SUMIF('產銷總表 '!$A$6:$A$118,$A123,'產銷總表 '!$U$6:$U$118)</f>
        <v>0</v>
      </c>
      <c r="H123" s="629">
        <f t="shared" si="19"/>
        <v>0</v>
      </c>
      <c r="I123" s="621">
        <f>+SUMIF('產銷總表 '!$A$6:$A$118,$A123,'產銷總表 '!$X$6:$X$118)</f>
        <v>0</v>
      </c>
      <c r="J123" s="629">
        <f t="shared" si="20"/>
        <v>0</v>
      </c>
      <c r="K123" s="621">
        <f>+SUMIF('產銷總表 '!$A$6:$A$118,$A123,'產銷總表 '!$AA$6:$AA$118)</f>
        <v>0</v>
      </c>
      <c r="L123" s="629">
        <f t="shared" si="21"/>
        <v>0</v>
      </c>
    </row>
    <row r="124" spans="1:12" ht="18" customHeight="1" x14ac:dyDescent="0.25">
      <c r="A124" s="640" t="str">
        <f>'產銷總表 '!A109</f>
        <v>NMPIF-2</v>
      </c>
      <c r="B124" s="621" t="s">
        <v>119</v>
      </c>
      <c r="C124" s="622">
        <v>1.05</v>
      </c>
      <c r="D124" s="788">
        <v>1</v>
      </c>
      <c r="E124" s="623">
        <f>+SUMIF('產銷總表 '!$A$6:$A$118,$A124,'產銷總表 '!$R$6:$R$118)</f>
        <v>4</v>
      </c>
      <c r="F124" s="629">
        <f t="shared" si="18"/>
        <v>4</v>
      </c>
      <c r="G124" s="621">
        <f>+SUMIF('產銷總表 '!$A$6:$A$118,$A124,'產銷總表 '!$U$6:$U$118)</f>
        <v>25</v>
      </c>
      <c r="H124" s="629">
        <f t="shared" si="19"/>
        <v>26</v>
      </c>
      <c r="I124" s="621">
        <f>+SUMIF('產銷總表 '!$A$6:$A$118,$A124,'產銷總表 '!$X$6:$X$118)</f>
        <v>25</v>
      </c>
      <c r="J124" s="629">
        <f t="shared" si="20"/>
        <v>26</v>
      </c>
      <c r="K124" s="621">
        <f>+SUMIF('產銷總表 '!$A$6:$A$118,$A124,'產銷總表 '!$AA$6:$AA$118)</f>
        <v>25</v>
      </c>
      <c r="L124" s="629">
        <f t="shared" si="21"/>
        <v>26</v>
      </c>
    </row>
    <row r="125" spans="1:12" ht="18" customHeight="1" x14ac:dyDescent="0.25">
      <c r="A125" s="640" t="str">
        <f>'產銷總表 '!A110</f>
        <v>NMPIF-4</v>
      </c>
      <c r="B125" s="621" t="s">
        <v>123</v>
      </c>
      <c r="C125" s="622">
        <v>1.05</v>
      </c>
      <c r="D125" s="788">
        <v>1</v>
      </c>
      <c r="E125" s="623">
        <f>+SUMIF('產銷總表 '!$A$6:$A$118,$A125,'產銷總表 '!$R$6:$R$118)</f>
        <v>0</v>
      </c>
      <c r="F125" s="629">
        <f t="shared" si="18"/>
        <v>0</v>
      </c>
      <c r="G125" s="621">
        <f>+SUMIF('產銷總表 '!$A$6:$A$118,$A125,'產銷總表 '!$U$6:$U$118)</f>
        <v>0</v>
      </c>
      <c r="H125" s="629">
        <f t="shared" si="19"/>
        <v>0</v>
      </c>
      <c r="I125" s="621">
        <f>+SUMIF('產銷總表 '!$A$6:$A$118,$A125,'產銷總表 '!$X$6:$X$118)</f>
        <v>0</v>
      </c>
      <c r="J125" s="629">
        <f t="shared" si="20"/>
        <v>0</v>
      </c>
      <c r="K125" s="621">
        <f>+SUMIF('產銷總表 '!$A$6:$A$118,$A125,'產銷總表 '!$AA$6:$AA$118)</f>
        <v>0</v>
      </c>
      <c r="L125" s="629">
        <f t="shared" si="21"/>
        <v>0</v>
      </c>
    </row>
    <row r="126" spans="1:12" ht="18" customHeight="1" x14ac:dyDescent="0.25">
      <c r="A126" s="640" t="str">
        <f>'產銷總表 '!A111</f>
        <v>GB-014</v>
      </c>
      <c r="B126" s="621" t="s">
        <v>88</v>
      </c>
      <c r="C126" s="622">
        <v>1</v>
      </c>
      <c r="D126" s="788">
        <v>0.8</v>
      </c>
      <c r="E126" s="623">
        <f>+SUMIF('產銷總表 '!$A$6:$A$118,$A126,'產銷總表 '!$R$6:$R$118)</f>
        <v>3</v>
      </c>
      <c r="F126" s="629">
        <f t="shared" si="18"/>
        <v>2</v>
      </c>
      <c r="G126" s="621">
        <f>+SUMIF('產銷總表 '!$A$6:$A$118,$A126,'產銷總表 '!$U$6:$U$118)</f>
        <v>20</v>
      </c>
      <c r="H126" s="629">
        <f t="shared" si="19"/>
        <v>16</v>
      </c>
      <c r="I126" s="621">
        <f>+SUMIF('產銷總表 '!$A$6:$A$118,$A126,'產銷總表 '!$X$6:$X$118)</f>
        <v>20</v>
      </c>
      <c r="J126" s="629">
        <f t="shared" si="20"/>
        <v>16</v>
      </c>
      <c r="K126" s="621">
        <f>+SUMIF('產銷總表 '!$A$6:$A$118,$A126,'產銷總表 '!$AA$6:$AA$118)</f>
        <v>20</v>
      </c>
      <c r="L126" s="629">
        <f t="shared" si="21"/>
        <v>16</v>
      </c>
    </row>
    <row r="127" spans="1:12" ht="18" customHeight="1" x14ac:dyDescent="0.25">
      <c r="A127" s="640" t="str">
        <f>$A$126</f>
        <v>GB-014</v>
      </c>
      <c r="B127" s="621" t="s">
        <v>90</v>
      </c>
      <c r="C127" s="622">
        <v>1</v>
      </c>
      <c r="D127" s="788">
        <v>0.2</v>
      </c>
      <c r="E127" s="623">
        <f>+SUMIF('產銷總表 '!$A$6:$A$118,$A127,'產銷總表 '!$R$6:$R$118)</f>
        <v>3</v>
      </c>
      <c r="F127" s="629">
        <f t="shared" si="18"/>
        <v>1</v>
      </c>
      <c r="G127" s="621">
        <f>+SUMIF('產銷總表 '!$A$6:$A$118,$A127,'產銷總表 '!$U$6:$U$118)</f>
        <v>20</v>
      </c>
      <c r="H127" s="629">
        <f t="shared" si="19"/>
        <v>4</v>
      </c>
      <c r="I127" s="621">
        <f>+SUMIF('產銷總表 '!$A$6:$A$118,$A127,'產銷總表 '!$X$6:$X$118)</f>
        <v>20</v>
      </c>
      <c r="J127" s="629">
        <f t="shared" si="20"/>
        <v>4</v>
      </c>
      <c r="K127" s="621">
        <f>+SUMIF('產銷總表 '!$A$6:$A$118,$A127,'產銷總表 '!$AA$6:$AA$118)</f>
        <v>20</v>
      </c>
      <c r="L127" s="629">
        <f t="shared" si="21"/>
        <v>4</v>
      </c>
    </row>
    <row r="128" spans="1:12" ht="18" customHeight="1" x14ac:dyDescent="0.25">
      <c r="A128" s="640">
        <f>'產銷總表 '!A113</f>
        <v>0</v>
      </c>
      <c r="B128" s="621"/>
      <c r="C128" s="622"/>
      <c r="D128" s="788"/>
      <c r="E128" s="623">
        <f>+SUMIF('產銷總表 '!$A$6:$A$118,$A128,'產銷總表 '!$R$6:$R$118)</f>
        <v>0</v>
      </c>
      <c r="F128" s="629">
        <f t="shared" si="18"/>
        <v>0</v>
      </c>
      <c r="G128" s="621">
        <f>+SUMIF('產銷總表 '!$A$6:$A$118,$A128,'產銷總表 '!$U$6:$U$118)</f>
        <v>0</v>
      </c>
      <c r="H128" s="629">
        <f t="shared" si="19"/>
        <v>0</v>
      </c>
      <c r="I128" s="621">
        <f>+SUMIF('產銷總表 '!$A$6:$A$118,$A128,'產銷總表 '!$X$6:$X$118)</f>
        <v>0</v>
      </c>
      <c r="J128" s="629">
        <f t="shared" si="20"/>
        <v>0</v>
      </c>
      <c r="K128" s="621">
        <f>+SUMIF('產銷總表 '!$A$6:$A$118,$A128,'產銷總表 '!$AA$6:$AA$118)</f>
        <v>0</v>
      </c>
      <c r="L128" s="629">
        <f t="shared" si="21"/>
        <v>0</v>
      </c>
    </row>
    <row r="129" spans="1:12" ht="18" customHeight="1" thickBot="1" x14ac:dyDescent="0.3">
      <c r="A129" s="641">
        <f>'產銷總表 '!A114</f>
        <v>0</v>
      </c>
      <c r="B129" s="636"/>
      <c r="C129" s="637"/>
      <c r="D129" s="791"/>
      <c r="E129" s="638">
        <f>+SUMIF('產銷總表 '!$A$6:$A$118,$A129,'產銷總表 '!$R$6:$R$118)</f>
        <v>0</v>
      </c>
      <c r="F129" s="639">
        <f t="shared" si="18"/>
        <v>0</v>
      </c>
      <c r="G129" s="636">
        <f>+SUMIF('產銷總表 '!$A$6:$A$118,$A129,'產銷總表 '!$U$6:$U$118)</f>
        <v>0</v>
      </c>
      <c r="H129" s="639">
        <f t="shared" si="19"/>
        <v>0</v>
      </c>
      <c r="I129" s="636">
        <f>+SUMIF('產銷總表 '!$A$6:$A$118,$A129,'產銷總表 '!$X$6:$X$118)</f>
        <v>0</v>
      </c>
      <c r="J129" s="639">
        <f t="shared" si="20"/>
        <v>0</v>
      </c>
      <c r="K129" s="636">
        <f>+SUMIF('產銷總表 '!$A$6:$A$118,$A129,'產銷總表 '!$AA$6:$AA$118)</f>
        <v>0</v>
      </c>
      <c r="L129" s="639">
        <f t="shared" si="21"/>
        <v>0</v>
      </c>
    </row>
    <row r="130" spans="1:12" ht="18" customHeight="1" thickTop="1" x14ac:dyDescent="0.25">
      <c r="A130" s="640">
        <f>'產銷總表 '!A115</f>
        <v>0</v>
      </c>
      <c r="B130" s="621"/>
      <c r="C130" s="622"/>
      <c r="D130" s="788"/>
      <c r="E130" s="623">
        <f>+SUMIF('產銷總表 '!$A$6:$A$118,$A130,'產銷總表 '!$R$6:$R$118)</f>
        <v>0</v>
      </c>
      <c r="F130" s="629">
        <f t="shared" si="18"/>
        <v>0</v>
      </c>
      <c r="G130" s="621">
        <f>+SUMIF('產銷總表 '!$A$6:$A$118,$A130,'產銷總表 '!$U$6:$U$118)</f>
        <v>0</v>
      </c>
      <c r="H130" s="629">
        <f t="shared" si="19"/>
        <v>0</v>
      </c>
      <c r="I130" s="621">
        <f>+SUMIF('產銷總表 '!$A$6:$A$118,$A130,'產銷總表 '!$X$6:$X$118)</f>
        <v>0</v>
      </c>
      <c r="J130" s="629">
        <f t="shared" si="20"/>
        <v>0</v>
      </c>
      <c r="K130" s="621">
        <f>+SUMIF('產銷總表 '!$A$6:$A$118,$A130,'產銷總表 '!$AA$6:$AA$118)</f>
        <v>0</v>
      </c>
      <c r="L130" s="629">
        <f t="shared" si="21"/>
        <v>0</v>
      </c>
    </row>
    <row r="131" spans="1:12" ht="18" customHeight="1" x14ac:dyDescent="0.25">
      <c r="A131" s="640">
        <f>'產銷總表 '!A116</f>
        <v>0</v>
      </c>
      <c r="B131" s="621"/>
      <c r="C131" s="622"/>
      <c r="D131" s="788"/>
      <c r="E131" s="623">
        <f>+SUMIF('產銷總表 '!$A$6:$A$118,$A131,'產銷總表 '!$R$6:$R$118)</f>
        <v>0</v>
      </c>
      <c r="F131" s="629">
        <f t="shared" si="18"/>
        <v>0</v>
      </c>
      <c r="G131" s="621">
        <f>+SUMIF('產銷總表 '!$A$6:$A$118,$A131,'產銷總表 '!$U$6:$U$118)</f>
        <v>0</v>
      </c>
      <c r="H131" s="629">
        <f t="shared" si="19"/>
        <v>0</v>
      </c>
      <c r="I131" s="621">
        <f>+SUMIF('產銷總表 '!$A$6:$A$118,$A131,'產銷總表 '!$X$6:$X$118)</f>
        <v>0</v>
      </c>
      <c r="J131" s="629">
        <f t="shared" si="20"/>
        <v>0</v>
      </c>
      <c r="K131" s="621">
        <f>+SUMIF('產銷總表 '!$A$6:$A$118,$A131,'產銷總表 '!$AA$6:$AA$118)</f>
        <v>0</v>
      </c>
      <c r="L131" s="629">
        <f t="shared" si="21"/>
        <v>0</v>
      </c>
    </row>
    <row r="132" spans="1:12" ht="18" customHeight="1" x14ac:dyDescent="0.25">
      <c r="A132" s="640">
        <f>'產銷總表 '!A117</f>
        <v>0</v>
      </c>
      <c r="B132" s="621"/>
      <c r="C132" s="622"/>
      <c r="D132" s="788"/>
      <c r="E132" s="623">
        <f>+SUMIF('產銷總表 '!$A$6:$A$118,$A132,'產銷總表 '!$R$6:$R$118)</f>
        <v>0</v>
      </c>
      <c r="F132" s="629">
        <f t="shared" si="18"/>
        <v>0</v>
      </c>
      <c r="G132" s="621">
        <f>+SUMIF('產銷總表 '!$A$6:$A$118,$A132,'產銷總表 '!$U$6:$U$118)</f>
        <v>0</v>
      </c>
      <c r="H132" s="629">
        <f t="shared" si="19"/>
        <v>0</v>
      </c>
      <c r="I132" s="621">
        <f>+SUMIF('產銷總表 '!$A$6:$A$118,$A132,'產銷總表 '!$X$6:$X$118)</f>
        <v>0</v>
      </c>
      <c r="J132" s="629">
        <f t="shared" si="20"/>
        <v>0</v>
      </c>
      <c r="K132" s="621">
        <f>+SUMIF('產銷總表 '!$A$6:$A$118,$A132,'產銷總表 '!$AA$6:$AA$118)</f>
        <v>0</v>
      </c>
      <c r="L132" s="629">
        <f t="shared" si="21"/>
        <v>0</v>
      </c>
    </row>
    <row r="133" spans="1:12" ht="18" customHeight="1" thickBot="1" x14ac:dyDescent="0.3">
      <c r="A133" s="641">
        <f>'產銷總表 '!A118</f>
        <v>0</v>
      </c>
      <c r="B133" s="636"/>
      <c r="C133" s="637"/>
      <c r="D133" s="791"/>
      <c r="E133" s="638">
        <f>+SUMIF('產銷總表 '!$A$6:$A$118,$A133,'產銷總表 '!$R$6:$R$118)</f>
        <v>0</v>
      </c>
      <c r="F133" s="639">
        <f t="shared" si="18"/>
        <v>0</v>
      </c>
      <c r="G133" s="636">
        <f>+SUMIF('產銷總表 '!$A$6:$A$118,$A133,'產銷總表 '!$U$6:$U$118)</f>
        <v>0</v>
      </c>
      <c r="H133" s="639">
        <f t="shared" si="19"/>
        <v>0</v>
      </c>
      <c r="I133" s="636">
        <f>+SUMIF('產銷總表 '!$A$6:$A$118,$A133,'產銷總表 '!$X$6:$X$118)</f>
        <v>0</v>
      </c>
      <c r="J133" s="639">
        <f t="shared" si="20"/>
        <v>0</v>
      </c>
      <c r="K133" s="636">
        <f>+SUMIF('產銷總表 '!$A$6:$A$118,$A133,'產銷總表 '!$AA$6:$AA$118)</f>
        <v>0</v>
      </c>
      <c r="L133" s="639">
        <f t="shared" si="21"/>
        <v>0</v>
      </c>
    </row>
    <row r="134" spans="1:12" ht="18" customHeight="1" thickTop="1" x14ac:dyDescent="0.25">
      <c r="A134" s="642" t="s">
        <v>250</v>
      </c>
      <c r="B134" s="643"/>
      <c r="C134" s="644"/>
      <c r="D134" s="792"/>
      <c r="E134" s="645">
        <f t="shared" ref="E134:L134" si="23">SUM(E3:E118)</f>
        <v>1897.8000000000002</v>
      </c>
      <c r="F134" s="645">
        <f t="shared" si="23"/>
        <v>1703.5909999999999</v>
      </c>
      <c r="G134" s="645">
        <f t="shared" si="23"/>
        <v>8228.4000000000015</v>
      </c>
      <c r="H134" s="645">
        <f t="shared" si="23"/>
        <v>7151.5790000000006</v>
      </c>
      <c r="I134" s="645">
        <f t="shared" si="23"/>
        <v>8584.9000000000015</v>
      </c>
      <c r="J134" s="645">
        <f t="shared" si="23"/>
        <v>7555.5790000000006</v>
      </c>
      <c r="K134" s="645">
        <f t="shared" si="23"/>
        <v>8887.4000000000015</v>
      </c>
      <c r="L134" s="645">
        <f t="shared" si="23"/>
        <v>7853.5790000000006</v>
      </c>
    </row>
  </sheetData>
  <autoFilter ref="A2:L134"/>
  <customSheetViews>
    <customSheetView guid="{59A05416-DD26-4EFD-AA04-054D4DE97D89}" showPageBreaks="1" zeroValues="0" fitToPage="1" printArea="1" view="pageBreakPreview">
      <pane xSplit="1" ySplit="1" topLeftCell="B2" activePane="bottomRight"/>
      <selection pane="bottomRight" activeCell="C45" sqref="C45"/>
      <pageMargins left="0" right="0" top="0" bottom="0" header="0" footer="0"/>
      <printOptions horizontalCentered="1"/>
      <pageSetup paperSize="9" scale="23" orientation="landscape" r:id="rId1"/>
    </customSheetView>
    <customSheetView guid="{D065F4F3-1224-4D29-89D7-CAAF2080B907}" showPageBreaks="1" zeroValues="0" fitToPage="1" printArea="1" view="pageBreakPreview" topLeftCell="A16">
      <selection activeCell="C21" sqref="C21"/>
      <pageMargins left="0" right="0" top="0" bottom="0" header="0" footer="0"/>
      <printOptions horizontalCentered="1"/>
      <pageSetup paperSize="9" scale="23" orientation="landscape" r:id="rId2"/>
    </customSheetView>
    <customSheetView guid="{FA048ABB-8FB5-4FAE-8F9E-3B68073934F1}" showPageBreaks="1" zeroValues="0" fitToPage="1" printArea="1" view="pageBreakPreview" topLeftCell="A64">
      <selection activeCell="E90" sqref="E90"/>
      <pageMargins left="0" right="0" top="0" bottom="0" header="0" footer="0"/>
      <printOptions horizontalCentered="1"/>
      <pageSetup paperSize="9" scale="23" orientation="landscape" r:id="rId3"/>
    </customSheetView>
    <customSheetView guid="{8FD9726D-5B41-4C43-8FCB-EB4C2E6B9AD0}" showPageBreaks="1" zeroValues="0" fitToPage="1" printArea="1" view="pageBreakPreview" topLeftCell="C1">
      <pane xSplit="1.9875" ySplit="2" topLeftCell="B3" activePane="bottomRight"/>
      <selection pane="bottomRight" activeCell="B17" sqref="B17"/>
      <pageMargins left="0" right="0" top="0" bottom="0" header="0" footer="0"/>
      <printOptions horizontalCentered="1"/>
      <pageSetup paperSize="9" scale="23" orientation="landscape" r:id="rId4"/>
    </customSheetView>
    <customSheetView guid="{C30CE12B-11DC-4479-B6AC-C3BD3E3ED3C8}" showPageBreaks="1" zeroValues="0" fitToPage="1" printArea="1" view="pageBreakPreview">
      <pane xSplit="1" ySplit="2" topLeftCell="B3" activePane="bottomRight" state="frozen"/>
      <selection pane="bottomRight" activeCell="D5" sqref="D5"/>
      <pageMargins left="0" right="0" top="0" bottom="0" header="0" footer="0"/>
      <printOptions horizontalCentered="1"/>
      <pageSetup paperSize="9" scale="22" orientation="landscape" r:id="rId5"/>
    </customSheetView>
    <customSheetView guid="{64D5D33D-6419-4A8B-A3B3-237161841645}" showPageBreaks="1" zeroValues="0" fitToPage="1" printArea="1" view="pageBreakPreview">
      <pane xSplit="1" ySplit="1" topLeftCell="B2" activePane="bottomRight" state="frozen"/>
      <selection pane="bottomRight" activeCell="C45" sqref="C45"/>
      <pageMargins left="0" right="0" top="0" bottom="0" header="0" footer="0"/>
      <printOptions horizontalCentered="1"/>
      <pageSetup paperSize="9" scale="23" orientation="landscape" r:id="rId6"/>
    </customSheetView>
    <customSheetView guid="{CAC14F13-5914-49F8-AD5B-F24608798ED8}" showPageBreaks="1" zeroValues="0" fitToPage="1" printArea="1" filter="1" showAutoFilter="1" view="pageBreakPreview">
      <selection activeCell="J117" sqref="J117"/>
      <pageMargins left="0" right="0" top="0" bottom="0" header="0" footer="0"/>
      <printOptions horizontalCentered="1"/>
      <pageSetup paperSize="9" orientation="landscape" r:id="rId7"/>
      <autoFilter ref="A2:L131">
        <filterColumn colId="1">
          <filters>
            <filter val="ACETONE"/>
          </filters>
        </filterColumn>
      </autoFilter>
    </customSheetView>
    <customSheetView guid="{0BF804C9-51A0-4E06-8256-5D8C4B043A4A}" showPageBreaks="1" zeroValues="0" fitToPage="1" printArea="1" view="pageBreakPreview">
      <selection activeCell="E27" sqref="E27:L27"/>
      <pageMargins left="0" right="0" top="0" bottom="0" header="0" footer="0"/>
      <printOptions horizontalCentered="1"/>
      <pageSetup paperSize="9" scale="33" orientation="portrait" r:id="rId8"/>
    </customSheetView>
    <customSheetView guid="{D56D14CC-1901-479F-B779-31FEC2383487}" showPageBreaks="1" zeroValues="0" fitToPage="1" printArea="1" view="pageBreakPreview">
      <pane xSplit="1" ySplit="2" topLeftCell="B3" activePane="bottomRight" state="frozen"/>
      <selection pane="bottomRight" activeCell="D5" sqref="D5"/>
      <pageMargins left="0" right="0" top="0" bottom="0" header="0" footer="0"/>
      <printOptions horizontalCentered="1"/>
      <pageSetup paperSize="9" scale="23" orientation="landscape" r:id="rId9"/>
    </customSheetView>
    <customSheetView guid="{F2AA7D74-DB02-43AC-850B-A44D18BDB1CB}" showPageBreaks="1" zeroValues="0" fitToPage="1" printArea="1" view="pageBreakPreview" topLeftCell="A10">
      <selection activeCell="D5" sqref="D5"/>
      <pageMargins left="0" right="0" top="0" bottom="0" header="0" footer="0"/>
      <printOptions horizontalCentered="1"/>
      <pageSetup paperSize="9" scale="23" orientation="landscape" r:id="rId10"/>
    </customSheetView>
    <customSheetView guid="{8B7A0CA2-9BA6-4CC3-AA36-677EA0765FE7}" showPageBreaks="1" zeroValues="0" fitToPage="1" printArea="1" view="pageBreakPreview">
      <pane xSplit="1" ySplit="2" topLeftCell="B3" activePane="bottomRight" state="frozen"/>
      <selection pane="bottomRight" activeCell="E27" sqref="E27:L27"/>
      <pageMargins left="0" right="0" top="0" bottom="0" header="0" footer="0"/>
      <printOptions horizontalCentered="1"/>
      <pageSetup paperSize="9" scale="29" orientation="landscape" r:id="rId11"/>
    </customSheetView>
    <customSheetView guid="{465CD905-854A-4F4A-908D-83ABAB5FB252}" showPageBreaks="1" zeroValues="0" fitToPage="1" printArea="1" view="pageBreakPreview">
      <selection activeCell="L5" sqref="L5"/>
      <pageMargins left="0" right="0" top="0" bottom="0" header="0" footer="0"/>
      <printOptions horizontalCentered="1"/>
      <pageSetup paperSize="9" scale="29" orientation="landscape" r:id="rId12"/>
    </customSheetView>
    <customSheetView guid="{ACCDD429-9CAD-4FB8-A198-ABDEDE66D100}" showPageBreaks="1" zeroValues="0" fitToPage="1" printArea="1" view="pageBreakPreview">
      <pane xSplit="1" ySplit="2" topLeftCell="B3" activePane="bottomRight" state="frozen"/>
      <selection pane="bottomRight" activeCell="E27" sqref="E27:L27"/>
      <pageMargins left="0" right="0" top="0" bottom="0" header="0" footer="0"/>
      <printOptions horizontalCentered="1"/>
      <pageSetup paperSize="9" scale="29" orientation="landscape" r:id="rId13"/>
    </customSheetView>
    <customSheetView guid="{8DC863AD-DDD2-40E0-9202-FF25DA9A15AC}" showPageBreaks="1" zeroValues="0" fitToPage="1" printArea="1" view="pageBreakPreview">
      <pane xSplit="1" ySplit="2" topLeftCell="B3" activePane="bottomRight" state="frozen"/>
      <selection pane="bottomRight" activeCell="B30" sqref="B30"/>
      <pageMargins left="0" right="0" top="0" bottom="0" header="0" footer="0"/>
      <printOptions horizontalCentered="1"/>
      <pageSetup paperSize="9" scale="29" orientation="landscape" r:id="rId14"/>
    </customSheetView>
    <customSheetView guid="{D8E05E9A-74D8-4931-8653-8099BB0F822F}" showPageBreaks="1" zeroValues="0" fitToPage="1" printArea="1" view="pageBreakPreview">
      <pane xSplit="1" ySplit="2" topLeftCell="B3" activePane="bottomRight" state="frozen"/>
      <selection pane="bottomRight" activeCell="E27" sqref="E27:L27"/>
      <pageMargins left="0" right="0" top="0" bottom="0" header="0" footer="0"/>
      <printOptions horizontalCentered="1"/>
      <pageSetup paperSize="9" scale="30" orientation="landscape" r:id="rId15"/>
    </customSheetView>
    <customSheetView guid="{7B90250F-6C77-4F16-BAAD-82EC380D0549}" scale="85" showPageBreaks="1" zeroValues="0" fitToPage="1" view="pageBreakPreview">
      <pane xSplit="1" ySplit="1" topLeftCell="B77" activePane="bottomRight" state="frozen"/>
      <selection pane="bottomRight" activeCell="C92" sqref="C92"/>
      <pageMargins left="0" right="0" top="0" bottom="0" header="0" footer="0"/>
      <printOptions horizontalCentered="1"/>
      <pageSetup paperSize="9" scale="13" orientation="landscape" r:id="rId16"/>
    </customSheetView>
    <customSheetView guid="{346DCC42-7B8B-4D0F-8BCA-6EB3F9DD5B12}" scale="85" zeroValues="0" fitToPage="1">
      <pane xSplit="1" ySplit="1" topLeftCell="B24" activePane="bottomRight" state="frozen"/>
      <selection pane="bottomRight" activeCell="AJ133" sqref="AJ133"/>
      <pageMargins left="0" right="0" top="0" bottom="0" header="0" footer="0"/>
      <printOptions horizontalCentered="1"/>
      <pageSetup paperSize="9" scale="13" orientation="landscape" r:id="rId17"/>
    </customSheetView>
    <customSheetView guid="{79F26E0A-5E9E-4EF8-AE70-B7DA8FAE47AC}" scale="80" zeroValues="0" fitToPage="1">
      <pane xSplit="1" ySplit="2" topLeftCell="C3" activePane="bottomRight" state="frozen"/>
      <selection pane="bottomRight" activeCell="AF10" sqref="AF10"/>
      <pageMargins left="0" right="0" top="0" bottom="0" header="0" footer="0"/>
      <printOptions horizontalCentered="1"/>
      <pageSetup paperSize="9" scale="13" orientation="landscape" r:id="rId18"/>
    </customSheetView>
    <customSheetView guid="{1BC3F178-54C0-4A8C-A5C3-CF7D6D208825}" scale="80" zeroValues="0">
      <pane xSplit="1" ySplit="2" topLeftCell="B3" activePane="bottomRight" state="frozen"/>
      <selection pane="bottomRight" activeCell="U215" sqref="U215"/>
      <pageMargins left="0" right="0" top="0" bottom="0" header="0" footer="0"/>
      <pageSetup paperSize="9" orientation="portrait" horizontalDpi="200" verticalDpi="200"/>
      <headerFooter alignWithMargins="0"/>
    </customSheetView>
    <customSheetView guid="{326CC155-93DA-4269-A552-D000400252E8}" scale="80" zeroValues="0" fitToPage="1">
      <pane xSplit="1" ySplit="2" topLeftCell="C3" activePane="bottomRight" state="frozen"/>
      <selection pane="bottomRight" activeCell="AF10" sqref="AF10"/>
      <pageMargins left="0" right="0" top="0" bottom="0" header="0" footer="0"/>
      <printOptions horizontalCentered="1"/>
      <pageSetup paperSize="9" scale="13" orientation="landscape" r:id="rId19"/>
    </customSheetView>
    <customSheetView guid="{9189FF41-907B-4DB4-B0EF-C9C35E41617A}" scale="80" zeroValues="0">
      <pane xSplit="1" ySplit="2" topLeftCell="B16" activePane="bottomRight" state="frozen"/>
      <selection pane="bottomRight" activeCell="P31" sqref="P31"/>
      <pageMargins left="0" right="0" top="0" bottom="0" header="0" footer="0"/>
      <pageSetup paperSize="9" orientation="portrait" horizontalDpi="200" verticalDpi="200"/>
      <headerFooter alignWithMargins="0"/>
    </customSheetView>
    <customSheetView guid="{4FC155ED-0F56-406E-84A9-9B624A94D0DB}" scale="80" zeroValues="0">
      <pane xSplit="1" ySplit="2" topLeftCell="B70" activePane="bottomRight" state="frozen"/>
      <selection pane="bottomRight" activeCell="U215" sqref="U215"/>
      <pageMargins left="0" right="0" top="0" bottom="0" header="0" footer="0"/>
      <pageSetup paperSize="9" orientation="portrait" horizontalDpi="200" verticalDpi="200"/>
      <headerFooter alignWithMargins="0"/>
    </customSheetView>
    <customSheetView guid="{502F3196-9B33-4199-B129-D6F07DE04859}" scale="80" zeroValues="0">
      <pane xSplit="1" ySplit="2" topLeftCell="B16" activePane="bottomRight" state="frozen"/>
      <selection pane="bottomRight" activeCell="P31" sqref="P31"/>
      <pageMargins left="0" right="0" top="0" bottom="0" header="0" footer="0"/>
      <pageSetup paperSize="9" orientation="portrait" horizontalDpi="200" verticalDpi="200"/>
      <headerFooter alignWithMargins="0"/>
    </customSheetView>
    <customSheetView guid="{77AD3D17-AD21-4070-93C9-23AFEA189F06}" scale="85" zeroValues="0" fitToPage="1">
      <pane xSplit="1" ySplit="1" topLeftCell="B24" activePane="bottomRight" state="frozen"/>
      <selection pane="bottomRight" activeCell="AJ133" sqref="AJ133"/>
      <pageMargins left="0" right="0" top="0" bottom="0" header="0" footer="0"/>
      <printOptions horizontalCentered="1"/>
      <pageSetup paperSize="9" scale="13" orientation="landscape" r:id="rId20"/>
    </customSheetView>
    <customSheetView guid="{38078408-6EFE-4052-8C51-50A488F2EA59}" scale="85" zeroValues="0" fitToPage="1">
      <pane xSplit="1" ySplit="1" topLeftCell="B24" activePane="bottomRight" state="frozen"/>
      <selection pane="bottomRight" activeCell="AJ133" sqref="AJ133"/>
      <pageMargins left="0" right="0" top="0" bottom="0" header="0" footer="0"/>
      <printOptions horizontalCentered="1"/>
      <pageSetup paperSize="9" scale="13" orientation="landscape" r:id="rId21"/>
    </customSheetView>
    <customSheetView guid="{83B3BC4F-78EE-4A15-89B0-51F9D7CE21C1}" scale="85" showPageBreaks="1" zeroValues="0" fitToPage="1" view="pageBreakPreview">
      <pane xSplit="1" ySplit="1" topLeftCell="B77" activePane="bottomRight" state="frozen"/>
      <selection pane="bottomRight" activeCell="C92" sqref="C92"/>
      <pageMargins left="0" right="0" top="0" bottom="0" header="0" footer="0"/>
      <printOptions horizontalCentered="1"/>
      <pageSetup paperSize="9" scale="13" orientation="landscape" r:id="rId22"/>
    </customSheetView>
    <customSheetView guid="{9E710D7F-3A88-4D24-8673-5A6EF0E9C423}" scale="85" zeroValues="0" fitToPage="1">
      <pane xSplit="1" ySplit="1" topLeftCell="B3" activePane="bottomRight" state="frozen"/>
      <selection pane="bottomRight" activeCell="AJ133" sqref="AJ133"/>
      <pageMargins left="0" right="0" top="0" bottom="0" header="0" footer="0"/>
      <printOptions horizontalCentered="1"/>
      <pageSetup paperSize="9" scale="13" orientation="landscape" r:id="rId23"/>
    </customSheetView>
    <customSheetView guid="{95BA1282-001B-43C6-8050-6BEE483A7F6F}" scale="85" zeroValues="0" fitToPage="1">
      <pane xSplit="1" ySplit="1" topLeftCell="B24" activePane="bottomRight" state="frozen"/>
      <selection pane="bottomRight" activeCell="AJ133" sqref="AJ133"/>
      <pageMargins left="0" right="0" top="0" bottom="0" header="0" footer="0"/>
      <printOptions horizontalCentered="1"/>
      <pageSetup paperSize="9" scale="13" orientation="landscape" r:id="rId24"/>
    </customSheetView>
    <customSheetView guid="{3663236C-AFB0-419A-AC6A-E981D6F1A9BC}" showPageBreaks="1" zeroValues="0" fitToPage="1" printArea="1" view="pageBreakPreview">
      <selection activeCell="F2" sqref="F2"/>
      <pageMargins left="0" right="0" top="0" bottom="0" header="0" footer="0"/>
      <printOptions horizontalCentered="1"/>
      <pageSetup paperSize="9" scale="31" orientation="landscape" r:id="rId25"/>
    </customSheetView>
    <customSheetView guid="{6DC87DBB-EAA4-4C74-8564-B6BAF0231FE0}" showPageBreaks="1" zeroValues="0" fitToPage="1" printArea="1" view="pageBreakPreview">
      <pane xSplit="1" ySplit="2" topLeftCell="B51" activePane="bottomRight" state="frozen"/>
      <selection pane="bottomRight" activeCell="A91" sqref="A91:F93"/>
      <pageMargins left="0" right="0" top="0" bottom="0" header="0" footer="0"/>
      <printOptions horizontalCentered="1"/>
      <pageSetup paperSize="9" scale="29" orientation="landscape" r:id="rId26"/>
    </customSheetView>
    <customSheetView guid="{3B8D84A7-3495-4488-8D42-6EFF30C18699}" showPageBreaks="1" zeroValues="0" fitToPage="1" printArea="1" view="pageBreakPreview">
      <pane xSplit="1.0149253731343284" ySplit="2" topLeftCell="B3" activePane="bottomRight"/>
      <selection pane="bottomRight" activeCell="B17" sqref="B17"/>
      <pageMargins left="0" right="0" top="0" bottom="0" header="0" footer="0"/>
      <printOptions horizontalCentered="1"/>
      <pageSetup paperSize="9" scale="28" orientation="landscape" r:id="rId27"/>
    </customSheetView>
    <customSheetView guid="{6A49BCC3-CB5F-40F7-835F-8F4EBC3E8643}" showPageBreaks="1" zeroValues="0" fitToPage="1" printArea="1" view="pageBreakPreview">
      <pane ySplit="2" topLeftCell="A123" activePane="bottomLeft" state="frozen"/>
      <selection pane="bottomLeft" activeCell="D46" sqref="D46"/>
      <pageMargins left="0" right="0" top="0" bottom="0" header="0" footer="0"/>
      <printOptions horizontalCentered="1"/>
      <pageSetup paperSize="9" scale="23" orientation="landscape" r:id="rId28"/>
    </customSheetView>
    <customSheetView guid="{173F84CF-9EE5-4693-9F18-A0544E920AC9}" showPageBreaks="1" zeroValues="0" fitToPage="1" printArea="1" view="pageBreakPreview">
      <selection activeCell="D5" sqref="D5"/>
      <pageMargins left="0" right="0" top="0" bottom="0" header="0" footer="0"/>
      <printOptions horizontalCentered="1"/>
      <pageSetup paperSize="9" scale="22" orientation="landscape" r:id="rId29"/>
    </customSheetView>
    <customSheetView guid="{99FB95A8-1218-4283-9800-5DBBB640B9CC}" showPageBreaks="1" zeroValues="0" fitToPage="1" printArea="1" view="pageBreakPreview">
      <pane xSplit="1" ySplit="1" topLeftCell="B2" activePane="bottomRight" state="frozen"/>
      <selection pane="bottomRight" activeCell="C45" sqref="C45"/>
      <pageMargins left="0" right="0" top="0" bottom="0" header="0" footer="0"/>
      <printOptions horizontalCentered="1"/>
      <pageSetup paperSize="9" scale="24" orientation="landscape" r:id="rId30"/>
    </customSheetView>
    <customSheetView guid="{3ADFB3B6-162A-4CDB-AB24-348E8A99991A}" showPageBreaks="1" zeroValues="0" fitToPage="1" printArea="1" view="pageBreakPreview">
      <pane xSplit="1" ySplit="2" topLeftCell="B3" activePane="bottomRight" state="frozen"/>
      <selection pane="bottomRight" activeCell="D5" sqref="D5"/>
      <pageMargins left="0" right="0" top="0" bottom="0" header="0" footer="0"/>
      <printOptions horizontalCentered="1"/>
      <pageSetup paperSize="9" scale="23" orientation="landscape" r:id="rId31"/>
    </customSheetView>
    <customSheetView guid="{4B6E1B38-E439-406A-9E0D-5C2F40D928F2}" showPageBreaks="1" zeroValues="0" fitToPage="1" printArea="1" view="pageBreakPreview">
      <selection activeCell="D5" sqref="D5"/>
      <pageMargins left="0" right="0" top="0" bottom="0" header="0" footer="0"/>
      <printOptions horizontalCentered="1"/>
      <pageSetup paperSize="9" scale="23" orientation="landscape" r:id="rId32"/>
    </customSheetView>
    <customSheetView guid="{F93DD6E0-2AD2-4C47-B879-ABE0581F49BB}" showPageBreaks="1" zeroValues="0" fitToPage="1" printArea="1" view="pageBreakPreview">
      <pane xSplit="1" ySplit="1" topLeftCell="B2" activePane="bottomRight" state="frozen"/>
      <selection pane="bottomRight" activeCell="E97" sqref="E97"/>
      <pageMargins left="0" right="0" top="0" bottom="0" header="0" footer="0"/>
      <printOptions horizontalCentered="1"/>
      <pageSetup paperSize="9" scale="23" orientation="landscape" r:id="rId33"/>
    </customSheetView>
    <customSheetView guid="{77B14F7C-DBD2-4BE8-8492-093BF9A7E4E6}" showPageBreaks="1" zeroValues="0" fitToPage="1" printArea="1" view="pageBreakPreview" topLeftCell="A97">
      <selection activeCell="P16" sqref="P16"/>
      <pageMargins left="0" right="0" top="0" bottom="0" header="0" footer="0"/>
      <printOptions horizontalCentered="1"/>
      <pageSetup paperSize="9" scale="23" orientation="landscape" r:id="rId34"/>
    </customSheetView>
    <customSheetView guid="{BEF1F9A1-9BE8-4B92-B921-6FE20F0F8630}" showPageBreaks="1" zeroValues="0" fitToPage="1" printArea="1" view="pageBreakPreview">
      <pane xSplit="1" ySplit="1" topLeftCell="B2" activePane="bottomRight" state="frozen"/>
      <selection pane="bottomRight" activeCell="L5" sqref="L5"/>
      <pageMargins left="0" right="0" top="0" bottom="0" header="0" footer="0"/>
      <printOptions horizontalCentered="1"/>
      <pageSetup paperSize="9" scale="23" orientation="landscape" r:id="rId35"/>
    </customSheetView>
    <customSheetView guid="{13B17853-2F7C-4003-B2CE-F9B420C9ECC4}" showPageBreaks="1" zeroValues="0" fitToPage="1" printArea="1" view="pageBreakPreview">
      <pane xSplit="1" ySplit="2" topLeftCell="B9" activePane="bottomRight" state="frozen"/>
      <selection pane="bottomRight" activeCell="C22" sqref="C22"/>
      <pageMargins left="0" right="0" top="0" bottom="0" header="0" footer="0"/>
      <printOptions horizontalCentered="1"/>
      <pageSetup paperSize="9" scale="24" orientation="landscape" r:id="rId36"/>
    </customSheetView>
    <customSheetView guid="{03286019-F3C8-4017-B71E-61FCF78BA513}" showPageBreaks="1" zeroValues="0" fitToPage="1" printArea="1" view="pageBreakPreview">
      <pane xSplit="1" ySplit="2" topLeftCell="B3" activePane="bottomRight" state="frozen"/>
      <selection pane="bottomRight" activeCell="D5" sqref="D5"/>
      <pageMargins left="0" right="0" top="0" bottom="0" header="0" footer="0"/>
      <printOptions horizontalCentered="1"/>
      <pageSetup paperSize="9" scale="22" orientation="landscape" r:id="rId37"/>
    </customSheetView>
    <customSheetView guid="{A5947B2F-936B-413A-8E47-744AE1AC646A}" showPageBreaks="1" zeroValues="0" fitToPage="1" printArea="1" view="pageBreakPreview">
      <pane xSplit="2" ySplit="2" topLeftCell="C90" activePane="bottomRight" state="frozen"/>
      <selection pane="bottomRight" activeCell="F101" sqref="F101"/>
      <pageMargins left="0" right="0" top="0" bottom="0" header="0" footer="0"/>
      <printOptions horizontalCentered="1"/>
      <pageSetup paperSize="9" scale="22" orientation="landscape" r:id="rId38"/>
    </customSheetView>
  </customSheetViews>
  <mergeCells count="1">
    <mergeCell ref="A1:L1"/>
  </mergeCells>
  <phoneticPr fontId="3" type="noConversion"/>
  <printOptions horizontalCentered="1"/>
  <pageMargins left="0.39370078740157483" right="0.39370078740157483" top="0.39370078740157483" bottom="0.59055118110236227" header="0.19685039370078741" footer="0.19685039370078741"/>
  <pageSetup paperSize="9" scale="22" orientation="landscape" r:id="rId39"/>
  <legacy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4" sqref="D14"/>
    </sheetView>
  </sheetViews>
  <sheetFormatPr defaultColWidth="9" defaultRowHeight="18" customHeight="1" x14ac:dyDescent="0.25"/>
  <cols>
    <col min="1" max="16384" width="9" style="228"/>
  </cols>
  <sheetData>
    <row r="1" spans="1:2" ht="18" customHeight="1" x14ac:dyDescent="0.25">
      <c r="A1" s="228" t="s">
        <v>251</v>
      </c>
      <c r="B1" s="228" t="s">
        <v>252</v>
      </c>
    </row>
    <row r="2" spans="1:2" ht="18" customHeight="1" x14ac:dyDescent="0.25">
      <c r="A2" s="228" t="s">
        <v>253</v>
      </c>
      <c r="B2" s="228" t="s">
        <v>254</v>
      </c>
    </row>
    <row r="3" spans="1:2" ht="18" customHeight="1" x14ac:dyDescent="0.25">
      <c r="A3" s="228" t="s">
        <v>255</v>
      </c>
      <c r="B3" s="228" t="s">
        <v>256</v>
      </c>
    </row>
    <row r="4" spans="1:2" ht="18" customHeight="1" x14ac:dyDescent="0.25">
      <c r="A4" s="228" t="s">
        <v>38</v>
      </c>
    </row>
    <row r="5" spans="1:2" ht="18" customHeight="1" x14ac:dyDescent="0.25">
      <c r="A5" s="228" t="s">
        <v>257</v>
      </c>
    </row>
    <row r="6" spans="1:2" ht="18" customHeight="1" x14ac:dyDescent="0.25">
      <c r="A6" s="228" t="s">
        <v>83</v>
      </c>
    </row>
  </sheetData>
  <customSheetViews>
    <customSheetView guid="{59A05416-DD26-4EFD-AA04-054D4DE97D89}">
      <selection activeCell="D14" sqref="D14"/>
      <pageMargins left="0" right="0" top="0" bottom="0" header="0" footer="0"/>
    </customSheetView>
    <customSheetView guid="{D065F4F3-1224-4D29-89D7-CAAF2080B907}">
      <selection activeCell="D14" sqref="D14"/>
      <pageMargins left="0" right="0" top="0" bottom="0" header="0" footer="0"/>
    </customSheetView>
    <customSheetView guid="{FA048ABB-8FB5-4FAE-8F9E-3B68073934F1}">
      <selection activeCell="D14" sqref="D14"/>
      <pageMargins left="0" right="0" top="0" bottom="0" header="0" footer="0"/>
    </customSheetView>
    <customSheetView guid="{8FD9726D-5B41-4C43-8FCB-EB4C2E6B9AD0}">
      <selection activeCell="D14" sqref="D14"/>
      <pageMargins left="0" right="0" top="0" bottom="0" header="0" footer="0"/>
    </customSheetView>
    <customSheetView guid="{C30CE12B-11DC-4479-B6AC-C3BD3E3ED3C8}">
      <selection activeCell="D14" sqref="D14"/>
      <pageMargins left="0" right="0" top="0" bottom="0" header="0" footer="0"/>
    </customSheetView>
    <customSheetView guid="{64D5D33D-6419-4A8B-A3B3-237161841645}">
      <selection activeCell="D14" sqref="D14"/>
      <pageMargins left="0" right="0" top="0" bottom="0" header="0" footer="0"/>
    </customSheetView>
    <customSheetView guid="{CAC14F13-5914-49F8-AD5B-F24608798ED8}">
      <selection activeCell="D14" sqref="D14"/>
      <pageMargins left="0" right="0" top="0" bottom="0" header="0" footer="0"/>
    </customSheetView>
    <customSheetView guid="{0BF804C9-51A0-4E06-8256-5D8C4B043A4A}">
      <selection activeCell="D14" sqref="D14"/>
      <pageMargins left="0" right="0" top="0" bottom="0" header="0" footer="0"/>
    </customSheetView>
    <customSheetView guid="{D56D14CC-1901-479F-B779-31FEC2383487}">
      <selection activeCell="D14" sqref="D14"/>
      <pageMargins left="0" right="0" top="0" bottom="0" header="0" footer="0"/>
    </customSheetView>
    <customSheetView guid="{F2AA7D74-DB02-43AC-850B-A44D18BDB1CB}">
      <selection activeCell="D14" sqref="D14"/>
      <pageMargins left="0" right="0" top="0" bottom="0" header="0" footer="0"/>
    </customSheetView>
    <customSheetView guid="{8B7A0CA2-9BA6-4CC3-AA36-677EA0765FE7}">
      <selection activeCell="D14" sqref="D14"/>
      <pageMargins left="0" right="0" top="0" bottom="0" header="0" footer="0"/>
    </customSheetView>
    <customSheetView guid="{465CD905-854A-4F4A-908D-83ABAB5FB252}">
      <selection activeCell="D14" sqref="D14"/>
      <pageMargins left="0" right="0" top="0" bottom="0" header="0" footer="0"/>
    </customSheetView>
    <customSheetView guid="{ACCDD429-9CAD-4FB8-A198-ABDEDE66D100}">
      <selection activeCell="D14" sqref="D14"/>
      <pageMargins left="0" right="0" top="0" bottom="0" header="0" footer="0"/>
    </customSheetView>
    <customSheetView guid="{8DC863AD-DDD2-40E0-9202-FF25DA9A15AC}">
      <selection activeCell="D14" sqref="D14"/>
      <pageMargins left="0" right="0" top="0" bottom="0" header="0" footer="0"/>
    </customSheetView>
    <customSheetView guid="{D8E05E9A-74D8-4931-8653-8099BB0F822F}">
      <selection activeCell="D14" sqref="D14"/>
      <pageMargins left="0" right="0" top="0" bottom="0" header="0" footer="0"/>
    </customSheetView>
    <customSheetView guid="{3663236C-AFB0-419A-AC6A-E981D6F1A9BC}">
      <selection activeCell="C8" sqref="C8"/>
      <pageMargins left="0" right="0" top="0" bottom="0" header="0" footer="0"/>
    </customSheetView>
    <customSheetView guid="{6DC87DBB-EAA4-4C74-8564-B6BAF0231FE0}">
      <selection activeCell="A5" sqref="A5"/>
      <pageMargins left="0" right="0" top="0" bottom="0" header="0" footer="0"/>
    </customSheetView>
    <customSheetView guid="{3B8D84A7-3495-4488-8D42-6EFF30C18699}">
      <selection activeCell="D14" sqref="D14"/>
      <pageMargins left="0" right="0" top="0" bottom="0" header="0" footer="0"/>
    </customSheetView>
    <customSheetView guid="{6A49BCC3-CB5F-40F7-835F-8F4EBC3E8643}">
      <selection activeCell="D14" sqref="D14"/>
      <pageMargins left="0" right="0" top="0" bottom="0" header="0" footer="0"/>
    </customSheetView>
    <customSheetView guid="{173F84CF-9EE5-4693-9F18-A0544E920AC9}">
      <selection activeCell="D14" sqref="D14"/>
      <pageMargins left="0" right="0" top="0" bottom="0" header="0" footer="0"/>
    </customSheetView>
    <customSheetView guid="{99FB95A8-1218-4283-9800-5DBBB640B9CC}">
      <selection activeCell="D14" sqref="D14"/>
      <pageMargins left="0" right="0" top="0" bottom="0" header="0" footer="0"/>
    </customSheetView>
    <customSheetView guid="{3ADFB3B6-162A-4CDB-AB24-348E8A99991A}">
      <selection activeCell="D14" sqref="D14"/>
      <pageMargins left="0" right="0" top="0" bottom="0" header="0" footer="0"/>
    </customSheetView>
    <customSheetView guid="{4B6E1B38-E439-406A-9E0D-5C2F40D928F2}">
      <selection activeCell="D14" sqref="D14"/>
      <pageMargins left="0" right="0" top="0" bottom="0" header="0" footer="0"/>
    </customSheetView>
    <customSheetView guid="{F93DD6E0-2AD2-4C47-B879-ABE0581F49BB}">
      <selection activeCell="D14" sqref="D14"/>
      <pageMargins left="0" right="0" top="0" bottom="0" header="0" footer="0"/>
    </customSheetView>
    <customSheetView guid="{77B14F7C-DBD2-4BE8-8492-093BF9A7E4E6}">
      <selection activeCell="D14" sqref="D14"/>
      <pageMargins left="0" right="0" top="0" bottom="0" header="0" footer="0"/>
    </customSheetView>
    <customSheetView guid="{BEF1F9A1-9BE8-4B92-B921-6FE20F0F8630}">
      <selection activeCell="D14" sqref="D14"/>
      <pageMargins left="0" right="0" top="0" bottom="0" header="0" footer="0"/>
    </customSheetView>
    <customSheetView guid="{13B17853-2F7C-4003-B2CE-F9B420C9ECC4}">
      <selection activeCell="D14" sqref="D14"/>
      <pageMargins left="0" right="0" top="0" bottom="0" header="0" footer="0"/>
    </customSheetView>
    <customSheetView guid="{03286019-F3C8-4017-B71E-61FCF78BA513}">
      <selection activeCell="D14" sqref="D14"/>
      <pageMargins left="0" right="0" top="0" bottom="0" header="0" footer="0"/>
    </customSheetView>
    <customSheetView guid="{A5947B2F-936B-413A-8E47-744AE1AC646A}">
      <selection activeCell="D14" sqref="D14"/>
      <pageMargins left="0" right="0" top="0" bottom="0" header="0" footer="0"/>
    </customSheetView>
  </customSheetView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7</vt:i4>
      </vt:variant>
    </vt:vector>
  </HeadingPairs>
  <TitlesOfParts>
    <vt:vector size="13" baseType="lpstr">
      <vt:lpstr>產銷總表 </vt:lpstr>
      <vt:lpstr>精餾產銷</vt:lpstr>
      <vt:lpstr>初餾產銷</vt:lpstr>
      <vt:lpstr>調配產銷</vt:lpstr>
      <vt:lpstr>秏料</vt:lpstr>
      <vt:lpstr>生產線別參照</vt:lpstr>
      <vt:lpstr>初餾產銷!Print_Area</vt:lpstr>
      <vt:lpstr>秏料!Print_Area</vt:lpstr>
      <vt:lpstr>'產銷總表 '!Print_Area</vt:lpstr>
      <vt:lpstr>精餾產銷!Print_Area</vt:lpstr>
      <vt:lpstr>調配產銷!Print_Area</vt:lpstr>
      <vt:lpstr>初餾產銷!Print_Titles</vt:lpstr>
      <vt:lpstr>精餾產銷!Print_Titles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張馨方</dc:creator>
  <cp:keywords/>
  <dc:description/>
  <cp:lastModifiedBy>鴻勝化學-張嘉峰</cp:lastModifiedBy>
  <cp:revision/>
  <cp:lastPrinted>2026-08-24T05:15:07Z</cp:lastPrinted>
  <dcterms:created xsi:type="dcterms:W3CDTF">2020-08-10T05:57:26Z</dcterms:created>
  <dcterms:modified xsi:type="dcterms:W3CDTF">2026-08-28T08:37:54Z</dcterms:modified>
  <cp:category/>
  <cp:contentStatus/>
</cp:coreProperties>
</file>