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各單位對外\資材部對外\!儲槽作業日報\儲槽作業日報\"/>
    </mc:Choice>
  </mc:AlternateContent>
  <bookViews>
    <workbookView xWindow="0" yWindow="0" windowWidth="21600" windowHeight="8256" activeTab="12"/>
  </bookViews>
  <sheets>
    <sheet name="工作表1" sheetId="2098" r:id="rId1"/>
    <sheet name="密度" sheetId="13" r:id="rId2"/>
    <sheet name="mm計算" sheetId="2111" r:id="rId3"/>
    <sheet name="1.30 %計算" sheetId="2080" r:id="rId4"/>
    <sheet name="5.29 " sheetId="2148" r:id="rId5"/>
    <sheet name="6.30" sheetId="2153" r:id="rId6"/>
    <sheet name="7.1" sheetId="2156" r:id="rId7"/>
    <sheet name="7.2" sheetId="2157" r:id="rId8"/>
    <sheet name="7.3" sheetId="2158" r:id="rId9"/>
    <sheet name="7.6" sheetId="2160" r:id="rId10"/>
    <sheet name="7.7" sheetId="2161" r:id="rId11"/>
    <sheet name="7.8" sheetId="2162" r:id="rId12"/>
    <sheet name="7.9" sheetId="2163" r:id="rId13"/>
  </sheets>
  <externalReferences>
    <externalReference r:id="rId14"/>
    <externalReference r:id="rId15"/>
  </externalReferences>
  <definedNames>
    <definedName name="_xlnm.Print_Area" localSheetId="3">'1.30 %計算'!$B$1:$AE$36</definedName>
    <definedName name="_xlnm.Print_Area" localSheetId="4">'5.29 '!$B$1:$AE$36</definedName>
    <definedName name="_xlnm.Print_Area" localSheetId="5">'6.30'!$B$1:$AE$36</definedName>
    <definedName name="_xlnm.Print_Area" localSheetId="6">'7.1'!$B$1:$AE$36</definedName>
    <definedName name="_xlnm.Print_Area" localSheetId="7">'7.2'!$B$1:$AE$36</definedName>
    <definedName name="_xlnm.Print_Area" localSheetId="8">'7.3'!$B$1:$AE$36</definedName>
    <definedName name="_xlnm.Print_Area" localSheetId="9">'7.6'!$B$1:$AE$36</definedName>
    <definedName name="_xlnm.Print_Area" localSheetId="10">'7.7'!$B$1:$AE$36</definedName>
    <definedName name="_xlnm.Print_Area" localSheetId="11">'7.8'!$B$1:$AE$36</definedName>
    <definedName name="_xlnm.Print_Area" localSheetId="12">'7.9'!$B$1:$AE$36</definedName>
    <definedName name="_xlnm.Print_Area" localSheetId="2">mm計算!$B$1:$AE$36</definedName>
    <definedName name="_xlnm.Print_Area" localSheetId="1">密度!$A$1:$W$61</definedName>
    <definedName name="Z_512059F6_F0DC_4056_8FD0_37088AB81F9E_.wvu.PrintArea" localSheetId="3" hidden="1">'1.30 %計算'!$B$3:$AE$36</definedName>
    <definedName name="Z_512059F6_F0DC_4056_8FD0_37088AB81F9E_.wvu.PrintArea" localSheetId="4" hidden="1">'5.29 '!$B$3:$AE$36</definedName>
    <definedName name="Z_512059F6_F0DC_4056_8FD0_37088AB81F9E_.wvu.PrintArea" localSheetId="5" hidden="1">'6.30'!$B$3:$AE$36</definedName>
    <definedName name="Z_512059F6_F0DC_4056_8FD0_37088AB81F9E_.wvu.PrintArea" localSheetId="6" hidden="1">'7.1'!$B$3:$AE$36</definedName>
    <definedName name="Z_512059F6_F0DC_4056_8FD0_37088AB81F9E_.wvu.PrintArea" localSheetId="7" hidden="1">'7.2'!$B$3:$AE$36</definedName>
    <definedName name="Z_512059F6_F0DC_4056_8FD0_37088AB81F9E_.wvu.PrintArea" localSheetId="8" hidden="1">'7.3'!$B$3:$AE$36</definedName>
    <definedName name="Z_512059F6_F0DC_4056_8FD0_37088AB81F9E_.wvu.PrintArea" localSheetId="9" hidden="1">'7.6'!$B$3:$AE$36</definedName>
    <definedName name="Z_512059F6_F0DC_4056_8FD0_37088AB81F9E_.wvu.PrintArea" localSheetId="10" hidden="1">'7.7'!$B$3:$AE$36</definedName>
    <definedName name="Z_512059F6_F0DC_4056_8FD0_37088AB81F9E_.wvu.PrintArea" localSheetId="11" hidden="1">'7.8'!$B$3:$AE$36</definedName>
    <definedName name="Z_512059F6_F0DC_4056_8FD0_37088AB81F9E_.wvu.PrintArea" localSheetId="12" hidden="1">'7.9'!$B$3:$AE$36</definedName>
    <definedName name="Z_512059F6_F0DC_4056_8FD0_37088AB81F9E_.wvu.PrintArea" localSheetId="2" hidden="1">mm計算!$B$3:$AE$36</definedName>
    <definedName name="Z_68643476_8805_447E_8170_A582EA1D0343_.wvu.PrintArea" localSheetId="3" hidden="1">'1.30 %計算'!$B$3:$AE$36</definedName>
    <definedName name="Z_68643476_8805_447E_8170_A582EA1D0343_.wvu.PrintArea" localSheetId="4" hidden="1">'5.29 '!$B$3:$AE$36</definedName>
    <definedName name="Z_68643476_8805_447E_8170_A582EA1D0343_.wvu.PrintArea" localSheetId="5" hidden="1">'6.30'!$B$3:$AE$36</definedName>
    <definedName name="Z_68643476_8805_447E_8170_A582EA1D0343_.wvu.PrintArea" localSheetId="6" hidden="1">'7.1'!$B$3:$AE$36</definedName>
    <definedName name="Z_68643476_8805_447E_8170_A582EA1D0343_.wvu.PrintArea" localSheetId="7" hidden="1">'7.2'!$B$3:$AE$36</definedName>
    <definedName name="Z_68643476_8805_447E_8170_A582EA1D0343_.wvu.PrintArea" localSheetId="8" hidden="1">'7.3'!$B$3:$AE$36</definedName>
    <definedName name="Z_68643476_8805_447E_8170_A582EA1D0343_.wvu.PrintArea" localSheetId="9" hidden="1">'7.6'!$B$3:$AE$36</definedName>
    <definedName name="Z_68643476_8805_447E_8170_A582EA1D0343_.wvu.PrintArea" localSheetId="10" hidden="1">'7.7'!$B$3:$AE$36</definedName>
    <definedName name="Z_68643476_8805_447E_8170_A582EA1D0343_.wvu.PrintArea" localSheetId="11" hidden="1">'7.8'!$B$3:$AE$36</definedName>
    <definedName name="Z_68643476_8805_447E_8170_A582EA1D0343_.wvu.PrintArea" localSheetId="12" hidden="1">'7.9'!$B$3:$AE$36</definedName>
    <definedName name="Z_68643476_8805_447E_8170_A582EA1D0343_.wvu.PrintArea" localSheetId="2" hidden="1">mm計算!$B$3:$AE$36</definedName>
    <definedName name="Z_8E5926ED_4EBD_4129_B8FF_799CC47580D7_.wvu.PrintArea" localSheetId="3" hidden="1">'1.30 %計算'!$B$3:$AE$36</definedName>
    <definedName name="Z_8E5926ED_4EBD_4129_B8FF_799CC47580D7_.wvu.PrintArea" localSheetId="4" hidden="1">'5.29 '!$B$3:$AE$36</definedName>
    <definedName name="Z_8E5926ED_4EBD_4129_B8FF_799CC47580D7_.wvu.PrintArea" localSheetId="5" hidden="1">'6.30'!$B$3:$AE$36</definedName>
    <definedName name="Z_8E5926ED_4EBD_4129_B8FF_799CC47580D7_.wvu.PrintArea" localSheetId="6" hidden="1">'7.1'!$B$3:$AE$36</definedName>
    <definedName name="Z_8E5926ED_4EBD_4129_B8FF_799CC47580D7_.wvu.PrintArea" localSheetId="7" hidden="1">'7.2'!$B$3:$AE$36</definedName>
    <definedName name="Z_8E5926ED_4EBD_4129_B8FF_799CC47580D7_.wvu.PrintArea" localSheetId="8" hidden="1">'7.3'!$B$3:$AE$36</definedName>
    <definedName name="Z_8E5926ED_4EBD_4129_B8FF_799CC47580D7_.wvu.PrintArea" localSheetId="9" hidden="1">'7.6'!$B$3:$AE$36</definedName>
    <definedName name="Z_8E5926ED_4EBD_4129_B8FF_799CC47580D7_.wvu.PrintArea" localSheetId="10" hidden="1">'7.7'!$B$3:$AE$36</definedName>
    <definedName name="Z_8E5926ED_4EBD_4129_B8FF_799CC47580D7_.wvu.PrintArea" localSheetId="11" hidden="1">'7.8'!$B$3:$AE$36</definedName>
    <definedName name="Z_8E5926ED_4EBD_4129_B8FF_799CC47580D7_.wvu.PrintArea" localSheetId="12" hidden="1">'7.9'!$B$3:$AE$36</definedName>
    <definedName name="Z_8E5926ED_4EBD_4129_B8FF_799CC47580D7_.wvu.PrintArea" localSheetId="2" hidden="1">mm計算!$B$3:$AE$36</definedName>
    <definedName name="Z_8FA8B620_C56C_11DB_A857_00055D5FD5FF_.wvu.PrintArea" localSheetId="3" hidden="1">'1.30 %計算'!$B$3:$AE$36</definedName>
    <definedName name="Z_8FA8B620_C56C_11DB_A857_00055D5FD5FF_.wvu.PrintArea" localSheetId="4" hidden="1">'5.29 '!$B$3:$AE$36</definedName>
    <definedName name="Z_8FA8B620_C56C_11DB_A857_00055D5FD5FF_.wvu.PrintArea" localSheetId="5" hidden="1">'6.30'!$B$3:$AE$36</definedName>
    <definedName name="Z_8FA8B620_C56C_11DB_A857_00055D5FD5FF_.wvu.PrintArea" localSheetId="6" hidden="1">'7.1'!$B$3:$AE$36</definedName>
    <definedName name="Z_8FA8B620_C56C_11DB_A857_00055D5FD5FF_.wvu.PrintArea" localSheetId="7" hidden="1">'7.2'!$B$3:$AE$36</definedName>
    <definedName name="Z_8FA8B620_C56C_11DB_A857_00055D5FD5FF_.wvu.PrintArea" localSheetId="8" hidden="1">'7.3'!$B$3:$AE$36</definedName>
    <definedName name="Z_8FA8B620_C56C_11DB_A857_00055D5FD5FF_.wvu.PrintArea" localSheetId="9" hidden="1">'7.6'!$B$3:$AE$36</definedName>
    <definedName name="Z_8FA8B620_C56C_11DB_A857_00055D5FD5FF_.wvu.PrintArea" localSheetId="10" hidden="1">'7.7'!$B$3:$AE$36</definedName>
    <definedName name="Z_8FA8B620_C56C_11DB_A857_00055D5FD5FF_.wvu.PrintArea" localSheetId="11" hidden="1">'7.8'!$B$3:$AE$36</definedName>
    <definedName name="Z_8FA8B620_C56C_11DB_A857_00055D5FD5FF_.wvu.PrintArea" localSheetId="12" hidden="1">'7.9'!$B$3:$AE$36</definedName>
    <definedName name="Z_8FA8B620_C56C_11DB_A857_00055D5FD5FF_.wvu.PrintArea" localSheetId="2" hidden="1">mm計算!$B$3:$AE$36</definedName>
    <definedName name="Z_A3DB5619_047E_4CE2_8C39_700CFD25F2CB_.wvu.PrintArea" localSheetId="3" hidden="1">'1.30 %計算'!$B$3:$AE$36</definedName>
    <definedName name="Z_A3DB5619_047E_4CE2_8C39_700CFD25F2CB_.wvu.PrintArea" localSheetId="4" hidden="1">'5.29 '!$B$3:$AE$36</definedName>
    <definedName name="Z_A3DB5619_047E_4CE2_8C39_700CFD25F2CB_.wvu.PrintArea" localSheetId="5" hidden="1">'6.30'!$B$3:$AE$36</definedName>
    <definedName name="Z_A3DB5619_047E_4CE2_8C39_700CFD25F2CB_.wvu.PrintArea" localSheetId="6" hidden="1">'7.1'!$B$3:$AE$36</definedName>
    <definedName name="Z_A3DB5619_047E_4CE2_8C39_700CFD25F2CB_.wvu.PrintArea" localSheetId="7" hidden="1">'7.2'!$B$3:$AE$36</definedName>
    <definedName name="Z_A3DB5619_047E_4CE2_8C39_700CFD25F2CB_.wvu.PrintArea" localSheetId="8" hidden="1">'7.3'!$B$3:$AE$36</definedName>
    <definedName name="Z_A3DB5619_047E_4CE2_8C39_700CFD25F2CB_.wvu.PrintArea" localSheetId="9" hidden="1">'7.6'!$B$3:$AE$36</definedName>
    <definedName name="Z_A3DB5619_047E_4CE2_8C39_700CFD25F2CB_.wvu.PrintArea" localSheetId="10" hidden="1">'7.7'!$B$3:$AE$36</definedName>
    <definedName name="Z_A3DB5619_047E_4CE2_8C39_700CFD25F2CB_.wvu.PrintArea" localSheetId="11" hidden="1">'7.8'!$B$3:$AE$36</definedName>
    <definedName name="Z_A3DB5619_047E_4CE2_8C39_700CFD25F2CB_.wvu.PrintArea" localSheetId="12" hidden="1">'7.9'!$B$3:$AE$36</definedName>
    <definedName name="Z_A3DB5619_047E_4CE2_8C39_700CFD25F2CB_.wvu.PrintArea" localSheetId="2" hidden="1">mm計算!$B$3:$AE$36</definedName>
    <definedName name="Z_D903F940_B812_11DB_B168_0010B575B8B2_.wvu.PrintArea" localSheetId="3" hidden="1">'1.30 %計算'!$B$3:$AE$36</definedName>
    <definedName name="Z_D903F940_B812_11DB_B168_0010B575B8B2_.wvu.PrintArea" localSheetId="4" hidden="1">'5.29 '!$B$3:$AE$36</definedName>
    <definedName name="Z_D903F940_B812_11DB_B168_0010B575B8B2_.wvu.PrintArea" localSheetId="5" hidden="1">'6.30'!$B$3:$AE$36</definedName>
    <definedName name="Z_D903F940_B812_11DB_B168_0010B575B8B2_.wvu.PrintArea" localSheetId="6" hidden="1">'7.1'!$B$3:$AE$36</definedName>
    <definedName name="Z_D903F940_B812_11DB_B168_0010B575B8B2_.wvu.PrintArea" localSheetId="7" hidden="1">'7.2'!$B$3:$AE$36</definedName>
    <definedName name="Z_D903F940_B812_11DB_B168_0010B575B8B2_.wvu.PrintArea" localSheetId="8" hidden="1">'7.3'!$B$3:$AE$36</definedName>
    <definedName name="Z_D903F940_B812_11DB_B168_0010B575B8B2_.wvu.PrintArea" localSheetId="9" hidden="1">'7.6'!$B$3:$AE$36</definedName>
    <definedName name="Z_D903F940_B812_11DB_B168_0010B575B8B2_.wvu.PrintArea" localSheetId="10" hidden="1">'7.7'!$B$3:$AE$36</definedName>
    <definedName name="Z_D903F940_B812_11DB_B168_0010B575B8B2_.wvu.PrintArea" localSheetId="11" hidden="1">'7.8'!$B$3:$AE$36</definedName>
    <definedName name="Z_D903F940_B812_11DB_B168_0010B575B8B2_.wvu.PrintArea" localSheetId="12" hidden="1">'7.9'!$B$3:$AE$36</definedName>
    <definedName name="Z_D903F940_B812_11DB_B168_0010B575B8B2_.wvu.PrintArea" localSheetId="2" hidden="1">mm計算!$B$3:$AE$36</definedName>
    <definedName name="取樣回收每月庫存表" localSheetId="3" hidden="1">'1.30 %計算'!#REF!</definedName>
    <definedName name="取樣回收每月庫存表" localSheetId="4" hidden="1">'5.29 '!#REF!</definedName>
    <definedName name="取樣回收每月庫存表" localSheetId="5" hidden="1">'6.30'!#REF!</definedName>
    <definedName name="取樣回收每月庫存表" localSheetId="6" hidden="1">'7.1'!#REF!</definedName>
    <definedName name="取樣回收每月庫存表" localSheetId="7" hidden="1">'7.2'!#REF!</definedName>
    <definedName name="取樣回收每月庫存表" localSheetId="8" hidden="1">'7.3'!#REF!</definedName>
    <definedName name="取樣回收每月庫存表" localSheetId="9" hidden="1">'7.6'!#REF!</definedName>
    <definedName name="取樣回收每月庫存表" localSheetId="10" hidden="1">'7.7'!#REF!</definedName>
    <definedName name="取樣回收每月庫存表" localSheetId="11" hidden="1">'7.8'!#REF!</definedName>
    <definedName name="取樣回收每月庫存表" localSheetId="12" hidden="1">'7.9'!#REF!</definedName>
    <definedName name="取樣回收每月庫存表" localSheetId="2" hidden="1">mm計算!#REF!</definedName>
    <definedName name="取樣回收每月庫存表_0620更新" localSheetId="3" hidden="1">'1.30 %計算'!#REF!</definedName>
    <definedName name="取樣回收每月庫存表_0620更新" localSheetId="4" hidden="1">'5.29 '!#REF!</definedName>
    <definedName name="取樣回收每月庫存表_0620更新" localSheetId="5" hidden="1">'6.30'!#REF!</definedName>
    <definedName name="取樣回收每月庫存表_0620更新" localSheetId="6" hidden="1">'7.1'!#REF!</definedName>
    <definedName name="取樣回收每月庫存表_0620更新" localSheetId="7" hidden="1">'7.2'!#REF!</definedName>
    <definedName name="取樣回收每月庫存表_0620更新" localSheetId="8" hidden="1">'7.3'!#REF!</definedName>
    <definedName name="取樣回收每月庫存表_0620更新" localSheetId="9" hidden="1">'7.6'!#REF!</definedName>
    <definedName name="取樣回收每月庫存表_0620更新" localSheetId="10" hidden="1">'7.7'!#REF!</definedName>
    <definedName name="取樣回收每月庫存表_0620更新" localSheetId="11" hidden="1">'7.8'!#REF!</definedName>
    <definedName name="取樣回收每月庫存表_0620更新" localSheetId="12" hidden="1">'7.9'!#REF!</definedName>
    <definedName name="取樣回收每月庫存表_0620更新" localSheetId="2" hidden="1">mm計算!#REF!</definedName>
    <definedName name="複本_14_取樣回收每月庫存表" localSheetId="3" hidden="1">'1.30 %計算'!#REF!</definedName>
    <definedName name="複本_14_取樣回收每月庫存表" localSheetId="4" hidden="1">'5.29 '!#REF!</definedName>
    <definedName name="複本_14_取樣回收每月庫存表" localSheetId="5" hidden="1">'6.30'!#REF!</definedName>
    <definedName name="複本_14_取樣回收每月庫存表" localSheetId="6" hidden="1">'7.1'!#REF!</definedName>
    <definedName name="複本_14_取樣回收每月庫存表" localSheetId="7" hidden="1">'7.2'!#REF!</definedName>
    <definedName name="複本_14_取樣回收每月庫存表" localSheetId="8" hidden="1">'7.3'!#REF!</definedName>
    <definedName name="複本_14_取樣回收每月庫存表" localSheetId="9" hidden="1">'7.6'!#REF!</definedName>
    <definedName name="複本_14_取樣回收每月庫存表" localSheetId="10" hidden="1">'7.7'!#REF!</definedName>
    <definedName name="複本_14_取樣回收每月庫存表" localSheetId="11" hidden="1">'7.8'!#REF!</definedName>
    <definedName name="複本_14_取樣回收每月庫存表" localSheetId="12" hidden="1">'7.9'!#REF!</definedName>
    <definedName name="複本_14_取樣回收每月庫存表" localSheetId="2" hidden="1">mm計算!#REF!</definedName>
  </definedNames>
  <calcPr calcId="162913"/>
</workbook>
</file>

<file path=xl/calcChain.xml><?xml version="1.0" encoding="utf-8"?>
<calcChain xmlns="http://schemas.openxmlformats.org/spreadsheetml/2006/main">
  <c r="O33" i="2163" l="1"/>
  <c r="P10" i="2163"/>
  <c r="O10" i="2163"/>
  <c r="D33" i="2163" s="1"/>
  <c r="N10" i="2163"/>
  <c r="M10" i="2163"/>
  <c r="L10" i="2163"/>
  <c r="F33" i="2163" s="1"/>
  <c r="K10" i="2163"/>
  <c r="J10" i="2163"/>
  <c r="I10" i="2163"/>
  <c r="H10" i="2163"/>
  <c r="G10" i="2163"/>
  <c r="F10" i="2163"/>
  <c r="E10" i="2163"/>
  <c r="D10" i="2163"/>
  <c r="P7" i="2163"/>
  <c r="O7" i="2163"/>
  <c r="N7" i="2163"/>
  <c r="M7" i="2163"/>
  <c r="L7" i="2163"/>
  <c r="K7" i="2163"/>
  <c r="J7" i="2163"/>
  <c r="I7" i="2163"/>
  <c r="H7" i="2163"/>
  <c r="G7" i="2163"/>
  <c r="F7" i="2163"/>
  <c r="E7" i="2163"/>
  <c r="D7" i="2163"/>
  <c r="O33" i="2162"/>
  <c r="P10" i="2162"/>
  <c r="O10" i="2162"/>
  <c r="D33" i="2162" s="1"/>
  <c r="N10" i="2162"/>
  <c r="M10" i="2162"/>
  <c r="L10" i="2162"/>
  <c r="F33" i="2162" s="1"/>
  <c r="K10" i="2162"/>
  <c r="J10" i="2162"/>
  <c r="I10" i="2162"/>
  <c r="H10" i="2162"/>
  <c r="G10" i="2162"/>
  <c r="F10" i="2162"/>
  <c r="E10" i="2162"/>
  <c r="D10" i="2162"/>
  <c r="P7" i="2162"/>
  <c r="O7" i="2162"/>
  <c r="N7" i="2162"/>
  <c r="M7" i="2162"/>
  <c r="L7" i="2162"/>
  <c r="K7" i="2162"/>
  <c r="J7" i="2162"/>
  <c r="I7" i="2162"/>
  <c r="H7" i="2162"/>
  <c r="G7" i="2162"/>
  <c r="F7" i="2162"/>
  <c r="E7" i="2162"/>
  <c r="D7" i="2162"/>
  <c r="O33" i="2161"/>
  <c r="P10" i="2161"/>
  <c r="O10" i="2161"/>
  <c r="D33" i="2161" s="1"/>
  <c r="N10" i="2161"/>
  <c r="M10" i="2161"/>
  <c r="L10" i="2161"/>
  <c r="F33" i="2161" s="1"/>
  <c r="K10" i="2161"/>
  <c r="J10" i="2161"/>
  <c r="I10" i="2161"/>
  <c r="H10" i="2161"/>
  <c r="G10" i="2161"/>
  <c r="F10" i="2161"/>
  <c r="E10" i="2161"/>
  <c r="D10" i="2161"/>
  <c r="P7" i="2161"/>
  <c r="O7" i="2161"/>
  <c r="N7" i="2161"/>
  <c r="M7" i="2161"/>
  <c r="L7" i="2161"/>
  <c r="K7" i="2161"/>
  <c r="J7" i="2161"/>
  <c r="I7" i="2161"/>
  <c r="H7" i="2161"/>
  <c r="G7" i="2161"/>
  <c r="F7" i="2161"/>
  <c r="E7" i="2161"/>
  <c r="D7" i="2161"/>
  <c r="O33" i="2160"/>
  <c r="P10" i="2160"/>
  <c r="O10" i="2160"/>
  <c r="D33" i="2160" s="1"/>
  <c r="N10" i="2160"/>
  <c r="M10" i="2160"/>
  <c r="L10" i="2160"/>
  <c r="F33" i="2160" s="1"/>
  <c r="K10" i="2160"/>
  <c r="J10" i="2160"/>
  <c r="I10" i="2160"/>
  <c r="H10" i="2160"/>
  <c r="E33" i="2160" s="1"/>
  <c r="G10" i="2160"/>
  <c r="F10" i="2160"/>
  <c r="E10" i="2160"/>
  <c r="D10" i="2160"/>
  <c r="P7" i="2160"/>
  <c r="O7" i="2160"/>
  <c r="N7" i="2160"/>
  <c r="M7" i="2160"/>
  <c r="L7" i="2160"/>
  <c r="K7" i="2160"/>
  <c r="J7" i="2160"/>
  <c r="I7" i="2160"/>
  <c r="H7" i="2160"/>
  <c r="G7" i="2160"/>
  <c r="F7" i="2160"/>
  <c r="E7" i="2160"/>
  <c r="D7" i="2160"/>
  <c r="E33" i="2163" l="1"/>
  <c r="E33" i="2162"/>
  <c r="E33" i="2161"/>
  <c r="E10" i="2158"/>
  <c r="O33" i="2158"/>
  <c r="P10" i="2158"/>
  <c r="O10" i="2158"/>
  <c r="D33" i="2158" s="1"/>
  <c r="N10" i="2158"/>
  <c r="M10" i="2158"/>
  <c r="L10" i="2158"/>
  <c r="K10" i="2158"/>
  <c r="J10" i="2158"/>
  <c r="I10" i="2158"/>
  <c r="H10" i="2158"/>
  <c r="G10" i="2158"/>
  <c r="F10" i="2158"/>
  <c r="D10" i="2158"/>
  <c r="P7" i="2158"/>
  <c r="O7" i="2158"/>
  <c r="N7" i="2158"/>
  <c r="M7" i="2158"/>
  <c r="L7" i="2158"/>
  <c r="K7" i="2158"/>
  <c r="J7" i="2158"/>
  <c r="I7" i="2158"/>
  <c r="H7" i="2158"/>
  <c r="G7" i="2158"/>
  <c r="F7" i="2158"/>
  <c r="E7" i="2158"/>
  <c r="D7" i="2158"/>
  <c r="F33" i="2158" l="1"/>
  <c r="E33" i="2158"/>
  <c r="O33" i="2157"/>
  <c r="P10" i="2157"/>
  <c r="O10" i="2157"/>
  <c r="D33" i="2157" s="1"/>
  <c r="N10" i="2157"/>
  <c r="M10" i="2157"/>
  <c r="L10" i="2157"/>
  <c r="F33" i="2157" s="1"/>
  <c r="K10" i="2157"/>
  <c r="J10" i="2157"/>
  <c r="I10" i="2157"/>
  <c r="H10" i="2157"/>
  <c r="E33" i="2157" s="1"/>
  <c r="G10" i="2157"/>
  <c r="F10" i="2157"/>
  <c r="E10" i="2157"/>
  <c r="D10" i="2157"/>
  <c r="P7" i="2157"/>
  <c r="O7" i="2157"/>
  <c r="N7" i="2157"/>
  <c r="M7" i="2157"/>
  <c r="L7" i="2157"/>
  <c r="K7" i="2157"/>
  <c r="J7" i="2157"/>
  <c r="I7" i="2157"/>
  <c r="H7" i="2157"/>
  <c r="G7" i="2157"/>
  <c r="F7" i="2157"/>
  <c r="E7" i="2157"/>
  <c r="D7" i="2157"/>
  <c r="O33" i="2156" l="1"/>
  <c r="P10" i="2156"/>
  <c r="O10" i="2156"/>
  <c r="N10" i="2156"/>
  <c r="M10" i="2156"/>
  <c r="L10" i="2156"/>
  <c r="K10" i="2156"/>
  <c r="J10" i="2156"/>
  <c r="I10" i="2156"/>
  <c r="H10" i="2156"/>
  <c r="E33" i="2156" s="1"/>
  <c r="G10" i="2156"/>
  <c r="F10" i="2156"/>
  <c r="E10" i="2156"/>
  <c r="D10" i="2156"/>
  <c r="P7" i="2156"/>
  <c r="O7" i="2156"/>
  <c r="N7" i="2156"/>
  <c r="M7" i="2156"/>
  <c r="L7" i="2156"/>
  <c r="K7" i="2156"/>
  <c r="J7" i="2156"/>
  <c r="I7" i="2156"/>
  <c r="H7" i="2156"/>
  <c r="G7" i="2156"/>
  <c r="F7" i="2156"/>
  <c r="E7" i="2156"/>
  <c r="D7" i="2156"/>
  <c r="I7" i="2153"/>
  <c r="J7" i="2153"/>
  <c r="K7" i="2153"/>
  <c r="H7" i="2153"/>
  <c r="D33" i="2156" l="1"/>
  <c r="F33" i="2156"/>
  <c r="O33" i="2153"/>
  <c r="P10" i="2153"/>
  <c r="O10" i="2153"/>
  <c r="N10" i="2153"/>
  <c r="M10" i="2153"/>
  <c r="L10" i="2153"/>
  <c r="K10" i="2153"/>
  <c r="J10" i="2153"/>
  <c r="I10" i="2153"/>
  <c r="H10" i="2153"/>
  <c r="E33" i="2153" s="1"/>
  <c r="G10" i="2153"/>
  <c r="F10" i="2153"/>
  <c r="E10" i="2153"/>
  <c r="D10" i="2153"/>
  <c r="P7" i="2153"/>
  <c r="O7" i="2153"/>
  <c r="N7" i="2153"/>
  <c r="M7" i="2153"/>
  <c r="L7" i="2153"/>
  <c r="G7" i="2153"/>
  <c r="F7" i="2153"/>
  <c r="E7" i="2153"/>
  <c r="D7" i="2153"/>
  <c r="D33" i="2153" l="1"/>
  <c r="F33" i="2153"/>
  <c r="O33" i="2148" l="1"/>
  <c r="P10" i="2148"/>
  <c r="O10" i="2148"/>
  <c r="D33" i="2148" s="1"/>
  <c r="N10" i="2148"/>
  <c r="M10" i="2148"/>
  <c r="L10" i="2148"/>
  <c r="K10" i="2148"/>
  <c r="J10" i="2148"/>
  <c r="I10" i="2148"/>
  <c r="H10" i="2148"/>
  <c r="G10" i="2148"/>
  <c r="F10" i="2148"/>
  <c r="E10" i="2148"/>
  <c r="D10" i="2148"/>
  <c r="P7" i="2148"/>
  <c r="O7" i="2148"/>
  <c r="N7" i="2148"/>
  <c r="M7" i="2148"/>
  <c r="L7" i="2148"/>
  <c r="K7" i="2148"/>
  <c r="J7" i="2148"/>
  <c r="I7" i="2148"/>
  <c r="H7" i="2148"/>
  <c r="G7" i="2148"/>
  <c r="F7" i="2148"/>
  <c r="E7" i="2148"/>
  <c r="D7" i="2148"/>
  <c r="F33" i="2148" l="1"/>
  <c r="E33" i="2148"/>
  <c r="H7" i="2080" l="1"/>
  <c r="P10" i="2111" l="1"/>
  <c r="O10" i="2111"/>
  <c r="P7" i="2111"/>
  <c r="O7" i="2111"/>
  <c r="N10" i="2111"/>
  <c r="N7" i="2111"/>
  <c r="L10" i="2111"/>
  <c r="L7" i="2111"/>
  <c r="K10" i="2111" l="1"/>
  <c r="J10" i="2111"/>
  <c r="I10" i="2111"/>
  <c r="H10" i="2111"/>
  <c r="I7" i="2111"/>
  <c r="J7" i="2111"/>
  <c r="K7" i="2111"/>
  <c r="H7" i="2111"/>
  <c r="O33" i="2111"/>
  <c r="M10" i="2111"/>
  <c r="G10" i="2111"/>
  <c r="F10" i="2111"/>
  <c r="E10" i="2111"/>
  <c r="D10" i="2111"/>
  <c r="M7" i="2111"/>
  <c r="G7" i="2111"/>
  <c r="F7" i="2111"/>
  <c r="E7" i="2111"/>
  <c r="D7" i="2111"/>
  <c r="D33" i="2111" l="1"/>
  <c r="F33" i="2111"/>
  <c r="E33" i="2111"/>
  <c r="G7" i="2080" l="1"/>
  <c r="F7" i="2080"/>
  <c r="E7" i="2080"/>
  <c r="D7" i="2080"/>
  <c r="D10" i="2080"/>
  <c r="G10" i="2080"/>
  <c r="F10" i="2080"/>
  <c r="E10" i="2080"/>
  <c r="I10" i="2080"/>
  <c r="J10" i="2080"/>
  <c r="K10" i="2080"/>
  <c r="I7" i="2080"/>
  <c r="J7" i="2080"/>
  <c r="K7" i="2080"/>
  <c r="H10" i="2080"/>
  <c r="P7" i="2080" l="1"/>
  <c r="P10" i="2080"/>
  <c r="O10" i="2080"/>
  <c r="O7" i="2080"/>
  <c r="M10" i="2080" l="1"/>
  <c r="M7" i="2080"/>
  <c r="N7" i="2080"/>
  <c r="L10" i="2080"/>
  <c r="L7" i="2080"/>
  <c r="N10" i="2080" l="1"/>
  <c r="F33" i="2080" l="1"/>
  <c r="D33" i="2080"/>
  <c r="E33" i="2080"/>
  <c r="O33" i="2080" l="1"/>
  <c r="S35" i="13" l="1"/>
  <c r="S36" i="13" s="1"/>
  <c r="S37" i="13" s="1"/>
  <c r="S38" i="13" s="1"/>
  <c r="S39" i="13" s="1"/>
  <c r="S40" i="13" s="1"/>
  <c r="S41" i="13" s="1"/>
  <c r="S42" i="13" s="1"/>
  <c r="S43" i="13" s="1"/>
  <c r="S44" i="13" s="1"/>
  <c r="S45" i="13" s="1"/>
  <c r="S46" i="13" s="1"/>
  <c r="S47" i="13" s="1"/>
  <c r="S48" i="13" s="1"/>
  <c r="S49" i="13" s="1"/>
  <c r="S50" i="13" s="1"/>
  <c r="S51" i="13" s="1"/>
</calcChain>
</file>

<file path=xl/sharedStrings.xml><?xml version="1.0" encoding="utf-8"?>
<sst xmlns="http://schemas.openxmlformats.org/spreadsheetml/2006/main" count="1108" uniqueCount="141">
  <si>
    <t>原料</t>
    <phoneticPr fontId="3" type="noConversion"/>
  </si>
  <si>
    <t>成品</t>
    <phoneticPr fontId="3" type="noConversion"/>
  </si>
  <si>
    <r>
      <rPr>
        <sz val="12"/>
        <rFont val="細明體"/>
        <family val="3"/>
        <charset val="136"/>
      </rPr>
      <t>產</t>
    </r>
    <r>
      <rPr>
        <sz val="12"/>
        <rFont val="DotumChe"/>
        <family val="3"/>
        <charset val="129"/>
      </rPr>
      <t>品</t>
    </r>
    <r>
      <rPr>
        <sz val="12"/>
        <rFont val="細明體"/>
        <family val="3"/>
        <charset val="136"/>
      </rPr>
      <t xml:space="preserve">      </t>
    </r>
    <r>
      <rPr>
        <sz val="12"/>
        <rFont val="DotumChe"/>
        <family val="3"/>
        <charset val="129"/>
      </rPr>
      <t>比重</t>
    </r>
    <r>
      <rPr>
        <sz val="12"/>
        <rFont val="細明體"/>
        <family val="3"/>
        <charset val="136"/>
      </rPr>
      <t xml:space="preserve">    </t>
    </r>
    <r>
      <rPr>
        <sz val="12"/>
        <rFont val="DotumChe"/>
        <family val="3"/>
        <charset val="129"/>
      </rPr>
      <t>溫度</t>
    </r>
    <phoneticPr fontId="3" type="noConversion"/>
  </si>
  <si>
    <t>IPA</t>
    <phoneticPr fontId="3" type="noConversion"/>
  </si>
  <si>
    <t>EG</t>
    <phoneticPr fontId="3" type="noConversion"/>
  </si>
  <si>
    <t>NMP</t>
    <phoneticPr fontId="3" type="noConversion"/>
  </si>
  <si>
    <t>Acetone</t>
    <phoneticPr fontId="3" type="noConversion"/>
  </si>
  <si>
    <t>SEP05</t>
    <phoneticPr fontId="3" type="noConversion"/>
  </si>
  <si>
    <t>PMA</t>
    <phoneticPr fontId="3" type="noConversion"/>
  </si>
  <si>
    <t>PM</t>
    <phoneticPr fontId="3" type="noConversion"/>
  </si>
  <si>
    <t>GAA</t>
    <phoneticPr fontId="3" type="noConversion"/>
  </si>
  <si>
    <r>
      <t>BDG+MEA
澄</t>
    </r>
    <r>
      <rPr>
        <sz val="14"/>
        <rFont val="細明體"/>
        <family val="3"/>
        <charset val="136"/>
      </rPr>
      <t>清</t>
    </r>
    <r>
      <rPr>
        <sz val="14"/>
        <rFont val="DotumChe"/>
        <family val="3"/>
        <charset val="129"/>
      </rPr>
      <t>液</t>
    </r>
    <phoneticPr fontId="3" type="noConversion"/>
  </si>
  <si>
    <t>ANONE</t>
    <phoneticPr fontId="3" type="noConversion"/>
  </si>
  <si>
    <t>EBR</t>
    <phoneticPr fontId="3" type="noConversion"/>
  </si>
  <si>
    <t>NBAC</t>
    <phoneticPr fontId="3" type="noConversion"/>
  </si>
  <si>
    <t>EBRUPS</t>
    <phoneticPr fontId="3" type="noConversion"/>
  </si>
  <si>
    <t>2SEP73(EBR)</t>
    <phoneticPr fontId="3" type="noConversion"/>
  </si>
  <si>
    <t>SEP11</t>
    <phoneticPr fontId="3" type="noConversion"/>
  </si>
  <si>
    <t>ETOH</t>
    <phoneticPr fontId="3" type="noConversion"/>
  </si>
  <si>
    <t>PG2</t>
    <phoneticPr fontId="3" type="noConversion"/>
  </si>
  <si>
    <t>EEP</t>
    <phoneticPr fontId="3" type="noConversion"/>
  </si>
  <si>
    <t>HEA     DPM</t>
    <phoneticPr fontId="3" type="noConversion"/>
  </si>
  <si>
    <t>DPM</t>
    <phoneticPr fontId="3" type="noConversion"/>
  </si>
  <si>
    <t xml:space="preserve"> </t>
    <phoneticPr fontId="2" type="noConversion"/>
  </si>
  <si>
    <t>品名</t>
    <phoneticPr fontId="3" type="noConversion"/>
  </si>
  <si>
    <t>時間</t>
    <phoneticPr fontId="3" type="noConversion"/>
  </si>
  <si>
    <t>TPM</t>
    <phoneticPr fontId="3" type="noConversion"/>
  </si>
  <si>
    <t>TK-603</t>
    <phoneticPr fontId="4" type="noConversion"/>
  </si>
  <si>
    <t>待處理品</t>
    <phoneticPr fontId="3" type="noConversion"/>
  </si>
  <si>
    <t>TK-601</t>
    <phoneticPr fontId="4" type="noConversion"/>
  </si>
  <si>
    <t>TK-602</t>
    <phoneticPr fontId="4" type="noConversion"/>
  </si>
  <si>
    <t>記事欄</t>
    <phoneticPr fontId="3" type="noConversion"/>
  </si>
  <si>
    <r>
      <t>CPN環戊</t>
    </r>
    <r>
      <rPr>
        <sz val="14"/>
        <rFont val="細明體"/>
        <family val="3"/>
        <charset val="136"/>
      </rPr>
      <t>酮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</si>
  <si>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</si>
  <si>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t>MIBC</t>
    <phoneticPr fontId="3" type="noConversion"/>
  </si>
  <si>
    <t>儲槽作業日報表</t>
    <phoneticPr fontId="3" type="noConversion"/>
  </si>
  <si>
    <t>待處理品</t>
    <phoneticPr fontId="2" type="noConversion"/>
  </si>
  <si>
    <t>成品</t>
    <phoneticPr fontId="2" type="noConversion"/>
  </si>
  <si>
    <t>原料</t>
    <phoneticPr fontId="2" type="noConversion"/>
  </si>
  <si>
    <t xml:space="preserve">鴻勝化學科技股份有限公司                                    </t>
    <phoneticPr fontId="3" type="noConversion"/>
  </si>
  <si>
    <t xml:space="preserve">                                  </t>
    <phoneticPr fontId="2" type="noConversion"/>
  </si>
  <si>
    <t>槽　別</t>
    <phoneticPr fontId="3" type="noConversion"/>
  </si>
  <si>
    <t>液位(mm/%)</t>
    <phoneticPr fontId="3" type="noConversion"/>
  </si>
  <si>
    <t>數量(kg)</t>
    <phoneticPr fontId="4" type="noConversion"/>
  </si>
  <si>
    <t>溫度( ℃)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</si>
  <si>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</si>
  <si>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>總數量
(kg)</t>
    <phoneticPr fontId="3" type="noConversion"/>
  </si>
  <si>
    <t>經(副)理:</t>
    <phoneticPr fontId="4" type="noConversion"/>
  </si>
  <si>
    <t>課長:</t>
    <phoneticPr fontId="4" type="noConversion"/>
  </si>
  <si>
    <t>組(副)長:</t>
    <phoneticPr fontId="4" type="noConversion"/>
  </si>
  <si>
    <t>記錄員:</t>
    <phoneticPr fontId="4" type="noConversion"/>
  </si>
  <si>
    <t>IPAHW</t>
    <phoneticPr fontId="3" type="noConversion"/>
  </si>
  <si>
    <t>C50110-INV-01(01)</t>
    <phoneticPr fontId="3" type="noConversion"/>
  </si>
  <si>
    <t>陳志修</t>
    <phoneticPr fontId="2" type="noConversion"/>
  </si>
  <si>
    <t>TK-604</t>
    <phoneticPr fontId="4" type="noConversion"/>
  </si>
  <si>
    <t>TK-605</t>
    <phoneticPr fontId="4" type="noConversion"/>
  </si>
  <si>
    <t>TK-606</t>
  </si>
  <si>
    <t>TK-607</t>
  </si>
  <si>
    <t>TK-608</t>
  </si>
  <si>
    <t>TK611</t>
    <phoneticPr fontId="4" type="noConversion"/>
  </si>
  <si>
    <t>TK612</t>
  </si>
  <si>
    <t>TK613</t>
  </si>
  <si>
    <t>TK617</t>
  </si>
  <si>
    <t>TK618</t>
  </si>
  <si>
    <t>IPA-HQ</t>
    <phoneticPr fontId="3" type="noConversion"/>
  </si>
  <si>
    <t>廢水</t>
    <phoneticPr fontId="3" type="noConversion"/>
  </si>
  <si>
    <t>IPA</t>
    <phoneticPr fontId="2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</si>
  <si>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</t>
    <phoneticPr fontId="3" type="noConversion"/>
  </si>
  <si>
    <t>儲槽編號</t>
  </si>
  <si>
    <t>最高液位 (mm)</t>
  </si>
  <si>
    <t>1mm 容積 (L/mm)</t>
  </si>
  <si>
    <t>桶底容量 (L)</t>
  </si>
  <si>
    <t>1% 高度 (mm)</t>
  </si>
  <si>
    <t>1% 容積 (L)</t>
  </si>
  <si>
    <t>百分比 (%) 計算公式 (公斤 KG)</t>
  </si>
  <si>
    <t>TK-601 ~ 604</t>
  </si>
  <si>
    <t>TK-605 ~ 608</t>
  </si>
  <si>
    <t>TK-611 ~ 612</t>
  </si>
  <si>
    <t>TK-613 ~ 616</t>
  </si>
  <si>
    <t>TK-617 ~ 618</t>
  </si>
  <si>
    <t>=((D6*5200)*4.48+1790)*LOOKUP(D8,密度!A:A,密度!B:B)</t>
    <phoneticPr fontId="2" type="noConversion"/>
  </si>
  <si>
    <t>=((D6*5200)*18.322+8640)*LOOKUP(D8,密度!A:A,密度!B:B)</t>
    <phoneticPr fontId="2" type="noConversion"/>
  </si>
  <si>
    <t>=(D6*6650)*26.42*LOOKUP(D8,密度!A:A,密度!B:B)</t>
    <phoneticPr fontId="2" type="noConversion"/>
  </si>
  <si>
    <t>=(D6*5150)*18.32*LOOKUP(D8,密度!A:A,密度!B:B)</t>
    <phoneticPr fontId="2" type="noConversion"/>
  </si>
  <si>
    <t>=(D6*12200)*81.71*LOOKUP(D8,密度!A:A,密度!B:B)</t>
    <phoneticPr fontId="2" type="noConversion"/>
  </si>
  <si>
    <t>溫度( ℃)</t>
    <phoneticPr fontId="3" type="noConversion"/>
  </si>
  <si>
    <t>空</t>
    <phoneticPr fontId="3" type="noConversion"/>
  </si>
  <si>
    <t xml:space="preserve">鴻勝化學科技股份有限公司                                    </t>
    <phoneticPr fontId="3" type="noConversion"/>
  </si>
  <si>
    <t>TK-605(成品)</t>
    <phoneticPr fontId="4" type="noConversion"/>
  </si>
  <si>
    <t>TK-601(代驗)</t>
    <phoneticPr fontId="4" type="noConversion"/>
  </si>
  <si>
    <t>TK-602(代驗)</t>
    <phoneticPr fontId="4" type="noConversion"/>
  </si>
  <si>
    <t>TK-606(成品)</t>
    <phoneticPr fontId="2" type="noConversion"/>
  </si>
  <si>
    <t>數量(kg)</t>
    <phoneticPr fontId="4" type="noConversion"/>
  </si>
  <si>
    <t xml:space="preserve">鴻勝化學科技股份有限公司                                    </t>
    <phoneticPr fontId="3" type="noConversion"/>
  </si>
  <si>
    <t>儲槽作業日報表</t>
    <phoneticPr fontId="3" type="noConversion"/>
  </si>
  <si>
    <t>時間</t>
    <phoneticPr fontId="3" type="noConversion"/>
  </si>
  <si>
    <t>槽　別</t>
    <phoneticPr fontId="3" type="noConversion"/>
  </si>
  <si>
    <t>TK-601(代驗)</t>
    <phoneticPr fontId="4" type="noConversion"/>
  </si>
  <si>
    <t>TK-602(代驗)</t>
    <phoneticPr fontId="4" type="noConversion"/>
  </si>
  <si>
    <t>TK-603</t>
    <phoneticPr fontId="4" type="noConversion"/>
  </si>
  <si>
    <t>TK-604</t>
    <phoneticPr fontId="4" type="noConversion"/>
  </si>
  <si>
    <t>TK-605(成品)</t>
    <phoneticPr fontId="4" type="noConversion"/>
  </si>
  <si>
    <t>TK-606(成品)</t>
    <phoneticPr fontId="2" type="noConversion"/>
  </si>
  <si>
    <t>TK611</t>
    <phoneticPr fontId="4" type="noConversion"/>
  </si>
  <si>
    <t>品名</t>
    <phoneticPr fontId="3" type="noConversion"/>
  </si>
  <si>
    <t>品名</t>
    <phoneticPr fontId="3" type="noConversion"/>
  </si>
  <si>
    <t>IPA-HQ</t>
    <phoneticPr fontId="3" type="noConversion"/>
  </si>
  <si>
    <t>空</t>
    <phoneticPr fontId="3" type="noConversion"/>
  </si>
  <si>
    <t>IPAHW</t>
    <phoneticPr fontId="3" type="noConversion"/>
  </si>
  <si>
    <t>廢水</t>
    <phoneticPr fontId="3" type="noConversion"/>
  </si>
  <si>
    <t>IPA</t>
    <phoneticPr fontId="2" type="noConversion"/>
  </si>
  <si>
    <t>液位(mm/%)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</si>
  <si>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</si>
  <si>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>數量(kg)</t>
    <phoneticPr fontId="4" type="noConversion"/>
  </si>
  <si>
    <t xml:space="preserve">                                  </t>
    <phoneticPr fontId="2" type="noConversion"/>
  </si>
  <si>
    <t>溫度( ℃)</t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</si>
  <si>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</si>
  <si>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</si>
  <si>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 xml:space="preserve"> </t>
    <phoneticPr fontId="2" type="noConversion"/>
  </si>
  <si>
    <t xml:space="preserve"> </t>
    <phoneticPr fontId="2" type="noConversion"/>
  </si>
  <si>
    <t>記事欄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</si>
  <si>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</t>
    <phoneticPr fontId="3" type="noConversion"/>
  </si>
  <si>
    <t>IPA</t>
    <phoneticPr fontId="3" type="noConversion"/>
  </si>
  <si>
    <t>原料</t>
    <phoneticPr fontId="3" type="noConversion"/>
  </si>
  <si>
    <t>成品</t>
    <phoneticPr fontId="3" type="noConversion"/>
  </si>
  <si>
    <t>待處理品</t>
    <phoneticPr fontId="3" type="noConversion"/>
  </si>
  <si>
    <t>原料</t>
    <phoneticPr fontId="3" type="noConversion"/>
  </si>
  <si>
    <t>成品</t>
    <phoneticPr fontId="3" type="noConversion"/>
  </si>
  <si>
    <t>待處理品</t>
    <phoneticPr fontId="3" type="noConversion"/>
  </si>
  <si>
    <t>待處理品</t>
    <phoneticPr fontId="3" type="noConversion"/>
  </si>
  <si>
    <t>原料</t>
    <phoneticPr fontId="3" type="noConversion"/>
  </si>
  <si>
    <t>原料</t>
    <phoneticPr fontId="2" type="noConversion"/>
  </si>
  <si>
    <t>成品</t>
    <phoneticPr fontId="2" type="noConversion"/>
  </si>
  <si>
    <t>待處理品</t>
    <phoneticPr fontId="2" type="noConversion"/>
  </si>
  <si>
    <t>總數量
(kg)</t>
    <phoneticPr fontId="3" type="noConversion"/>
  </si>
  <si>
    <t>C50110-INV-01(01)</t>
    <phoneticPr fontId="3" type="noConversion"/>
  </si>
  <si>
    <t>經(副)理:</t>
    <phoneticPr fontId="4" type="noConversion"/>
  </si>
  <si>
    <t>課長:</t>
    <phoneticPr fontId="4" type="noConversion"/>
  </si>
  <si>
    <t>組(副)長:</t>
    <phoneticPr fontId="4" type="noConversion"/>
  </si>
  <si>
    <t>記錄員:</t>
    <phoneticPr fontId="4" type="noConversion"/>
  </si>
  <si>
    <t>陳志修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</si>
</sst>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_);[Red]\(0\)"/>
    <numFmt numFmtId="179" formatCode="0_ "/>
    <numFmt numFmtId="180" formatCode="#,##0.0000"/>
    <numFmt numFmtId="181" formatCode="0.0000_ "/>
    <numFmt numFmtId="182" formatCode="0.0000"/>
    <numFmt numFmtId="183" formatCode="[&lt;0]&quot;0&quot;;0"/>
    <numFmt numFmtId="184" formatCode="m&quot;月&quot;d&quot;日&quot;"/>
  </numFmts>
  <fonts count="34">
    <font>
      <sz val="12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2"/>
      <color theme="1"/>
      <name val="新細明體"/>
      <family val="1"/>
      <charset val="136"/>
      <scheme val="minor"/>
    </font>
    <font>
      <sz val="12"/>
      <name val="DotumChe"/>
      <family val="3"/>
      <charset val="129"/>
    </font>
    <font>
      <sz val="12"/>
      <name val="細明體"/>
      <family val="3"/>
      <charset val="136"/>
    </font>
    <font>
      <sz val="14"/>
      <name val="DotumChe"/>
      <family val="3"/>
      <charset val="129"/>
    </font>
    <font>
      <b/>
      <sz val="14"/>
      <color rgb="FF0000FF"/>
      <name val="DotumChe"/>
      <family val="3"/>
      <charset val="129"/>
    </font>
    <font>
      <sz val="14"/>
      <name val="細明體"/>
      <family val="3"/>
      <charset val="136"/>
    </font>
    <font>
      <sz val="12"/>
      <name val="微軟正黑體"/>
      <family val="2"/>
      <charset val="136"/>
    </font>
    <font>
      <sz val="14"/>
      <name val="微軟正黑體"/>
      <family val="2"/>
      <charset val="136"/>
    </font>
    <font>
      <sz val="6"/>
      <name val="微軟正黑體"/>
      <family val="2"/>
      <charset val="136"/>
    </font>
    <font>
      <sz val="16"/>
      <name val="微軟正黑體"/>
      <family val="2"/>
      <charset val="136"/>
    </font>
    <font>
      <sz val="10"/>
      <name val="微軟正黑體"/>
      <family val="2"/>
      <charset val="136"/>
    </font>
    <font>
      <sz val="8"/>
      <name val="微軟正黑體"/>
      <family val="2"/>
      <charset val="136"/>
    </font>
    <font>
      <u/>
      <sz val="16"/>
      <name val="微軟正黑體"/>
      <family val="2"/>
      <charset val="136"/>
    </font>
    <font>
      <sz val="9"/>
      <name val="微軟正黑體"/>
      <family val="2"/>
      <charset val="136"/>
    </font>
    <font>
      <vertAlign val="superscript"/>
      <sz val="8"/>
      <name val="微軟正黑體"/>
      <family val="2"/>
      <charset val="136"/>
    </font>
    <font>
      <vertAlign val="subscript"/>
      <sz val="8"/>
      <name val="微軟正黑體"/>
      <family val="2"/>
      <charset val="136"/>
    </font>
    <font>
      <u/>
      <sz val="9"/>
      <name val="微軟正黑體"/>
      <family val="2"/>
      <charset val="136"/>
    </font>
    <font>
      <sz val="7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7.5"/>
      <name val="微軟正黑體"/>
      <family val="2"/>
      <charset val="136"/>
    </font>
    <font>
      <u/>
      <sz val="9"/>
      <color theme="7" tint="-0.499984740745262"/>
      <name val="微軟正黑體"/>
      <family val="2"/>
      <charset val="136"/>
    </font>
    <font>
      <sz val="9"/>
      <color theme="7" tint="-0.499984740745262"/>
      <name val="微軟正黑體"/>
      <family val="2"/>
      <charset val="136"/>
    </font>
    <font>
      <sz val="8.5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8"/>
      <color rgb="FFC00000"/>
      <name val="微軟正黑體"/>
      <family val="2"/>
      <charset val="136"/>
    </font>
    <font>
      <sz val="12"/>
      <color theme="1"/>
      <name val="新細明體"/>
      <family val="2"/>
      <scheme val="minor"/>
    </font>
    <font>
      <sz val="12"/>
      <color rgb="FF1F1F1F"/>
      <name val="Arial"/>
      <family val="2"/>
    </font>
    <font>
      <b/>
      <sz val="12"/>
      <color rgb="FF1F1F1F"/>
      <name val="Arial"/>
      <family val="2"/>
    </font>
    <font>
      <sz val="10"/>
      <color rgb="FF444746"/>
      <name val="Google Sans Text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tted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4">
    <xf numFmtId="0" fontId="0" fillId="0" borderId="0"/>
    <xf numFmtId="0" fontId="1" fillId="0" borderId="0"/>
    <xf numFmtId="0" fontId="1" fillId="0" borderId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>
      <alignment vertical="center"/>
    </xf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9" fontId="30" fillId="0" borderId="0" applyFont="0" applyFill="0" applyBorder="0" applyAlignment="0" applyProtection="0">
      <alignment vertical="center"/>
    </xf>
  </cellStyleXfs>
  <cellXfs count="210">
    <xf numFmtId="0" fontId="0" fillId="0" borderId="0" xfId="0"/>
    <xf numFmtId="0" fontId="6" fillId="3" borderId="5" xfId="1" applyFont="1" applyFill="1" applyBorder="1" applyAlignment="1">
      <alignment horizontal="left" vertical="center" wrapText="1"/>
    </xf>
    <xf numFmtId="0" fontId="8" fillId="3" borderId="17" xfId="1" applyFont="1" applyFill="1" applyBorder="1" applyAlignment="1">
      <alignment horizontal="center" vertical="center"/>
    </xf>
    <xf numFmtId="49" fontId="9" fillId="4" borderId="17" xfId="1" applyNumberFormat="1" applyFont="1" applyFill="1" applyBorder="1" applyAlignment="1">
      <alignment horizontal="center" vertical="center"/>
    </xf>
    <xf numFmtId="0" fontId="8" fillId="3" borderId="17" xfId="1" applyFont="1" applyFill="1" applyBorder="1" applyAlignment="1">
      <alignment horizontal="center" vertical="center" wrapText="1"/>
    </xf>
    <xf numFmtId="180" fontId="9" fillId="4" borderId="17" xfId="1" applyNumberFormat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8" fillId="0" borderId="18" xfId="1" applyFont="1" applyFill="1" applyBorder="1" applyAlignment="1">
      <alignment horizontal="center" vertical="center" wrapText="1"/>
    </xf>
    <xf numFmtId="0" fontId="8" fillId="0" borderId="19" xfId="1" applyFont="1" applyFill="1" applyBorder="1" applyAlignment="1">
      <alignment horizontal="center" vertical="center"/>
    </xf>
    <xf numFmtId="0" fontId="8" fillId="4" borderId="19" xfId="1" applyFont="1" applyFill="1" applyBorder="1" applyAlignment="1">
      <alignment horizontal="center" vertical="center"/>
    </xf>
    <xf numFmtId="0" fontId="8" fillId="0" borderId="19" xfId="1" applyFont="1" applyFill="1" applyBorder="1" applyAlignment="1">
      <alignment horizontal="center" vertical="center" wrapText="1"/>
    </xf>
    <xf numFmtId="181" fontId="8" fillId="0" borderId="19" xfId="1" applyNumberFormat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0" fontId="8" fillId="0" borderId="0" xfId="1" applyFont="1" applyFill="1" applyAlignment="1">
      <alignment vertical="center"/>
    </xf>
    <xf numFmtId="0" fontId="8" fillId="0" borderId="19" xfId="1" applyNumberFormat="1" applyFont="1" applyFill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/>
    </xf>
    <xf numFmtId="180" fontId="8" fillId="4" borderId="21" xfId="1" applyNumberFormat="1" applyFont="1" applyFill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/>
    </xf>
    <xf numFmtId="180" fontId="8" fillId="4" borderId="22" xfId="1" applyNumberFormat="1" applyFont="1" applyFill="1" applyBorder="1" applyAlignment="1">
      <alignment horizontal="center" vertical="center"/>
    </xf>
    <xf numFmtId="180" fontId="8" fillId="0" borderId="23" xfId="1" applyNumberFormat="1" applyFont="1" applyBorder="1" applyAlignment="1">
      <alignment horizontal="center" vertical="center"/>
    </xf>
    <xf numFmtId="0" fontId="8" fillId="0" borderId="24" xfId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vertical="center"/>
    </xf>
    <xf numFmtId="180" fontId="8" fillId="0" borderId="19" xfId="1" applyNumberFormat="1" applyFont="1" applyBorder="1" applyAlignment="1">
      <alignment horizontal="center" vertical="center"/>
    </xf>
    <xf numFmtId="180" fontId="8" fillId="4" borderId="19" xfId="1" applyNumberFormat="1" applyFont="1" applyFill="1" applyBorder="1" applyAlignment="1">
      <alignment horizontal="center" vertical="center"/>
    </xf>
    <xf numFmtId="180" fontId="8" fillId="0" borderId="0" xfId="1" applyNumberFormat="1" applyFont="1" applyAlignment="1">
      <alignment horizontal="center" vertical="center"/>
    </xf>
    <xf numFmtId="0" fontId="8" fillId="0" borderId="26" xfId="1" applyFont="1" applyBorder="1" applyAlignment="1">
      <alignment horizontal="center" vertical="center"/>
    </xf>
    <xf numFmtId="180" fontId="8" fillId="0" borderId="27" xfId="1" applyNumberFormat="1" applyFont="1" applyBorder="1" applyAlignment="1">
      <alignment horizontal="center" vertical="center"/>
    </xf>
    <xf numFmtId="180" fontId="8" fillId="0" borderId="28" xfId="1" applyNumberFormat="1" applyFont="1" applyBorder="1" applyAlignment="1">
      <alignment horizontal="center" vertical="center"/>
    </xf>
    <xf numFmtId="180" fontId="8" fillId="4" borderId="28" xfId="1" applyNumberFormat="1" applyFont="1" applyFill="1" applyBorder="1" applyAlignment="1">
      <alignment horizontal="center" vertical="center"/>
    </xf>
    <xf numFmtId="180" fontId="8" fillId="4" borderId="27" xfId="1" applyNumberFormat="1" applyFont="1" applyFill="1" applyBorder="1" applyAlignment="1">
      <alignment horizontal="center" vertical="center"/>
    </xf>
    <xf numFmtId="180" fontId="8" fillId="0" borderId="25" xfId="1" applyNumberFormat="1" applyFont="1" applyFill="1" applyBorder="1" applyAlignment="1">
      <alignment horizontal="center" vertical="center"/>
    </xf>
    <xf numFmtId="0" fontId="8" fillId="0" borderId="29" xfId="1" applyFont="1" applyBorder="1" applyAlignment="1">
      <alignment horizontal="center" vertical="center"/>
    </xf>
    <xf numFmtId="180" fontId="8" fillId="0" borderId="30" xfId="1" applyNumberFormat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 wrapText="1"/>
    </xf>
    <xf numFmtId="180" fontId="8" fillId="0" borderId="25" xfId="1" applyNumberFormat="1" applyFont="1" applyBorder="1" applyAlignment="1">
      <alignment horizontal="center" vertical="center" wrapText="1"/>
    </xf>
    <xf numFmtId="180" fontId="8" fillId="0" borderId="27" xfId="1" applyNumberFormat="1" applyFont="1" applyBorder="1" applyAlignment="1">
      <alignment horizontal="center" vertical="center" wrapText="1"/>
    </xf>
    <xf numFmtId="180" fontId="8" fillId="0" borderId="27" xfId="1" applyNumberFormat="1" applyFont="1" applyFill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 wrapText="1"/>
    </xf>
    <xf numFmtId="180" fontId="8" fillId="0" borderId="22" xfId="1" applyNumberFormat="1" applyFont="1" applyBorder="1" applyAlignment="1">
      <alignment horizontal="center" wrapText="1"/>
    </xf>
    <xf numFmtId="180" fontId="8" fillId="0" borderId="22" xfId="1" applyNumberFormat="1" applyFont="1" applyFill="1" applyBorder="1" applyAlignment="1">
      <alignment horizontal="center" vertical="center"/>
    </xf>
    <xf numFmtId="0" fontId="8" fillId="0" borderId="32" xfId="1" applyFont="1" applyBorder="1" applyAlignment="1">
      <alignment horizontal="center" vertical="center"/>
    </xf>
    <xf numFmtId="180" fontId="8" fillId="0" borderId="33" xfId="1" applyNumberFormat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wrapText="1"/>
    </xf>
    <xf numFmtId="180" fontId="8" fillId="0" borderId="27" xfId="1" applyNumberFormat="1" applyFont="1" applyBorder="1" applyAlignment="1">
      <alignment horizontal="center" wrapText="1"/>
    </xf>
    <xf numFmtId="0" fontId="8" fillId="0" borderId="34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35" xfId="1" applyFont="1" applyBorder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  <xf numFmtId="0" fontId="8" fillId="0" borderId="36" xfId="1" applyFont="1" applyBorder="1" applyAlignment="1">
      <alignment vertical="center"/>
    </xf>
    <xf numFmtId="180" fontId="8" fillId="0" borderId="0" xfId="1" applyNumberFormat="1" applyFont="1" applyAlignment="1">
      <alignment vertical="center"/>
    </xf>
    <xf numFmtId="182" fontId="8" fillId="0" borderId="19" xfId="1" applyNumberFormat="1" applyFont="1" applyFill="1" applyBorder="1" applyAlignment="1">
      <alignment horizontal="center" vertical="center"/>
    </xf>
    <xf numFmtId="0" fontId="11" fillId="2" borderId="0" xfId="1" applyFont="1" applyFill="1"/>
    <xf numFmtId="0" fontId="11" fillId="2" borderId="0" xfId="1" applyFont="1" applyFill="1" applyBorder="1"/>
    <xf numFmtId="0" fontId="12" fillId="2" borderId="0" xfId="1" applyFont="1" applyFill="1"/>
    <xf numFmtId="0" fontId="15" fillId="2" borderId="3" xfId="1" applyFont="1" applyFill="1" applyBorder="1" applyAlignment="1">
      <alignment horizontal="center" vertical="center"/>
    </xf>
    <xf numFmtId="0" fontId="18" fillId="2" borderId="3" xfId="1" applyFont="1" applyFill="1" applyBorder="1" applyAlignment="1">
      <alignment horizontal="center" vertical="center"/>
    </xf>
    <xf numFmtId="0" fontId="11" fillId="2" borderId="3" xfId="1" applyFont="1" applyFill="1" applyBorder="1"/>
    <xf numFmtId="0" fontId="16" fillId="2" borderId="3" xfId="1" applyFont="1" applyFill="1" applyBorder="1" applyAlignment="1">
      <alignment horizontal="center" vertical="top" wrapText="1"/>
    </xf>
    <xf numFmtId="183" fontId="18" fillId="2" borderId="3" xfId="2" applyNumberFormat="1" applyFont="1" applyFill="1" applyBorder="1" applyAlignment="1">
      <alignment horizontal="center" vertical="center"/>
    </xf>
    <xf numFmtId="0" fontId="16" fillId="2" borderId="0" xfId="1" applyFont="1" applyFill="1"/>
    <xf numFmtId="179" fontId="18" fillId="2" borderId="3" xfId="1" applyNumberFormat="1" applyFont="1" applyFill="1" applyBorder="1" applyAlignment="1">
      <alignment horizontal="center" vertical="center"/>
    </xf>
    <xf numFmtId="0" fontId="18" fillId="2" borderId="3" xfId="0" applyFont="1" applyFill="1" applyBorder="1" applyAlignment="1">
      <alignment horizontal="center" vertical="center"/>
    </xf>
    <xf numFmtId="178" fontId="11" fillId="2" borderId="0" xfId="1" applyNumberFormat="1" applyFont="1" applyFill="1"/>
    <xf numFmtId="0" fontId="21" fillId="2" borderId="3" xfId="1" applyFont="1" applyFill="1" applyBorder="1" applyAlignment="1">
      <alignment horizontal="center" vertical="center" wrapText="1"/>
    </xf>
    <xf numFmtId="0" fontId="16" fillId="2" borderId="3" xfId="1" applyFont="1" applyFill="1" applyBorder="1" applyAlignment="1">
      <alignment horizontal="center" vertical="top"/>
    </xf>
    <xf numFmtId="183" fontId="18" fillId="2" borderId="4" xfId="2" applyNumberFormat="1" applyFont="1" applyFill="1" applyBorder="1" applyAlignment="1">
      <alignment horizontal="center" vertical="center"/>
    </xf>
    <xf numFmtId="0" fontId="16" fillId="2" borderId="7" xfId="1" applyFont="1" applyFill="1" applyBorder="1" applyAlignment="1">
      <alignment horizontal="center" vertical="center"/>
    </xf>
    <xf numFmtId="0" fontId="16" fillId="2" borderId="39" xfId="1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20" fontId="15" fillId="2" borderId="8" xfId="1" applyNumberFormat="1" applyFont="1" applyFill="1" applyBorder="1" applyAlignment="1">
      <alignment horizontal="center" vertical="center"/>
    </xf>
    <xf numFmtId="0" fontId="16" fillId="2" borderId="8" xfId="1" applyFont="1" applyFill="1" applyBorder="1" applyAlignment="1">
      <alignment horizontal="center" vertical="center"/>
    </xf>
    <xf numFmtId="0" fontId="18" fillId="2" borderId="8" xfId="0" applyFont="1" applyFill="1" applyBorder="1" applyAlignment="1">
      <alignment horizontal="center" vertical="center"/>
    </xf>
    <xf numFmtId="0" fontId="15" fillId="2" borderId="4" xfId="1" applyFont="1" applyFill="1" applyBorder="1" applyAlignment="1">
      <alignment horizontal="center" vertical="center"/>
    </xf>
    <xf numFmtId="0" fontId="18" fillId="2" borderId="40" xfId="1" applyFont="1" applyFill="1" applyBorder="1" applyAlignment="1">
      <alignment horizontal="center" vertical="center"/>
    </xf>
    <xf numFmtId="0" fontId="23" fillId="2" borderId="40" xfId="1" applyFont="1" applyFill="1" applyBorder="1" applyAlignment="1">
      <alignment horizontal="center" vertical="center"/>
    </xf>
    <xf numFmtId="0" fontId="18" fillId="2" borderId="3" xfId="1" applyFont="1" applyFill="1" applyBorder="1" applyAlignment="1">
      <alignment horizontal="center" vertical="top"/>
    </xf>
    <xf numFmtId="0" fontId="23" fillId="2" borderId="3" xfId="1" applyFont="1" applyFill="1" applyBorder="1" applyAlignment="1">
      <alignment horizontal="center" vertical="top"/>
    </xf>
    <xf numFmtId="183" fontId="23" fillId="2" borderId="3" xfId="2" applyNumberFormat="1" applyFont="1" applyFill="1" applyBorder="1" applyAlignment="1">
      <alignment horizontal="center" vertical="center"/>
    </xf>
    <xf numFmtId="183" fontId="18" fillId="2" borderId="3" xfId="1" applyNumberFormat="1" applyFont="1" applyFill="1" applyBorder="1" applyAlignment="1">
      <alignment horizontal="center" vertical="center" wrapText="1"/>
    </xf>
    <xf numFmtId="183" fontId="23" fillId="2" borderId="3" xfId="1" applyNumberFormat="1" applyFont="1" applyFill="1" applyBorder="1" applyAlignment="1">
      <alignment horizontal="center" vertical="center" wrapText="1"/>
    </xf>
    <xf numFmtId="0" fontId="23" fillId="2" borderId="3" xfId="0" applyFont="1" applyFill="1" applyBorder="1" applyAlignment="1">
      <alignment horizontal="center" vertical="center"/>
    </xf>
    <xf numFmtId="0" fontId="24" fillId="2" borderId="1" xfId="1" applyFont="1" applyFill="1" applyBorder="1" applyAlignment="1">
      <alignment horizontal="center" vertical="center"/>
    </xf>
    <xf numFmtId="178" fontId="11" fillId="2" borderId="0" xfId="1" applyNumberFormat="1" applyFont="1" applyFill="1" applyAlignment="1">
      <alignment wrapText="1"/>
    </xf>
    <xf numFmtId="0" fontId="16" fillId="2" borderId="3" xfId="1" applyFont="1" applyFill="1" applyBorder="1" applyAlignment="1">
      <alignment horizontal="center" vertical="center" wrapText="1"/>
    </xf>
    <xf numFmtId="0" fontId="16" fillId="2" borderId="11" xfId="1" applyFont="1" applyFill="1" applyBorder="1" applyAlignment="1">
      <alignment horizontal="center" vertical="center" wrapText="1"/>
    </xf>
    <xf numFmtId="0" fontId="16" fillId="2" borderId="5" xfId="1" applyFont="1" applyFill="1" applyBorder="1" applyAlignment="1">
      <alignment horizontal="center" vertical="center"/>
    </xf>
    <xf numFmtId="0" fontId="13" fillId="2" borderId="12" xfId="1" applyFont="1" applyFill="1" applyBorder="1" applyAlignment="1">
      <alignment horizontal="center" vertical="center" wrapText="1"/>
    </xf>
    <xf numFmtId="178" fontId="16" fillId="2" borderId="11" xfId="1" applyNumberFormat="1" applyFont="1" applyFill="1" applyBorder="1" applyAlignment="1">
      <alignment horizontal="center" vertical="center" wrapText="1"/>
    </xf>
    <xf numFmtId="179" fontId="11" fillId="2" borderId="0" xfId="1" applyNumberFormat="1" applyFont="1" applyFill="1"/>
    <xf numFmtId="9" fontId="11" fillId="2" borderId="0" xfId="5" applyFont="1" applyFill="1"/>
    <xf numFmtId="0" fontId="11" fillId="2" borderId="0" xfId="1" applyFont="1" applyFill="1" applyAlignment="1">
      <alignment horizontal="left" vertical="center"/>
    </xf>
    <xf numFmtId="0" fontId="22" fillId="2" borderId="3" xfId="1" applyFont="1" applyFill="1" applyBorder="1" applyAlignment="1">
      <alignment horizontal="center" vertical="top"/>
    </xf>
    <xf numFmtId="0" fontId="25" fillId="2" borderId="3" xfId="1" applyFont="1" applyFill="1" applyBorder="1" applyAlignment="1">
      <alignment horizontal="center" vertical="center" wrapText="1"/>
    </xf>
    <xf numFmtId="183" fontId="26" fillId="2" borderId="4" xfId="2" applyNumberFormat="1" applyFont="1" applyFill="1" applyBorder="1" applyAlignment="1">
      <alignment horizontal="center" vertical="center"/>
    </xf>
    <xf numFmtId="179" fontId="26" fillId="2" borderId="3" xfId="1" applyNumberFormat="1" applyFont="1" applyFill="1" applyBorder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183" fontId="26" fillId="2" borderId="3" xfId="2" applyNumberFormat="1" applyFont="1" applyFill="1" applyBorder="1" applyAlignment="1">
      <alignment horizontal="center" vertical="center"/>
    </xf>
    <xf numFmtId="0" fontId="26" fillId="2" borderId="2" xfId="0" applyFont="1" applyFill="1" applyBorder="1" applyAlignment="1">
      <alignment horizontal="center" vertical="center"/>
    </xf>
    <xf numFmtId="184" fontId="11" fillId="2" borderId="0" xfId="1" applyNumberFormat="1" applyFont="1" applyFill="1"/>
    <xf numFmtId="0" fontId="13" fillId="2" borderId="3" xfId="1" applyFont="1" applyFill="1" applyBorder="1" applyAlignment="1">
      <alignment horizontal="center" vertical="top"/>
    </xf>
    <xf numFmtId="0" fontId="18" fillId="2" borderId="3" xfId="1" applyFont="1" applyFill="1" applyBorder="1" applyAlignment="1">
      <alignment horizontal="center" vertical="top" wrapText="1"/>
    </xf>
    <xf numFmtId="0" fontId="15" fillId="2" borderId="3" xfId="1" applyFont="1" applyFill="1" applyBorder="1" applyAlignment="1">
      <alignment horizontal="center" vertical="top" wrapText="1"/>
    </xf>
    <xf numFmtId="0" fontId="15" fillId="2" borderId="3" xfId="1" applyFont="1" applyFill="1" applyBorder="1" applyAlignment="1">
      <alignment horizontal="center" vertical="top"/>
    </xf>
    <xf numFmtId="0" fontId="11" fillId="2" borderId="0" xfId="1" applyFont="1" applyFill="1" applyAlignment="1">
      <alignment horizontal="center" vertical="center"/>
    </xf>
    <xf numFmtId="0" fontId="13" fillId="2" borderId="5" xfId="1" applyFont="1" applyFill="1" applyBorder="1" applyAlignment="1">
      <alignment horizontal="center" vertical="center" wrapText="1"/>
    </xf>
    <xf numFmtId="0" fontId="16" fillId="2" borderId="3" xfId="1" applyFont="1" applyFill="1" applyBorder="1" applyAlignment="1">
      <alignment horizontal="center" vertical="center"/>
    </xf>
    <xf numFmtId="0" fontId="29" fillId="2" borderId="3" xfId="1" applyFont="1" applyFill="1" applyBorder="1" applyAlignment="1">
      <alignment horizontal="center" vertical="top"/>
    </xf>
    <xf numFmtId="10" fontId="18" fillId="2" borderId="3" xfId="23" applyNumberFormat="1" applyFont="1" applyFill="1" applyBorder="1" applyAlignment="1">
      <alignment horizontal="center" vertical="center"/>
    </xf>
    <xf numFmtId="0" fontId="32" fillId="0" borderId="48" xfId="0" applyFont="1" applyBorder="1" applyAlignment="1">
      <alignment vertical="center" wrapText="1" readingOrder="1"/>
    </xf>
    <xf numFmtId="3" fontId="31" fillId="0" borderId="48" xfId="0" applyNumberFormat="1" applyFont="1" applyBorder="1" applyAlignment="1">
      <alignment vertical="center" wrapText="1" readingOrder="1"/>
    </xf>
    <xf numFmtId="0" fontId="31" fillId="0" borderId="48" xfId="0" applyFont="1" applyBorder="1" applyAlignment="1">
      <alignment vertical="center" wrapText="1" readingOrder="1"/>
    </xf>
    <xf numFmtId="4" fontId="31" fillId="0" borderId="48" xfId="0" applyNumberFormat="1" applyFont="1" applyBorder="1" applyAlignment="1">
      <alignment vertical="center" wrapText="1" readingOrder="1"/>
    </xf>
    <xf numFmtId="49" fontId="33" fillId="0" borderId="48" xfId="0" applyNumberFormat="1" applyFont="1" applyBorder="1" applyAlignment="1">
      <alignment vertical="center" wrapText="1" readingOrder="1"/>
    </xf>
    <xf numFmtId="0" fontId="11" fillId="2" borderId="0" xfId="1" applyFont="1" applyFill="1" applyAlignment="1">
      <alignment horizontal="center" vertical="center"/>
    </xf>
    <xf numFmtId="0" fontId="13" fillId="2" borderId="5" xfId="1" applyFont="1" applyFill="1" applyBorder="1" applyAlignment="1">
      <alignment horizontal="center" vertical="center" wrapText="1"/>
    </xf>
    <xf numFmtId="0" fontId="16" fillId="2" borderId="3" xfId="1" applyFont="1" applyFill="1" applyBorder="1" applyAlignment="1">
      <alignment horizontal="center" vertical="center"/>
    </xf>
    <xf numFmtId="9" fontId="18" fillId="2" borderId="3" xfId="23" applyFont="1" applyFill="1" applyBorder="1" applyAlignment="1">
      <alignment horizontal="center" vertical="center"/>
    </xf>
    <xf numFmtId="0" fontId="0" fillId="2" borderId="0" xfId="1" applyFont="1" applyFill="1"/>
    <xf numFmtId="179" fontId="0" fillId="2" borderId="3" xfId="1" applyNumberFormat="1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16" fillId="2" borderId="3" xfId="1" applyFont="1" applyFill="1" applyBorder="1" applyAlignment="1">
      <alignment horizontal="center" vertical="center"/>
    </xf>
    <xf numFmtId="0" fontId="13" fillId="2" borderId="5" xfId="1" applyFont="1" applyFill="1" applyBorder="1" applyAlignment="1">
      <alignment horizontal="center" vertical="center" wrapText="1"/>
    </xf>
    <xf numFmtId="0" fontId="11" fillId="2" borderId="0" xfId="1" applyFont="1" applyFill="1" applyAlignment="1">
      <alignment horizontal="center" vertical="center"/>
    </xf>
    <xf numFmtId="0" fontId="11" fillId="2" borderId="0" xfId="1" applyFont="1" applyFill="1" applyAlignment="1">
      <alignment horizontal="center" vertical="center"/>
    </xf>
    <xf numFmtId="0" fontId="13" fillId="2" borderId="5" xfId="1" applyFont="1" applyFill="1" applyBorder="1" applyAlignment="1">
      <alignment horizontal="center" vertical="center" wrapText="1"/>
    </xf>
    <xf numFmtId="0" fontId="16" fillId="2" borderId="3" xfId="1" applyFont="1" applyFill="1" applyBorder="1" applyAlignment="1">
      <alignment horizontal="center" vertical="center"/>
    </xf>
    <xf numFmtId="0" fontId="16" fillId="2" borderId="3" xfId="1" applyFont="1" applyFill="1" applyBorder="1" applyAlignment="1">
      <alignment horizontal="center" vertical="center"/>
    </xf>
    <xf numFmtId="0" fontId="13" fillId="2" borderId="5" xfId="1" applyFont="1" applyFill="1" applyBorder="1" applyAlignment="1">
      <alignment horizontal="center" vertical="center" wrapText="1"/>
    </xf>
    <xf numFmtId="0" fontId="11" fillId="2" borderId="0" xfId="1" applyFont="1" applyFill="1" applyAlignment="1">
      <alignment horizontal="center" vertical="center"/>
    </xf>
    <xf numFmtId="0" fontId="11" fillId="2" borderId="0" xfId="1" applyFont="1" applyFill="1" applyAlignment="1">
      <alignment horizontal="center" vertical="center"/>
    </xf>
    <xf numFmtId="0" fontId="13" fillId="2" borderId="5" xfId="1" applyFont="1" applyFill="1" applyBorder="1" applyAlignment="1">
      <alignment horizontal="center" vertical="center" wrapText="1"/>
    </xf>
    <xf numFmtId="0" fontId="16" fillId="2" borderId="3" xfId="1" applyFont="1" applyFill="1" applyBorder="1" applyAlignment="1">
      <alignment horizontal="center" vertical="center"/>
    </xf>
    <xf numFmtId="0" fontId="16" fillId="2" borderId="3" xfId="1" applyFont="1" applyFill="1" applyBorder="1" applyAlignment="1">
      <alignment horizontal="center" vertical="center"/>
    </xf>
    <xf numFmtId="0" fontId="13" fillId="2" borderId="5" xfId="1" applyFont="1" applyFill="1" applyBorder="1" applyAlignment="1">
      <alignment horizontal="center" vertical="center" wrapText="1"/>
    </xf>
    <xf numFmtId="0" fontId="11" fillId="2" borderId="0" xfId="1" applyFont="1" applyFill="1" applyAlignment="1">
      <alignment horizontal="center" vertical="center"/>
    </xf>
    <xf numFmtId="0" fontId="11" fillId="2" borderId="0" xfId="1" applyFont="1" applyFill="1" applyAlignment="1">
      <alignment horizontal="center" vertical="center"/>
    </xf>
    <xf numFmtId="0" fontId="13" fillId="2" borderId="5" xfId="1" applyFont="1" applyFill="1" applyBorder="1" applyAlignment="1">
      <alignment horizontal="center" vertical="center" wrapText="1"/>
    </xf>
    <xf numFmtId="0" fontId="16" fillId="2" borderId="3" xfId="1" applyFont="1" applyFill="1" applyBorder="1" applyAlignment="1">
      <alignment horizontal="center" vertical="center"/>
    </xf>
    <xf numFmtId="0" fontId="11" fillId="2" borderId="0" xfId="1" applyFont="1" applyFill="1" applyAlignment="1">
      <alignment horizontal="center" vertical="center"/>
    </xf>
    <xf numFmtId="178" fontId="12" fillId="2" borderId="0" xfId="1" applyNumberFormat="1" applyFont="1" applyFill="1" applyAlignment="1">
      <alignment horizontal="center" vertical="center"/>
    </xf>
    <xf numFmtId="179" fontId="16" fillId="2" borderId="2" xfId="1" applyNumberFormat="1" applyFont="1" applyFill="1" applyBorder="1" applyAlignment="1">
      <alignment horizontal="center" vertical="center"/>
    </xf>
    <xf numFmtId="179" fontId="16" fillId="2" borderId="4" xfId="1" applyNumberFormat="1" applyFont="1" applyFill="1" applyBorder="1" applyAlignment="1">
      <alignment horizontal="center" vertical="center"/>
    </xf>
    <xf numFmtId="179" fontId="16" fillId="2" borderId="13" xfId="1" applyNumberFormat="1" applyFont="1" applyFill="1" applyBorder="1" applyAlignment="1">
      <alignment horizontal="center" vertical="center"/>
    </xf>
    <xf numFmtId="179" fontId="16" fillId="2" borderId="15" xfId="1" applyNumberFormat="1" applyFont="1" applyFill="1" applyBorder="1" applyAlignment="1">
      <alignment horizontal="center" vertical="center"/>
    </xf>
    <xf numFmtId="179" fontId="16" fillId="2" borderId="14" xfId="1" applyNumberFormat="1" applyFont="1" applyFill="1" applyBorder="1" applyAlignment="1">
      <alignment horizontal="center" vertical="center"/>
    </xf>
    <xf numFmtId="179" fontId="16" fillId="2" borderId="16" xfId="1" applyNumberFormat="1" applyFont="1" applyFill="1" applyBorder="1" applyAlignment="1">
      <alignment horizontal="center" vertical="center"/>
    </xf>
    <xf numFmtId="178" fontId="16" fillId="2" borderId="2" xfId="1" applyNumberFormat="1" applyFont="1" applyFill="1" applyBorder="1" applyAlignment="1">
      <alignment horizontal="center" vertical="center"/>
    </xf>
    <xf numFmtId="178" fontId="16" fillId="2" borderId="4" xfId="1" applyNumberFormat="1" applyFont="1" applyFill="1" applyBorder="1" applyAlignment="1">
      <alignment horizontal="center" vertical="center"/>
    </xf>
    <xf numFmtId="179" fontId="16" fillId="2" borderId="37" xfId="1" applyNumberFormat="1" applyFont="1" applyFill="1" applyBorder="1" applyAlignment="1">
      <alignment horizontal="center" vertical="center"/>
    </xf>
    <xf numFmtId="179" fontId="16" fillId="2" borderId="46" xfId="1" applyNumberFormat="1" applyFont="1" applyFill="1" applyBorder="1" applyAlignment="1">
      <alignment horizontal="center" vertical="center"/>
    </xf>
    <xf numFmtId="179" fontId="16" fillId="2" borderId="40" xfId="1" applyNumberFormat="1" applyFont="1" applyFill="1" applyBorder="1" applyAlignment="1">
      <alignment horizontal="center" vertical="center"/>
    </xf>
    <xf numFmtId="179" fontId="16" fillId="2" borderId="47" xfId="1" applyNumberFormat="1" applyFont="1" applyFill="1" applyBorder="1" applyAlignment="1">
      <alignment horizontal="center" vertical="center"/>
    </xf>
    <xf numFmtId="0" fontId="11" fillId="2" borderId="38" xfId="1" applyFont="1" applyFill="1" applyBorder="1" applyAlignment="1">
      <alignment horizontal="center"/>
    </xf>
    <xf numFmtId="179" fontId="16" fillId="2" borderId="2" xfId="1" applyNumberFormat="1" applyFont="1" applyFill="1" applyBorder="1" applyAlignment="1">
      <alignment horizontal="center" vertical="center" wrapText="1"/>
    </xf>
    <xf numFmtId="179" fontId="16" fillId="2" borderId="4" xfId="1" applyNumberFormat="1" applyFont="1" applyFill="1" applyBorder="1" applyAlignment="1">
      <alignment horizontal="center" vertical="center" wrapText="1"/>
    </xf>
    <xf numFmtId="178" fontId="16" fillId="2" borderId="2" xfId="1" applyNumberFormat="1" applyFont="1" applyFill="1" applyBorder="1" applyAlignment="1">
      <alignment horizontal="center" vertical="center" wrapText="1"/>
    </xf>
    <xf numFmtId="178" fontId="16" fillId="2" borderId="4" xfId="1" applyNumberFormat="1" applyFont="1" applyFill="1" applyBorder="1" applyAlignment="1">
      <alignment horizontal="center" vertical="center" wrapText="1"/>
    </xf>
    <xf numFmtId="179" fontId="16" fillId="2" borderId="13" xfId="1" applyNumberFormat="1" applyFont="1" applyFill="1" applyBorder="1" applyAlignment="1">
      <alignment horizontal="center" vertical="center" wrapText="1"/>
    </xf>
    <xf numFmtId="179" fontId="16" fillId="2" borderId="15" xfId="1" applyNumberFormat="1" applyFont="1" applyFill="1" applyBorder="1" applyAlignment="1">
      <alignment horizontal="center" vertical="center" wrapText="1"/>
    </xf>
    <xf numFmtId="178" fontId="16" fillId="2" borderId="14" xfId="1" applyNumberFormat="1" applyFont="1" applyFill="1" applyBorder="1" applyAlignment="1">
      <alignment horizontal="center" vertical="center"/>
    </xf>
    <xf numFmtId="178" fontId="16" fillId="2" borderId="16" xfId="1" applyNumberFormat="1" applyFont="1" applyFill="1" applyBorder="1" applyAlignment="1">
      <alignment horizontal="center" vertical="center"/>
    </xf>
    <xf numFmtId="179" fontId="16" fillId="2" borderId="14" xfId="1" applyNumberFormat="1" applyFont="1" applyFill="1" applyBorder="1" applyAlignment="1">
      <alignment horizontal="center" vertical="center" wrapText="1"/>
    </xf>
    <xf numFmtId="179" fontId="16" fillId="2" borderId="16" xfId="1" applyNumberFormat="1" applyFont="1" applyFill="1" applyBorder="1" applyAlignment="1">
      <alignment horizontal="center" vertical="center" wrapText="1"/>
    </xf>
    <xf numFmtId="179" fontId="16" fillId="2" borderId="13" xfId="4" applyNumberFormat="1" applyFont="1" applyFill="1" applyBorder="1" applyAlignment="1">
      <alignment horizontal="center" vertical="center" wrapText="1"/>
    </xf>
    <xf numFmtId="179" fontId="16" fillId="2" borderId="15" xfId="4" applyNumberFormat="1" applyFont="1" applyFill="1" applyBorder="1" applyAlignment="1">
      <alignment horizontal="center" vertical="center" wrapText="1"/>
    </xf>
    <xf numFmtId="0" fontId="12" fillId="2" borderId="10" xfId="1" applyFont="1" applyFill="1" applyBorder="1" applyAlignment="1">
      <alignment horizontal="center" vertical="center"/>
    </xf>
    <xf numFmtId="0" fontId="12" fillId="2" borderId="8" xfId="1" applyFont="1" applyFill="1" applyBorder="1" applyAlignment="1">
      <alignment horizontal="center" vertical="center"/>
    </xf>
    <xf numFmtId="0" fontId="12" fillId="2" borderId="9" xfId="1" applyFont="1" applyFill="1" applyBorder="1" applyAlignment="1">
      <alignment horizontal="center" vertical="center"/>
    </xf>
    <xf numFmtId="0" fontId="11" fillId="2" borderId="10" xfId="1" applyFont="1" applyFill="1" applyBorder="1" applyAlignment="1">
      <alignment horizontal="center"/>
    </xf>
    <xf numFmtId="0" fontId="11" fillId="2" borderId="8" xfId="1" applyFont="1" applyFill="1" applyBorder="1" applyAlignment="1">
      <alignment horizontal="center"/>
    </xf>
    <xf numFmtId="0" fontId="11" fillId="2" borderId="9" xfId="1" applyFont="1" applyFill="1" applyBorder="1" applyAlignment="1">
      <alignment horizontal="center"/>
    </xf>
    <xf numFmtId="0" fontId="13" fillId="2" borderId="5" xfId="1" applyFont="1" applyFill="1" applyBorder="1" applyAlignment="1">
      <alignment horizontal="center" vertical="center" wrapText="1"/>
    </xf>
    <xf numFmtId="0" fontId="13" fillId="2" borderId="9" xfId="1" applyFont="1" applyFill="1" applyBorder="1" applyAlignment="1">
      <alignment horizontal="center" vertical="center" wrapText="1"/>
    </xf>
    <xf numFmtId="0" fontId="12" fillId="2" borderId="37" xfId="1" applyFont="1" applyFill="1" applyBorder="1" applyAlignment="1">
      <alignment horizontal="center" vertical="center" wrapText="1"/>
    </xf>
    <xf numFmtId="0" fontId="12" fillId="2" borderId="39" xfId="1" applyFont="1" applyFill="1" applyBorder="1" applyAlignment="1">
      <alignment horizontal="center" vertical="center" wrapText="1"/>
    </xf>
    <xf numFmtId="0" fontId="12" fillId="2" borderId="40" xfId="1" applyFont="1" applyFill="1" applyBorder="1" applyAlignment="1">
      <alignment horizontal="center" vertical="center" wrapText="1"/>
    </xf>
    <xf numFmtId="0" fontId="12" fillId="2" borderId="41" xfId="1" applyFont="1" applyFill="1" applyBorder="1" applyAlignment="1">
      <alignment horizontal="center" vertical="center" wrapText="1"/>
    </xf>
    <xf numFmtId="178" fontId="16" fillId="2" borderId="13" xfId="3" applyNumberFormat="1" applyFont="1" applyFill="1" applyBorder="1" applyAlignment="1">
      <alignment horizontal="center" vertical="center"/>
    </xf>
    <xf numFmtId="178" fontId="16" fillId="2" borderId="15" xfId="3" applyNumberFormat="1" applyFont="1" applyFill="1" applyBorder="1" applyAlignment="1">
      <alignment horizontal="center" vertical="center"/>
    </xf>
    <xf numFmtId="178" fontId="16" fillId="2" borderId="14" xfId="3" applyNumberFormat="1" applyFont="1" applyFill="1" applyBorder="1" applyAlignment="1">
      <alignment horizontal="center" vertical="center"/>
    </xf>
    <xf numFmtId="178" fontId="16" fillId="2" borderId="16" xfId="3" applyNumberFormat="1" applyFont="1" applyFill="1" applyBorder="1" applyAlignment="1">
      <alignment horizontal="center" vertical="center"/>
    </xf>
    <xf numFmtId="0" fontId="16" fillId="2" borderId="2" xfId="1" applyFont="1" applyFill="1" applyBorder="1" applyAlignment="1">
      <alignment horizontal="center" vertical="center"/>
    </xf>
    <xf numFmtId="0" fontId="16" fillId="2" borderId="4" xfId="1" applyFont="1" applyFill="1" applyBorder="1" applyAlignment="1">
      <alignment horizontal="center" vertical="center"/>
    </xf>
    <xf numFmtId="20" fontId="15" fillId="2" borderId="2" xfId="1" applyNumberFormat="1" applyFont="1" applyFill="1" applyBorder="1" applyAlignment="1">
      <alignment horizontal="center" vertical="center"/>
    </xf>
    <xf numFmtId="20" fontId="15" fillId="2" borderId="6" xfId="1" applyNumberFormat="1" applyFont="1" applyFill="1" applyBorder="1" applyAlignment="1">
      <alignment horizontal="center" vertical="center"/>
    </xf>
    <xf numFmtId="20" fontId="15" fillId="2" borderId="4" xfId="1" applyNumberFormat="1" applyFont="1" applyFill="1" applyBorder="1" applyAlignment="1">
      <alignment horizontal="center" vertical="center"/>
    </xf>
    <xf numFmtId="0" fontId="16" fillId="2" borderId="3" xfId="1" applyFont="1" applyFill="1" applyBorder="1" applyAlignment="1">
      <alignment horizontal="center" vertical="center"/>
    </xf>
    <xf numFmtId="0" fontId="11" fillId="2" borderId="42" xfId="1" applyFont="1" applyFill="1" applyBorder="1" applyAlignment="1">
      <alignment horizontal="center"/>
    </xf>
    <xf numFmtId="0" fontId="11" fillId="2" borderId="43" xfId="1" applyFont="1" applyFill="1" applyBorder="1" applyAlignment="1">
      <alignment horizontal="center"/>
    </xf>
    <xf numFmtId="0" fontId="11" fillId="2" borderId="44" xfId="1" applyFont="1" applyFill="1" applyBorder="1" applyAlignment="1">
      <alignment horizontal="center"/>
    </xf>
    <xf numFmtId="0" fontId="11" fillId="2" borderId="45" xfId="1" applyFont="1" applyFill="1" applyBorder="1" applyAlignment="1">
      <alignment horizontal="center"/>
    </xf>
    <xf numFmtId="0" fontId="12" fillId="2" borderId="5" xfId="1" applyFont="1" applyFill="1" applyBorder="1" applyAlignment="1">
      <alignment horizontal="center" vertical="center"/>
    </xf>
    <xf numFmtId="0" fontId="15" fillId="2" borderId="40" xfId="1" applyFont="1" applyFill="1" applyBorder="1" applyAlignment="1">
      <alignment horizontal="center" vertical="center"/>
    </xf>
    <xf numFmtId="0" fontId="15" fillId="2" borderId="1" xfId="1" applyFont="1" applyFill="1" applyBorder="1" applyAlignment="1">
      <alignment horizontal="center" vertical="center"/>
    </xf>
    <xf numFmtId="0" fontId="15" fillId="2" borderId="41" xfId="1" applyFont="1" applyFill="1" applyBorder="1" applyAlignment="1">
      <alignment horizontal="center" vertical="center"/>
    </xf>
    <xf numFmtId="0" fontId="16" fillId="2" borderId="37" xfId="1" applyNumberFormat="1" applyFont="1" applyFill="1" applyBorder="1" applyAlignment="1">
      <alignment horizontal="left" vertical="top" wrapText="1"/>
    </xf>
    <xf numFmtId="0" fontId="27" fillId="2" borderId="38" xfId="1" applyNumberFormat="1" applyFont="1" applyFill="1" applyBorder="1" applyAlignment="1">
      <alignment horizontal="left" vertical="top" wrapText="1"/>
    </xf>
    <xf numFmtId="0" fontId="27" fillId="2" borderId="39" xfId="1" applyNumberFormat="1" applyFont="1" applyFill="1" applyBorder="1" applyAlignment="1">
      <alignment horizontal="left" vertical="top" wrapText="1"/>
    </xf>
    <xf numFmtId="0" fontId="27" fillId="2" borderId="18" xfId="1" applyNumberFormat="1" applyFont="1" applyFill="1" applyBorder="1" applyAlignment="1">
      <alignment horizontal="left" vertical="top" wrapText="1"/>
    </xf>
    <xf numFmtId="0" fontId="27" fillId="2" borderId="0" xfId="1" applyNumberFormat="1" applyFont="1" applyFill="1" applyBorder="1" applyAlignment="1">
      <alignment horizontal="left" vertical="top" wrapText="1"/>
    </xf>
    <xf numFmtId="0" fontId="27" fillId="2" borderId="36" xfId="1" applyNumberFormat="1" applyFont="1" applyFill="1" applyBorder="1" applyAlignment="1">
      <alignment horizontal="left" vertical="top" wrapText="1"/>
    </xf>
    <xf numFmtId="0" fontId="27" fillId="2" borderId="40" xfId="1" applyNumberFormat="1" applyFont="1" applyFill="1" applyBorder="1" applyAlignment="1">
      <alignment horizontal="left" vertical="top" wrapText="1"/>
    </xf>
    <xf numFmtId="0" fontId="27" fillId="2" borderId="1" xfId="1" applyNumberFormat="1" applyFont="1" applyFill="1" applyBorder="1" applyAlignment="1">
      <alignment horizontal="left" vertical="top" wrapText="1"/>
    </xf>
    <xf numFmtId="0" fontId="27" fillId="2" borderId="41" xfId="1" applyNumberFormat="1" applyFont="1" applyFill="1" applyBorder="1" applyAlignment="1">
      <alignment horizontal="left" vertical="top" wrapText="1"/>
    </xf>
    <xf numFmtId="20" fontId="15" fillId="2" borderId="3" xfId="1" applyNumberFormat="1" applyFont="1" applyFill="1" applyBorder="1" applyAlignment="1">
      <alignment horizontal="center" vertical="center"/>
    </xf>
    <xf numFmtId="0" fontId="14" fillId="2" borderId="0" xfId="1" applyFont="1" applyFill="1" applyAlignment="1">
      <alignment horizontal="center"/>
    </xf>
    <xf numFmtId="0" fontId="17" fillId="2" borderId="0" xfId="1" applyFont="1" applyFill="1" applyBorder="1" applyAlignment="1">
      <alignment horizontal="center"/>
    </xf>
    <xf numFmtId="31" fontId="11" fillId="2" borderId="1" xfId="1" applyNumberFormat="1" applyFont="1" applyFill="1" applyBorder="1" applyAlignment="1">
      <alignment horizontal="right"/>
    </xf>
  </cellXfs>
  <cellStyles count="24">
    <cellStyle name="一般" xfId="0" builtinId="0"/>
    <cellStyle name="一般 2" xfId="1"/>
    <cellStyle name="一般 2 2" xfId="6"/>
    <cellStyle name="一般 3" xfId="2"/>
    <cellStyle name="千分位 2" xfId="3"/>
    <cellStyle name="千分位 2 2" xfId="7"/>
    <cellStyle name="千分位 2 2 2" xfId="9"/>
    <cellStyle name="千分位 2 2 2 2" xfId="13"/>
    <cellStyle name="千分位 2 2 2 2 2" xfId="21"/>
    <cellStyle name="千分位 2 2 2 3" xfId="17"/>
    <cellStyle name="千分位 2 2 3" xfId="11"/>
    <cellStyle name="千分位 2 2 3 2" xfId="19"/>
    <cellStyle name="千分位 2 2 4" xfId="15"/>
    <cellStyle name="百分比" xfId="23" builtinId="5"/>
    <cellStyle name="百分比 2" xfId="5"/>
    <cellStyle name="貨幣 2" xfId="4"/>
    <cellStyle name="貨幣 2 2" xfId="8"/>
    <cellStyle name="貨幣 2 2 2" xfId="10"/>
    <cellStyle name="貨幣 2 2 2 2" xfId="14"/>
    <cellStyle name="貨幣 2 2 2 2 2" xfId="22"/>
    <cellStyle name="貨幣 2 2 2 3" xfId="18"/>
    <cellStyle name="貨幣 2 2 3" xfId="12"/>
    <cellStyle name="貨幣 2 2 3 2" xfId="20"/>
    <cellStyle name="貨幣 2 2 4" xfId="16"/>
  </cellStyles>
  <dxfs count="153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92449" name="Button 1" hidden="1">
              <a:extLst>
                <a:ext uri="{63B3BB69-23CF-44E3-9099-C40C66FF867C}">
                  <a14:compatExt spid="_x0000_s2792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47393" name="Button 1" hidden="1">
              <a:extLst>
                <a:ext uri="{63B3BB69-23CF-44E3-9099-C40C66FF867C}">
                  <a14:compatExt spid="_x0000_s2747393"/>
                </a:ext>
                <a:ext uri="{FF2B5EF4-FFF2-40B4-BE49-F238E27FC236}">
                  <a16:creationId xmlns:a16="http://schemas.microsoft.com/office/drawing/2014/main" id="{00000000-0008-0000-0300-000001EC2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67201" name="Button 1" hidden="1">
              <a:extLst>
                <a:ext uri="{63B3BB69-23CF-44E3-9099-C40C66FF867C}">
                  <a14:compatExt spid="_x0000_s2867201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88705" name="Button 1" hidden="1">
              <a:extLst>
                <a:ext uri="{63B3BB69-23CF-44E3-9099-C40C66FF867C}">
                  <a14:compatExt spid="_x0000_s2888705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92801" name="Button 1" hidden="1">
              <a:extLst>
                <a:ext uri="{63B3BB69-23CF-44E3-9099-C40C66FF867C}">
                  <a14:compatExt spid="_x0000_s2892801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93825" name="Button 1" hidden="1">
              <a:extLst>
                <a:ext uri="{63B3BB69-23CF-44E3-9099-C40C66FF867C}">
                  <a14:compatExt spid="_x0000_s2893825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94849" name="Button 1" hidden="1">
              <a:extLst>
                <a:ext uri="{63B3BB69-23CF-44E3-9099-C40C66FF867C}">
                  <a14:compatExt spid="_x0000_s2894849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95873" name="Button 1" hidden="1">
              <a:extLst>
                <a:ext uri="{63B3BB69-23CF-44E3-9099-C40C66FF867C}">
                  <a14:compatExt spid="_x0000_s2895873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98945" name="Button 1" hidden="1">
              <a:extLst>
                <a:ext uri="{63B3BB69-23CF-44E3-9099-C40C66FF867C}">
                  <a14:compatExt spid="_x0000_s2898945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99969" name="Button 1" hidden="1">
              <a:extLst>
                <a:ext uri="{63B3BB69-23CF-44E3-9099-C40C66FF867C}">
                  <a14:compatExt spid="_x0000_s2899969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00993" name="Button 1" hidden="1">
              <a:extLst>
                <a:ext uri="{63B3BB69-23CF-44E3-9099-C40C66FF867C}">
                  <a14:compatExt spid="_x0000_s2900993"/>
                </a:ext>
                <a:ext uri="{FF2B5EF4-FFF2-40B4-BE49-F238E27FC236}">
                  <a16:creationId xmlns:a16="http://schemas.microsoft.com/office/drawing/2014/main" id="{00000000-0008-0000-0500-0000018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833;&#23614;&#20786;&#27133;&#20316;&#26989;&#26085;&#22577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3833;&#23614;&#20786;&#27133;&#20316;&#26989;&#26085;&#22577;&#34920;-5&#26376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新增"/>
      <sheetName val="工作表1"/>
      <sheetName val="密度"/>
      <sheetName val="1.30 %計算"/>
      <sheetName val="3.3"/>
    </sheetNames>
    <sheetDataSet>
      <sheetData sheetId="0"/>
      <sheetData sheetId="1"/>
      <sheetData sheetId="2">
        <row r="2">
          <cell r="A2">
            <v>1</v>
          </cell>
          <cell r="B2">
            <v>0.80020000000000002</v>
          </cell>
        </row>
        <row r="3">
          <cell r="A3">
            <v>2</v>
          </cell>
          <cell r="B3">
            <v>0.79930000000000001</v>
          </cell>
        </row>
        <row r="4">
          <cell r="A4">
            <v>3</v>
          </cell>
          <cell r="B4">
            <v>0.7984</v>
          </cell>
        </row>
        <row r="5">
          <cell r="A5">
            <v>4</v>
          </cell>
          <cell r="B5">
            <v>0.79749999999999999</v>
          </cell>
        </row>
        <row r="6">
          <cell r="A6">
            <v>5</v>
          </cell>
          <cell r="B6">
            <v>0.79659999999999997</v>
          </cell>
        </row>
        <row r="7">
          <cell r="A7">
            <v>6</v>
          </cell>
          <cell r="B7">
            <v>0.79569999999999996</v>
          </cell>
        </row>
        <row r="8">
          <cell r="A8">
            <v>7</v>
          </cell>
          <cell r="B8">
            <v>0.79479999999999995</v>
          </cell>
        </row>
        <row r="9">
          <cell r="A9">
            <v>8</v>
          </cell>
          <cell r="B9">
            <v>0.79400000000000004</v>
          </cell>
        </row>
        <row r="10">
          <cell r="A10">
            <v>9</v>
          </cell>
          <cell r="B10">
            <v>0.79310000000000003</v>
          </cell>
        </row>
        <row r="11">
          <cell r="A11">
            <v>10</v>
          </cell>
          <cell r="B11">
            <v>0.7923</v>
          </cell>
        </row>
        <row r="12">
          <cell r="A12">
            <v>11</v>
          </cell>
          <cell r="B12">
            <v>0.79139999999999999</v>
          </cell>
        </row>
        <row r="13">
          <cell r="A13">
            <v>12</v>
          </cell>
          <cell r="B13">
            <v>0.79059999999999997</v>
          </cell>
        </row>
        <row r="14">
          <cell r="A14">
            <v>13</v>
          </cell>
          <cell r="B14">
            <v>0.78969999999999996</v>
          </cell>
        </row>
        <row r="15">
          <cell r="A15">
            <v>14</v>
          </cell>
          <cell r="B15">
            <v>0.78890000000000005</v>
          </cell>
        </row>
        <row r="16">
          <cell r="A16">
            <v>15</v>
          </cell>
          <cell r="B16">
            <v>0.78800000000000003</v>
          </cell>
        </row>
        <row r="17">
          <cell r="A17">
            <v>16</v>
          </cell>
          <cell r="B17">
            <v>0.78720000000000001</v>
          </cell>
        </row>
        <row r="18">
          <cell r="A18">
            <v>17</v>
          </cell>
          <cell r="B18">
            <v>0.78639999999999999</v>
          </cell>
        </row>
        <row r="19">
          <cell r="A19">
            <v>18</v>
          </cell>
          <cell r="B19">
            <v>0.78569999999999995</v>
          </cell>
        </row>
        <row r="20">
          <cell r="A20">
            <v>19</v>
          </cell>
          <cell r="B20">
            <v>0.78490000000000004</v>
          </cell>
        </row>
        <row r="21">
          <cell r="A21">
            <v>20</v>
          </cell>
          <cell r="B21">
            <v>0.78410000000000002</v>
          </cell>
        </row>
        <row r="22">
          <cell r="A22">
            <v>21</v>
          </cell>
          <cell r="B22">
            <v>0.78320000000000001</v>
          </cell>
        </row>
        <row r="23">
          <cell r="A23">
            <v>22</v>
          </cell>
          <cell r="B23">
            <v>0.7823</v>
          </cell>
        </row>
        <row r="24">
          <cell r="A24">
            <v>23</v>
          </cell>
          <cell r="B24">
            <v>0.78139999999999998</v>
          </cell>
        </row>
        <row r="25">
          <cell r="A25">
            <v>24</v>
          </cell>
          <cell r="B25">
            <v>0.78049999999999997</v>
          </cell>
        </row>
        <row r="26">
          <cell r="A26">
            <v>25</v>
          </cell>
          <cell r="B26">
            <v>0.77959999999999996</v>
          </cell>
        </row>
        <row r="27">
          <cell r="A27">
            <v>26</v>
          </cell>
          <cell r="B27">
            <v>0.77869999999999995</v>
          </cell>
        </row>
        <row r="28">
          <cell r="A28">
            <v>27</v>
          </cell>
          <cell r="B28">
            <v>0.77790000000000004</v>
          </cell>
        </row>
        <row r="29">
          <cell r="A29">
            <v>28</v>
          </cell>
          <cell r="B29">
            <v>0.77700000000000002</v>
          </cell>
        </row>
        <row r="30">
          <cell r="A30">
            <v>29</v>
          </cell>
          <cell r="B30">
            <v>0.7762</v>
          </cell>
        </row>
        <row r="31">
          <cell r="A31">
            <v>30</v>
          </cell>
          <cell r="B31">
            <v>0.77529999999999999</v>
          </cell>
        </row>
        <row r="32">
          <cell r="A32">
            <v>31</v>
          </cell>
          <cell r="B32">
            <v>0.77439999999999998</v>
          </cell>
        </row>
        <row r="33">
          <cell r="A33">
            <v>32</v>
          </cell>
          <cell r="B33">
            <v>0.77349999999999997</v>
          </cell>
        </row>
        <row r="34">
          <cell r="A34">
            <v>33</v>
          </cell>
          <cell r="B34">
            <v>0.77270000000000005</v>
          </cell>
        </row>
        <row r="35">
          <cell r="A35">
            <v>34</v>
          </cell>
          <cell r="B35">
            <v>0.77180000000000004</v>
          </cell>
        </row>
        <row r="36">
          <cell r="A36">
            <v>35</v>
          </cell>
          <cell r="B36">
            <v>0.77090000000000003</v>
          </cell>
        </row>
        <row r="37">
          <cell r="A37">
            <v>36</v>
          </cell>
          <cell r="B37">
            <v>0.77</v>
          </cell>
        </row>
        <row r="38">
          <cell r="A38">
            <v>37</v>
          </cell>
          <cell r="B38">
            <v>0.76910000000000001</v>
          </cell>
        </row>
        <row r="39">
          <cell r="A39">
            <v>38</v>
          </cell>
          <cell r="B39">
            <v>0.76829999999999998</v>
          </cell>
        </row>
        <row r="40">
          <cell r="A40">
            <v>39</v>
          </cell>
          <cell r="B40">
            <v>0.76739999999999997</v>
          </cell>
        </row>
        <row r="41">
          <cell r="A41">
            <v>40</v>
          </cell>
          <cell r="B41">
            <v>0.76649999999999996</v>
          </cell>
        </row>
        <row r="42">
          <cell r="A42">
            <v>41</v>
          </cell>
          <cell r="B42">
            <v>0.76559999999999995</v>
          </cell>
        </row>
        <row r="43">
          <cell r="A43">
            <v>42</v>
          </cell>
          <cell r="B43">
            <v>0.76470000000000005</v>
          </cell>
        </row>
        <row r="44">
          <cell r="A44">
            <v>43</v>
          </cell>
          <cell r="B44">
            <v>0.76390000000000002</v>
          </cell>
        </row>
        <row r="45">
          <cell r="A45">
            <v>44</v>
          </cell>
          <cell r="B45">
            <v>0.76300000000000001</v>
          </cell>
        </row>
        <row r="46">
          <cell r="A46">
            <v>45</v>
          </cell>
          <cell r="B46">
            <v>0.7621</v>
          </cell>
        </row>
        <row r="47">
          <cell r="A47">
            <v>46</v>
          </cell>
          <cell r="B47">
            <v>0.76124999999999998</v>
          </cell>
        </row>
        <row r="48">
          <cell r="A48">
            <v>47</v>
          </cell>
          <cell r="B48">
            <v>0.76037999999999994</v>
          </cell>
        </row>
        <row r="49">
          <cell r="A49">
            <v>48</v>
          </cell>
          <cell r="B49">
            <v>0.75951000000000002</v>
          </cell>
        </row>
        <row r="50">
          <cell r="A50">
            <v>49</v>
          </cell>
          <cell r="B50">
            <v>0.75863999999999998</v>
          </cell>
        </row>
      </sheetData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新增"/>
      <sheetName val="工作表1"/>
      <sheetName val="密度"/>
      <sheetName val="mm計算"/>
      <sheetName val="1.30 %計算"/>
      <sheetName val="4.30"/>
      <sheetName val="5.4"/>
      <sheetName val="5.5"/>
      <sheetName val="5.6"/>
      <sheetName val="5.7"/>
      <sheetName val="5.8"/>
      <sheetName val="5.11"/>
      <sheetName val="5.12"/>
      <sheetName val="5.13"/>
      <sheetName val="5.14"/>
      <sheetName val="5.15"/>
      <sheetName val="5.18"/>
      <sheetName val="5.19"/>
      <sheetName val="5.20"/>
      <sheetName val="5.21"/>
      <sheetName val="5.22"/>
      <sheetName val="5.25"/>
      <sheetName val="5.26"/>
      <sheetName val="5.27"/>
      <sheetName val="5.28"/>
      <sheetName val="5.29 "/>
    </sheetNames>
    <sheetDataSet>
      <sheetData sheetId="0"/>
      <sheetData sheetId="1"/>
      <sheetData sheetId="2">
        <row r="2">
          <cell r="A2">
            <v>1</v>
          </cell>
          <cell r="B2">
            <v>0.80020000000000002</v>
          </cell>
        </row>
        <row r="3">
          <cell r="A3">
            <v>2</v>
          </cell>
          <cell r="B3">
            <v>0.79930000000000001</v>
          </cell>
        </row>
        <row r="4">
          <cell r="A4">
            <v>3</v>
          </cell>
          <cell r="B4">
            <v>0.7984</v>
          </cell>
        </row>
        <row r="5">
          <cell r="A5">
            <v>4</v>
          </cell>
          <cell r="B5">
            <v>0.79749999999999999</v>
          </cell>
        </row>
        <row r="6">
          <cell r="A6">
            <v>5</v>
          </cell>
          <cell r="B6">
            <v>0.79659999999999997</v>
          </cell>
        </row>
        <row r="7">
          <cell r="A7">
            <v>6</v>
          </cell>
          <cell r="B7">
            <v>0.79569999999999996</v>
          </cell>
        </row>
        <row r="8">
          <cell r="A8">
            <v>7</v>
          </cell>
          <cell r="B8">
            <v>0.79479999999999995</v>
          </cell>
        </row>
        <row r="9">
          <cell r="A9">
            <v>8</v>
          </cell>
          <cell r="B9">
            <v>0.79400000000000004</v>
          </cell>
        </row>
        <row r="10">
          <cell r="A10">
            <v>9</v>
          </cell>
          <cell r="B10">
            <v>0.79310000000000003</v>
          </cell>
        </row>
        <row r="11">
          <cell r="A11">
            <v>10</v>
          </cell>
          <cell r="B11">
            <v>0.7923</v>
          </cell>
        </row>
        <row r="12">
          <cell r="A12">
            <v>11</v>
          </cell>
          <cell r="B12">
            <v>0.79139999999999999</v>
          </cell>
        </row>
        <row r="13">
          <cell r="A13">
            <v>12</v>
          </cell>
          <cell r="B13">
            <v>0.79059999999999997</v>
          </cell>
        </row>
        <row r="14">
          <cell r="A14">
            <v>13</v>
          </cell>
          <cell r="B14">
            <v>0.78969999999999996</v>
          </cell>
        </row>
        <row r="15">
          <cell r="A15">
            <v>14</v>
          </cell>
          <cell r="B15">
            <v>0.78890000000000005</v>
          </cell>
        </row>
        <row r="16">
          <cell r="A16">
            <v>15</v>
          </cell>
          <cell r="B16">
            <v>0.78800000000000003</v>
          </cell>
        </row>
        <row r="17">
          <cell r="A17">
            <v>16</v>
          </cell>
          <cell r="B17">
            <v>0.78720000000000001</v>
          </cell>
        </row>
        <row r="18">
          <cell r="A18">
            <v>17</v>
          </cell>
          <cell r="B18">
            <v>0.78639999999999999</v>
          </cell>
        </row>
        <row r="19">
          <cell r="A19">
            <v>18</v>
          </cell>
          <cell r="B19">
            <v>0.78569999999999995</v>
          </cell>
        </row>
        <row r="20">
          <cell r="A20">
            <v>19</v>
          </cell>
          <cell r="B20">
            <v>0.78490000000000004</v>
          </cell>
        </row>
        <row r="21">
          <cell r="A21">
            <v>20</v>
          </cell>
          <cell r="B21">
            <v>0.78410000000000002</v>
          </cell>
        </row>
        <row r="22">
          <cell r="A22">
            <v>21</v>
          </cell>
          <cell r="B22">
            <v>0.78320000000000001</v>
          </cell>
        </row>
        <row r="23">
          <cell r="A23">
            <v>22</v>
          </cell>
          <cell r="B23">
            <v>0.7823</v>
          </cell>
        </row>
        <row r="24">
          <cell r="A24">
            <v>23</v>
          </cell>
          <cell r="B24">
            <v>0.78139999999999998</v>
          </cell>
        </row>
        <row r="25">
          <cell r="A25">
            <v>24</v>
          </cell>
          <cell r="B25">
            <v>0.78049999999999997</v>
          </cell>
        </row>
        <row r="26">
          <cell r="A26">
            <v>25</v>
          </cell>
          <cell r="B26">
            <v>0.77959999999999996</v>
          </cell>
        </row>
        <row r="27">
          <cell r="A27">
            <v>26</v>
          </cell>
          <cell r="B27">
            <v>0.77869999999999995</v>
          </cell>
        </row>
        <row r="28">
          <cell r="A28">
            <v>27</v>
          </cell>
          <cell r="B28">
            <v>0.77790000000000004</v>
          </cell>
        </row>
        <row r="29">
          <cell r="A29">
            <v>28</v>
          </cell>
          <cell r="B29">
            <v>0.77700000000000002</v>
          </cell>
        </row>
        <row r="30">
          <cell r="A30">
            <v>29</v>
          </cell>
          <cell r="B30">
            <v>0.7762</v>
          </cell>
        </row>
        <row r="31">
          <cell r="A31">
            <v>30</v>
          </cell>
          <cell r="B31">
            <v>0.77529999999999999</v>
          </cell>
        </row>
        <row r="32">
          <cell r="A32">
            <v>31</v>
          </cell>
          <cell r="B32">
            <v>0.77439999999999998</v>
          </cell>
        </row>
        <row r="33">
          <cell r="A33">
            <v>32</v>
          </cell>
          <cell r="B33">
            <v>0.77349999999999997</v>
          </cell>
        </row>
        <row r="34">
          <cell r="A34">
            <v>33</v>
          </cell>
          <cell r="B34">
            <v>0.77270000000000005</v>
          </cell>
        </row>
        <row r="35">
          <cell r="A35">
            <v>34</v>
          </cell>
          <cell r="B35">
            <v>0.77180000000000004</v>
          </cell>
        </row>
        <row r="36">
          <cell r="A36">
            <v>35</v>
          </cell>
          <cell r="B36">
            <v>0.77090000000000003</v>
          </cell>
        </row>
        <row r="37">
          <cell r="A37">
            <v>36</v>
          </cell>
          <cell r="B37">
            <v>0.77</v>
          </cell>
        </row>
        <row r="38">
          <cell r="A38">
            <v>37</v>
          </cell>
          <cell r="B38">
            <v>0.76910000000000001</v>
          </cell>
        </row>
        <row r="39">
          <cell r="A39">
            <v>38</v>
          </cell>
          <cell r="B39">
            <v>0.76829999999999998</v>
          </cell>
        </row>
        <row r="40">
          <cell r="A40">
            <v>39</v>
          </cell>
          <cell r="B40">
            <v>0.76739999999999997</v>
          </cell>
        </row>
        <row r="41">
          <cell r="A41">
            <v>40</v>
          </cell>
          <cell r="B41">
            <v>0.76649999999999996</v>
          </cell>
        </row>
        <row r="42">
          <cell r="A42">
            <v>41</v>
          </cell>
          <cell r="B42">
            <v>0.76559999999999995</v>
          </cell>
        </row>
        <row r="43">
          <cell r="A43">
            <v>42</v>
          </cell>
          <cell r="B43">
            <v>0.76470000000000005</v>
          </cell>
        </row>
        <row r="44">
          <cell r="A44">
            <v>43</v>
          </cell>
          <cell r="B44">
            <v>0.76390000000000002</v>
          </cell>
        </row>
        <row r="45">
          <cell r="A45">
            <v>44</v>
          </cell>
          <cell r="B45">
            <v>0.76300000000000001</v>
          </cell>
        </row>
        <row r="46">
          <cell r="A46">
            <v>45</v>
          </cell>
          <cell r="B46">
            <v>0.7621</v>
          </cell>
        </row>
        <row r="47">
          <cell r="A47">
            <v>46</v>
          </cell>
          <cell r="B47">
            <v>0.76124999999999998</v>
          </cell>
        </row>
        <row r="48">
          <cell r="A48">
            <v>47</v>
          </cell>
          <cell r="B48">
            <v>0.76037999999999994</v>
          </cell>
        </row>
        <row r="49">
          <cell r="A49">
            <v>48</v>
          </cell>
          <cell r="B49">
            <v>0.75951000000000002</v>
          </cell>
        </row>
        <row r="50">
          <cell r="A50">
            <v>49</v>
          </cell>
          <cell r="B50">
            <v>0.75863999999999998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8357890-2BA6-4CC5-90A2-87AD6187BD32}">
  <we:reference id="wa104381026" version="1.2.0.0" store="zh-TW" storeType="OMEX"/>
  <we:alternateReferences>
    <we:reference id="WA104381026" version="1.2.0.0" store="WA104381026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G6"/>
  <sheetViews>
    <sheetView workbookViewId="0">
      <selection activeCell="G16" sqref="G16"/>
    </sheetView>
  </sheetViews>
  <sheetFormatPr defaultRowHeight="16.2"/>
  <cols>
    <col min="1" max="1" width="21.6640625" customWidth="1"/>
    <col min="2" max="2" width="10.44140625" bestFit="1" customWidth="1"/>
    <col min="3" max="3" width="11.77734375" bestFit="1" customWidth="1"/>
    <col min="4" max="4" width="10.44140625" bestFit="1" customWidth="1"/>
    <col min="5" max="5" width="9.77734375" bestFit="1" customWidth="1"/>
    <col min="6" max="6" width="12" customWidth="1"/>
    <col min="7" max="7" width="57" customWidth="1"/>
  </cols>
  <sheetData>
    <row r="1" spans="1:7" ht="31.8" thickBot="1">
      <c r="A1" s="110" t="s">
        <v>68</v>
      </c>
      <c r="B1" s="110" t="s">
        <v>69</v>
      </c>
      <c r="C1" s="110" t="s">
        <v>70</v>
      </c>
      <c r="D1" s="110" t="s">
        <v>71</v>
      </c>
      <c r="E1" s="110" t="s">
        <v>72</v>
      </c>
      <c r="F1" s="110" t="s">
        <v>73</v>
      </c>
      <c r="G1" s="110" t="s">
        <v>74</v>
      </c>
    </row>
    <row r="2" spans="1:7" ht="16.8" thickBot="1">
      <c r="A2" s="110" t="s">
        <v>75</v>
      </c>
      <c r="B2" s="111">
        <v>5200</v>
      </c>
      <c r="C2" s="112">
        <v>4.4800000000000004</v>
      </c>
      <c r="D2" s="111">
        <v>1790</v>
      </c>
      <c r="E2" s="112">
        <v>52</v>
      </c>
      <c r="F2" s="112">
        <v>232.96</v>
      </c>
      <c r="G2" s="114" t="s">
        <v>80</v>
      </c>
    </row>
    <row r="3" spans="1:7" ht="16.8" thickBot="1">
      <c r="A3" s="110" t="s">
        <v>76</v>
      </c>
      <c r="B3" s="111">
        <v>5200</v>
      </c>
      <c r="C3" s="112">
        <v>18.321999999999999</v>
      </c>
      <c r="D3" s="111">
        <v>8640</v>
      </c>
      <c r="E3" s="112">
        <v>52</v>
      </c>
      <c r="F3" s="112">
        <v>952.74</v>
      </c>
      <c r="G3" s="114" t="s">
        <v>81</v>
      </c>
    </row>
    <row r="4" spans="1:7" ht="16.8" thickBot="1">
      <c r="A4" s="110" t="s">
        <v>77</v>
      </c>
      <c r="B4" s="111">
        <v>6650</v>
      </c>
      <c r="C4" s="112">
        <v>26.42</v>
      </c>
      <c r="D4" s="112">
        <v>0</v>
      </c>
      <c r="E4" s="112">
        <v>66.5</v>
      </c>
      <c r="F4" s="113">
        <v>1756.93</v>
      </c>
      <c r="G4" s="114" t="s">
        <v>82</v>
      </c>
    </row>
    <row r="5" spans="1:7" ht="16.8" thickBot="1">
      <c r="A5" s="110" t="s">
        <v>78</v>
      </c>
      <c r="B5" s="111">
        <v>5150</v>
      </c>
      <c r="C5" s="112">
        <v>18.32</v>
      </c>
      <c r="D5" s="112">
        <v>0</v>
      </c>
      <c r="E5" s="112">
        <v>51.5</v>
      </c>
      <c r="F5" s="112">
        <v>943.48</v>
      </c>
      <c r="G5" s="114" t="s">
        <v>83</v>
      </c>
    </row>
    <row r="6" spans="1:7" ht="16.8" thickBot="1">
      <c r="A6" s="110" t="s">
        <v>79</v>
      </c>
      <c r="B6" s="111">
        <v>12400</v>
      </c>
      <c r="C6" s="112">
        <v>81.709999999999994</v>
      </c>
      <c r="D6" s="112">
        <v>0</v>
      </c>
      <c r="E6" s="112">
        <v>122</v>
      </c>
      <c r="F6" s="113">
        <v>9968.6200000000008</v>
      </c>
      <c r="G6" s="114" t="s">
        <v>84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pageSetUpPr fitToPage="1"/>
  </sheetPr>
  <dimension ref="A1:X93"/>
  <sheetViews>
    <sheetView showRuler="0" view="pageBreakPreview" zoomScale="60" zoomScaleNormal="60" workbookViewId="0">
      <pane ySplit="1" topLeftCell="A4" activePane="bottomLeft" state="frozen"/>
      <selection activeCell="K12" sqref="K12"/>
      <selection pane="bottomLeft" activeCell="B26" sqref="B26"/>
    </sheetView>
  </sheetViews>
  <sheetFormatPr defaultColWidth="9" defaultRowHeight="16.2"/>
  <cols>
    <col min="1" max="1" width="9.44140625" style="47" customWidth="1"/>
    <col min="2" max="10" width="10.6640625" style="47" customWidth="1"/>
    <col min="11" max="12" width="10.6640625" style="6" customWidth="1"/>
    <col min="13" max="13" width="10.6640625" style="50" customWidth="1"/>
    <col min="14" max="16" width="10.6640625" style="6" customWidth="1"/>
    <col min="17" max="17" width="12.88671875" style="47" customWidth="1"/>
    <col min="18" max="18" width="10.6640625" style="6" customWidth="1"/>
    <col min="19" max="19" width="10.6640625" style="47" customWidth="1"/>
    <col min="20" max="20" width="10.6640625" style="6" customWidth="1"/>
    <col min="21" max="21" width="10.6640625" style="51" customWidth="1"/>
    <col min="22" max="23" width="9.88671875" style="6" bestFit="1" customWidth="1"/>
    <col min="24" max="24" width="15.44140625" style="6" bestFit="1" customWidth="1"/>
    <col min="25" max="16384" width="9" style="6"/>
  </cols>
  <sheetData>
    <row r="1" spans="1:24" ht="49.2" customHeight="1">
      <c r="A1" s="1" t="s">
        <v>2</v>
      </c>
      <c r="B1" s="2" t="s">
        <v>3</v>
      </c>
      <c r="C1" s="2" t="s">
        <v>4</v>
      </c>
      <c r="D1" s="2" t="s">
        <v>5</v>
      </c>
      <c r="E1" s="2" t="s">
        <v>6</v>
      </c>
      <c r="F1" s="3" t="s">
        <v>7</v>
      </c>
      <c r="G1" s="2" t="s">
        <v>8</v>
      </c>
      <c r="H1" s="2" t="s">
        <v>9</v>
      </c>
      <c r="I1" s="2" t="s">
        <v>10</v>
      </c>
      <c r="J1" s="4" t="s">
        <v>11</v>
      </c>
      <c r="K1" s="2" t="s">
        <v>12</v>
      </c>
      <c r="L1" s="2" t="s">
        <v>13</v>
      </c>
      <c r="M1" s="2" t="s">
        <v>14</v>
      </c>
      <c r="N1" s="2" t="s">
        <v>15</v>
      </c>
      <c r="O1" s="4" t="s">
        <v>16</v>
      </c>
      <c r="P1" s="3" t="s">
        <v>17</v>
      </c>
      <c r="Q1" s="2" t="s">
        <v>32</v>
      </c>
      <c r="R1" s="2" t="s">
        <v>18</v>
      </c>
      <c r="S1" s="2" t="s">
        <v>19</v>
      </c>
      <c r="T1" s="2" t="s">
        <v>20</v>
      </c>
      <c r="U1" s="5" t="s">
        <v>21</v>
      </c>
      <c r="V1" s="5" t="s">
        <v>22</v>
      </c>
      <c r="W1" s="5" t="s">
        <v>26</v>
      </c>
      <c r="X1" s="5" t="s">
        <v>34</v>
      </c>
    </row>
    <row r="2" spans="1:24" s="13" customFormat="1" ht="26.4" customHeight="1" thickBot="1">
      <c r="A2" s="7">
        <v>1</v>
      </c>
      <c r="B2" s="8">
        <v>0.80020000000000002</v>
      </c>
      <c r="C2" s="8">
        <v>1.1264000000000001</v>
      </c>
      <c r="D2" s="8">
        <v>1.0450999999999999</v>
      </c>
      <c r="E2" s="8">
        <v>0.81089999999999995</v>
      </c>
      <c r="F2" s="9"/>
      <c r="G2" s="8">
        <v>0.80520000000000003</v>
      </c>
      <c r="H2" s="8">
        <v>0.93820000000000003</v>
      </c>
      <c r="I2" s="8">
        <v>1.0691999999999999</v>
      </c>
      <c r="J2" s="10">
        <v>0.98939999999999995</v>
      </c>
      <c r="K2" s="8">
        <v>0.96160000000000001</v>
      </c>
      <c r="L2" s="11">
        <v>0.95099999999999996</v>
      </c>
      <c r="M2" s="8"/>
      <c r="N2" s="11">
        <v>0.94899999999999995</v>
      </c>
      <c r="O2" s="11">
        <v>0.93500000000000005</v>
      </c>
      <c r="P2" s="9"/>
      <c r="Q2" s="27">
        <v>0.95454000000000006</v>
      </c>
      <c r="R2" s="8">
        <v>0.82220000000000004</v>
      </c>
      <c r="S2" s="12">
        <v>1.0519000000000001</v>
      </c>
      <c r="T2" s="8">
        <v>0.96960000000000002</v>
      </c>
      <c r="U2" s="8">
        <v>1.028</v>
      </c>
      <c r="V2" s="16">
        <v>0.96399999999999997</v>
      </c>
      <c r="W2" s="16">
        <v>0.97658999999999996</v>
      </c>
      <c r="X2" s="16">
        <v>0.81481000000000003</v>
      </c>
    </row>
    <row r="3" spans="1:24" s="13" customFormat="1" ht="26.4" customHeight="1" thickTop="1" thickBot="1">
      <c r="A3" s="7">
        <v>2</v>
      </c>
      <c r="B3" s="8">
        <v>0.79930000000000001</v>
      </c>
      <c r="C3" s="8">
        <v>1.1257999999999999</v>
      </c>
      <c r="D3" s="8">
        <v>1.0471999999999999</v>
      </c>
      <c r="E3" s="14">
        <v>0.81</v>
      </c>
      <c r="F3" s="9"/>
      <c r="G3" s="8">
        <v>0.80420000000000003</v>
      </c>
      <c r="H3" s="8">
        <v>0.93730000000000002</v>
      </c>
      <c r="I3" s="8">
        <v>1.0681</v>
      </c>
      <c r="J3" s="10">
        <v>0.98939999999999995</v>
      </c>
      <c r="K3" s="8">
        <v>0.9607</v>
      </c>
      <c r="L3" s="11">
        <v>0.96</v>
      </c>
      <c r="M3" s="8"/>
      <c r="N3" s="11">
        <v>0.94899999999999995</v>
      </c>
      <c r="O3" s="11">
        <v>0.93500000000000005</v>
      </c>
      <c r="P3" s="9"/>
      <c r="Q3" s="27">
        <v>0.95454000000000006</v>
      </c>
      <c r="R3" s="8">
        <v>0.82120000000000004</v>
      </c>
      <c r="S3" s="12">
        <v>1.0511999999999999</v>
      </c>
      <c r="T3" s="8">
        <v>0.96870000000000001</v>
      </c>
      <c r="U3" s="8">
        <v>1.028</v>
      </c>
      <c r="V3" s="16">
        <v>0.96399999999999997</v>
      </c>
      <c r="W3" s="16">
        <v>0.97658999999999996</v>
      </c>
      <c r="X3" s="16">
        <v>0.81481000000000003</v>
      </c>
    </row>
    <row r="4" spans="1:24" s="13" customFormat="1" ht="26.4" customHeight="1" thickTop="1" thickBot="1">
      <c r="A4" s="7">
        <v>3</v>
      </c>
      <c r="B4" s="8">
        <v>0.7984</v>
      </c>
      <c r="C4" s="8">
        <v>1.1251</v>
      </c>
      <c r="D4" s="8">
        <v>1.0463</v>
      </c>
      <c r="E4" s="8">
        <v>0.80910000000000004</v>
      </c>
      <c r="F4" s="9"/>
      <c r="G4" s="8">
        <v>0.80320000000000003</v>
      </c>
      <c r="H4" s="8">
        <v>0.93630000000000002</v>
      </c>
      <c r="I4" s="14">
        <v>1.0669999999999999</v>
      </c>
      <c r="J4" s="10">
        <v>0.98939999999999995</v>
      </c>
      <c r="K4" s="8">
        <v>0.95989999999999998</v>
      </c>
      <c r="L4" s="11">
        <v>0.95899999999999996</v>
      </c>
      <c r="M4" s="8"/>
      <c r="N4" s="11">
        <v>0.94899999999999995</v>
      </c>
      <c r="O4" s="11">
        <v>0.93500000000000005</v>
      </c>
      <c r="P4" s="9"/>
      <c r="Q4" s="27">
        <v>0.95454000000000006</v>
      </c>
      <c r="R4" s="8">
        <v>0.82020000000000004</v>
      </c>
      <c r="S4" s="12">
        <v>1.0504</v>
      </c>
      <c r="T4" s="8">
        <v>0.96789999999999998</v>
      </c>
      <c r="U4" s="8">
        <v>1.028</v>
      </c>
      <c r="V4" s="16">
        <v>0.96399999999999997</v>
      </c>
      <c r="W4" s="16">
        <v>0.97658999999999996</v>
      </c>
      <c r="X4" s="16">
        <v>0.81481000000000003</v>
      </c>
    </row>
    <row r="5" spans="1:24" s="13" customFormat="1" ht="24" customHeight="1" thickTop="1" thickBot="1">
      <c r="A5" s="7">
        <v>4</v>
      </c>
      <c r="B5" s="8">
        <v>0.79749999999999999</v>
      </c>
      <c r="C5" s="8">
        <v>1.1245000000000001</v>
      </c>
      <c r="D5" s="8">
        <v>1.0454000000000001</v>
      </c>
      <c r="E5" s="8">
        <v>0.80820000000000003</v>
      </c>
      <c r="F5" s="9"/>
      <c r="G5" s="8">
        <v>0.80220000000000002</v>
      </c>
      <c r="H5" s="8">
        <v>0.93530000000000002</v>
      </c>
      <c r="I5" s="8">
        <v>1.0658000000000001</v>
      </c>
      <c r="J5" s="10">
        <v>0.98939999999999995</v>
      </c>
      <c r="K5" s="8">
        <v>0.95899999999999996</v>
      </c>
      <c r="L5" s="11">
        <v>0.95799999999999996</v>
      </c>
      <c r="M5" s="8"/>
      <c r="N5" s="11">
        <v>0.94899999999999995</v>
      </c>
      <c r="O5" s="11">
        <v>0.93500000000000005</v>
      </c>
      <c r="P5" s="9"/>
      <c r="Q5" s="27">
        <v>0.95454000000000006</v>
      </c>
      <c r="R5" s="8">
        <v>0.81920000000000004</v>
      </c>
      <c r="S5" s="12">
        <v>1.0497000000000001</v>
      </c>
      <c r="T5" s="8">
        <v>0.96699999999999997</v>
      </c>
      <c r="U5" s="8">
        <v>1.028</v>
      </c>
      <c r="V5" s="16">
        <v>0.96399999999999997</v>
      </c>
      <c r="W5" s="16">
        <v>0.97658999999999996</v>
      </c>
      <c r="X5" s="16">
        <v>0.81481000000000003</v>
      </c>
    </row>
    <row r="6" spans="1:24" ht="22.5" customHeight="1" thickTop="1" thickBot="1">
      <c r="A6" s="15">
        <v>5</v>
      </c>
      <c r="B6" s="16">
        <v>0.79659999999999997</v>
      </c>
      <c r="C6" s="16">
        <v>1.1237999999999999</v>
      </c>
      <c r="D6" s="16">
        <v>1.0445</v>
      </c>
      <c r="E6" s="16">
        <v>0.80730000000000002</v>
      </c>
      <c r="F6" s="17"/>
      <c r="G6" s="16">
        <v>0.80120000000000002</v>
      </c>
      <c r="H6" s="16">
        <v>0.93440000000000001</v>
      </c>
      <c r="I6" s="16">
        <v>1.0647</v>
      </c>
      <c r="J6" s="16">
        <v>0.98939999999999995</v>
      </c>
      <c r="K6" s="16">
        <v>0.95820000000000005</v>
      </c>
      <c r="L6" s="16">
        <v>0.95699999999999996</v>
      </c>
      <c r="M6" s="18"/>
      <c r="N6" s="18">
        <v>0.94899999999999995</v>
      </c>
      <c r="O6" s="18">
        <v>0.93500000000000005</v>
      </c>
      <c r="P6" s="19"/>
      <c r="Q6" s="27">
        <v>0.95454000000000006</v>
      </c>
      <c r="R6" s="18">
        <v>0.81820000000000004</v>
      </c>
      <c r="S6" s="20">
        <v>1.0488</v>
      </c>
      <c r="T6" s="16">
        <v>0.96609999999999996</v>
      </c>
      <c r="U6" s="16">
        <v>1.028</v>
      </c>
      <c r="V6" s="16">
        <v>0.96399999999999997</v>
      </c>
      <c r="W6" s="16">
        <v>0.97658999999999996</v>
      </c>
      <c r="X6" s="16">
        <v>0.81481000000000003</v>
      </c>
    </row>
    <row r="7" spans="1:24" ht="22.5" customHeight="1" thickTop="1" thickBot="1">
      <c r="A7" s="21">
        <v>6</v>
      </c>
      <c r="B7" s="22">
        <v>0.79569999999999996</v>
      </c>
      <c r="C7" s="22">
        <v>1.123</v>
      </c>
      <c r="D7" s="22">
        <v>1.0436000000000001</v>
      </c>
      <c r="E7" s="22">
        <v>0.80620000000000003</v>
      </c>
      <c r="F7" s="22"/>
      <c r="G7" s="22">
        <v>0.80020000000000002</v>
      </c>
      <c r="H7" s="22">
        <v>0.93340000000000001</v>
      </c>
      <c r="I7" s="22">
        <v>1.0636000000000001</v>
      </c>
      <c r="J7" s="22">
        <v>0.98939999999999995</v>
      </c>
      <c r="K7" s="22">
        <v>0.95730000000000004</v>
      </c>
      <c r="L7" s="22">
        <v>0.95599999999999996</v>
      </c>
      <c r="M7" s="16">
        <v>0.88029999999999997</v>
      </c>
      <c r="N7" s="23">
        <v>0.94799999999999995</v>
      </c>
      <c r="O7" s="23">
        <v>0.93500000000000005</v>
      </c>
      <c r="P7" s="24"/>
      <c r="Q7" s="27">
        <v>0.95454000000000006</v>
      </c>
      <c r="R7" s="23">
        <v>0.81720000000000004</v>
      </c>
      <c r="S7" s="25">
        <v>1.0481</v>
      </c>
      <c r="T7" s="22">
        <v>0.96509999999999996</v>
      </c>
      <c r="U7" s="8">
        <v>1.028</v>
      </c>
      <c r="V7" s="16">
        <v>0.96399999999999997</v>
      </c>
      <c r="W7" s="16">
        <v>0.9758</v>
      </c>
      <c r="X7" s="16">
        <v>0.81481000000000003</v>
      </c>
    </row>
    <row r="8" spans="1:24" ht="22.5" customHeight="1" thickTop="1" thickBot="1">
      <c r="A8" s="26">
        <v>7</v>
      </c>
      <c r="B8" s="27">
        <v>0.79479999999999995</v>
      </c>
      <c r="C8" s="27">
        <v>1.1222000000000001</v>
      </c>
      <c r="D8" s="27">
        <v>1.0427</v>
      </c>
      <c r="E8" s="27">
        <v>0.80510000000000004</v>
      </c>
      <c r="F8" s="27"/>
      <c r="G8" s="28">
        <v>0.79920000000000002</v>
      </c>
      <c r="H8" s="28">
        <v>0.9325</v>
      </c>
      <c r="I8" s="28">
        <v>1.0625</v>
      </c>
      <c r="J8" s="28">
        <v>0.98939999999999995</v>
      </c>
      <c r="K8" s="28">
        <v>0.95640000000000003</v>
      </c>
      <c r="L8" s="28">
        <v>0.95499999999999996</v>
      </c>
      <c r="M8" s="22">
        <v>0.88029999999999997</v>
      </c>
      <c r="N8" s="28">
        <v>0.94799999999999995</v>
      </c>
      <c r="O8" s="28">
        <v>0.93500000000000005</v>
      </c>
      <c r="P8" s="29"/>
      <c r="Q8" s="27">
        <v>0.95454000000000006</v>
      </c>
      <c r="R8" s="28">
        <v>0.81620000000000004</v>
      </c>
      <c r="S8" s="25">
        <v>1.0472999999999999</v>
      </c>
      <c r="T8" s="22">
        <v>0.96430000000000005</v>
      </c>
      <c r="U8" s="8">
        <v>1.028</v>
      </c>
      <c r="V8" s="16">
        <v>0.96399999999999997</v>
      </c>
      <c r="W8" s="16">
        <v>0.97501000000000004</v>
      </c>
      <c r="X8" s="16">
        <v>0.81481000000000003</v>
      </c>
    </row>
    <row r="9" spans="1:24" ht="22.5" customHeight="1" thickTop="1" thickBot="1">
      <c r="A9" s="26">
        <v>8</v>
      </c>
      <c r="B9" s="27">
        <v>0.79400000000000004</v>
      </c>
      <c r="C9" s="27">
        <v>1.1214</v>
      </c>
      <c r="D9" s="27">
        <v>1.0418000000000001</v>
      </c>
      <c r="E9" s="27">
        <v>0.80389999999999995</v>
      </c>
      <c r="F9" s="27"/>
      <c r="G9" s="27">
        <v>0.79820000000000002</v>
      </c>
      <c r="H9" s="27">
        <v>0.93149999999999999</v>
      </c>
      <c r="I9" s="27">
        <v>1.0613999999999999</v>
      </c>
      <c r="J9" s="27">
        <v>0.98939999999999995</v>
      </c>
      <c r="K9" s="27">
        <v>0.9556</v>
      </c>
      <c r="L9" s="27">
        <v>0.95399999999999996</v>
      </c>
      <c r="M9" s="27">
        <v>0.88029999999999997</v>
      </c>
      <c r="N9" s="28">
        <v>0.94799999999999995</v>
      </c>
      <c r="O9" s="28">
        <v>0.93500000000000005</v>
      </c>
      <c r="P9" s="29"/>
      <c r="Q9" s="27">
        <v>0.95454000000000006</v>
      </c>
      <c r="R9" s="28">
        <v>0.81520000000000004</v>
      </c>
      <c r="S9" s="27">
        <v>1.0465</v>
      </c>
      <c r="T9" s="22">
        <v>0.96330000000000005</v>
      </c>
      <c r="U9" s="8">
        <v>1.028</v>
      </c>
      <c r="V9" s="16">
        <v>0.96399999999999997</v>
      </c>
      <c r="W9" s="16">
        <v>0.97422000000000009</v>
      </c>
      <c r="X9" s="16">
        <v>0.81481000000000003</v>
      </c>
    </row>
    <row r="10" spans="1:24" ht="22.5" customHeight="1" thickTop="1" thickBot="1">
      <c r="A10" s="26">
        <v>9</v>
      </c>
      <c r="B10" s="27">
        <v>0.79310000000000003</v>
      </c>
      <c r="C10" s="27">
        <v>1.1206</v>
      </c>
      <c r="D10" s="27">
        <v>1.0408999999999999</v>
      </c>
      <c r="E10" s="27">
        <v>0.80269999999999997</v>
      </c>
      <c r="F10" s="27"/>
      <c r="G10" s="27">
        <v>0.79720000000000002</v>
      </c>
      <c r="H10" s="27">
        <v>0.93059999999999998</v>
      </c>
      <c r="I10" s="27">
        <v>1.0602</v>
      </c>
      <c r="J10" s="27">
        <v>0.98939999999999995</v>
      </c>
      <c r="K10" s="27">
        <v>0.95469999999999999</v>
      </c>
      <c r="L10" s="27">
        <v>0.95299999999999996</v>
      </c>
      <c r="M10" s="27">
        <v>0.88029999999999997</v>
      </c>
      <c r="N10" s="27">
        <v>0.94799999999999995</v>
      </c>
      <c r="O10" s="27">
        <v>0.93400000000000005</v>
      </c>
      <c r="P10" s="30"/>
      <c r="Q10" s="27">
        <v>0.95454000000000006</v>
      </c>
      <c r="R10" s="27">
        <v>0.81420000000000003</v>
      </c>
      <c r="S10" s="27">
        <v>1.0458000000000001</v>
      </c>
      <c r="T10" s="27">
        <v>0.96230000000000004</v>
      </c>
      <c r="U10" s="8">
        <v>1.028</v>
      </c>
      <c r="V10" s="16">
        <v>0.96399999999999997</v>
      </c>
      <c r="W10" s="16">
        <v>0.97343000000000013</v>
      </c>
      <c r="X10" s="16">
        <v>0.81481000000000003</v>
      </c>
    </row>
    <row r="11" spans="1:24" ht="22.5" customHeight="1" thickTop="1" thickBot="1">
      <c r="A11" s="15">
        <v>10</v>
      </c>
      <c r="B11" s="16">
        <v>0.7923</v>
      </c>
      <c r="C11" s="16">
        <v>1.1197999999999999</v>
      </c>
      <c r="D11" s="16">
        <v>1.04</v>
      </c>
      <c r="E11" s="16">
        <v>0.80159999999999998</v>
      </c>
      <c r="F11" s="16">
        <v>0.94240000000000002</v>
      </c>
      <c r="G11" s="16">
        <v>0.97619999999999996</v>
      </c>
      <c r="H11" s="16">
        <v>0.92969999999999997</v>
      </c>
      <c r="I11" s="16">
        <v>1.0590999999999999</v>
      </c>
      <c r="J11" s="16">
        <v>0.98850000000000005</v>
      </c>
      <c r="K11" s="16">
        <v>0.95379999999999998</v>
      </c>
      <c r="L11" s="16">
        <v>0.95199999999999996</v>
      </c>
      <c r="M11" s="16">
        <v>0.88029999999999997</v>
      </c>
      <c r="N11" s="16">
        <v>0.94799999999999995</v>
      </c>
      <c r="O11" s="16">
        <v>0.93400000000000005</v>
      </c>
      <c r="P11" s="16">
        <v>0.94511999999999996</v>
      </c>
      <c r="Q11" s="27">
        <v>0.95454000000000006</v>
      </c>
      <c r="R11" s="16">
        <v>0.81320000000000003</v>
      </c>
      <c r="S11" s="16">
        <v>1.0449999999999999</v>
      </c>
      <c r="T11" s="16">
        <v>0.96140000000000003</v>
      </c>
      <c r="U11" s="16">
        <v>1.028</v>
      </c>
      <c r="V11" s="16">
        <v>0.96399999999999997</v>
      </c>
      <c r="W11" s="16">
        <v>0.97264000000000017</v>
      </c>
      <c r="X11" s="16">
        <v>0.81481000000000003</v>
      </c>
    </row>
    <row r="12" spans="1:24" ht="22.5" customHeight="1" thickTop="1" thickBot="1">
      <c r="A12" s="21">
        <v>11</v>
      </c>
      <c r="B12" s="22">
        <v>0.79139999999999999</v>
      </c>
      <c r="C12" s="22">
        <v>1.119</v>
      </c>
      <c r="D12" s="22">
        <v>1.0390999999999999</v>
      </c>
      <c r="E12" s="22">
        <v>0.8004</v>
      </c>
      <c r="F12" s="22">
        <v>0.94155</v>
      </c>
      <c r="G12" s="22">
        <v>0.97519999999999996</v>
      </c>
      <c r="H12" s="22">
        <v>0.92869999999999997</v>
      </c>
      <c r="I12" s="22">
        <v>1.0580000000000001</v>
      </c>
      <c r="J12" s="22">
        <v>0.98770000000000002</v>
      </c>
      <c r="K12" s="22">
        <v>0.95299999999999996</v>
      </c>
      <c r="L12" s="22">
        <v>0.95099999999999996</v>
      </c>
      <c r="M12" s="22">
        <v>0.88029999999999997</v>
      </c>
      <c r="N12" s="22">
        <v>0.94</v>
      </c>
      <c r="O12" s="22">
        <v>0.93400000000000005</v>
      </c>
      <c r="P12" s="22">
        <v>0.94420000000000004</v>
      </c>
      <c r="Q12" s="27">
        <v>0.95454000000000006</v>
      </c>
      <c r="R12" s="31">
        <v>0.81220000000000003</v>
      </c>
      <c r="S12" s="22">
        <v>1.0442</v>
      </c>
      <c r="T12" s="22">
        <v>0.96040000000000003</v>
      </c>
      <c r="U12" s="8">
        <v>1.028</v>
      </c>
      <c r="V12" s="16">
        <v>0.96399999999999997</v>
      </c>
      <c r="W12" s="16">
        <v>0.97192000000000012</v>
      </c>
      <c r="X12" s="16">
        <v>0.8145</v>
      </c>
    </row>
    <row r="13" spans="1:24" ht="22.5" customHeight="1" thickTop="1" thickBot="1">
      <c r="A13" s="26">
        <v>12</v>
      </c>
      <c r="B13" s="27">
        <v>0.79059999999999997</v>
      </c>
      <c r="C13" s="27">
        <v>1.1182000000000001</v>
      </c>
      <c r="D13" s="27">
        <v>1.0383</v>
      </c>
      <c r="E13" s="27">
        <v>0.79930000000000001</v>
      </c>
      <c r="F13" s="27">
        <v>0.94059999999999999</v>
      </c>
      <c r="G13" s="27">
        <v>0.97419999999999995</v>
      </c>
      <c r="H13" s="27">
        <v>0.92769999999999997</v>
      </c>
      <c r="I13" s="27">
        <v>1.0569</v>
      </c>
      <c r="J13" s="27">
        <v>0.9869</v>
      </c>
      <c r="K13" s="27">
        <v>0.95209999999999995</v>
      </c>
      <c r="L13" s="27">
        <v>0.95</v>
      </c>
      <c r="M13" s="27">
        <v>0.88029999999999997</v>
      </c>
      <c r="N13" s="27">
        <v>0.94</v>
      </c>
      <c r="O13" s="27">
        <v>0.93400000000000005</v>
      </c>
      <c r="P13" s="27">
        <v>0.94320999999999999</v>
      </c>
      <c r="Q13" s="27">
        <v>0.95454000000000006</v>
      </c>
      <c r="R13" s="27">
        <v>0.81120000000000003</v>
      </c>
      <c r="S13" s="27">
        <v>1.0434000000000001</v>
      </c>
      <c r="T13" s="22">
        <v>0.96050000000000002</v>
      </c>
      <c r="U13" s="8">
        <v>1.028</v>
      </c>
      <c r="V13" s="16">
        <v>0.96399999999999997</v>
      </c>
      <c r="W13" s="16">
        <v>0.97120000000000006</v>
      </c>
      <c r="X13" s="16">
        <v>0.81410000000000005</v>
      </c>
    </row>
    <row r="14" spans="1:24" ht="22.5" customHeight="1" thickTop="1" thickBot="1">
      <c r="A14" s="26">
        <v>13</v>
      </c>
      <c r="B14" s="27">
        <v>0.78969999999999996</v>
      </c>
      <c r="C14" s="27">
        <v>1.1173999999999999</v>
      </c>
      <c r="D14" s="27">
        <v>1.0374000000000001</v>
      </c>
      <c r="E14" s="27">
        <v>0.79810000000000003</v>
      </c>
      <c r="F14" s="27">
        <v>0.93964999999999999</v>
      </c>
      <c r="G14" s="27">
        <v>0.97319999999999995</v>
      </c>
      <c r="H14" s="27">
        <v>0.92669999999999997</v>
      </c>
      <c r="I14" s="27">
        <v>1.0558000000000001</v>
      </c>
      <c r="J14" s="27">
        <v>0.98609999999999998</v>
      </c>
      <c r="K14" s="27">
        <v>0.95130000000000003</v>
      </c>
      <c r="L14" s="27">
        <v>0.94899999999999995</v>
      </c>
      <c r="M14" s="27">
        <v>0.88029999999999997</v>
      </c>
      <c r="N14" s="27">
        <v>0.94</v>
      </c>
      <c r="O14" s="27">
        <v>0.93400000000000005</v>
      </c>
      <c r="P14" s="27">
        <v>0.94220999999999999</v>
      </c>
      <c r="Q14" s="27">
        <v>0.95454000000000006</v>
      </c>
      <c r="R14" s="27">
        <v>0.81020000000000003</v>
      </c>
      <c r="S14" s="27">
        <v>1.0427</v>
      </c>
      <c r="T14" s="22">
        <v>0.95950000000000002</v>
      </c>
      <c r="U14" s="8">
        <v>1.028</v>
      </c>
      <c r="V14" s="16">
        <v>0.96399999999999997</v>
      </c>
      <c r="W14" s="16">
        <v>0.97048000000000001</v>
      </c>
      <c r="X14" s="16">
        <v>0.81369999999999998</v>
      </c>
    </row>
    <row r="15" spans="1:24" ht="22.5" customHeight="1" thickTop="1" thickBot="1">
      <c r="A15" s="32">
        <v>14</v>
      </c>
      <c r="B15" s="33">
        <v>0.78890000000000005</v>
      </c>
      <c r="C15" s="33">
        <v>1.1166</v>
      </c>
      <c r="D15" s="33">
        <v>1.0365</v>
      </c>
      <c r="E15" s="27">
        <v>0.79700000000000004</v>
      </c>
      <c r="F15" s="27">
        <v>0.93937999999999999</v>
      </c>
      <c r="G15" s="27">
        <v>0.97219999999999995</v>
      </c>
      <c r="H15" s="27">
        <v>0.92569999999999997</v>
      </c>
      <c r="I15" s="27">
        <v>1.0546</v>
      </c>
      <c r="J15" s="27">
        <v>0.98529999999999995</v>
      </c>
      <c r="K15" s="27">
        <v>0.95040000000000002</v>
      </c>
      <c r="L15" s="27">
        <v>0.94799999999999995</v>
      </c>
      <c r="M15" s="27">
        <v>0.88029999999999997</v>
      </c>
      <c r="N15" s="27">
        <v>0.94</v>
      </c>
      <c r="O15" s="27">
        <v>0.93400000000000005</v>
      </c>
      <c r="P15" s="27">
        <v>0.94116999999999995</v>
      </c>
      <c r="Q15" s="27">
        <v>0.95454000000000006</v>
      </c>
      <c r="R15" s="27">
        <v>0.80920000000000003</v>
      </c>
      <c r="S15" s="27">
        <v>1.0419</v>
      </c>
      <c r="T15" s="27">
        <v>0.95850000000000002</v>
      </c>
      <c r="U15" s="8">
        <v>1.028</v>
      </c>
      <c r="V15" s="16">
        <v>0.96399999999999997</v>
      </c>
      <c r="W15" s="16">
        <v>0.96975999999999996</v>
      </c>
      <c r="X15" s="16">
        <v>0.81330000000000002</v>
      </c>
    </row>
    <row r="16" spans="1:24" ht="22.5" customHeight="1" thickTop="1" thickBot="1">
      <c r="A16" s="15">
        <v>15</v>
      </c>
      <c r="B16" s="16">
        <v>0.78800000000000003</v>
      </c>
      <c r="C16" s="16">
        <v>1.1157999999999999</v>
      </c>
      <c r="D16" s="16">
        <v>1.0356000000000001</v>
      </c>
      <c r="E16" s="16">
        <v>0.79469999999999996</v>
      </c>
      <c r="F16" s="16">
        <v>0.93791999999999998</v>
      </c>
      <c r="G16" s="16">
        <v>0.97119999999999995</v>
      </c>
      <c r="H16" s="16">
        <v>0.92469999999999997</v>
      </c>
      <c r="I16" s="16">
        <v>1.0535000000000001</v>
      </c>
      <c r="J16" s="16">
        <v>0.98450000000000004</v>
      </c>
      <c r="K16" s="34">
        <v>0.94950000000000001</v>
      </c>
      <c r="L16" s="16">
        <v>0.94699999999999995</v>
      </c>
      <c r="M16" s="16">
        <v>0.88029999999999997</v>
      </c>
      <c r="N16" s="16">
        <v>0.94</v>
      </c>
      <c r="O16" s="16">
        <v>0.93400000000000005</v>
      </c>
      <c r="P16" s="16">
        <v>0.94037000000000004</v>
      </c>
      <c r="Q16" s="27">
        <v>0.95454000000000006</v>
      </c>
      <c r="R16" s="16">
        <v>0.80830000000000002</v>
      </c>
      <c r="S16" s="16">
        <v>1.0411999999999999</v>
      </c>
      <c r="T16" s="16">
        <v>0.95750000000000002</v>
      </c>
      <c r="U16" s="16">
        <v>1.028</v>
      </c>
      <c r="V16" s="16">
        <v>0.96399999999999997</v>
      </c>
      <c r="W16" s="16">
        <v>0.9690399999999999</v>
      </c>
      <c r="X16" s="16">
        <v>0.81293000000000004</v>
      </c>
    </row>
    <row r="17" spans="1:24" ht="22.5" customHeight="1" thickTop="1" thickBot="1">
      <c r="A17" s="21">
        <v>16</v>
      </c>
      <c r="B17" s="22">
        <v>0.78720000000000001</v>
      </c>
      <c r="C17" s="22">
        <v>1.1152</v>
      </c>
      <c r="D17" s="22">
        <v>1.0347999999999999</v>
      </c>
      <c r="E17" s="22">
        <v>0.79359999999999997</v>
      </c>
      <c r="F17" s="22">
        <v>0.93676999999999999</v>
      </c>
      <c r="G17" s="22">
        <v>0.97</v>
      </c>
      <c r="H17" s="22">
        <v>0.92369999999999997</v>
      </c>
      <c r="I17" s="22">
        <v>1.0524</v>
      </c>
      <c r="J17" s="22">
        <v>0.98370000000000002</v>
      </c>
      <c r="K17" s="35">
        <v>0.9486</v>
      </c>
      <c r="L17" s="22">
        <v>0.94599999999999995</v>
      </c>
      <c r="M17" s="22">
        <v>0.88029999999999997</v>
      </c>
      <c r="N17" s="22">
        <v>0.94</v>
      </c>
      <c r="O17" s="22">
        <v>0.93400000000000005</v>
      </c>
      <c r="P17" s="22">
        <v>0.93915999999999999</v>
      </c>
      <c r="Q17" s="27">
        <v>0.9536</v>
      </c>
      <c r="R17" s="22">
        <v>0.80740000000000001</v>
      </c>
      <c r="S17" s="22">
        <v>1.0404</v>
      </c>
      <c r="T17" s="22">
        <v>0.95650000000000002</v>
      </c>
      <c r="U17" s="8">
        <v>1.028</v>
      </c>
      <c r="V17" s="16">
        <v>0.96399999999999997</v>
      </c>
      <c r="W17" s="16">
        <v>0.96829999999999994</v>
      </c>
      <c r="X17" s="16">
        <v>0.81200000000000006</v>
      </c>
    </row>
    <row r="18" spans="1:24" ht="22.5" customHeight="1" thickTop="1" thickBot="1">
      <c r="A18" s="26">
        <v>17</v>
      </c>
      <c r="B18" s="27">
        <v>0.78639999999999999</v>
      </c>
      <c r="C18" s="27">
        <v>1.1145</v>
      </c>
      <c r="D18" s="27">
        <v>1.0339</v>
      </c>
      <c r="E18" s="27">
        <v>0.79249999999999998</v>
      </c>
      <c r="F18" s="27">
        <v>0.93696999999999997</v>
      </c>
      <c r="G18" s="27">
        <v>0.96899999999999997</v>
      </c>
      <c r="H18" s="27">
        <v>0.92269999999999996</v>
      </c>
      <c r="I18" s="27">
        <v>1.0512999999999999</v>
      </c>
      <c r="J18" s="27">
        <v>0.98260000000000003</v>
      </c>
      <c r="K18" s="36">
        <v>0.94779999999999998</v>
      </c>
      <c r="L18" s="27">
        <v>0.94499999999999995</v>
      </c>
      <c r="M18" s="27">
        <v>0.88029999999999997</v>
      </c>
      <c r="N18" s="27">
        <v>0.94</v>
      </c>
      <c r="O18" s="27">
        <v>0.93400000000000005</v>
      </c>
      <c r="P18" s="27">
        <v>0.93815000000000004</v>
      </c>
      <c r="Q18" s="27">
        <v>0.95279999999999998</v>
      </c>
      <c r="R18" s="27">
        <v>0.80649999999999999</v>
      </c>
      <c r="S18" s="27">
        <v>1.0397000000000001</v>
      </c>
      <c r="T18" s="22">
        <v>0.95489999999999997</v>
      </c>
      <c r="U18" s="8">
        <v>1.028</v>
      </c>
      <c r="V18" s="16">
        <v>0.96399999999999997</v>
      </c>
      <c r="W18" s="16">
        <v>0.96755999999999998</v>
      </c>
      <c r="X18" s="16">
        <v>0.81110000000000004</v>
      </c>
    </row>
    <row r="19" spans="1:24" ht="22.5" customHeight="1" thickTop="1" thickBot="1">
      <c r="A19" s="26">
        <v>18</v>
      </c>
      <c r="B19" s="27">
        <v>0.78569999999999995</v>
      </c>
      <c r="C19" s="27">
        <v>1.1138999999999999</v>
      </c>
      <c r="D19" s="27">
        <v>1.0330999999999999</v>
      </c>
      <c r="E19" s="27">
        <v>0.79139999999999999</v>
      </c>
      <c r="F19" s="27">
        <v>0.93486000000000002</v>
      </c>
      <c r="G19" s="27">
        <v>0.96799999999999997</v>
      </c>
      <c r="H19" s="27">
        <v>0.92169999999999996</v>
      </c>
      <c r="I19" s="27">
        <v>1.0502</v>
      </c>
      <c r="J19" s="27">
        <v>0.98209999999999997</v>
      </c>
      <c r="K19" s="36">
        <v>0.94689999999999996</v>
      </c>
      <c r="L19" s="27">
        <v>0.94399999999999995</v>
      </c>
      <c r="M19" s="27">
        <v>0.88029999999999997</v>
      </c>
      <c r="N19" s="27">
        <v>0.94</v>
      </c>
      <c r="O19" s="27">
        <v>0.93400000000000005</v>
      </c>
      <c r="P19" s="27">
        <v>0.93713999999999997</v>
      </c>
      <c r="Q19" s="27">
        <v>0.95201000000000002</v>
      </c>
      <c r="R19" s="37">
        <v>0.80569999999999997</v>
      </c>
      <c r="S19" s="27">
        <v>1.0389999999999999</v>
      </c>
      <c r="T19" s="22">
        <v>0.95320000000000005</v>
      </c>
      <c r="U19" s="8">
        <v>1.028</v>
      </c>
      <c r="V19" s="16">
        <v>0.96399999999999997</v>
      </c>
      <c r="W19" s="16">
        <v>0.96682000000000001</v>
      </c>
      <c r="X19" s="16">
        <v>0.81020000000000003</v>
      </c>
    </row>
    <row r="20" spans="1:24" ht="22.5" customHeight="1" thickTop="1" thickBot="1">
      <c r="A20" s="26">
        <v>19</v>
      </c>
      <c r="B20" s="27">
        <v>0.78490000000000004</v>
      </c>
      <c r="C20" s="27">
        <v>1.1132</v>
      </c>
      <c r="D20" s="27">
        <v>1.0322</v>
      </c>
      <c r="E20" s="27">
        <v>0.7903</v>
      </c>
      <c r="F20" s="27">
        <v>0.93391000000000002</v>
      </c>
      <c r="G20" s="27">
        <v>0.96699999999999997</v>
      </c>
      <c r="H20" s="27">
        <v>0.92069999999999996</v>
      </c>
      <c r="I20" s="27">
        <v>1.0489999999999999</v>
      </c>
      <c r="J20" s="27">
        <v>0.98129999999999995</v>
      </c>
      <c r="K20" s="36">
        <v>0.94599999999999995</v>
      </c>
      <c r="L20" s="27">
        <v>0.94299999999999995</v>
      </c>
      <c r="M20" s="27">
        <v>0.88029999999999997</v>
      </c>
      <c r="N20" s="27">
        <v>0.94</v>
      </c>
      <c r="O20" s="27">
        <v>0.93400000000000005</v>
      </c>
      <c r="P20" s="27">
        <v>0.93613000000000002</v>
      </c>
      <c r="Q20" s="27">
        <v>0.95123000000000002</v>
      </c>
      <c r="R20" s="37">
        <v>0.80479999999999996</v>
      </c>
      <c r="S20" s="27">
        <v>1.0371999999999999</v>
      </c>
      <c r="T20" s="22">
        <v>0.9516</v>
      </c>
      <c r="U20" s="8">
        <v>1.028</v>
      </c>
      <c r="V20" s="16">
        <v>0.96399999999999997</v>
      </c>
      <c r="W20" s="16">
        <v>0.96608000000000005</v>
      </c>
      <c r="X20" s="16">
        <v>0.80920000000000003</v>
      </c>
    </row>
    <row r="21" spans="1:24" ht="22.5" customHeight="1" thickTop="1" thickBot="1">
      <c r="A21" s="38">
        <v>20</v>
      </c>
      <c r="B21" s="28">
        <v>0.78410000000000002</v>
      </c>
      <c r="C21" s="28">
        <v>1.1126</v>
      </c>
      <c r="D21" s="28">
        <v>1.0314000000000001</v>
      </c>
      <c r="E21" s="18">
        <v>0.78920000000000001</v>
      </c>
      <c r="F21" s="16">
        <v>0.93288000000000004</v>
      </c>
      <c r="G21" s="18">
        <v>0.96589999999999998</v>
      </c>
      <c r="H21" s="18">
        <v>0.91969999999999996</v>
      </c>
      <c r="I21" s="18">
        <v>1.0479000000000001</v>
      </c>
      <c r="J21" s="18">
        <v>0.98050000000000004</v>
      </c>
      <c r="K21" s="39">
        <v>0.94520000000000004</v>
      </c>
      <c r="L21" s="18">
        <v>0.94199999999999995</v>
      </c>
      <c r="M21" s="40">
        <v>0.88029999999999997</v>
      </c>
      <c r="N21" s="18">
        <v>0.94</v>
      </c>
      <c r="O21" s="18">
        <v>0.93</v>
      </c>
      <c r="P21" s="16">
        <v>0.93506</v>
      </c>
      <c r="Q21" s="27">
        <v>0.95038</v>
      </c>
      <c r="R21" s="41">
        <v>0.80369999999999997</v>
      </c>
      <c r="S21" s="18">
        <v>1.0363899999999999</v>
      </c>
      <c r="T21" s="16">
        <v>0.95</v>
      </c>
      <c r="U21" s="16">
        <v>1.028</v>
      </c>
      <c r="V21" s="16">
        <v>0.96399999999999997</v>
      </c>
      <c r="W21" s="16">
        <v>0.96534000000000009</v>
      </c>
      <c r="X21" s="16">
        <v>0.80813999999999997</v>
      </c>
    </row>
    <row r="22" spans="1:24" ht="22.5" customHeight="1" thickTop="1" thickBot="1">
      <c r="A22" s="42">
        <v>21</v>
      </c>
      <c r="B22" s="43">
        <v>0.78320000000000001</v>
      </c>
      <c r="C22" s="43">
        <v>1.1119000000000001</v>
      </c>
      <c r="D22" s="43">
        <v>1.0305</v>
      </c>
      <c r="E22" s="22">
        <v>0.78800000000000003</v>
      </c>
      <c r="F22" s="22">
        <v>0.93198000000000003</v>
      </c>
      <c r="G22" s="22">
        <v>0.96489999999999998</v>
      </c>
      <c r="H22" s="22">
        <v>0.91879999999999995</v>
      </c>
      <c r="I22" s="22">
        <v>1.0468</v>
      </c>
      <c r="J22" s="22">
        <v>0.97960000000000003</v>
      </c>
      <c r="K22" s="35">
        <v>0.94430000000000003</v>
      </c>
      <c r="L22" s="22">
        <v>0.94099999999999995</v>
      </c>
      <c r="M22" s="44">
        <v>0.87909999999999999</v>
      </c>
      <c r="N22" s="22">
        <v>0.94</v>
      </c>
      <c r="O22" s="22">
        <v>0.93</v>
      </c>
      <c r="P22" s="16">
        <v>0.93506</v>
      </c>
      <c r="Q22" s="27">
        <v>0.94969000000000003</v>
      </c>
      <c r="R22" s="31">
        <v>0.80289999999999995</v>
      </c>
      <c r="S22" s="22">
        <v>1.03566</v>
      </c>
      <c r="T22" s="22">
        <v>0.94889999999999997</v>
      </c>
      <c r="U22" s="8">
        <v>1.028</v>
      </c>
      <c r="V22" s="8">
        <v>0.96079999999999999</v>
      </c>
      <c r="W22" s="52">
        <v>0.96470000000000011</v>
      </c>
      <c r="X22" s="52">
        <v>0.80730000000000002</v>
      </c>
    </row>
    <row r="23" spans="1:24" ht="22.5" customHeight="1" thickTop="1">
      <c r="A23" s="26">
        <v>22</v>
      </c>
      <c r="B23" s="27">
        <v>0.7823</v>
      </c>
      <c r="C23" s="27">
        <v>1.1111</v>
      </c>
      <c r="D23" s="27">
        <v>1.0295000000000001</v>
      </c>
      <c r="E23" s="27">
        <v>0.78680000000000005</v>
      </c>
      <c r="F23" s="27">
        <v>0.93115999999999999</v>
      </c>
      <c r="G23" s="27">
        <v>0.96379999999999999</v>
      </c>
      <c r="H23" s="27">
        <v>0.91779999999999995</v>
      </c>
      <c r="I23" s="27">
        <v>1.0457000000000001</v>
      </c>
      <c r="J23" s="27">
        <v>0.9788</v>
      </c>
      <c r="K23" s="36">
        <v>0.94330000000000003</v>
      </c>
      <c r="L23" s="27">
        <v>0.94</v>
      </c>
      <c r="M23" s="45">
        <v>0.878</v>
      </c>
      <c r="N23" s="27">
        <v>0.93200000000000005</v>
      </c>
      <c r="O23" s="27">
        <v>0.93</v>
      </c>
      <c r="P23" s="27">
        <v>0.93327000000000004</v>
      </c>
      <c r="Q23" s="27">
        <v>0.94908999999999999</v>
      </c>
      <c r="R23" s="37">
        <v>0.80179999999999996</v>
      </c>
      <c r="S23" s="27">
        <v>1.0349299999999999</v>
      </c>
      <c r="T23" s="22">
        <v>0.94730000000000003</v>
      </c>
      <c r="U23" s="8">
        <v>1.028</v>
      </c>
      <c r="V23" s="8">
        <v>0.96079999999999999</v>
      </c>
      <c r="W23" s="52">
        <v>0.96406000000000014</v>
      </c>
      <c r="X23" s="52">
        <v>0.80669999999999997</v>
      </c>
    </row>
    <row r="24" spans="1:24" ht="22.5" customHeight="1">
      <c r="A24" s="26">
        <v>23</v>
      </c>
      <c r="B24" s="27">
        <v>0.78139999999999998</v>
      </c>
      <c r="C24" s="27">
        <v>1.1104000000000001</v>
      </c>
      <c r="D24" s="27">
        <v>1.0286</v>
      </c>
      <c r="E24" s="27">
        <v>0.78559999999999997</v>
      </c>
      <c r="F24" s="27">
        <v>0.93006999999999995</v>
      </c>
      <c r="G24" s="27">
        <v>0.96220000000000006</v>
      </c>
      <c r="H24" s="27">
        <v>0.91669999999999996</v>
      </c>
      <c r="I24" s="27">
        <v>1.0446</v>
      </c>
      <c r="J24" s="27">
        <v>0.97799999999999998</v>
      </c>
      <c r="K24" s="36">
        <v>0.94240000000000002</v>
      </c>
      <c r="L24" s="27">
        <v>0.93899999999999995</v>
      </c>
      <c r="M24" s="45">
        <v>0.877</v>
      </c>
      <c r="N24" s="27">
        <v>0.93200000000000005</v>
      </c>
      <c r="O24" s="27">
        <v>0.93</v>
      </c>
      <c r="P24" s="27">
        <v>0.93208999999999997</v>
      </c>
      <c r="Q24" s="27">
        <v>0.94820000000000004</v>
      </c>
      <c r="R24" s="37">
        <v>0.80089999999999995</v>
      </c>
      <c r="S24" s="27">
        <v>1.0341899999999999</v>
      </c>
      <c r="T24" s="22">
        <v>0.94599999999999995</v>
      </c>
      <c r="U24" s="8">
        <v>1.0269999999999999</v>
      </c>
      <c r="V24" s="8">
        <v>0.96079999999999999</v>
      </c>
      <c r="W24" s="52">
        <v>0.96342000000000017</v>
      </c>
      <c r="X24" s="52">
        <v>0.80610000000000004</v>
      </c>
    </row>
    <row r="25" spans="1:24" ht="22.5" customHeight="1">
      <c r="A25" s="26">
        <v>24</v>
      </c>
      <c r="B25" s="27">
        <v>0.78049999999999997</v>
      </c>
      <c r="C25" s="27">
        <v>1.1095999999999999</v>
      </c>
      <c r="D25" s="27">
        <v>1.0276000000000001</v>
      </c>
      <c r="E25" s="27">
        <v>0.78439999999999999</v>
      </c>
      <c r="F25" s="27">
        <v>0.92910000000000004</v>
      </c>
      <c r="G25" s="27">
        <v>0.96120000000000005</v>
      </c>
      <c r="H25" s="27">
        <v>0.91569999999999996</v>
      </c>
      <c r="I25" s="27">
        <v>1.0434000000000001</v>
      </c>
      <c r="J25" s="27">
        <v>0.97719999999999996</v>
      </c>
      <c r="K25" s="36">
        <v>0.9415</v>
      </c>
      <c r="L25" s="27">
        <v>0.93799999999999994</v>
      </c>
      <c r="M25" s="45">
        <v>0.87590000000000001</v>
      </c>
      <c r="N25" s="27">
        <v>0.93200000000000005</v>
      </c>
      <c r="O25" s="27">
        <v>0.93</v>
      </c>
      <c r="P25" s="27">
        <v>0.93159999999999998</v>
      </c>
      <c r="Q25" s="27">
        <v>0.94747000000000003</v>
      </c>
      <c r="R25" s="37">
        <v>0.8</v>
      </c>
      <c r="S25" s="27">
        <v>1.03346</v>
      </c>
      <c r="T25" s="22">
        <v>0.9446</v>
      </c>
      <c r="U25" s="8">
        <v>1.026</v>
      </c>
      <c r="V25" s="8">
        <v>0.96079999999999999</v>
      </c>
      <c r="W25" s="52">
        <v>0.96278000000000019</v>
      </c>
      <c r="X25" s="52">
        <v>0.80549999999999999</v>
      </c>
    </row>
    <row r="26" spans="1:24" ht="22.5" customHeight="1" thickBot="1">
      <c r="A26" s="46">
        <v>25</v>
      </c>
      <c r="B26" s="18">
        <v>0.77959999999999996</v>
      </c>
      <c r="C26" s="18">
        <v>1.1089</v>
      </c>
      <c r="D26" s="18">
        <v>1.0266999999999999</v>
      </c>
      <c r="E26" s="18">
        <v>0.78320000000000001</v>
      </c>
      <c r="F26" s="16">
        <v>0.92813000000000001</v>
      </c>
      <c r="G26" s="18">
        <v>0.96020000000000005</v>
      </c>
      <c r="H26" s="18">
        <v>0.91469999999999996</v>
      </c>
      <c r="I26" s="18">
        <v>1.0423</v>
      </c>
      <c r="J26" s="18">
        <v>0.97640000000000005</v>
      </c>
      <c r="K26" s="39">
        <v>0.9405</v>
      </c>
      <c r="L26" s="18">
        <v>0.93700000000000006</v>
      </c>
      <c r="M26" s="40">
        <v>0.87509999999999999</v>
      </c>
      <c r="N26" s="18">
        <v>0.93</v>
      </c>
      <c r="O26" s="18">
        <v>0.92600000000000005</v>
      </c>
      <c r="P26" s="16">
        <v>0.93084</v>
      </c>
      <c r="Q26" s="27">
        <v>0.94674000000000003</v>
      </c>
      <c r="R26" s="41">
        <v>0.79910000000000003</v>
      </c>
      <c r="S26" s="18">
        <v>1.0327299999999999</v>
      </c>
      <c r="T26" s="16">
        <v>0.94330000000000003</v>
      </c>
      <c r="U26" s="16">
        <v>1.0249999999999999</v>
      </c>
      <c r="V26" s="8">
        <v>0.96079999999999999</v>
      </c>
      <c r="W26" s="52">
        <v>0.96214000000000022</v>
      </c>
      <c r="X26" s="52">
        <v>0.80493999999999999</v>
      </c>
    </row>
    <row r="27" spans="1:24" ht="22.5" customHeight="1" thickTop="1" thickBot="1">
      <c r="A27" s="21">
        <v>26</v>
      </c>
      <c r="B27" s="22">
        <v>0.77869999999999995</v>
      </c>
      <c r="C27" s="22">
        <v>1.1081000000000001</v>
      </c>
      <c r="D27" s="22">
        <v>1.0258</v>
      </c>
      <c r="E27" s="22">
        <v>0.78210000000000002</v>
      </c>
      <c r="F27" s="22">
        <v>0.92717000000000005</v>
      </c>
      <c r="G27" s="22">
        <v>0.95899999999999996</v>
      </c>
      <c r="H27" s="22">
        <v>0.91390000000000005</v>
      </c>
      <c r="I27" s="22">
        <v>1.0411999999999999</v>
      </c>
      <c r="J27" s="22">
        <v>0.97550000000000003</v>
      </c>
      <c r="K27" s="35">
        <v>0.93959999999999999</v>
      </c>
      <c r="L27" s="22">
        <v>0.93600000000000005</v>
      </c>
      <c r="M27" s="44">
        <v>0.87409999999999999</v>
      </c>
      <c r="N27" s="22">
        <v>0.93</v>
      </c>
      <c r="O27" s="22">
        <v>0.92600000000000005</v>
      </c>
      <c r="P27" s="22">
        <v>0.92906</v>
      </c>
      <c r="Q27" s="27">
        <v>0.94603000000000004</v>
      </c>
      <c r="R27" s="31">
        <v>0.79820000000000002</v>
      </c>
      <c r="S27" s="22">
        <v>1.031998</v>
      </c>
      <c r="T27" s="22">
        <v>0.94220000000000004</v>
      </c>
      <c r="U27" s="8">
        <v>1.024</v>
      </c>
      <c r="V27" s="16">
        <v>0.95760000000000001</v>
      </c>
      <c r="W27" s="52">
        <v>0.96155000000000024</v>
      </c>
      <c r="X27" s="52">
        <v>0.80459999999999998</v>
      </c>
    </row>
    <row r="28" spans="1:24" ht="22.5" customHeight="1" thickTop="1" thickBot="1">
      <c r="A28" s="26">
        <v>27</v>
      </c>
      <c r="B28" s="27">
        <v>0.77790000000000004</v>
      </c>
      <c r="C28" s="27">
        <v>1.1073999999999999</v>
      </c>
      <c r="D28" s="27">
        <v>1.0247999999999999</v>
      </c>
      <c r="E28" s="27">
        <v>0.78100000000000003</v>
      </c>
      <c r="F28" s="27">
        <v>0.92620999999999998</v>
      </c>
      <c r="G28" s="27">
        <v>0.95799999999999996</v>
      </c>
      <c r="H28" s="27">
        <v>0.91290000000000004</v>
      </c>
      <c r="I28" s="27">
        <v>1.0401</v>
      </c>
      <c r="J28" s="27">
        <v>0.97470000000000001</v>
      </c>
      <c r="K28" s="36">
        <v>0.93869999999999998</v>
      </c>
      <c r="L28" s="27">
        <v>0.93500000000000005</v>
      </c>
      <c r="M28" s="45">
        <v>0.87309999999999999</v>
      </c>
      <c r="N28" s="27">
        <v>0.93</v>
      </c>
      <c r="O28" s="27">
        <v>0.92600000000000005</v>
      </c>
      <c r="P28" s="27">
        <v>0.92805000000000004</v>
      </c>
      <c r="Q28" s="27">
        <v>0.94532000000000005</v>
      </c>
      <c r="R28" s="37">
        <v>0.79720000000000002</v>
      </c>
      <c r="S28" s="27">
        <v>1.031266</v>
      </c>
      <c r="T28" s="22">
        <v>0.94120000000000004</v>
      </c>
      <c r="U28" s="8">
        <v>1.0229999999999999</v>
      </c>
      <c r="V28" s="16">
        <v>0.95760000000000001</v>
      </c>
      <c r="W28" s="52">
        <v>0.96096000000000026</v>
      </c>
      <c r="X28" s="52">
        <v>0.80430000000000001</v>
      </c>
    </row>
    <row r="29" spans="1:24" ht="22.5" customHeight="1" thickTop="1" thickBot="1">
      <c r="A29" s="26">
        <v>28</v>
      </c>
      <c r="B29" s="27">
        <v>0.77700000000000002</v>
      </c>
      <c r="C29" s="27">
        <v>1.1066</v>
      </c>
      <c r="D29" s="27">
        <v>1.0239</v>
      </c>
      <c r="E29" s="27">
        <v>0.77980000000000005</v>
      </c>
      <c r="F29" s="27">
        <v>0.92527000000000004</v>
      </c>
      <c r="G29" s="27">
        <v>0.95699999999999996</v>
      </c>
      <c r="H29" s="27">
        <v>0.91200000000000003</v>
      </c>
      <c r="I29" s="27">
        <v>1.0389999999999999</v>
      </c>
      <c r="J29" s="27">
        <v>0.97389999999999999</v>
      </c>
      <c r="K29" s="36">
        <v>0.93779999999999997</v>
      </c>
      <c r="L29" s="27">
        <v>0.93400000000000005</v>
      </c>
      <c r="M29" s="45">
        <v>0.872</v>
      </c>
      <c r="N29" s="27">
        <v>0.93</v>
      </c>
      <c r="O29" s="27">
        <v>0.92600000000000005</v>
      </c>
      <c r="P29" s="27">
        <v>0.92706</v>
      </c>
      <c r="Q29" s="27">
        <v>0.94462000000000002</v>
      </c>
      <c r="R29" s="37">
        <v>0.79630000000000001</v>
      </c>
      <c r="S29" s="27">
        <v>1.0305340000000001</v>
      </c>
      <c r="T29" s="22">
        <v>0.94010000000000005</v>
      </c>
      <c r="U29" s="8">
        <v>1.022</v>
      </c>
      <c r="V29" s="16">
        <v>0.95760000000000001</v>
      </c>
      <c r="W29" s="52">
        <v>0.96037000000000028</v>
      </c>
      <c r="X29" s="52">
        <v>0.80400000000000005</v>
      </c>
    </row>
    <row r="30" spans="1:24" ht="22.5" customHeight="1" thickTop="1" thickBot="1">
      <c r="A30" s="26">
        <v>29</v>
      </c>
      <c r="B30" s="27">
        <v>0.7762</v>
      </c>
      <c r="C30" s="27">
        <v>1.1059000000000001</v>
      </c>
      <c r="D30" s="27">
        <v>1.0228999999999999</v>
      </c>
      <c r="E30" s="27">
        <v>0.77869999999999995</v>
      </c>
      <c r="F30" s="27">
        <v>0.92430000000000001</v>
      </c>
      <c r="G30" s="27">
        <v>0.95589999999999997</v>
      </c>
      <c r="H30" s="27">
        <v>0.91100000000000003</v>
      </c>
      <c r="I30" s="27">
        <v>1.0378000000000001</v>
      </c>
      <c r="J30" s="27">
        <v>0.97309999999999997</v>
      </c>
      <c r="K30" s="36">
        <v>0.93689999999999996</v>
      </c>
      <c r="L30" s="27">
        <v>0.93300000000000005</v>
      </c>
      <c r="M30" s="45">
        <v>0.871</v>
      </c>
      <c r="N30" s="27">
        <v>0.93</v>
      </c>
      <c r="O30" s="27">
        <v>0.92600000000000005</v>
      </c>
      <c r="P30" s="27">
        <v>0.92603000000000002</v>
      </c>
      <c r="Q30" s="27">
        <v>0.94393000000000005</v>
      </c>
      <c r="R30" s="37">
        <v>0.79549999999999998</v>
      </c>
      <c r="S30" s="27">
        <v>1.0298020000000001</v>
      </c>
      <c r="T30" s="22">
        <v>0.93910000000000005</v>
      </c>
      <c r="U30" s="8">
        <v>1.0209999999999999</v>
      </c>
      <c r="V30" s="16">
        <v>0.95760000000000001</v>
      </c>
      <c r="W30" s="52">
        <v>0.9597800000000003</v>
      </c>
      <c r="X30" s="52">
        <v>0.80369999999999997</v>
      </c>
    </row>
    <row r="31" spans="1:24" ht="22.5" customHeight="1" thickTop="1" thickBot="1">
      <c r="A31" s="38">
        <v>30</v>
      </c>
      <c r="B31" s="28">
        <v>0.77529999999999999</v>
      </c>
      <c r="C31" s="28">
        <v>1.1051</v>
      </c>
      <c r="D31" s="28">
        <v>1.022</v>
      </c>
      <c r="E31" s="18">
        <v>0.77759999999999996</v>
      </c>
      <c r="F31" s="16">
        <v>0.92340999999999995</v>
      </c>
      <c r="G31" s="18">
        <v>0.95469999999999999</v>
      </c>
      <c r="H31" s="18">
        <v>0.91</v>
      </c>
      <c r="I31" s="18">
        <v>1.0367</v>
      </c>
      <c r="J31" s="18">
        <v>0.97230000000000005</v>
      </c>
      <c r="K31" s="39">
        <v>0.93600000000000005</v>
      </c>
      <c r="L31" s="18">
        <v>0.93200000000000005</v>
      </c>
      <c r="M31" s="40">
        <v>0.86990000000000001</v>
      </c>
      <c r="N31" s="18">
        <v>0.93</v>
      </c>
      <c r="O31" s="18">
        <v>0.92200000000000004</v>
      </c>
      <c r="P31" s="16">
        <v>0.92508999999999997</v>
      </c>
      <c r="Q31" s="27">
        <v>0.94333</v>
      </c>
      <c r="R31" s="41">
        <v>0.79459999999999997</v>
      </c>
      <c r="S31" s="18">
        <v>1.0289999999999999</v>
      </c>
      <c r="T31" s="16">
        <v>0.93810000000000004</v>
      </c>
      <c r="U31" s="16">
        <v>1.02</v>
      </c>
      <c r="V31" s="16">
        <v>0.95760000000000001</v>
      </c>
      <c r="W31" s="52">
        <v>0.95919000000000032</v>
      </c>
      <c r="X31" s="52">
        <v>0.80335999999999996</v>
      </c>
    </row>
    <row r="32" spans="1:24" ht="22.5" customHeight="1" thickTop="1" thickBot="1">
      <c r="A32" s="42">
        <v>31</v>
      </c>
      <c r="B32" s="43">
        <v>0.77439999999999998</v>
      </c>
      <c r="C32" s="43">
        <v>1.1041000000000001</v>
      </c>
      <c r="D32" s="43">
        <v>1.0210999999999999</v>
      </c>
      <c r="E32" s="22">
        <v>0.77644999999999997</v>
      </c>
      <c r="F32" s="22">
        <v>0.92235</v>
      </c>
      <c r="G32" s="22">
        <v>0.95370999999999995</v>
      </c>
      <c r="H32" s="22">
        <v>0.90905000000000002</v>
      </c>
      <c r="I32" s="22">
        <v>1.0356000000000001</v>
      </c>
      <c r="J32" s="22">
        <v>0.97140000000000004</v>
      </c>
      <c r="K32" s="35">
        <v>0.93510000000000004</v>
      </c>
      <c r="L32" s="22">
        <v>0.93100000000000005</v>
      </c>
      <c r="M32" s="44">
        <v>0.86887000000000003</v>
      </c>
      <c r="N32" s="22">
        <v>0.93</v>
      </c>
      <c r="O32" s="22">
        <v>0.92279999999999995</v>
      </c>
      <c r="P32" s="22">
        <v>0.92406999999999995</v>
      </c>
      <c r="Q32" s="27">
        <v>0.94257999999999997</v>
      </c>
      <c r="R32" s="31">
        <v>0.79379999999999995</v>
      </c>
      <c r="S32" s="22">
        <v>1.028268</v>
      </c>
      <c r="T32" s="22">
        <v>0.93710000000000004</v>
      </c>
      <c r="U32" s="8">
        <v>1.0189999999999999</v>
      </c>
      <c r="V32" s="16">
        <v>0.95760000000000001</v>
      </c>
      <c r="W32" s="52">
        <v>0.95860000000000034</v>
      </c>
      <c r="X32" s="52">
        <v>0.80249999999999999</v>
      </c>
    </row>
    <row r="33" spans="1:24" ht="22.5" customHeight="1" thickTop="1" thickBot="1">
      <c r="A33" s="26">
        <v>32</v>
      </c>
      <c r="B33" s="27">
        <v>0.77349999999999997</v>
      </c>
      <c r="C33" s="27">
        <v>1.103</v>
      </c>
      <c r="D33" s="27">
        <v>1.0202</v>
      </c>
      <c r="E33" s="27">
        <v>0.77532000000000001</v>
      </c>
      <c r="F33" s="27">
        <v>0.9214</v>
      </c>
      <c r="G33" s="27">
        <v>0.95264000000000004</v>
      </c>
      <c r="H33" s="27">
        <v>0.90808</v>
      </c>
      <c r="I33" s="27">
        <v>1.0345</v>
      </c>
      <c r="J33" s="27">
        <v>0.97060000000000002</v>
      </c>
      <c r="K33" s="36">
        <v>0.93420000000000003</v>
      </c>
      <c r="L33" s="27">
        <v>0.93</v>
      </c>
      <c r="M33" s="45">
        <v>0.86782000000000004</v>
      </c>
      <c r="N33" s="27">
        <v>0.93</v>
      </c>
      <c r="O33" s="27">
        <v>0.92200000000000004</v>
      </c>
      <c r="P33" s="27">
        <v>0.92298000000000002</v>
      </c>
      <c r="Q33" s="27">
        <v>0.94189999999999996</v>
      </c>
      <c r="R33" s="37">
        <v>0.79300000000000004</v>
      </c>
      <c r="S33" s="27">
        <v>1.027536</v>
      </c>
      <c r="T33" s="22">
        <v>0.93600000000000005</v>
      </c>
      <c r="U33" s="8">
        <v>1.018</v>
      </c>
      <c r="V33" s="16">
        <v>0.95760000000000001</v>
      </c>
      <c r="W33" s="52">
        <v>0.95801000000000036</v>
      </c>
      <c r="X33" s="52">
        <v>0.80159999999999998</v>
      </c>
    </row>
    <row r="34" spans="1:24" ht="22.5" customHeight="1" thickTop="1" thickBot="1">
      <c r="A34" s="26">
        <v>33</v>
      </c>
      <c r="B34" s="27">
        <v>0.77270000000000005</v>
      </c>
      <c r="C34" s="27">
        <v>1.1020000000000001</v>
      </c>
      <c r="D34" s="27">
        <v>1.0194000000000001</v>
      </c>
      <c r="E34" s="27">
        <v>0.77419000000000004</v>
      </c>
      <c r="F34" s="27">
        <v>0.92042999999999997</v>
      </c>
      <c r="G34" s="27">
        <v>0.95157000000000003</v>
      </c>
      <c r="H34" s="27">
        <v>0.90710999999999997</v>
      </c>
      <c r="I34" s="27">
        <v>1.0334000000000001</v>
      </c>
      <c r="J34" s="27">
        <v>0.9698</v>
      </c>
      <c r="K34" s="36">
        <v>0.93330000000000002</v>
      </c>
      <c r="L34" s="27">
        <v>0.92900000000000005</v>
      </c>
      <c r="M34" s="45">
        <v>0.86677000000000004</v>
      </c>
      <c r="N34" s="27">
        <v>0.93</v>
      </c>
      <c r="O34" s="27">
        <v>0.92120000000000002</v>
      </c>
      <c r="P34" s="27">
        <v>0.92198999999999998</v>
      </c>
      <c r="Q34" s="27">
        <v>0.94125000000000003</v>
      </c>
      <c r="R34" s="37">
        <v>0.7923</v>
      </c>
      <c r="S34" s="27">
        <v>1.0268040000000001</v>
      </c>
      <c r="T34" s="22">
        <v>0.93500000000000005</v>
      </c>
      <c r="U34" s="8">
        <v>1.0169999999999999</v>
      </c>
      <c r="V34" s="16">
        <v>0.95760000000000001</v>
      </c>
      <c r="W34" s="52">
        <v>0.95742000000000038</v>
      </c>
      <c r="X34" s="52">
        <v>0.80069999999999997</v>
      </c>
    </row>
    <row r="35" spans="1:24" ht="22.5" customHeight="1" thickTop="1" thickBot="1">
      <c r="A35" s="26">
        <v>34</v>
      </c>
      <c r="B35" s="27">
        <v>0.77180000000000004</v>
      </c>
      <c r="C35" s="27">
        <v>1.1009</v>
      </c>
      <c r="D35" s="27">
        <v>1.0185</v>
      </c>
      <c r="E35" s="27">
        <v>0.77305999999999997</v>
      </c>
      <c r="F35" s="27">
        <v>0.91946000000000006</v>
      </c>
      <c r="G35" s="27">
        <v>0.95050000000000001</v>
      </c>
      <c r="H35" s="27">
        <v>0.90613999999999995</v>
      </c>
      <c r="I35" s="27">
        <v>1.0322</v>
      </c>
      <c r="J35" s="27">
        <v>0.96899999999999997</v>
      </c>
      <c r="K35" s="36">
        <v>0.93240000000000001</v>
      </c>
      <c r="L35" s="27">
        <v>0.92800000000000005</v>
      </c>
      <c r="M35" s="45">
        <v>0.86572000000000005</v>
      </c>
      <c r="N35" s="27">
        <v>0.93</v>
      </c>
      <c r="O35" s="27">
        <v>0.9204</v>
      </c>
      <c r="P35" s="27">
        <v>0.92093999999999998</v>
      </c>
      <c r="Q35" s="27">
        <v>0.94059000000000004</v>
      </c>
      <c r="R35" s="37">
        <v>0.79159999999999997</v>
      </c>
      <c r="S35" s="27">
        <f>S34-0.000732</f>
        <v>1.0260720000000001</v>
      </c>
      <c r="T35" s="22">
        <v>0.93400000000000005</v>
      </c>
      <c r="U35" s="8">
        <v>1.016</v>
      </c>
      <c r="V35" s="16">
        <v>0.95760000000000001</v>
      </c>
      <c r="W35" s="52">
        <v>0.9568300000000004</v>
      </c>
      <c r="X35" s="52">
        <v>0.79979999999999996</v>
      </c>
    </row>
    <row r="36" spans="1:24" ht="22.5" customHeight="1" thickTop="1" thickBot="1">
      <c r="A36" s="46">
        <v>35</v>
      </c>
      <c r="B36" s="18">
        <v>0.77090000000000003</v>
      </c>
      <c r="C36" s="18">
        <v>1.0999000000000001</v>
      </c>
      <c r="D36" s="18">
        <v>1.0176000000000001</v>
      </c>
      <c r="E36" s="18">
        <v>0.77193000000000001</v>
      </c>
      <c r="F36" s="16">
        <v>0.91851000000000005</v>
      </c>
      <c r="G36" s="18">
        <v>0.94943</v>
      </c>
      <c r="H36" s="18">
        <v>0.90517000000000003</v>
      </c>
      <c r="I36" s="18">
        <v>1.0310999999999999</v>
      </c>
      <c r="J36" s="18">
        <v>0.96819999999999995</v>
      </c>
      <c r="K36" s="39">
        <v>0.93149999999999999</v>
      </c>
      <c r="L36" s="18">
        <v>0.92700000000000005</v>
      </c>
      <c r="M36" s="40">
        <v>0.86467000000000005</v>
      </c>
      <c r="N36" s="18">
        <v>0.93</v>
      </c>
      <c r="O36" s="18">
        <v>0.91959999999999997</v>
      </c>
      <c r="P36" s="16">
        <v>0.91995000000000005</v>
      </c>
      <c r="Q36" s="27">
        <v>0.93994</v>
      </c>
      <c r="R36" s="41">
        <v>0.79079999999999995</v>
      </c>
      <c r="S36" s="18">
        <f>S35-0.000732</f>
        <v>1.0253400000000001</v>
      </c>
      <c r="T36" s="16">
        <v>0.93300000000000005</v>
      </c>
      <c r="U36" s="16">
        <v>1.0149999999999999</v>
      </c>
      <c r="V36" s="16">
        <v>0.95760000000000001</v>
      </c>
      <c r="W36" s="52">
        <v>0.95624000000000042</v>
      </c>
      <c r="X36" s="52">
        <v>0.79900000000000004</v>
      </c>
    </row>
    <row r="37" spans="1:24" ht="22.5" customHeight="1" thickTop="1" thickBot="1">
      <c r="A37" s="21">
        <v>36</v>
      </c>
      <c r="B37" s="22">
        <v>0.77</v>
      </c>
      <c r="C37" s="22">
        <v>1.0988</v>
      </c>
      <c r="D37" s="22">
        <v>1.0166999999999999</v>
      </c>
      <c r="E37" s="22">
        <v>0.77080000000000004</v>
      </c>
      <c r="F37" s="22">
        <v>0.91754999999999998</v>
      </c>
      <c r="G37" s="22">
        <v>0.94835999999999998</v>
      </c>
      <c r="H37" s="22">
        <v>0.9042</v>
      </c>
      <c r="I37" s="22">
        <v>1.03</v>
      </c>
      <c r="J37" s="22">
        <v>0.96730000000000005</v>
      </c>
      <c r="K37" s="35">
        <v>0.93059999999999998</v>
      </c>
      <c r="L37" s="22">
        <v>0.92600000000000005</v>
      </c>
      <c r="M37" s="44">
        <v>0.86362000000000005</v>
      </c>
      <c r="N37" s="22">
        <v>0.93</v>
      </c>
      <c r="O37" s="22">
        <v>0.91879999999999995</v>
      </c>
      <c r="P37" s="22">
        <v>0.91888999999999998</v>
      </c>
      <c r="Q37" s="27">
        <v>0.93930000000000002</v>
      </c>
      <c r="R37" s="31">
        <v>0.79008</v>
      </c>
      <c r="S37" s="22">
        <f t="shared" ref="S37:S51" si="0">S36-0.000732</f>
        <v>1.0246080000000002</v>
      </c>
      <c r="T37" s="22">
        <v>0.93194666666666703</v>
      </c>
      <c r="U37" s="8">
        <v>1.0142</v>
      </c>
      <c r="V37" s="16">
        <v>0.95760000000000001</v>
      </c>
      <c r="W37" s="52">
        <v>0.95565000000000044</v>
      </c>
      <c r="X37" s="52">
        <v>0.7984</v>
      </c>
    </row>
    <row r="38" spans="1:24" ht="22.5" customHeight="1" thickTop="1" thickBot="1">
      <c r="A38" s="26">
        <v>37</v>
      </c>
      <c r="B38" s="27">
        <v>0.76910000000000001</v>
      </c>
      <c r="C38" s="27">
        <v>1.0978000000000001</v>
      </c>
      <c r="D38" s="27">
        <v>1.0158</v>
      </c>
      <c r="E38" s="27">
        <v>0.76929999999999998</v>
      </c>
      <c r="F38" s="27">
        <v>0.91654000000000002</v>
      </c>
      <c r="G38" s="27">
        <v>0.94699999999999995</v>
      </c>
      <c r="H38" s="27">
        <v>0.90310000000000001</v>
      </c>
      <c r="I38" s="27">
        <v>1.0288999999999999</v>
      </c>
      <c r="J38" s="27">
        <v>0.96650000000000003</v>
      </c>
      <c r="K38" s="36">
        <v>0.92979999999999996</v>
      </c>
      <c r="L38" s="27">
        <v>0.92500000000000004</v>
      </c>
      <c r="M38" s="45">
        <v>0.86270000000000002</v>
      </c>
      <c r="N38" s="27">
        <v>0.92600000000000005</v>
      </c>
      <c r="O38" s="27">
        <v>0.92200000000000004</v>
      </c>
      <c r="P38" s="27">
        <v>0.91785000000000005</v>
      </c>
      <c r="Q38" s="27">
        <v>0.93864999999999998</v>
      </c>
      <c r="R38" s="37">
        <v>0.78934000000000004</v>
      </c>
      <c r="S38" s="27">
        <f t="shared" si="0"/>
        <v>1.0238760000000002</v>
      </c>
      <c r="T38" s="22">
        <v>0.930922424242424</v>
      </c>
      <c r="U38" s="8">
        <v>1.0134000000000001</v>
      </c>
      <c r="V38" s="16">
        <v>0.95760000000000001</v>
      </c>
      <c r="W38" s="52">
        <v>0.95506000000000046</v>
      </c>
      <c r="X38" s="52">
        <v>0.79779999999999995</v>
      </c>
    </row>
    <row r="39" spans="1:24" ht="22.5" customHeight="1" thickTop="1" thickBot="1">
      <c r="A39" s="26">
        <v>38</v>
      </c>
      <c r="B39" s="27">
        <v>0.76829999999999998</v>
      </c>
      <c r="C39" s="27">
        <v>1.0967</v>
      </c>
      <c r="D39" s="27">
        <v>1.0149999999999999</v>
      </c>
      <c r="E39" s="27">
        <v>0.7681</v>
      </c>
      <c r="F39" s="27">
        <v>0.91556999999999999</v>
      </c>
      <c r="G39" s="27">
        <v>0.94589999999999996</v>
      </c>
      <c r="H39" s="27">
        <v>0.90210000000000001</v>
      </c>
      <c r="I39" s="27">
        <v>1.0278</v>
      </c>
      <c r="J39" s="27">
        <v>0.9657</v>
      </c>
      <c r="K39" s="36">
        <v>0.92889999999999995</v>
      </c>
      <c r="L39" s="27">
        <v>0.92400000000000004</v>
      </c>
      <c r="M39" s="45">
        <v>0.86170000000000002</v>
      </c>
      <c r="N39" s="27">
        <v>0.92600000000000005</v>
      </c>
      <c r="O39" s="27">
        <v>0.92200000000000004</v>
      </c>
      <c r="P39" s="27">
        <v>0.91686000000000001</v>
      </c>
      <c r="Q39" s="27">
        <v>0.93801999999999996</v>
      </c>
      <c r="R39" s="37">
        <v>0.78859999999999997</v>
      </c>
      <c r="S39" s="27">
        <f t="shared" si="0"/>
        <v>1.0231440000000003</v>
      </c>
      <c r="T39" s="22">
        <v>0.92989818181818196</v>
      </c>
      <c r="U39" s="8">
        <v>1.0125999999999999</v>
      </c>
      <c r="V39" s="16">
        <v>0.95760000000000001</v>
      </c>
      <c r="W39" s="52">
        <v>0.95447000000000048</v>
      </c>
      <c r="X39" s="52">
        <v>0.79720000000000002</v>
      </c>
    </row>
    <row r="40" spans="1:24" ht="22.5" customHeight="1" thickTop="1" thickBot="1">
      <c r="A40" s="26">
        <v>39</v>
      </c>
      <c r="B40" s="27">
        <v>0.76739999999999997</v>
      </c>
      <c r="C40" s="27">
        <v>1.0956999999999999</v>
      </c>
      <c r="D40" s="27">
        <v>1.0141</v>
      </c>
      <c r="E40" s="27">
        <v>0.76700000000000002</v>
      </c>
      <c r="F40" s="27">
        <v>0.91459999999999997</v>
      </c>
      <c r="G40" s="27">
        <v>0.94489999999999996</v>
      </c>
      <c r="H40" s="27">
        <v>0.90110000000000001</v>
      </c>
      <c r="I40" s="27">
        <v>1.0266</v>
      </c>
      <c r="J40" s="27">
        <v>0.96489999999999998</v>
      </c>
      <c r="K40" s="36">
        <v>0.92810000000000004</v>
      </c>
      <c r="L40" s="27">
        <v>0.92300000000000004</v>
      </c>
      <c r="M40" s="45">
        <v>0.86070000000000002</v>
      </c>
      <c r="N40" s="27">
        <v>0.92600000000000005</v>
      </c>
      <c r="O40" s="27">
        <v>0.92200000000000004</v>
      </c>
      <c r="P40" s="27">
        <v>0.91579999999999995</v>
      </c>
      <c r="Q40" s="27">
        <v>0.93740000000000001</v>
      </c>
      <c r="R40" s="37">
        <v>0.78786</v>
      </c>
      <c r="S40" s="27">
        <f t="shared" si="0"/>
        <v>1.0224120000000003</v>
      </c>
      <c r="T40" s="22">
        <v>0.92887393939393903</v>
      </c>
      <c r="U40" s="8">
        <v>1.0118</v>
      </c>
      <c r="V40" s="16">
        <v>0.95760000000000001</v>
      </c>
      <c r="W40" s="52">
        <v>0.95388000000000051</v>
      </c>
      <c r="X40" s="52">
        <v>0.79659999999999997</v>
      </c>
    </row>
    <row r="41" spans="1:24" ht="22.5" customHeight="1" thickTop="1" thickBot="1">
      <c r="A41" s="46">
        <v>40</v>
      </c>
      <c r="B41" s="18">
        <v>0.76649999999999996</v>
      </c>
      <c r="C41" s="18">
        <v>1.0946</v>
      </c>
      <c r="D41" s="18">
        <v>1.0132000000000001</v>
      </c>
      <c r="E41" s="18">
        <v>0.76580000000000004</v>
      </c>
      <c r="F41" s="16">
        <v>0.91366000000000003</v>
      </c>
      <c r="G41" s="18">
        <v>0.94389999999999996</v>
      </c>
      <c r="H41" s="18">
        <v>0.9002</v>
      </c>
      <c r="I41" s="18">
        <v>1.0255000000000001</v>
      </c>
      <c r="J41" s="18">
        <v>0.96409999999999996</v>
      </c>
      <c r="K41" s="39">
        <v>0.92720000000000002</v>
      </c>
      <c r="L41" s="18">
        <v>0.92200000000000004</v>
      </c>
      <c r="M41" s="40">
        <v>0.85970000000000002</v>
      </c>
      <c r="N41" s="18">
        <v>0.92600000000000005</v>
      </c>
      <c r="O41" s="18">
        <v>0.92200000000000004</v>
      </c>
      <c r="P41" s="16">
        <v>0.91478000000000004</v>
      </c>
      <c r="Q41" s="27">
        <v>0.93681999999999999</v>
      </c>
      <c r="R41" s="41">
        <v>0.78712000000000004</v>
      </c>
      <c r="S41" s="18">
        <f t="shared" si="0"/>
        <v>1.0216800000000004</v>
      </c>
      <c r="T41" s="16">
        <v>0.92784969696969699</v>
      </c>
      <c r="U41" s="16">
        <v>1.0109999999999999</v>
      </c>
      <c r="V41" s="16">
        <v>0.95760000000000001</v>
      </c>
      <c r="W41" s="52">
        <v>0.95329000000000053</v>
      </c>
      <c r="X41" s="52">
        <v>0.79620000000000002</v>
      </c>
    </row>
    <row r="42" spans="1:24" ht="22.5" customHeight="1" thickTop="1" thickBot="1">
      <c r="A42" s="21">
        <v>41</v>
      </c>
      <c r="B42" s="22">
        <v>0.76559999999999995</v>
      </c>
      <c r="C42" s="22">
        <v>1.0935999999999999</v>
      </c>
      <c r="D42" s="22">
        <v>1.0123</v>
      </c>
      <c r="E42" s="22">
        <v>0.76459999999999995</v>
      </c>
      <c r="F42" s="22">
        <v>0.91269</v>
      </c>
      <c r="G42" s="22">
        <v>0.94289999999999996</v>
      </c>
      <c r="H42" s="22">
        <v>0.8992</v>
      </c>
      <c r="I42" s="22">
        <v>1.0244</v>
      </c>
      <c r="J42" s="22">
        <v>0.96330000000000005</v>
      </c>
      <c r="K42" s="22">
        <v>0.9264</v>
      </c>
      <c r="L42" s="22">
        <v>0.92100000000000004</v>
      </c>
      <c r="M42" s="44">
        <v>0.85870000000000002</v>
      </c>
      <c r="N42" s="22">
        <v>0.92600000000000005</v>
      </c>
      <c r="O42" s="22">
        <v>0.92200000000000004</v>
      </c>
      <c r="P42" s="22">
        <v>0.91374999999999995</v>
      </c>
      <c r="Q42" s="27">
        <v>0.93681999999999999</v>
      </c>
      <c r="R42" s="31">
        <v>0.78637999999999997</v>
      </c>
      <c r="S42" s="22">
        <f t="shared" si="0"/>
        <v>1.0209480000000004</v>
      </c>
      <c r="T42" s="22">
        <v>0.92682545454545395</v>
      </c>
      <c r="U42" s="8">
        <v>1.0098</v>
      </c>
      <c r="V42" s="16">
        <v>0.95760000000000001</v>
      </c>
      <c r="W42" s="52">
        <v>0.95329000000000053</v>
      </c>
      <c r="X42" s="52">
        <v>0.79620000000000002</v>
      </c>
    </row>
    <row r="43" spans="1:24" ht="22.5" customHeight="1" thickTop="1" thickBot="1">
      <c r="A43" s="26">
        <v>42</v>
      </c>
      <c r="B43" s="27">
        <v>0.76470000000000005</v>
      </c>
      <c r="C43" s="27">
        <v>1.0925</v>
      </c>
      <c r="D43" s="27">
        <v>1.0114000000000001</v>
      </c>
      <c r="E43" s="27">
        <v>0.76349999999999996</v>
      </c>
      <c r="F43" s="27">
        <v>0.91171999999999997</v>
      </c>
      <c r="G43" s="22">
        <v>0.94189999999999996</v>
      </c>
      <c r="H43" s="22">
        <v>0.8982</v>
      </c>
      <c r="I43" s="22">
        <v>1.0233000000000001</v>
      </c>
      <c r="J43" s="27">
        <v>0.96250000000000002</v>
      </c>
      <c r="K43" s="22">
        <v>0.92549999999999999</v>
      </c>
      <c r="L43" s="22">
        <v>0.92</v>
      </c>
      <c r="M43" s="45">
        <v>0.85770000000000002</v>
      </c>
      <c r="N43" s="22">
        <v>0.92600000000000005</v>
      </c>
      <c r="O43" s="27">
        <v>0.92200000000000004</v>
      </c>
      <c r="P43" s="27">
        <v>0.91273000000000004</v>
      </c>
      <c r="Q43" s="27">
        <v>0.93681999999999999</v>
      </c>
      <c r="R43" s="37">
        <v>0.78564000000000001</v>
      </c>
      <c r="S43" s="27">
        <f t="shared" si="0"/>
        <v>1.0202160000000005</v>
      </c>
      <c r="T43" s="22">
        <v>0.92580121212121202</v>
      </c>
      <c r="U43" s="8">
        <v>1.0085999999999999</v>
      </c>
      <c r="V43" s="16">
        <v>0.95760000000000001</v>
      </c>
      <c r="W43" s="52">
        <v>0.95329000000000053</v>
      </c>
      <c r="X43" s="52">
        <v>0.79620000000000002</v>
      </c>
    </row>
    <row r="44" spans="1:24" ht="22.5" customHeight="1" thickTop="1" thickBot="1">
      <c r="A44" s="26">
        <v>43</v>
      </c>
      <c r="B44" s="27">
        <v>0.76390000000000002</v>
      </c>
      <c r="C44" s="27">
        <v>1.0914999999999999</v>
      </c>
      <c r="D44" s="27">
        <v>1.0105999999999999</v>
      </c>
      <c r="E44" s="27">
        <v>0.76229999999999998</v>
      </c>
      <c r="F44" s="27">
        <v>0.91073000000000004</v>
      </c>
      <c r="G44" s="27">
        <v>0.94089999999999996</v>
      </c>
      <c r="H44" s="27">
        <v>0.8972</v>
      </c>
      <c r="I44" s="27">
        <v>1.0222</v>
      </c>
      <c r="J44" s="27">
        <v>0.9617</v>
      </c>
      <c r="K44" s="27">
        <v>0.92459999999999998</v>
      </c>
      <c r="L44" s="27">
        <v>0.91900000000000004</v>
      </c>
      <c r="M44" s="45">
        <v>0.85670000000000002</v>
      </c>
      <c r="N44" s="22">
        <v>0.92600000000000005</v>
      </c>
      <c r="O44" s="27">
        <v>0.92200000000000004</v>
      </c>
      <c r="P44" s="27">
        <v>0.91168000000000005</v>
      </c>
      <c r="Q44" s="27">
        <v>0.93681999999999999</v>
      </c>
      <c r="R44" s="37">
        <v>0.78490000000000004</v>
      </c>
      <c r="S44" s="27">
        <f t="shared" si="0"/>
        <v>1.0194840000000005</v>
      </c>
      <c r="T44" s="22">
        <v>0.92477696969696899</v>
      </c>
      <c r="U44" s="8">
        <v>1.0074000000000001</v>
      </c>
      <c r="V44" s="16">
        <v>0.95760000000000001</v>
      </c>
      <c r="W44" s="52">
        <v>0.95329000000000053</v>
      </c>
      <c r="X44" s="52">
        <v>0.79620000000000002</v>
      </c>
    </row>
    <row r="45" spans="1:24" ht="22.5" customHeight="1" thickTop="1" thickBot="1">
      <c r="A45" s="26">
        <v>44</v>
      </c>
      <c r="B45" s="27">
        <v>0.76300000000000001</v>
      </c>
      <c r="C45" s="27">
        <v>1.0904</v>
      </c>
      <c r="D45" s="27">
        <v>1.0097</v>
      </c>
      <c r="E45" s="27">
        <v>0.76119999999999999</v>
      </c>
      <c r="F45" s="27">
        <v>0.90983999999999998</v>
      </c>
      <c r="G45" s="27">
        <v>0.93389999999999995</v>
      </c>
      <c r="H45" s="22">
        <v>0.8962</v>
      </c>
      <c r="I45" s="22">
        <v>1.0209999999999999</v>
      </c>
      <c r="J45" s="27">
        <v>0.96089999999999998</v>
      </c>
      <c r="K45" s="27">
        <v>0.92369999999999997</v>
      </c>
      <c r="L45" s="27">
        <v>0.91800000000000004</v>
      </c>
      <c r="M45" s="45">
        <v>0.85570000000000002</v>
      </c>
      <c r="N45" s="22">
        <v>0.92600000000000005</v>
      </c>
      <c r="O45" s="27">
        <v>0.92200000000000004</v>
      </c>
      <c r="P45" s="27">
        <v>0.91064999999999996</v>
      </c>
      <c r="Q45" s="27">
        <v>0.93681999999999999</v>
      </c>
      <c r="R45" s="37">
        <v>0.78415999999999997</v>
      </c>
      <c r="S45" s="27">
        <f t="shared" si="0"/>
        <v>1.0187520000000005</v>
      </c>
      <c r="T45" s="22">
        <v>0.92375272727272695</v>
      </c>
      <c r="U45" s="8">
        <v>1.0062</v>
      </c>
      <c r="V45" s="16">
        <v>0.95760000000000001</v>
      </c>
      <c r="W45" s="52">
        <v>0.95329000000000053</v>
      </c>
      <c r="X45" s="52">
        <v>0.79620000000000002</v>
      </c>
    </row>
    <row r="46" spans="1:24" ht="22.5" customHeight="1" thickTop="1" thickBot="1">
      <c r="A46" s="46">
        <v>45</v>
      </c>
      <c r="B46" s="18">
        <v>0.7621</v>
      </c>
      <c r="C46" s="18">
        <v>1.0893999999999999</v>
      </c>
      <c r="D46" s="18">
        <v>1.0087999999999999</v>
      </c>
      <c r="E46" s="18">
        <v>0.76</v>
      </c>
      <c r="F46" s="16">
        <v>0.90878000000000003</v>
      </c>
      <c r="G46" s="18">
        <v>0.93889999999999996</v>
      </c>
      <c r="H46" s="18">
        <v>0.8952</v>
      </c>
      <c r="I46" s="18">
        <v>1.0199</v>
      </c>
      <c r="J46" s="18">
        <v>0.96009999999999995</v>
      </c>
      <c r="K46" s="18">
        <v>0.92279999999999995</v>
      </c>
      <c r="L46" s="18">
        <v>0.91700000000000004</v>
      </c>
      <c r="M46" s="40">
        <v>0.85470000000000002</v>
      </c>
      <c r="N46" s="16">
        <v>0.92600000000000005</v>
      </c>
      <c r="O46" s="18">
        <v>0.92200000000000004</v>
      </c>
      <c r="P46" s="16">
        <v>0.90963000000000005</v>
      </c>
      <c r="Q46" s="27">
        <v>0.93681999999999999</v>
      </c>
      <c r="R46" s="41">
        <v>0.78342000000000001</v>
      </c>
      <c r="S46" s="18">
        <f t="shared" si="0"/>
        <v>1.0180200000000006</v>
      </c>
      <c r="T46" s="16">
        <v>0.92272848484848502</v>
      </c>
      <c r="U46" s="16">
        <v>1.0049999999999999</v>
      </c>
      <c r="V46" s="16">
        <v>0.95760000000000001</v>
      </c>
      <c r="W46" s="52">
        <v>0.95329000000000053</v>
      </c>
      <c r="X46" s="52">
        <v>0.79620000000000002</v>
      </c>
    </row>
    <row r="47" spans="1:24" ht="17.399999999999999" thickTop="1" thickBot="1">
      <c r="A47" s="47">
        <v>46</v>
      </c>
      <c r="B47" s="22">
        <v>0.76124999999999998</v>
      </c>
      <c r="C47" s="22">
        <v>1.08833</v>
      </c>
      <c r="D47" s="22">
        <v>1.0079499999999999</v>
      </c>
      <c r="E47" s="22">
        <v>0.75887000000000004</v>
      </c>
      <c r="F47" s="22">
        <v>0.90781999999999996</v>
      </c>
      <c r="G47" s="22">
        <v>0.93489999999999995</v>
      </c>
      <c r="H47" s="22">
        <v>0.89419999999999999</v>
      </c>
      <c r="I47" s="22">
        <v>1.0187999999999999</v>
      </c>
      <c r="J47" s="22">
        <v>0.95930000000000004</v>
      </c>
      <c r="K47" s="22">
        <v>0.92190000000000005</v>
      </c>
      <c r="L47" s="22">
        <v>0.91600000000000004</v>
      </c>
      <c r="M47" s="44">
        <v>0.85370000000000001</v>
      </c>
      <c r="N47" s="22">
        <v>0.92600000000000005</v>
      </c>
      <c r="O47" s="22">
        <v>0.92200000000000004</v>
      </c>
      <c r="P47" s="22">
        <v>0.90856000000000003</v>
      </c>
      <c r="Q47" s="27">
        <v>0.93681999999999999</v>
      </c>
      <c r="R47" s="31">
        <v>0.78268000000000004</v>
      </c>
      <c r="S47" s="22">
        <f t="shared" si="0"/>
        <v>1.0172880000000006</v>
      </c>
      <c r="T47" s="22">
        <v>0.92170424242424398</v>
      </c>
      <c r="U47" s="8">
        <v>1.0038</v>
      </c>
      <c r="V47" s="16">
        <v>0.95760000000000001</v>
      </c>
      <c r="W47" s="52">
        <v>0.95329000000000053</v>
      </c>
      <c r="X47" s="52">
        <v>0.79620000000000002</v>
      </c>
    </row>
    <row r="48" spans="1:24" ht="17.399999999999999" thickTop="1" thickBot="1">
      <c r="A48" s="47">
        <v>47</v>
      </c>
      <c r="B48" s="27">
        <v>0.76037999999999994</v>
      </c>
      <c r="C48" s="27">
        <v>1.08728</v>
      </c>
      <c r="D48" s="27">
        <v>1.00708</v>
      </c>
      <c r="E48" s="27">
        <v>0.75771999999999995</v>
      </c>
      <c r="F48" s="27">
        <v>0.90683000000000002</v>
      </c>
      <c r="G48" s="22">
        <v>0.93330000000000002</v>
      </c>
      <c r="H48" s="22">
        <v>0.89319999999999999</v>
      </c>
      <c r="I48" s="22">
        <v>1.0177</v>
      </c>
      <c r="J48" s="27">
        <v>0.95850000000000002</v>
      </c>
      <c r="K48" s="22">
        <v>0.92100000000000004</v>
      </c>
      <c r="L48" s="22">
        <v>0.91500000000000004</v>
      </c>
      <c r="M48" s="45">
        <v>0.85270000000000001</v>
      </c>
      <c r="N48" s="22">
        <v>0.92600000000000005</v>
      </c>
      <c r="O48" s="27">
        <v>0.92200000000000004</v>
      </c>
      <c r="P48" s="27">
        <v>0.90751999999999999</v>
      </c>
      <c r="Q48" s="27">
        <v>0.93681999999999999</v>
      </c>
      <c r="R48" s="37">
        <v>0.78193999999999997</v>
      </c>
      <c r="S48" s="27">
        <f t="shared" si="0"/>
        <v>1.0165560000000007</v>
      </c>
      <c r="T48" s="22">
        <v>0.92068000000000205</v>
      </c>
      <c r="U48" s="8">
        <v>1.0025999999999999</v>
      </c>
      <c r="V48" s="16">
        <v>0.95760000000000001</v>
      </c>
      <c r="W48" s="52">
        <v>0.95329000000000053</v>
      </c>
      <c r="X48" s="52">
        <v>0.79620000000000002</v>
      </c>
    </row>
    <row r="49" spans="1:24" ht="17.399999999999999" thickTop="1" thickBot="1">
      <c r="A49" s="47">
        <v>48</v>
      </c>
      <c r="B49" s="27">
        <v>0.75951000000000002</v>
      </c>
      <c r="C49" s="27">
        <v>1.08623</v>
      </c>
      <c r="D49" s="27">
        <v>1.00621</v>
      </c>
      <c r="E49" s="27">
        <v>0.75656999999999996</v>
      </c>
      <c r="F49" s="27">
        <v>0.90585000000000004</v>
      </c>
      <c r="G49" s="27">
        <v>0.93169999999999997</v>
      </c>
      <c r="H49" s="27">
        <v>0.89219999999999999</v>
      </c>
      <c r="I49" s="27">
        <v>1.0165999999999999</v>
      </c>
      <c r="J49" s="27">
        <v>0.9577</v>
      </c>
      <c r="K49" s="27">
        <v>0.92010000000000003</v>
      </c>
      <c r="L49" s="27">
        <v>0.91400000000000003</v>
      </c>
      <c r="M49" s="45">
        <v>0.85170000000000001</v>
      </c>
      <c r="N49" s="22">
        <v>0.92600000000000005</v>
      </c>
      <c r="O49" s="27">
        <v>0.92200000000000004</v>
      </c>
      <c r="P49" s="27">
        <v>0.90647999999999995</v>
      </c>
      <c r="Q49" s="27">
        <v>0.93681999999999999</v>
      </c>
      <c r="R49" s="37">
        <v>0.78120000000000001</v>
      </c>
      <c r="S49" s="27">
        <f t="shared" si="0"/>
        <v>1.0158240000000007</v>
      </c>
      <c r="T49" s="22">
        <v>0.91965575757576001</v>
      </c>
      <c r="U49" s="8">
        <v>1.0014000000000001</v>
      </c>
      <c r="V49" s="16">
        <v>0.95760000000000001</v>
      </c>
      <c r="W49" s="52">
        <v>0.95329000000000053</v>
      </c>
      <c r="X49" s="52">
        <v>0.79620000000000002</v>
      </c>
    </row>
    <row r="50" spans="1:24" ht="17.399999999999999" thickTop="1" thickBot="1">
      <c r="A50" s="47">
        <v>49</v>
      </c>
      <c r="B50" s="27">
        <v>0.75863999999999998</v>
      </c>
      <c r="C50" s="27">
        <v>1.08518</v>
      </c>
      <c r="D50" s="27">
        <v>1.0053399999999999</v>
      </c>
      <c r="E50" s="27">
        <v>0.75541999999999998</v>
      </c>
      <c r="F50" s="27">
        <v>0.90488000000000002</v>
      </c>
      <c r="G50" s="27">
        <v>0.93010000000000004</v>
      </c>
      <c r="H50" s="22">
        <v>0.89119999999999999</v>
      </c>
      <c r="I50" s="22">
        <v>1.0154000000000001</v>
      </c>
      <c r="J50" s="27">
        <v>0.95689999999999997</v>
      </c>
      <c r="K50" s="27">
        <v>0.91920000000000002</v>
      </c>
      <c r="L50" s="27">
        <v>0.91300000000000003</v>
      </c>
      <c r="M50" s="45">
        <v>0.85070000000000001</v>
      </c>
      <c r="N50" s="22">
        <v>0.92600000000000005</v>
      </c>
      <c r="O50" s="27">
        <v>0.92200000000000004</v>
      </c>
      <c r="P50" s="27">
        <v>0.90542999999999996</v>
      </c>
      <c r="Q50" s="27">
        <v>0.93681999999999999</v>
      </c>
      <c r="R50" s="37">
        <v>0.78046000000000004</v>
      </c>
      <c r="S50" s="27">
        <f t="shared" si="0"/>
        <v>1.0150920000000008</v>
      </c>
      <c r="T50" s="22">
        <v>0.91863151515151897</v>
      </c>
      <c r="U50" s="8">
        <v>1.0002</v>
      </c>
      <c r="V50" s="16">
        <v>0.95760000000000001</v>
      </c>
      <c r="W50" s="52">
        <v>0.95329000000000053</v>
      </c>
      <c r="X50" s="52">
        <v>0.79620000000000002</v>
      </c>
    </row>
    <row r="51" spans="1:24" ht="17.399999999999999" thickTop="1" thickBot="1">
      <c r="A51" s="48">
        <v>50</v>
      </c>
      <c r="B51" s="18">
        <v>0.75777000000000005</v>
      </c>
      <c r="C51" s="18">
        <v>1.08413</v>
      </c>
      <c r="D51" s="18">
        <v>1.00447</v>
      </c>
      <c r="E51" s="18">
        <v>0.75427</v>
      </c>
      <c r="F51" s="16">
        <v>0.90390999999999999</v>
      </c>
      <c r="G51" s="18">
        <v>0.92849999999999999</v>
      </c>
      <c r="H51" s="18">
        <v>0.89019999999999999</v>
      </c>
      <c r="I51" s="18">
        <v>1.0143</v>
      </c>
      <c r="J51" s="18">
        <v>0.95609999999999995</v>
      </c>
      <c r="K51" s="18">
        <v>0.91830000000000001</v>
      </c>
      <c r="L51" s="18">
        <v>0.91200000000000003</v>
      </c>
      <c r="M51" s="40">
        <v>0.84970000000000001</v>
      </c>
      <c r="N51" s="16">
        <v>0.92600000000000005</v>
      </c>
      <c r="O51" s="18">
        <v>0.92200000000000004</v>
      </c>
      <c r="P51" s="16">
        <v>0.90439000000000003</v>
      </c>
      <c r="Q51" s="27">
        <v>0.93681999999999999</v>
      </c>
      <c r="R51" s="41">
        <v>0.77971999999999997</v>
      </c>
      <c r="S51" s="18">
        <f t="shared" si="0"/>
        <v>1.0143600000000008</v>
      </c>
      <c r="T51" s="16">
        <v>0.91760727272727705</v>
      </c>
      <c r="U51" s="16">
        <v>0.999</v>
      </c>
      <c r="V51" s="16">
        <v>0.95760000000000001</v>
      </c>
      <c r="W51" s="52">
        <v>0.95329000000000053</v>
      </c>
      <c r="X51" s="52">
        <v>0.79620000000000002</v>
      </c>
    </row>
    <row r="52" spans="1:24" ht="17.399999999999999" thickTop="1" thickBot="1">
      <c r="A52" s="48">
        <v>51</v>
      </c>
      <c r="B52" s="49"/>
      <c r="C52" s="49"/>
      <c r="D52" s="49"/>
      <c r="E52" s="49"/>
      <c r="F52" s="49"/>
      <c r="G52" s="49"/>
      <c r="H52" s="49"/>
      <c r="I52" s="49">
        <v>1.0132000000000001</v>
      </c>
      <c r="J52" s="49"/>
      <c r="U52" s="8"/>
    </row>
    <row r="53" spans="1:24" ht="17.399999999999999" thickTop="1" thickBot="1">
      <c r="A53" s="48">
        <v>52</v>
      </c>
      <c r="I53" s="47">
        <v>1.0121</v>
      </c>
      <c r="U53" s="8"/>
    </row>
    <row r="54" spans="1:24" ht="17.399999999999999" thickTop="1" thickBot="1">
      <c r="A54" s="48">
        <v>53</v>
      </c>
      <c r="I54" s="47">
        <v>1.0109999999999999</v>
      </c>
      <c r="U54" s="8"/>
    </row>
    <row r="55" spans="1:24" ht="17.399999999999999" thickTop="1" thickBot="1">
      <c r="A55" s="48">
        <v>54</v>
      </c>
      <c r="I55" s="47">
        <v>1.0098</v>
      </c>
      <c r="U55" s="8"/>
    </row>
    <row r="56" spans="1:24" ht="17.399999999999999" thickTop="1" thickBot="1">
      <c r="A56" s="48">
        <v>55</v>
      </c>
      <c r="I56" s="47">
        <v>1.0086999999999999</v>
      </c>
      <c r="U56" s="8"/>
    </row>
    <row r="57" spans="1:24" ht="17.399999999999999" thickTop="1" thickBot="1">
      <c r="A57" s="48">
        <v>56</v>
      </c>
      <c r="I57" s="47">
        <v>1.0076000000000001</v>
      </c>
      <c r="U57" s="8"/>
    </row>
    <row r="58" spans="1:24" ht="17.399999999999999" thickTop="1" thickBot="1">
      <c r="A58" s="48">
        <v>57</v>
      </c>
      <c r="I58" s="47">
        <v>1.0065</v>
      </c>
      <c r="U58" s="8"/>
    </row>
    <row r="59" spans="1:24" ht="17.399999999999999" thickTop="1" thickBot="1">
      <c r="A59" s="48">
        <v>58</v>
      </c>
      <c r="I59" s="47">
        <v>1.0054000000000001</v>
      </c>
      <c r="U59" s="8"/>
    </row>
    <row r="60" spans="1:24" ht="17.399999999999999" thickTop="1" thickBot="1">
      <c r="A60" s="48">
        <v>59</v>
      </c>
      <c r="I60" s="47">
        <v>1.0042</v>
      </c>
      <c r="U60" s="8"/>
    </row>
    <row r="61" spans="1:24" ht="17.399999999999999" thickTop="1" thickBot="1">
      <c r="A61" s="48">
        <v>60</v>
      </c>
      <c r="I61" s="47">
        <v>1.0031000000000001</v>
      </c>
      <c r="U61" s="8"/>
    </row>
    <row r="62" spans="1:24" ht="16.8" thickTop="1">
      <c r="U62" s="8"/>
    </row>
    <row r="63" spans="1:24">
      <c r="U63" s="8"/>
    </row>
    <row r="64" spans="1:24">
      <c r="U64" s="8"/>
    </row>
    <row r="65" spans="21:21">
      <c r="U65" s="8"/>
    </row>
    <row r="66" spans="21:21">
      <c r="U66" s="8"/>
    </row>
    <row r="67" spans="21:21">
      <c r="U67" s="8"/>
    </row>
    <row r="68" spans="21:21">
      <c r="U68" s="8"/>
    </row>
    <row r="69" spans="21:21">
      <c r="U69" s="8"/>
    </row>
    <row r="70" spans="21:21">
      <c r="U70" s="8"/>
    </row>
    <row r="71" spans="21:21">
      <c r="U71" s="8"/>
    </row>
    <row r="72" spans="21:21">
      <c r="U72" s="8"/>
    </row>
    <row r="73" spans="21:21">
      <c r="U73" s="8"/>
    </row>
    <row r="74" spans="21:21">
      <c r="U74" s="8"/>
    </row>
    <row r="75" spans="21:21">
      <c r="U75" s="8"/>
    </row>
    <row r="76" spans="21:21">
      <c r="U76" s="8"/>
    </row>
    <row r="77" spans="21:21">
      <c r="U77" s="8"/>
    </row>
    <row r="78" spans="21:21">
      <c r="U78" s="8"/>
    </row>
    <row r="79" spans="21:21">
      <c r="U79" s="8"/>
    </row>
    <row r="80" spans="21:21">
      <c r="U80" s="8"/>
    </row>
    <row r="81" spans="21:21">
      <c r="U81" s="8"/>
    </row>
    <row r="82" spans="21:21">
      <c r="U82" s="8"/>
    </row>
    <row r="83" spans="21:21">
      <c r="U83" s="8"/>
    </row>
    <row r="84" spans="21:21">
      <c r="U84" s="8"/>
    </row>
    <row r="85" spans="21:21">
      <c r="U85" s="8"/>
    </row>
    <row r="86" spans="21:21">
      <c r="U86" s="8"/>
    </row>
    <row r="87" spans="21:21">
      <c r="U87" s="8"/>
    </row>
    <row r="88" spans="21:21">
      <c r="U88" s="8"/>
    </row>
    <row r="89" spans="21:21">
      <c r="U89" s="8"/>
    </row>
    <row r="90" spans="21:21">
      <c r="U90" s="8"/>
    </row>
    <row r="91" spans="21:21">
      <c r="U91" s="8"/>
    </row>
    <row r="92" spans="21:21">
      <c r="U92" s="8"/>
    </row>
    <row r="93" spans="21:21">
      <c r="U93" s="8"/>
    </row>
  </sheetData>
  <phoneticPr fontId="2" type="noConversion"/>
  <pageMargins left="0.42" right="0.2" top="0.36" bottom="0.43" header="0.5" footer="0.5"/>
  <pageSetup paperSize="9" scale="41" orientation="landscape" verticalDpi="18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19">
    <pageSetUpPr fitToPage="1"/>
  </sheetPr>
  <dimension ref="A1:BM223"/>
  <sheetViews>
    <sheetView view="pageBreakPreview" zoomScale="110" zoomScaleNormal="100" zoomScaleSheetLayoutView="110" workbookViewId="0">
      <selection activeCell="D7" sqref="D7"/>
    </sheetView>
  </sheetViews>
  <sheetFormatPr defaultColWidth="8.109375" defaultRowHeight="25.8"/>
  <cols>
    <col min="1" max="1" width="11.6640625" style="53" customWidth="1" phonetic="1"/>
    <col min="2" max="2" width="7.6640625" style="53" customWidth="1" phonetic="1"/>
    <col min="3" max="3" width="10.21875" style="53" bestFit="1" customWidth="1" phonetic="1"/>
    <col min="4" max="16" width="8.77734375" style="53" customWidth="1" phonetic="1"/>
    <col min="17" max="30" width="7.6640625" style="53" customWidth="1" phonetic="1"/>
    <col min="31" max="31" width="7.6640625" style="64" customWidth="1" phonetic="1"/>
    <col min="32" max="32" width="11.6640625" style="53" bestFit="1" customWidth="1" phonetic="1"/>
    <col min="33" max="16384" width="8.109375" style="53" phonetic="1"/>
  </cols>
  <sheetData>
    <row r="1" spans="1:65" ht="31.2" ph="1">
      <c r="A1" s="53"/>
      <c r="B1" s="207" t="s" ph="1">
        <v>39</v>
      </c>
      <c r="C1" s="207" ph="1"/>
      <c r="D1" s="207" ph="1"/>
      <c r="E1" s="207" ph="1"/>
      <c r="F1" s="207" ph="1"/>
      <c r="G1" s="207" ph="1"/>
      <c r="H1" s="207" ph="1"/>
      <c r="I1" s="207" ph="1"/>
      <c r="J1" s="207" ph="1"/>
      <c r="K1" s="207" ph="1"/>
      <c r="L1" s="207" ph="1"/>
      <c r="M1" s="207" ph="1"/>
      <c r="N1" s="207" ph="1"/>
      <c r="O1" s="207" ph="1"/>
      <c r="P1" s="207" ph="1"/>
      <c r="Q1" s="207" ph="1"/>
      <c r="R1" s="207" ph="1"/>
      <c r="S1" s="207" ph="1"/>
      <c r="T1" s="207" ph="1"/>
      <c r="U1" s="207" ph="1"/>
      <c r="V1" s="207" ph="1"/>
      <c r="W1" s="207" ph="1"/>
      <c r="X1" s="207" ph="1"/>
      <c r="Y1" s="207" ph="1"/>
      <c r="Z1" s="207" ph="1"/>
      <c r="AA1" s="207" ph="1"/>
      <c r="AB1" s="207" ph="1"/>
      <c r="AC1" s="207" ph="1"/>
      <c r="AD1" s="207" ph="1"/>
      <c r="AE1" s="207" ph="1"/>
    </row>
    <row r="2" spans="1:65" s="55" customFormat="1" ht="24" customHeight="1" ph="1">
      <c r="B2" s="208" t="s" ph="1">
        <v>35</v>
      </c>
      <c r="C2" s="208" ph="1"/>
      <c r="D2" s="208" ph="1"/>
      <c r="E2" s="208" ph="1"/>
      <c r="F2" s="208" ph="1"/>
      <c r="G2" s="208" ph="1"/>
      <c r="H2" s="208" ph="1"/>
      <c r="I2" s="208" ph="1"/>
      <c r="J2" s="208" ph="1"/>
      <c r="K2" s="208" ph="1"/>
      <c r="L2" s="208" ph="1"/>
      <c r="M2" s="208" ph="1"/>
      <c r="N2" s="208" ph="1"/>
      <c r="O2" s="208" ph="1"/>
      <c r="P2" s="208" ph="1"/>
      <c r="Q2" s="208" ph="1"/>
      <c r="R2" s="208" ph="1"/>
      <c r="S2" s="208" ph="1"/>
      <c r="T2" s="208" ph="1"/>
      <c r="U2" s="208" ph="1"/>
      <c r="V2" s="208" ph="1"/>
      <c r="W2" s="208" ph="1"/>
      <c r="X2" s="208" ph="1"/>
      <c r="Y2" s="208" ph="1"/>
      <c r="Z2" s="208" ph="1"/>
      <c r="AA2" s="208" ph="1"/>
      <c r="AB2" s="208" ph="1"/>
      <c r="AC2" s="208" ph="1"/>
      <c r="AD2" s="208" ph="1"/>
      <c r="AE2" s="208" ph="1"/>
    </row>
    <row r="3" spans="1:65" ht="21" customHeight="1" ph="1">
      <c r="B3" s="209" ph="1">
        <v>46084</v>
      </c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209"/>
      <c r="P3" s="209"/>
      <c r="Q3" s="209"/>
      <c r="R3" s="209"/>
      <c r="S3" s="209"/>
      <c r="T3" s="209"/>
      <c r="U3" s="209"/>
      <c r="V3" s="209"/>
      <c r="W3" s="209"/>
      <c r="X3" s="209"/>
      <c r="Y3" s="209"/>
      <c r="Z3" s="209"/>
      <c r="AA3" s="209"/>
      <c r="AB3" s="209"/>
      <c r="AC3" s="209"/>
      <c r="AD3" s="209"/>
      <c r="AE3" s="209"/>
    </row>
    <row r="4" spans="1:65" s="58" customFormat="1" ph="1">
      <c r="A4" s="54" ph="1"/>
      <c r="B4" s="188" t="s" ph="1">
        <v>25</v>
      </c>
      <c r="C4" s="56" t="s" ph="1">
        <v>41</v>
      </c>
      <c r="D4" s="57" t="s" ph="1">
        <v>29</v>
      </c>
      <c r="E4" s="57" t="s" ph="1">
        <v>30</v>
      </c>
      <c r="F4" s="57" t="s" ph="1">
        <v>27</v>
      </c>
      <c r="G4" s="57" t="s" ph="1">
        <v>54</v>
      </c>
      <c r="H4" s="57" t="s" ph="1">
        <v>55</v>
      </c>
      <c r="I4" s="57" t="s" ph="1">
        <v>56</v>
      </c>
      <c r="J4" s="57" t="s" ph="1">
        <v>57</v>
      </c>
      <c r="K4" s="57" t="s" ph="1">
        <v>58</v>
      </c>
      <c r="L4" s="57" t="s" ph="1">
        <v>59</v>
      </c>
      <c r="M4" s="57" t="s" ph="1">
        <v>60</v>
      </c>
      <c r="N4" s="57" t="s" ph="1">
        <v>61</v>
      </c>
      <c r="O4" s="57" t="s" ph="1">
        <v>62</v>
      </c>
      <c r="P4" s="57" t="s" ph="1">
        <v>63</v>
      </c>
      <c r="Q4" s="57" ph="1"/>
      <c r="R4" s="57" ph="1"/>
      <c r="S4" s="57" ph="1"/>
      <c r="T4" s="57" ph="1"/>
      <c r="U4" s="57" ph="1"/>
      <c r="V4" s="57" ph="1"/>
      <c r="W4" s="57" ph="1"/>
      <c r="X4" s="57" ph="1"/>
      <c r="Y4" s="57" ph="1"/>
      <c r="Z4" s="57" ph="1"/>
      <c r="AA4" s="57" ph="1"/>
      <c r="AB4" s="57" ph="1"/>
      <c r="AC4" s="57" ph="1"/>
      <c r="AD4" s="57" ph="1"/>
      <c r="AE4" s="57" ph="1"/>
      <c r="AF4" s="54" ph="1"/>
      <c r="AG4" s="54" ph="1"/>
      <c r="AH4" s="54" ph="1"/>
      <c r="AI4" s="54" ph="1"/>
      <c r="AJ4" s="54" ph="1"/>
      <c r="AK4" s="54" ph="1"/>
      <c r="AL4" s="54" ph="1"/>
      <c r="AM4" s="54" ph="1"/>
      <c r="AN4" s="54" ph="1"/>
      <c r="AO4" s="54" ph="1"/>
      <c r="AP4" s="54" ph="1"/>
      <c r="AQ4" s="54" ph="1"/>
      <c r="AR4" s="54" ph="1"/>
      <c r="AS4" s="54" ph="1"/>
      <c r="AT4" s="54" ph="1"/>
      <c r="AU4" s="54" ph="1"/>
      <c r="AV4" s="54" ph="1"/>
      <c r="AW4" s="54" ph="1"/>
      <c r="AX4" s="54" ph="1"/>
      <c r="AY4" s="54" ph="1"/>
      <c r="AZ4" s="54" ph="1"/>
      <c r="BA4" s="54" ph="1"/>
      <c r="BB4" s="54" ph="1"/>
      <c r="BC4" s="54" ph="1"/>
      <c r="BD4" s="54" ph="1"/>
      <c r="BE4" s="54" ph="1"/>
      <c r="BF4" s="54" ph="1"/>
      <c r="BG4" s="54" ph="1"/>
      <c r="BH4" s="54" ph="1"/>
      <c r="BI4" s="54" ph="1"/>
      <c r="BJ4" s="54" ph="1"/>
      <c r="BK4" s="54" ph="1"/>
      <c r="BL4" s="54" ph="1"/>
      <c r="BM4" s="54" ph="1"/>
    </row>
    <row r="5" spans="1:65" s="58" customFormat="1" ht="29.25" customHeight="1" ph="1">
      <c r="A5" s="54" ph="1"/>
      <c r="B5" s="188" ph="1"/>
      <c r="C5" s="56" t="s" ph="1">
        <v>24</v>
      </c>
      <c r="D5" s="103" t="s" ph="1">
        <v>64</v>
      </c>
      <c r="E5" s="103" t="s" ph="1">
        <v>64</v>
      </c>
      <c r="F5" s="103" t="s" ph="1">
        <v>64</v>
      </c>
      <c r="G5" s="103" t="s" ph="1">
        <v>64</v>
      </c>
      <c r="H5" s="103" t="s" ph="1">
        <v>64</v>
      </c>
      <c r="I5" s="103" t="s" ph="1">
        <v>64</v>
      </c>
      <c r="J5" s="103" t="s" ph="1">
        <v>64</v>
      </c>
      <c r="K5" s="103" t="s" ph="1">
        <v>64</v>
      </c>
      <c r="L5" s="102" t="s" ph="1">
        <v>51</v>
      </c>
      <c r="M5" s="102" t="s" ph="1">
        <v>65</v>
      </c>
      <c r="N5" s="59" t="s" ph="1">
        <v>51</v>
      </c>
      <c r="O5" s="59" t="s" ph="1">
        <v>66</v>
      </c>
      <c r="P5" s="59" t="s" ph="1">
        <v>66</v>
      </c>
      <c r="Q5" s="59" ph="1"/>
      <c r="R5" s="59" ph="1"/>
      <c r="S5" s="59" ph="1"/>
      <c r="T5" s="59" ph="1"/>
      <c r="U5" s="59" ph="1"/>
      <c r="V5" s="59" ph="1"/>
      <c r="W5" s="59" ph="1"/>
      <c r="X5" s="59" ph="1"/>
      <c r="Y5" s="59" ph="1"/>
      <c r="Z5" s="59" ph="1"/>
      <c r="AA5" s="59" ph="1"/>
      <c r="AB5" s="59" ph="1"/>
      <c r="AC5" s="59" ph="1"/>
      <c r="AD5" s="60"/>
      <c r="AE5" s="60"/>
      <c r="AF5" s="54" ph="1"/>
      <c r="AG5" s="54" ph="1"/>
      <c r="AH5" s="54" ph="1"/>
      <c r="AI5" s="54" ph="1"/>
      <c r="AJ5" s="54" ph="1"/>
      <c r="AK5" s="54" ph="1"/>
      <c r="AL5" s="54" ph="1"/>
      <c r="AM5" s="54" ph="1"/>
      <c r="AN5" s="54" ph="1"/>
      <c r="AO5" s="54" ph="1"/>
      <c r="AP5" s="54" ph="1"/>
      <c r="AQ5" s="54" ph="1"/>
      <c r="AR5" s="54" ph="1"/>
      <c r="AS5" s="54" ph="1"/>
      <c r="AT5" s="54" ph="1"/>
      <c r="AU5" s="54" ph="1"/>
      <c r="AV5" s="54" ph="1"/>
      <c r="AW5" s="54" ph="1"/>
      <c r="AX5" s="54" ph="1"/>
      <c r="AY5" s="54" ph="1"/>
      <c r="AZ5" s="54" ph="1"/>
      <c r="BA5" s="54" ph="1"/>
      <c r="BB5" s="54" ph="1"/>
      <c r="BC5" s="54" ph="1"/>
      <c r="BD5" s="54" ph="1"/>
      <c r="BE5" s="54" ph="1"/>
      <c r="BF5" s="54" ph="1"/>
      <c r="BG5" s="54" ph="1"/>
      <c r="BH5" s="54" ph="1"/>
      <c r="BI5" s="54" ph="1"/>
      <c r="BJ5" s="54" ph="1"/>
      <c r="BK5" s="54" ph="1"/>
      <c r="BL5" s="54" ph="1"/>
      <c r="BM5" s="54" ph="1"/>
    </row>
    <row r="6" spans="1:65" ph="1">
      <c r="B6" s="206" ph="1">
        <v>0.33333333333333331</v>
      </c>
      <c r="C6" s="117" t="s" ph="1">
        <v>42</v>
      </c>
      <c r="D6" s="118">
        <v>0.01</v>
      </c>
      <c r="E6" s="118">
        <v>0</v>
      </c>
      <c r="F6" s="118">
        <v>0</v>
      </c>
      <c r="G6" s="118">
        <v>0</v>
      </c>
      <c r="H6" s="60">
        <v>567</v>
      </c>
      <c r="I6" s="60">
        <v>500</v>
      </c>
      <c r="J6" s="60">
        <v>6.59</v>
      </c>
      <c r="K6" s="60">
        <v>7.45</v>
      </c>
      <c r="L6" s="60">
        <v>6750</v>
      </c>
      <c r="M6" s="60">
        <v>247</v>
      </c>
      <c r="N6" s="60">
        <v>2675</v>
      </c>
      <c r="O6" s="60">
        <v>12400</v>
      </c>
      <c r="P6" s="60">
        <v>5783</v>
      </c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</row>
    <row r="7" spans="1:65" s="61" customFormat="1" ht="22.2" ph="1">
      <c r="B7" s="206" ph="1"/>
      <c r="C7" s="57" t="s" ph="1">
        <v>43</v>
      </c>
      <c r="D7" s="62" ph="1">
        <f>((D6*5200)*4.48+1790)*LOOKUP(D8,[1]密度!$A$2:$A$50,[1]密度!$B$2:$B$50)</f>
        <v>1577.099616</v>
      </c>
      <c r="E7" s="62" ph="1">
        <f>((E6*5200)*4.48+1790)*LOOKUP(E8,[1]密度!$A$2:$A$50,[1]密度!$B$2:$B$50)</f>
        <v>1403.539</v>
      </c>
      <c r="F7" s="62" ph="1">
        <f>((F6*5200)*4.48+1790)*LOOKUP(F8,[1]密度!$A$2:$A$50,[1]密度!$B$2:$B$50)</f>
        <v>1403.539</v>
      </c>
      <c r="G7" s="62" ph="1">
        <f>((G6*5200)*4.48+1790)*LOOKUP(G8,[1]密度!$A$2:$A$50,[1]密度!$B$2:$B$50)</f>
        <v>1403.539</v>
      </c>
      <c r="H7" s="62" ph="1">
        <f>IF(H6&lt;=0, 0, IF(H6&lt;=1100, 0.000011424*H6^2-0.000000004189*H6^3, 11.151+0.01520557*(H6-1100))) * LOOKUP(H8, 密度!$A$2:$A$50, 密度!$B$2:$B$50)*1000</f>
        <v>2267.9355748452222</v>
      </c>
      <c r="I7" s="62" ph="1">
        <f>IF(I6&lt;=0, 0, IF(I6&lt;=1100, 0.000011424*I6^2-0.000000004189*I6^3, 11.151+0.01520557*(I6-1100))) * LOOKUP(I8, 密度!$A$2:$A$50, 密度!$B$2:$B$50)*1000</f>
        <v>1818.3195499999997</v>
      </c>
      <c r="J7" s="62" ph="1">
        <f>IF(J6&lt;=0, 0, IF(J6&lt;=1100, 0.000011424*J6^2-0.000000004189*J6^3, 11.151+0.01520557*(J6-1100))) * LOOKUP(J8, 密度!$A$2:$A$50, 密度!$B$2:$B$50)*1000</f>
        <v>0.38584256294609121</v>
      </c>
      <c r="K7" s="62" ph="1">
        <f>IF(K6&lt;=0, 0, IF(K6&lt;=1100, 0.000011424*K6^2-0.000000004189*K6^3, 11.151+0.01520557*(K6-1100))) * LOOKUP(K8, 密度!$A$2:$A$50, 密度!$B$2:$B$50)*1000</f>
        <v>0.49296324808572051</v>
      </c>
      <c r="L7" s="62" ph="1">
        <f>L6*26.42*LOOKUP(L8,密度!$A$2:$A$50,密度!$B$2:$B$50)</f>
        <v>139029.96599999999</v>
      </c>
      <c r="M7" s="62" ph="1">
        <f>M6*26.42*1</f>
        <v>6525.7400000000007</v>
      </c>
      <c r="N7" s="62" ph="1">
        <f>N6*18.32*LOOKUP(N8,密度!$A$2:$A$50,密度!$B$2:$B$50)</f>
        <v>38381.499199999998</v>
      </c>
      <c r="O7" s="62" ph="1">
        <f>O6*81.71*LOOKUP(O8,密度!$A$2:$A$50,密度!$B$2:$B$50)</f>
        <v>789893.83839999989</v>
      </c>
      <c r="P7" s="62" ph="1">
        <f>P6*81.71*LOOKUP(P8,密度!$A$2:$A$50,密度!$B$2:$B$50)</f>
        <v>368383.55382799992</v>
      </c>
      <c r="Q7" s="62" ph="1"/>
      <c r="R7" s="62" ph="1"/>
      <c r="S7" s="62" ph="1"/>
      <c r="T7" s="62" ph="1"/>
      <c r="U7" s="62" ph="1"/>
      <c r="V7" s="62" ph="1"/>
      <c r="W7" s="62" ph="1"/>
      <c r="X7" s="62" ph="1"/>
      <c r="Y7" s="62" ph="1"/>
      <c r="Z7" s="62" ph="1"/>
      <c r="AA7" s="62" ph="1"/>
      <c r="AB7" s="62" ph="1"/>
      <c r="AC7" s="62" ph="1"/>
      <c r="AD7" s="62" ph="1"/>
      <c r="AE7" s="62" ph="1"/>
    </row>
    <row r="8" spans="1:65" ph="1">
      <c r="B8" s="206" ph="1"/>
      <c r="C8" s="57" t="s" ph="1">
        <v>44</v>
      </c>
      <c r="D8" s="63">
        <v>25</v>
      </c>
      <c r="E8" s="63">
        <v>20</v>
      </c>
      <c r="F8" s="63">
        <v>20</v>
      </c>
      <c r="G8" s="63">
        <v>20</v>
      </c>
      <c r="H8" s="63">
        <v>25</v>
      </c>
      <c r="I8" s="63">
        <v>25</v>
      </c>
      <c r="J8" s="63">
        <v>25</v>
      </c>
      <c r="K8" s="63">
        <v>25</v>
      </c>
      <c r="L8" s="63">
        <v>25</v>
      </c>
      <c r="M8" s="63">
        <v>19</v>
      </c>
      <c r="N8" s="63">
        <v>21</v>
      </c>
      <c r="O8" s="63">
        <v>25</v>
      </c>
      <c r="P8" s="63">
        <v>25</v>
      </c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</row>
    <row r="9" spans="1:65" ht="26.4" ph="1">
      <c r="B9" s="206" ph="1">
        <v>0.66666666666666663</v>
      </c>
      <c r="C9" s="117" t="s" ph="1">
        <v>45</v>
      </c>
      <c r="D9" s="118">
        <v>0</v>
      </c>
      <c r="E9" s="118">
        <v>0</v>
      </c>
      <c r="F9" s="118">
        <v>0</v>
      </c>
      <c r="G9" s="118">
        <v>0</v>
      </c>
      <c r="H9" s="60">
        <v>1153</v>
      </c>
      <c r="I9" s="60">
        <v>0.08</v>
      </c>
      <c r="J9" s="60">
        <v>6.59</v>
      </c>
      <c r="K9" s="60">
        <v>55.61</v>
      </c>
      <c r="L9" s="60">
        <v>69.69</v>
      </c>
      <c r="M9" s="60">
        <v>792</v>
      </c>
      <c r="N9" s="60">
        <v>4331</v>
      </c>
      <c r="O9" s="60">
        <v>12200</v>
      </c>
      <c r="P9" s="60">
        <v>6479</v>
      </c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</row>
    <row r="10" spans="1:65" s="61" customFormat="1" ht="22.2" ph="1">
      <c r="B10" s="206" ph="1"/>
      <c r="C10" s="117" t="s" ph="1">
        <v>43</v>
      </c>
      <c r="D10" s="62" ph="1">
        <f>((D9*5200)*4.48+1790)*LOOKUP(D11,[1]密度!$A$2:$A$50,[1]密度!$B$2:$B$50)</f>
        <v>1403.539</v>
      </c>
      <c r="E10" s="62" ph="1">
        <f>((E9*5200)*4.48+1790)*LOOKUP(E11,[1]密度!$A$2:$A$50,[1]密度!$B$2:$B$50)</f>
        <v>1403.539</v>
      </c>
      <c r="F10" s="62" ph="1">
        <f>((F9*5200)*4.48+1790)*LOOKUP(F11,[1]密度!$A$2:$A$50,[1]密度!$B$2:$B$50)</f>
        <v>1403.539</v>
      </c>
      <c r="G10" s="62" ph="1">
        <f>((G9*5200)*4.48+1790)*LOOKUP(G11,[1]密度!$A$2:$A$50,[1]密度!$B$2:$B$50)</f>
        <v>1403.539</v>
      </c>
      <c r="H10" s="62" ph="1">
        <f>IF(H9&lt;=0, 0, IF(H9&lt;=1100, 0.000011424*H9^2-0.000000004189*H9^3, 11.151+0.01520557*(H9-1100))) * LOOKUP(H11, 密度!$A$2:$A$50, 密度!$B$2:$B$50)*1000</f>
        <v>9412.4679093119994</v>
      </c>
      <c r="I10" s="62" ph="1">
        <f>IF(I9&lt;=0, 0, IF(I9&lt;=1100, 0.000011424*I9^2-0.000000004189*I9^3, 11.151+0.01520557*(I9-1100))) * LOOKUP(I11, 密度!$A$2:$A$50, 密度!$B$2:$B$50)*1000</f>
        <v>5.6997690498867187E-5</v>
      </c>
      <c r="J10" s="62" ph="1">
        <f>IF(J9&lt;=0, 0, IF(J9&lt;=1100, 0.000011424*J9^2-0.000000004189*J9^3, 11.151+0.01520557*(J9-1100))) * LOOKUP(J11, 密度!$A$2:$A$50, 密度!$B$2:$B$50)*1000</f>
        <v>0.38584256294609121</v>
      </c>
      <c r="K10" s="62" ph="1">
        <f>IF(K9&lt;=0, 0, IF(K9&lt;=1100, 0.000011424*K9^2-0.000000004189*K9^3, 11.151+0.01520557*(K9-1100))) * LOOKUP(K11, 密度!$A$2:$A$50, 密度!$B$2:$B$50)*1000</f>
        <v>26.980403814753554</v>
      </c>
      <c r="L10" s="62" ph="1">
        <f>L9*26.42*LOOKUP(L11,密度!$A$2:$A$50,密度!$B$2:$B$50)</f>
        <v>1435.40716008</v>
      </c>
      <c r="M10" s="62" ph="1">
        <f>M9*26.42*1</f>
        <v>20924.640000000003</v>
      </c>
      <c r="N10" s="62" ph="1">
        <f>N9*18.32*LOOKUP(N11,密度!$A$2:$A$50,密度!$B$2:$B$50)</f>
        <v>62277.042807999998</v>
      </c>
      <c r="O10" s="62" ph="1">
        <f>O9*81.71*LOOKUP(O11,密度!$A$2:$A$50,密度!$B$2:$B$50)</f>
        <v>777153.61519999988</v>
      </c>
      <c r="P10" s="62" ph="1">
        <f>P9*81.71*LOOKUP(P11,密度!$A$2:$A$50,密度!$B$2:$B$50)</f>
        <v>416742.96364799998</v>
      </c>
      <c r="Q10" s="62" ph="1"/>
      <c r="R10" s="62" ph="1"/>
      <c r="S10" s="62" ph="1"/>
      <c r="T10" s="62" ph="1"/>
      <c r="U10" s="62" ph="1"/>
      <c r="V10" s="62" ph="1"/>
      <c r="W10" s="62" ph="1"/>
      <c r="X10" s="62" ph="1"/>
      <c r="Y10" s="62" ph="1"/>
      <c r="Z10" s="62" ph="1"/>
      <c r="AA10" s="62" ph="1"/>
      <c r="AB10" s="62" ph="1"/>
      <c r="AC10" s="62" ph="1"/>
      <c r="AD10" s="62" ph="1"/>
      <c r="AE10" s="62" ph="1"/>
    </row>
    <row r="11" spans="1:65" ph="1">
      <c r="A11" s="53" t="s" ph="1">
        <v>40</v>
      </c>
      <c r="B11" s="206" ph="1"/>
      <c r="C11" s="117" t="s" ph="1">
        <v>44</v>
      </c>
      <c r="D11" s="63">
        <v>20</v>
      </c>
      <c r="E11" s="63">
        <v>20</v>
      </c>
      <c r="F11" s="63">
        <v>20</v>
      </c>
      <c r="G11" s="63">
        <v>20</v>
      </c>
      <c r="H11" s="63">
        <v>16</v>
      </c>
      <c r="I11" s="63">
        <v>25</v>
      </c>
      <c r="J11" s="63">
        <v>25</v>
      </c>
      <c r="K11" s="63">
        <v>25</v>
      </c>
      <c r="L11" s="63">
        <v>25</v>
      </c>
      <c r="M11" s="63">
        <v>19</v>
      </c>
      <c r="N11" s="63">
        <v>19</v>
      </c>
      <c r="O11" s="63">
        <v>25</v>
      </c>
      <c r="P11" s="63">
        <v>16</v>
      </c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</row>
    <row r="12" spans="1:65" ht="9.9" customHeight="1" ph="1"/>
    <row r="13" spans="1:65" s="61" customFormat="1" ht="29.25" customHeight="1" ph="1">
      <c r="B13" s="183" t="s" ph="1">
        <v>25</v>
      </c>
      <c r="C13" s="117" t="s" ph="1">
        <v>41</v>
      </c>
      <c r="D13" s="65" ph="1"/>
      <c r="E13" s="65" ph="1"/>
      <c r="F13" s="65" ph="1"/>
      <c r="G13" s="65" ph="1"/>
      <c r="H13" s="65" ph="1"/>
      <c r="I13" s="65" ph="1"/>
      <c r="J13" s="65" ph="1"/>
      <c r="K13" s="65" ph="1"/>
      <c r="L13" s="65" ph="1"/>
      <c r="M13" s="65" ph="1"/>
      <c r="N13" s="65" ph="1"/>
      <c r="O13" s="65" ph="1"/>
      <c r="P13" s="65" ph="1"/>
      <c r="Q13" s="65" ph="1"/>
      <c r="R13" s="65" ph="1"/>
      <c r="S13" s="65" ph="1"/>
      <c r="T13" s="65" ph="1"/>
      <c r="U13" s="65" ph="1"/>
      <c r="V13" s="65" ph="1"/>
      <c r="W13" s="65" ph="1"/>
      <c r="X13" s="65" ph="1"/>
      <c r="Y13" s="94" ph="1"/>
      <c r="Z13" s="65" ph="1"/>
      <c r="AA13" s="65" ph="1"/>
      <c r="AB13" s="65" ph="1"/>
      <c r="AC13" s="65" ph="1"/>
      <c r="AD13" s="65" ph="1"/>
      <c r="AE13" s="65" ph="1"/>
    </row>
    <row r="14" spans="1:65" s="61" customFormat="1" ht="24" ph="1">
      <c r="B14" s="184" ph="1"/>
      <c r="C14" s="56" t="s" ph="1">
        <v>24</v>
      </c>
      <c r="D14" s="66" ph="1"/>
      <c r="E14" s="66" ph="1"/>
      <c r="F14" s="108" ph="1"/>
      <c r="G14" s="66" ph="1"/>
      <c r="H14" s="66" ph="1"/>
      <c r="I14" s="101" ph="1"/>
      <c r="J14" s="66" ph="1"/>
      <c r="K14" s="66" ph="1"/>
      <c r="L14" s="66" ph="1"/>
      <c r="M14" s="93" ph="1"/>
      <c r="N14" s="93" ph="1"/>
      <c r="O14" s="93" ph="1"/>
      <c r="P14" s="66" ph="1"/>
      <c r="Q14" s="66" ph="1"/>
      <c r="R14" s="77" ph="1"/>
      <c r="S14" s="66" ph="1"/>
      <c r="T14" s="66" ph="1"/>
      <c r="U14" s="66" ph="1"/>
      <c r="V14" s="66" ph="1"/>
      <c r="W14" s="66" ph="1"/>
      <c r="X14" s="66" ph="1"/>
      <c r="Y14" s="104" ph="1"/>
      <c r="Z14" s="66" ph="1"/>
      <c r="AA14" s="66" ph="1"/>
      <c r="AB14" s="66" ph="1"/>
      <c r="AC14" s="66" ph="1"/>
      <c r="AD14" s="66" ph="1"/>
      <c r="AE14" s="66" ph="1"/>
    </row>
    <row r="15" spans="1:65" ph="1">
      <c r="B15" s="185" ph="1">
        <v>0.33333333333333331</v>
      </c>
      <c r="C15" s="117" t="s" ph="1">
        <v>42</v>
      </c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0"/>
      <c r="X15" s="67"/>
      <c r="Y15" s="95"/>
      <c r="Z15" s="67"/>
      <c r="AA15" s="67"/>
      <c r="AB15" s="67" ph="1"/>
      <c r="AC15" s="67" ph="1"/>
      <c r="AD15" s="67"/>
      <c r="AE15" s="67"/>
    </row>
    <row r="16" spans="1:65" s="61" customFormat="1" ht="22.2" ph="1">
      <c r="B16" s="186" ph="1"/>
      <c r="C16" s="117" t="s" ph="1">
        <v>43</v>
      </c>
      <c r="D16" s="62" ph="1"/>
      <c r="E16" s="62" ph="1"/>
      <c r="F16" s="62" ph="1"/>
      <c r="G16" s="62" ph="1"/>
      <c r="H16" s="62" ph="1"/>
      <c r="I16" s="62" ph="1"/>
      <c r="J16" s="62" ph="1"/>
      <c r="K16" s="62" ph="1"/>
      <c r="L16" s="62" ph="1"/>
      <c r="M16" s="62" ph="1"/>
      <c r="N16" s="62" ph="1"/>
      <c r="O16" s="62" ph="1"/>
      <c r="P16" s="62" ph="1"/>
      <c r="Q16" s="62" ph="1"/>
      <c r="R16" s="62" ph="1"/>
      <c r="S16" s="62" ph="1"/>
      <c r="T16" s="62" ph="1"/>
      <c r="U16" s="62" ph="1"/>
      <c r="V16" s="62" ph="1"/>
      <c r="W16" s="62" ph="1"/>
      <c r="X16" s="62" ph="1"/>
      <c r="Y16" s="96" ph="1"/>
      <c r="Z16" s="62" ph="1"/>
      <c r="AA16" s="62" ph="1"/>
      <c r="AB16" s="62" ph="1"/>
      <c r="AC16" s="62" ph="1"/>
      <c r="AD16" s="62" ph="1"/>
      <c r="AE16" s="62" ph="1"/>
    </row>
    <row r="17" spans="1:32" ph="1">
      <c r="A17" s="53" t="s" ph="1">
        <v>33</v>
      </c>
      <c r="B17" s="187" ph="1"/>
      <c r="C17" s="68" t="s" ph="1">
        <v>44</v>
      </c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97"/>
      <c r="Z17" s="63"/>
      <c r="AA17" s="63"/>
      <c r="AB17" s="63"/>
      <c r="AC17" s="63"/>
      <c r="AD17" s="63"/>
      <c r="AE17" s="63"/>
    </row>
    <row r="18" spans="1:32" ht="26.4" ph="1">
      <c r="B18" s="185" ph="1">
        <v>0.66666666666666663</v>
      </c>
      <c r="C18" s="68" t="s" ph="1">
        <v>45</v>
      </c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98"/>
      <c r="Z18" s="60"/>
      <c r="AA18" s="60"/>
      <c r="AB18" s="60"/>
      <c r="AC18" s="60"/>
      <c r="AD18" s="60"/>
      <c r="AE18" s="60"/>
    </row>
    <row r="19" spans="1:32" s="61" customFormat="1" ht="22.2" ph="1">
      <c r="B19" s="186" ph="1"/>
      <c r="C19" s="117" t="s" ph="1">
        <v>43</v>
      </c>
      <c r="D19" s="62" ph="1"/>
      <c r="E19" s="62" ph="1"/>
      <c r="F19" s="62" ph="1"/>
      <c r="G19" s="62" ph="1"/>
      <c r="H19" s="62" ph="1"/>
      <c r="I19" s="62" ph="1"/>
      <c r="J19" s="62" ph="1"/>
      <c r="K19" s="62" ph="1"/>
      <c r="L19" s="62" ph="1"/>
      <c r="M19" s="62" ph="1"/>
      <c r="N19" s="62" ph="1"/>
      <c r="O19" s="62" ph="1"/>
      <c r="P19" s="62" ph="1"/>
      <c r="Q19" s="62" ph="1"/>
      <c r="R19" s="62" ph="1"/>
      <c r="S19" s="62" ph="1"/>
      <c r="T19" s="62" ph="1"/>
      <c r="U19" s="62" ph="1"/>
      <c r="V19" s="62" ph="1"/>
      <c r="W19" s="62" ph="1"/>
      <c r="X19" s="62" ph="1"/>
      <c r="Y19" s="62" ph="1"/>
      <c r="Z19" s="62" ph="1"/>
      <c r="AA19" s="62" ph="1"/>
      <c r="AB19" s="62" ph="1"/>
      <c r="AC19" s="62" ph="1"/>
      <c r="AD19" s="62" ph="1"/>
      <c r="AE19" s="62" ph="1"/>
    </row>
    <row r="20" spans="1:32" ph="1">
      <c r="A20" s="61" ph="1"/>
      <c r="B20" s="186" ph="1"/>
      <c r="C20" s="69" t="s" ph="1">
        <v>44</v>
      </c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99"/>
      <c r="Z20" s="70"/>
      <c r="AA20" s="70"/>
      <c r="AB20" s="70"/>
      <c r="AC20" s="70"/>
      <c r="AD20" s="70"/>
      <c r="AE20" s="70"/>
      <c r="AF20" s="53" t="s" ph="1">
        <v>23</v>
      </c>
    </row>
    <row r="21" spans="1:32" ph="1">
      <c r="A21" s="61" ph="1"/>
      <c r="B21" s="71" ph="1"/>
      <c r="C21" s="72" ph="1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</row>
    <row r="22" spans="1:32" ph="1">
      <c r="A22" s="61" ph="1"/>
      <c r="B22" s="184" t="s" ph="1">
        <v>25</v>
      </c>
      <c r="C22" s="74" t="s" ph="1">
        <v>41</v>
      </c>
      <c r="D22" s="75" ph="1"/>
      <c r="E22" s="75" ph="1"/>
      <c r="F22" s="75" ph="1"/>
      <c r="G22" s="75" ph="1"/>
      <c r="H22" s="75" ph="1"/>
      <c r="I22" s="75" ph="1"/>
      <c r="J22" s="75" ph="1"/>
      <c r="K22" s="75" ph="1"/>
      <c r="L22" s="75" ph="1"/>
      <c r="M22" s="75" ph="1"/>
      <c r="N22" s="75" ph="1"/>
      <c r="O22" s="75" ph="1"/>
      <c r="P22" s="75" ph="1"/>
      <c r="Q22" s="76" ph="1"/>
      <c r="R22" s="75" ph="1"/>
      <c r="S22" s="75" ph="1"/>
      <c r="T22" s="75" ph="1"/>
      <c r="U22" s="75" ph="1"/>
      <c r="V22" s="75" ph="1"/>
      <c r="W22" s="75" ph="1"/>
      <c r="X22" s="75" ph="1"/>
      <c r="Y22" s="75" ph="1"/>
      <c r="Z22" s="194" t="s" ph="1">
        <v>31</v>
      </c>
      <c r="AA22" s="195"/>
      <c r="AB22" s="195"/>
      <c r="AC22" s="195"/>
      <c r="AD22" s="195"/>
      <c r="AE22" s="196"/>
    </row>
    <row r="23" spans="1:32" ph="1">
      <c r="A23" s="61" ph="1"/>
      <c r="B23" s="188" ph="1"/>
      <c r="C23" s="56" t="s" ph="1">
        <v>24</v>
      </c>
      <c r="D23" s="77" ph="1"/>
      <c r="E23" s="77" ph="1"/>
      <c r="F23" s="77" ph="1"/>
      <c r="G23" s="77" ph="1"/>
      <c r="H23" s="77" ph="1"/>
      <c r="I23" s="77" ph="1"/>
      <c r="J23" s="77" ph="1"/>
      <c r="K23" s="77" ph="1"/>
      <c r="L23" s="77" ph="1"/>
      <c r="M23" s="77" ph="1"/>
      <c r="N23" s="77" ph="1"/>
      <c r="O23" s="77" ph="1"/>
      <c r="P23" s="77" ph="1"/>
      <c r="Q23" s="78" ph="1"/>
      <c r="R23" s="77" ph="1"/>
      <c r="S23" s="77" ph="1"/>
      <c r="T23" s="77" ph="1"/>
      <c r="U23" s="93" ph="1"/>
      <c r="V23" s="77" ph="1"/>
      <c r="W23" s="77" ph="1"/>
      <c r="X23" s="77" ph="1"/>
      <c r="Y23" s="77" ph="1"/>
      <c r="Z23" s="197" t="s" ph="1">
        <v>67</v>
      </c>
      <c r="AA23" s="198"/>
      <c r="AB23" s="198"/>
      <c r="AC23" s="198"/>
      <c r="AD23" s="198"/>
      <c r="AE23" s="199"/>
    </row>
    <row r="24" spans="1:32" ph="1">
      <c r="A24" s="61" ph="1"/>
      <c r="B24" s="206" ph="1">
        <v>0.33333333333333331</v>
      </c>
      <c r="C24" s="117" t="s" ph="1">
        <v>42</v>
      </c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79"/>
      <c r="R24" s="60"/>
      <c r="S24" s="60"/>
      <c r="T24" s="60"/>
      <c r="U24" s="60"/>
      <c r="V24" s="60"/>
      <c r="W24" s="60"/>
      <c r="X24" s="60"/>
      <c r="Y24" s="60"/>
      <c r="Z24" s="200"/>
      <c r="AA24" s="201"/>
      <c r="AB24" s="201"/>
      <c r="AC24" s="201"/>
      <c r="AD24" s="201"/>
      <c r="AE24" s="202"/>
    </row>
    <row r="25" spans="1:32" ph="1">
      <c r="A25" s="61" ph="1"/>
      <c r="B25" s="206" ph="1"/>
      <c r="C25" s="57" t="s" ph="1">
        <v>43</v>
      </c>
      <c r="D25" s="80" ph="1"/>
      <c r="E25" s="80" ph="1"/>
      <c r="F25" s="80" ph="1"/>
      <c r="G25" s="80" ph="1"/>
      <c r="H25" s="80" ph="1"/>
      <c r="I25" s="80" ph="1"/>
      <c r="J25" s="80" ph="1"/>
      <c r="K25" s="80" ph="1"/>
      <c r="L25" s="80" ph="1"/>
      <c r="M25" s="80" ph="1"/>
      <c r="N25" s="80" ph="1"/>
      <c r="O25" s="80" ph="1"/>
      <c r="P25" s="80" ph="1"/>
      <c r="Q25" s="81" ph="1"/>
      <c r="R25" s="80" ph="1"/>
      <c r="S25" s="80" ph="1"/>
      <c r="T25" s="80" ph="1"/>
      <c r="U25" s="80" ph="1"/>
      <c r="V25" s="80" ph="1"/>
      <c r="W25" s="80" ph="1"/>
      <c r="X25" s="80" ph="1"/>
      <c r="Y25" s="80" ph="1"/>
      <c r="Z25" s="200"/>
      <c r="AA25" s="201"/>
      <c r="AB25" s="201"/>
      <c r="AC25" s="201"/>
      <c r="AD25" s="201"/>
      <c r="AE25" s="202"/>
    </row>
    <row r="26" spans="1:32" ph="1">
      <c r="A26" s="61" ph="1"/>
      <c r="B26" s="206" ph="1"/>
      <c r="C26" s="57" t="s" ph="1">
        <v>44</v>
      </c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82"/>
      <c r="R26" s="63"/>
      <c r="S26" s="63"/>
      <c r="T26" s="63"/>
      <c r="U26" s="63"/>
      <c r="V26" s="63"/>
      <c r="W26" s="63"/>
      <c r="X26" s="63"/>
      <c r="Y26" s="63"/>
      <c r="Z26" s="200"/>
      <c r="AA26" s="201"/>
      <c r="AB26" s="201"/>
      <c r="AC26" s="201"/>
      <c r="AD26" s="201"/>
      <c r="AE26" s="202"/>
    </row>
    <row r="27" spans="1:32" ht="26.4" ph="1">
      <c r="A27" s="61" ph="1"/>
      <c r="B27" s="206" ph="1">
        <v>0.66666666666666663</v>
      </c>
      <c r="C27" s="117" t="s" ph="1">
        <v>45</v>
      </c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79"/>
      <c r="R27" s="60"/>
      <c r="S27" s="60"/>
      <c r="T27" s="60"/>
      <c r="U27" s="60"/>
      <c r="V27" s="60"/>
      <c r="W27" s="60"/>
      <c r="X27" s="60"/>
      <c r="Y27" s="60"/>
      <c r="Z27" s="200"/>
      <c r="AA27" s="201"/>
      <c r="AB27" s="201"/>
      <c r="AC27" s="201"/>
      <c r="AD27" s="201"/>
      <c r="AE27" s="202"/>
    </row>
    <row r="28" spans="1:32" ph="1">
      <c r="A28" s="61" ph="1"/>
      <c r="B28" s="206" ph="1"/>
      <c r="C28" s="117" t="s" ph="1">
        <v>43</v>
      </c>
      <c r="D28" s="80" ph="1"/>
      <c r="E28" s="80" ph="1"/>
      <c r="F28" s="80" ph="1"/>
      <c r="G28" s="80" ph="1"/>
      <c r="H28" s="80" ph="1"/>
      <c r="I28" s="80" ph="1"/>
      <c r="J28" s="80" ph="1"/>
      <c r="K28" s="80" ph="1"/>
      <c r="L28" s="80" ph="1"/>
      <c r="M28" s="80" ph="1"/>
      <c r="N28" s="80" ph="1"/>
      <c r="O28" s="80" ph="1"/>
      <c r="P28" s="80" ph="1"/>
      <c r="Q28" s="81" ph="1"/>
      <c r="R28" s="80" ph="1"/>
      <c r="S28" s="80" ph="1"/>
      <c r="T28" s="80" ph="1"/>
      <c r="U28" s="80" ph="1"/>
      <c r="V28" s="80" ph="1"/>
      <c r="W28" s="80" ph="1"/>
      <c r="X28" s="80" ph="1"/>
      <c r="Y28" s="80" ph="1"/>
      <c r="Z28" s="200"/>
      <c r="AA28" s="201"/>
      <c r="AB28" s="201"/>
      <c r="AC28" s="201"/>
      <c r="AD28" s="201"/>
      <c r="AE28" s="202"/>
    </row>
    <row r="29" spans="1:32" ph="1">
      <c r="A29" s="61" ph="1"/>
      <c r="B29" s="206" ph="1"/>
      <c r="C29" s="117" t="s" ph="1">
        <v>44</v>
      </c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82"/>
      <c r="R29" s="63"/>
      <c r="S29" s="63"/>
      <c r="T29" s="63"/>
      <c r="U29" s="63"/>
      <c r="V29" s="63"/>
      <c r="W29" s="63"/>
      <c r="X29" s="63"/>
      <c r="Y29" s="63"/>
      <c r="Z29" s="203"/>
      <c r="AA29" s="204"/>
      <c r="AB29" s="204"/>
      <c r="AC29" s="204"/>
      <c r="AD29" s="204"/>
      <c r="AE29" s="205"/>
    </row>
    <row r="30" spans="1:32" ph="1">
      <c r="D30" s="83" ph="1"/>
      <c r="Z30" s="53" t="s" ph="1">
        <v>23</v>
      </c>
      <c r="AE30" s="84" ph="1"/>
    </row>
    <row r="31" spans="1:32" ht="28.2" ph="1">
      <c r="A31" s="53"/>
      <c r="B31" s="189" t="s" ph="1">
        <v>23</v>
      </c>
      <c r="C31" s="190" ph="1"/>
      <c r="D31" s="167" t="s" ph="1">
        <v>3</v>
      </c>
      <c r="E31" s="168" ph="1"/>
      <c r="F31" s="169" ph="1"/>
      <c r="G31" s="193" ph="1"/>
      <c r="H31" s="168" ph="1"/>
      <c r="I31" s="169" ph="1"/>
      <c r="J31" s="167" ph="1"/>
      <c r="K31" s="168" ph="1"/>
      <c r="L31" s="169" ph="1"/>
      <c r="M31" s="167" ph="1"/>
      <c r="N31" s="168" ph="1"/>
      <c r="O31" s="169" ph="1"/>
      <c r="P31" s="167" ph="1"/>
      <c r="Q31" s="168"/>
      <c r="R31" s="169"/>
      <c r="S31" s="167" ph="1"/>
      <c r="T31" s="168"/>
      <c r="U31" s="169"/>
      <c r="V31" s="167" ph="1"/>
      <c r="W31" s="168" ph="1"/>
      <c r="X31" s="169" ph="1"/>
      <c r="Y31" s="167" ph="1"/>
      <c r="Z31" s="168" ph="1"/>
      <c r="AA31" s="169" ph="1"/>
      <c r="AB31" s="170"/>
      <c r="AC31" s="171"/>
      <c r="AD31" s="171"/>
      <c r="AE31" s="172"/>
    </row>
    <row r="32" spans="1:32" ph="1">
      <c r="A32" s="53"/>
      <c r="B32" s="191" ph="1"/>
      <c r="C32" s="192" ph="1"/>
      <c r="D32" s="85" t="s" ph="1">
        <v>0</v>
      </c>
      <c r="E32" s="117" t="s" ph="1">
        <v>1</v>
      </c>
      <c r="F32" s="116" t="s" ph="1">
        <v>28</v>
      </c>
      <c r="G32" s="86" t="s" ph="1">
        <v>0</v>
      </c>
      <c r="H32" s="117" t="s" ph="1">
        <v>1</v>
      </c>
      <c r="I32" s="116" t="s" ph="1">
        <v>28</v>
      </c>
      <c r="J32" s="86" t="s" ph="1">
        <v>0</v>
      </c>
      <c r="K32" s="117" t="s" ph="1">
        <v>1</v>
      </c>
      <c r="L32" s="116" t="s" ph="1">
        <v>28</v>
      </c>
      <c r="M32" s="86" t="s" ph="1">
        <v>0</v>
      </c>
      <c r="N32" s="117" t="s" ph="1">
        <v>1</v>
      </c>
      <c r="O32" s="116" t="s" ph="1">
        <v>28</v>
      </c>
      <c r="P32" s="86" t="s" ph="1">
        <v>0</v>
      </c>
      <c r="Q32" s="87" t="s" ph="1">
        <v>1</v>
      </c>
      <c r="R32" s="88" t="s" ph="1">
        <v>28</v>
      </c>
      <c r="S32" s="86" t="s" ph="1">
        <v>0</v>
      </c>
      <c r="T32" s="117" t="s" ph="1">
        <v>1</v>
      </c>
      <c r="U32" s="88" t="s" ph="1">
        <v>28</v>
      </c>
      <c r="V32" s="86" t="s" ph="1">
        <v>0</v>
      </c>
      <c r="W32" s="117" t="s" ph="1">
        <v>1</v>
      </c>
      <c r="X32" s="88" t="s" ph="1">
        <v>28</v>
      </c>
      <c r="Y32" s="89" t="s" ph="1">
        <v>0</v>
      </c>
      <c r="Z32" s="117" t="s" ph="1">
        <v>1</v>
      </c>
      <c r="AA32" s="116" t="s" ph="1">
        <v>28</v>
      </c>
      <c r="AB32" s="86" t="s" ph="1">
        <v>38</v>
      </c>
      <c r="AC32" s="117" t="s" ph="1">
        <v>37</v>
      </c>
      <c r="AD32" s="173" t="s" ph="1">
        <v>36</v>
      </c>
      <c r="AE32" s="174"/>
    </row>
    <row r="33" spans="1:31" ph="1">
      <c r="A33" s="53"/>
      <c r="B33" s="175" t="s" ph="1">
        <v>46</v>
      </c>
      <c r="C33" s="176" ph="1"/>
      <c r="D33" s="155" ph="1">
        <f>O10+P10</f>
        <v>1193896.5788479999</v>
      </c>
      <c r="E33" s="155" ph="1">
        <f>H10+I10+J10+K10</f>
        <v>9439.8342126873904</v>
      </c>
      <c r="F33" s="179" ph="1">
        <f>L10+N10</f>
        <v>63712.44996808</v>
      </c>
      <c r="G33" s="181" ph="1">
        <v>0</v>
      </c>
      <c r="H33" s="155" ph="1">
        <v>0</v>
      </c>
      <c r="I33" s="159" ph="1">
        <v>0</v>
      </c>
      <c r="J33" s="163" ph="1">
        <v>0</v>
      </c>
      <c r="K33" s="155" ph="1">
        <v>0</v>
      </c>
      <c r="L33" s="165" ph="1">
        <v>0</v>
      </c>
      <c r="M33" s="163" ph="1">
        <v>0</v>
      </c>
      <c r="N33" s="155" ph="1">
        <v>0</v>
      </c>
      <c r="O33" s="159" ph="1">
        <f>G19</f>
        <v>0</v>
      </c>
      <c r="P33" s="163" ph="1">
        <v>0</v>
      </c>
      <c r="Q33" s="155" ph="1">
        <v>0</v>
      </c>
      <c r="R33" s="159" ph="1">
        <v>0</v>
      </c>
      <c r="S33" s="163" ph="1">
        <v>0</v>
      </c>
      <c r="T33" s="155" ph="1">
        <v>0</v>
      </c>
      <c r="U33" s="144" ph="1">
        <v>0</v>
      </c>
      <c r="V33" s="157" ph="1">
        <v>0</v>
      </c>
      <c r="W33" s="157" ph="1">
        <v>0</v>
      </c>
      <c r="X33" s="159" ph="1">
        <v>0</v>
      </c>
      <c r="Y33" s="161" ph="1">
        <v>0</v>
      </c>
      <c r="Z33" s="142" ph="1">
        <v>0</v>
      </c>
      <c r="AA33" s="144" ph="1">
        <v>0</v>
      </c>
      <c r="AB33" s="146" ph="1">
        <v>0</v>
      </c>
      <c r="AC33" s="148" ph="1">
        <v>0</v>
      </c>
      <c r="AD33" s="150" ph="1">
        <v>0</v>
      </c>
      <c r="AE33" s="151"/>
    </row>
    <row r="34" spans="1:31" ph="1">
      <c r="A34" s="53"/>
      <c r="B34" s="177" ph="1"/>
      <c r="C34" s="178" ph="1"/>
      <c r="D34" s="156" ph="1"/>
      <c r="E34" s="156" ph="1"/>
      <c r="F34" s="180" ph="1"/>
      <c r="G34" s="182" ph="1"/>
      <c r="H34" s="156" ph="1"/>
      <c r="I34" s="160" ph="1"/>
      <c r="J34" s="164" ph="1"/>
      <c r="K34" s="156" ph="1"/>
      <c r="L34" s="166" ph="1"/>
      <c r="M34" s="164" ph="1"/>
      <c r="N34" s="156" ph="1"/>
      <c r="O34" s="160" ph="1"/>
      <c r="P34" s="164" ph="1"/>
      <c r="Q34" s="156" ph="1"/>
      <c r="R34" s="160" ph="1"/>
      <c r="S34" s="164" ph="1"/>
      <c r="T34" s="156"/>
      <c r="U34" s="145"/>
      <c r="V34" s="158" ph="1"/>
      <c r="W34" s="158" ph="1"/>
      <c r="X34" s="160" ph="1"/>
      <c r="Y34" s="162" ph="1"/>
      <c r="Z34" s="143" ph="1"/>
      <c r="AA34" s="145" ph="1"/>
      <c r="AB34" s="147"/>
      <c r="AC34" s="149"/>
      <c r="AD34" s="152"/>
      <c r="AE34" s="153"/>
    </row>
    <row r="35" spans="1:31" ph="1">
      <c r="A35" s="53"/>
      <c r="AC35" s="154" t="s" ph="1">
        <v>52</v>
      </c>
      <c r="AD35" s="154"/>
      <c r="AE35" s="154"/>
    </row>
    <row r="36" spans="1:31" ht="28.2" ph="1">
      <c r="A36" s="53"/>
      <c r="B36" s="92" t="s" ph="1">
        <v>47</v>
      </c>
      <c r="I36" s="140" t="s" ph="1">
        <v>48</v>
      </c>
      <c r="J36" s="140" ph="1"/>
      <c r="K36" s="90" ph="1"/>
      <c r="P36" s="90" ph="1"/>
      <c r="R36" s="140" t="s" ph="1">
        <v>49</v>
      </c>
      <c r="S36" s="140" ph="1"/>
      <c r="Y36" s="91" ph="1"/>
      <c r="Z36" s="115" t="s" ph="1">
        <v>50</v>
      </c>
      <c r="AA36" s="115" ph="1"/>
      <c r="AB36" s="141" t="s" ph="1">
        <v>53</v>
      </c>
      <c r="AC36" s="141" ph="1"/>
      <c r="AD36" s="141" ph="1"/>
      <c r="AE36" s="141" ph="1"/>
    </row>
    <row r="37" spans="1:31" s="115" customFormat="1" ph="1">
      <c r="A37" s="53" ph="1"/>
      <c r="B37" s="53" ph="1"/>
      <c r="C37" s="53" ph="1"/>
      <c r="D37" s="53" ph="1"/>
      <c r="E37" s="53" ph="1"/>
      <c r="F37" s="53" ph="1"/>
      <c r="G37" s="53" ph="1"/>
      <c r="H37" s="53" ph="1"/>
      <c r="I37" s="53" ph="1"/>
      <c r="J37" s="53" ph="1"/>
      <c r="K37" s="53" ph="1"/>
      <c r="L37" s="53" ph="1"/>
      <c r="M37" s="53" ph="1"/>
      <c r="N37" s="53" ph="1"/>
      <c r="O37" s="53" ph="1"/>
      <c r="P37" s="53" ph="1"/>
      <c r="Q37" s="53" ph="1"/>
      <c r="R37" s="53" ph="1"/>
      <c r="S37" s="53" ph="1"/>
      <c r="T37" s="53" ph="1"/>
      <c r="U37" s="53" ph="1"/>
      <c r="V37" s="53" ph="1"/>
      <c r="W37" s="53" ph="1"/>
      <c r="X37" s="53" ph="1"/>
      <c r="Y37" s="53" ph="1"/>
      <c r="Z37" s="53" ph="1"/>
      <c r="AA37" s="53" ph="1"/>
      <c r="AB37" s="53" ph="1"/>
      <c r="AC37" s="53" ph="1"/>
      <c r="AD37" s="53" ph="1"/>
      <c r="AE37" s="53" ph="1"/>
    </row>
    <row r="38" spans="1:31" ph="1">
      <c r="AE38" s="53" ph="1"/>
    </row>
    <row r="42" spans="1:31" ph="1"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64"/>
    </row>
    <row r="43" spans="1:31" ph="1"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64"/>
    </row>
    <row r="44" spans="1:31" ph="1"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64"/>
    </row>
    <row r="45" spans="1:31" ph="1"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64"/>
    </row>
    <row r="46" spans="1:31" ph="1"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64"/>
    </row>
    <row r="47" spans="1:31" ph="1"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64"/>
    </row>
    <row r="48" spans="1:31" ph="1"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64"/>
    </row>
    <row r="49" spans="16:31" ph="1"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64"/>
    </row>
    <row r="50" spans="16:31" ph="1"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64"/>
    </row>
    <row r="51" spans="16:31" ph="1"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64"/>
    </row>
    <row r="52" spans="16:31" ph="1"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64"/>
    </row>
    <row r="53" spans="16:31" ph="1">
      <c r="R53" s="53"/>
      <c r="S53" s="53"/>
      <c r="T53" s="53"/>
      <c r="U53" s="53"/>
      <c r="W53" s="53"/>
      <c r="X53" s="53"/>
      <c r="Y53" s="53"/>
      <c r="Z53" s="53"/>
      <c r="AA53" s="53"/>
      <c r="AB53" s="53"/>
      <c r="AC53" s="53"/>
      <c r="AD53" s="53"/>
    </row>
    <row r="54" spans="16:31" ph="1">
      <c r="R54" s="53"/>
      <c r="S54" s="53"/>
      <c r="T54" s="53"/>
      <c r="U54" s="53"/>
      <c r="W54" s="53"/>
      <c r="X54" s="53"/>
      <c r="Y54" s="53"/>
      <c r="Z54" s="53"/>
      <c r="AA54" s="53"/>
      <c r="AC54" s="53"/>
      <c r="AD54" s="53"/>
    </row>
    <row r="55" spans="16:31" ph="1">
      <c r="R55" s="53"/>
      <c r="S55" s="53"/>
      <c r="T55" s="53"/>
      <c r="U55" s="53"/>
      <c r="V55" s="53"/>
      <c r="W55" s="53"/>
      <c r="X55" s="53"/>
      <c r="Z55" s="53"/>
      <c r="AC55" s="53"/>
      <c r="AD55" s="53"/>
      <c r="AE55" s="64"/>
    </row>
    <row r="56" spans="16:31" ph="1">
      <c r="R56" s="53"/>
      <c r="S56" s="53"/>
      <c r="T56" s="53"/>
      <c r="U56" s="53"/>
      <c r="V56" s="53"/>
      <c r="W56" s="53"/>
      <c r="X56" s="53"/>
      <c r="Z56" s="53"/>
      <c r="AA56" s="53"/>
      <c r="AB56" s="53"/>
      <c r="AC56" s="53"/>
      <c r="AD56" s="53"/>
      <c r="AE56" s="64"/>
    </row>
    <row r="57" spans="16:31" ph="1">
      <c r="R57" s="53"/>
      <c r="S57" s="53"/>
      <c r="T57" s="53"/>
      <c r="U57" s="53"/>
      <c r="V57" s="53"/>
      <c r="W57" s="53"/>
      <c r="AA57" s="53"/>
      <c r="AB57" s="53"/>
      <c r="AC57" s="53"/>
      <c r="AD57" s="53"/>
      <c r="AE57" s="64"/>
    </row>
    <row r="58" spans="16:31" ph="1">
      <c r="P58" s="53"/>
    </row>
    <row r="59" spans="16:31" ph="1">
      <c r="V59" s="53"/>
    </row>
    <row r="60" spans="16:31" ph="1">
      <c r="R60" s="53"/>
      <c r="S60" s="53"/>
      <c r="T60" s="53"/>
    </row>
    <row r="223" spans="18:18" ph="1">
      <c r="R223" s="100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6 D8:D9 D11">
    <cfRule type="expression" dxfId="1530" priority="118">
      <formula>ABS(D$7-D$10)&gt;=1000</formula>
    </cfRule>
  </conditionalFormatting>
  <conditionalFormatting sqref="E4 E6 E8:E9 E11 H7:L7 H10:L10">
    <cfRule type="expression" dxfId="1529" priority="117">
      <formula>ABS(E$7-E$10)&gt;=1000</formula>
    </cfRule>
  </conditionalFormatting>
  <conditionalFormatting sqref="F4 F6 F8:F9 F11">
    <cfRule type="expression" dxfId="1528" priority="116">
      <formula>ABS(F$7-F$10)&gt;=1000</formula>
    </cfRule>
  </conditionalFormatting>
  <conditionalFormatting sqref="G4 G6 G8:G9 G11">
    <cfRule type="expression" dxfId="1527" priority="115">
      <formula>ABS(G$7-G$10)&gt;=1000</formula>
    </cfRule>
  </conditionalFormatting>
  <conditionalFormatting sqref="H4:K4 H6 H8:H9 H11">
    <cfRule type="expression" dxfId="1526" priority="114">
      <formula>ABS(H$7-H$10)&gt;=1000</formula>
    </cfRule>
  </conditionalFormatting>
  <conditionalFormatting sqref="I8:I9 I11">
    <cfRule type="expression" dxfId="1525" priority="113">
      <formula>ABS(I$7-I$10)&gt;=1000</formula>
    </cfRule>
  </conditionalFormatting>
  <conditionalFormatting sqref="J6 J8:J9 J11">
    <cfRule type="expression" dxfId="1524" priority="112">
      <formula>ABS(J$7-J$10)&gt;=1000</formula>
    </cfRule>
  </conditionalFormatting>
  <conditionalFormatting sqref="K6 K8:K9 K11">
    <cfRule type="expression" dxfId="1523" priority="111">
      <formula>ABS(K$7-K$10)&gt;=1000</formula>
    </cfRule>
  </conditionalFormatting>
  <conditionalFormatting sqref="L4:L6 M4:N4 Q4:S4 L8:L9 L11">
    <cfRule type="expression" dxfId="1522" priority="110">
      <formula>ABS(L$7-L$10)&gt;=1000</formula>
    </cfRule>
  </conditionalFormatting>
  <conditionalFormatting sqref="M6:M11">
    <cfRule type="expression" dxfId="1521" priority="109">
      <formula>ABS(M$7-M$10)&gt;=1000</formula>
    </cfRule>
  </conditionalFormatting>
  <conditionalFormatting sqref="N6 N8:N9 N11">
    <cfRule type="expression" dxfId="1520" priority="108">
      <formula>ABS(N$7-N$10)&gt;=1000</formula>
    </cfRule>
  </conditionalFormatting>
  <conditionalFormatting sqref="Q5:Q11">
    <cfRule type="expression" dxfId="1519" priority="107">
      <formula>ABS(Q$7-Q$10)&gt;=1000</formula>
    </cfRule>
  </conditionalFormatting>
  <conditionalFormatting sqref="R5:R11">
    <cfRule type="expression" dxfId="1518" priority="106">
      <formula>ABS(R$7-R$10)&gt;=1000</formula>
    </cfRule>
  </conditionalFormatting>
  <conditionalFormatting sqref="S5:S11">
    <cfRule type="expression" dxfId="1517" priority="105">
      <formula>ABS(S$7-S$10)&gt;=1000</formula>
    </cfRule>
  </conditionalFormatting>
  <conditionalFormatting sqref="T4:T9 T11">
    <cfRule type="expression" dxfId="1516" priority="104">
      <formula>ABS(T$7-T$10)&gt;=1000</formula>
    </cfRule>
  </conditionalFormatting>
  <conditionalFormatting sqref="U4:U9 U11">
    <cfRule type="expression" dxfId="1515" priority="103">
      <formula>ABS(U$7-U$10)&gt;=1000</formula>
    </cfRule>
  </conditionalFormatting>
  <conditionalFormatting sqref="V4:V9 V11">
    <cfRule type="expression" dxfId="1514" priority="102">
      <formula>ABS(V$7-V$10)&gt;=1000</formula>
    </cfRule>
  </conditionalFormatting>
  <conditionalFormatting sqref="W4:W9 W11">
    <cfRule type="expression" dxfId="1513" priority="101">
      <formula>ABS(W$7-W$10)&gt;=1000</formula>
    </cfRule>
  </conditionalFormatting>
  <conditionalFormatting sqref="X4:X9 X11">
    <cfRule type="expression" dxfId="1512" priority="100">
      <formula>ABS(X$7-X$10)&gt;=1000</formula>
    </cfRule>
  </conditionalFormatting>
  <conditionalFormatting sqref="Y4:Y9 Y11">
    <cfRule type="expression" dxfId="1511" priority="99">
      <formula>ABS(Y$7-Y$10)&gt;=1000</formula>
    </cfRule>
  </conditionalFormatting>
  <conditionalFormatting sqref="Z4:Z11">
    <cfRule type="expression" dxfId="1510" priority="98">
      <formula>ABS(Z$7-Z$10)&gt;=1000</formula>
    </cfRule>
  </conditionalFormatting>
  <conditionalFormatting sqref="AA4:AA11">
    <cfRule type="expression" dxfId="1509" priority="97">
      <formula>ABS(AA$7-AA$10)&gt;=1000</formula>
    </cfRule>
  </conditionalFormatting>
  <conditionalFormatting sqref="AB4:AB11">
    <cfRule type="expression" dxfId="1508" priority="96">
      <formula>ABS(AB$7-AB$10)&gt;=1000</formula>
    </cfRule>
  </conditionalFormatting>
  <conditionalFormatting sqref="AC4 AC6:AC11">
    <cfRule type="expression" dxfId="1507" priority="95">
      <formula>ABS(AC$7-AC$10)&gt;=1000</formula>
    </cfRule>
  </conditionalFormatting>
  <conditionalFormatting sqref="AD4 AD6:AD11">
    <cfRule type="expression" dxfId="1506" priority="94">
      <formula>ABS(AD$7-AD$10)&gt;=1000</formula>
    </cfRule>
  </conditionalFormatting>
  <conditionalFormatting sqref="AE4 AE6:AE11">
    <cfRule type="expression" dxfId="1505" priority="93">
      <formula>ABS(AE$7-AE$10)&gt;=1000</formula>
    </cfRule>
  </conditionalFormatting>
  <conditionalFormatting sqref="D13:D20">
    <cfRule type="expression" dxfId="1504" priority="92">
      <formula>ABS(D$16-D$19)&gt;=1000</formula>
    </cfRule>
  </conditionalFormatting>
  <conditionalFormatting sqref="E13:E20">
    <cfRule type="expression" dxfId="1503" priority="91">
      <formula>ABS(E$16-E$19)&gt;=1000</formula>
    </cfRule>
  </conditionalFormatting>
  <conditionalFormatting sqref="F13 F15:F20">
    <cfRule type="expression" dxfId="1502" priority="90">
      <formula>ABS(F$16-F$19)&gt;=1000</formula>
    </cfRule>
  </conditionalFormatting>
  <conditionalFormatting sqref="G13:G20">
    <cfRule type="expression" dxfId="1501" priority="89">
      <formula>ABS(G$16-G$19)&gt;=1000</formula>
    </cfRule>
  </conditionalFormatting>
  <conditionalFormatting sqref="H13 H15:H20">
    <cfRule type="expression" dxfId="1500" priority="88">
      <formula>ABS(H$16-H$19)&gt;=1000</formula>
    </cfRule>
  </conditionalFormatting>
  <conditionalFormatting sqref="I13:I20">
    <cfRule type="expression" dxfId="1499" priority="87">
      <formula>ABS(I$16-I$19)&gt;=1000</formula>
    </cfRule>
  </conditionalFormatting>
  <conditionalFormatting sqref="J13:J20">
    <cfRule type="expression" dxfId="1498" priority="86">
      <formula>ABS(J$16-J$19)&gt;=1000</formula>
    </cfRule>
  </conditionalFormatting>
  <conditionalFormatting sqref="L13:L20">
    <cfRule type="expression" dxfId="1497" priority="85">
      <formula>ABS(L$16-L$19)&gt;=1000</formula>
    </cfRule>
  </conditionalFormatting>
  <conditionalFormatting sqref="M13 M15 M17:M18 M20">
    <cfRule type="expression" dxfId="1496" priority="84">
      <formula>ABS(M$16-M$19)&gt;=1000</formula>
    </cfRule>
  </conditionalFormatting>
  <conditionalFormatting sqref="N13:N20">
    <cfRule type="expression" dxfId="1495" priority="83">
      <formula>ABS(N$16-N$19)&gt;=1000</formula>
    </cfRule>
  </conditionalFormatting>
  <conditionalFormatting sqref="O13:O20">
    <cfRule type="expression" dxfId="1494" priority="82">
      <formula>ABS(O$16-O$19)&gt;=1000</formula>
    </cfRule>
  </conditionalFormatting>
  <conditionalFormatting sqref="P13:P20">
    <cfRule type="expression" dxfId="1493" priority="81">
      <formula>ABS(P$16-P$19)&gt;=1000</formula>
    </cfRule>
  </conditionalFormatting>
  <conditionalFormatting sqref="Q13 Q15:Q20">
    <cfRule type="expression" dxfId="1492" priority="80">
      <formula>ABS(Q$16-Q$19)&gt;=1000</formula>
    </cfRule>
  </conditionalFormatting>
  <conditionalFormatting sqref="R13:R20">
    <cfRule type="expression" dxfId="1491" priority="79">
      <formula>ABS(R$16-R$19)&gt;=1000</formula>
    </cfRule>
  </conditionalFormatting>
  <conditionalFormatting sqref="S13:S20">
    <cfRule type="expression" dxfId="1490" priority="78">
      <formula>ABS(S$16-S$19)&gt;=1000</formula>
    </cfRule>
  </conditionalFormatting>
  <conditionalFormatting sqref="T13:T20">
    <cfRule type="expression" dxfId="1489" priority="77">
      <formula>ABS(T$16-T$19)&gt;=1000</formula>
    </cfRule>
  </conditionalFormatting>
  <conditionalFormatting sqref="U13:U20">
    <cfRule type="expression" dxfId="1488" priority="76">
      <formula>ABS(U$16-U$19)&gt;=1000</formula>
    </cfRule>
  </conditionalFormatting>
  <conditionalFormatting sqref="V13:V20">
    <cfRule type="expression" dxfId="1487" priority="75">
      <formula>ABS(V$16-V$19)&gt;=1000</formula>
    </cfRule>
  </conditionalFormatting>
  <conditionalFormatting sqref="W13 W20 W15:W18">
    <cfRule type="expression" dxfId="1486" priority="74">
      <formula>ABS(W$16-W$19)&gt;=1000</formula>
    </cfRule>
  </conditionalFormatting>
  <conditionalFormatting sqref="X13 X15:X20 Y19">
    <cfRule type="expression" dxfId="1485" priority="73">
      <formula>ABS(X$16-X$19)&gt;=1000</formula>
    </cfRule>
  </conditionalFormatting>
  <conditionalFormatting sqref="Y13 Y15:Y18 Y20">
    <cfRule type="expression" dxfId="1484" priority="72">
      <formula>ABS(Y$16-Y$19)&gt;=1000</formula>
    </cfRule>
  </conditionalFormatting>
  <conditionalFormatting sqref="Z13:Z20">
    <cfRule type="expression" dxfId="1483" priority="71">
      <formula>ABS(Z$16-Z$19)&gt;=1000</formula>
    </cfRule>
  </conditionalFormatting>
  <conditionalFormatting sqref="AA13:AA20">
    <cfRule type="expression" dxfId="1482" priority="70">
      <formula>ABS(AA$16-AA$19)&gt;=1000</formula>
    </cfRule>
  </conditionalFormatting>
  <conditionalFormatting sqref="AB13 AB15:AB20">
    <cfRule type="expression" dxfId="1481" priority="69">
      <formula>ABS(AB$16-AB$19)&gt;=1000</formula>
    </cfRule>
  </conditionalFormatting>
  <conditionalFormatting sqref="AC13 AC15:AC20">
    <cfRule type="expression" dxfId="1480" priority="68">
      <formula>ABS(AC$16-AC$19)&gt;=1000</formula>
    </cfRule>
  </conditionalFormatting>
  <conditionalFormatting sqref="AD13:AD20">
    <cfRule type="expression" dxfId="1479" priority="67">
      <formula>ABS(AD$16-AD$19)&gt;=1000</formula>
    </cfRule>
  </conditionalFormatting>
  <conditionalFormatting sqref="AE13:AE20">
    <cfRule type="expression" dxfId="1478" priority="66">
      <formula>ABS(AE$16-AE$19)&gt;=1000</formula>
    </cfRule>
  </conditionalFormatting>
  <conditionalFormatting sqref="D22:D29">
    <cfRule type="expression" dxfId="1477" priority="65">
      <formula>ABS(D$25-D$28)&gt;=1000</formula>
    </cfRule>
  </conditionalFormatting>
  <conditionalFormatting sqref="E22:E29">
    <cfRule type="expression" dxfId="1476" priority="64">
      <formula>ABS(E$25-E$28)&gt;=1000</formula>
    </cfRule>
  </conditionalFormatting>
  <conditionalFormatting sqref="F22:F29">
    <cfRule type="expression" dxfId="1475" priority="63">
      <formula>ABS(F$25-F$28)&gt;=1000</formula>
    </cfRule>
  </conditionalFormatting>
  <conditionalFormatting sqref="G22:G29">
    <cfRule type="expression" dxfId="1474" priority="62">
      <formula>ABS(G$25-G$28)&gt;=1000</formula>
    </cfRule>
  </conditionalFormatting>
  <conditionalFormatting sqref="H22:H29">
    <cfRule type="expression" dxfId="1473" priority="61">
      <formula>ABS(H$25-H$28)&gt;=1000</formula>
    </cfRule>
  </conditionalFormatting>
  <conditionalFormatting sqref="I22 I24:I29">
    <cfRule type="expression" dxfId="1472" priority="60">
      <formula>ABS(I$25-I$28)&gt;=1000</formula>
    </cfRule>
  </conditionalFormatting>
  <conditionalFormatting sqref="J22:J29 K22">
    <cfRule type="expression" dxfId="1471" priority="59">
      <formula>ABS(J$25-J$28)&gt;=1000</formula>
    </cfRule>
  </conditionalFormatting>
  <conditionalFormatting sqref="K23:K29 L25 L28">
    <cfRule type="expression" dxfId="1470" priority="58">
      <formula>ABS(K$25-K$28)&gt;=1000</formula>
    </cfRule>
  </conditionalFormatting>
  <conditionalFormatting sqref="L22 L26:L27 L29 L24">
    <cfRule type="expression" dxfId="1469" priority="57">
      <formula>ABS(L$25-L$28)&gt;=1000</formula>
    </cfRule>
  </conditionalFormatting>
  <conditionalFormatting sqref="M22:M29">
    <cfRule type="expression" dxfId="1468" priority="56">
      <formula>ABS(M$25-M$28)&gt;=1000</formula>
    </cfRule>
  </conditionalFormatting>
  <conditionalFormatting sqref="N22:N29">
    <cfRule type="expression" dxfId="1467" priority="55">
      <formula>ABS(N$25-N$28)&gt;=1000</formula>
    </cfRule>
  </conditionalFormatting>
  <conditionalFormatting sqref="O22:O29">
    <cfRule type="expression" dxfId="1466" priority="54">
      <formula>ABS(O$25-O$28)&gt;=1000</formula>
    </cfRule>
  </conditionalFormatting>
  <conditionalFormatting sqref="P22:P29">
    <cfRule type="expression" dxfId="1465" priority="53">
      <formula>ABS(P$25-P$28)&gt;=1000</formula>
    </cfRule>
  </conditionalFormatting>
  <conditionalFormatting sqref="Q22:Q29">
    <cfRule type="expression" dxfId="1464" priority="52">
      <formula>ABS(Q$25-Q$28)&gt;=1000</formula>
    </cfRule>
  </conditionalFormatting>
  <conditionalFormatting sqref="R22:R29">
    <cfRule type="expression" dxfId="1463" priority="51">
      <formula>ABS(R$25-R$28)&gt;=1000</formula>
    </cfRule>
  </conditionalFormatting>
  <conditionalFormatting sqref="S22:S29">
    <cfRule type="expression" dxfId="1462" priority="50">
      <formula>ABS(S$25-S$28)&gt;=1000</formula>
    </cfRule>
  </conditionalFormatting>
  <conditionalFormatting sqref="T22:T29">
    <cfRule type="expression" dxfId="1461" priority="49">
      <formula>ABS(T$25-T$28)&gt;=1000</formula>
    </cfRule>
  </conditionalFormatting>
  <conditionalFormatting sqref="U22:U29">
    <cfRule type="expression" dxfId="1460" priority="48">
      <formula>ABS(U$25-U$28)&gt;=1000</formula>
    </cfRule>
  </conditionalFormatting>
  <conditionalFormatting sqref="V22:V29">
    <cfRule type="expression" dxfId="1459" priority="47">
      <formula>ABS(V$25-V$28)&gt;=1000</formula>
    </cfRule>
  </conditionalFormatting>
  <conditionalFormatting sqref="W22:W29">
    <cfRule type="expression" dxfId="1458" priority="46">
      <formula>ABS(W$25-W$28)&gt;=1000</formula>
    </cfRule>
  </conditionalFormatting>
  <conditionalFormatting sqref="X22:X29">
    <cfRule type="expression" dxfId="1457" priority="45">
      <formula>ABS(X$25-X$28)&gt;=1000</formula>
    </cfRule>
  </conditionalFormatting>
  <conditionalFormatting sqref="Y22:Y29">
    <cfRule type="expression" dxfId="1456" priority="44">
      <formula>ABS(Y$25-Y$28)&gt;=1000</formula>
    </cfRule>
  </conditionalFormatting>
  <conditionalFormatting sqref="I23">
    <cfRule type="expression" dxfId="1455" priority="43">
      <formula>ABS(I$25-I$28)&gt;=1000</formula>
    </cfRule>
  </conditionalFormatting>
  <conditionalFormatting sqref="Q14">
    <cfRule type="expression" dxfId="1454" priority="42">
      <formula>ABS(Q$16-Q$19)&gt;=1000</formula>
    </cfRule>
  </conditionalFormatting>
  <conditionalFormatting sqref="W14">
    <cfRule type="expression" dxfId="1453" priority="41">
      <formula>ABS(W$16-W$19)&gt;=1000</formula>
    </cfRule>
  </conditionalFormatting>
  <conditionalFormatting sqref="X14">
    <cfRule type="expression" dxfId="1452" priority="40">
      <formula>ABS(X$16-X$19)&gt;=1000</formula>
    </cfRule>
  </conditionalFormatting>
  <conditionalFormatting sqref="T10:Y10">
    <cfRule type="expression" dxfId="1451" priority="39">
      <formula>ABS(T$7-T$10)&gt;=1000</formula>
    </cfRule>
  </conditionalFormatting>
  <conditionalFormatting sqref="W19">
    <cfRule type="expression" dxfId="1450" priority="38">
      <formula>ABS(W$16-W$19)&gt;=1000</formula>
    </cfRule>
  </conditionalFormatting>
  <conditionalFormatting sqref="AC5">
    <cfRule type="expression" dxfId="1449" priority="37">
      <formula>ABS(AC$7-AC$10)&gt;=1000</formula>
    </cfRule>
  </conditionalFormatting>
  <conditionalFormatting sqref="M14">
    <cfRule type="expression" dxfId="1448" priority="36">
      <formula>ABS(M$16-M$19)&gt;=1000</formula>
    </cfRule>
  </conditionalFormatting>
  <conditionalFormatting sqref="M16">
    <cfRule type="expression" dxfId="1447" priority="35">
      <formula>ABS(M$16-M$19)&gt;=1000</formula>
    </cfRule>
  </conditionalFormatting>
  <conditionalFormatting sqref="M19">
    <cfRule type="expression" dxfId="1446" priority="34">
      <formula>ABS(M$16-M$19)&gt;=1000</formula>
    </cfRule>
  </conditionalFormatting>
  <conditionalFormatting sqref="K13:K20">
    <cfRule type="expression" dxfId="1445" priority="33">
      <formula>ABS(K$16-K$19)&gt;=1000</formula>
    </cfRule>
  </conditionalFormatting>
  <conditionalFormatting sqref="AB14:AC14">
    <cfRule type="expression" dxfId="1444" priority="32">
      <formula>ABS(AB$16-AB$19)&gt;=1000</formula>
    </cfRule>
  </conditionalFormatting>
  <conditionalFormatting sqref="M5">
    <cfRule type="expression" dxfId="1443" priority="31">
      <formula>ABS(M$7-M$10)&gt;=1000</formula>
    </cfRule>
  </conditionalFormatting>
  <conditionalFormatting sqref="N5">
    <cfRule type="expression" dxfId="1442" priority="30">
      <formula>ABS(N$7-N$10)&gt;=1000</formula>
    </cfRule>
  </conditionalFormatting>
  <conditionalFormatting sqref="L23">
    <cfRule type="expression" dxfId="1441" priority="29">
      <formula>ABS(L$25-L$28)&gt;=1000</formula>
    </cfRule>
  </conditionalFormatting>
  <conditionalFormatting sqref="Y14">
    <cfRule type="expression" dxfId="1440" priority="28">
      <formula>ABS(Y$16-Y$19)&gt;=1000</formula>
    </cfRule>
  </conditionalFormatting>
  <conditionalFormatting sqref="F14">
    <cfRule type="expression" dxfId="1439" priority="27">
      <formula>ABS(F$16-F$19)&gt;=1000</formula>
    </cfRule>
  </conditionalFormatting>
  <conditionalFormatting sqref="H14">
    <cfRule type="expression" dxfId="1438" priority="26">
      <formula>ABS(H$16-H$19)&gt;=1000</formula>
    </cfRule>
  </conditionalFormatting>
  <conditionalFormatting sqref="AD5">
    <cfRule type="expression" dxfId="1437" priority="25">
      <formula>ABS(AD$7-AD$10)&gt;=1000</formula>
    </cfRule>
  </conditionalFormatting>
  <conditionalFormatting sqref="AE5">
    <cfRule type="expression" dxfId="1436" priority="24">
      <formula>ABS(AE$7-AE$10)&gt;=1000</formula>
    </cfRule>
  </conditionalFormatting>
  <conditionalFormatting sqref="D5">
    <cfRule type="expression" dxfId="1435" priority="23">
      <formula>ABS(D$7-D$10)&gt;=1000</formula>
    </cfRule>
  </conditionalFormatting>
  <conditionalFormatting sqref="E5:G5">
    <cfRule type="expression" dxfId="1434" priority="22">
      <formula>ABS(E$7-E$10)&gt;=1000</formula>
    </cfRule>
  </conditionalFormatting>
  <conditionalFormatting sqref="H5:K5">
    <cfRule type="expression" dxfId="1433" priority="21">
      <formula>ABS(H$7-H$10)&gt;=1000</formula>
    </cfRule>
  </conditionalFormatting>
  <conditionalFormatting sqref="O4:P4">
    <cfRule type="expression" dxfId="1432" priority="20">
      <formula>ABS(O$7-O$10)&gt;=1000</formula>
    </cfRule>
  </conditionalFormatting>
  <conditionalFormatting sqref="O5:O6 O8:O9 O11">
    <cfRule type="expression" dxfId="1431" priority="19">
      <formula>ABS(O$7-O$10)&gt;=1000</formula>
    </cfRule>
  </conditionalFormatting>
  <conditionalFormatting sqref="P6 P8:P9 P11">
    <cfRule type="expression" dxfId="1430" priority="18">
      <formula>ABS(P$7-P$10)&gt;=1000</formula>
    </cfRule>
  </conditionalFormatting>
  <conditionalFormatting sqref="P5">
    <cfRule type="expression" dxfId="1429" priority="17">
      <formula>ABS(P$7-P$10)&gt;=1000</formula>
    </cfRule>
  </conditionalFormatting>
  <conditionalFormatting sqref="F7">
    <cfRule type="expression" dxfId="1428" priority="10">
      <formula>ABS(F$7-F$10)&gt;=1000</formula>
    </cfRule>
  </conditionalFormatting>
  <conditionalFormatting sqref="O7:P7">
    <cfRule type="expression" dxfId="1427" priority="16">
      <formula>ABS(O$7-O$10)&gt;=1000</formula>
    </cfRule>
  </conditionalFormatting>
  <conditionalFormatting sqref="N7">
    <cfRule type="expression" dxfId="1426" priority="14">
      <formula>ABS(N$7-N$10)&gt;=1000</formula>
    </cfRule>
  </conditionalFormatting>
  <conditionalFormatting sqref="N10">
    <cfRule type="expression" dxfId="1425" priority="13">
      <formula>ABS(N$7-N$10)&gt;=1000</formula>
    </cfRule>
  </conditionalFormatting>
  <conditionalFormatting sqref="D7">
    <cfRule type="expression" dxfId="1424" priority="12">
      <formula>ABS(D$7-D$10)&gt;=1000</formula>
    </cfRule>
  </conditionalFormatting>
  <conditionalFormatting sqref="D10">
    <cfRule type="expression" dxfId="1423" priority="8">
      <formula>ABS(D$7-D$10)&gt;=1000</formula>
    </cfRule>
  </conditionalFormatting>
  <conditionalFormatting sqref="E7">
    <cfRule type="expression" dxfId="1422" priority="11">
      <formula>ABS(E$7-E$10)&gt;=1000</formula>
    </cfRule>
  </conditionalFormatting>
  <conditionalFormatting sqref="G7">
    <cfRule type="expression" dxfId="1421" priority="9">
      <formula>ABS(G$7-G$10)&gt;=1000</formula>
    </cfRule>
  </conditionalFormatting>
  <conditionalFormatting sqref="E10">
    <cfRule type="expression" dxfId="1420" priority="7">
      <formula>ABS(E$7-E$10)&gt;=1000</formula>
    </cfRule>
  </conditionalFormatting>
  <conditionalFormatting sqref="F10">
    <cfRule type="expression" dxfId="1419" priority="6">
      <formula>ABS(F$7-F$10)&gt;=1000</formula>
    </cfRule>
  </conditionalFormatting>
  <conditionalFormatting sqref="G10">
    <cfRule type="expression" dxfId="1418" priority="5">
      <formula>ABS(G$7-G$10)&gt;=1000</formula>
    </cfRule>
  </conditionalFormatting>
  <conditionalFormatting sqref="I6">
    <cfRule type="expression" dxfId="1417" priority="3">
      <formula>ABS(I$7-I$10)&gt;=1000</formula>
    </cfRule>
  </conditionalFormatting>
  <conditionalFormatting sqref="O10">
    <cfRule type="expression" dxfId="1416" priority="2">
      <formula>ABS(O$7-O$10)&gt;=1000</formula>
    </cfRule>
  </conditionalFormatting>
  <conditionalFormatting sqref="P10">
    <cfRule type="expression" dxfId="1415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244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18">
    <pageSetUpPr fitToPage="1"/>
  </sheetPr>
  <dimension ref="A1:BA223"/>
  <sheetViews>
    <sheetView view="pageBreakPreview" zoomScale="110" zoomScaleNormal="100" zoomScaleSheetLayoutView="110" workbookViewId="0">
      <selection activeCell="H10" sqref="H10"/>
    </sheetView>
  </sheetViews>
  <sheetFormatPr defaultColWidth="8.109375" defaultRowHeight="25.8"/>
  <cols>
    <col min="1" max="1" width="11.6640625" style="53" customWidth="1" phonetic="1"/>
    <col min="2" max="2" width="7.6640625" style="53" customWidth="1" phonetic="1"/>
    <col min="3" max="3" width="8" style="53" customWidth="1" phonetic="1"/>
    <col min="4" max="16" width="8.77734375" style="53" customWidth="1" phonetic="1"/>
    <col min="17" max="30" width="7.6640625" style="53" customWidth="1" phonetic="1"/>
    <col min="31" max="31" width="7.6640625" style="64" customWidth="1" phonetic="1"/>
    <col min="32" max="32" width="11.6640625" style="53" bestFit="1" customWidth="1" phonetic="1"/>
    <col min="33" max="16384" width="8.109375" style="53" phonetic="1"/>
  </cols>
  <sheetData>
    <row r="1" spans="1:53" ht="31.2" ph="1">
      <c r="A1" s="53"/>
      <c r="B1" s="207" t="s" ph="1">
        <v>39</v>
      </c>
      <c r="C1" s="207" ph="1"/>
      <c r="D1" s="207" ph="1"/>
      <c r="E1" s="207" ph="1"/>
      <c r="F1" s="207" ph="1"/>
      <c r="G1" s="207" ph="1"/>
      <c r="H1" s="207" ph="1"/>
      <c r="I1" s="207" ph="1"/>
      <c r="J1" s="207" ph="1"/>
      <c r="K1" s="207" ph="1"/>
      <c r="L1" s="207" ph="1"/>
      <c r="M1" s="207" ph="1"/>
      <c r="N1" s="207" ph="1"/>
      <c r="O1" s="207" ph="1"/>
      <c r="P1" s="207" ph="1"/>
      <c r="Q1" s="207" ph="1"/>
      <c r="R1" s="207" ph="1"/>
      <c r="S1" s="207" ph="1"/>
      <c r="T1" s="207" ph="1"/>
      <c r="U1" s="207" ph="1"/>
      <c r="V1" s="207" ph="1"/>
      <c r="W1" s="207" ph="1"/>
      <c r="X1" s="207" ph="1"/>
      <c r="Y1" s="207" ph="1"/>
      <c r="Z1" s="207" ph="1"/>
      <c r="AA1" s="207" ph="1"/>
      <c r="AB1" s="207" ph="1"/>
      <c r="AC1" s="207" ph="1"/>
      <c r="AD1" s="207" ph="1"/>
      <c r="AE1" s="207" ph="1"/>
    </row>
    <row r="2" spans="1:53" s="55" customFormat="1" ht="24" customHeight="1" ph="1">
      <c r="B2" s="208" t="s" ph="1">
        <v>35</v>
      </c>
      <c r="C2" s="208" ph="1"/>
      <c r="D2" s="208" ph="1"/>
      <c r="E2" s="208" ph="1"/>
      <c r="F2" s="208" ph="1"/>
      <c r="G2" s="208" ph="1"/>
      <c r="H2" s="208" ph="1"/>
      <c r="I2" s="208" ph="1"/>
      <c r="J2" s="208" ph="1"/>
      <c r="K2" s="208" ph="1"/>
      <c r="L2" s="208" ph="1"/>
      <c r="M2" s="208" ph="1"/>
      <c r="N2" s="208" ph="1"/>
      <c r="O2" s="208" ph="1"/>
      <c r="P2" s="208" ph="1"/>
      <c r="Q2" s="208" ph="1"/>
      <c r="R2" s="208" ph="1"/>
      <c r="S2" s="208" ph="1"/>
      <c r="T2" s="208" ph="1"/>
      <c r="U2" s="208" ph="1"/>
      <c r="V2" s="208" ph="1"/>
      <c r="W2" s="208" ph="1"/>
      <c r="X2" s="208" ph="1"/>
      <c r="Y2" s="208" ph="1"/>
      <c r="Z2" s="208" ph="1"/>
      <c r="AA2" s="208" ph="1"/>
      <c r="AB2" s="208" ph="1"/>
      <c r="AC2" s="208" ph="1"/>
      <c r="AD2" s="208" ph="1"/>
      <c r="AE2" s="208" ph="1"/>
    </row>
    <row r="3" spans="1:53" ht="21" customHeight="1" ph="1">
      <c r="B3" s="209" ph="1">
        <v>46052</v>
      </c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209"/>
      <c r="P3" s="209"/>
      <c r="Q3" s="209"/>
      <c r="R3" s="209"/>
      <c r="S3" s="209"/>
      <c r="T3" s="209"/>
      <c r="U3" s="209"/>
      <c r="V3" s="209"/>
      <c r="W3" s="209"/>
      <c r="X3" s="209"/>
      <c r="Y3" s="209"/>
      <c r="Z3" s="209"/>
      <c r="AA3" s="209"/>
      <c r="AB3" s="209"/>
      <c r="AC3" s="209"/>
      <c r="AD3" s="209"/>
      <c r="AE3" s="209"/>
    </row>
    <row r="4" spans="1:53" s="58" customFormat="1" ph="1">
      <c r="A4" s="54" ph="1"/>
      <c r="B4" s="188" t="s" ph="1">
        <v>25</v>
      </c>
      <c r="C4" s="56" t="s" ph="1">
        <v>41</v>
      </c>
      <c r="D4" s="57" t="s" ph="1">
        <v>29</v>
      </c>
      <c r="E4" s="57" t="s" ph="1">
        <v>30</v>
      </c>
      <c r="F4" s="57" t="s" ph="1">
        <v>27</v>
      </c>
      <c r="G4" s="57" t="s" ph="1">
        <v>54</v>
      </c>
      <c r="H4" s="57" t="s" ph="1">
        <v>55</v>
      </c>
      <c r="I4" s="57" t="s" ph="1">
        <v>56</v>
      </c>
      <c r="J4" s="57" t="s" ph="1">
        <v>57</v>
      </c>
      <c r="K4" s="57" t="s" ph="1">
        <v>58</v>
      </c>
      <c r="L4" s="57" t="s" ph="1">
        <v>59</v>
      </c>
      <c r="M4" s="57" t="s" ph="1">
        <v>60</v>
      </c>
      <c r="N4" s="57" t="s" ph="1">
        <v>61</v>
      </c>
      <c r="O4" s="57" t="s" ph="1">
        <v>62</v>
      </c>
      <c r="P4" s="57" t="s" ph="1">
        <v>63</v>
      </c>
      <c r="Q4" s="57" ph="1"/>
      <c r="R4" s="57" ph="1"/>
      <c r="S4" s="57" ph="1"/>
      <c r="T4" s="57" ph="1"/>
      <c r="U4" s="57" ph="1"/>
      <c r="V4" s="57" ph="1"/>
      <c r="W4" s="57" ph="1"/>
      <c r="X4" s="57" ph="1"/>
      <c r="Y4" s="57" ph="1"/>
      <c r="Z4" s="57" ph="1"/>
      <c r="AA4" s="57" ph="1"/>
      <c r="AB4" s="57" ph="1"/>
      <c r="AC4" s="57" ph="1"/>
      <c r="AD4" s="57" ph="1"/>
      <c r="AE4" s="57" ph="1"/>
      <c r="AF4" s="54" ph="1"/>
      <c r="AG4" s="54" ph="1"/>
      <c r="AH4" s="54" ph="1"/>
      <c r="AI4" s="54" ph="1"/>
      <c r="AJ4" s="54" ph="1"/>
      <c r="AK4" s="54" ph="1"/>
      <c r="AL4" s="54" ph="1"/>
      <c r="AM4" s="54" ph="1"/>
      <c r="AN4" s="54" ph="1"/>
      <c r="AO4" s="54" ph="1"/>
      <c r="AP4" s="54" ph="1"/>
      <c r="AQ4" s="54" ph="1"/>
      <c r="AR4" s="54" ph="1"/>
      <c r="AS4" s="54" ph="1"/>
      <c r="AT4" s="54" ph="1"/>
      <c r="AU4" s="54" ph="1"/>
      <c r="AV4" s="54" ph="1"/>
      <c r="AW4" s="54" ph="1"/>
      <c r="AX4" s="54" ph="1"/>
      <c r="AY4" s="54" ph="1"/>
      <c r="AZ4" s="54" ph="1"/>
      <c r="BA4" s="54" ph="1"/>
    </row>
    <row r="5" spans="1:53" s="58" customFormat="1" ht="29.25" customHeight="1" ph="1">
      <c r="A5" s="54" ph="1"/>
      <c r="B5" s="188" ph="1"/>
      <c r="C5" s="56" t="s" ph="1">
        <v>24</v>
      </c>
      <c r="D5" s="103" t="s" ph="1">
        <v>64</v>
      </c>
      <c r="E5" s="103" t="s" ph="1">
        <v>64</v>
      </c>
      <c r="F5" s="103" t="s" ph="1">
        <v>64</v>
      </c>
      <c r="G5" s="103" t="s" ph="1">
        <v>64</v>
      </c>
      <c r="H5" s="103" t="s" ph="1">
        <v>64</v>
      </c>
      <c r="I5" s="103" t="s" ph="1">
        <v>64</v>
      </c>
      <c r="J5" s="103" t="s" ph="1">
        <v>64</v>
      </c>
      <c r="K5" s="103" t="s" ph="1">
        <v>64</v>
      </c>
      <c r="L5" s="102" t="s" ph="1">
        <v>51</v>
      </c>
      <c r="M5" s="102" t="s" ph="1">
        <v>65</v>
      </c>
      <c r="N5" s="59" t="s" ph="1">
        <v>51</v>
      </c>
      <c r="O5" s="59" t="s" ph="1">
        <v>66</v>
      </c>
      <c r="P5" s="59" t="s" ph="1">
        <v>66</v>
      </c>
      <c r="Q5" s="59" ph="1"/>
      <c r="R5" s="59" ph="1"/>
      <c r="S5" s="59" ph="1"/>
      <c r="T5" s="59" ph="1"/>
      <c r="U5" s="59" ph="1"/>
      <c r="V5" s="59" ph="1"/>
      <c r="W5" s="59" ph="1"/>
      <c r="X5" s="59" ph="1"/>
      <c r="Y5" s="59" ph="1"/>
      <c r="Z5" s="59" ph="1"/>
      <c r="AA5" s="59" ph="1"/>
      <c r="AB5" s="59" ph="1"/>
      <c r="AC5" s="59" ph="1"/>
      <c r="AD5" s="60"/>
      <c r="AE5" s="60"/>
      <c r="AF5" s="54" ph="1"/>
      <c r="AG5" s="54" ph="1"/>
      <c r="AH5" s="54" ph="1"/>
      <c r="AI5" s="54" ph="1"/>
      <c r="AJ5" s="54" ph="1"/>
      <c r="AK5" s="54" ph="1"/>
      <c r="AL5" s="54" ph="1"/>
      <c r="AM5" s="54" ph="1"/>
      <c r="AN5" s="54" ph="1"/>
      <c r="AO5" s="54" ph="1"/>
      <c r="AP5" s="54" ph="1"/>
      <c r="AQ5" s="54" ph="1"/>
      <c r="AR5" s="54" ph="1"/>
      <c r="AS5" s="54" ph="1"/>
      <c r="AT5" s="54" ph="1"/>
      <c r="AU5" s="54" ph="1"/>
      <c r="AV5" s="54" ph="1"/>
      <c r="AW5" s="54" ph="1"/>
      <c r="AX5" s="54" ph="1"/>
      <c r="AY5" s="54" ph="1"/>
      <c r="AZ5" s="54" ph="1"/>
      <c r="BA5" s="54" ph="1"/>
    </row>
    <row r="6" spans="1:53" ph="1">
      <c r="B6" s="206" ph="1">
        <v>0.33333333333333331</v>
      </c>
      <c r="C6" s="107" t="s" ph="1">
        <v>42</v>
      </c>
      <c r="D6" s="109">
        <v>1</v>
      </c>
      <c r="E6" s="109">
        <v>0.01</v>
      </c>
      <c r="F6" s="109">
        <v>0.01</v>
      </c>
      <c r="G6" s="109">
        <v>0.01</v>
      </c>
      <c r="H6" s="109">
        <v>0.09</v>
      </c>
      <c r="I6" s="109">
        <v>0</v>
      </c>
      <c r="J6" s="109">
        <v>0</v>
      </c>
      <c r="K6" s="109">
        <v>0</v>
      </c>
      <c r="L6" s="109">
        <v>0</v>
      </c>
      <c r="M6" s="109">
        <v>0</v>
      </c>
      <c r="N6" s="109">
        <v>0</v>
      </c>
      <c r="O6" s="109">
        <v>1</v>
      </c>
      <c r="P6" s="109">
        <v>5.5500000000000001E-2</v>
      </c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</row>
    <row r="7" spans="1:53" s="61" customFormat="1" ht="22.2" ph="1">
      <c r="B7" s="206" ph="1"/>
      <c r="C7" s="57" t="s" ph="1">
        <v>43</v>
      </c>
      <c r="D7" s="62" ph="1">
        <f>((D6*5885)*4.4793)*LOOKUP(D8,密度!$A$2:$A$50,密度!$B$2:$B$50)</f>
        <v>20550.786517799999</v>
      </c>
      <c r="E7" s="62" ph="1">
        <f>((E6*5885)*4.4793)*LOOKUP(E8,密度!$A$2:$A$50,密度!$B$2:$B$50)</f>
        <v>207.511276896</v>
      </c>
      <c r="F7" s="62" ph="1">
        <f>((F6*5885)*4.4793)*LOOKUP(F8,密度!$A$2:$A$50,密度!$B$2:$B$50)</f>
        <v>207.511276896</v>
      </c>
      <c r="G7" s="62" ph="1">
        <f>((G6*5885)*4.4793)*LOOKUP(G8,密度!$A$2:$A$50,密度!$B$2:$B$50)</f>
        <v>207.511276896</v>
      </c>
      <c r="H7" s="62" ph="1">
        <f>IF(H6=0, 0, IF(H6*6.3&lt;=1.1, 13.823*(H6*6.3)^2-4.189*(H6*6.3)^3, 11.151+15.2058*(H6*6.3-1.1))) * LOOKUP(H8, 密度!$A$2:$A$50, 密度!$B$2:$B$50)*1000</f>
        <v>2903.4310097052476</v>
      </c>
      <c r="I7" s="62" ph="1">
        <f>((I6*6300)*18.322)*LOOKUP(I8,密度!$A$2:$A$50,密度!$B$2:$B$50)</f>
        <v>0</v>
      </c>
      <c r="J7" s="62" ph="1">
        <f>((J6*6300)*18.322)*LOOKUP(J8,密度!$A$2:$A$50,密度!$B$2:$B$50)</f>
        <v>0</v>
      </c>
      <c r="K7" s="62" ph="1">
        <f>((K6*6300)*18.322)*LOOKUP(K8,密度!$A$2:$A$50,密度!$B$2:$B$50)</f>
        <v>0</v>
      </c>
      <c r="L7" s="62" ph="1">
        <f>(L6*6650)*26.42*LOOKUP(L8,密度!$A$2:$A$50,密度!$B$2:$B$50)</f>
        <v>0</v>
      </c>
      <c r="M7" s="62" ph="1">
        <f>(M6*6650)*26.42*1</f>
        <v>0</v>
      </c>
      <c r="N7" s="62" ph="1">
        <f>(N6*5150)*18.32*LOOKUP(N8,密度!$A$2:$A$50,密度!$B$2:$B$50)</f>
        <v>0</v>
      </c>
      <c r="O7" s="62" ph="1">
        <f>(O6*12400)*81.71*LOOKUP(O8,密度!$A$2:$A$50,密度!$B$2:$B$50)</f>
        <v>789893.83839999989</v>
      </c>
      <c r="P7" s="62" ph="1">
        <f>(P6*12400)*81.71*LOOKUP(P8,密度!$A$2:$A$50,密度!$B$2:$B$50)</f>
        <v>44311.463736000005</v>
      </c>
      <c r="Q7" s="62" ph="1"/>
      <c r="R7" s="62" ph="1"/>
      <c r="S7" s="62" ph="1"/>
      <c r="T7" s="62" ph="1"/>
      <c r="U7" s="62" ph="1"/>
      <c r="V7" s="62" ph="1"/>
      <c r="W7" s="62" ph="1"/>
      <c r="X7" s="62" ph="1"/>
      <c r="Y7" s="62" ph="1"/>
      <c r="Z7" s="62" ph="1"/>
      <c r="AA7" s="62" ph="1"/>
      <c r="AB7" s="62" ph="1"/>
      <c r="AC7" s="62" ph="1"/>
      <c r="AD7" s="62" ph="1"/>
      <c r="AE7" s="62" ph="1"/>
    </row>
    <row r="8" spans="1:53" ph="1">
      <c r="B8" s="206" ph="1"/>
      <c r="C8" s="57" t="s" ph="1">
        <v>44</v>
      </c>
      <c r="D8" s="63">
        <v>25</v>
      </c>
      <c r="E8" s="63">
        <v>16</v>
      </c>
      <c r="F8" s="63">
        <v>16</v>
      </c>
      <c r="G8" s="63">
        <v>16</v>
      </c>
      <c r="H8" s="63">
        <v>14</v>
      </c>
      <c r="I8" s="63">
        <v>25</v>
      </c>
      <c r="J8" s="63">
        <v>25</v>
      </c>
      <c r="K8" s="63">
        <v>25</v>
      </c>
      <c r="L8" s="63">
        <v>25</v>
      </c>
      <c r="M8" s="63">
        <v>16</v>
      </c>
      <c r="N8" s="63">
        <v>18</v>
      </c>
      <c r="O8" s="63">
        <v>25</v>
      </c>
      <c r="P8" s="63">
        <v>15</v>
      </c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</row>
    <row r="9" spans="1:53" ht="26.4" ph="1">
      <c r="B9" s="206" ph="1">
        <v>0.66666666666666663</v>
      </c>
      <c r="C9" s="107" t="s" ph="1">
        <v>45</v>
      </c>
      <c r="D9" s="109">
        <v>0.1</v>
      </c>
      <c r="E9" s="109">
        <v>0.05</v>
      </c>
      <c r="F9" s="109">
        <v>0.05</v>
      </c>
      <c r="G9" s="109">
        <v>0.05</v>
      </c>
      <c r="H9" s="109">
        <v>0</v>
      </c>
      <c r="I9" s="109">
        <v>0</v>
      </c>
      <c r="J9" s="109">
        <v>0</v>
      </c>
      <c r="K9" s="109">
        <v>0</v>
      </c>
      <c r="L9" s="109">
        <v>0</v>
      </c>
      <c r="M9" s="109">
        <v>0</v>
      </c>
      <c r="N9" s="109">
        <v>0</v>
      </c>
      <c r="O9" s="109">
        <v>2.2200000000000001E-2</v>
      </c>
      <c r="P9" s="109">
        <v>0.05</v>
      </c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</row>
    <row r="10" spans="1:53" s="61" customFormat="1" ht="22.2" ph="1">
      <c r="B10" s="206" ph="1"/>
      <c r="C10" s="107" t="s" ph="1">
        <v>43</v>
      </c>
      <c r="D10" s="62" ph="1">
        <f>((D9*5885)*4.4793)*LOOKUP(D11,密度!$A$2:$A$50,密度!$B$2:$B$50)</f>
        <v>2064.5684967600005</v>
      </c>
      <c r="E10" s="62" ph="1">
        <f>((E9*5885)*4.4793)*LOOKUP(E11,密度!$A$2:$A$50,密度!$B$2:$B$50)</f>
        <v>1035.5793334425</v>
      </c>
      <c r="F10" s="62" ph="1">
        <f>((F9*5885)*4.4793)*LOOKUP(F11,密度!$A$2:$A$50,密度!$B$2:$B$50)</f>
        <v>1035.5793334425</v>
      </c>
      <c r="G10" s="62" ph="1">
        <f>((G9*5885)*4.4793)*LOOKUP(G11,密度!$A$2:$A$50,密度!$B$2:$B$50)</f>
        <v>1035.5793334425</v>
      </c>
      <c r="H10" s="62" ph="1">
        <f>((H9*6300)*18.322)*LOOKUP(H11,密度!$A$2:$A$50,密度!$B$2:$B$50)</f>
        <v>0</v>
      </c>
      <c r="I10" s="62" ph="1">
        <f>((I9*6300)*18.322)*LOOKUP(I11,密度!$A$2:$A$50,密度!$B$2:$B$50)</f>
        <v>0</v>
      </c>
      <c r="J10" s="62" ph="1">
        <f>((J9*6300)*18.322)*LOOKUP(J11,密度!$A$2:$A$50,密度!$B$2:$B$50)</f>
        <v>0</v>
      </c>
      <c r="K10" s="62" ph="1">
        <f>((K9*6300)*18.322)*LOOKUP(K11,密度!$A$2:$A$50,密度!$B$2:$B$50)</f>
        <v>0</v>
      </c>
      <c r="L10" s="62" ph="1">
        <f>(L9*6650)*26.42*LOOKUP(L11,密度!$A$2:$A$50,密度!$B$2:$B$50)</f>
        <v>0</v>
      </c>
      <c r="M10" s="62" ph="1">
        <f>(M9*6650)*26.42*1</f>
        <v>0</v>
      </c>
      <c r="N10" s="62" ph="1">
        <f>N9*18.32*LOOKUP(N11,密度!$A$2:$A$50,密度!$B$2:$B$50)</f>
        <v>0</v>
      </c>
      <c r="O10" s="62" ph="1">
        <f>(O9*12400)*81.71*LOOKUP(O11,密度!$A$2:$A$50,密度!$B$2:$B$50)</f>
        <v>17535.643212480001</v>
      </c>
      <c r="P10" s="62" ph="1">
        <f>(P9*12400)*81.71*LOOKUP(P11,密度!$A$2:$A$50,密度!$B$2:$B$50)</f>
        <v>39879.709439999999</v>
      </c>
      <c r="Q10" s="62" ph="1"/>
      <c r="R10" s="62" ph="1"/>
      <c r="S10" s="62" ph="1"/>
      <c r="T10" s="62" ph="1"/>
      <c r="U10" s="62" ph="1"/>
      <c r="V10" s="62" ph="1"/>
      <c r="W10" s="62" ph="1"/>
      <c r="X10" s="62" ph="1"/>
      <c r="Y10" s="62" ph="1"/>
      <c r="Z10" s="62" ph="1"/>
      <c r="AA10" s="62" ph="1"/>
      <c r="AB10" s="62" ph="1"/>
      <c r="AC10" s="62" ph="1"/>
      <c r="AD10" s="62" ph="1"/>
      <c r="AE10" s="62" ph="1"/>
    </row>
    <row r="11" spans="1:53" ph="1">
      <c r="A11" s="53" t="s" ph="1">
        <v>40</v>
      </c>
      <c r="B11" s="206" ph="1"/>
      <c r="C11" s="107" t="s" ph="1">
        <v>44</v>
      </c>
      <c r="D11" s="63">
        <v>21</v>
      </c>
      <c r="E11" s="63">
        <v>18</v>
      </c>
      <c r="F11" s="63">
        <v>18</v>
      </c>
      <c r="G11" s="63">
        <v>18</v>
      </c>
      <c r="H11" s="63">
        <v>25</v>
      </c>
      <c r="I11" s="63">
        <v>25</v>
      </c>
      <c r="J11" s="63">
        <v>25</v>
      </c>
      <c r="K11" s="63">
        <v>25</v>
      </c>
      <c r="L11" s="63">
        <v>25</v>
      </c>
      <c r="M11" s="63">
        <v>19</v>
      </c>
      <c r="N11" s="63">
        <v>19</v>
      </c>
      <c r="O11" s="63">
        <v>25</v>
      </c>
      <c r="P11" s="63">
        <v>16</v>
      </c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</row>
    <row r="12" spans="1:53" ht="9.9" customHeight="1" ph="1"/>
    <row r="13" spans="1:53" s="61" customFormat="1" ht="29.25" customHeight="1" ph="1">
      <c r="B13" s="183" t="s" ph="1">
        <v>25</v>
      </c>
      <c r="C13" s="107" t="s" ph="1">
        <v>41</v>
      </c>
      <c r="D13" s="65" ph="1"/>
      <c r="E13" s="65" ph="1"/>
      <c r="F13" s="65" ph="1"/>
      <c r="G13" s="65" ph="1"/>
      <c r="H13" s="65" ph="1"/>
      <c r="I13" s="65" ph="1"/>
      <c r="J13" s="65" ph="1"/>
      <c r="K13" s="65" ph="1"/>
      <c r="L13" s="65" ph="1"/>
      <c r="M13" s="65" ph="1"/>
      <c r="N13" s="65" ph="1"/>
      <c r="O13" s="65" ph="1"/>
      <c r="P13" s="65" ph="1"/>
      <c r="Q13" s="65" ph="1"/>
      <c r="R13" s="65" ph="1"/>
      <c r="S13" s="65" ph="1"/>
      <c r="T13" s="65" ph="1"/>
      <c r="U13" s="65" ph="1"/>
      <c r="V13" s="65" ph="1"/>
      <c r="W13" s="65" ph="1"/>
      <c r="X13" s="65" ph="1"/>
      <c r="Y13" s="94" ph="1"/>
      <c r="Z13" s="65" ph="1"/>
      <c r="AA13" s="65" ph="1"/>
      <c r="AB13" s="65" ph="1"/>
      <c r="AC13" s="65" ph="1"/>
      <c r="AD13" s="65" ph="1"/>
      <c r="AE13" s="65" ph="1"/>
    </row>
    <row r="14" spans="1:53" s="61" customFormat="1" ht="24" ph="1">
      <c r="B14" s="184" ph="1"/>
      <c r="C14" s="56" t="s" ph="1">
        <v>24</v>
      </c>
      <c r="D14" s="66" ph="1"/>
      <c r="E14" s="66" ph="1"/>
      <c r="F14" s="108" ph="1"/>
      <c r="G14" s="66" ph="1"/>
      <c r="H14" s="66" ph="1"/>
      <c r="I14" s="101" ph="1"/>
      <c r="J14" s="66" ph="1"/>
      <c r="K14" s="66" ph="1"/>
      <c r="L14" s="66" ph="1"/>
      <c r="M14" s="93" ph="1"/>
      <c r="N14" s="93" ph="1"/>
      <c r="O14" s="93" ph="1"/>
      <c r="P14" s="66" ph="1"/>
      <c r="Q14" s="66" ph="1"/>
      <c r="R14" s="77" ph="1"/>
      <c r="S14" s="66" ph="1"/>
      <c r="T14" s="66" ph="1"/>
      <c r="U14" s="66" ph="1"/>
      <c r="V14" s="66" ph="1"/>
      <c r="W14" s="66" ph="1"/>
      <c r="X14" s="66" ph="1"/>
      <c r="Y14" s="104" ph="1"/>
      <c r="Z14" s="66" ph="1"/>
      <c r="AA14" s="66" ph="1"/>
      <c r="AB14" s="66" ph="1"/>
      <c r="AC14" s="66" ph="1"/>
      <c r="AD14" s="66" ph="1"/>
      <c r="AE14" s="66" ph="1"/>
    </row>
    <row r="15" spans="1:53" ph="1">
      <c r="B15" s="185" ph="1">
        <v>0.33333333333333331</v>
      </c>
      <c r="C15" s="107" t="s" ph="1">
        <v>42</v>
      </c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0"/>
      <c r="X15" s="67"/>
      <c r="Y15" s="95"/>
      <c r="Z15" s="67"/>
      <c r="AA15" s="67"/>
      <c r="AB15" s="67" ph="1"/>
      <c r="AC15" s="67" ph="1"/>
      <c r="AD15" s="67"/>
      <c r="AE15" s="67"/>
    </row>
    <row r="16" spans="1:53" s="61" customFormat="1" ht="22.2" ph="1">
      <c r="B16" s="186" ph="1"/>
      <c r="C16" s="107" t="s" ph="1">
        <v>43</v>
      </c>
      <c r="D16" s="62" ph="1"/>
      <c r="E16" s="62" ph="1"/>
      <c r="F16" s="62" ph="1"/>
      <c r="G16" s="62" ph="1"/>
      <c r="H16" s="62" ph="1"/>
      <c r="I16" s="62" ph="1"/>
      <c r="J16" s="62" ph="1"/>
      <c r="K16" s="62" ph="1"/>
      <c r="L16" s="62" ph="1"/>
      <c r="M16" s="62" ph="1"/>
      <c r="N16" s="62" ph="1"/>
      <c r="O16" s="62" ph="1"/>
      <c r="P16" s="62" ph="1"/>
      <c r="Q16" s="62" ph="1"/>
      <c r="R16" s="62" ph="1"/>
      <c r="S16" s="62" ph="1"/>
      <c r="T16" s="62" ph="1"/>
      <c r="U16" s="62" ph="1"/>
      <c r="V16" s="62" ph="1"/>
      <c r="W16" s="62" ph="1"/>
      <c r="X16" s="62" ph="1"/>
      <c r="Y16" s="96" ph="1"/>
      <c r="Z16" s="62" ph="1"/>
      <c r="AA16" s="62" ph="1"/>
      <c r="AB16" s="62" ph="1"/>
      <c r="AC16" s="62" ph="1"/>
      <c r="AD16" s="62" ph="1"/>
      <c r="AE16" s="62" ph="1"/>
    </row>
    <row r="17" spans="1:32" ph="1">
      <c r="A17" s="53" t="s" ph="1">
        <v>33</v>
      </c>
      <c r="B17" s="187" ph="1"/>
      <c r="C17" s="68" t="s" ph="1">
        <v>44</v>
      </c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97"/>
      <c r="Z17" s="63"/>
      <c r="AA17" s="63"/>
      <c r="AB17" s="63"/>
      <c r="AC17" s="63"/>
      <c r="AD17" s="63"/>
      <c r="AE17" s="63"/>
    </row>
    <row r="18" spans="1:32" ht="26.4" ph="1">
      <c r="B18" s="185" ph="1">
        <v>0.66666666666666663</v>
      </c>
      <c r="C18" s="68" t="s" ph="1">
        <v>45</v>
      </c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98"/>
      <c r="Z18" s="60"/>
      <c r="AA18" s="60"/>
      <c r="AB18" s="60"/>
      <c r="AC18" s="60"/>
      <c r="AD18" s="60"/>
      <c r="AE18" s="60"/>
    </row>
    <row r="19" spans="1:32" s="61" customFormat="1" ht="22.2" ph="1">
      <c r="B19" s="186" ph="1"/>
      <c r="C19" s="107" t="s" ph="1">
        <v>43</v>
      </c>
      <c r="D19" s="62" ph="1"/>
      <c r="E19" s="62" ph="1"/>
      <c r="F19" s="62" ph="1"/>
      <c r="G19" s="62" ph="1"/>
      <c r="H19" s="62" ph="1"/>
      <c r="I19" s="62" ph="1"/>
      <c r="J19" s="62" ph="1"/>
      <c r="K19" s="62" ph="1"/>
      <c r="L19" s="62" ph="1"/>
      <c r="M19" s="62" ph="1"/>
      <c r="N19" s="62" ph="1"/>
      <c r="O19" s="62" ph="1"/>
      <c r="P19" s="62" ph="1"/>
      <c r="Q19" s="62" ph="1"/>
      <c r="R19" s="62" ph="1"/>
      <c r="S19" s="62" ph="1"/>
      <c r="T19" s="62" ph="1"/>
      <c r="U19" s="62" ph="1"/>
      <c r="V19" s="62" ph="1"/>
      <c r="W19" s="62" ph="1"/>
      <c r="X19" s="62" ph="1"/>
      <c r="Y19" s="62" ph="1"/>
      <c r="Z19" s="62" ph="1"/>
      <c r="AA19" s="62" ph="1"/>
      <c r="AB19" s="62" ph="1"/>
      <c r="AC19" s="62" ph="1"/>
      <c r="AD19" s="62" ph="1"/>
      <c r="AE19" s="62" ph="1"/>
    </row>
    <row r="20" spans="1:32" ph="1">
      <c r="A20" s="61" ph="1"/>
      <c r="B20" s="186" ph="1"/>
      <c r="C20" s="69" t="s" ph="1">
        <v>44</v>
      </c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99"/>
      <c r="Z20" s="70"/>
      <c r="AA20" s="70"/>
      <c r="AB20" s="70"/>
      <c r="AC20" s="70"/>
      <c r="AD20" s="70"/>
      <c r="AE20" s="70"/>
      <c r="AF20" s="53" t="s" ph="1">
        <v>23</v>
      </c>
    </row>
    <row r="21" spans="1:32" ph="1">
      <c r="A21" s="61" ph="1"/>
      <c r="B21" s="71" ph="1"/>
      <c r="C21" s="72" ph="1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</row>
    <row r="22" spans="1:32" ph="1">
      <c r="A22" s="61" ph="1"/>
      <c r="B22" s="184" t="s" ph="1">
        <v>25</v>
      </c>
      <c r="C22" s="74" t="s" ph="1">
        <v>41</v>
      </c>
      <c r="D22" s="75" ph="1"/>
      <c r="E22" s="75" ph="1"/>
      <c r="F22" s="75" ph="1"/>
      <c r="G22" s="75" ph="1"/>
      <c r="H22" s="75" ph="1"/>
      <c r="I22" s="75" ph="1"/>
      <c r="J22" s="75" ph="1"/>
      <c r="K22" s="75" ph="1"/>
      <c r="L22" s="75" ph="1"/>
      <c r="M22" s="75" ph="1"/>
      <c r="N22" s="75" ph="1"/>
      <c r="O22" s="75" ph="1"/>
      <c r="P22" s="75" ph="1"/>
      <c r="Q22" s="76" ph="1"/>
      <c r="R22" s="75" ph="1"/>
      <c r="S22" s="75" ph="1"/>
      <c r="T22" s="75" ph="1"/>
      <c r="U22" s="75" ph="1"/>
      <c r="V22" s="75" ph="1"/>
      <c r="W22" s="75" ph="1"/>
      <c r="X22" s="75" ph="1"/>
      <c r="Y22" s="75" ph="1"/>
      <c r="Z22" s="194" t="s" ph="1">
        <v>31</v>
      </c>
      <c r="AA22" s="195"/>
      <c r="AB22" s="195"/>
      <c r="AC22" s="195"/>
      <c r="AD22" s="195"/>
      <c r="AE22" s="196"/>
    </row>
    <row r="23" spans="1:32" ph="1">
      <c r="A23" s="61" ph="1"/>
      <c r="B23" s="188" ph="1"/>
      <c r="C23" s="56" t="s" ph="1">
        <v>24</v>
      </c>
      <c r="D23" s="77" ph="1"/>
      <c r="E23" s="77" ph="1"/>
      <c r="F23" s="77" ph="1"/>
      <c r="G23" s="77" ph="1"/>
      <c r="H23" s="77" ph="1"/>
      <c r="I23" s="77" ph="1"/>
      <c r="J23" s="77" ph="1"/>
      <c r="K23" s="77" ph="1"/>
      <c r="L23" s="77" ph="1"/>
      <c r="M23" s="77" ph="1"/>
      <c r="N23" s="77" ph="1"/>
      <c r="O23" s="77" ph="1"/>
      <c r="P23" s="77" ph="1"/>
      <c r="Q23" s="78" ph="1"/>
      <c r="R23" s="77" ph="1"/>
      <c r="S23" s="77" ph="1"/>
      <c r="T23" s="77" ph="1"/>
      <c r="U23" s="93" ph="1"/>
      <c r="V23" s="77" ph="1"/>
      <c r="W23" s="77" ph="1"/>
      <c r="X23" s="77" ph="1"/>
      <c r="Y23" s="77" ph="1"/>
      <c r="Z23" s="197" t="s" ph="1">
        <v>67</v>
      </c>
      <c r="AA23" s="198"/>
      <c r="AB23" s="198"/>
      <c r="AC23" s="198"/>
      <c r="AD23" s="198"/>
      <c r="AE23" s="199"/>
    </row>
    <row r="24" spans="1:32" ph="1">
      <c r="A24" s="61" ph="1"/>
      <c r="B24" s="206" ph="1">
        <v>0.33333333333333331</v>
      </c>
      <c r="C24" s="107" t="s" ph="1">
        <v>42</v>
      </c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79"/>
      <c r="R24" s="60"/>
      <c r="S24" s="60"/>
      <c r="T24" s="60"/>
      <c r="U24" s="60"/>
      <c r="V24" s="60"/>
      <c r="W24" s="60"/>
      <c r="X24" s="60"/>
      <c r="Y24" s="60"/>
      <c r="Z24" s="200"/>
      <c r="AA24" s="201"/>
      <c r="AB24" s="201"/>
      <c r="AC24" s="201"/>
      <c r="AD24" s="201"/>
      <c r="AE24" s="202"/>
    </row>
    <row r="25" spans="1:32" ph="1">
      <c r="A25" s="61" ph="1"/>
      <c r="B25" s="206" ph="1"/>
      <c r="C25" s="57" t="s" ph="1">
        <v>43</v>
      </c>
      <c r="D25" s="80" ph="1"/>
      <c r="E25" s="80" ph="1"/>
      <c r="F25" s="80" ph="1"/>
      <c r="G25" s="80" ph="1"/>
      <c r="H25" s="80" ph="1"/>
      <c r="I25" s="80" ph="1"/>
      <c r="J25" s="80" ph="1"/>
      <c r="K25" s="80" ph="1"/>
      <c r="L25" s="80" ph="1"/>
      <c r="M25" s="80" ph="1"/>
      <c r="N25" s="80" ph="1"/>
      <c r="O25" s="80" ph="1"/>
      <c r="P25" s="80" ph="1"/>
      <c r="Q25" s="81" ph="1"/>
      <c r="R25" s="80" ph="1"/>
      <c r="S25" s="80" ph="1"/>
      <c r="T25" s="80" ph="1"/>
      <c r="U25" s="80" ph="1"/>
      <c r="V25" s="80" ph="1"/>
      <c r="W25" s="80" ph="1"/>
      <c r="X25" s="80" ph="1"/>
      <c r="Y25" s="80" ph="1"/>
      <c r="Z25" s="200"/>
      <c r="AA25" s="201"/>
      <c r="AB25" s="201"/>
      <c r="AC25" s="201"/>
      <c r="AD25" s="201"/>
      <c r="AE25" s="202"/>
    </row>
    <row r="26" spans="1:32" ph="1">
      <c r="A26" s="61" ph="1"/>
      <c r="B26" s="206" ph="1"/>
      <c r="C26" s="57" t="s" ph="1">
        <v>44</v>
      </c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82"/>
      <c r="R26" s="63"/>
      <c r="S26" s="63"/>
      <c r="T26" s="63"/>
      <c r="U26" s="63"/>
      <c r="V26" s="63"/>
      <c r="W26" s="63"/>
      <c r="X26" s="63"/>
      <c r="Y26" s="63"/>
      <c r="Z26" s="200"/>
      <c r="AA26" s="201"/>
      <c r="AB26" s="201"/>
      <c r="AC26" s="201"/>
      <c r="AD26" s="201"/>
      <c r="AE26" s="202"/>
    </row>
    <row r="27" spans="1:32" ht="26.4" ph="1">
      <c r="A27" s="61" ph="1"/>
      <c r="B27" s="206" ph="1">
        <v>0.66666666666666663</v>
      </c>
      <c r="C27" s="107" t="s" ph="1">
        <v>45</v>
      </c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79"/>
      <c r="R27" s="60"/>
      <c r="S27" s="60"/>
      <c r="T27" s="60"/>
      <c r="U27" s="60"/>
      <c r="V27" s="60"/>
      <c r="W27" s="60"/>
      <c r="X27" s="60"/>
      <c r="Y27" s="60"/>
      <c r="Z27" s="200"/>
      <c r="AA27" s="201"/>
      <c r="AB27" s="201"/>
      <c r="AC27" s="201"/>
      <c r="AD27" s="201"/>
      <c r="AE27" s="202"/>
    </row>
    <row r="28" spans="1:32" ph="1">
      <c r="A28" s="61" ph="1"/>
      <c r="B28" s="206" ph="1"/>
      <c r="C28" s="107" t="s" ph="1">
        <v>43</v>
      </c>
      <c r="D28" s="80" ph="1"/>
      <c r="E28" s="80" ph="1"/>
      <c r="F28" s="80" ph="1"/>
      <c r="G28" s="80" ph="1"/>
      <c r="H28" s="80" ph="1"/>
      <c r="I28" s="80" ph="1"/>
      <c r="J28" s="80" ph="1"/>
      <c r="K28" s="80" ph="1"/>
      <c r="L28" s="80" ph="1"/>
      <c r="M28" s="80" ph="1"/>
      <c r="N28" s="80" ph="1"/>
      <c r="O28" s="80" ph="1"/>
      <c r="P28" s="80" ph="1"/>
      <c r="Q28" s="81" ph="1"/>
      <c r="R28" s="80" ph="1"/>
      <c r="S28" s="80" ph="1"/>
      <c r="T28" s="80" ph="1"/>
      <c r="U28" s="80" ph="1"/>
      <c r="V28" s="80" ph="1"/>
      <c r="W28" s="80" ph="1"/>
      <c r="X28" s="80" ph="1"/>
      <c r="Y28" s="80" ph="1"/>
      <c r="Z28" s="200"/>
      <c r="AA28" s="201"/>
      <c r="AB28" s="201"/>
      <c r="AC28" s="201"/>
      <c r="AD28" s="201"/>
      <c r="AE28" s="202"/>
    </row>
    <row r="29" spans="1:32" ph="1">
      <c r="A29" s="61" ph="1"/>
      <c r="B29" s="206" ph="1"/>
      <c r="C29" s="107" t="s" ph="1">
        <v>44</v>
      </c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82"/>
      <c r="R29" s="63"/>
      <c r="S29" s="63"/>
      <c r="T29" s="63"/>
      <c r="U29" s="63"/>
      <c r="V29" s="63"/>
      <c r="W29" s="63"/>
      <c r="X29" s="63"/>
      <c r="Y29" s="63"/>
      <c r="Z29" s="203"/>
      <c r="AA29" s="204"/>
      <c r="AB29" s="204"/>
      <c r="AC29" s="204"/>
      <c r="AD29" s="204"/>
      <c r="AE29" s="205"/>
    </row>
    <row r="30" spans="1:32" ph="1">
      <c r="D30" s="83" ph="1"/>
      <c r="Z30" s="53" t="s" ph="1">
        <v>23</v>
      </c>
      <c r="AE30" s="84" ph="1"/>
    </row>
    <row r="31" spans="1:32" ht="28.2" ph="1">
      <c r="A31" s="53"/>
      <c r="B31" s="189" t="s" ph="1">
        <v>23</v>
      </c>
      <c r="C31" s="190" ph="1"/>
      <c r="D31" s="167" t="s" ph="1">
        <v>3</v>
      </c>
      <c r="E31" s="168" ph="1"/>
      <c r="F31" s="169" ph="1"/>
      <c r="G31" s="193" ph="1"/>
      <c r="H31" s="168" ph="1"/>
      <c r="I31" s="169" ph="1"/>
      <c r="J31" s="167" ph="1"/>
      <c r="K31" s="168" ph="1"/>
      <c r="L31" s="169" ph="1"/>
      <c r="M31" s="167" ph="1"/>
      <c r="N31" s="168" ph="1"/>
      <c r="O31" s="169" ph="1"/>
      <c r="P31" s="167" ph="1"/>
      <c r="Q31" s="168"/>
      <c r="R31" s="169"/>
      <c r="S31" s="167" ph="1"/>
      <c r="T31" s="168"/>
      <c r="U31" s="169"/>
      <c r="V31" s="167" ph="1"/>
      <c r="W31" s="168" ph="1"/>
      <c r="X31" s="169" ph="1"/>
      <c r="Y31" s="167" ph="1"/>
      <c r="Z31" s="168" ph="1"/>
      <c r="AA31" s="169" ph="1"/>
      <c r="AB31" s="170"/>
      <c r="AC31" s="171"/>
      <c r="AD31" s="171"/>
      <c r="AE31" s="172"/>
    </row>
    <row r="32" spans="1:32" ph="1">
      <c r="A32" s="53"/>
      <c r="B32" s="191" ph="1"/>
      <c r="C32" s="192" ph="1"/>
      <c r="D32" s="85" t="s" ph="1">
        <v>0</v>
      </c>
      <c r="E32" s="107" t="s" ph="1">
        <v>1</v>
      </c>
      <c r="F32" s="106" t="s" ph="1">
        <v>28</v>
      </c>
      <c r="G32" s="86" t="s" ph="1">
        <v>0</v>
      </c>
      <c r="H32" s="107" t="s" ph="1">
        <v>1</v>
      </c>
      <c r="I32" s="106" t="s" ph="1">
        <v>28</v>
      </c>
      <c r="J32" s="86" t="s" ph="1">
        <v>0</v>
      </c>
      <c r="K32" s="107" t="s" ph="1">
        <v>1</v>
      </c>
      <c r="L32" s="106" t="s" ph="1">
        <v>28</v>
      </c>
      <c r="M32" s="86" t="s" ph="1">
        <v>0</v>
      </c>
      <c r="N32" s="107" t="s" ph="1">
        <v>1</v>
      </c>
      <c r="O32" s="106" t="s" ph="1">
        <v>28</v>
      </c>
      <c r="P32" s="86" t="s" ph="1">
        <v>0</v>
      </c>
      <c r="Q32" s="87" t="s" ph="1">
        <v>1</v>
      </c>
      <c r="R32" s="88" t="s" ph="1">
        <v>28</v>
      </c>
      <c r="S32" s="86" t="s" ph="1">
        <v>0</v>
      </c>
      <c r="T32" s="107" t="s" ph="1">
        <v>1</v>
      </c>
      <c r="U32" s="88" t="s" ph="1">
        <v>28</v>
      </c>
      <c r="V32" s="86" t="s" ph="1">
        <v>0</v>
      </c>
      <c r="W32" s="107" t="s" ph="1">
        <v>1</v>
      </c>
      <c r="X32" s="88" t="s" ph="1">
        <v>28</v>
      </c>
      <c r="Y32" s="89" t="s" ph="1">
        <v>0</v>
      </c>
      <c r="Z32" s="107" t="s" ph="1">
        <v>1</v>
      </c>
      <c r="AA32" s="106" t="s" ph="1">
        <v>28</v>
      </c>
      <c r="AB32" s="86" t="s" ph="1">
        <v>38</v>
      </c>
      <c r="AC32" s="107" t="s" ph="1">
        <v>37</v>
      </c>
      <c r="AD32" s="173" t="s" ph="1">
        <v>36</v>
      </c>
      <c r="AE32" s="174"/>
    </row>
    <row r="33" spans="1:31" ph="1">
      <c r="A33" s="53"/>
      <c r="B33" s="175" t="s" ph="1">
        <v>46</v>
      </c>
      <c r="C33" s="176" ph="1"/>
      <c r="D33" s="155" ph="1">
        <f>O10+P10</f>
        <v>57415.352652479996</v>
      </c>
      <c r="E33" s="155" ph="1">
        <f>H10+I10+J10+K10</f>
        <v>0</v>
      </c>
      <c r="F33" s="179" ph="1">
        <f>L10+N10</f>
        <v>0</v>
      </c>
      <c r="G33" s="181" ph="1">
        <v>0</v>
      </c>
      <c r="H33" s="155" ph="1">
        <v>0</v>
      </c>
      <c r="I33" s="159" ph="1">
        <v>0</v>
      </c>
      <c r="J33" s="163" ph="1">
        <v>0</v>
      </c>
      <c r="K33" s="155" ph="1">
        <v>0</v>
      </c>
      <c r="L33" s="165" ph="1">
        <v>0</v>
      </c>
      <c r="M33" s="163" ph="1">
        <v>0</v>
      </c>
      <c r="N33" s="155" ph="1">
        <v>0</v>
      </c>
      <c r="O33" s="159" ph="1">
        <f>G19</f>
        <v>0</v>
      </c>
      <c r="P33" s="163" ph="1">
        <v>0</v>
      </c>
      <c r="Q33" s="155" ph="1">
        <v>0</v>
      </c>
      <c r="R33" s="159" ph="1">
        <v>0</v>
      </c>
      <c r="S33" s="163" ph="1">
        <v>0</v>
      </c>
      <c r="T33" s="155" ph="1">
        <v>0</v>
      </c>
      <c r="U33" s="144" ph="1">
        <v>0</v>
      </c>
      <c r="V33" s="157" ph="1">
        <v>0</v>
      </c>
      <c r="W33" s="157" ph="1">
        <v>0</v>
      </c>
      <c r="X33" s="159" ph="1">
        <v>0</v>
      </c>
      <c r="Y33" s="161" ph="1">
        <v>0</v>
      </c>
      <c r="Z33" s="142" ph="1">
        <v>0</v>
      </c>
      <c r="AA33" s="144" ph="1">
        <v>0</v>
      </c>
      <c r="AB33" s="146" ph="1">
        <v>0</v>
      </c>
      <c r="AC33" s="148" ph="1">
        <v>0</v>
      </c>
      <c r="AD33" s="150" ph="1">
        <v>0</v>
      </c>
      <c r="AE33" s="151"/>
    </row>
    <row r="34" spans="1:31" ph="1">
      <c r="A34" s="53"/>
      <c r="B34" s="177" ph="1"/>
      <c r="C34" s="178" ph="1"/>
      <c r="D34" s="156" ph="1"/>
      <c r="E34" s="156" ph="1"/>
      <c r="F34" s="180" ph="1"/>
      <c r="G34" s="182" ph="1"/>
      <c r="H34" s="156" ph="1"/>
      <c r="I34" s="160" ph="1"/>
      <c r="J34" s="164" ph="1"/>
      <c r="K34" s="156" ph="1"/>
      <c r="L34" s="166" ph="1"/>
      <c r="M34" s="164" ph="1"/>
      <c r="N34" s="156" ph="1"/>
      <c r="O34" s="160" ph="1"/>
      <c r="P34" s="164" ph="1"/>
      <c r="Q34" s="156" ph="1"/>
      <c r="R34" s="160" ph="1"/>
      <c r="S34" s="164" ph="1"/>
      <c r="T34" s="156"/>
      <c r="U34" s="145"/>
      <c r="V34" s="158" ph="1"/>
      <c r="W34" s="158" ph="1"/>
      <c r="X34" s="160" ph="1"/>
      <c r="Y34" s="162" ph="1"/>
      <c r="Z34" s="143" ph="1"/>
      <c r="AA34" s="145" ph="1"/>
      <c r="AB34" s="147"/>
      <c r="AC34" s="149"/>
      <c r="AD34" s="152"/>
      <c r="AE34" s="153"/>
    </row>
    <row r="35" spans="1:31" ph="1">
      <c r="A35" s="53"/>
      <c r="AC35" s="154" t="s" ph="1">
        <v>52</v>
      </c>
      <c r="AD35" s="154"/>
      <c r="AE35" s="154"/>
    </row>
    <row r="36" spans="1:31" ht="28.2" ph="1">
      <c r="A36" s="53"/>
      <c r="B36" s="92" t="s" ph="1">
        <v>47</v>
      </c>
      <c r="I36" s="140" t="s" ph="1">
        <v>48</v>
      </c>
      <c r="J36" s="140" ph="1"/>
      <c r="K36" s="90" ph="1"/>
      <c r="P36" s="90" ph="1"/>
      <c r="R36" s="140" t="s" ph="1">
        <v>49</v>
      </c>
      <c r="S36" s="140" ph="1"/>
      <c r="Y36" s="91" ph="1"/>
      <c r="Z36" s="105" t="s" ph="1">
        <v>50</v>
      </c>
      <c r="AA36" s="105" ph="1"/>
      <c r="AB36" s="141" t="s" ph="1">
        <v>53</v>
      </c>
      <c r="AC36" s="141" ph="1"/>
      <c r="AD36" s="141" ph="1"/>
      <c r="AE36" s="141" ph="1"/>
    </row>
    <row r="37" spans="1:31" s="105" customFormat="1" ph="1">
      <c r="A37" s="53" ph="1"/>
      <c r="B37" s="53" ph="1"/>
      <c r="C37" s="53" ph="1"/>
      <c r="D37" s="53" ph="1"/>
      <c r="E37" s="53" ph="1"/>
      <c r="F37" s="53" ph="1"/>
      <c r="G37" s="53" ph="1"/>
      <c r="H37" s="53" ph="1"/>
      <c r="I37" s="53" ph="1"/>
      <c r="J37" s="53" ph="1"/>
      <c r="K37" s="53" ph="1"/>
      <c r="L37" s="53" ph="1"/>
      <c r="M37" s="53" ph="1"/>
      <c r="N37" s="53" ph="1"/>
      <c r="O37" s="53" ph="1"/>
      <c r="P37" s="53" ph="1"/>
      <c r="Q37" s="53" ph="1"/>
      <c r="R37" s="53" ph="1"/>
      <c r="S37" s="53" ph="1"/>
      <c r="T37" s="53" ph="1"/>
      <c r="U37" s="53" ph="1"/>
      <c r="V37" s="53" ph="1"/>
      <c r="W37" s="53" ph="1"/>
      <c r="X37" s="53" ph="1"/>
      <c r="Y37" s="53" ph="1"/>
      <c r="Z37" s="53" ph="1"/>
      <c r="AA37" s="53" ph="1"/>
      <c r="AB37" s="53" ph="1"/>
      <c r="AC37" s="53" ph="1"/>
      <c r="AD37" s="53" ph="1"/>
      <c r="AE37" s="53" ph="1"/>
    </row>
    <row r="38" spans="1:31" ph="1">
      <c r="AE38" s="53" ph="1"/>
    </row>
    <row r="42" spans="1:31" ph="1"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64"/>
    </row>
    <row r="43" spans="1:31" ph="1"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64"/>
    </row>
    <row r="44" spans="1:31" ph="1"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64"/>
    </row>
    <row r="45" spans="1:31" ph="1"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64"/>
    </row>
    <row r="46" spans="1:31" ph="1"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64"/>
    </row>
    <row r="47" spans="1:31" ph="1"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64"/>
    </row>
    <row r="48" spans="1:31" ph="1"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64"/>
    </row>
    <row r="49" spans="16:31" ph="1"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64"/>
    </row>
    <row r="50" spans="16:31" ph="1"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64"/>
    </row>
    <row r="51" spans="16:31" ph="1"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64"/>
    </row>
    <row r="52" spans="16:31" ph="1"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64"/>
    </row>
    <row r="53" spans="16:31" ph="1">
      <c r="R53" s="53"/>
      <c r="S53" s="53"/>
      <c r="T53" s="53"/>
      <c r="U53" s="53"/>
      <c r="W53" s="53"/>
      <c r="X53" s="53"/>
      <c r="Y53" s="53"/>
      <c r="Z53" s="53"/>
      <c r="AA53" s="53"/>
      <c r="AB53" s="53"/>
      <c r="AC53" s="53"/>
      <c r="AD53" s="53"/>
    </row>
    <row r="54" spans="16:31" ph="1">
      <c r="R54" s="53"/>
      <c r="S54" s="53"/>
      <c r="T54" s="53"/>
      <c r="U54" s="53"/>
      <c r="W54" s="53"/>
      <c r="X54" s="53"/>
      <c r="Y54" s="53"/>
      <c r="Z54" s="53"/>
      <c r="AA54" s="53"/>
      <c r="AC54" s="53"/>
      <c r="AD54" s="53"/>
    </row>
    <row r="55" spans="16:31" ph="1">
      <c r="R55" s="53"/>
      <c r="S55" s="53"/>
      <c r="T55" s="53"/>
      <c r="U55" s="53"/>
      <c r="V55" s="53"/>
      <c r="W55" s="53"/>
      <c r="X55" s="53"/>
      <c r="Z55" s="53"/>
      <c r="AC55" s="53"/>
      <c r="AD55" s="53"/>
      <c r="AE55" s="64"/>
    </row>
    <row r="56" spans="16:31" ph="1">
      <c r="R56" s="53"/>
      <c r="S56" s="53"/>
      <c r="T56" s="53"/>
      <c r="U56" s="53"/>
      <c r="V56" s="53"/>
      <c r="W56" s="53"/>
      <c r="X56" s="53"/>
      <c r="Z56" s="53"/>
      <c r="AA56" s="53"/>
      <c r="AB56" s="53"/>
      <c r="AC56" s="53"/>
      <c r="AD56" s="53"/>
      <c r="AE56" s="64"/>
    </row>
    <row r="57" spans="16:31" ph="1">
      <c r="R57" s="53"/>
      <c r="S57" s="53"/>
      <c r="T57" s="53"/>
      <c r="U57" s="53"/>
      <c r="V57" s="53"/>
      <c r="W57" s="53"/>
      <c r="AA57" s="53"/>
      <c r="AB57" s="53"/>
      <c r="AC57" s="53"/>
      <c r="AD57" s="53"/>
      <c r="AE57" s="64"/>
    </row>
    <row r="58" spans="16:31" ph="1">
      <c r="P58" s="53"/>
    </row>
    <row r="59" spans="16:31" ph="1">
      <c r="V59" s="53"/>
    </row>
    <row r="60" spans="16:31" ph="1">
      <c r="R60" s="53"/>
      <c r="S60" s="53"/>
      <c r="T60" s="53"/>
    </row>
    <row r="223" spans="18:18" ph="1">
      <c r="R223" s="100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6 D8:D9 D11">
    <cfRule type="expression" dxfId="1414" priority="140">
      <formula>ABS(D$7-D$10)&gt;=1000</formula>
    </cfRule>
  </conditionalFormatting>
  <conditionalFormatting sqref="E4 E6 E8:E9 E11 H7:L7 H10:L10">
    <cfRule type="expression" dxfId="1413" priority="139">
      <formula>ABS(E$7-E$10)&gt;=1000</formula>
    </cfRule>
  </conditionalFormatting>
  <conditionalFormatting sqref="F4 F6 F8:F9 F11">
    <cfRule type="expression" dxfId="1412" priority="138">
      <formula>ABS(F$7-F$10)&gt;=1000</formula>
    </cfRule>
  </conditionalFormatting>
  <conditionalFormatting sqref="G4 G6 G8:G9 G11">
    <cfRule type="expression" dxfId="1411" priority="137">
      <formula>ABS(G$7-G$10)&gt;=1000</formula>
    </cfRule>
  </conditionalFormatting>
  <conditionalFormatting sqref="H4:K4 H6 H8:H9 H11">
    <cfRule type="expression" dxfId="1410" priority="136">
      <formula>ABS(H$7-H$10)&gt;=1000</formula>
    </cfRule>
  </conditionalFormatting>
  <conditionalFormatting sqref="I6 I8:I9 I11">
    <cfRule type="expression" dxfId="1409" priority="135">
      <formula>ABS(I$7-I$10)&gt;=1000</formula>
    </cfRule>
  </conditionalFormatting>
  <conditionalFormatting sqref="J6 J8:J9 J11">
    <cfRule type="expression" dxfId="1408" priority="134">
      <formula>ABS(J$7-J$10)&gt;=1000</formula>
    </cfRule>
  </conditionalFormatting>
  <conditionalFormatting sqref="K6 K8:K9 K11">
    <cfRule type="expression" dxfId="1407" priority="133">
      <formula>ABS(K$7-K$10)&gt;=1000</formula>
    </cfRule>
  </conditionalFormatting>
  <conditionalFormatting sqref="L4:L6 M4:N4 Q4:S4 L8:L9 L11">
    <cfRule type="expression" dxfId="1406" priority="132">
      <formula>ABS(L$7-L$10)&gt;=1000</formula>
    </cfRule>
  </conditionalFormatting>
  <conditionalFormatting sqref="M6 M8:M9 M11">
    <cfRule type="expression" dxfId="1405" priority="131">
      <formula>ABS(M$7-M$10)&gt;=1000</formula>
    </cfRule>
  </conditionalFormatting>
  <conditionalFormatting sqref="N6 N8:N9 N11">
    <cfRule type="expression" dxfId="1404" priority="130">
      <formula>ABS(N$7-N$10)&gt;=1000</formula>
    </cfRule>
  </conditionalFormatting>
  <conditionalFormatting sqref="Q5:Q11">
    <cfRule type="expression" dxfId="1403" priority="127">
      <formula>ABS(Q$7-Q$10)&gt;=1000</formula>
    </cfRule>
  </conditionalFormatting>
  <conditionalFormatting sqref="R5:R11">
    <cfRule type="expression" dxfId="1402" priority="126">
      <formula>ABS(R$7-R$10)&gt;=1000</formula>
    </cfRule>
  </conditionalFormatting>
  <conditionalFormatting sqref="S5:S11">
    <cfRule type="expression" dxfId="1401" priority="125">
      <formula>ABS(S$7-S$10)&gt;=1000</formula>
    </cfRule>
  </conditionalFormatting>
  <conditionalFormatting sqref="T4:T9 T11">
    <cfRule type="expression" dxfId="1400" priority="124">
      <formula>ABS(T$7-T$10)&gt;=1000</formula>
    </cfRule>
  </conditionalFormatting>
  <conditionalFormatting sqref="U4:U9 U11">
    <cfRule type="expression" dxfId="1399" priority="123">
      <formula>ABS(U$7-U$10)&gt;=1000</formula>
    </cfRule>
  </conditionalFormatting>
  <conditionalFormatting sqref="V4:V9 V11">
    <cfRule type="expression" dxfId="1398" priority="122">
      <formula>ABS(V$7-V$10)&gt;=1000</formula>
    </cfRule>
  </conditionalFormatting>
  <conditionalFormatting sqref="W4:W9 W11">
    <cfRule type="expression" dxfId="1397" priority="121">
      <formula>ABS(W$7-W$10)&gt;=1000</formula>
    </cfRule>
  </conditionalFormatting>
  <conditionalFormatting sqref="X4:X9 X11">
    <cfRule type="expression" dxfId="1396" priority="120">
      <formula>ABS(X$7-X$10)&gt;=1000</formula>
    </cfRule>
  </conditionalFormatting>
  <conditionalFormatting sqref="Y4:Y9 Y11">
    <cfRule type="expression" dxfId="1395" priority="119">
      <formula>ABS(Y$7-Y$10)&gt;=1000</formula>
    </cfRule>
  </conditionalFormatting>
  <conditionalFormatting sqref="Z4:Z11">
    <cfRule type="expression" dxfId="1394" priority="118">
      <formula>ABS(Z$7-Z$10)&gt;=1000</formula>
    </cfRule>
  </conditionalFormatting>
  <conditionalFormatting sqref="AA4:AA11">
    <cfRule type="expression" dxfId="1393" priority="117">
      <formula>ABS(AA$7-AA$10)&gt;=1000</formula>
    </cfRule>
  </conditionalFormatting>
  <conditionalFormatting sqref="AB4:AB11">
    <cfRule type="expression" dxfId="1392" priority="116">
      <formula>ABS(AB$7-AB$10)&gt;=1000</formula>
    </cfRule>
  </conditionalFormatting>
  <conditionalFormatting sqref="AC4 AC6:AC11">
    <cfRule type="expression" dxfId="1391" priority="115">
      <formula>ABS(AC$7-AC$10)&gt;=1000</formula>
    </cfRule>
  </conditionalFormatting>
  <conditionalFormatting sqref="AD4 AD6:AD11">
    <cfRule type="expression" dxfId="1390" priority="114">
      <formula>ABS(AD$7-AD$10)&gt;=1000</formula>
    </cfRule>
  </conditionalFormatting>
  <conditionalFormatting sqref="AE4 AE6:AE11">
    <cfRule type="expression" dxfId="1389" priority="113">
      <formula>ABS(AE$7-AE$10)&gt;=1000</formula>
    </cfRule>
  </conditionalFormatting>
  <conditionalFormatting sqref="D13:D20">
    <cfRule type="expression" dxfId="1388" priority="112">
      <formula>ABS(D$16-D$19)&gt;=1000</formula>
    </cfRule>
  </conditionalFormatting>
  <conditionalFormatting sqref="E13:E20">
    <cfRule type="expression" dxfId="1387" priority="111">
      <formula>ABS(E$16-E$19)&gt;=1000</formula>
    </cfRule>
  </conditionalFormatting>
  <conditionalFormatting sqref="F13 F15:F20">
    <cfRule type="expression" dxfId="1386" priority="110">
      <formula>ABS(F$16-F$19)&gt;=1000</formula>
    </cfRule>
  </conditionalFormatting>
  <conditionalFormatting sqref="G13:G20">
    <cfRule type="expression" dxfId="1385" priority="109">
      <formula>ABS(G$16-G$19)&gt;=1000</formula>
    </cfRule>
  </conditionalFormatting>
  <conditionalFormatting sqref="H13 H15:H20">
    <cfRule type="expression" dxfId="1384" priority="108">
      <formula>ABS(H$16-H$19)&gt;=1000</formula>
    </cfRule>
  </conditionalFormatting>
  <conditionalFormatting sqref="I13:I20">
    <cfRule type="expression" dxfId="1383" priority="107">
      <formula>ABS(I$16-I$19)&gt;=1000</formula>
    </cfRule>
  </conditionalFormatting>
  <conditionalFormatting sqref="J13:J20">
    <cfRule type="expression" dxfId="1382" priority="106">
      <formula>ABS(J$16-J$19)&gt;=1000</formula>
    </cfRule>
  </conditionalFormatting>
  <conditionalFormatting sqref="L13:L20">
    <cfRule type="expression" dxfId="1381" priority="105">
      <formula>ABS(L$16-L$19)&gt;=1000</formula>
    </cfRule>
  </conditionalFormatting>
  <conditionalFormatting sqref="M13 M15 M17:M18 M20">
    <cfRule type="expression" dxfId="1380" priority="104">
      <formula>ABS(M$16-M$19)&gt;=1000</formula>
    </cfRule>
  </conditionalFormatting>
  <conditionalFormatting sqref="N13:N20">
    <cfRule type="expression" dxfId="1379" priority="103">
      <formula>ABS(N$16-N$19)&gt;=1000</formula>
    </cfRule>
  </conditionalFormatting>
  <conditionalFormatting sqref="O13:O20">
    <cfRule type="expression" dxfId="1378" priority="102">
      <formula>ABS(O$16-O$19)&gt;=1000</formula>
    </cfRule>
  </conditionalFormatting>
  <conditionalFormatting sqref="P13:P20">
    <cfRule type="expression" dxfId="1377" priority="101">
      <formula>ABS(P$16-P$19)&gt;=1000</formula>
    </cfRule>
  </conditionalFormatting>
  <conditionalFormatting sqref="Q13 Q15:Q20">
    <cfRule type="expression" dxfId="1376" priority="100">
      <formula>ABS(Q$16-Q$19)&gt;=1000</formula>
    </cfRule>
  </conditionalFormatting>
  <conditionalFormatting sqref="R13:R20">
    <cfRule type="expression" dxfId="1375" priority="99">
      <formula>ABS(R$16-R$19)&gt;=1000</formula>
    </cfRule>
  </conditionalFormatting>
  <conditionalFormatting sqref="S13:S20">
    <cfRule type="expression" dxfId="1374" priority="98">
      <formula>ABS(S$16-S$19)&gt;=1000</formula>
    </cfRule>
  </conditionalFormatting>
  <conditionalFormatting sqref="T13:T20">
    <cfRule type="expression" dxfId="1373" priority="97">
      <formula>ABS(T$16-T$19)&gt;=1000</formula>
    </cfRule>
  </conditionalFormatting>
  <conditionalFormatting sqref="U13:U20">
    <cfRule type="expression" dxfId="1372" priority="96">
      <formula>ABS(U$16-U$19)&gt;=1000</formula>
    </cfRule>
  </conditionalFormatting>
  <conditionalFormatting sqref="V13:V20">
    <cfRule type="expression" dxfId="1371" priority="95">
      <formula>ABS(V$16-V$19)&gt;=1000</formula>
    </cfRule>
  </conditionalFormatting>
  <conditionalFormatting sqref="W13 W20 W15:W18">
    <cfRule type="expression" dxfId="1370" priority="94">
      <formula>ABS(W$16-W$19)&gt;=1000</formula>
    </cfRule>
  </conditionalFormatting>
  <conditionalFormatting sqref="X13 X15:X20 Y19">
    <cfRule type="expression" dxfId="1369" priority="93">
      <formula>ABS(X$16-X$19)&gt;=1000</formula>
    </cfRule>
  </conditionalFormatting>
  <conditionalFormatting sqref="Y13 Y15:Y18 Y20">
    <cfRule type="expression" dxfId="1368" priority="92">
      <formula>ABS(Y$16-Y$19)&gt;=1000</formula>
    </cfRule>
  </conditionalFormatting>
  <conditionalFormatting sqref="Z13:Z20">
    <cfRule type="expression" dxfId="1367" priority="91">
      <formula>ABS(Z$16-Z$19)&gt;=1000</formula>
    </cfRule>
  </conditionalFormatting>
  <conditionalFormatting sqref="AA13:AA20">
    <cfRule type="expression" dxfId="1366" priority="90">
      <formula>ABS(AA$16-AA$19)&gt;=1000</formula>
    </cfRule>
  </conditionalFormatting>
  <conditionalFormatting sqref="AB13 AB15:AB20">
    <cfRule type="expression" dxfId="1365" priority="89">
      <formula>ABS(AB$16-AB$19)&gt;=1000</formula>
    </cfRule>
  </conditionalFormatting>
  <conditionalFormatting sqref="AC13 AC15:AC20">
    <cfRule type="expression" dxfId="1364" priority="88">
      <formula>ABS(AC$16-AC$19)&gt;=1000</formula>
    </cfRule>
  </conditionalFormatting>
  <conditionalFormatting sqref="AD13:AD20">
    <cfRule type="expression" dxfId="1363" priority="87">
      <formula>ABS(AD$16-AD$19)&gt;=1000</formula>
    </cfRule>
  </conditionalFormatting>
  <conditionalFormatting sqref="AE13:AE20">
    <cfRule type="expression" dxfId="1362" priority="86">
      <formula>ABS(AE$16-AE$19)&gt;=1000</formula>
    </cfRule>
  </conditionalFormatting>
  <conditionalFormatting sqref="D22:D29">
    <cfRule type="expression" dxfId="1361" priority="85">
      <formula>ABS(D$25-D$28)&gt;=1000</formula>
    </cfRule>
  </conditionalFormatting>
  <conditionalFormatting sqref="E22:E29">
    <cfRule type="expression" dxfId="1360" priority="84">
      <formula>ABS(E$25-E$28)&gt;=1000</formula>
    </cfRule>
  </conditionalFormatting>
  <conditionalFormatting sqref="F22:F29">
    <cfRule type="expression" dxfId="1359" priority="83">
      <formula>ABS(F$25-F$28)&gt;=1000</formula>
    </cfRule>
  </conditionalFormatting>
  <conditionalFormatting sqref="G22:G29">
    <cfRule type="expression" dxfId="1358" priority="82">
      <formula>ABS(G$25-G$28)&gt;=1000</formula>
    </cfRule>
  </conditionalFormatting>
  <conditionalFormatting sqref="H22:H29">
    <cfRule type="expression" dxfId="1357" priority="81">
      <formula>ABS(H$25-H$28)&gt;=1000</formula>
    </cfRule>
  </conditionalFormatting>
  <conditionalFormatting sqref="I22 I24:I29">
    <cfRule type="expression" dxfId="1356" priority="80">
      <formula>ABS(I$25-I$28)&gt;=1000</formula>
    </cfRule>
  </conditionalFormatting>
  <conditionalFormatting sqref="J22:J29 K22">
    <cfRule type="expression" dxfId="1355" priority="79">
      <formula>ABS(J$25-J$28)&gt;=1000</formula>
    </cfRule>
  </conditionalFormatting>
  <conditionalFormatting sqref="K23:K29 L25 L28">
    <cfRule type="expression" dxfId="1354" priority="78">
      <formula>ABS(K$25-K$28)&gt;=1000</formula>
    </cfRule>
  </conditionalFormatting>
  <conditionalFormatting sqref="L22 L26:L27 L29 L24">
    <cfRule type="expression" dxfId="1353" priority="77">
      <formula>ABS(L$25-L$28)&gt;=1000</formula>
    </cfRule>
  </conditionalFormatting>
  <conditionalFormatting sqref="M22:M29">
    <cfRule type="expression" dxfId="1352" priority="76">
      <formula>ABS(M$25-M$28)&gt;=1000</formula>
    </cfRule>
  </conditionalFormatting>
  <conditionalFormatting sqref="N22:N29">
    <cfRule type="expression" dxfId="1351" priority="75">
      <formula>ABS(N$25-N$28)&gt;=1000</formula>
    </cfRule>
  </conditionalFormatting>
  <conditionalFormatting sqref="O22:O29">
    <cfRule type="expression" dxfId="1350" priority="74">
      <formula>ABS(O$25-O$28)&gt;=1000</formula>
    </cfRule>
  </conditionalFormatting>
  <conditionalFormatting sqref="P22:P29">
    <cfRule type="expression" dxfId="1349" priority="73">
      <formula>ABS(P$25-P$28)&gt;=1000</formula>
    </cfRule>
  </conditionalFormatting>
  <conditionalFormatting sqref="Q22:Q29">
    <cfRule type="expression" dxfId="1348" priority="72">
      <formula>ABS(Q$25-Q$28)&gt;=1000</formula>
    </cfRule>
  </conditionalFormatting>
  <conditionalFormatting sqref="R22:R29">
    <cfRule type="expression" dxfId="1347" priority="71">
      <formula>ABS(R$25-R$28)&gt;=1000</formula>
    </cfRule>
  </conditionalFormatting>
  <conditionalFormatting sqref="S22:S29">
    <cfRule type="expression" dxfId="1346" priority="70">
      <formula>ABS(S$25-S$28)&gt;=1000</formula>
    </cfRule>
  </conditionalFormatting>
  <conditionalFormatting sqref="T22:T29">
    <cfRule type="expression" dxfId="1345" priority="69">
      <formula>ABS(T$25-T$28)&gt;=1000</formula>
    </cfRule>
  </conditionalFormatting>
  <conditionalFormatting sqref="U22:U29">
    <cfRule type="expression" dxfId="1344" priority="68">
      <formula>ABS(U$25-U$28)&gt;=1000</formula>
    </cfRule>
  </conditionalFormatting>
  <conditionalFormatting sqref="V22:V29">
    <cfRule type="expression" dxfId="1343" priority="67">
      <formula>ABS(V$25-V$28)&gt;=1000</formula>
    </cfRule>
  </conditionalFormatting>
  <conditionalFormatting sqref="W22:W29">
    <cfRule type="expression" dxfId="1342" priority="66">
      <formula>ABS(W$25-W$28)&gt;=1000</formula>
    </cfRule>
  </conditionalFormatting>
  <conditionalFormatting sqref="X22:X29">
    <cfRule type="expression" dxfId="1341" priority="65">
      <formula>ABS(X$25-X$28)&gt;=1000</formula>
    </cfRule>
  </conditionalFormatting>
  <conditionalFormatting sqref="Y22:Y29">
    <cfRule type="expression" dxfId="1340" priority="64">
      <formula>ABS(Y$25-Y$28)&gt;=1000</formula>
    </cfRule>
  </conditionalFormatting>
  <conditionalFormatting sqref="I23">
    <cfRule type="expression" dxfId="1339" priority="63">
      <formula>ABS(I$25-I$28)&gt;=1000</formula>
    </cfRule>
  </conditionalFormatting>
  <conditionalFormatting sqref="Q14">
    <cfRule type="expression" dxfId="1338" priority="62">
      <formula>ABS(Q$16-Q$19)&gt;=1000</formula>
    </cfRule>
  </conditionalFormatting>
  <conditionalFormatting sqref="W14">
    <cfRule type="expression" dxfId="1337" priority="61">
      <formula>ABS(W$16-W$19)&gt;=1000</formula>
    </cfRule>
  </conditionalFormatting>
  <conditionalFormatting sqref="X14">
    <cfRule type="expression" dxfId="1336" priority="60">
      <formula>ABS(X$16-X$19)&gt;=1000</formula>
    </cfRule>
  </conditionalFormatting>
  <conditionalFormatting sqref="T10:Y10">
    <cfRule type="expression" dxfId="1335" priority="59">
      <formula>ABS(T$7-T$10)&gt;=1000</formula>
    </cfRule>
  </conditionalFormatting>
  <conditionalFormatting sqref="W19">
    <cfRule type="expression" dxfId="1334" priority="58">
      <formula>ABS(W$16-W$19)&gt;=1000</formula>
    </cfRule>
  </conditionalFormatting>
  <conditionalFormatting sqref="AC5">
    <cfRule type="expression" dxfId="1333" priority="57">
      <formula>ABS(AC$7-AC$10)&gt;=1000</formula>
    </cfRule>
  </conditionalFormatting>
  <conditionalFormatting sqref="M14">
    <cfRule type="expression" dxfId="1332" priority="56">
      <formula>ABS(M$16-M$19)&gt;=1000</formula>
    </cfRule>
  </conditionalFormatting>
  <conditionalFormatting sqref="M16">
    <cfRule type="expression" dxfId="1331" priority="55">
      <formula>ABS(M$16-M$19)&gt;=1000</formula>
    </cfRule>
  </conditionalFormatting>
  <conditionalFormatting sqref="M19">
    <cfRule type="expression" dxfId="1330" priority="54">
      <formula>ABS(M$16-M$19)&gt;=1000</formula>
    </cfRule>
  </conditionalFormatting>
  <conditionalFormatting sqref="K13:K20">
    <cfRule type="expression" dxfId="1329" priority="53">
      <formula>ABS(K$16-K$19)&gt;=1000</formula>
    </cfRule>
  </conditionalFormatting>
  <conditionalFormatting sqref="AB14:AC14">
    <cfRule type="expression" dxfId="1328" priority="51">
      <formula>ABS(AB$16-AB$19)&gt;=1000</formula>
    </cfRule>
  </conditionalFormatting>
  <conditionalFormatting sqref="M5">
    <cfRule type="expression" dxfId="1327" priority="50">
      <formula>ABS(M$7-M$10)&gt;=1000</formula>
    </cfRule>
  </conditionalFormatting>
  <conditionalFormatting sqref="N5">
    <cfRule type="expression" dxfId="1326" priority="49">
      <formula>ABS(N$7-N$10)&gt;=1000</formula>
    </cfRule>
  </conditionalFormatting>
  <conditionalFormatting sqref="L23">
    <cfRule type="expression" dxfId="1325" priority="46">
      <formula>ABS(L$25-L$28)&gt;=1000</formula>
    </cfRule>
  </conditionalFormatting>
  <conditionalFormatting sqref="Y14">
    <cfRule type="expression" dxfId="1324" priority="45">
      <formula>ABS(Y$16-Y$19)&gt;=1000</formula>
    </cfRule>
  </conditionalFormatting>
  <conditionalFormatting sqref="F14">
    <cfRule type="expression" dxfId="1323" priority="44">
      <formula>ABS(F$16-F$19)&gt;=1000</formula>
    </cfRule>
  </conditionalFormatting>
  <conditionalFormatting sqref="H14">
    <cfRule type="expression" dxfId="1322" priority="43">
      <formula>ABS(H$16-H$19)&gt;=1000</formula>
    </cfRule>
  </conditionalFormatting>
  <conditionalFormatting sqref="AD5">
    <cfRule type="expression" dxfId="1321" priority="42">
      <formula>ABS(AD$7-AD$10)&gt;=1000</formula>
    </cfRule>
  </conditionalFormatting>
  <conditionalFormatting sqref="AE5">
    <cfRule type="expression" dxfId="1320" priority="41">
      <formula>ABS(AE$7-AE$10)&gt;=1000</formula>
    </cfRule>
  </conditionalFormatting>
  <conditionalFormatting sqref="D5">
    <cfRule type="expression" dxfId="1319" priority="40">
      <formula>ABS(D$7-D$10)&gt;=1000</formula>
    </cfRule>
  </conditionalFormatting>
  <conditionalFormatting sqref="E5:G5">
    <cfRule type="expression" dxfId="1318" priority="39">
      <formula>ABS(E$7-E$10)&gt;=1000</formula>
    </cfRule>
  </conditionalFormatting>
  <conditionalFormatting sqref="H5:K5">
    <cfRule type="expression" dxfId="1317" priority="38">
      <formula>ABS(H$7-H$10)&gt;=1000</formula>
    </cfRule>
  </conditionalFormatting>
  <conditionalFormatting sqref="O4:P4">
    <cfRule type="expression" dxfId="1316" priority="37">
      <formula>ABS(O$7-O$10)&gt;=1000</formula>
    </cfRule>
  </conditionalFormatting>
  <conditionalFormatting sqref="O5:O6 O8:O9 O11">
    <cfRule type="expression" dxfId="1315" priority="36">
      <formula>ABS(O$7-O$10)&gt;=1000</formula>
    </cfRule>
  </conditionalFormatting>
  <conditionalFormatting sqref="P6 P8:P9 P11">
    <cfRule type="expression" dxfId="1314" priority="35">
      <formula>ABS(P$7-P$10)&gt;=1000</formula>
    </cfRule>
  </conditionalFormatting>
  <conditionalFormatting sqref="P5">
    <cfRule type="expression" dxfId="1313" priority="34">
      <formula>ABS(P$7-P$10)&gt;=1000</formula>
    </cfRule>
  </conditionalFormatting>
  <conditionalFormatting sqref="O7:P7">
    <cfRule type="expression" dxfId="1312" priority="31">
      <formula>ABS(O$7-O$10)&gt;=1000</formula>
    </cfRule>
  </conditionalFormatting>
  <conditionalFormatting sqref="N7">
    <cfRule type="expression" dxfId="1311" priority="29">
      <formula>ABS(N$7-N$10)&gt;=1000</formula>
    </cfRule>
  </conditionalFormatting>
  <conditionalFormatting sqref="N10">
    <cfRule type="expression" dxfId="1310" priority="28">
      <formula>ABS(N$7-N$10)&gt;=1000</formula>
    </cfRule>
  </conditionalFormatting>
  <conditionalFormatting sqref="O10">
    <cfRule type="expression" dxfId="1309" priority="19">
      <formula>ABS(O$7-O$10)&gt;=1000</formula>
    </cfRule>
  </conditionalFormatting>
  <conditionalFormatting sqref="M7">
    <cfRule type="expression" dxfId="1308" priority="17">
      <formula>ABS(M$7-M$10)&gt;=1000</formula>
    </cfRule>
  </conditionalFormatting>
  <conditionalFormatting sqref="M10">
    <cfRule type="expression" dxfId="1307" priority="15">
      <formula>ABS(M$7-M$10)&gt;=1000</formula>
    </cfRule>
  </conditionalFormatting>
  <conditionalFormatting sqref="P10">
    <cfRule type="expression" dxfId="1306" priority="14">
      <formula>ABS(P$7-P$10)&gt;=1000</formula>
    </cfRule>
  </conditionalFormatting>
  <conditionalFormatting sqref="E10:G10">
    <cfRule type="expression" dxfId="1305" priority="3">
      <formula>ABS(E$7-E$10)&gt;=1000</formula>
    </cfRule>
  </conditionalFormatting>
  <conditionalFormatting sqref="D10">
    <cfRule type="expression" dxfId="1304" priority="2">
      <formula>ABS(D$7-D$10)&gt;=1000</formula>
    </cfRule>
  </conditionalFormatting>
  <conditionalFormatting sqref="D7:G7">
    <cfRule type="expression" dxfId="1303" priority="1">
      <formula>ABS(D$7-D$10)&gt;=1000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4739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52">
    <pageSetUpPr fitToPage="1"/>
  </sheetPr>
  <dimension ref="A1:BA223"/>
  <sheetViews>
    <sheetView view="pageBreakPreview" zoomScaleNormal="100" zoomScaleSheetLayoutView="100" workbookViewId="0">
      <selection activeCell="D24" sqref="C24:D24"/>
    </sheetView>
  </sheetViews>
  <sheetFormatPr defaultColWidth="8.109375" defaultRowHeight="25.8"/>
  <cols>
    <col min="1" max="1" width="11.6640625" style="53" customWidth="1" phonetic="1"/>
    <col min="2" max="2" width="7.6640625" style="53" customWidth="1" phonetic="1"/>
    <col min="3" max="3" width="8" style="53" customWidth="1" phonetic="1"/>
    <col min="4" max="7" width="8.77734375" style="53" customWidth="1" phonetic="1"/>
    <col min="8" max="8" width="9.77734375" style="53" customWidth="1" phonetic="1"/>
    <col min="9" max="16" width="8.77734375" style="53" customWidth="1" phonetic="1"/>
    <col min="17" max="30" width="7.6640625" style="53" customWidth="1" phonetic="1"/>
    <col min="31" max="31" width="7.6640625" style="64" customWidth="1" phonetic="1"/>
    <col min="32" max="32" width="11.6640625" style="53" bestFit="1" customWidth="1" phonetic="1"/>
    <col min="33" max="16384" width="8.109375" style="53" phonetic="1"/>
  </cols>
  <sheetData>
    <row r="1" spans="1:53" ht="31.2" ph="1">
      <c r="A1" s="53"/>
      <c r="B1" s="207" t="s" ph="1">
        <v>93</v>
      </c>
      <c r="C1" s="207" ph="1"/>
      <c r="D1" s="207" ph="1"/>
      <c r="E1" s="207" ph="1"/>
      <c r="F1" s="207" ph="1"/>
      <c r="G1" s="207" ph="1"/>
      <c r="H1" s="207" ph="1"/>
      <c r="I1" s="207" ph="1"/>
      <c r="J1" s="207" ph="1"/>
      <c r="K1" s="207" ph="1"/>
      <c r="L1" s="207" ph="1"/>
      <c r="M1" s="207" ph="1"/>
      <c r="N1" s="207" ph="1"/>
      <c r="O1" s="207" ph="1"/>
      <c r="P1" s="207" ph="1"/>
      <c r="Q1" s="207" ph="1"/>
      <c r="R1" s="207" ph="1"/>
      <c r="S1" s="207" ph="1"/>
      <c r="T1" s="207" ph="1"/>
      <c r="U1" s="207" ph="1"/>
      <c r="V1" s="207" ph="1"/>
      <c r="W1" s="207" ph="1"/>
      <c r="X1" s="207" ph="1"/>
      <c r="Y1" s="207" ph="1"/>
      <c r="Z1" s="207" ph="1"/>
      <c r="AA1" s="207" ph="1"/>
      <c r="AB1" s="207" ph="1"/>
      <c r="AC1" s="207" ph="1"/>
      <c r="AD1" s="207" ph="1"/>
      <c r="AE1" s="207" ph="1"/>
    </row>
    <row r="2" spans="1:53" s="55" customFormat="1" ht="24" customHeight="1" ph="1">
      <c r="B2" s="208" t="s" ph="1">
        <v>94</v>
      </c>
      <c r="C2" s="208" ph="1"/>
      <c r="D2" s="208" ph="1"/>
      <c r="E2" s="208" ph="1"/>
      <c r="F2" s="208" ph="1"/>
      <c r="G2" s="208" ph="1"/>
      <c r="H2" s="208" ph="1"/>
      <c r="I2" s="208" ph="1"/>
      <c r="J2" s="208" ph="1"/>
      <c r="K2" s="208" ph="1"/>
      <c r="L2" s="208" ph="1"/>
      <c r="M2" s="208" ph="1"/>
      <c r="N2" s="208" ph="1"/>
      <c r="O2" s="208" ph="1"/>
      <c r="P2" s="208" ph="1"/>
      <c r="Q2" s="208" ph="1"/>
      <c r="R2" s="208" ph="1"/>
      <c r="S2" s="208" ph="1"/>
      <c r="T2" s="208" ph="1"/>
      <c r="U2" s="208" ph="1"/>
      <c r="V2" s="208" ph="1"/>
      <c r="W2" s="208" ph="1"/>
      <c r="X2" s="208" ph="1"/>
      <c r="Y2" s="208" ph="1"/>
      <c r="Z2" s="208" ph="1"/>
      <c r="AA2" s="208" ph="1"/>
      <c r="AB2" s="208" ph="1"/>
      <c r="AC2" s="208" ph="1"/>
      <c r="AD2" s="208" ph="1"/>
      <c r="AE2" s="208" ph="1"/>
    </row>
    <row r="3" spans="1:53" ht="21" customHeight="1" ph="1">
      <c r="B3" s="209" ph="1">
        <v>46155</v>
      </c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209"/>
      <c r="P3" s="209"/>
      <c r="Q3" s="209"/>
      <c r="R3" s="209"/>
      <c r="S3" s="209"/>
      <c r="T3" s="209"/>
      <c r="U3" s="209"/>
      <c r="V3" s="209"/>
      <c r="W3" s="209"/>
      <c r="X3" s="209"/>
      <c r="Y3" s="209"/>
      <c r="Z3" s="209"/>
      <c r="AA3" s="209"/>
      <c r="AB3" s="209"/>
      <c r="AC3" s="209"/>
      <c r="AD3" s="209"/>
      <c r="AE3" s="209"/>
    </row>
    <row r="4" spans="1:53" s="58" customFormat="1" ph="1">
      <c r="A4" s="54" ph="1"/>
      <c r="B4" s="188" t="s" ph="1">
        <v>95</v>
      </c>
      <c r="C4" s="56" t="s" ph="1">
        <v>96</v>
      </c>
      <c r="D4" s="57" t="s" ph="1">
        <v>97</v>
      </c>
      <c r="E4" s="57" t="s" ph="1">
        <v>98</v>
      </c>
      <c r="F4" s="57" t="s" ph="1">
        <v>99</v>
      </c>
      <c r="G4" s="57" t="s" ph="1">
        <v>100</v>
      </c>
      <c r="H4" s="57" t="s" ph="1">
        <v>101</v>
      </c>
      <c r="I4" s="57" t="s" ph="1">
        <v>102</v>
      </c>
      <c r="J4" s="57" t="s" ph="1">
        <v>57</v>
      </c>
      <c r="K4" s="57" t="s" ph="1">
        <v>58</v>
      </c>
      <c r="L4" s="57" t="s" ph="1">
        <v>103</v>
      </c>
      <c r="M4" s="57" t="s" ph="1">
        <v>60</v>
      </c>
      <c r="N4" s="57" t="s" ph="1">
        <v>61</v>
      </c>
      <c r="O4" s="57" t="s" ph="1">
        <v>62</v>
      </c>
      <c r="P4" s="57" t="s" ph="1">
        <v>63</v>
      </c>
      <c r="Q4" s="57" ph="1"/>
      <c r="R4" s="57" ph="1"/>
      <c r="S4" s="57" ph="1"/>
      <c r="T4" s="57" ph="1"/>
      <c r="U4" s="57" ph="1"/>
      <c r="V4" s="57" ph="1"/>
      <c r="W4" s="57" ph="1"/>
      <c r="X4" s="57" ph="1"/>
      <c r="Y4" s="57" ph="1"/>
      <c r="Z4" s="57" ph="1"/>
      <c r="AA4" s="57" ph="1"/>
      <c r="AB4" s="57" ph="1"/>
      <c r="AC4" s="57" ph="1"/>
      <c r="AD4" s="57" ph="1"/>
      <c r="AE4" s="57" ph="1"/>
      <c r="AF4" s="54" ph="1"/>
      <c r="AG4" s="54" ph="1"/>
      <c r="AH4" s="54" ph="1"/>
      <c r="AI4" s="54" ph="1"/>
      <c r="AJ4" s="54" ph="1"/>
      <c r="AK4" s="54" ph="1"/>
      <c r="AL4" s="54" ph="1"/>
      <c r="AM4" s="54" ph="1"/>
      <c r="AN4" s="54" ph="1"/>
      <c r="AO4" s="54" ph="1"/>
      <c r="AP4" s="54" ph="1"/>
      <c r="AQ4" s="54" ph="1"/>
      <c r="AR4" s="54" ph="1"/>
      <c r="AS4" s="54" ph="1"/>
      <c r="AT4" s="54" ph="1"/>
      <c r="AU4" s="54" ph="1"/>
      <c r="AV4" s="54" ph="1"/>
      <c r="AW4" s="54" ph="1"/>
      <c r="AX4" s="54" ph="1"/>
      <c r="AY4" s="54" ph="1"/>
      <c r="AZ4" s="54" ph="1"/>
      <c r="BA4" s="54" ph="1"/>
    </row>
    <row r="5" spans="1:53" s="58" customFormat="1" ht="29.25" customHeight="1" ph="1">
      <c r="A5" s="54" ph="1"/>
      <c r="B5" s="188" ph="1"/>
      <c r="C5" s="56" t="s" ph="1">
        <v>105</v>
      </c>
      <c r="D5" s="103" t="s" ph="1">
        <v>106</v>
      </c>
      <c r="E5" s="103" t="s" ph="1">
        <v>106</v>
      </c>
      <c r="F5" s="103" t="s" ph="1">
        <v>107</v>
      </c>
      <c r="G5" s="103" t="s" ph="1">
        <v>107</v>
      </c>
      <c r="H5" s="103" t="s" ph="1">
        <v>106</v>
      </c>
      <c r="I5" s="103" t="s" ph="1">
        <v>106</v>
      </c>
      <c r="J5" s="103" t="s" ph="1">
        <v>107</v>
      </c>
      <c r="K5" s="103" t="s" ph="1">
        <v>107</v>
      </c>
      <c r="L5" s="102" t="s" ph="1">
        <v>108</v>
      </c>
      <c r="M5" s="102" t="s" ph="1">
        <v>109</v>
      </c>
      <c r="N5" s="102" t="s" ph="1">
        <v>108</v>
      </c>
      <c r="O5" s="102" t="s" ph="1">
        <v>110</v>
      </c>
      <c r="P5" s="102" t="s" ph="1">
        <v>110</v>
      </c>
      <c r="Q5" s="59" ph="1"/>
      <c r="R5" s="59" ph="1"/>
      <c r="S5" s="59" ph="1"/>
      <c r="T5" s="59" ph="1"/>
      <c r="U5" s="59" ph="1"/>
      <c r="V5" s="59" ph="1"/>
      <c r="W5" s="59" ph="1"/>
      <c r="X5" s="59" ph="1"/>
      <c r="Y5" s="59" ph="1"/>
      <c r="Z5" s="59" ph="1"/>
      <c r="AA5" s="59" ph="1"/>
      <c r="AB5" s="59" ph="1"/>
      <c r="AC5" s="59" ph="1"/>
      <c r="AD5" s="60"/>
      <c r="AE5" s="60"/>
      <c r="AF5" s="54" ph="1"/>
      <c r="AG5" s="54" ph="1"/>
      <c r="AH5" s="54" ph="1"/>
      <c r="AI5" s="54" ph="1"/>
      <c r="AJ5" s="54" ph="1"/>
      <c r="AK5" s="54" ph="1"/>
      <c r="AL5" s="54" ph="1"/>
      <c r="AM5" s="54" ph="1"/>
      <c r="AN5" s="54" ph="1"/>
      <c r="AO5" s="54" ph="1"/>
      <c r="AP5" s="54" ph="1"/>
      <c r="AQ5" s="54" ph="1"/>
      <c r="AR5" s="54" ph="1"/>
      <c r="AS5" s="54" ph="1"/>
      <c r="AT5" s="54" ph="1"/>
      <c r="AU5" s="54" ph="1"/>
      <c r="AV5" s="54" ph="1"/>
      <c r="AW5" s="54" ph="1"/>
      <c r="AX5" s="54" ph="1"/>
      <c r="AY5" s="54" ph="1"/>
      <c r="AZ5" s="54" ph="1"/>
      <c r="BA5" s="54" ph="1"/>
    </row>
    <row r="6" spans="1:53" ph="1">
      <c r="B6" s="206" ph="1">
        <v>0.33333333333333331</v>
      </c>
      <c r="C6" s="122" t="s" ph="1">
        <v>111</v>
      </c>
      <c r="D6" s="109">
        <v>0.58150000000000002</v>
      </c>
      <c r="E6" s="109">
        <v>0.99519999999999997</v>
      </c>
      <c r="F6" s="109">
        <v>0</v>
      </c>
      <c r="G6" s="109">
        <v>0</v>
      </c>
      <c r="H6" s="60">
        <v>4018</v>
      </c>
      <c r="I6" s="60">
        <v>0</v>
      </c>
      <c r="J6" s="60">
        <v>6300</v>
      </c>
      <c r="K6" s="60">
        <v>0</v>
      </c>
      <c r="L6" s="60">
        <v>3491</v>
      </c>
      <c r="M6" s="60">
        <v>1904</v>
      </c>
      <c r="N6" s="60">
        <v>1182</v>
      </c>
      <c r="O6" s="60">
        <v>2893</v>
      </c>
      <c r="P6" s="60">
        <v>1406</v>
      </c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</row>
    <row r="7" spans="1:53" s="61" customFormat="1" ht="22.2" ph="1">
      <c r="B7" s="206" ph="1"/>
      <c r="C7" s="57" t="s" ph="1">
        <v>92</v>
      </c>
      <c r="D7" s="62" ph="1">
        <f>((D6*5885)*4.48)*LOOKUP(D8,[2]密度!$A$2:$A$50,[2]密度!$B$2:$B$50)</f>
        <v>11872.428001280001</v>
      </c>
      <c r="E7" s="62" ph="1">
        <f>((E6*5885)*4.48)*LOOKUP(E8,[2]密度!$A$2:$A$50,[2]密度!$B$2:$B$50)</f>
        <v>20318.899994624</v>
      </c>
      <c r="F7" s="62" ph="1">
        <f>((F6*5885)*4.48)*LOOKUP(F8,[2]密度!$A$2:$A$50,[2]密度!$B$2:$B$50)</f>
        <v>0</v>
      </c>
      <c r="G7" s="62" ph="1">
        <f>((G6*5885)*4.48)*LOOKUP(G8,[2]密度!$A$2:$A$50,[2]密度!$B$2:$B$50)</f>
        <v>0</v>
      </c>
      <c r="H7" s="62" ph="1">
        <f>IF(H6&lt;=0,0,IF(H6&lt;=745,PI()*(5.3235*(H6/1000)^2-(4/3)*(H6/1000)^3),7.55+15.2053*((H6-745)/1000))*LOOKUP(H8,[2]密度!$A$2:$A$50,[2]密度!$B$2:$B$50)*1000)</f>
        <v>44288.804869629996</v>
      </c>
      <c r="I7" s="62" ph="1">
        <f>IF(I6&lt;=0,0,IF(I6&lt;=745,PI()*(5.3235*(I6/1000)^2-(4/3)*(I6/1000)^3),7.55+15.2053*((I6-745)/1000))*LOOKUP(I8,[2]密度!$A$2:$A$50,[2]密度!$B$2:$B$50)*1000)</f>
        <v>0</v>
      </c>
      <c r="J7" s="62" ph="1">
        <f>IF(J6&lt;=0,0,IF(J6&lt;=745,PI()*(5.3235*(J6/1000)^2-(4/3)*(J6/1000)^3),7.55+15.2053*((J6-745)/1000))*LOOKUP(J8,[2]密度!$A$2:$A$50,[2]密度!$B$2:$B$50)*1000)</f>
        <v>71735.2381934</v>
      </c>
      <c r="K7" s="62" ph="1">
        <f>IF(K6&lt;=0,0,IF(K6&lt;=745,PI()*(5.3235*(K6/1000)^2-(4/3)*(K6/1000)^3),7.55+15.2053*((K6-745)/1000))*LOOKUP(K8,[2]密度!$A$2:$A$50,[2]密度!$B$2:$B$50)*1000)</f>
        <v>0</v>
      </c>
      <c r="L7" s="62" ph="1">
        <f>L6*26.42*LOOKUP(L8,[2]密度!$A$2:$A$50,[2]密度!$B$2:$B$50)</f>
        <v>71507.640165999997</v>
      </c>
      <c r="M7" s="62" ph="1">
        <f>M6*26.42*1</f>
        <v>50303.68</v>
      </c>
      <c r="N7" s="62" ph="1">
        <f>N6*18.32*LOOKUP(N8,[2]密度!$A$2:$A$50,[2]密度!$B$2:$B$50)</f>
        <v>16788.532272</v>
      </c>
      <c r="O7" s="62" ph="1">
        <f>O6*81.71*LOOKUP(O8,[2]密度!$A$2:$A$50,[2]密度!$B$2:$B$50)</f>
        <v>183483.61268599998</v>
      </c>
      <c r="P7" s="62" ph="1">
        <f>P6*81.71*LOOKUP(P8,[2]密度!$A$2:$A$50,[2]密度!$B$2:$B$50)</f>
        <v>89069.76677799999</v>
      </c>
      <c r="Q7" s="62" ph="1"/>
      <c r="R7" s="62" ph="1"/>
      <c r="S7" s="62" ph="1"/>
      <c r="T7" s="62" ph="1"/>
      <c r="U7" s="62" ph="1"/>
      <c r="V7" s="62" ph="1"/>
      <c r="W7" s="62" ph="1"/>
      <c r="X7" s="62" ph="1"/>
      <c r="Y7" s="62" ph="1"/>
      <c r="Z7" s="62" ph="1"/>
      <c r="AA7" s="62" ph="1"/>
      <c r="AB7" s="62" ph="1"/>
      <c r="AC7" s="62" ph="1"/>
      <c r="AD7" s="62" ph="1"/>
      <c r="AE7" s="62" ph="1"/>
    </row>
    <row r="8" spans="1:53" ph="1">
      <c r="B8" s="206" ph="1"/>
      <c r="C8" s="57" t="s" ph="1">
        <v>85</v>
      </c>
      <c r="D8" s="63">
        <v>31</v>
      </c>
      <c r="E8" s="63">
        <v>31</v>
      </c>
      <c r="F8" s="63">
        <v>32</v>
      </c>
      <c r="G8" s="63">
        <v>28</v>
      </c>
      <c r="H8" s="63">
        <v>33</v>
      </c>
      <c r="I8" s="63">
        <v>28</v>
      </c>
      <c r="J8" s="63">
        <v>25</v>
      </c>
      <c r="K8" s="63">
        <v>28</v>
      </c>
      <c r="L8" s="63">
        <v>30</v>
      </c>
      <c r="M8" s="63">
        <v>29</v>
      </c>
      <c r="N8" s="63">
        <v>30</v>
      </c>
      <c r="O8" s="63">
        <v>29</v>
      </c>
      <c r="P8" s="63">
        <v>30</v>
      </c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</row>
    <row r="9" spans="1:53" ht="26.4" ph="1">
      <c r="B9" s="206" ph="1">
        <v>0.66666666666666663</v>
      </c>
      <c r="C9" s="122" t="s" ph="1">
        <v>112</v>
      </c>
      <c r="D9" s="109">
        <v>0.89710000000000001</v>
      </c>
      <c r="E9" s="109">
        <v>4.1700000000000001E-2</v>
      </c>
      <c r="F9" s="109">
        <v>0</v>
      </c>
      <c r="G9" s="109">
        <v>0</v>
      </c>
      <c r="H9" s="60">
        <v>1025</v>
      </c>
      <c r="I9" s="60">
        <v>225</v>
      </c>
      <c r="J9" s="60">
        <v>4867</v>
      </c>
      <c r="K9" s="60">
        <v>285</v>
      </c>
      <c r="L9" s="60">
        <v>3532</v>
      </c>
      <c r="M9" s="60">
        <v>1904</v>
      </c>
      <c r="N9" s="60">
        <v>1247</v>
      </c>
      <c r="O9" s="60">
        <v>4475</v>
      </c>
      <c r="P9" s="60">
        <v>1703</v>
      </c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</row>
    <row r="10" spans="1:53" s="61" customFormat="1" ht="22.2" ph="1">
      <c r="B10" s="206" ph="1"/>
      <c r="C10" s="122" t="s" ph="1">
        <v>113</v>
      </c>
      <c r="D10" s="62" ph="1">
        <f>((D9*5885)*4.48)*LOOKUP(D11,[2]密度!$A$2:$A$50,[2]密度!$B$2:$B$50)</f>
        <v>18294.71531888</v>
      </c>
      <c r="E10" s="62" ph="1">
        <f>((E9*5885)*4.48)*LOOKUP(E11,[2]密度!$A$2:$A$50,[2]密度!$B$2:$B$50)</f>
        <v>851.38477670400005</v>
      </c>
      <c r="F10" s="62" ph="1">
        <f>((F9*5885)*4.48)*LOOKUP(F11,[2]密度!$A$2:$A$50,[2]密度!$B$2:$B$50)</f>
        <v>0</v>
      </c>
      <c r="G10" s="62" ph="1">
        <f>((G9*5885)*4.48)*LOOKUP(G11,[2]密度!$A$2:$A$50,[2]密度!$B$2:$B$50)</f>
        <v>0</v>
      </c>
      <c r="H10" s="62" ph="1">
        <f>IF(H9&lt;=0,0,IF(H9&lt;=745,PI()*(5.3235*(H9/1000)^2-(4/3)*(H9/1000)^3),7.55+15.2053*((H9-745)/1000))*LOOKUP(H11,[2]密度!$A$2:$A$50,[2]密度!$B$2:$B$50)*1000)</f>
        <v>9113.0161511999995</v>
      </c>
      <c r="I10" s="62" ph="1">
        <f>IF(I9&lt;=0,0,IF(I9&lt;=745,PI()*(5.3235*(I9/1000)^2-(4/3)*(I9/1000)^3),7.55+15.2053*((I9-745)/1000))*LOOKUP(I11,[2]密度!$A$2:$A$50,[2]密度!$B$2:$B$50)*1000)</f>
        <v>618.70932241886771</v>
      </c>
      <c r="J10" s="62" ph="1">
        <f>IF(J9&lt;=0,0,IF(J9&lt;=745,PI()*(5.3235*(J9/1000)^2-(4/3)*(J9/1000)^3),7.55+15.2053*((J9-745)/1000))*LOOKUP(J11,[2]密度!$A$2:$A$50,[2]密度!$B$2:$B$50)*1000)</f>
        <v>54320.001745099995</v>
      </c>
      <c r="K10" s="62" ph="1">
        <f>IF(K9&lt;=0,0,IF(K9&lt;=745,PI()*(5.3235*(K9/1000)^2-(4/3)*(K9/1000)^3),7.55+15.2053*((K9-745)/1000))*LOOKUP(K11,[2]密度!$A$2:$A$50,[2]密度!$B$2:$B$50)*1000)</f>
        <v>975.74076430638377</v>
      </c>
      <c r="L10" s="62" ph="1">
        <f>L9*26.42*LOOKUP(L11,[2]密度!$A$2:$A$50,[2]密度!$B$2:$B$50)</f>
        <v>72347.460632000002</v>
      </c>
      <c r="M10" s="62" ph="1">
        <f>M9*26.42*1</f>
        <v>50303.68</v>
      </c>
      <c r="N10" s="62" ph="1">
        <f>N9*18.32*LOOKUP(N11,[2]密度!$A$2:$A$50,[2]密度!$B$2:$B$50)</f>
        <v>17691.198976</v>
      </c>
      <c r="O10" s="62" ph="1">
        <f>O9*81.71*LOOKUP(O11,[2]密度!$A$2:$A$50,[2]密度!$B$2:$B$50)</f>
        <v>284111.79824999999</v>
      </c>
      <c r="P10" s="62" ph="1">
        <f>P9*81.71*LOOKUP(P11,[2]密度!$A$2:$A$50,[2]密度!$B$2:$B$50)</f>
        <v>107759.40947199998</v>
      </c>
      <c r="Q10" s="62" ph="1"/>
      <c r="R10" s="62" ph="1"/>
      <c r="S10" s="62" ph="1"/>
      <c r="T10" s="62" ph="1"/>
      <c r="U10" s="62" ph="1"/>
      <c r="V10" s="62" ph="1"/>
      <c r="W10" s="62" ph="1"/>
      <c r="X10" s="62" ph="1"/>
      <c r="Y10" s="62" ph="1"/>
      <c r="Z10" s="62" ph="1"/>
      <c r="AA10" s="62" ph="1"/>
      <c r="AB10" s="62" ph="1"/>
      <c r="AC10" s="62" ph="1"/>
      <c r="AD10" s="62" ph="1"/>
      <c r="AE10" s="62" ph="1"/>
    </row>
    <row r="11" spans="1:53" ph="1">
      <c r="A11" s="53" t="s" ph="1">
        <v>114</v>
      </c>
      <c r="B11" s="206" ph="1"/>
      <c r="C11" s="122" t="s" ph="1">
        <v>115</v>
      </c>
      <c r="D11" s="63">
        <v>32</v>
      </c>
      <c r="E11" s="63">
        <v>31</v>
      </c>
      <c r="F11" s="63">
        <v>32</v>
      </c>
      <c r="G11" s="63">
        <v>33</v>
      </c>
      <c r="H11" s="63">
        <v>34</v>
      </c>
      <c r="I11" s="63">
        <v>31</v>
      </c>
      <c r="J11" s="63">
        <v>32</v>
      </c>
      <c r="K11" s="63">
        <v>32</v>
      </c>
      <c r="L11" s="63">
        <v>30</v>
      </c>
      <c r="M11" s="63">
        <v>30</v>
      </c>
      <c r="N11" s="63">
        <v>31</v>
      </c>
      <c r="O11" s="63">
        <v>28</v>
      </c>
      <c r="P11" s="63">
        <v>31</v>
      </c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</row>
    <row r="12" spans="1:53" ht="9.9" customHeight="1" ph="1">
      <c r="U12" s="119" ph="1"/>
    </row>
    <row r="13" spans="1:53" s="61" customFormat="1" ht="29.25" customHeight="1" ph="1">
      <c r="B13" s="183" t="s" ph="1">
        <v>95</v>
      </c>
      <c r="C13" s="122" t="s" ph="1">
        <v>96</v>
      </c>
      <c r="D13" s="65" ph="1"/>
      <c r="E13" s="65" ph="1"/>
      <c r="F13" s="65" ph="1"/>
      <c r="G13" s="65" ph="1"/>
      <c r="H13" s="65" ph="1"/>
      <c r="I13" s="65" ph="1"/>
      <c r="J13" s="65" ph="1"/>
      <c r="K13" s="65" ph="1"/>
      <c r="L13" s="65" ph="1"/>
      <c r="M13" s="65" ph="1"/>
      <c r="N13" s="65" ph="1"/>
      <c r="O13" s="65" ph="1"/>
      <c r="P13" s="65" ph="1"/>
      <c r="Q13" s="65" ph="1"/>
      <c r="R13" s="65" ph="1"/>
      <c r="S13" s="65" ph="1"/>
      <c r="T13" s="65" ph="1"/>
      <c r="U13" s="65" ph="1"/>
      <c r="V13" s="65" ph="1"/>
      <c r="W13" s="65" ph="1"/>
      <c r="X13" s="65" ph="1"/>
      <c r="Y13" s="94" ph="1"/>
      <c r="Z13" s="65" ph="1"/>
      <c r="AA13" s="65" ph="1"/>
      <c r="AB13" s="65" ph="1"/>
      <c r="AC13" s="65" ph="1"/>
      <c r="AD13" s="65" ph="1"/>
      <c r="AE13" s="65" ph="1"/>
    </row>
    <row r="14" spans="1:53" s="61" customFormat="1" ht="24" ph="1">
      <c r="B14" s="184" ph="1"/>
      <c r="C14" s="56" t="s" ph="1">
        <v>104</v>
      </c>
      <c r="D14" s="66" ph="1"/>
      <c r="E14" s="66" ph="1"/>
      <c r="F14" s="108" ph="1"/>
      <c r="G14" s="66" ph="1"/>
      <c r="H14" s="66" ph="1"/>
      <c r="I14" s="101" ph="1"/>
      <c r="J14" s="66" ph="1"/>
      <c r="K14" s="66" ph="1"/>
      <c r="L14" s="66" ph="1"/>
      <c r="M14" s="93" ph="1"/>
      <c r="N14" s="93" ph="1"/>
      <c r="O14" s="93" ph="1"/>
      <c r="P14" s="66" ph="1"/>
      <c r="Q14" s="66" ph="1"/>
      <c r="R14" s="77" ph="1"/>
      <c r="S14" s="66" ph="1"/>
      <c r="T14" s="66" ph="1"/>
      <c r="U14" s="66" ph="1"/>
      <c r="V14" s="66" ph="1"/>
      <c r="W14" s="66" ph="1"/>
      <c r="X14" s="66" ph="1"/>
      <c r="Y14" s="104" ph="1"/>
      <c r="Z14" s="66" ph="1"/>
      <c r="AA14" s="66" ph="1"/>
      <c r="AB14" s="66" ph="1"/>
      <c r="AC14" s="66" ph="1"/>
      <c r="AD14" s="66" ph="1"/>
      <c r="AE14" s="66" ph="1"/>
    </row>
    <row r="15" spans="1:53" ht="26.4" ph="1">
      <c r="B15" s="185" ph="1">
        <v>0.33333333333333331</v>
      </c>
      <c r="C15" s="68" t="s" ph="1">
        <v>45</v>
      </c>
      <c r="D15" s="60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0"/>
      <c r="X15" s="67"/>
      <c r="Y15" s="95"/>
      <c r="Z15" s="67"/>
      <c r="AA15" s="67"/>
      <c r="AB15" s="67" ph="1"/>
      <c r="AC15" s="67" ph="1"/>
      <c r="AD15" s="67"/>
      <c r="AE15" s="67"/>
    </row>
    <row r="16" spans="1:53" s="61" customFormat="1" ht="26.4" ph="1">
      <c r="B16" s="186" ph="1"/>
      <c r="C16" s="122" t="s" ph="1">
        <v>92</v>
      </c>
      <c r="D16" s="62" ph="1"/>
      <c r="E16" s="62" ph="1"/>
      <c r="F16" s="62" ph="1"/>
      <c r="G16" s="62" ph="1"/>
      <c r="H16" s="62" ph="1"/>
      <c r="I16" s="62" ph="1"/>
      <c r="J16" s="62" ph="1"/>
      <c r="K16" s="62" ph="1"/>
      <c r="L16" s="62" ph="1"/>
      <c r="M16" s="62" ph="1"/>
      <c r="N16" s="62" ph="1"/>
      <c r="O16" s="62" ph="1"/>
      <c r="P16" s="62" ph="1"/>
      <c r="Q16" s="62" ph="1"/>
      <c r="R16" s="62" ph="1"/>
      <c r="S16" s="62" ph="1"/>
      <c r="T16" s="62" ph="1"/>
      <c r="U16" s="62" ph="1"/>
      <c r="V16" s="62" ph="1"/>
      <c r="W16" s="120" ph="1"/>
      <c r="X16" s="62" ph="1"/>
      <c r="Y16" s="96" ph="1"/>
      <c r="Z16" s="62" ph="1"/>
      <c r="AA16" s="62" ph="1"/>
      <c r="AB16" s="62" ph="1"/>
      <c r="AC16" s="62" ph="1"/>
      <c r="AD16" s="62" ph="1"/>
      <c r="AE16" s="62" ph="1"/>
    </row>
    <row r="17" spans="1:32" ph="1">
      <c r="A17" s="53" t="s" ph="1">
        <v>116</v>
      </c>
      <c r="B17" s="187" ph="1"/>
      <c r="C17" s="68" t="s" ph="1">
        <v>115</v>
      </c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121"/>
      <c r="W17" s="63"/>
      <c r="X17" s="63"/>
      <c r="Y17" s="97"/>
      <c r="Z17" s="63"/>
      <c r="AA17" s="63"/>
      <c r="AB17" s="63"/>
      <c r="AC17" s="63"/>
      <c r="AD17" s="63"/>
      <c r="AE17" s="63"/>
    </row>
    <row r="18" spans="1:32" ht="26.4" ph="1">
      <c r="B18" s="185" ph="1">
        <v>0.66666666666666663</v>
      </c>
      <c r="C18" s="68" t="s" ph="1">
        <v>117</v>
      </c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98"/>
      <c r="Z18" s="60"/>
      <c r="AA18" s="60"/>
      <c r="AB18" s="60"/>
      <c r="AC18" s="60"/>
      <c r="AD18" s="60"/>
      <c r="AE18" s="60"/>
    </row>
    <row r="19" spans="1:32" s="61" customFormat="1" ht="22.2" ph="1">
      <c r="B19" s="186" ph="1"/>
      <c r="C19" s="122" t="s" ph="1">
        <v>113</v>
      </c>
      <c r="D19" s="62" ph="1"/>
      <c r="E19" s="62" ph="1"/>
      <c r="F19" s="62" ph="1"/>
      <c r="G19" s="62" ph="1"/>
      <c r="H19" s="62" ph="1"/>
      <c r="I19" s="62" ph="1"/>
      <c r="J19" s="62" ph="1"/>
      <c r="K19" s="62" ph="1"/>
      <c r="L19" s="62" ph="1"/>
      <c r="M19" s="62" ph="1"/>
      <c r="N19" s="62" ph="1"/>
      <c r="O19" s="62" ph="1"/>
      <c r="P19" s="62" ph="1"/>
      <c r="Q19" s="62" ph="1"/>
      <c r="R19" s="62" ph="1"/>
      <c r="S19" s="62" ph="1"/>
      <c r="T19" s="62" ph="1"/>
      <c r="U19" s="62" ph="1"/>
      <c r="V19" s="62" ph="1"/>
      <c r="W19" s="62" ph="1"/>
      <c r="X19" s="62" ph="1"/>
      <c r="Y19" s="62" ph="1"/>
      <c r="Z19" s="62" ph="1"/>
      <c r="AA19" s="62" ph="1"/>
      <c r="AB19" s="62" ph="1"/>
      <c r="AC19" s="62" ph="1"/>
      <c r="AD19" s="62" ph="1"/>
      <c r="AE19" s="62" ph="1"/>
    </row>
    <row r="20" spans="1:32" ph="1">
      <c r="A20" s="61" ph="1"/>
      <c r="B20" s="186" ph="1"/>
      <c r="C20" s="69" t="s" ph="1">
        <v>115</v>
      </c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99"/>
      <c r="Z20" s="70"/>
      <c r="AA20" s="70"/>
      <c r="AB20" s="70"/>
      <c r="AC20" s="70"/>
      <c r="AD20" s="70"/>
      <c r="AE20" s="70"/>
      <c r="AF20" s="53" t="s" ph="1">
        <v>119</v>
      </c>
    </row>
    <row r="21" spans="1:32" ph="1">
      <c r="A21" s="61" ph="1"/>
      <c r="B21" s="71" ph="1"/>
      <c r="C21" s="72" ph="1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</row>
    <row r="22" spans="1:32" ph="1">
      <c r="A22" s="61" ph="1"/>
      <c r="B22" s="184" t="s" ph="1">
        <v>95</v>
      </c>
      <c r="C22" s="74" t="s" ph="1">
        <v>96</v>
      </c>
      <c r="D22" s="75" ph="1"/>
      <c r="E22" s="75" ph="1"/>
      <c r="F22" s="75" ph="1"/>
      <c r="G22" s="75" ph="1"/>
      <c r="H22" s="75" ph="1"/>
      <c r="I22" s="75" ph="1"/>
      <c r="J22" s="75" ph="1"/>
      <c r="K22" s="75" ph="1"/>
      <c r="L22" s="75" ph="1"/>
      <c r="M22" s="75" ph="1"/>
      <c r="N22" s="75" ph="1"/>
      <c r="O22" s="75" ph="1"/>
      <c r="P22" s="75" ph="1"/>
      <c r="Q22" s="76" ph="1"/>
      <c r="R22" s="75" ph="1"/>
      <c r="S22" s="75" ph="1"/>
      <c r="T22" s="75" ph="1"/>
      <c r="U22" s="75" ph="1"/>
      <c r="V22" s="75" ph="1"/>
      <c r="W22" s="75" ph="1"/>
      <c r="X22" s="75" ph="1"/>
      <c r="Y22" s="75" ph="1"/>
      <c r="Z22" s="194" t="s" ph="1">
        <v>120</v>
      </c>
      <c r="AA22" s="195"/>
      <c r="AB22" s="195"/>
      <c r="AC22" s="195"/>
      <c r="AD22" s="195"/>
      <c r="AE22" s="196"/>
    </row>
    <row r="23" spans="1:32" ph="1">
      <c r="A23" s="61" ph="1"/>
      <c r="B23" s="188" ph="1"/>
      <c r="C23" s="56" t="s" ph="1">
        <v>105</v>
      </c>
      <c r="D23" s="77" ph="1"/>
      <c r="E23" s="77" ph="1"/>
      <c r="F23" s="77" ph="1"/>
      <c r="G23" s="77" ph="1"/>
      <c r="H23" s="77" ph="1"/>
      <c r="I23" s="77" ph="1"/>
      <c r="J23" s="77" ph="1"/>
      <c r="K23" s="77" ph="1"/>
      <c r="L23" s="77" ph="1"/>
      <c r="M23" s="77" ph="1"/>
      <c r="N23" s="77" ph="1"/>
      <c r="O23" s="77" ph="1"/>
      <c r="P23" s="77" ph="1"/>
      <c r="Q23" s="78" ph="1"/>
      <c r="R23" s="77" ph="1"/>
      <c r="S23" s="77" ph="1"/>
      <c r="T23" s="77" ph="1"/>
      <c r="U23" s="93" ph="1"/>
      <c r="V23" s="77" ph="1"/>
      <c r="W23" s="77" ph="1"/>
      <c r="X23" s="77" ph="1"/>
      <c r="Y23" s="77" ph="1"/>
      <c r="Z23" s="197" t="s" ph="1">
        <v>121</v>
      </c>
      <c r="AA23" s="198"/>
      <c r="AB23" s="198"/>
      <c r="AC23" s="198"/>
      <c r="AD23" s="198"/>
      <c r="AE23" s="199"/>
    </row>
    <row r="24" spans="1:32" ht="26.4" ph="1">
      <c r="A24" s="61" ph="1"/>
      <c r="B24" s="206" ph="1">
        <v>0.33333333333333331</v>
      </c>
      <c r="C24" s="68" t="s" ph="1">
        <v>45</v>
      </c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79"/>
      <c r="R24" s="60"/>
      <c r="S24" s="60"/>
      <c r="T24" s="60"/>
      <c r="U24" s="60"/>
      <c r="V24" s="60"/>
      <c r="W24" s="60"/>
      <c r="X24" s="60"/>
      <c r="Y24" s="60"/>
      <c r="Z24" s="200"/>
      <c r="AA24" s="201"/>
      <c r="AB24" s="201"/>
      <c r="AC24" s="201"/>
      <c r="AD24" s="201"/>
      <c r="AE24" s="202"/>
    </row>
    <row r="25" spans="1:32" ph="1">
      <c r="A25" s="61" ph="1"/>
      <c r="B25" s="206" ph="1"/>
      <c r="C25" s="57" t="s" ph="1">
        <v>92</v>
      </c>
      <c r="D25" s="80" ph="1"/>
      <c r="E25" s="80" ph="1"/>
      <c r="F25" s="80" ph="1"/>
      <c r="G25" s="80" ph="1"/>
      <c r="H25" s="80" ph="1"/>
      <c r="I25" s="80" ph="1"/>
      <c r="J25" s="80" ph="1"/>
      <c r="K25" s="80" ph="1"/>
      <c r="L25" s="80" ph="1"/>
      <c r="M25" s="80" ph="1"/>
      <c r="N25" s="80" ph="1"/>
      <c r="O25" s="80" ph="1"/>
      <c r="P25" s="80" ph="1"/>
      <c r="Q25" s="81" ph="1"/>
      <c r="R25" s="80" ph="1"/>
      <c r="S25" s="80" ph="1"/>
      <c r="T25" s="80" ph="1"/>
      <c r="U25" s="80" ph="1"/>
      <c r="V25" s="80" ph="1"/>
      <c r="W25" s="80" ph="1"/>
      <c r="X25" s="80" ph="1"/>
      <c r="Y25" s="80" ph="1"/>
      <c r="Z25" s="200"/>
      <c r="AA25" s="201"/>
      <c r="AB25" s="201"/>
      <c r="AC25" s="201"/>
      <c r="AD25" s="201"/>
      <c r="AE25" s="202"/>
    </row>
    <row r="26" spans="1:32" ph="1">
      <c r="A26" s="61" ph="1"/>
      <c r="B26" s="206" ph="1"/>
      <c r="C26" s="57" t="s" ph="1">
        <v>85</v>
      </c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82"/>
      <c r="R26" s="63"/>
      <c r="S26" s="63"/>
      <c r="T26" s="63"/>
      <c r="U26" s="63"/>
      <c r="V26" s="63"/>
      <c r="W26" s="63"/>
      <c r="X26" s="63"/>
      <c r="Y26" s="63"/>
      <c r="Z26" s="200"/>
      <c r="AA26" s="201"/>
      <c r="AB26" s="201"/>
      <c r="AC26" s="201"/>
      <c r="AD26" s="201"/>
      <c r="AE26" s="202"/>
    </row>
    <row r="27" spans="1:32" ht="26.4" ph="1">
      <c r="A27" s="61" ph="1"/>
      <c r="B27" s="206" ph="1">
        <v>0.66666666666666663</v>
      </c>
      <c r="C27" s="122" t="s" ph="1">
        <v>112</v>
      </c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79"/>
      <c r="R27" s="60"/>
      <c r="S27" s="60"/>
      <c r="T27" s="60"/>
      <c r="U27" s="60"/>
      <c r="V27" s="60"/>
      <c r="W27" s="60"/>
      <c r="X27" s="60"/>
      <c r="Y27" s="60"/>
      <c r="Z27" s="200"/>
      <c r="AA27" s="201"/>
      <c r="AB27" s="201"/>
      <c r="AC27" s="201"/>
      <c r="AD27" s="201"/>
      <c r="AE27" s="202"/>
    </row>
    <row r="28" spans="1:32" ph="1">
      <c r="A28" s="61" ph="1"/>
      <c r="B28" s="206" ph="1"/>
      <c r="C28" s="122" t="s" ph="1">
        <v>92</v>
      </c>
      <c r="D28" s="80" ph="1"/>
      <c r="E28" s="80" ph="1"/>
      <c r="F28" s="80" ph="1"/>
      <c r="G28" s="80" ph="1"/>
      <c r="H28" s="80" ph="1"/>
      <c r="I28" s="80" ph="1"/>
      <c r="J28" s="80" ph="1"/>
      <c r="K28" s="80" ph="1"/>
      <c r="L28" s="80" ph="1"/>
      <c r="M28" s="80" ph="1"/>
      <c r="N28" s="80" ph="1"/>
      <c r="O28" s="80" ph="1"/>
      <c r="P28" s="80" ph="1"/>
      <c r="Q28" s="81" ph="1"/>
      <c r="R28" s="80" ph="1"/>
      <c r="S28" s="80" ph="1"/>
      <c r="T28" s="80" ph="1"/>
      <c r="U28" s="80" ph="1"/>
      <c r="V28" s="80" ph="1"/>
      <c r="W28" s="80" ph="1"/>
      <c r="X28" s="80" ph="1"/>
      <c r="Y28" s="80" ph="1"/>
      <c r="Z28" s="200"/>
      <c r="AA28" s="201"/>
      <c r="AB28" s="201"/>
      <c r="AC28" s="201"/>
      <c r="AD28" s="201"/>
      <c r="AE28" s="202"/>
    </row>
    <row r="29" spans="1:32" ph="1">
      <c r="A29" s="61" ph="1"/>
      <c r="B29" s="206" ph="1"/>
      <c r="C29" s="122" t="s" ph="1">
        <v>115</v>
      </c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82"/>
      <c r="R29" s="63"/>
      <c r="S29" s="63"/>
      <c r="T29" s="63"/>
      <c r="U29" s="63"/>
      <c r="V29" s="63"/>
      <c r="W29" s="63"/>
      <c r="X29" s="63"/>
      <c r="Y29" s="63"/>
      <c r="Z29" s="203"/>
      <c r="AA29" s="204"/>
      <c r="AB29" s="204"/>
      <c r="AC29" s="204"/>
      <c r="AD29" s="204"/>
      <c r="AE29" s="205"/>
    </row>
    <row r="30" spans="1:32" ph="1">
      <c r="D30" s="83" ph="1"/>
      <c r="Z30" s="53" t="s" ph="1">
        <v>119</v>
      </c>
      <c r="AE30" s="84" ph="1"/>
    </row>
    <row r="31" spans="1:32" ht="28.2" ph="1">
      <c r="A31" s="53"/>
      <c r="B31" s="189" t="s" ph="1">
        <v>118</v>
      </c>
      <c r="C31" s="190" ph="1"/>
      <c r="D31" s="167" t="s" ph="1">
        <v>122</v>
      </c>
      <c r="E31" s="168" ph="1"/>
      <c r="F31" s="169" ph="1"/>
      <c r="G31" s="193" ph="1"/>
      <c r="H31" s="168" ph="1"/>
      <c r="I31" s="169" ph="1"/>
      <c r="J31" s="167" ph="1"/>
      <c r="K31" s="168" ph="1"/>
      <c r="L31" s="169" ph="1"/>
      <c r="M31" s="167" ph="1"/>
      <c r="N31" s="168" ph="1"/>
      <c r="O31" s="169" ph="1"/>
      <c r="P31" s="167" ph="1"/>
      <c r="Q31" s="168"/>
      <c r="R31" s="169"/>
      <c r="S31" s="167" ph="1"/>
      <c r="T31" s="168"/>
      <c r="U31" s="169"/>
      <c r="V31" s="167" ph="1"/>
      <c r="W31" s="168" ph="1"/>
      <c r="X31" s="169" ph="1"/>
      <c r="Y31" s="167" ph="1"/>
      <c r="Z31" s="168" ph="1"/>
      <c r="AA31" s="169" ph="1"/>
      <c r="AB31" s="170"/>
      <c r="AC31" s="171"/>
      <c r="AD31" s="171"/>
      <c r="AE31" s="172"/>
    </row>
    <row r="32" spans="1:32" ph="1">
      <c r="A32" s="53"/>
      <c r="B32" s="191" ph="1"/>
      <c r="C32" s="192" ph="1"/>
      <c r="D32" s="85" t="s" ph="1">
        <v>123</v>
      </c>
      <c r="E32" s="122" t="s" ph="1">
        <v>124</v>
      </c>
      <c r="F32" s="123" t="s" ph="1">
        <v>125</v>
      </c>
      <c r="G32" s="86" t="s" ph="1">
        <v>126</v>
      </c>
      <c r="H32" s="122" t="s" ph="1">
        <v>127</v>
      </c>
      <c r="I32" s="123" t="s" ph="1">
        <v>128</v>
      </c>
      <c r="J32" s="86" t="s" ph="1">
        <v>123</v>
      </c>
      <c r="K32" s="122" t="s" ph="1">
        <v>124</v>
      </c>
      <c r="L32" s="123" t="s" ph="1">
        <v>129</v>
      </c>
      <c r="M32" s="86" t="s" ph="1">
        <v>126</v>
      </c>
      <c r="N32" s="122" t="s" ph="1">
        <v>124</v>
      </c>
      <c r="O32" s="123" t="s" ph="1">
        <v>125</v>
      </c>
      <c r="P32" s="86" t="s" ph="1">
        <v>126</v>
      </c>
      <c r="Q32" s="87" t="s" ph="1">
        <v>124</v>
      </c>
      <c r="R32" s="88" t="s" ph="1">
        <v>129</v>
      </c>
      <c r="S32" s="86" t="s" ph="1">
        <v>123</v>
      </c>
      <c r="T32" s="122" t="s" ph="1">
        <v>124</v>
      </c>
      <c r="U32" s="88" t="s" ph="1">
        <v>128</v>
      </c>
      <c r="V32" s="86" t="s" ph="1">
        <v>130</v>
      </c>
      <c r="W32" s="122" t="s" ph="1">
        <v>124</v>
      </c>
      <c r="X32" s="88" t="s" ph="1">
        <v>129</v>
      </c>
      <c r="Y32" s="89" t="s" ph="1">
        <v>126</v>
      </c>
      <c r="Z32" s="122" t="s" ph="1">
        <v>124</v>
      </c>
      <c r="AA32" s="123" t="s" ph="1">
        <v>125</v>
      </c>
      <c r="AB32" s="86" t="s" ph="1">
        <v>131</v>
      </c>
      <c r="AC32" s="122" t="s" ph="1">
        <v>132</v>
      </c>
      <c r="AD32" s="173" t="s" ph="1">
        <v>133</v>
      </c>
      <c r="AE32" s="174"/>
    </row>
    <row r="33" spans="1:31" ph="1">
      <c r="A33" s="53"/>
      <c r="B33" s="175" t="s" ph="1">
        <v>134</v>
      </c>
      <c r="C33" s="176" ph="1"/>
      <c r="D33" s="155" ph="1">
        <f>O10+P10</f>
        <v>391871.20772199996</v>
      </c>
      <c r="E33" s="155" ph="1">
        <f>H10+I10+J10+K10</f>
        <v>65027.46798302525</v>
      </c>
      <c r="F33" s="179" ph="1">
        <f>L10+N10</f>
        <v>90038.659608000002</v>
      </c>
      <c r="G33" s="181" ph="1">
        <v>0</v>
      </c>
      <c r="H33" s="155" ph="1">
        <v>0</v>
      </c>
      <c r="I33" s="159" ph="1">
        <v>0</v>
      </c>
      <c r="J33" s="163" ph="1">
        <v>0</v>
      </c>
      <c r="K33" s="155" ph="1">
        <v>0</v>
      </c>
      <c r="L33" s="165" ph="1">
        <v>0</v>
      </c>
      <c r="M33" s="163" ph="1">
        <v>0</v>
      </c>
      <c r="N33" s="155" ph="1">
        <v>0</v>
      </c>
      <c r="O33" s="159" ph="1">
        <f>G19</f>
        <v>0</v>
      </c>
      <c r="P33" s="163" ph="1">
        <v>0</v>
      </c>
      <c r="Q33" s="155" ph="1">
        <v>0</v>
      </c>
      <c r="R33" s="159" ph="1">
        <v>0</v>
      </c>
      <c r="S33" s="163" ph="1">
        <v>0</v>
      </c>
      <c r="T33" s="155" ph="1">
        <v>0</v>
      </c>
      <c r="U33" s="144" ph="1">
        <v>0</v>
      </c>
      <c r="V33" s="157" ph="1">
        <v>0</v>
      </c>
      <c r="W33" s="157" ph="1">
        <v>0</v>
      </c>
      <c r="X33" s="159" ph="1">
        <v>0</v>
      </c>
      <c r="Y33" s="161" ph="1">
        <v>0</v>
      </c>
      <c r="Z33" s="142" ph="1">
        <v>0</v>
      </c>
      <c r="AA33" s="144" ph="1">
        <v>0</v>
      </c>
      <c r="AB33" s="146" ph="1">
        <v>0</v>
      </c>
      <c r="AC33" s="148" ph="1">
        <v>0</v>
      </c>
      <c r="AD33" s="150" ph="1">
        <v>0</v>
      </c>
      <c r="AE33" s="151"/>
    </row>
    <row r="34" spans="1:31" ph="1">
      <c r="A34" s="53"/>
      <c r="B34" s="177" ph="1"/>
      <c r="C34" s="178" ph="1"/>
      <c r="D34" s="156" ph="1"/>
      <c r="E34" s="156" ph="1"/>
      <c r="F34" s="180" ph="1"/>
      <c r="G34" s="182" ph="1"/>
      <c r="H34" s="156" ph="1"/>
      <c r="I34" s="160" ph="1"/>
      <c r="J34" s="164" ph="1"/>
      <c r="K34" s="156" ph="1"/>
      <c r="L34" s="166" ph="1"/>
      <c r="M34" s="164" ph="1"/>
      <c r="N34" s="156" ph="1"/>
      <c r="O34" s="160" ph="1"/>
      <c r="P34" s="164" ph="1"/>
      <c r="Q34" s="156" ph="1"/>
      <c r="R34" s="160" ph="1"/>
      <c r="S34" s="164" ph="1"/>
      <c r="T34" s="156"/>
      <c r="U34" s="145"/>
      <c r="V34" s="158" ph="1"/>
      <c r="W34" s="158" ph="1"/>
      <c r="X34" s="160" ph="1"/>
      <c r="Y34" s="162" ph="1"/>
      <c r="Z34" s="143" ph="1"/>
      <c r="AA34" s="145" ph="1"/>
      <c r="AB34" s="147"/>
      <c r="AC34" s="149"/>
      <c r="AD34" s="152"/>
      <c r="AE34" s="153"/>
    </row>
    <row r="35" spans="1:31" ph="1">
      <c r="A35" s="53"/>
      <c r="AC35" s="154" t="s" ph="1">
        <v>135</v>
      </c>
      <c r="AD35" s="154"/>
      <c r="AE35" s="154"/>
    </row>
    <row r="36" spans="1:31" ht="28.2" ph="1">
      <c r="A36" s="53"/>
      <c r="B36" s="92" t="s" ph="1">
        <v>136</v>
      </c>
      <c r="I36" s="140" t="s" ph="1">
        <v>137</v>
      </c>
      <c r="J36" s="140" ph="1"/>
      <c r="K36" s="90" ph="1"/>
      <c r="P36" s="90" ph="1"/>
      <c r="R36" s="140" t="s" ph="1">
        <v>138</v>
      </c>
      <c r="S36" s="140" ph="1"/>
      <c r="Y36" s="91" ph="1"/>
      <c r="Z36" s="124" t="s" ph="1">
        <v>139</v>
      </c>
      <c r="AA36" s="124" ph="1"/>
      <c r="AB36" s="141" t="s" ph="1">
        <v>140</v>
      </c>
      <c r="AC36" s="141" ph="1"/>
      <c r="AD36" s="141" ph="1"/>
      <c r="AE36" s="141" ph="1"/>
    </row>
    <row r="37" spans="1:31" s="124" customFormat="1" ph="1">
      <c r="A37" s="53" ph="1"/>
      <c r="B37" s="53" ph="1"/>
      <c r="C37" s="53" ph="1"/>
      <c r="D37" s="53" ph="1"/>
      <c r="E37" s="53" ph="1"/>
      <c r="F37" s="53" ph="1"/>
      <c r="G37" s="53" ph="1"/>
      <c r="H37" s="53" ph="1"/>
      <c r="I37" s="53" ph="1"/>
      <c r="J37" s="53" ph="1"/>
      <c r="K37" s="53" ph="1"/>
      <c r="L37" s="53" ph="1"/>
      <c r="M37" s="53" ph="1"/>
      <c r="N37" s="53" ph="1"/>
      <c r="O37" s="53" ph="1"/>
      <c r="P37" s="53" ph="1"/>
      <c r="Q37" s="53" ph="1"/>
      <c r="R37" s="53" ph="1"/>
      <c r="S37" s="53" ph="1"/>
      <c r="T37" s="53" ph="1"/>
      <c r="U37" s="53" ph="1"/>
      <c r="V37" s="53" ph="1"/>
      <c r="W37" s="53" ph="1"/>
      <c r="X37" s="53" ph="1"/>
      <c r="Y37" s="53" ph="1"/>
      <c r="Z37" s="53" ph="1"/>
      <c r="AA37" s="53" ph="1"/>
      <c r="AB37" s="53" ph="1"/>
      <c r="AC37" s="53" ph="1"/>
      <c r="AD37" s="53" ph="1"/>
      <c r="AE37" s="53" ph="1"/>
    </row>
    <row r="38" spans="1:31" ph="1">
      <c r="AE38" s="53" ph="1"/>
    </row>
    <row r="42" spans="1:31" ph="1"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64"/>
    </row>
    <row r="43" spans="1:31" ph="1"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64"/>
    </row>
    <row r="44" spans="1:31" ph="1"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64"/>
    </row>
    <row r="45" spans="1:31" ph="1"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64"/>
    </row>
    <row r="46" spans="1:31" ph="1"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64"/>
    </row>
    <row r="47" spans="1:31" ph="1"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64"/>
    </row>
    <row r="48" spans="1:31" ph="1"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64"/>
    </row>
    <row r="49" spans="16:31" ph="1"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64"/>
    </row>
    <row r="50" spans="16:31" ph="1"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64"/>
    </row>
    <row r="51" spans="16:31" ph="1"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64"/>
    </row>
    <row r="52" spans="16:31" ph="1"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64"/>
    </row>
    <row r="53" spans="16:31" ph="1">
      <c r="R53" s="53"/>
      <c r="S53" s="53"/>
      <c r="T53" s="53"/>
      <c r="U53" s="53"/>
      <c r="W53" s="53"/>
      <c r="X53" s="53"/>
      <c r="Y53" s="53"/>
      <c r="Z53" s="53"/>
      <c r="AA53" s="53"/>
      <c r="AB53" s="53"/>
      <c r="AC53" s="53"/>
      <c r="AD53" s="53"/>
    </row>
    <row r="54" spans="16:31" ph="1">
      <c r="R54" s="53"/>
      <c r="S54" s="53"/>
      <c r="T54" s="53"/>
      <c r="U54" s="53"/>
      <c r="W54" s="53"/>
      <c r="X54" s="53"/>
      <c r="Y54" s="53"/>
      <c r="Z54" s="53"/>
      <c r="AA54" s="53"/>
      <c r="AC54" s="53"/>
      <c r="AD54" s="53"/>
    </row>
    <row r="55" spans="16:31" ph="1">
      <c r="R55" s="53"/>
      <c r="S55" s="53"/>
      <c r="T55" s="53"/>
      <c r="U55" s="53"/>
      <c r="V55" s="53"/>
      <c r="W55" s="53"/>
      <c r="X55" s="53"/>
      <c r="Z55" s="53"/>
      <c r="AC55" s="53"/>
      <c r="AD55" s="53"/>
      <c r="AE55" s="64"/>
    </row>
    <row r="56" spans="16:31" ph="1">
      <c r="R56" s="53"/>
      <c r="S56" s="53"/>
      <c r="T56" s="53"/>
      <c r="U56" s="53"/>
      <c r="V56" s="53"/>
      <c r="W56" s="53"/>
      <c r="X56" s="53"/>
      <c r="Z56" s="53"/>
      <c r="AA56" s="53"/>
      <c r="AB56" s="53"/>
      <c r="AC56" s="53"/>
      <c r="AD56" s="53"/>
      <c r="AE56" s="64"/>
    </row>
    <row r="57" spans="16:31" ph="1">
      <c r="R57" s="53"/>
      <c r="S57" s="53"/>
      <c r="T57" s="53"/>
      <c r="U57" s="53"/>
      <c r="V57" s="53"/>
      <c r="W57" s="53"/>
      <c r="AA57" s="53"/>
      <c r="AB57" s="53"/>
      <c r="AC57" s="53"/>
      <c r="AD57" s="53"/>
      <c r="AE57" s="64"/>
    </row>
    <row r="58" spans="16:31" ph="1">
      <c r="P58" s="53"/>
    </row>
    <row r="59" spans="16:31" ph="1">
      <c r="V59" s="53"/>
    </row>
    <row r="60" spans="16:31" ph="1">
      <c r="R60" s="53"/>
      <c r="S60" s="53"/>
      <c r="T60" s="53"/>
    </row>
    <row r="223" spans="18:18" ph="1">
      <c r="R223" s="100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 D6 D8:D9 D11">
    <cfRule type="expression" dxfId="1302" priority="135">
      <formula>ABS(D$7-D$10)&gt;=1000</formula>
    </cfRule>
  </conditionalFormatting>
  <conditionalFormatting sqref="E4 E6 E8:E9 E11">
    <cfRule type="expression" dxfId="1301" priority="134">
      <formula>ABS(E$7-E$10)&gt;=1000</formula>
    </cfRule>
  </conditionalFormatting>
  <conditionalFormatting sqref="F4 F6 F8:F9 F11">
    <cfRule type="expression" dxfId="1300" priority="133">
      <formula>ABS(F$7-F$10)&gt;=1000</formula>
    </cfRule>
  </conditionalFormatting>
  <conditionalFormatting sqref="G4 G6 G8:G9 G11">
    <cfRule type="expression" dxfId="1299" priority="132">
      <formula>ABS(G$7-G$10)&gt;=1000</formula>
    </cfRule>
  </conditionalFormatting>
  <conditionalFormatting sqref="H4:K4 H8 H11">
    <cfRule type="expression" dxfId="1298" priority="131">
      <formula>ABS(H$7-H$10)&gt;=1000</formula>
    </cfRule>
  </conditionalFormatting>
  <conditionalFormatting sqref="I8 I11">
    <cfRule type="expression" dxfId="1297" priority="130">
      <formula>ABS(I$7-I$10)&gt;=1000</formula>
    </cfRule>
  </conditionalFormatting>
  <conditionalFormatting sqref="J8 J11">
    <cfRule type="expression" dxfId="1296" priority="129">
      <formula>ABS(J$7-J$10)&gt;=1000</formula>
    </cfRule>
  </conditionalFormatting>
  <conditionalFormatting sqref="K8 K11">
    <cfRule type="expression" dxfId="1295" priority="128">
      <formula>ABS(K$7-K$10)&gt;=1000</formula>
    </cfRule>
  </conditionalFormatting>
  <conditionalFormatting sqref="L4:L5 M4:N4 Q4:S4 L8 L11">
    <cfRule type="expression" dxfId="1294" priority="127">
      <formula>ABS(L$7-L$10)&gt;=1000</formula>
    </cfRule>
  </conditionalFormatting>
  <conditionalFormatting sqref="M8 M11">
    <cfRule type="expression" dxfId="1293" priority="126">
      <formula>ABS(M$7-M$10)&gt;=1000</formula>
    </cfRule>
  </conditionalFormatting>
  <conditionalFormatting sqref="N8 N11">
    <cfRule type="expression" dxfId="1292" priority="125">
      <formula>ABS(N$7-N$10)&gt;=1000</formula>
    </cfRule>
  </conditionalFormatting>
  <conditionalFormatting sqref="Q5:Q11">
    <cfRule type="expression" dxfId="1291" priority="124">
      <formula>ABS(Q$7-Q$10)&gt;=1000</formula>
    </cfRule>
  </conditionalFormatting>
  <conditionalFormatting sqref="R5:R11">
    <cfRule type="expression" dxfId="1290" priority="123">
      <formula>ABS(R$7-R$10)&gt;=1000</formula>
    </cfRule>
  </conditionalFormatting>
  <conditionalFormatting sqref="S5:S11">
    <cfRule type="expression" dxfId="1289" priority="122">
      <formula>ABS(S$7-S$10)&gt;=1000</formula>
    </cfRule>
  </conditionalFormatting>
  <conditionalFormatting sqref="T4:T9 T11">
    <cfRule type="expression" dxfId="1288" priority="121">
      <formula>ABS(T$7-T$10)&gt;=1000</formula>
    </cfRule>
  </conditionalFormatting>
  <conditionalFormatting sqref="U4:U9 U11">
    <cfRule type="expression" dxfId="1287" priority="120">
      <formula>ABS(U$7-U$10)&gt;=1000</formula>
    </cfRule>
  </conditionalFormatting>
  <conditionalFormatting sqref="V4:V9 V11">
    <cfRule type="expression" dxfId="1286" priority="119">
      <formula>ABS(V$7-V$10)&gt;=1000</formula>
    </cfRule>
  </conditionalFormatting>
  <conditionalFormatting sqref="W4:W9 W11">
    <cfRule type="expression" dxfId="1285" priority="118">
      <formula>ABS(W$7-W$10)&gt;=1000</formula>
    </cfRule>
  </conditionalFormatting>
  <conditionalFormatting sqref="X4:X9 X11">
    <cfRule type="expression" dxfId="1284" priority="117">
      <formula>ABS(X$7-X$10)&gt;=1000</formula>
    </cfRule>
  </conditionalFormatting>
  <conditionalFormatting sqref="Y4:Y9 Y11">
    <cfRule type="expression" dxfId="1283" priority="116">
      <formula>ABS(Y$7-Y$10)&gt;=1000</formula>
    </cfRule>
  </conditionalFormatting>
  <conditionalFormatting sqref="Z4:Z11">
    <cfRule type="expression" dxfId="1282" priority="115">
      <formula>ABS(Z$7-Z$10)&gt;=1000</formula>
    </cfRule>
  </conditionalFormatting>
  <conditionalFormatting sqref="AA4:AA11">
    <cfRule type="expression" dxfId="1281" priority="114">
      <formula>ABS(AA$7-AA$10)&gt;=1000</formula>
    </cfRule>
  </conditionalFormatting>
  <conditionalFormatting sqref="AB4:AB11">
    <cfRule type="expression" dxfId="1280" priority="113">
      <formula>ABS(AB$7-AB$10)&gt;=1000</formula>
    </cfRule>
  </conditionalFormatting>
  <conditionalFormatting sqref="AC4 AC6:AC11">
    <cfRule type="expression" dxfId="1279" priority="112">
      <formula>ABS(AC$7-AC$10)&gt;=1000</formula>
    </cfRule>
  </conditionalFormatting>
  <conditionalFormatting sqref="AD4 AD6:AD11">
    <cfRule type="expression" dxfId="1278" priority="111">
      <formula>ABS(AD$7-AD$10)&gt;=1000</formula>
    </cfRule>
  </conditionalFormatting>
  <conditionalFormatting sqref="AE4 AE6:AE11">
    <cfRule type="expression" dxfId="1277" priority="110">
      <formula>ABS(AE$7-AE$10)&gt;=1000</formula>
    </cfRule>
  </conditionalFormatting>
  <conditionalFormatting sqref="D13:D14 D16:D20">
    <cfRule type="expression" dxfId="1276" priority="109">
      <formula>ABS(D$16-D$19)&gt;=1000</formula>
    </cfRule>
  </conditionalFormatting>
  <conditionalFormatting sqref="E13:E20">
    <cfRule type="expression" dxfId="1275" priority="108">
      <formula>ABS(E$16-E$19)&gt;=1000</formula>
    </cfRule>
  </conditionalFormatting>
  <conditionalFormatting sqref="F13 F15:F20">
    <cfRule type="expression" dxfId="1274" priority="107">
      <formula>ABS(F$16-F$19)&gt;=1000</formula>
    </cfRule>
  </conditionalFormatting>
  <conditionalFormatting sqref="G13:G20">
    <cfRule type="expression" dxfId="1273" priority="106">
      <formula>ABS(G$16-G$19)&gt;=1000</formula>
    </cfRule>
  </conditionalFormatting>
  <conditionalFormatting sqref="H13 H15:H20">
    <cfRule type="expression" dxfId="1272" priority="105">
      <formula>ABS(H$16-H$19)&gt;=1000</formula>
    </cfRule>
  </conditionalFormatting>
  <conditionalFormatting sqref="I13:I20">
    <cfRule type="expression" dxfId="1271" priority="104">
      <formula>ABS(I$16-I$19)&gt;=1000</formula>
    </cfRule>
  </conditionalFormatting>
  <conditionalFormatting sqref="J13:J20">
    <cfRule type="expression" dxfId="1270" priority="103">
      <formula>ABS(J$16-J$19)&gt;=1000</formula>
    </cfRule>
  </conditionalFormatting>
  <conditionalFormatting sqref="L13:L20">
    <cfRule type="expression" dxfId="1269" priority="102">
      <formula>ABS(L$16-L$19)&gt;=1000</formula>
    </cfRule>
  </conditionalFormatting>
  <conditionalFormatting sqref="M13 M15 M17:M18 M20">
    <cfRule type="expression" dxfId="1268" priority="101">
      <formula>ABS(M$16-M$19)&gt;=1000</formula>
    </cfRule>
  </conditionalFormatting>
  <conditionalFormatting sqref="N13:N20">
    <cfRule type="expression" dxfId="1267" priority="100">
      <formula>ABS(N$16-N$19)&gt;=1000</formula>
    </cfRule>
  </conditionalFormatting>
  <conditionalFormatting sqref="O13:O20">
    <cfRule type="expression" dxfId="1266" priority="99">
      <formula>ABS(O$16-O$19)&gt;=1000</formula>
    </cfRule>
  </conditionalFormatting>
  <conditionalFormatting sqref="P13:P20">
    <cfRule type="expression" dxfId="1265" priority="98">
      <formula>ABS(P$16-P$19)&gt;=1000</formula>
    </cfRule>
  </conditionalFormatting>
  <conditionalFormatting sqref="Q13 Q15:Q20">
    <cfRule type="expression" dxfId="1264" priority="97">
      <formula>ABS(Q$16-Q$19)&gt;=1000</formula>
    </cfRule>
  </conditionalFormatting>
  <conditionalFormatting sqref="R13:R20">
    <cfRule type="expression" dxfId="1263" priority="96">
      <formula>ABS(R$16-R$19)&gt;=1000</formula>
    </cfRule>
  </conditionalFormatting>
  <conditionalFormatting sqref="S13:S20">
    <cfRule type="expression" dxfId="1262" priority="95">
      <formula>ABS(S$16-S$19)&gt;=1000</formula>
    </cfRule>
  </conditionalFormatting>
  <conditionalFormatting sqref="T13:T20">
    <cfRule type="expression" dxfId="1261" priority="94">
      <formula>ABS(T$16-T$19)&gt;=1000</formula>
    </cfRule>
  </conditionalFormatting>
  <conditionalFormatting sqref="U13:U20">
    <cfRule type="expression" dxfId="1260" priority="93">
      <formula>ABS(U$16-U$19)&gt;=1000</formula>
    </cfRule>
  </conditionalFormatting>
  <conditionalFormatting sqref="V13:V20">
    <cfRule type="expression" dxfId="1259" priority="92">
      <formula>ABS(V$16-V$19)&gt;=1000</formula>
    </cfRule>
  </conditionalFormatting>
  <conditionalFormatting sqref="W13 W20 W15:W18">
    <cfRule type="expression" dxfId="1258" priority="91">
      <formula>ABS(W$16-W$19)&gt;=1000</formula>
    </cfRule>
  </conditionalFormatting>
  <conditionalFormatting sqref="X13 X15:X20 Y19">
    <cfRule type="expression" dxfId="1257" priority="90">
      <formula>ABS(X$16-X$19)&gt;=1000</formula>
    </cfRule>
  </conditionalFormatting>
  <conditionalFormatting sqref="Y13 Y15:Y18 Y20">
    <cfRule type="expression" dxfId="1256" priority="89">
      <formula>ABS(Y$16-Y$19)&gt;=1000</formula>
    </cfRule>
  </conditionalFormatting>
  <conditionalFormatting sqref="Z13:Z20">
    <cfRule type="expression" dxfId="1255" priority="88">
      <formula>ABS(Z$16-Z$19)&gt;=1000</formula>
    </cfRule>
  </conditionalFormatting>
  <conditionalFormatting sqref="AA13:AA20">
    <cfRule type="expression" dxfId="1254" priority="87">
      <formula>ABS(AA$16-AA$19)&gt;=1000</formula>
    </cfRule>
  </conditionalFormatting>
  <conditionalFormatting sqref="AB13 AB15:AB20">
    <cfRule type="expression" dxfId="1253" priority="86">
      <formula>ABS(AB$16-AB$19)&gt;=1000</formula>
    </cfRule>
  </conditionalFormatting>
  <conditionalFormatting sqref="AC13 AC15:AC20">
    <cfRule type="expression" dxfId="1252" priority="85">
      <formula>ABS(AC$16-AC$19)&gt;=1000</formula>
    </cfRule>
  </conditionalFormatting>
  <conditionalFormatting sqref="AD13:AD20">
    <cfRule type="expression" dxfId="1251" priority="84">
      <formula>ABS(AD$16-AD$19)&gt;=1000</formula>
    </cfRule>
  </conditionalFormatting>
  <conditionalFormatting sqref="AE13:AE20">
    <cfRule type="expression" dxfId="1250" priority="83">
      <formula>ABS(AE$16-AE$19)&gt;=1000</formula>
    </cfRule>
  </conditionalFormatting>
  <conditionalFormatting sqref="D22:D23 D25:D29">
    <cfRule type="expression" dxfId="1249" priority="82">
      <formula>ABS(D$25-D$28)&gt;=1000</formula>
    </cfRule>
  </conditionalFormatting>
  <conditionalFormatting sqref="E22:E29">
    <cfRule type="expression" dxfId="1248" priority="81">
      <formula>ABS(E$25-E$28)&gt;=1000</formula>
    </cfRule>
  </conditionalFormatting>
  <conditionalFormatting sqref="F22:F29">
    <cfRule type="expression" dxfId="1247" priority="80">
      <formula>ABS(F$25-F$28)&gt;=1000</formula>
    </cfRule>
  </conditionalFormatting>
  <conditionalFormatting sqref="G22:G29">
    <cfRule type="expression" dxfId="1246" priority="79">
      <formula>ABS(G$25-G$28)&gt;=1000</formula>
    </cfRule>
  </conditionalFormatting>
  <conditionalFormatting sqref="H22:H29">
    <cfRule type="expression" dxfId="1245" priority="78">
      <formula>ABS(H$25-H$28)&gt;=1000</formula>
    </cfRule>
  </conditionalFormatting>
  <conditionalFormatting sqref="I22 I24:I29">
    <cfRule type="expression" dxfId="1244" priority="77">
      <formula>ABS(I$25-I$28)&gt;=1000</formula>
    </cfRule>
  </conditionalFormatting>
  <conditionalFormatting sqref="J22:J29 K22">
    <cfRule type="expression" dxfId="1243" priority="76">
      <formula>ABS(J$25-J$28)&gt;=1000</formula>
    </cfRule>
  </conditionalFormatting>
  <conditionalFormatting sqref="K23:K29 L25 L28">
    <cfRule type="expression" dxfId="1242" priority="75">
      <formula>ABS(K$25-K$28)&gt;=1000</formula>
    </cfRule>
  </conditionalFormatting>
  <conditionalFormatting sqref="L22 L26:L27 L29 L24">
    <cfRule type="expression" dxfId="1241" priority="74">
      <formula>ABS(L$25-L$28)&gt;=1000</formula>
    </cfRule>
  </conditionalFormatting>
  <conditionalFormatting sqref="M22:M29">
    <cfRule type="expression" dxfId="1240" priority="73">
      <formula>ABS(M$25-M$28)&gt;=1000</formula>
    </cfRule>
  </conditionalFormatting>
  <conditionalFormatting sqref="N22:N29">
    <cfRule type="expression" dxfId="1239" priority="72">
      <formula>ABS(N$25-N$28)&gt;=1000</formula>
    </cfRule>
  </conditionalFormatting>
  <conditionalFormatting sqref="O22:O29">
    <cfRule type="expression" dxfId="1238" priority="71">
      <formula>ABS(O$25-O$28)&gt;=1000</formula>
    </cfRule>
  </conditionalFormatting>
  <conditionalFormatting sqref="P22:P29">
    <cfRule type="expression" dxfId="1237" priority="70">
      <formula>ABS(P$25-P$28)&gt;=1000</formula>
    </cfRule>
  </conditionalFormatting>
  <conditionalFormatting sqref="Q22:Q29">
    <cfRule type="expression" dxfId="1236" priority="69">
      <formula>ABS(Q$25-Q$28)&gt;=1000</formula>
    </cfRule>
  </conditionalFormatting>
  <conditionalFormatting sqref="R22:R29">
    <cfRule type="expression" dxfId="1235" priority="68">
      <formula>ABS(R$25-R$28)&gt;=1000</formula>
    </cfRule>
  </conditionalFormatting>
  <conditionalFormatting sqref="S22:S29">
    <cfRule type="expression" dxfId="1234" priority="67">
      <formula>ABS(S$25-S$28)&gt;=1000</formula>
    </cfRule>
  </conditionalFormatting>
  <conditionalFormatting sqref="T22:T29">
    <cfRule type="expression" dxfId="1233" priority="66">
      <formula>ABS(T$25-T$28)&gt;=1000</formula>
    </cfRule>
  </conditionalFormatting>
  <conditionalFormatting sqref="U22:U29">
    <cfRule type="expression" dxfId="1232" priority="65">
      <formula>ABS(U$25-U$28)&gt;=1000</formula>
    </cfRule>
  </conditionalFormatting>
  <conditionalFormatting sqref="V22:V29">
    <cfRule type="expression" dxfId="1231" priority="64">
      <formula>ABS(V$25-V$28)&gt;=1000</formula>
    </cfRule>
  </conditionalFormatting>
  <conditionalFormatting sqref="W22:W29">
    <cfRule type="expression" dxfId="1230" priority="63">
      <formula>ABS(W$25-W$28)&gt;=1000</formula>
    </cfRule>
  </conditionalFormatting>
  <conditionalFormatting sqref="X22:X29">
    <cfRule type="expression" dxfId="1229" priority="62">
      <formula>ABS(X$25-X$28)&gt;=1000</formula>
    </cfRule>
  </conditionalFormatting>
  <conditionalFormatting sqref="Y22:Y29">
    <cfRule type="expression" dxfId="1228" priority="61">
      <formula>ABS(Y$25-Y$28)&gt;=1000</formula>
    </cfRule>
  </conditionalFormatting>
  <conditionalFormatting sqref="I23">
    <cfRule type="expression" dxfId="1227" priority="60">
      <formula>ABS(I$25-I$28)&gt;=1000</formula>
    </cfRule>
  </conditionalFormatting>
  <conditionalFormatting sqref="Q14">
    <cfRule type="expression" dxfId="1226" priority="59">
      <formula>ABS(Q$16-Q$19)&gt;=1000</formula>
    </cfRule>
  </conditionalFormatting>
  <conditionalFormatting sqref="W14">
    <cfRule type="expression" dxfId="1225" priority="58">
      <formula>ABS(W$16-W$19)&gt;=1000</formula>
    </cfRule>
  </conditionalFormatting>
  <conditionalFormatting sqref="X14">
    <cfRule type="expression" dxfId="1224" priority="57">
      <formula>ABS(X$16-X$19)&gt;=1000</formula>
    </cfRule>
  </conditionalFormatting>
  <conditionalFormatting sqref="T10:Y10">
    <cfRule type="expression" dxfId="1223" priority="56">
      <formula>ABS(T$7-T$10)&gt;=1000</formula>
    </cfRule>
  </conditionalFormatting>
  <conditionalFormatting sqref="W19">
    <cfRule type="expression" dxfId="1222" priority="55">
      <formula>ABS(W$16-W$19)&gt;=1000</formula>
    </cfRule>
  </conditionalFormatting>
  <conditionalFormatting sqref="AC5">
    <cfRule type="expression" dxfId="1221" priority="54">
      <formula>ABS(AC$7-AC$10)&gt;=1000</formula>
    </cfRule>
  </conditionalFormatting>
  <conditionalFormatting sqref="M14">
    <cfRule type="expression" dxfId="1220" priority="53">
      <formula>ABS(M$16-M$19)&gt;=1000</formula>
    </cfRule>
  </conditionalFormatting>
  <conditionalFormatting sqref="M16">
    <cfRule type="expression" dxfId="1219" priority="52">
      <formula>ABS(M$16-M$19)&gt;=1000</formula>
    </cfRule>
  </conditionalFormatting>
  <conditionalFormatting sqref="M19">
    <cfRule type="expression" dxfId="1218" priority="51">
      <formula>ABS(M$16-M$19)&gt;=1000</formula>
    </cfRule>
  </conditionalFormatting>
  <conditionalFormatting sqref="K13:K20">
    <cfRule type="expression" dxfId="1217" priority="50">
      <formula>ABS(K$16-K$19)&gt;=1000</formula>
    </cfRule>
  </conditionalFormatting>
  <conditionalFormatting sqref="AB14:AC14">
    <cfRule type="expression" dxfId="1216" priority="49">
      <formula>ABS(AB$16-AB$19)&gt;=1000</formula>
    </cfRule>
  </conditionalFormatting>
  <conditionalFormatting sqref="M5">
    <cfRule type="expression" dxfId="1215" priority="48">
      <formula>ABS(M$7-M$10)&gt;=1000</formula>
    </cfRule>
  </conditionalFormatting>
  <conditionalFormatting sqref="N5">
    <cfRule type="expression" dxfId="1214" priority="47">
      <formula>ABS(N$7-N$10)&gt;=1000</formula>
    </cfRule>
  </conditionalFormatting>
  <conditionalFormatting sqref="L23">
    <cfRule type="expression" dxfId="1213" priority="46">
      <formula>ABS(L$25-L$28)&gt;=1000</formula>
    </cfRule>
  </conditionalFormatting>
  <conditionalFormatting sqref="Y14">
    <cfRule type="expression" dxfId="1212" priority="45">
      <formula>ABS(Y$16-Y$19)&gt;=1000</formula>
    </cfRule>
  </conditionalFormatting>
  <conditionalFormatting sqref="F14">
    <cfRule type="expression" dxfId="1211" priority="44">
      <formula>ABS(F$16-F$19)&gt;=1000</formula>
    </cfRule>
  </conditionalFormatting>
  <conditionalFormatting sqref="H14">
    <cfRule type="expression" dxfId="1210" priority="43">
      <formula>ABS(H$16-H$19)&gt;=1000</formula>
    </cfRule>
  </conditionalFormatting>
  <conditionalFormatting sqref="AD5">
    <cfRule type="expression" dxfId="1209" priority="42">
      <formula>ABS(AD$7-AD$10)&gt;=1000</formula>
    </cfRule>
  </conditionalFormatting>
  <conditionalFormatting sqref="AE5">
    <cfRule type="expression" dxfId="1208" priority="41">
      <formula>ABS(AE$7-AE$10)&gt;=1000</formula>
    </cfRule>
  </conditionalFormatting>
  <conditionalFormatting sqref="D5">
    <cfRule type="expression" dxfId="1207" priority="40">
      <formula>ABS(D$7-D$10)&gt;=1000</formula>
    </cfRule>
  </conditionalFormatting>
  <conditionalFormatting sqref="E5:G5">
    <cfRule type="expression" dxfId="1206" priority="39">
      <formula>ABS(E$7-E$10)&gt;=1000</formula>
    </cfRule>
  </conditionalFormatting>
  <conditionalFormatting sqref="H5">
    <cfRule type="expression" dxfId="1205" priority="38">
      <formula>ABS(H$7-H$10)&gt;=1000</formula>
    </cfRule>
  </conditionalFormatting>
  <conditionalFormatting sqref="O4:P4">
    <cfRule type="expression" dxfId="1204" priority="37">
      <formula>ABS(O$7-O$10)&gt;=1000</formula>
    </cfRule>
  </conditionalFormatting>
  <conditionalFormatting sqref="O5 O8 O11">
    <cfRule type="expression" dxfId="1203" priority="36">
      <formula>ABS(O$7-O$10)&gt;=1000</formula>
    </cfRule>
  </conditionalFormatting>
  <conditionalFormatting sqref="P8 P11">
    <cfRule type="expression" dxfId="1202" priority="35">
      <formula>ABS(P$7-P$10)&gt;=1000</formula>
    </cfRule>
  </conditionalFormatting>
  <conditionalFormatting sqref="J5">
    <cfRule type="expression" dxfId="1201" priority="34">
      <formula>ABS(J$7-J$10)&gt;=1000</formula>
    </cfRule>
  </conditionalFormatting>
  <conditionalFormatting sqref="K5">
    <cfRule type="expression" dxfId="1200" priority="33">
      <formula>ABS(K$7-K$10)&gt;=1000</formula>
    </cfRule>
  </conditionalFormatting>
  <conditionalFormatting sqref="D7:G7">
    <cfRule type="expression" dxfId="1199" priority="32">
      <formula>ABS(D$7-D$10)&gt;=1000</formula>
    </cfRule>
  </conditionalFormatting>
  <conditionalFormatting sqref="H7:L7">
    <cfRule type="expression" dxfId="1198" priority="31">
      <formula>ABS(H$7-H$10)&gt;=1000</formula>
    </cfRule>
  </conditionalFormatting>
  <conditionalFormatting sqref="M7">
    <cfRule type="expression" dxfId="1197" priority="30">
      <formula>ABS(M$7-M$10)&gt;=1000</formula>
    </cfRule>
  </conditionalFormatting>
  <conditionalFormatting sqref="O7:P7">
    <cfRule type="expression" dxfId="1196" priority="29">
      <formula>ABS(O$7-O$10)&gt;=1000</formula>
    </cfRule>
  </conditionalFormatting>
  <conditionalFormatting sqref="N7">
    <cfRule type="expression" dxfId="1195" priority="28">
      <formula>ABS(N$7-N$10)&gt;=1000</formula>
    </cfRule>
  </conditionalFormatting>
  <conditionalFormatting sqref="H6">
    <cfRule type="expression" dxfId="1194" priority="27">
      <formula>ABS(H$7-H$10)&gt;=1000</formula>
    </cfRule>
  </conditionalFormatting>
  <conditionalFormatting sqref="J6">
    <cfRule type="expression" dxfId="1193" priority="26">
      <formula>ABS(J$7-J$10)&gt;=1000</formula>
    </cfRule>
  </conditionalFormatting>
  <conditionalFormatting sqref="K6">
    <cfRule type="expression" dxfId="1192" priority="25">
      <formula>ABS(K$7-K$10)&gt;=1000</formula>
    </cfRule>
  </conditionalFormatting>
  <conditionalFormatting sqref="L6">
    <cfRule type="expression" dxfId="1191" priority="24">
      <formula>ABS(L$7-L$10)&gt;=1000</formula>
    </cfRule>
  </conditionalFormatting>
  <conditionalFormatting sqref="M6">
    <cfRule type="expression" dxfId="1190" priority="23">
      <formula>ABS(M$7-M$10)&gt;=1000</formula>
    </cfRule>
  </conditionalFormatting>
  <conditionalFormatting sqref="N6">
    <cfRule type="expression" dxfId="1189" priority="22">
      <formula>ABS(N$7-N$10)&gt;=1000</formula>
    </cfRule>
  </conditionalFormatting>
  <conditionalFormatting sqref="O6">
    <cfRule type="expression" dxfId="1188" priority="21">
      <formula>ABS(O$7-O$10)&gt;=1000</formula>
    </cfRule>
  </conditionalFormatting>
  <conditionalFormatting sqref="P6">
    <cfRule type="expression" dxfId="1187" priority="20">
      <formula>ABS(P$7-P$10)&gt;=1000</formula>
    </cfRule>
  </conditionalFormatting>
  <conditionalFormatting sqref="I6">
    <cfRule type="expression" dxfId="1186" priority="19">
      <formula>ABS(I$7-I$10)&gt;=1000</formula>
    </cfRule>
  </conditionalFormatting>
  <conditionalFormatting sqref="H9">
    <cfRule type="expression" dxfId="1185" priority="18">
      <formula>ABS(H$7-H$10)&gt;=1000</formula>
    </cfRule>
  </conditionalFormatting>
  <conditionalFormatting sqref="J9">
    <cfRule type="expression" dxfId="1184" priority="17">
      <formula>ABS(J$7-J$10)&gt;=1000</formula>
    </cfRule>
  </conditionalFormatting>
  <conditionalFormatting sqref="K9">
    <cfRule type="expression" dxfId="1183" priority="16">
      <formula>ABS(K$7-K$10)&gt;=1000</formula>
    </cfRule>
  </conditionalFormatting>
  <conditionalFormatting sqref="L9">
    <cfRule type="expression" dxfId="1182" priority="15">
      <formula>ABS(L$7-L$10)&gt;=1000</formula>
    </cfRule>
  </conditionalFormatting>
  <conditionalFormatting sqref="M9">
    <cfRule type="expression" dxfId="1181" priority="14">
      <formula>ABS(M$7-M$10)&gt;=1000</formula>
    </cfRule>
  </conditionalFormatting>
  <conditionalFormatting sqref="N9">
    <cfRule type="expression" dxfId="1180" priority="13">
      <formula>ABS(N$7-N$10)&gt;=1000</formula>
    </cfRule>
  </conditionalFormatting>
  <conditionalFormatting sqref="O9">
    <cfRule type="expression" dxfId="1179" priority="12">
      <formula>ABS(O$7-O$10)&gt;=1000</formula>
    </cfRule>
  </conditionalFormatting>
  <conditionalFormatting sqref="P9">
    <cfRule type="expression" dxfId="1178" priority="11">
      <formula>ABS(P$7-P$10)&gt;=1000</formula>
    </cfRule>
  </conditionalFormatting>
  <conditionalFormatting sqref="I9">
    <cfRule type="expression" dxfId="1177" priority="10">
      <formula>ABS(I$7-I$10)&gt;=1000</formula>
    </cfRule>
  </conditionalFormatting>
  <conditionalFormatting sqref="P5">
    <cfRule type="expression" dxfId="1176" priority="9">
      <formula>ABS(P$7-P$10)&gt;=1000</formula>
    </cfRule>
  </conditionalFormatting>
  <conditionalFormatting sqref="I5">
    <cfRule type="expression" dxfId="1175" priority="8">
      <formula>ABS(I$7-I$10)&gt;=1000</formula>
    </cfRule>
  </conditionalFormatting>
  <conditionalFormatting sqref="D10:G10">
    <cfRule type="expression" dxfId="1174" priority="7">
      <formula>ABS(D$7-D$10)&gt;=1000</formula>
    </cfRule>
  </conditionalFormatting>
  <conditionalFormatting sqref="H10:L10">
    <cfRule type="expression" dxfId="1173" priority="6">
      <formula>ABS(H$7-H$10)&gt;=1000</formula>
    </cfRule>
  </conditionalFormatting>
  <conditionalFormatting sqref="M10">
    <cfRule type="expression" dxfId="1172" priority="5">
      <formula>ABS(M$7-M$10)&gt;=1000</formula>
    </cfRule>
  </conditionalFormatting>
  <conditionalFormatting sqref="O10:P10">
    <cfRule type="expression" dxfId="1171" priority="4">
      <formula>ABS(O$7-O$10)&gt;=1000</formula>
    </cfRule>
  </conditionalFormatting>
  <conditionalFormatting sqref="N10">
    <cfRule type="expression" dxfId="1170" priority="3">
      <formula>ABS(N$7-N$10)&gt;=1000</formula>
    </cfRule>
  </conditionalFormatting>
  <conditionalFormatting sqref="D15">
    <cfRule type="expression" dxfId="1169" priority="2">
      <formula>ABS(D$16-D$19)&gt;=1000</formula>
    </cfRule>
  </conditionalFormatting>
  <conditionalFormatting sqref="D24">
    <cfRule type="expression" dxfId="1168" priority="1">
      <formula>ABS(D$16-D$19)&gt;=1000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20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70">
    <pageSetUpPr fitToPage="1"/>
  </sheetPr>
  <dimension ref="A1:BA223"/>
  <sheetViews>
    <sheetView view="pageBreakPreview" zoomScale="110" zoomScaleNormal="100" zoomScaleSheetLayoutView="110" workbookViewId="0">
      <selection activeCell="H7" sqref="H7"/>
    </sheetView>
  </sheetViews>
  <sheetFormatPr defaultColWidth="8.109375" defaultRowHeight="25.8"/>
  <cols>
    <col min="1" max="1" width="11.6640625" style="53" customWidth="1" phonetic="1"/>
    <col min="2" max="2" width="7.6640625" style="53" customWidth="1" phonetic="1"/>
    <col min="3" max="3" width="8" style="53" customWidth="1" phonetic="1"/>
    <col min="4" max="7" width="8.77734375" style="53" customWidth="1" phonetic="1"/>
    <col min="8" max="8" width="9.77734375" style="53" customWidth="1" phonetic="1"/>
    <col min="9" max="16" width="8.77734375" style="53" customWidth="1" phonetic="1"/>
    <col min="17" max="30" width="7.6640625" style="53" customWidth="1" phonetic="1"/>
    <col min="31" max="31" width="7.6640625" style="64" customWidth="1" phonetic="1"/>
    <col min="32" max="32" width="11.6640625" style="53" bestFit="1" customWidth="1" phonetic="1"/>
    <col min="33" max="16384" width="8.109375" style="53" phonetic="1"/>
  </cols>
  <sheetData>
    <row r="1" spans="1:53" ht="31.2" ph="1">
      <c r="A1" s="53"/>
      <c r="B1" s="207" t="s" ph="1">
        <v>87</v>
      </c>
      <c r="C1" s="207" ph="1"/>
      <c r="D1" s="207" ph="1"/>
      <c r="E1" s="207" ph="1"/>
      <c r="F1" s="207" ph="1"/>
      <c r="G1" s="207" ph="1"/>
      <c r="H1" s="207" ph="1"/>
      <c r="I1" s="207" ph="1"/>
      <c r="J1" s="207" ph="1"/>
      <c r="K1" s="207" ph="1"/>
      <c r="L1" s="207" ph="1"/>
      <c r="M1" s="207" ph="1"/>
      <c r="N1" s="207" ph="1"/>
      <c r="O1" s="207" ph="1"/>
      <c r="P1" s="207" ph="1"/>
      <c r="Q1" s="207" ph="1"/>
      <c r="R1" s="207" ph="1"/>
      <c r="S1" s="207" ph="1"/>
      <c r="T1" s="207" ph="1"/>
      <c r="U1" s="207" ph="1"/>
      <c r="V1" s="207" ph="1"/>
      <c r="W1" s="207" ph="1"/>
      <c r="X1" s="207" ph="1"/>
      <c r="Y1" s="207" ph="1"/>
      <c r="Z1" s="207" ph="1"/>
      <c r="AA1" s="207" ph="1"/>
      <c r="AB1" s="207" ph="1"/>
      <c r="AC1" s="207" ph="1"/>
      <c r="AD1" s="207" ph="1"/>
      <c r="AE1" s="207" ph="1"/>
    </row>
    <row r="2" spans="1:53" s="55" customFormat="1" ht="24" customHeight="1" ph="1">
      <c r="B2" s="208" t="s" ph="1">
        <v>35</v>
      </c>
      <c r="C2" s="208" ph="1"/>
      <c r="D2" s="208" ph="1"/>
      <c r="E2" s="208" ph="1"/>
      <c r="F2" s="208" ph="1"/>
      <c r="G2" s="208" ph="1"/>
      <c r="H2" s="208" ph="1"/>
      <c r="I2" s="208" ph="1"/>
      <c r="J2" s="208" ph="1"/>
      <c r="K2" s="208" ph="1"/>
      <c r="L2" s="208" ph="1"/>
      <c r="M2" s="208" ph="1"/>
      <c r="N2" s="208" ph="1"/>
      <c r="O2" s="208" ph="1"/>
      <c r="P2" s="208" ph="1"/>
      <c r="Q2" s="208" ph="1"/>
      <c r="R2" s="208" ph="1"/>
      <c r="S2" s="208" ph="1"/>
      <c r="T2" s="208" ph="1"/>
      <c r="U2" s="208" ph="1"/>
      <c r="V2" s="208" ph="1"/>
      <c r="W2" s="208" ph="1"/>
      <c r="X2" s="208" ph="1"/>
      <c r="Y2" s="208" ph="1"/>
      <c r="Z2" s="208" ph="1"/>
      <c r="AA2" s="208" ph="1"/>
      <c r="AB2" s="208" ph="1"/>
      <c r="AC2" s="208" ph="1"/>
      <c r="AD2" s="208" ph="1"/>
      <c r="AE2" s="208" ph="1"/>
    </row>
    <row r="3" spans="1:53" ht="21" customHeight="1" ph="1">
      <c r="B3" s="209" ph="1">
        <v>46155</v>
      </c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209"/>
      <c r="P3" s="209"/>
      <c r="Q3" s="209"/>
      <c r="R3" s="209"/>
      <c r="S3" s="209"/>
      <c r="T3" s="209"/>
      <c r="U3" s="209"/>
      <c r="V3" s="209"/>
      <c r="W3" s="209"/>
      <c r="X3" s="209"/>
      <c r="Y3" s="209"/>
      <c r="Z3" s="209"/>
      <c r="AA3" s="209"/>
      <c r="AB3" s="209"/>
      <c r="AC3" s="209"/>
      <c r="AD3" s="209"/>
      <c r="AE3" s="209"/>
    </row>
    <row r="4" spans="1:53" s="58" customFormat="1" ph="1">
      <c r="A4" s="54" ph="1"/>
      <c r="B4" s="188" t="s" ph="1">
        <v>25</v>
      </c>
      <c r="C4" s="56" t="s" ph="1">
        <v>41</v>
      </c>
      <c r="D4" s="57" t="s" ph="1">
        <v>89</v>
      </c>
      <c r="E4" s="57" t="s" ph="1">
        <v>90</v>
      </c>
      <c r="F4" s="57" t="s" ph="1">
        <v>27</v>
      </c>
      <c r="G4" s="57" t="s" ph="1">
        <v>54</v>
      </c>
      <c r="H4" s="57" t="s" ph="1">
        <v>88</v>
      </c>
      <c r="I4" s="57" t="s" ph="1">
        <v>91</v>
      </c>
      <c r="J4" s="57" t="s" ph="1">
        <v>57</v>
      </c>
      <c r="K4" s="57" t="s" ph="1">
        <v>58</v>
      </c>
      <c r="L4" s="57" t="s" ph="1">
        <v>59</v>
      </c>
      <c r="M4" s="57" t="s" ph="1">
        <v>60</v>
      </c>
      <c r="N4" s="57" t="s" ph="1">
        <v>61</v>
      </c>
      <c r="O4" s="57" t="s" ph="1">
        <v>62</v>
      </c>
      <c r="P4" s="57" t="s" ph="1">
        <v>63</v>
      </c>
      <c r="Q4" s="57" ph="1"/>
      <c r="R4" s="57" ph="1"/>
      <c r="S4" s="57" ph="1"/>
      <c r="T4" s="57" ph="1"/>
      <c r="U4" s="57" ph="1"/>
      <c r="V4" s="57" ph="1"/>
      <c r="W4" s="57" ph="1"/>
      <c r="X4" s="57" ph="1"/>
      <c r="Y4" s="57" ph="1"/>
      <c r="Z4" s="57" ph="1"/>
      <c r="AA4" s="57" ph="1"/>
      <c r="AB4" s="57" ph="1"/>
      <c r="AC4" s="57" ph="1"/>
      <c r="AD4" s="57" ph="1"/>
      <c r="AE4" s="57" ph="1"/>
      <c r="AF4" s="54" ph="1"/>
      <c r="AG4" s="54" ph="1"/>
      <c r="AH4" s="54" ph="1"/>
      <c r="AI4" s="54" ph="1"/>
      <c r="AJ4" s="54" ph="1"/>
      <c r="AK4" s="54" ph="1"/>
      <c r="AL4" s="54" ph="1"/>
      <c r="AM4" s="54" ph="1"/>
      <c r="AN4" s="54" ph="1"/>
      <c r="AO4" s="54" ph="1"/>
      <c r="AP4" s="54" ph="1"/>
      <c r="AQ4" s="54" ph="1"/>
      <c r="AR4" s="54" ph="1"/>
      <c r="AS4" s="54" ph="1"/>
      <c r="AT4" s="54" ph="1"/>
      <c r="AU4" s="54" ph="1"/>
      <c r="AV4" s="54" ph="1"/>
      <c r="AW4" s="54" ph="1"/>
      <c r="AX4" s="54" ph="1"/>
      <c r="AY4" s="54" ph="1"/>
      <c r="AZ4" s="54" ph="1"/>
      <c r="BA4" s="54" ph="1"/>
    </row>
    <row r="5" spans="1:53" s="58" customFormat="1" ht="29.25" customHeight="1" ph="1">
      <c r="A5" s="54" ph="1"/>
      <c r="B5" s="188" ph="1"/>
      <c r="C5" s="56" t="s" ph="1">
        <v>24</v>
      </c>
      <c r="D5" s="103" t="s" ph="1">
        <v>64</v>
      </c>
      <c r="E5" s="103" t="s" ph="1">
        <v>64</v>
      </c>
      <c r="F5" s="103" t="s" ph="1">
        <v>86</v>
      </c>
      <c r="G5" s="103" t="s" ph="1">
        <v>86</v>
      </c>
      <c r="H5" s="103" t="s" ph="1">
        <v>64</v>
      </c>
      <c r="I5" s="103" t="s" ph="1">
        <v>64</v>
      </c>
      <c r="J5" s="103" t="s" ph="1">
        <v>86</v>
      </c>
      <c r="K5" s="103" t="s" ph="1">
        <v>86</v>
      </c>
      <c r="L5" s="102" t="s" ph="1">
        <v>51</v>
      </c>
      <c r="M5" s="102" t="s" ph="1">
        <v>65</v>
      </c>
      <c r="N5" s="102" t="s" ph="1">
        <v>51</v>
      </c>
      <c r="O5" s="102" t="s" ph="1">
        <v>66</v>
      </c>
      <c r="P5" s="102" t="s" ph="1">
        <v>66</v>
      </c>
      <c r="Q5" s="59" ph="1"/>
      <c r="R5" s="59" ph="1"/>
      <c r="S5" s="59" ph="1"/>
      <c r="T5" s="59" ph="1"/>
      <c r="U5" s="59" ph="1"/>
      <c r="V5" s="59" ph="1"/>
      <c r="W5" s="59" ph="1"/>
      <c r="X5" s="59" ph="1"/>
      <c r="Y5" s="59" ph="1"/>
      <c r="Z5" s="59" ph="1"/>
      <c r="AA5" s="59" ph="1"/>
      <c r="AB5" s="59" ph="1"/>
      <c r="AC5" s="59" ph="1"/>
      <c r="AD5" s="60"/>
      <c r="AE5" s="60"/>
      <c r="AF5" s="54" ph="1"/>
      <c r="AG5" s="54" ph="1"/>
      <c r="AH5" s="54" ph="1"/>
      <c r="AI5" s="54" ph="1"/>
      <c r="AJ5" s="54" ph="1"/>
      <c r="AK5" s="54" ph="1"/>
      <c r="AL5" s="54" ph="1"/>
      <c r="AM5" s="54" ph="1"/>
      <c r="AN5" s="54" ph="1"/>
      <c r="AO5" s="54" ph="1"/>
      <c r="AP5" s="54" ph="1"/>
      <c r="AQ5" s="54" ph="1"/>
      <c r="AR5" s="54" ph="1"/>
      <c r="AS5" s="54" ph="1"/>
      <c r="AT5" s="54" ph="1"/>
      <c r="AU5" s="54" ph="1"/>
      <c r="AV5" s="54" ph="1"/>
      <c r="AW5" s="54" ph="1"/>
      <c r="AX5" s="54" ph="1"/>
      <c r="AY5" s="54" ph="1"/>
      <c r="AZ5" s="54" ph="1"/>
      <c r="BA5" s="54" ph="1"/>
    </row>
    <row r="6" spans="1:53" ph="1">
      <c r="B6" s="206" ph="1">
        <v>0.33333333333333331</v>
      </c>
      <c r="C6" s="127" t="s" ph="1">
        <v>42</v>
      </c>
      <c r="D6" s="109">
        <v>0.99480000000000002</v>
      </c>
      <c r="E6" s="109">
        <v>0.16689999999999999</v>
      </c>
      <c r="F6" s="109">
        <v>0</v>
      </c>
      <c r="G6" s="109">
        <v>0</v>
      </c>
      <c r="H6" s="60">
        <v>5527</v>
      </c>
      <c r="I6" s="60">
        <v>3632</v>
      </c>
      <c r="J6" s="60">
        <v>0</v>
      </c>
      <c r="K6" s="60">
        <v>0</v>
      </c>
      <c r="L6" s="60">
        <v>2243</v>
      </c>
      <c r="M6" s="60">
        <v>1902</v>
      </c>
      <c r="N6" s="60">
        <v>4302</v>
      </c>
      <c r="O6" s="60">
        <v>1334</v>
      </c>
      <c r="P6" s="60">
        <v>11</v>
      </c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</row>
    <row r="7" spans="1:53" s="61" customFormat="1" ht="22.2" ph="1">
      <c r="B7" s="206" ph="1"/>
      <c r="C7" s="57" t="s" ph="1">
        <v>43</v>
      </c>
      <c r="D7" s="62" ph="1">
        <f>((D6*5885)*4.48)*LOOKUP(D8,密度!$A$2:$A$50,密度!$B$2:$B$50)</f>
        <v>20310.733234176001</v>
      </c>
      <c r="E7" s="62" ph="1">
        <f>((E6*5885)*4.48)*LOOKUP(E8,密度!$A$2:$A$50,密度!$B$2:$B$50)</f>
        <v>3407.5807969280004</v>
      </c>
      <c r="F7" s="62" ph="1">
        <f>((F6*5885)*4.48)*LOOKUP(F8,密度!$A$2:$A$50,密度!$B$2:$B$50)</f>
        <v>0</v>
      </c>
      <c r="G7" s="62" ph="1">
        <f>((G6*5885)*4.48)*LOOKUP(G8,密度!$A$2:$A$50,密度!$B$2:$B$50)</f>
        <v>0</v>
      </c>
      <c r="H7" s="62" ph="1">
        <f>IF(H6&lt;=0,0,IF(H6&lt;=745,PI()*(5.3235*(H6/1000)^2-(4/3)*(H6/1000)^3),7.55+15.2053*((H6-745)/1000))*LOOKUP(H8,密度!$A$2:$A$50,密度!$B$2:$B$50)*1000)</f>
        <v>62226.930588379997</v>
      </c>
      <c r="I7" s="62" ph="1">
        <f>IF(I6&lt;=0,0,IF(I6&lt;=745,PI()*(5.3235*(I6/1000)^2-(4/3)*(I6/1000)^3),7.55+15.2053*((I6-745)/1000))*LOOKUP(I8,密度!$A$2:$A$50,密度!$B$2:$B$50)*1000)</f>
        <v>39887.402662829998</v>
      </c>
      <c r="J7" s="62" ph="1">
        <f>IF(J6&lt;=0,0,IF(J6&lt;=745,PI()*(5.3235*(J6/1000)^2-(4/3)*(J6/1000)^3),7.55+15.2053*((J6-745)/1000))*LOOKUP(J8,密度!$A$2:$A$50,密度!$B$2:$B$50)*1000)</f>
        <v>0</v>
      </c>
      <c r="K7" s="62" ph="1">
        <f>IF(K6&lt;=0,0,IF(K6&lt;=745,PI()*(5.3235*(K6/1000)^2-(4/3)*(K6/1000)^3),7.55+15.2053*((K6-745)/1000))*LOOKUP(K8,密度!$A$2:$A$50,密度!$B$2:$B$50)*1000)</f>
        <v>0</v>
      </c>
      <c r="L7" s="62" ph="1">
        <f>L6*26.42*LOOKUP(L8,密度!$A$2:$A$50,密度!$B$2:$B$50)</f>
        <v>46045.066620000005</v>
      </c>
      <c r="M7" s="62" ph="1">
        <f>M6*26.42*1</f>
        <v>50250.840000000004</v>
      </c>
      <c r="N7" s="62" ph="1">
        <f>N6*18.32*LOOKUP(N8,密度!$A$2:$A$50,密度!$B$2:$B$50)</f>
        <v>61237.421280000002</v>
      </c>
      <c r="O7" s="62" ph="1">
        <f>O6*81.71*LOOKUP(O8,密度!$A$2:$A$50,密度!$B$2:$B$50)</f>
        <v>84693.885779999997</v>
      </c>
      <c r="P7" s="62" ph="1">
        <f>P6*81.71*LOOKUP(P8,密度!$A$2:$A$50,密度!$B$2:$B$50)</f>
        <v>698.37536999999998</v>
      </c>
      <c r="Q7" s="62" ph="1"/>
      <c r="R7" s="62" ph="1"/>
      <c r="S7" s="62" ph="1"/>
      <c r="T7" s="62" ph="1"/>
      <c r="U7" s="62" ph="1"/>
      <c r="V7" s="62" ph="1"/>
      <c r="W7" s="62" ph="1"/>
      <c r="X7" s="62" ph="1"/>
      <c r="Y7" s="62" ph="1"/>
      <c r="Z7" s="62" ph="1"/>
      <c r="AA7" s="62" ph="1"/>
      <c r="AB7" s="62" ph="1"/>
      <c r="AC7" s="62" ph="1"/>
      <c r="AD7" s="62" ph="1"/>
      <c r="AE7" s="62" ph="1"/>
    </row>
    <row r="8" spans="1:53" ph="1">
      <c r="B8" s="206" ph="1"/>
      <c r="C8" s="57" t="s" ph="1">
        <v>44</v>
      </c>
      <c r="D8" s="63">
        <v>31</v>
      </c>
      <c r="E8" s="63">
        <v>31</v>
      </c>
      <c r="F8" s="63">
        <v>29</v>
      </c>
      <c r="G8" s="63">
        <v>30</v>
      </c>
      <c r="H8" s="63">
        <v>30</v>
      </c>
      <c r="I8" s="63">
        <v>30</v>
      </c>
      <c r="J8" s="63">
        <v>27</v>
      </c>
      <c r="K8" s="63">
        <v>28</v>
      </c>
      <c r="L8" s="63">
        <v>28</v>
      </c>
      <c r="M8" s="63">
        <v>28</v>
      </c>
      <c r="N8" s="63">
        <v>28</v>
      </c>
      <c r="O8" s="63">
        <v>28</v>
      </c>
      <c r="P8" s="63">
        <v>28</v>
      </c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</row>
    <row r="9" spans="1:53" ht="26.4" ph="1">
      <c r="B9" s="206" ph="1">
        <v>0.66666666666666663</v>
      </c>
      <c r="C9" s="127" t="s" ph="1">
        <v>45</v>
      </c>
      <c r="D9" s="109">
        <v>0</v>
      </c>
      <c r="E9" s="109">
        <v>0.72509999999999997</v>
      </c>
      <c r="F9" s="109">
        <v>0</v>
      </c>
      <c r="G9" s="109">
        <v>0</v>
      </c>
      <c r="H9" s="60">
        <v>5299</v>
      </c>
      <c r="I9" s="60">
        <v>3165</v>
      </c>
      <c r="J9" s="60">
        <v>0</v>
      </c>
      <c r="K9" s="60">
        <v>0</v>
      </c>
      <c r="L9" s="60">
        <v>2344</v>
      </c>
      <c r="M9" s="60">
        <v>1902</v>
      </c>
      <c r="N9" s="60">
        <v>4344</v>
      </c>
      <c r="O9" s="60">
        <v>1421</v>
      </c>
      <c r="P9" s="60">
        <v>0</v>
      </c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</row>
    <row r="10" spans="1:53" s="61" customFormat="1" ht="22.2" ph="1">
      <c r="B10" s="206" ph="1"/>
      <c r="C10" s="127" t="s" ph="1">
        <v>43</v>
      </c>
      <c r="D10" s="62" ph="1">
        <f>((D9*5885)*4.48)*LOOKUP(D11,密度!$A$2:$A$50,密度!$B$2:$B$50)</f>
        <v>0</v>
      </c>
      <c r="E10" s="62" ph="1">
        <f>((E9*5885)*4.48)*LOOKUP(E11,密度!$A$2:$A$50,密度!$B$2:$B$50)</f>
        <v>14771.795904096001</v>
      </c>
      <c r="F10" s="62" ph="1">
        <f>((F9*5885)*4.48)*LOOKUP(F11,密度!$A$2:$A$50,密度!$B$2:$B$50)</f>
        <v>0</v>
      </c>
      <c r="G10" s="62" ph="1">
        <f>((G9*5885)*4.48)*LOOKUP(G11,密度!$A$2:$A$50,密度!$B$2:$B$50)</f>
        <v>0</v>
      </c>
      <c r="H10" s="62" ph="1">
        <f>IF(H9&lt;=0,0,IF(H9&lt;=745,PI()*(5.3235*(H9/1000)^2-(4/3)*(H9/1000)^3),7.55+15.2053*((H9-745)/1000))*LOOKUP(H11,密度!$A$2:$A$50,密度!$B$2:$B$50)*1000)</f>
        <v>59400.8831507</v>
      </c>
      <c r="I10" s="62" ph="1">
        <f>IF(I9&lt;=0,0,IF(I9&lt;=745,PI()*(5.3235*(I9/1000)^2-(4/3)*(I9/1000)^3),7.55+15.2053*((I9-745)/1000))*LOOKUP(I11,密度!$A$2:$A$50,密度!$B$2:$B$50)*1000)</f>
        <v>34342.182054399993</v>
      </c>
      <c r="J10" s="62" ph="1">
        <f>IF(J9&lt;=0,0,IF(J9&lt;=745,PI()*(5.3235*(J9/1000)^2-(4/3)*(J9/1000)^3),7.55+15.2053*((J9-745)/1000))*LOOKUP(J11,密度!$A$2:$A$50,密度!$B$2:$B$50)*1000)</f>
        <v>0</v>
      </c>
      <c r="K10" s="62" ph="1">
        <f>IF(K9&lt;=0,0,IF(K9&lt;=745,PI()*(5.3235*(K9/1000)^2-(4/3)*(K9/1000)^3),7.55+15.2053*((K9-745)/1000))*LOOKUP(K11,密度!$A$2:$A$50,密度!$B$2:$B$50)*1000)</f>
        <v>0</v>
      </c>
      <c r="L10" s="62" ph="1">
        <f>L9*26.42*LOOKUP(L11,密度!$A$2:$A$50,密度!$B$2:$B$50)</f>
        <v>48068.886176</v>
      </c>
      <c r="M10" s="62" ph="1">
        <f>M9*26.42*1</f>
        <v>50250.840000000004</v>
      </c>
      <c r="N10" s="62" ph="1">
        <f>N9*18.32*LOOKUP(N11,密度!$A$2:$A$50,密度!$B$2:$B$50)</f>
        <v>61771.610496000001</v>
      </c>
      <c r="O10" s="62" ph="1">
        <f>O9*81.71*LOOKUP(O11,密度!$A$2:$A$50,密度!$B$2:$B$50)</f>
        <v>90217.400069999989</v>
      </c>
      <c r="P10" s="62" ph="1">
        <f>P9*81.71*LOOKUP(P11,密度!$A$2:$A$50,密度!$B$2:$B$50)</f>
        <v>0</v>
      </c>
      <c r="Q10" s="62" ph="1"/>
      <c r="R10" s="62" ph="1"/>
      <c r="S10" s="62" ph="1"/>
      <c r="T10" s="62" ph="1"/>
      <c r="U10" s="62" ph="1"/>
      <c r="V10" s="62" ph="1"/>
      <c r="W10" s="62" ph="1"/>
      <c r="X10" s="62" ph="1"/>
      <c r="Y10" s="62" ph="1"/>
      <c r="Z10" s="62" ph="1"/>
      <c r="AA10" s="62" ph="1"/>
      <c r="AB10" s="62" ph="1"/>
      <c r="AC10" s="62" ph="1"/>
      <c r="AD10" s="62" ph="1"/>
      <c r="AE10" s="62" ph="1"/>
    </row>
    <row r="11" spans="1:53" ph="1">
      <c r="A11" s="53" t="s" ph="1">
        <v>40</v>
      </c>
      <c r="B11" s="206" ph="1"/>
      <c r="C11" s="127" t="s" ph="1">
        <v>44</v>
      </c>
      <c r="D11" s="63">
        <v>35</v>
      </c>
      <c r="E11" s="63">
        <v>33</v>
      </c>
      <c r="F11" s="63">
        <v>31</v>
      </c>
      <c r="G11" s="63">
        <v>31</v>
      </c>
      <c r="H11" s="63">
        <v>32</v>
      </c>
      <c r="I11" s="63">
        <v>31</v>
      </c>
      <c r="J11" s="63">
        <v>35</v>
      </c>
      <c r="K11" s="63">
        <v>34</v>
      </c>
      <c r="L11" s="63">
        <v>29</v>
      </c>
      <c r="M11" s="63">
        <v>29</v>
      </c>
      <c r="N11" s="63">
        <v>29</v>
      </c>
      <c r="O11" s="63">
        <v>28</v>
      </c>
      <c r="P11" s="63">
        <v>30</v>
      </c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</row>
    <row r="12" spans="1:53" ht="9.9" customHeight="1" ph="1">
      <c r="I12" s="65" ph="1"/>
      <c r="U12" s="119" ph="1"/>
    </row>
    <row r="13" spans="1:53" s="61" customFormat="1" ht="29.25" customHeight="1" ph="1">
      <c r="B13" s="183" t="s" ph="1">
        <v>25</v>
      </c>
      <c r="C13" s="127" t="s" ph="1">
        <v>41</v>
      </c>
      <c r="D13" s="65" ph="1"/>
      <c r="E13" s="65" ph="1"/>
      <c r="F13" s="65" ph="1"/>
      <c r="G13" s="65" ph="1"/>
      <c r="H13" s="65" ph="1"/>
      <c r="I13" s="61"/>
      <c r="J13" s="65" ph="1"/>
      <c r="K13" s="65" ph="1"/>
      <c r="L13" s="65" ph="1"/>
      <c r="M13" s="65" ph="1"/>
      <c r="N13" s="65" ph="1"/>
      <c r="O13" s="65" ph="1"/>
      <c r="P13" s="65" ph="1"/>
      <c r="Q13" s="65" ph="1"/>
      <c r="R13" s="65" ph="1"/>
      <c r="S13" s="65" ph="1"/>
      <c r="T13" s="65" ph="1"/>
      <c r="U13" s="65" ph="1"/>
      <c r="V13" s="65" ph="1"/>
      <c r="W13" s="65" ph="1"/>
      <c r="X13" s="65" ph="1"/>
      <c r="Y13" s="94" ph="1"/>
      <c r="Z13" s="65" ph="1"/>
      <c r="AA13" s="65" ph="1"/>
      <c r="AB13" s="65" ph="1"/>
      <c r="AC13" s="65" ph="1"/>
      <c r="AD13" s="65" ph="1"/>
      <c r="AE13" s="65" ph="1"/>
    </row>
    <row r="14" spans="1:53" s="61" customFormat="1" ht="24" ph="1">
      <c r="B14" s="184" ph="1"/>
      <c r="C14" s="56" t="s" ph="1">
        <v>24</v>
      </c>
      <c r="D14" s="66" ph="1"/>
      <c r="E14" s="66" ph="1"/>
      <c r="F14" s="108" ph="1"/>
      <c r="G14" s="66" ph="1"/>
      <c r="H14" s="66" ph="1"/>
      <c r="I14" s="101" ph="1"/>
      <c r="J14" s="66" ph="1"/>
      <c r="K14" s="66" ph="1"/>
      <c r="L14" s="66" ph="1"/>
      <c r="M14" s="93" ph="1"/>
      <c r="N14" s="93" ph="1"/>
      <c r="O14" s="93" ph="1"/>
      <c r="P14" s="66" ph="1"/>
      <c r="Q14" s="66" ph="1"/>
      <c r="R14" s="77" ph="1"/>
      <c r="S14" s="66" ph="1"/>
      <c r="T14" s="66" ph="1"/>
      <c r="U14" s="66" ph="1"/>
      <c r="V14" s="66" ph="1"/>
      <c r="W14" s="66" ph="1"/>
      <c r="X14" s="66" ph="1"/>
      <c r="Y14" s="104" ph="1"/>
      <c r="Z14" s="66" ph="1"/>
      <c r="AA14" s="66" ph="1"/>
      <c r="AB14" s="66" ph="1"/>
      <c r="AC14" s="66" ph="1"/>
      <c r="AD14" s="66" ph="1"/>
      <c r="AE14" s="66" ph="1"/>
    </row>
    <row r="15" spans="1:53" ht="26.4" ph="1">
      <c r="B15" s="185" ph="1">
        <v>0.33333333333333331</v>
      </c>
      <c r="C15" s="68" t="s" ph="1">
        <v>45</v>
      </c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0"/>
      <c r="X15" s="67"/>
      <c r="Y15" s="95"/>
      <c r="Z15" s="67"/>
      <c r="AA15" s="67"/>
      <c r="AB15" s="67" ph="1"/>
      <c r="AC15" s="67" ph="1"/>
      <c r="AD15" s="67"/>
      <c r="AE15" s="67"/>
    </row>
    <row r="16" spans="1:53" s="61" customFormat="1" ht="26.4" ph="1">
      <c r="B16" s="186" ph="1"/>
      <c r="C16" s="127" t="s" ph="1">
        <v>43</v>
      </c>
      <c r="D16" s="62" ph="1"/>
      <c r="E16" s="62" ph="1"/>
      <c r="F16" s="62" ph="1"/>
      <c r="G16" s="62" ph="1"/>
      <c r="H16" s="62" ph="1"/>
      <c r="I16" s="62" ph="1"/>
      <c r="J16" s="62" ph="1"/>
      <c r="K16" s="62" ph="1"/>
      <c r="L16" s="62" ph="1"/>
      <c r="M16" s="62" ph="1"/>
      <c r="N16" s="62" ph="1"/>
      <c r="O16" s="62" ph="1"/>
      <c r="P16" s="62" ph="1"/>
      <c r="Q16" s="62" ph="1"/>
      <c r="R16" s="62" ph="1"/>
      <c r="S16" s="62" ph="1"/>
      <c r="T16" s="62" ph="1"/>
      <c r="U16" s="62" ph="1"/>
      <c r="V16" s="62" ph="1"/>
      <c r="W16" s="120" ph="1"/>
      <c r="X16" s="62" ph="1"/>
      <c r="Y16" s="96" ph="1"/>
      <c r="Z16" s="62" ph="1"/>
      <c r="AA16" s="62" ph="1"/>
      <c r="AB16" s="62" ph="1"/>
      <c r="AC16" s="62" ph="1"/>
      <c r="AD16" s="62" ph="1"/>
      <c r="AE16" s="62" ph="1"/>
    </row>
    <row r="17" spans="1:32" ph="1">
      <c r="A17" s="53" t="s" ph="1">
        <v>33</v>
      </c>
      <c r="B17" s="187" ph="1"/>
      <c r="C17" s="68" t="s" ph="1">
        <v>44</v>
      </c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121"/>
      <c r="W17" s="63"/>
      <c r="X17" s="63"/>
      <c r="Y17" s="97"/>
      <c r="Z17" s="63"/>
      <c r="AA17" s="63"/>
      <c r="AB17" s="63"/>
      <c r="AC17" s="63"/>
      <c r="AD17" s="63"/>
      <c r="AE17" s="63"/>
    </row>
    <row r="18" spans="1:32" ht="26.4" ph="1">
      <c r="B18" s="185" ph="1">
        <v>0.66666666666666663</v>
      </c>
      <c r="C18" s="68" t="s" ph="1">
        <v>45</v>
      </c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98"/>
      <c r="Z18" s="60"/>
      <c r="AA18" s="60"/>
      <c r="AB18" s="60"/>
      <c r="AC18" s="60"/>
      <c r="AD18" s="60"/>
      <c r="AE18" s="60"/>
    </row>
    <row r="19" spans="1:32" s="61" customFormat="1" ht="22.2" ph="1">
      <c r="B19" s="186" ph="1"/>
      <c r="C19" s="127" t="s" ph="1">
        <v>43</v>
      </c>
      <c r="D19" s="62" ph="1"/>
      <c r="E19" s="62" ph="1"/>
      <c r="F19" s="62" ph="1"/>
      <c r="G19" s="62" ph="1"/>
      <c r="H19" s="62" ph="1"/>
      <c r="I19" s="62" ph="1"/>
      <c r="J19" s="62" ph="1"/>
      <c r="K19" s="62" ph="1"/>
      <c r="L19" s="62" ph="1"/>
      <c r="M19" s="62" ph="1"/>
      <c r="N19" s="62" ph="1"/>
      <c r="O19" s="62" ph="1"/>
      <c r="P19" s="62" ph="1"/>
      <c r="Q19" s="62" ph="1"/>
      <c r="R19" s="62" ph="1"/>
      <c r="S19" s="62" ph="1"/>
      <c r="T19" s="62" ph="1"/>
      <c r="U19" s="62" ph="1"/>
      <c r="V19" s="62" ph="1"/>
      <c r="W19" s="62" ph="1"/>
      <c r="X19" s="62" ph="1"/>
      <c r="Y19" s="62" ph="1"/>
      <c r="Z19" s="62" ph="1"/>
      <c r="AA19" s="62" ph="1"/>
      <c r="AB19" s="62" ph="1"/>
      <c r="AC19" s="62" ph="1"/>
      <c r="AD19" s="62" ph="1"/>
      <c r="AE19" s="62" ph="1"/>
    </row>
    <row r="20" spans="1:32" ph="1">
      <c r="A20" s="61" ph="1"/>
      <c r="B20" s="186" ph="1"/>
      <c r="C20" s="69" t="s" ph="1">
        <v>44</v>
      </c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99"/>
      <c r="Z20" s="70"/>
      <c r="AA20" s="70"/>
      <c r="AB20" s="70"/>
      <c r="AC20" s="70"/>
      <c r="AD20" s="70"/>
      <c r="AE20" s="70"/>
      <c r="AF20" s="53" t="s" ph="1">
        <v>23</v>
      </c>
    </row>
    <row r="21" spans="1:32" ph="1">
      <c r="A21" s="61" ph="1"/>
      <c r="B21" s="71" ph="1"/>
      <c r="C21" s="72" ph="1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</row>
    <row r="22" spans="1:32" ph="1">
      <c r="A22" s="61" ph="1"/>
      <c r="B22" s="184" t="s" ph="1">
        <v>25</v>
      </c>
      <c r="C22" s="74" t="s" ph="1">
        <v>41</v>
      </c>
      <c r="D22" s="75" ph="1"/>
      <c r="E22" s="75" ph="1"/>
      <c r="F22" s="75" ph="1"/>
      <c r="G22" s="75" ph="1"/>
      <c r="H22" s="75" ph="1"/>
      <c r="I22" s="75" ph="1"/>
      <c r="J22" s="75" ph="1"/>
      <c r="K22" s="75" ph="1"/>
      <c r="L22" s="75" ph="1"/>
      <c r="M22" s="75" ph="1"/>
      <c r="N22" s="75" ph="1"/>
      <c r="O22" s="75" ph="1"/>
      <c r="P22" s="75" ph="1"/>
      <c r="Q22" s="76" ph="1"/>
      <c r="R22" s="75" ph="1"/>
      <c r="S22" s="75" ph="1"/>
      <c r="T22" s="75" ph="1"/>
      <c r="U22" s="75" ph="1"/>
      <c r="V22" s="75" ph="1"/>
      <c r="W22" s="75" ph="1"/>
      <c r="X22" s="75" ph="1"/>
      <c r="Y22" s="75" ph="1"/>
      <c r="Z22" s="194" t="s" ph="1">
        <v>31</v>
      </c>
      <c r="AA22" s="195"/>
      <c r="AB22" s="195"/>
      <c r="AC22" s="195"/>
      <c r="AD22" s="195"/>
      <c r="AE22" s="196"/>
    </row>
    <row r="23" spans="1:32" ph="1">
      <c r="A23" s="61" ph="1"/>
      <c r="B23" s="188" ph="1"/>
      <c r="C23" s="56" t="s" ph="1">
        <v>24</v>
      </c>
      <c r="D23" s="77" ph="1"/>
      <c r="E23" s="77" ph="1"/>
      <c r="F23" s="77" ph="1"/>
      <c r="G23" s="77" ph="1"/>
      <c r="H23" s="77" ph="1"/>
      <c r="I23" s="77" ph="1"/>
      <c r="J23" s="77" ph="1"/>
      <c r="K23" s="77" ph="1"/>
      <c r="L23" s="77" ph="1"/>
      <c r="M23" s="77" ph="1"/>
      <c r="N23" s="77" ph="1"/>
      <c r="O23" s="77" ph="1"/>
      <c r="P23" s="77" ph="1"/>
      <c r="Q23" s="78" ph="1"/>
      <c r="R23" s="77" ph="1"/>
      <c r="S23" s="77" ph="1"/>
      <c r="T23" s="77" ph="1"/>
      <c r="U23" s="93" ph="1"/>
      <c r="V23" s="77" ph="1"/>
      <c r="W23" s="77" ph="1"/>
      <c r="X23" s="77" ph="1"/>
      <c r="Y23" s="77" ph="1"/>
      <c r="Z23" s="197" t="s" ph="1">
        <v>67</v>
      </c>
      <c r="AA23" s="198"/>
      <c r="AB23" s="198"/>
      <c r="AC23" s="198"/>
      <c r="AD23" s="198"/>
      <c r="AE23" s="199"/>
    </row>
    <row r="24" spans="1:32" ht="26.4" ph="1">
      <c r="A24" s="61" ph="1"/>
      <c r="B24" s="206" ph="1">
        <v>0.33333333333333331</v>
      </c>
      <c r="C24" s="68" t="s" ph="1">
        <v>45</v>
      </c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79"/>
      <c r="R24" s="60"/>
      <c r="S24" s="60"/>
      <c r="T24" s="60"/>
      <c r="U24" s="60"/>
      <c r="V24" s="60"/>
      <c r="W24" s="60"/>
      <c r="X24" s="60"/>
      <c r="Y24" s="60"/>
      <c r="Z24" s="200"/>
      <c r="AA24" s="201"/>
      <c r="AB24" s="201"/>
      <c r="AC24" s="201"/>
      <c r="AD24" s="201"/>
      <c r="AE24" s="202"/>
    </row>
    <row r="25" spans="1:32" ph="1">
      <c r="A25" s="61" ph="1"/>
      <c r="B25" s="206" ph="1"/>
      <c r="C25" s="57" t="s" ph="1">
        <v>43</v>
      </c>
      <c r="D25" s="80" ph="1"/>
      <c r="E25" s="80" ph="1"/>
      <c r="F25" s="80" ph="1"/>
      <c r="G25" s="80" ph="1"/>
      <c r="H25" s="80" ph="1"/>
      <c r="I25" s="80" ph="1"/>
      <c r="J25" s="80" ph="1"/>
      <c r="K25" s="80" ph="1"/>
      <c r="L25" s="80" ph="1"/>
      <c r="M25" s="80" ph="1"/>
      <c r="N25" s="80" ph="1"/>
      <c r="O25" s="80" ph="1"/>
      <c r="P25" s="80" ph="1"/>
      <c r="Q25" s="81" ph="1"/>
      <c r="R25" s="80" ph="1"/>
      <c r="S25" s="80" ph="1"/>
      <c r="T25" s="80" ph="1"/>
      <c r="U25" s="80" ph="1"/>
      <c r="V25" s="80" ph="1"/>
      <c r="W25" s="80" ph="1"/>
      <c r="X25" s="80" ph="1"/>
      <c r="Y25" s="80" ph="1"/>
      <c r="Z25" s="200"/>
      <c r="AA25" s="201"/>
      <c r="AB25" s="201"/>
      <c r="AC25" s="201"/>
      <c r="AD25" s="201"/>
      <c r="AE25" s="202"/>
    </row>
    <row r="26" spans="1:32" ph="1">
      <c r="A26" s="61" ph="1"/>
      <c r="B26" s="206" ph="1"/>
      <c r="C26" s="57" t="s" ph="1">
        <v>44</v>
      </c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82"/>
      <c r="R26" s="63"/>
      <c r="S26" s="63"/>
      <c r="T26" s="63"/>
      <c r="U26" s="63"/>
      <c r="V26" s="63"/>
      <c r="W26" s="63"/>
      <c r="X26" s="63"/>
      <c r="Y26" s="63"/>
      <c r="Z26" s="200"/>
      <c r="AA26" s="201"/>
      <c r="AB26" s="201"/>
      <c r="AC26" s="201"/>
      <c r="AD26" s="201"/>
      <c r="AE26" s="202"/>
    </row>
    <row r="27" spans="1:32" ht="26.4" ph="1">
      <c r="A27" s="61" ph="1"/>
      <c r="B27" s="206" ph="1">
        <v>0.66666666666666663</v>
      </c>
      <c r="C27" s="127" t="s" ph="1">
        <v>45</v>
      </c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79"/>
      <c r="R27" s="60"/>
      <c r="S27" s="60"/>
      <c r="T27" s="60"/>
      <c r="U27" s="60"/>
      <c r="V27" s="60"/>
      <c r="W27" s="60"/>
      <c r="X27" s="60"/>
      <c r="Y27" s="60"/>
      <c r="Z27" s="200"/>
      <c r="AA27" s="201"/>
      <c r="AB27" s="201"/>
      <c r="AC27" s="201"/>
      <c r="AD27" s="201"/>
      <c r="AE27" s="202"/>
    </row>
    <row r="28" spans="1:32" ph="1">
      <c r="A28" s="61" ph="1"/>
      <c r="B28" s="206" ph="1"/>
      <c r="C28" s="127" t="s" ph="1">
        <v>43</v>
      </c>
      <c r="D28" s="80" ph="1"/>
      <c r="E28" s="80" ph="1"/>
      <c r="F28" s="80" ph="1"/>
      <c r="G28" s="80" ph="1"/>
      <c r="H28" s="80" ph="1"/>
      <c r="I28" s="80" ph="1"/>
      <c r="J28" s="80" ph="1"/>
      <c r="K28" s="80" ph="1"/>
      <c r="L28" s="80" ph="1"/>
      <c r="M28" s="80" ph="1"/>
      <c r="N28" s="80" ph="1"/>
      <c r="O28" s="80" ph="1"/>
      <c r="P28" s="80" ph="1"/>
      <c r="Q28" s="81" ph="1"/>
      <c r="R28" s="80" ph="1"/>
      <c r="S28" s="80" ph="1"/>
      <c r="T28" s="80" ph="1"/>
      <c r="U28" s="80" ph="1"/>
      <c r="V28" s="80" ph="1"/>
      <c r="W28" s="80" ph="1"/>
      <c r="X28" s="80" ph="1"/>
      <c r="Y28" s="80" ph="1"/>
      <c r="Z28" s="200"/>
      <c r="AA28" s="201"/>
      <c r="AB28" s="201"/>
      <c r="AC28" s="201"/>
      <c r="AD28" s="201"/>
      <c r="AE28" s="202"/>
    </row>
    <row r="29" spans="1:32" ph="1">
      <c r="A29" s="61" ph="1"/>
      <c r="B29" s="206" ph="1"/>
      <c r="C29" s="127" t="s" ph="1">
        <v>44</v>
      </c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82"/>
      <c r="R29" s="63"/>
      <c r="S29" s="63"/>
      <c r="T29" s="63"/>
      <c r="U29" s="63"/>
      <c r="V29" s="63"/>
      <c r="W29" s="63"/>
      <c r="X29" s="63"/>
      <c r="Y29" s="63"/>
      <c r="Z29" s="203"/>
      <c r="AA29" s="204"/>
      <c r="AB29" s="204"/>
      <c r="AC29" s="204"/>
      <c r="AD29" s="204"/>
      <c r="AE29" s="205"/>
    </row>
    <row r="30" spans="1:32" ph="1">
      <c r="D30" s="83" ph="1"/>
      <c r="Z30" s="53" t="s" ph="1">
        <v>23</v>
      </c>
      <c r="AE30" s="84" ph="1"/>
    </row>
    <row r="31" spans="1:32" ht="28.2" ph="1">
      <c r="A31" s="53"/>
      <c r="B31" s="189" t="s" ph="1">
        <v>23</v>
      </c>
      <c r="C31" s="190" ph="1"/>
      <c r="D31" s="167" t="s" ph="1">
        <v>3</v>
      </c>
      <c r="E31" s="168" ph="1"/>
      <c r="F31" s="169" ph="1"/>
      <c r="G31" s="193" ph="1"/>
      <c r="H31" s="168" ph="1"/>
      <c r="I31" s="169" ph="1"/>
      <c r="J31" s="167" ph="1"/>
      <c r="K31" s="168" ph="1"/>
      <c r="L31" s="169" ph="1"/>
      <c r="M31" s="167" ph="1"/>
      <c r="N31" s="168" ph="1"/>
      <c r="O31" s="169" ph="1"/>
      <c r="P31" s="167" ph="1"/>
      <c r="Q31" s="168"/>
      <c r="R31" s="169"/>
      <c r="S31" s="167" ph="1"/>
      <c r="T31" s="168"/>
      <c r="U31" s="169"/>
      <c r="V31" s="167" ph="1"/>
      <c r="W31" s="168" ph="1"/>
      <c r="X31" s="169" ph="1"/>
      <c r="Y31" s="167" ph="1"/>
      <c r="Z31" s="168" ph="1"/>
      <c r="AA31" s="169" ph="1"/>
      <c r="AB31" s="170"/>
      <c r="AC31" s="171"/>
      <c r="AD31" s="171"/>
      <c r="AE31" s="172"/>
    </row>
    <row r="32" spans="1:32" ph="1">
      <c r="A32" s="53"/>
      <c r="B32" s="191" ph="1"/>
      <c r="C32" s="192" ph="1"/>
      <c r="D32" s="85" t="s" ph="1">
        <v>0</v>
      </c>
      <c r="E32" s="127" t="s" ph="1">
        <v>1</v>
      </c>
      <c r="F32" s="126" t="s" ph="1">
        <v>28</v>
      </c>
      <c r="G32" s="86" t="s" ph="1">
        <v>0</v>
      </c>
      <c r="H32" s="127" t="s" ph="1">
        <v>1</v>
      </c>
      <c r="I32" s="126" t="s" ph="1">
        <v>28</v>
      </c>
      <c r="J32" s="86" t="s" ph="1">
        <v>0</v>
      </c>
      <c r="K32" s="127" t="s" ph="1">
        <v>1</v>
      </c>
      <c r="L32" s="126" t="s" ph="1">
        <v>28</v>
      </c>
      <c r="M32" s="86" t="s" ph="1">
        <v>0</v>
      </c>
      <c r="N32" s="127" t="s" ph="1">
        <v>1</v>
      </c>
      <c r="O32" s="126" t="s" ph="1">
        <v>28</v>
      </c>
      <c r="P32" s="86" t="s" ph="1">
        <v>0</v>
      </c>
      <c r="Q32" s="87" t="s" ph="1">
        <v>1</v>
      </c>
      <c r="R32" s="88" t="s" ph="1">
        <v>28</v>
      </c>
      <c r="S32" s="86" t="s" ph="1">
        <v>0</v>
      </c>
      <c r="T32" s="127" t="s" ph="1">
        <v>1</v>
      </c>
      <c r="U32" s="88" t="s" ph="1">
        <v>28</v>
      </c>
      <c r="V32" s="86" t="s" ph="1">
        <v>0</v>
      </c>
      <c r="W32" s="127" t="s" ph="1">
        <v>1</v>
      </c>
      <c r="X32" s="88" t="s" ph="1">
        <v>28</v>
      </c>
      <c r="Y32" s="89" t="s" ph="1">
        <v>0</v>
      </c>
      <c r="Z32" s="127" t="s" ph="1">
        <v>1</v>
      </c>
      <c r="AA32" s="126" t="s" ph="1">
        <v>28</v>
      </c>
      <c r="AB32" s="86" t="s" ph="1">
        <v>38</v>
      </c>
      <c r="AC32" s="127" t="s" ph="1">
        <v>37</v>
      </c>
      <c r="AD32" s="173" t="s" ph="1">
        <v>36</v>
      </c>
      <c r="AE32" s="174"/>
    </row>
    <row r="33" spans="1:31" ph="1">
      <c r="A33" s="53"/>
      <c r="B33" s="175" t="s" ph="1">
        <v>46</v>
      </c>
      <c r="C33" s="176" ph="1"/>
      <c r="D33" s="155" ph="1">
        <f>O10+P10</f>
        <v>90217.400069999989</v>
      </c>
      <c r="E33" s="155" ph="1">
        <f>H10+I10+J10+K10</f>
        <v>93743.065205099992</v>
      </c>
      <c r="F33" s="179" ph="1">
        <f>L10+N10</f>
        <v>109840.49667200001</v>
      </c>
      <c r="G33" s="181" ph="1">
        <v>0</v>
      </c>
      <c r="H33" s="155" ph="1">
        <v>0</v>
      </c>
      <c r="I33" s="159" ph="1">
        <v>0</v>
      </c>
      <c r="J33" s="163" ph="1">
        <v>0</v>
      </c>
      <c r="K33" s="155" ph="1">
        <v>0</v>
      </c>
      <c r="L33" s="165" ph="1">
        <v>0</v>
      </c>
      <c r="M33" s="163" ph="1">
        <v>0</v>
      </c>
      <c r="N33" s="155" ph="1">
        <v>0</v>
      </c>
      <c r="O33" s="159" ph="1">
        <f>G19</f>
        <v>0</v>
      </c>
      <c r="P33" s="163" ph="1">
        <v>0</v>
      </c>
      <c r="Q33" s="155" ph="1">
        <v>0</v>
      </c>
      <c r="R33" s="159" ph="1">
        <v>0</v>
      </c>
      <c r="S33" s="163" ph="1">
        <v>0</v>
      </c>
      <c r="T33" s="155" ph="1">
        <v>0</v>
      </c>
      <c r="U33" s="144" ph="1">
        <v>0</v>
      </c>
      <c r="V33" s="157" ph="1">
        <v>0</v>
      </c>
      <c r="W33" s="157" ph="1">
        <v>0</v>
      </c>
      <c r="X33" s="159" ph="1">
        <v>0</v>
      </c>
      <c r="Y33" s="161" ph="1">
        <v>0</v>
      </c>
      <c r="Z33" s="142" ph="1">
        <v>0</v>
      </c>
      <c r="AA33" s="144" ph="1">
        <v>0</v>
      </c>
      <c r="AB33" s="146" ph="1">
        <v>0</v>
      </c>
      <c r="AC33" s="148" ph="1">
        <v>0</v>
      </c>
      <c r="AD33" s="150" ph="1">
        <v>0</v>
      </c>
      <c r="AE33" s="151"/>
    </row>
    <row r="34" spans="1:31" ph="1">
      <c r="A34" s="53"/>
      <c r="B34" s="177" ph="1"/>
      <c r="C34" s="178" ph="1"/>
      <c r="D34" s="156" ph="1"/>
      <c r="E34" s="156" ph="1"/>
      <c r="F34" s="180" ph="1"/>
      <c r="G34" s="182" ph="1"/>
      <c r="H34" s="156" ph="1"/>
      <c r="I34" s="160" ph="1"/>
      <c r="J34" s="164" ph="1"/>
      <c r="K34" s="156" ph="1"/>
      <c r="L34" s="166" ph="1"/>
      <c r="M34" s="164" ph="1"/>
      <c r="N34" s="156" ph="1"/>
      <c r="O34" s="160" ph="1"/>
      <c r="P34" s="164" ph="1"/>
      <c r="Q34" s="156" ph="1"/>
      <c r="R34" s="160" ph="1"/>
      <c r="S34" s="164" ph="1"/>
      <c r="T34" s="156"/>
      <c r="U34" s="145"/>
      <c r="V34" s="158" ph="1"/>
      <c r="W34" s="158" ph="1"/>
      <c r="X34" s="160" ph="1"/>
      <c r="Y34" s="162" ph="1"/>
      <c r="Z34" s="143" ph="1"/>
      <c r="AA34" s="145" ph="1"/>
      <c r="AB34" s="147"/>
      <c r="AC34" s="149"/>
      <c r="AD34" s="152"/>
      <c r="AE34" s="153"/>
    </row>
    <row r="35" spans="1:31" ph="1">
      <c r="A35" s="53"/>
      <c r="AC35" s="154" t="s" ph="1">
        <v>52</v>
      </c>
      <c r="AD35" s="154"/>
      <c r="AE35" s="154"/>
    </row>
    <row r="36" spans="1:31" ht="28.2" ph="1">
      <c r="A36" s="53"/>
      <c r="B36" s="92" t="s" ph="1">
        <v>47</v>
      </c>
      <c r="I36" s="140" t="s" ph="1">
        <v>48</v>
      </c>
      <c r="J36" s="140" ph="1"/>
      <c r="K36" s="90" ph="1"/>
      <c r="P36" s="90" ph="1"/>
      <c r="R36" s="140" t="s" ph="1">
        <v>49</v>
      </c>
      <c r="S36" s="140" ph="1"/>
      <c r="Y36" s="91" ph="1"/>
      <c r="Z36" s="125" t="s" ph="1">
        <v>50</v>
      </c>
      <c r="AA36" s="125" ph="1"/>
      <c r="AB36" s="141" t="s" ph="1">
        <v>53</v>
      </c>
      <c r="AC36" s="141" ph="1"/>
      <c r="AD36" s="141" ph="1"/>
      <c r="AE36" s="141" ph="1"/>
    </row>
    <row r="37" spans="1:31" s="125" customFormat="1" ph="1">
      <c r="A37" s="53" ph="1"/>
      <c r="B37" s="53" ph="1"/>
      <c r="C37" s="53" ph="1"/>
      <c r="D37" s="53" ph="1"/>
      <c r="E37" s="53" ph="1"/>
      <c r="F37" s="53" ph="1"/>
      <c r="G37" s="53" ph="1"/>
      <c r="H37" s="53" ph="1"/>
      <c r="I37" s="53" ph="1"/>
      <c r="J37" s="53" ph="1"/>
      <c r="K37" s="53" ph="1"/>
      <c r="L37" s="53" ph="1"/>
      <c r="M37" s="53" ph="1"/>
      <c r="N37" s="53" ph="1"/>
      <c r="O37" s="53" ph="1"/>
      <c r="P37" s="53" ph="1"/>
      <c r="Q37" s="53" ph="1"/>
      <c r="R37" s="53" ph="1"/>
      <c r="S37" s="53" ph="1"/>
      <c r="T37" s="53" ph="1"/>
      <c r="U37" s="53" ph="1"/>
      <c r="V37" s="53" ph="1"/>
      <c r="W37" s="53" ph="1"/>
      <c r="X37" s="53" ph="1"/>
      <c r="Y37" s="53" ph="1"/>
      <c r="Z37" s="53" ph="1"/>
      <c r="AA37" s="53" ph="1"/>
      <c r="AB37" s="53" ph="1"/>
      <c r="AC37" s="53" ph="1"/>
      <c r="AD37" s="53" ph="1"/>
      <c r="AE37" s="53" ph="1"/>
    </row>
    <row r="38" spans="1:31" ph="1">
      <c r="AE38" s="53" ph="1"/>
    </row>
    <row r="42" spans="1:31" ph="1"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64"/>
    </row>
    <row r="43" spans="1:31" ph="1"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64"/>
    </row>
    <row r="44" spans="1:31" ph="1"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64"/>
    </row>
    <row r="45" spans="1:31" ph="1"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64"/>
    </row>
    <row r="46" spans="1:31" ph="1"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64"/>
    </row>
    <row r="47" spans="1:31" ph="1"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64"/>
    </row>
    <row r="48" spans="1:31" ph="1"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64"/>
    </row>
    <row r="49" spans="16:31" ph="1"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64"/>
    </row>
    <row r="50" spans="16:31" ph="1"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64"/>
    </row>
    <row r="51" spans="16:31" ph="1"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64"/>
    </row>
    <row r="52" spans="16:31" ph="1"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64"/>
    </row>
    <row r="53" spans="16:31" ph="1">
      <c r="R53" s="53"/>
      <c r="S53" s="53"/>
      <c r="T53" s="53"/>
      <c r="U53" s="53"/>
      <c r="W53" s="53"/>
      <c r="X53" s="53"/>
      <c r="Y53" s="53"/>
      <c r="Z53" s="53"/>
      <c r="AA53" s="53"/>
      <c r="AB53" s="53"/>
      <c r="AC53" s="53"/>
      <c r="AD53" s="53"/>
    </row>
    <row r="54" spans="16:31" ph="1">
      <c r="R54" s="53"/>
      <c r="S54" s="53"/>
      <c r="T54" s="53"/>
      <c r="U54" s="53"/>
      <c r="W54" s="53"/>
      <c r="X54" s="53"/>
      <c r="Y54" s="53"/>
      <c r="Z54" s="53"/>
      <c r="AA54" s="53"/>
      <c r="AC54" s="53"/>
      <c r="AD54" s="53"/>
    </row>
    <row r="55" spans="16:31" ph="1">
      <c r="R55" s="53"/>
      <c r="S55" s="53"/>
      <c r="T55" s="53"/>
      <c r="U55" s="53"/>
      <c r="V55" s="53"/>
      <c r="W55" s="53"/>
      <c r="X55" s="53"/>
      <c r="Z55" s="53"/>
      <c r="AC55" s="53"/>
      <c r="AD55" s="53"/>
      <c r="AE55" s="64"/>
    </row>
    <row r="56" spans="16:31" ph="1">
      <c r="R56" s="53"/>
      <c r="S56" s="53"/>
      <c r="T56" s="53"/>
      <c r="U56" s="53"/>
      <c r="V56" s="53"/>
      <c r="W56" s="53"/>
      <c r="X56" s="53"/>
      <c r="Z56" s="53"/>
      <c r="AA56" s="53"/>
      <c r="AB56" s="53"/>
      <c r="AC56" s="53"/>
      <c r="AD56" s="53"/>
      <c r="AE56" s="64"/>
    </row>
    <row r="57" spans="16:31" ph="1">
      <c r="R57" s="53"/>
      <c r="S57" s="53"/>
      <c r="T57" s="53"/>
      <c r="U57" s="53"/>
      <c r="V57" s="53"/>
      <c r="W57" s="53"/>
      <c r="AA57" s="53"/>
      <c r="AB57" s="53"/>
      <c r="AC57" s="53"/>
      <c r="AD57" s="53"/>
      <c r="AE57" s="64"/>
    </row>
    <row r="58" spans="16:31" ph="1">
      <c r="P58" s="53"/>
    </row>
    <row r="59" spans="16:31" ph="1">
      <c r="V59" s="53"/>
    </row>
    <row r="60" spans="16:31" ph="1">
      <c r="R60" s="53"/>
      <c r="S60" s="53"/>
      <c r="T60" s="53"/>
    </row>
    <row r="223" spans="18:18" ph="1">
      <c r="R223" s="100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9 D11">
    <cfRule type="expression" dxfId="1167" priority="147">
      <formula>ABS(D$7-D$10)&gt;=1000</formula>
    </cfRule>
  </conditionalFormatting>
  <conditionalFormatting sqref="E4 E9 E11">
    <cfRule type="expression" dxfId="1166" priority="146">
      <formula>ABS(E$7-E$10)&gt;=1000</formula>
    </cfRule>
  </conditionalFormatting>
  <conditionalFormatting sqref="F4 F9 F11">
    <cfRule type="expression" dxfId="1165" priority="145">
      <formula>ABS(F$7-F$10)&gt;=1000</formula>
    </cfRule>
  </conditionalFormatting>
  <conditionalFormatting sqref="G4 G9 G11">
    <cfRule type="expression" dxfId="1164" priority="144">
      <formula>ABS(G$7-G$10)&gt;=1000</formula>
    </cfRule>
  </conditionalFormatting>
  <conditionalFormatting sqref="H4:K4 H11">
    <cfRule type="expression" dxfId="1163" priority="143">
      <formula>ABS(H$7-H$10)&gt;=1000</formula>
    </cfRule>
  </conditionalFormatting>
  <conditionalFormatting sqref="I8 I11">
    <cfRule type="expression" dxfId="1162" priority="142">
      <formula>ABS(I$7-I$10)&gt;=1000</formula>
    </cfRule>
  </conditionalFormatting>
  <conditionalFormatting sqref="J11">
    <cfRule type="expression" dxfId="1161" priority="141">
      <formula>ABS(J$7-J$10)&gt;=1000</formula>
    </cfRule>
  </conditionalFormatting>
  <conditionalFormatting sqref="K11">
    <cfRule type="expression" dxfId="1160" priority="140">
      <formula>ABS(K$7-K$10)&gt;=1000</formula>
    </cfRule>
  </conditionalFormatting>
  <conditionalFormatting sqref="L4:L5 M4:N4 Q4:S4 L11">
    <cfRule type="expression" dxfId="1159" priority="139">
      <formula>ABS(L$7-L$10)&gt;=1000</formula>
    </cfRule>
  </conditionalFormatting>
  <conditionalFormatting sqref="M11">
    <cfRule type="expression" dxfId="1158" priority="138">
      <formula>ABS(M$7-M$10)&gt;=1000</formula>
    </cfRule>
  </conditionalFormatting>
  <conditionalFormatting sqref="N11">
    <cfRule type="expression" dxfId="1157" priority="137">
      <formula>ABS(N$7-N$10)&gt;=1000</formula>
    </cfRule>
  </conditionalFormatting>
  <conditionalFormatting sqref="Q5:Q11">
    <cfRule type="expression" dxfId="1156" priority="136">
      <formula>ABS(Q$7-Q$10)&gt;=1000</formula>
    </cfRule>
  </conditionalFormatting>
  <conditionalFormatting sqref="R5:R11">
    <cfRule type="expression" dxfId="1155" priority="135">
      <formula>ABS(R$7-R$10)&gt;=1000</formula>
    </cfRule>
  </conditionalFormatting>
  <conditionalFormatting sqref="S5:S11">
    <cfRule type="expression" dxfId="1154" priority="134">
      <formula>ABS(S$7-S$10)&gt;=1000</formula>
    </cfRule>
  </conditionalFormatting>
  <conditionalFormatting sqref="T4:T9 T11">
    <cfRule type="expression" dxfId="1153" priority="133">
      <formula>ABS(T$7-T$10)&gt;=1000</formula>
    </cfRule>
  </conditionalFormatting>
  <conditionalFormatting sqref="U4:U9 U11">
    <cfRule type="expression" dxfId="1152" priority="132">
      <formula>ABS(U$7-U$10)&gt;=1000</formula>
    </cfRule>
  </conditionalFormatting>
  <conditionalFormatting sqref="V4:V9 V11">
    <cfRule type="expression" dxfId="1151" priority="131">
      <formula>ABS(V$7-V$10)&gt;=1000</formula>
    </cfRule>
  </conditionalFormatting>
  <conditionalFormatting sqref="W4:W9 W11">
    <cfRule type="expression" dxfId="1150" priority="130">
      <formula>ABS(W$7-W$10)&gt;=1000</formula>
    </cfRule>
  </conditionalFormatting>
  <conditionalFormatting sqref="X4:X9 X11">
    <cfRule type="expression" dxfId="1149" priority="129">
      <formula>ABS(X$7-X$10)&gt;=1000</formula>
    </cfRule>
  </conditionalFormatting>
  <conditionalFormatting sqref="Y4:Y9 Y11">
    <cfRule type="expression" dxfId="1148" priority="128">
      <formula>ABS(Y$7-Y$10)&gt;=1000</formula>
    </cfRule>
  </conditionalFormatting>
  <conditionalFormatting sqref="Z4:Z11">
    <cfRule type="expression" dxfId="1147" priority="127">
      <formula>ABS(Z$7-Z$10)&gt;=1000</formula>
    </cfRule>
  </conditionalFormatting>
  <conditionalFormatting sqref="AA4:AA11">
    <cfRule type="expression" dxfId="1146" priority="126">
      <formula>ABS(AA$7-AA$10)&gt;=1000</formula>
    </cfRule>
  </conditionalFormatting>
  <conditionalFormatting sqref="AB4:AB11">
    <cfRule type="expression" dxfId="1145" priority="125">
      <formula>ABS(AB$7-AB$10)&gt;=1000</formula>
    </cfRule>
  </conditionalFormatting>
  <conditionalFormatting sqref="AC4 AC6:AC11">
    <cfRule type="expression" dxfId="1144" priority="124">
      <formula>ABS(AC$7-AC$10)&gt;=1000</formula>
    </cfRule>
  </conditionalFormatting>
  <conditionalFormatting sqref="AD4 AD6:AD11">
    <cfRule type="expression" dxfId="1143" priority="123">
      <formula>ABS(AD$7-AD$10)&gt;=1000</formula>
    </cfRule>
  </conditionalFormatting>
  <conditionalFormatting sqref="AE4 AE6:AE11">
    <cfRule type="expression" dxfId="1142" priority="122">
      <formula>ABS(AE$7-AE$10)&gt;=1000</formula>
    </cfRule>
  </conditionalFormatting>
  <conditionalFormatting sqref="D13:D20 I14:I20 I12">
    <cfRule type="expression" dxfId="1141" priority="121">
      <formula>ABS(D$16-D$19)&gt;=1000</formula>
    </cfRule>
  </conditionalFormatting>
  <conditionalFormatting sqref="E13:E20">
    <cfRule type="expression" dxfId="1140" priority="120">
      <formula>ABS(E$16-E$19)&gt;=1000</formula>
    </cfRule>
  </conditionalFormatting>
  <conditionalFormatting sqref="F13 F15:F20">
    <cfRule type="expression" dxfId="1139" priority="119">
      <formula>ABS(F$16-F$19)&gt;=1000</formula>
    </cfRule>
  </conditionalFormatting>
  <conditionalFormatting sqref="G13:G20">
    <cfRule type="expression" dxfId="1138" priority="118">
      <formula>ABS(G$16-G$19)&gt;=1000</formula>
    </cfRule>
  </conditionalFormatting>
  <conditionalFormatting sqref="H13 H15:H20">
    <cfRule type="expression" dxfId="1137" priority="117">
      <formula>ABS(H$16-H$19)&gt;=1000</formula>
    </cfRule>
  </conditionalFormatting>
  <conditionalFormatting sqref="J13:J20">
    <cfRule type="expression" dxfId="1136" priority="115">
      <formula>ABS(J$16-J$19)&gt;=1000</formula>
    </cfRule>
  </conditionalFormatting>
  <conditionalFormatting sqref="L13:L20">
    <cfRule type="expression" dxfId="1135" priority="114">
      <formula>ABS(L$16-L$19)&gt;=1000</formula>
    </cfRule>
  </conditionalFormatting>
  <conditionalFormatting sqref="M13 M15 M17:M18 M20">
    <cfRule type="expression" dxfId="1134" priority="113">
      <formula>ABS(M$16-M$19)&gt;=1000</formula>
    </cfRule>
  </conditionalFormatting>
  <conditionalFormatting sqref="N13:N20">
    <cfRule type="expression" dxfId="1133" priority="112">
      <formula>ABS(N$16-N$19)&gt;=1000</formula>
    </cfRule>
  </conditionalFormatting>
  <conditionalFormatting sqref="O13:O20">
    <cfRule type="expression" dxfId="1132" priority="111">
      <formula>ABS(O$16-O$19)&gt;=1000</formula>
    </cfRule>
  </conditionalFormatting>
  <conditionalFormatting sqref="P13:P20">
    <cfRule type="expression" dxfId="1131" priority="110">
      <formula>ABS(P$16-P$19)&gt;=1000</formula>
    </cfRule>
  </conditionalFormatting>
  <conditionalFormatting sqref="Q13 Q15:Q20">
    <cfRule type="expression" dxfId="1130" priority="109">
      <formula>ABS(Q$16-Q$19)&gt;=1000</formula>
    </cfRule>
  </conditionalFormatting>
  <conditionalFormatting sqref="R13:R20">
    <cfRule type="expression" dxfId="1129" priority="108">
      <formula>ABS(R$16-R$19)&gt;=1000</formula>
    </cfRule>
  </conditionalFormatting>
  <conditionalFormatting sqref="S13:S20">
    <cfRule type="expression" dxfId="1128" priority="107">
      <formula>ABS(S$16-S$19)&gt;=1000</formula>
    </cfRule>
  </conditionalFormatting>
  <conditionalFormatting sqref="T13:T20">
    <cfRule type="expression" dxfId="1127" priority="106">
      <formula>ABS(T$16-T$19)&gt;=1000</formula>
    </cfRule>
  </conditionalFormatting>
  <conditionalFormatting sqref="U13:U20">
    <cfRule type="expression" dxfId="1126" priority="105">
      <formula>ABS(U$16-U$19)&gt;=1000</formula>
    </cfRule>
  </conditionalFormatting>
  <conditionalFormatting sqref="V13:V20">
    <cfRule type="expression" dxfId="1125" priority="104">
      <formula>ABS(V$16-V$19)&gt;=1000</formula>
    </cfRule>
  </conditionalFormatting>
  <conditionalFormatting sqref="W13 W20 W15:W18">
    <cfRule type="expression" dxfId="1124" priority="103">
      <formula>ABS(W$16-W$19)&gt;=1000</formula>
    </cfRule>
  </conditionalFormatting>
  <conditionalFormatting sqref="X13 X15:X20 Y19">
    <cfRule type="expression" dxfId="1123" priority="102">
      <formula>ABS(X$16-X$19)&gt;=1000</formula>
    </cfRule>
  </conditionalFormatting>
  <conditionalFormatting sqref="Y13 Y15:Y18 Y20">
    <cfRule type="expression" dxfId="1122" priority="101">
      <formula>ABS(Y$16-Y$19)&gt;=1000</formula>
    </cfRule>
  </conditionalFormatting>
  <conditionalFormatting sqref="Z13:Z20">
    <cfRule type="expression" dxfId="1121" priority="100">
      <formula>ABS(Z$16-Z$19)&gt;=1000</formula>
    </cfRule>
  </conditionalFormatting>
  <conditionalFormatting sqref="AA13:AA20">
    <cfRule type="expression" dxfId="1120" priority="99">
      <formula>ABS(AA$16-AA$19)&gt;=1000</formula>
    </cfRule>
  </conditionalFormatting>
  <conditionalFormatting sqref="AB13 AB15:AB20">
    <cfRule type="expression" dxfId="1119" priority="98">
      <formula>ABS(AB$16-AB$19)&gt;=1000</formula>
    </cfRule>
  </conditionalFormatting>
  <conditionalFormatting sqref="AC13 AC15:AC20">
    <cfRule type="expression" dxfId="1118" priority="97">
      <formula>ABS(AC$16-AC$19)&gt;=1000</formula>
    </cfRule>
  </conditionalFormatting>
  <conditionalFormatting sqref="AD13:AD20">
    <cfRule type="expression" dxfId="1117" priority="96">
      <formula>ABS(AD$16-AD$19)&gt;=1000</formula>
    </cfRule>
  </conditionalFormatting>
  <conditionalFormatting sqref="AE13:AE20">
    <cfRule type="expression" dxfId="1116" priority="95">
      <formula>ABS(AE$16-AE$19)&gt;=1000</formula>
    </cfRule>
  </conditionalFormatting>
  <conditionalFormatting sqref="D22:D29">
    <cfRule type="expression" dxfId="1115" priority="94">
      <formula>ABS(D$25-D$28)&gt;=1000</formula>
    </cfRule>
  </conditionalFormatting>
  <conditionalFormatting sqref="E22:E29">
    <cfRule type="expression" dxfId="1114" priority="93">
      <formula>ABS(E$25-E$28)&gt;=1000</formula>
    </cfRule>
  </conditionalFormatting>
  <conditionalFormatting sqref="F22:F29">
    <cfRule type="expression" dxfId="1113" priority="92">
      <formula>ABS(F$25-F$28)&gt;=1000</formula>
    </cfRule>
  </conditionalFormatting>
  <conditionalFormatting sqref="G22:G29">
    <cfRule type="expression" dxfId="1112" priority="91">
      <formula>ABS(G$25-G$28)&gt;=1000</formula>
    </cfRule>
  </conditionalFormatting>
  <conditionalFormatting sqref="H22:H29">
    <cfRule type="expression" dxfId="1111" priority="90">
      <formula>ABS(H$25-H$28)&gt;=1000</formula>
    </cfRule>
  </conditionalFormatting>
  <conditionalFormatting sqref="I22 I24:I29">
    <cfRule type="expression" dxfId="1110" priority="89">
      <formula>ABS(I$25-I$28)&gt;=1000</formula>
    </cfRule>
  </conditionalFormatting>
  <conditionalFormatting sqref="J22:J29 K22">
    <cfRule type="expression" dxfId="1109" priority="88">
      <formula>ABS(J$25-J$28)&gt;=1000</formula>
    </cfRule>
  </conditionalFormatting>
  <conditionalFormatting sqref="K23:K29 L25 L28">
    <cfRule type="expression" dxfId="1108" priority="87">
      <formula>ABS(K$25-K$28)&gt;=1000</formula>
    </cfRule>
  </conditionalFormatting>
  <conditionalFormatting sqref="L22 L26:L27 L29 L24">
    <cfRule type="expression" dxfId="1107" priority="86">
      <formula>ABS(L$25-L$28)&gt;=1000</formula>
    </cfRule>
  </conditionalFormatting>
  <conditionalFormatting sqref="M22:M29">
    <cfRule type="expression" dxfId="1106" priority="85">
      <formula>ABS(M$25-M$28)&gt;=1000</formula>
    </cfRule>
  </conditionalFormatting>
  <conditionalFormatting sqref="N22:N29">
    <cfRule type="expression" dxfId="1105" priority="84">
      <formula>ABS(N$25-N$28)&gt;=1000</formula>
    </cfRule>
  </conditionalFormatting>
  <conditionalFormatting sqref="O22:O29">
    <cfRule type="expression" dxfId="1104" priority="83">
      <formula>ABS(O$25-O$28)&gt;=1000</formula>
    </cfRule>
  </conditionalFormatting>
  <conditionalFormatting sqref="P22:P29">
    <cfRule type="expression" dxfId="1103" priority="82">
      <formula>ABS(P$25-P$28)&gt;=1000</formula>
    </cfRule>
  </conditionalFormatting>
  <conditionalFormatting sqref="Q22:Q29">
    <cfRule type="expression" dxfId="1102" priority="81">
      <formula>ABS(Q$25-Q$28)&gt;=1000</formula>
    </cfRule>
  </conditionalFormatting>
  <conditionalFormatting sqref="R22:R29">
    <cfRule type="expression" dxfId="1101" priority="80">
      <formula>ABS(R$25-R$28)&gt;=1000</formula>
    </cfRule>
  </conditionalFormatting>
  <conditionalFormatting sqref="S22:S29">
    <cfRule type="expression" dxfId="1100" priority="79">
      <formula>ABS(S$25-S$28)&gt;=1000</formula>
    </cfRule>
  </conditionalFormatting>
  <conditionalFormatting sqref="T22:T29">
    <cfRule type="expression" dxfId="1099" priority="78">
      <formula>ABS(T$25-T$28)&gt;=1000</formula>
    </cfRule>
  </conditionalFormatting>
  <conditionalFormatting sqref="U22:U29">
    <cfRule type="expression" dxfId="1098" priority="77">
      <formula>ABS(U$25-U$28)&gt;=1000</formula>
    </cfRule>
  </conditionalFormatting>
  <conditionalFormatting sqref="V22:V29">
    <cfRule type="expression" dxfId="1097" priority="76">
      <formula>ABS(V$25-V$28)&gt;=1000</formula>
    </cfRule>
  </conditionalFormatting>
  <conditionalFormatting sqref="W22:W29">
    <cfRule type="expression" dxfId="1096" priority="75">
      <formula>ABS(W$25-W$28)&gt;=1000</formula>
    </cfRule>
  </conditionalFormatting>
  <conditionalFormatting sqref="X22:X29">
    <cfRule type="expression" dxfId="1095" priority="74">
      <formula>ABS(X$25-X$28)&gt;=1000</formula>
    </cfRule>
  </conditionalFormatting>
  <conditionalFormatting sqref="Y22:Y29">
    <cfRule type="expression" dxfId="1094" priority="73">
      <formula>ABS(Y$25-Y$28)&gt;=1000</formula>
    </cfRule>
  </conditionalFormatting>
  <conditionalFormatting sqref="I23">
    <cfRule type="expression" dxfId="1093" priority="72">
      <formula>ABS(I$25-I$28)&gt;=1000</formula>
    </cfRule>
  </conditionalFormatting>
  <conditionalFormatting sqref="Q14">
    <cfRule type="expression" dxfId="1092" priority="71">
      <formula>ABS(Q$16-Q$19)&gt;=1000</formula>
    </cfRule>
  </conditionalFormatting>
  <conditionalFormatting sqref="W14">
    <cfRule type="expression" dxfId="1091" priority="70">
      <formula>ABS(W$16-W$19)&gt;=1000</formula>
    </cfRule>
  </conditionalFormatting>
  <conditionalFormatting sqref="X14">
    <cfRule type="expression" dxfId="1090" priority="69">
      <formula>ABS(X$16-X$19)&gt;=1000</formula>
    </cfRule>
  </conditionalFormatting>
  <conditionalFormatting sqref="T10:Y10">
    <cfRule type="expression" dxfId="1089" priority="68">
      <formula>ABS(T$7-T$10)&gt;=1000</formula>
    </cfRule>
  </conditionalFormatting>
  <conditionalFormatting sqref="W19">
    <cfRule type="expression" dxfId="1088" priority="67">
      <formula>ABS(W$16-W$19)&gt;=1000</formula>
    </cfRule>
  </conditionalFormatting>
  <conditionalFormatting sqref="AC5">
    <cfRule type="expression" dxfId="1087" priority="66">
      <formula>ABS(AC$7-AC$10)&gt;=1000</formula>
    </cfRule>
  </conditionalFormatting>
  <conditionalFormatting sqref="M14">
    <cfRule type="expression" dxfId="1086" priority="65">
      <formula>ABS(M$16-M$19)&gt;=1000</formula>
    </cfRule>
  </conditionalFormatting>
  <conditionalFormatting sqref="M16">
    <cfRule type="expression" dxfId="1085" priority="64">
      <formula>ABS(M$16-M$19)&gt;=1000</formula>
    </cfRule>
  </conditionalFormatting>
  <conditionalFormatting sqref="M19">
    <cfRule type="expression" dxfId="1084" priority="63">
      <formula>ABS(M$16-M$19)&gt;=1000</formula>
    </cfRule>
  </conditionalFormatting>
  <conditionalFormatting sqref="K13:K20">
    <cfRule type="expression" dxfId="1083" priority="62">
      <formula>ABS(K$16-K$19)&gt;=1000</formula>
    </cfRule>
  </conditionalFormatting>
  <conditionalFormatting sqref="AB14:AC14">
    <cfRule type="expression" dxfId="1082" priority="61">
      <formula>ABS(AB$16-AB$19)&gt;=1000</formula>
    </cfRule>
  </conditionalFormatting>
  <conditionalFormatting sqref="M5">
    <cfRule type="expression" dxfId="1081" priority="60">
      <formula>ABS(M$7-M$10)&gt;=1000</formula>
    </cfRule>
  </conditionalFormatting>
  <conditionalFormatting sqref="N5">
    <cfRule type="expression" dxfId="1080" priority="59">
      <formula>ABS(N$7-N$10)&gt;=1000</formula>
    </cfRule>
  </conditionalFormatting>
  <conditionalFormatting sqref="L23">
    <cfRule type="expression" dxfId="1079" priority="58">
      <formula>ABS(L$25-L$28)&gt;=1000</formula>
    </cfRule>
  </conditionalFormatting>
  <conditionalFormatting sqref="Y14">
    <cfRule type="expression" dxfId="1078" priority="57">
      <formula>ABS(Y$16-Y$19)&gt;=1000</formula>
    </cfRule>
  </conditionalFormatting>
  <conditionalFormatting sqref="F14">
    <cfRule type="expression" dxfId="1077" priority="56">
      <formula>ABS(F$16-F$19)&gt;=1000</formula>
    </cfRule>
  </conditionalFormatting>
  <conditionalFormatting sqref="H14">
    <cfRule type="expression" dxfId="1076" priority="55">
      <formula>ABS(H$16-H$19)&gt;=1000</formula>
    </cfRule>
  </conditionalFormatting>
  <conditionalFormatting sqref="AD5">
    <cfRule type="expression" dxfId="1075" priority="54">
      <formula>ABS(AD$7-AD$10)&gt;=1000</formula>
    </cfRule>
  </conditionalFormatting>
  <conditionalFormatting sqref="AE5">
    <cfRule type="expression" dxfId="1074" priority="53">
      <formula>ABS(AE$7-AE$10)&gt;=1000</formula>
    </cfRule>
  </conditionalFormatting>
  <conditionalFormatting sqref="D5">
    <cfRule type="expression" dxfId="1073" priority="52">
      <formula>ABS(D$7-D$10)&gt;=1000</formula>
    </cfRule>
  </conditionalFormatting>
  <conditionalFormatting sqref="E5:G5">
    <cfRule type="expression" dxfId="1072" priority="51">
      <formula>ABS(E$7-E$10)&gt;=1000</formula>
    </cfRule>
  </conditionalFormatting>
  <conditionalFormatting sqref="H5">
    <cfRule type="expression" dxfId="1071" priority="50">
      <formula>ABS(H$7-H$10)&gt;=1000</formula>
    </cfRule>
  </conditionalFormatting>
  <conditionalFormatting sqref="O4:P4">
    <cfRule type="expression" dxfId="1070" priority="49">
      <formula>ABS(O$7-O$10)&gt;=1000</formula>
    </cfRule>
  </conditionalFormatting>
  <conditionalFormatting sqref="O5 O11">
    <cfRule type="expression" dxfId="1069" priority="48">
      <formula>ABS(O$7-O$10)&gt;=1000</formula>
    </cfRule>
  </conditionalFormatting>
  <conditionalFormatting sqref="P11">
    <cfRule type="expression" dxfId="1068" priority="47">
      <formula>ABS(P$7-P$10)&gt;=1000</formula>
    </cfRule>
  </conditionalFormatting>
  <conditionalFormatting sqref="J5">
    <cfRule type="expression" dxfId="1067" priority="46">
      <formula>ABS(J$7-J$10)&gt;=1000</formula>
    </cfRule>
  </conditionalFormatting>
  <conditionalFormatting sqref="K5">
    <cfRule type="expression" dxfId="1066" priority="45">
      <formula>ABS(K$7-K$10)&gt;=1000</formula>
    </cfRule>
  </conditionalFormatting>
  <conditionalFormatting sqref="I6">
    <cfRule type="expression" dxfId="1065" priority="44">
      <formula>ABS(I$7-I$10)&gt;=1000</formula>
    </cfRule>
  </conditionalFormatting>
  <conditionalFormatting sqref="H9">
    <cfRule type="expression" dxfId="1064" priority="43">
      <formula>ABS(H$7-H$10)&gt;=1000</formula>
    </cfRule>
  </conditionalFormatting>
  <conditionalFormatting sqref="J9">
    <cfRule type="expression" dxfId="1063" priority="42">
      <formula>ABS(J$7-J$10)&gt;=1000</formula>
    </cfRule>
  </conditionalFormatting>
  <conditionalFormatting sqref="K9">
    <cfRule type="expression" dxfId="1062" priority="41">
      <formula>ABS(K$7-K$10)&gt;=1000</formula>
    </cfRule>
  </conditionalFormatting>
  <conditionalFormatting sqref="L9">
    <cfRule type="expression" dxfId="1061" priority="40">
      <formula>ABS(L$7-L$10)&gt;=1000</formula>
    </cfRule>
  </conditionalFormatting>
  <conditionalFormatting sqref="M9">
    <cfRule type="expression" dxfId="1060" priority="39">
      <formula>ABS(M$7-M$10)&gt;=1000</formula>
    </cfRule>
  </conditionalFormatting>
  <conditionalFormatting sqref="N9">
    <cfRule type="expression" dxfId="1059" priority="38">
      <formula>ABS(N$7-N$10)&gt;=1000</formula>
    </cfRule>
  </conditionalFormatting>
  <conditionalFormatting sqref="O9">
    <cfRule type="expression" dxfId="1058" priority="37">
      <formula>ABS(O$7-O$10)&gt;=1000</formula>
    </cfRule>
  </conditionalFormatting>
  <conditionalFormatting sqref="P9">
    <cfRule type="expression" dxfId="1057" priority="36">
      <formula>ABS(P$7-P$10)&gt;=1000</formula>
    </cfRule>
  </conditionalFormatting>
  <conditionalFormatting sqref="I9">
    <cfRule type="expression" dxfId="1056" priority="35">
      <formula>ABS(I$7-I$10)&gt;=1000</formula>
    </cfRule>
  </conditionalFormatting>
  <conditionalFormatting sqref="P5">
    <cfRule type="expression" dxfId="1055" priority="34">
      <formula>ABS(P$7-P$10)&gt;=1000</formula>
    </cfRule>
  </conditionalFormatting>
  <conditionalFormatting sqref="I5">
    <cfRule type="expression" dxfId="1054" priority="33">
      <formula>ABS(I$7-I$10)&gt;=1000</formula>
    </cfRule>
  </conditionalFormatting>
  <conditionalFormatting sqref="D6 D8">
    <cfRule type="expression" dxfId="1053" priority="32">
      <formula>ABS(D$7-D$10)&gt;=1000</formula>
    </cfRule>
  </conditionalFormatting>
  <conditionalFormatting sqref="E6 E8">
    <cfRule type="expression" dxfId="1052" priority="31">
      <formula>ABS(E$7-E$10)&gt;=1000</formula>
    </cfRule>
  </conditionalFormatting>
  <conditionalFormatting sqref="F6 F8">
    <cfRule type="expression" dxfId="1051" priority="30">
      <formula>ABS(F$7-F$10)&gt;=1000</formula>
    </cfRule>
  </conditionalFormatting>
  <conditionalFormatting sqref="G6 G8">
    <cfRule type="expression" dxfId="1050" priority="29">
      <formula>ABS(G$7-G$10)&gt;=1000</formula>
    </cfRule>
  </conditionalFormatting>
  <conditionalFormatting sqref="H8">
    <cfRule type="expression" dxfId="1049" priority="28">
      <formula>ABS(H$7-H$10)&gt;=1000</formula>
    </cfRule>
  </conditionalFormatting>
  <conditionalFormatting sqref="H6">
    <cfRule type="expression" dxfId="1048" priority="27">
      <formula>ABS(H$7-H$10)&gt;=1000</formula>
    </cfRule>
  </conditionalFormatting>
  <conditionalFormatting sqref="J8">
    <cfRule type="expression" dxfId="1047" priority="26">
      <formula>ABS(J$7-J$10)&gt;=1000</formula>
    </cfRule>
  </conditionalFormatting>
  <conditionalFormatting sqref="K8">
    <cfRule type="expression" dxfId="1046" priority="25">
      <formula>ABS(K$7-K$10)&gt;=1000</formula>
    </cfRule>
  </conditionalFormatting>
  <conditionalFormatting sqref="L8">
    <cfRule type="expression" dxfId="1045" priority="24">
      <formula>ABS(L$7-L$10)&gt;=1000</formula>
    </cfRule>
  </conditionalFormatting>
  <conditionalFormatting sqref="M8">
    <cfRule type="expression" dxfId="1044" priority="23">
      <formula>ABS(M$7-M$10)&gt;=1000</formula>
    </cfRule>
  </conditionalFormatting>
  <conditionalFormatting sqref="N8">
    <cfRule type="expression" dxfId="1043" priority="22">
      <formula>ABS(N$7-N$10)&gt;=1000</formula>
    </cfRule>
  </conditionalFormatting>
  <conditionalFormatting sqref="O8">
    <cfRule type="expression" dxfId="1042" priority="21">
      <formula>ABS(O$7-O$10)&gt;=1000</formula>
    </cfRule>
  </conditionalFormatting>
  <conditionalFormatting sqref="P8">
    <cfRule type="expression" dxfId="1041" priority="20">
      <formula>ABS(P$7-P$10)&gt;=1000</formula>
    </cfRule>
  </conditionalFormatting>
  <conditionalFormatting sqref="J6">
    <cfRule type="expression" dxfId="1040" priority="19">
      <formula>ABS(J$7-J$10)&gt;=1000</formula>
    </cfRule>
  </conditionalFormatting>
  <conditionalFormatting sqref="K6">
    <cfRule type="expression" dxfId="1039" priority="18">
      <formula>ABS(K$7-K$10)&gt;=1000</formula>
    </cfRule>
  </conditionalFormatting>
  <conditionalFormatting sqref="L6">
    <cfRule type="expression" dxfId="1038" priority="17">
      <formula>ABS(L$7-L$10)&gt;=1000</formula>
    </cfRule>
  </conditionalFormatting>
  <conditionalFormatting sqref="M6">
    <cfRule type="expression" dxfId="1037" priority="16">
      <formula>ABS(M$7-M$10)&gt;=1000</formula>
    </cfRule>
  </conditionalFormatting>
  <conditionalFormatting sqref="N6">
    <cfRule type="expression" dxfId="1036" priority="15">
      <formula>ABS(N$7-N$10)&gt;=1000</formula>
    </cfRule>
  </conditionalFormatting>
  <conditionalFormatting sqref="O6">
    <cfRule type="expression" dxfId="1035" priority="14">
      <formula>ABS(O$7-O$10)&gt;=1000</formula>
    </cfRule>
  </conditionalFormatting>
  <conditionalFormatting sqref="P6">
    <cfRule type="expression" dxfId="1034" priority="13">
      <formula>ABS(P$7-P$10)&gt;=1000</formula>
    </cfRule>
  </conditionalFormatting>
  <conditionalFormatting sqref="L7">
    <cfRule type="expression" dxfId="1033" priority="12">
      <formula>ABS(L$7-L$10)&gt;=1000</formula>
    </cfRule>
  </conditionalFormatting>
  <conditionalFormatting sqref="M7">
    <cfRule type="expression" dxfId="1032" priority="11">
      <formula>ABS(M$7-M$10)&gt;=1000</formula>
    </cfRule>
  </conditionalFormatting>
  <conditionalFormatting sqref="O7:P7">
    <cfRule type="expression" dxfId="1031" priority="10">
      <formula>ABS(O$7-O$10)&gt;=1000</formula>
    </cfRule>
  </conditionalFormatting>
  <conditionalFormatting sqref="N7">
    <cfRule type="expression" dxfId="1030" priority="9">
      <formula>ABS(N$7-N$10)&gt;=1000</formula>
    </cfRule>
  </conditionalFormatting>
  <conditionalFormatting sqref="H7:K7">
    <cfRule type="expression" dxfId="1029" priority="8">
      <formula>ABS(H$7-H$10)&gt;=1000</formula>
    </cfRule>
  </conditionalFormatting>
  <conditionalFormatting sqref="D7:G7">
    <cfRule type="expression" dxfId="1028" priority="7">
      <formula>ABS(D$7-D$10)&gt;=1000</formula>
    </cfRule>
  </conditionalFormatting>
  <conditionalFormatting sqref="L10">
    <cfRule type="expression" dxfId="1027" priority="6">
      <formula>ABS(L$7-L$10)&gt;=1000</formula>
    </cfRule>
  </conditionalFormatting>
  <conditionalFormatting sqref="M10">
    <cfRule type="expression" dxfId="1026" priority="5">
      <formula>ABS(M$7-M$10)&gt;=1000</formula>
    </cfRule>
  </conditionalFormatting>
  <conditionalFormatting sqref="O10:P10">
    <cfRule type="expression" dxfId="1025" priority="4">
      <formula>ABS(O$7-O$10)&gt;=1000</formula>
    </cfRule>
  </conditionalFormatting>
  <conditionalFormatting sqref="N10">
    <cfRule type="expression" dxfId="1024" priority="3">
      <formula>ABS(N$7-N$10)&gt;=1000</formula>
    </cfRule>
  </conditionalFormatting>
  <conditionalFormatting sqref="H10:K10">
    <cfRule type="expression" dxfId="1023" priority="2">
      <formula>ABS(H$7-H$10)&gt;=1000</formula>
    </cfRule>
  </conditionalFormatting>
  <conditionalFormatting sqref="D10:G10">
    <cfRule type="expression" dxfId="1022" priority="1">
      <formula>ABS(D$7-D$10)&gt;=1000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870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71">
    <pageSetUpPr fitToPage="1"/>
  </sheetPr>
  <dimension ref="A1:BA223"/>
  <sheetViews>
    <sheetView view="pageBreakPreview" zoomScale="110" zoomScaleNormal="100" zoomScaleSheetLayoutView="110" workbookViewId="0">
      <selection activeCell="D10" sqref="D10"/>
    </sheetView>
  </sheetViews>
  <sheetFormatPr defaultColWidth="8.109375" defaultRowHeight="25.8"/>
  <cols>
    <col min="1" max="1" width="11.6640625" style="53" customWidth="1" phonetic="1"/>
    <col min="2" max="2" width="7.6640625" style="53" customWidth="1" phonetic="1"/>
    <col min="3" max="3" width="8" style="53" customWidth="1" phonetic="1"/>
    <col min="4" max="7" width="8.77734375" style="53" customWidth="1" phonetic="1"/>
    <col min="8" max="8" width="9.77734375" style="53" customWidth="1" phonetic="1"/>
    <col min="9" max="16" width="8.77734375" style="53" customWidth="1" phonetic="1"/>
    <col min="17" max="30" width="7.6640625" style="53" customWidth="1" phonetic="1"/>
    <col min="31" max="31" width="7.6640625" style="64" customWidth="1" phonetic="1"/>
    <col min="32" max="32" width="11.6640625" style="53" bestFit="1" customWidth="1" phonetic="1"/>
    <col min="33" max="16384" width="8.109375" style="53" phonetic="1"/>
  </cols>
  <sheetData>
    <row r="1" spans="1:53" ht="31.2" ph="1">
      <c r="A1" s="53"/>
      <c r="B1" s="207" t="s" ph="1">
        <v>87</v>
      </c>
      <c r="C1" s="207" ph="1"/>
      <c r="D1" s="207" ph="1"/>
      <c r="E1" s="207" ph="1"/>
      <c r="F1" s="207" ph="1"/>
      <c r="G1" s="207" ph="1"/>
      <c r="H1" s="207" ph="1"/>
      <c r="I1" s="207" ph="1"/>
      <c r="J1" s="207" ph="1"/>
      <c r="K1" s="207" ph="1"/>
      <c r="L1" s="207" ph="1"/>
      <c r="M1" s="207" ph="1"/>
      <c r="N1" s="207" ph="1"/>
      <c r="O1" s="207" ph="1"/>
      <c r="P1" s="207" ph="1"/>
      <c r="Q1" s="207" ph="1"/>
      <c r="R1" s="207" ph="1"/>
      <c r="S1" s="207" ph="1"/>
      <c r="T1" s="207" ph="1"/>
      <c r="U1" s="207" ph="1"/>
      <c r="V1" s="207" ph="1"/>
      <c r="W1" s="207" ph="1"/>
      <c r="X1" s="207" ph="1"/>
      <c r="Y1" s="207" ph="1"/>
      <c r="Z1" s="207" ph="1"/>
      <c r="AA1" s="207" ph="1"/>
      <c r="AB1" s="207" ph="1"/>
      <c r="AC1" s="207" ph="1"/>
      <c r="AD1" s="207" ph="1"/>
      <c r="AE1" s="207" ph="1"/>
    </row>
    <row r="2" spans="1:53" s="55" customFormat="1" ht="24" customHeight="1" ph="1">
      <c r="B2" s="208" t="s" ph="1">
        <v>35</v>
      </c>
      <c r="C2" s="208" ph="1"/>
      <c r="D2" s="208" ph="1"/>
      <c r="E2" s="208" ph="1"/>
      <c r="F2" s="208" ph="1"/>
      <c r="G2" s="208" ph="1"/>
      <c r="H2" s="208" ph="1"/>
      <c r="I2" s="208" ph="1"/>
      <c r="J2" s="208" ph="1"/>
      <c r="K2" s="208" ph="1"/>
      <c r="L2" s="208" ph="1"/>
      <c r="M2" s="208" ph="1"/>
      <c r="N2" s="208" ph="1"/>
      <c r="O2" s="208" ph="1"/>
      <c r="P2" s="208" ph="1"/>
      <c r="Q2" s="208" ph="1"/>
      <c r="R2" s="208" ph="1"/>
      <c r="S2" s="208" ph="1"/>
      <c r="T2" s="208" ph="1"/>
      <c r="U2" s="208" ph="1"/>
      <c r="V2" s="208" ph="1"/>
      <c r="W2" s="208" ph="1"/>
      <c r="X2" s="208" ph="1"/>
      <c r="Y2" s="208" ph="1"/>
      <c r="Z2" s="208" ph="1"/>
      <c r="AA2" s="208" ph="1"/>
      <c r="AB2" s="208" ph="1"/>
      <c r="AC2" s="208" ph="1"/>
      <c r="AD2" s="208" ph="1"/>
      <c r="AE2" s="208" ph="1"/>
    </row>
    <row r="3" spans="1:53" ht="21" customHeight="1" ph="1">
      <c r="B3" s="209" ph="1">
        <v>46155</v>
      </c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209"/>
      <c r="P3" s="209"/>
      <c r="Q3" s="209"/>
      <c r="R3" s="209"/>
      <c r="S3" s="209"/>
      <c r="T3" s="209"/>
      <c r="U3" s="209"/>
      <c r="V3" s="209"/>
      <c r="W3" s="209"/>
      <c r="X3" s="209"/>
      <c r="Y3" s="209"/>
      <c r="Z3" s="209"/>
      <c r="AA3" s="209"/>
      <c r="AB3" s="209"/>
      <c r="AC3" s="209"/>
      <c r="AD3" s="209"/>
      <c r="AE3" s="209"/>
    </row>
    <row r="4" spans="1:53" s="58" customFormat="1" ph="1">
      <c r="A4" s="54" ph="1"/>
      <c r="B4" s="188" t="s" ph="1">
        <v>25</v>
      </c>
      <c r="C4" s="56" t="s" ph="1">
        <v>41</v>
      </c>
      <c r="D4" s="57" t="s" ph="1">
        <v>89</v>
      </c>
      <c r="E4" s="57" t="s" ph="1">
        <v>90</v>
      </c>
      <c r="F4" s="57" t="s" ph="1">
        <v>27</v>
      </c>
      <c r="G4" s="57" t="s" ph="1">
        <v>54</v>
      </c>
      <c r="H4" s="57" t="s" ph="1">
        <v>88</v>
      </c>
      <c r="I4" s="57" t="s" ph="1">
        <v>91</v>
      </c>
      <c r="J4" s="57" t="s" ph="1">
        <v>57</v>
      </c>
      <c r="K4" s="57" t="s" ph="1">
        <v>58</v>
      </c>
      <c r="L4" s="57" t="s" ph="1">
        <v>59</v>
      </c>
      <c r="M4" s="57" t="s" ph="1">
        <v>60</v>
      </c>
      <c r="N4" s="57" t="s" ph="1">
        <v>61</v>
      </c>
      <c r="O4" s="57" t="s" ph="1">
        <v>62</v>
      </c>
      <c r="P4" s="57" t="s" ph="1">
        <v>63</v>
      </c>
      <c r="Q4" s="57" ph="1"/>
      <c r="R4" s="57" ph="1"/>
      <c r="S4" s="57" ph="1"/>
      <c r="T4" s="57" ph="1"/>
      <c r="U4" s="57" ph="1"/>
      <c r="V4" s="57" ph="1"/>
      <c r="W4" s="57" ph="1"/>
      <c r="X4" s="57" ph="1"/>
      <c r="Y4" s="57" ph="1"/>
      <c r="Z4" s="57" ph="1"/>
      <c r="AA4" s="57" ph="1"/>
      <c r="AB4" s="57" ph="1"/>
      <c r="AC4" s="57" ph="1"/>
      <c r="AD4" s="57" ph="1"/>
      <c r="AE4" s="57" ph="1"/>
      <c r="AF4" s="54" ph="1"/>
      <c r="AG4" s="54" ph="1"/>
      <c r="AH4" s="54" ph="1"/>
      <c r="AI4" s="54" ph="1"/>
      <c r="AJ4" s="54" ph="1"/>
      <c r="AK4" s="54" ph="1"/>
      <c r="AL4" s="54" ph="1"/>
      <c r="AM4" s="54" ph="1"/>
      <c r="AN4" s="54" ph="1"/>
      <c r="AO4" s="54" ph="1"/>
      <c r="AP4" s="54" ph="1"/>
      <c r="AQ4" s="54" ph="1"/>
      <c r="AR4" s="54" ph="1"/>
      <c r="AS4" s="54" ph="1"/>
      <c r="AT4" s="54" ph="1"/>
      <c r="AU4" s="54" ph="1"/>
      <c r="AV4" s="54" ph="1"/>
      <c r="AW4" s="54" ph="1"/>
      <c r="AX4" s="54" ph="1"/>
      <c r="AY4" s="54" ph="1"/>
      <c r="AZ4" s="54" ph="1"/>
      <c r="BA4" s="54" ph="1"/>
    </row>
    <row r="5" spans="1:53" s="58" customFormat="1" ht="29.25" customHeight="1" ph="1">
      <c r="A5" s="54" ph="1"/>
      <c r="B5" s="188" ph="1"/>
      <c r="C5" s="56" t="s" ph="1">
        <v>24</v>
      </c>
      <c r="D5" s="103" t="s" ph="1">
        <v>64</v>
      </c>
      <c r="E5" s="103" t="s" ph="1">
        <v>64</v>
      </c>
      <c r="F5" s="103" t="s" ph="1">
        <v>86</v>
      </c>
      <c r="G5" s="103" t="s" ph="1">
        <v>86</v>
      </c>
      <c r="H5" s="103" t="s" ph="1">
        <v>64</v>
      </c>
      <c r="I5" s="103" t="s" ph="1">
        <v>64</v>
      </c>
      <c r="J5" s="103" t="s" ph="1">
        <v>86</v>
      </c>
      <c r="K5" s="103" t="s" ph="1">
        <v>86</v>
      </c>
      <c r="L5" s="102" t="s" ph="1">
        <v>51</v>
      </c>
      <c r="M5" s="102" t="s" ph="1">
        <v>65</v>
      </c>
      <c r="N5" s="102" t="s" ph="1">
        <v>51</v>
      </c>
      <c r="O5" s="102" t="s" ph="1">
        <v>66</v>
      </c>
      <c r="P5" s="102" t="s" ph="1">
        <v>66</v>
      </c>
      <c r="Q5" s="59" ph="1"/>
      <c r="R5" s="59" ph="1"/>
      <c r="S5" s="59" ph="1"/>
      <c r="T5" s="59" ph="1"/>
      <c r="U5" s="59" ph="1"/>
      <c r="V5" s="59" ph="1"/>
      <c r="W5" s="59" ph="1"/>
      <c r="X5" s="59" ph="1"/>
      <c r="Y5" s="59" ph="1"/>
      <c r="Z5" s="59" ph="1"/>
      <c r="AA5" s="59" ph="1"/>
      <c r="AB5" s="59" ph="1"/>
      <c r="AC5" s="59" ph="1"/>
      <c r="AD5" s="60"/>
      <c r="AE5" s="60"/>
      <c r="AF5" s="54" ph="1"/>
      <c r="AG5" s="54" ph="1"/>
      <c r="AH5" s="54" ph="1"/>
      <c r="AI5" s="54" ph="1"/>
      <c r="AJ5" s="54" ph="1"/>
      <c r="AK5" s="54" ph="1"/>
      <c r="AL5" s="54" ph="1"/>
      <c r="AM5" s="54" ph="1"/>
      <c r="AN5" s="54" ph="1"/>
      <c r="AO5" s="54" ph="1"/>
      <c r="AP5" s="54" ph="1"/>
      <c r="AQ5" s="54" ph="1"/>
      <c r="AR5" s="54" ph="1"/>
      <c r="AS5" s="54" ph="1"/>
      <c r="AT5" s="54" ph="1"/>
      <c r="AU5" s="54" ph="1"/>
      <c r="AV5" s="54" ph="1"/>
      <c r="AW5" s="54" ph="1"/>
      <c r="AX5" s="54" ph="1"/>
      <c r="AY5" s="54" ph="1"/>
      <c r="AZ5" s="54" ph="1"/>
      <c r="BA5" s="54" ph="1"/>
    </row>
    <row r="6" spans="1:53" ph="1">
      <c r="B6" s="206" ph="1">
        <v>0.33333333333333331</v>
      </c>
      <c r="C6" s="128" t="s" ph="1">
        <v>42</v>
      </c>
      <c r="D6" s="109">
        <v>0.94850000000000001</v>
      </c>
      <c r="E6" s="109">
        <v>0.20030000000000001</v>
      </c>
      <c r="F6" s="109">
        <v>0</v>
      </c>
      <c r="G6" s="109">
        <v>0</v>
      </c>
      <c r="H6" s="60">
        <v>5295</v>
      </c>
      <c r="I6" s="60">
        <v>4561</v>
      </c>
      <c r="J6" s="60">
        <v>0</v>
      </c>
      <c r="K6" s="60">
        <v>0</v>
      </c>
      <c r="L6" s="60">
        <v>2344</v>
      </c>
      <c r="M6" s="60">
        <v>1902</v>
      </c>
      <c r="N6" s="60">
        <v>4424</v>
      </c>
      <c r="O6" s="60">
        <v>1021</v>
      </c>
      <c r="P6" s="60">
        <v>0</v>
      </c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</row>
    <row r="7" spans="1:53" s="61" customFormat="1" ht="22.2" ph="1">
      <c r="B7" s="206" ph="1"/>
      <c r="C7" s="57" t="s" ph="1">
        <v>43</v>
      </c>
      <c r="D7" s="62" ph="1">
        <f>((D6*5885)*4.48)*LOOKUP(D8,密度!$A$2:$A$50,密度!$B$2:$B$50)</f>
        <v>19365.430712320001</v>
      </c>
      <c r="E7" s="62" ph="1">
        <f>((E6*5885)*4.48)*LOOKUP(E8,密度!$A$2:$A$50,密度!$B$2:$B$50)</f>
        <v>4084.7525118399999</v>
      </c>
      <c r="F7" s="62" ph="1">
        <f>((F6*5885)*4.48)*LOOKUP(F8,密度!$A$2:$A$50,密度!$B$2:$B$50)</f>
        <v>0</v>
      </c>
      <c r="G7" s="62" ph="1">
        <f>((G6*5885)*4.48)*LOOKUP(G8,密度!$A$2:$A$50,密度!$B$2:$B$50)</f>
        <v>0</v>
      </c>
      <c r="H7" s="62" ph="1">
        <f>IF(H6&lt;=0,0,IF(H6&lt;=745,PI()*(5.3235*(H6/1000)^2-(4/3)*(H6/1000)^3),7.55+15.2053*((H6-745)/1000))*LOOKUP(H8,密度!$A$2:$A$50,密度!$B$2:$B$50)*1000)</f>
        <v>59422.89865599999</v>
      </c>
      <c r="I7" s="62" ph="1">
        <f>IF(I6&lt;=0,0,IF(I6&lt;=745,PI()*(5.3235*(I6/1000)^2-(4/3)*(I6/1000)^3),7.55+15.2053*((I6-745)/1000))*LOOKUP(I8,密度!$A$2:$A$50,密度!$B$2:$B$50)*1000)</f>
        <v>50780.060165119998</v>
      </c>
      <c r="J7" s="62" ph="1">
        <f>IF(J6&lt;=0,0,IF(J6&lt;=745,PI()*(5.3235*(J6/1000)^2-(4/3)*(J6/1000)^3),7.55+15.2053*((J6-745)/1000))*LOOKUP(J8,密度!$A$2:$A$50,密度!$B$2:$B$50)*1000)</f>
        <v>0</v>
      </c>
      <c r="K7" s="62" ph="1">
        <f>IF(K6&lt;=0,0,IF(K6&lt;=745,PI()*(5.3235*(K6/1000)^2-(4/3)*(K6/1000)^3),7.55+15.2053*((K6-745)/1000))*LOOKUP(K8,密度!$A$2:$A$50,密度!$B$2:$B$50)*1000)</f>
        <v>0</v>
      </c>
      <c r="L7" s="62" ph="1">
        <f>L6*26.42*LOOKUP(L8,密度!$A$2:$A$50,密度!$B$2:$B$50)</f>
        <v>48068.886176</v>
      </c>
      <c r="M7" s="62" ph="1">
        <f>M6*26.42*1</f>
        <v>50250.840000000004</v>
      </c>
      <c r="N7" s="62" ph="1">
        <f>N6*18.32*LOOKUP(N8,密度!$A$2:$A$50,密度!$B$2:$B$50)</f>
        <v>62909.209216000003</v>
      </c>
      <c r="O7" s="62" ph="1">
        <f>O6*81.71*LOOKUP(O8,密度!$A$2:$A$50,密度!$B$2:$B$50)</f>
        <v>64821.932069999995</v>
      </c>
      <c r="P7" s="62" ph="1">
        <f>P6*81.71*LOOKUP(P8,密度!$A$2:$A$50,密度!$B$2:$B$50)</f>
        <v>0</v>
      </c>
      <c r="Q7" s="62" ph="1"/>
      <c r="R7" s="62" ph="1"/>
      <c r="S7" s="62" ph="1"/>
      <c r="T7" s="62" ph="1"/>
      <c r="U7" s="62" ph="1"/>
      <c r="V7" s="62" ph="1"/>
      <c r="W7" s="62" ph="1"/>
      <c r="X7" s="62" ph="1"/>
      <c r="Y7" s="62" ph="1"/>
      <c r="Z7" s="62" ph="1"/>
      <c r="AA7" s="62" ph="1"/>
      <c r="AB7" s="62" ph="1"/>
      <c r="AC7" s="62" ph="1"/>
      <c r="AD7" s="62" ph="1"/>
      <c r="AE7" s="62" ph="1"/>
    </row>
    <row r="8" spans="1:53" ph="1">
      <c r="B8" s="206" ph="1"/>
      <c r="C8" s="57" t="s" ph="1">
        <v>44</v>
      </c>
      <c r="D8" s="63">
        <v>31</v>
      </c>
      <c r="E8" s="63">
        <v>32</v>
      </c>
      <c r="F8" s="63">
        <v>30</v>
      </c>
      <c r="G8" s="63">
        <v>30</v>
      </c>
      <c r="H8" s="63">
        <v>31</v>
      </c>
      <c r="I8" s="63">
        <v>31</v>
      </c>
      <c r="J8" s="63">
        <v>31</v>
      </c>
      <c r="K8" s="63">
        <v>30</v>
      </c>
      <c r="L8" s="63">
        <v>29</v>
      </c>
      <c r="M8" s="63">
        <v>29</v>
      </c>
      <c r="N8" s="63">
        <v>29</v>
      </c>
      <c r="O8" s="63">
        <v>28</v>
      </c>
      <c r="P8" s="63">
        <v>29</v>
      </c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</row>
    <row r="9" spans="1:53" ht="26.4" ph="1">
      <c r="B9" s="206" ph="1">
        <v>0.66666666666666663</v>
      </c>
      <c r="C9" s="128" t="s" ph="1">
        <v>45</v>
      </c>
      <c r="D9" s="109">
        <v>2.4199999999999999E-2</v>
      </c>
      <c r="E9" s="109">
        <v>0.75349999999999995</v>
      </c>
      <c r="F9" s="109">
        <v>0</v>
      </c>
      <c r="G9" s="109">
        <v>0</v>
      </c>
      <c r="H9" s="60">
        <v>4964</v>
      </c>
      <c r="I9" s="60">
        <v>4063</v>
      </c>
      <c r="J9" s="60">
        <v>0</v>
      </c>
      <c r="K9" s="60">
        <v>0</v>
      </c>
      <c r="L9" s="60">
        <v>2460</v>
      </c>
      <c r="M9" s="60">
        <v>1902</v>
      </c>
      <c r="N9" s="60">
        <v>4466</v>
      </c>
      <c r="O9" s="60">
        <v>1657</v>
      </c>
      <c r="P9" s="60">
        <v>0</v>
      </c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</row>
    <row r="10" spans="1:53" s="61" customFormat="1" ht="22.2" ph="1">
      <c r="B10" s="206" ph="1"/>
      <c r="C10" s="128" t="s" ph="1">
        <v>43</v>
      </c>
      <c r="D10" s="62" ph="1">
        <f>((D9*5885)*4.48)*LOOKUP(D11,密度!$A$2:$A$50,密度!$B$2:$B$50)</f>
        <v>493.51478176000001</v>
      </c>
      <c r="E10" s="62" ph="1">
        <f>((E9*5885)*4.48)*LOOKUP(E11,密度!$A$2:$A$50,密度!$B$2:$B$50)</f>
        <v>15350.363003360002</v>
      </c>
      <c r="F10" s="62" ph="1">
        <f>((F9*5885)*4.48)*LOOKUP(F11,密度!$A$2:$A$50,密度!$B$2:$B$50)</f>
        <v>0</v>
      </c>
      <c r="G10" s="62" ph="1">
        <f>((G9*5885)*4.48)*LOOKUP(G11,密度!$A$2:$A$50,密度!$B$2:$B$50)</f>
        <v>0</v>
      </c>
      <c r="H10" s="62" ph="1">
        <f>IF(H9&lt;=0,0,IF(H9&lt;=745,PI()*(5.3235*(H9/1000)^2-(4/3)*(H9/1000)^3),7.55+15.2053*((H9-745)/1000))*LOOKUP(H11,密度!$A$2:$A$50,密度!$B$2:$B$50)*1000)</f>
        <v>55460.84780145</v>
      </c>
      <c r="I10" s="62" ph="1">
        <f>IF(I9&lt;=0,0,IF(I9&lt;=745,PI()*(5.3235*(I9/1000)^2-(4/3)*(I9/1000)^3),7.55+15.2053*((I9-745)/1000))*LOOKUP(I11,密度!$A$2:$A$50,密度!$B$2:$B$50)*1000)</f>
        <v>44863.916906899998</v>
      </c>
      <c r="J10" s="62" ph="1">
        <f>IF(J9&lt;=0,0,IF(J9&lt;=745,PI()*(5.3235*(J9/1000)^2-(4/3)*(J9/1000)^3),7.55+15.2053*((J9-745)/1000))*LOOKUP(J11,密度!$A$2:$A$50,密度!$B$2:$B$50)*1000)</f>
        <v>0</v>
      </c>
      <c r="K10" s="62" ph="1">
        <f>IF(K9&lt;=0,0,IF(K9&lt;=745,PI()*(5.3235*(K9/1000)^2-(4/3)*(K9/1000)^3),7.55+15.2053*((K9-745)/1000))*LOOKUP(K11,密度!$A$2:$A$50,密度!$B$2:$B$50)*1000)</f>
        <v>0</v>
      </c>
      <c r="L10" s="62" ph="1">
        <f>L9*26.42*LOOKUP(L11,密度!$A$2:$A$50,密度!$B$2:$B$50)</f>
        <v>50447.721840000006</v>
      </c>
      <c r="M10" s="62" ph="1">
        <f>M9*26.42*1</f>
        <v>50250.840000000004</v>
      </c>
      <c r="N10" s="62" ph="1">
        <f>N9*18.32*LOOKUP(N11,密度!$A$2:$A$50,密度!$B$2:$B$50)</f>
        <v>63432.813135999997</v>
      </c>
      <c r="O10" s="62" ph="1">
        <f>O9*81.71*LOOKUP(O11,密度!$A$2:$A$50,密度!$B$2:$B$50)</f>
        <v>105092.411414</v>
      </c>
      <c r="P10" s="62" ph="1">
        <f>P9*81.71*LOOKUP(P11,密度!$A$2:$A$50,密度!$B$2:$B$50)</f>
        <v>0</v>
      </c>
      <c r="Q10" s="62" ph="1"/>
      <c r="R10" s="62" ph="1"/>
      <c r="S10" s="62" ph="1"/>
      <c r="T10" s="62" ph="1"/>
      <c r="U10" s="62" ph="1"/>
      <c r="V10" s="62" ph="1"/>
      <c r="W10" s="62" ph="1"/>
      <c r="X10" s="62" ph="1"/>
      <c r="Y10" s="62" ph="1"/>
      <c r="Z10" s="62" ph="1"/>
      <c r="AA10" s="62" ph="1"/>
      <c r="AB10" s="62" ph="1"/>
      <c r="AC10" s="62" ph="1"/>
      <c r="AD10" s="62" ph="1"/>
      <c r="AE10" s="62" ph="1"/>
    </row>
    <row r="11" spans="1:53" ph="1">
      <c r="A11" s="53" t="s" ph="1">
        <v>40</v>
      </c>
      <c r="B11" s="206" ph="1"/>
      <c r="C11" s="128" t="s" ph="1">
        <v>44</v>
      </c>
      <c r="D11" s="63">
        <v>32</v>
      </c>
      <c r="E11" s="63">
        <v>33</v>
      </c>
      <c r="F11" s="63">
        <v>34</v>
      </c>
      <c r="G11" s="63">
        <v>33</v>
      </c>
      <c r="H11" s="63">
        <v>32</v>
      </c>
      <c r="I11" s="63">
        <v>32</v>
      </c>
      <c r="J11" s="63">
        <v>32</v>
      </c>
      <c r="K11" s="63">
        <v>33</v>
      </c>
      <c r="L11" s="63">
        <v>29</v>
      </c>
      <c r="M11" s="63">
        <v>29</v>
      </c>
      <c r="N11" s="63">
        <v>30</v>
      </c>
      <c r="O11" s="63">
        <v>29</v>
      </c>
      <c r="P11" s="63">
        <v>31</v>
      </c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</row>
    <row r="12" spans="1:53" ht="9.9" customHeight="1" ph="1">
      <c r="I12" s="65" ph="1"/>
      <c r="U12" s="119" ph="1"/>
    </row>
    <row r="13" spans="1:53" s="61" customFormat="1" ht="29.25" customHeight="1" ph="1">
      <c r="B13" s="183" t="s" ph="1">
        <v>25</v>
      </c>
      <c r="C13" s="128" t="s" ph="1">
        <v>41</v>
      </c>
      <c r="D13" s="65" ph="1"/>
      <c r="E13" s="65" ph="1"/>
      <c r="F13" s="65" ph="1"/>
      <c r="G13" s="65" ph="1"/>
      <c r="H13" s="65" ph="1"/>
      <c r="I13" s="61"/>
      <c r="J13" s="65" ph="1"/>
      <c r="K13" s="65" ph="1"/>
      <c r="L13" s="65" ph="1"/>
      <c r="M13" s="65" ph="1"/>
      <c r="N13" s="65" ph="1"/>
      <c r="O13" s="65" ph="1"/>
      <c r="P13" s="65" ph="1"/>
      <c r="Q13" s="65" ph="1"/>
      <c r="R13" s="65" ph="1"/>
      <c r="S13" s="65" ph="1"/>
      <c r="T13" s="65" ph="1"/>
      <c r="U13" s="65" ph="1"/>
      <c r="V13" s="65" ph="1"/>
      <c r="W13" s="65" ph="1"/>
      <c r="X13" s="65" ph="1"/>
      <c r="Y13" s="94" ph="1"/>
      <c r="Z13" s="65" ph="1"/>
      <c r="AA13" s="65" ph="1"/>
      <c r="AB13" s="65" ph="1"/>
      <c r="AC13" s="65" ph="1"/>
      <c r="AD13" s="65" ph="1"/>
      <c r="AE13" s="65" ph="1"/>
    </row>
    <row r="14" spans="1:53" s="61" customFormat="1" ht="24" ph="1">
      <c r="B14" s="184" ph="1"/>
      <c r="C14" s="56" t="s" ph="1">
        <v>24</v>
      </c>
      <c r="D14" s="66" ph="1"/>
      <c r="E14" s="66" ph="1"/>
      <c r="F14" s="108" ph="1"/>
      <c r="G14" s="66" ph="1"/>
      <c r="H14" s="66" ph="1"/>
      <c r="I14" s="101" ph="1"/>
      <c r="J14" s="66" ph="1"/>
      <c r="K14" s="66" ph="1"/>
      <c r="L14" s="66" ph="1"/>
      <c r="M14" s="93" ph="1"/>
      <c r="N14" s="93" ph="1"/>
      <c r="O14" s="93" ph="1"/>
      <c r="P14" s="66" ph="1"/>
      <c r="Q14" s="66" ph="1"/>
      <c r="R14" s="77" ph="1"/>
      <c r="S14" s="66" ph="1"/>
      <c r="T14" s="66" ph="1"/>
      <c r="U14" s="66" ph="1"/>
      <c r="V14" s="66" ph="1"/>
      <c r="W14" s="66" ph="1"/>
      <c r="X14" s="66" ph="1"/>
      <c r="Y14" s="104" ph="1"/>
      <c r="Z14" s="66" ph="1"/>
      <c r="AA14" s="66" ph="1"/>
      <c r="AB14" s="66" ph="1"/>
      <c r="AC14" s="66" ph="1"/>
      <c r="AD14" s="66" ph="1"/>
      <c r="AE14" s="66" ph="1"/>
    </row>
    <row r="15" spans="1:53" ht="26.4" ph="1">
      <c r="B15" s="185" ph="1">
        <v>0.33333333333333331</v>
      </c>
      <c r="C15" s="68" t="s" ph="1">
        <v>45</v>
      </c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0"/>
      <c r="X15" s="67"/>
      <c r="Y15" s="95"/>
      <c r="Z15" s="67"/>
      <c r="AA15" s="67"/>
      <c r="AB15" s="67" ph="1"/>
      <c r="AC15" s="67" ph="1"/>
      <c r="AD15" s="67"/>
      <c r="AE15" s="67"/>
    </row>
    <row r="16" spans="1:53" s="61" customFormat="1" ht="26.4" ph="1">
      <c r="B16" s="186" ph="1"/>
      <c r="C16" s="128" t="s" ph="1">
        <v>43</v>
      </c>
      <c r="D16" s="62" ph="1"/>
      <c r="E16" s="62" ph="1"/>
      <c r="F16" s="62" ph="1"/>
      <c r="G16" s="62" ph="1"/>
      <c r="H16" s="62" ph="1"/>
      <c r="I16" s="62" ph="1"/>
      <c r="J16" s="62" ph="1"/>
      <c r="K16" s="62" ph="1"/>
      <c r="L16" s="62" ph="1"/>
      <c r="M16" s="62" ph="1"/>
      <c r="N16" s="62" ph="1"/>
      <c r="O16" s="62" ph="1"/>
      <c r="P16" s="62" ph="1"/>
      <c r="Q16" s="62" ph="1"/>
      <c r="R16" s="62" ph="1"/>
      <c r="S16" s="62" ph="1"/>
      <c r="T16" s="62" ph="1"/>
      <c r="U16" s="62" ph="1"/>
      <c r="V16" s="62" ph="1"/>
      <c r="W16" s="120" ph="1"/>
      <c r="X16" s="62" ph="1"/>
      <c r="Y16" s="96" ph="1"/>
      <c r="Z16" s="62" ph="1"/>
      <c r="AA16" s="62" ph="1"/>
      <c r="AB16" s="62" ph="1"/>
      <c r="AC16" s="62" ph="1"/>
      <c r="AD16" s="62" ph="1"/>
      <c r="AE16" s="62" ph="1"/>
    </row>
    <row r="17" spans="1:32" ph="1">
      <c r="A17" s="53" t="s" ph="1">
        <v>33</v>
      </c>
      <c r="B17" s="187" ph="1"/>
      <c r="C17" s="68" t="s" ph="1">
        <v>44</v>
      </c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121"/>
      <c r="W17" s="63"/>
      <c r="X17" s="63"/>
      <c r="Y17" s="97"/>
      <c r="Z17" s="63"/>
      <c r="AA17" s="63"/>
      <c r="AB17" s="63"/>
      <c r="AC17" s="63"/>
      <c r="AD17" s="63"/>
      <c r="AE17" s="63"/>
    </row>
    <row r="18" spans="1:32" ht="26.4" ph="1">
      <c r="B18" s="185" ph="1">
        <v>0.66666666666666663</v>
      </c>
      <c r="C18" s="68" t="s" ph="1">
        <v>45</v>
      </c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98"/>
      <c r="Z18" s="60"/>
      <c r="AA18" s="60"/>
      <c r="AB18" s="60"/>
      <c r="AC18" s="60"/>
      <c r="AD18" s="60"/>
      <c r="AE18" s="60"/>
    </row>
    <row r="19" spans="1:32" s="61" customFormat="1" ht="22.2" ph="1">
      <c r="B19" s="186" ph="1"/>
      <c r="C19" s="128" t="s" ph="1">
        <v>43</v>
      </c>
      <c r="D19" s="62" ph="1"/>
      <c r="E19" s="62" ph="1"/>
      <c r="F19" s="62" ph="1"/>
      <c r="G19" s="62" ph="1"/>
      <c r="H19" s="62" ph="1"/>
      <c r="I19" s="62" ph="1"/>
      <c r="J19" s="62" ph="1"/>
      <c r="K19" s="62" ph="1"/>
      <c r="L19" s="62" ph="1"/>
      <c r="M19" s="62" ph="1"/>
      <c r="N19" s="62" ph="1"/>
      <c r="O19" s="62" ph="1"/>
      <c r="P19" s="62" ph="1"/>
      <c r="Q19" s="62" ph="1"/>
      <c r="R19" s="62" ph="1"/>
      <c r="S19" s="62" ph="1"/>
      <c r="T19" s="62" ph="1"/>
      <c r="U19" s="62" ph="1"/>
      <c r="V19" s="62" ph="1"/>
      <c r="W19" s="62" ph="1"/>
      <c r="X19" s="62" ph="1"/>
      <c r="Y19" s="62" ph="1"/>
      <c r="Z19" s="62" ph="1"/>
      <c r="AA19" s="62" ph="1"/>
      <c r="AB19" s="62" ph="1"/>
      <c r="AC19" s="62" ph="1"/>
      <c r="AD19" s="62" ph="1"/>
      <c r="AE19" s="62" ph="1"/>
    </row>
    <row r="20" spans="1:32" ph="1">
      <c r="A20" s="61" ph="1"/>
      <c r="B20" s="186" ph="1"/>
      <c r="C20" s="69" t="s" ph="1">
        <v>44</v>
      </c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99"/>
      <c r="Z20" s="70"/>
      <c r="AA20" s="70"/>
      <c r="AB20" s="70"/>
      <c r="AC20" s="70"/>
      <c r="AD20" s="70"/>
      <c r="AE20" s="70"/>
      <c r="AF20" s="53" t="s" ph="1">
        <v>23</v>
      </c>
    </row>
    <row r="21" spans="1:32" ph="1">
      <c r="A21" s="61" ph="1"/>
      <c r="B21" s="71" ph="1"/>
      <c r="C21" s="72" ph="1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</row>
    <row r="22" spans="1:32" ph="1">
      <c r="A22" s="61" ph="1"/>
      <c r="B22" s="184" t="s" ph="1">
        <v>25</v>
      </c>
      <c r="C22" s="74" t="s" ph="1">
        <v>41</v>
      </c>
      <c r="D22" s="75" ph="1"/>
      <c r="E22" s="75" ph="1"/>
      <c r="F22" s="75" ph="1"/>
      <c r="G22" s="75" ph="1"/>
      <c r="H22" s="75" ph="1"/>
      <c r="I22" s="75" ph="1"/>
      <c r="J22" s="75" ph="1"/>
      <c r="K22" s="75" ph="1"/>
      <c r="L22" s="75" ph="1"/>
      <c r="M22" s="75" ph="1"/>
      <c r="N22" s="75" ph="1"/>
      <c r="O22" s="75" ph="1"/>
      <c r="P22" s="75" ph="1"/>
      <c r="Q22" s="76" ph="1"/>
      <c r="R22" s="75" ph="1"/>
      <c r="S22" s="75" ph="1"/>
      <c r="T22" s="75" ph="1"/>
      <c r="U22" s="75" ph="1"/>
      <c r="V22" s="75" ph="1"/>
      <c r="W22" s="75" ph="1"/>
      <c r="X22" s="75" ph="1"/>
      <c r="Y22" s="75" ph="1"/>
      <c r="Z22" s="194" t="s" ph="1">
        <v>31</v>
      </c>
      <c r="AA22" s="195"/>
      <c r="AB22" s="195"/>
      <c r="AC22" s="195"/>
      <c r="AD22" s="195"/>
      <c r="AE22" s="196"/>
    </row>
    <row r="23" spans="1:32" ph="1">
      <c r="A23" s="61" ph="1"/>
      <c r="B23" s="188" ph="1"/>
      <c r="C23" s="56" t="s" ph="1">
        <v>24</v>
      </c>
      <c r="D23" s="77" ph="1"/>
      <c r="E23" s="77" ph="1"/>
      <c r="F23" s="77" ph="1"/>
      <c r="G23" s="77" ph="1"/>
      <c r="H23" s="77" ph="1"/>
      <c r="I23" s="77" ph="1"/>
      <c r="J23" s="77" ph="1"/>
      <c r="K23" s="77" ph="1"/>
      <c r="L23" s="77" ph="1"/>
      <c r="M23" s="77" ph="1"/>
      <c r="N23" s="77" ph="1"/>
      <c r="O23" s="77" ph="1"/>
      <c r="P23" s="77" ph="1"/>
      <c r="Q23" s="78" ph="1"/>
      <c r="R23" s="77" ph="1"/>
      <c r="S23" s="77" ph="1"/>
      <c r="T23" s="77" ph="1"/>
      <c r="U23" s="93" ph="1"/>
      <c r="V23" s="77" ph="1"/>
      <c r="W23" s="77" ph="1"/>
      <c r="X23" s="77" ph="1"/>
      <c r="Y23" s="77" ph="1"/>
      <c r="Z23" s="197" t="s" ph="1">
        <v>67</v>
      </c>
      <c r="AA23" s="198"/>
      <c r="AB23" s="198"/>
      <c r="AC23" s="198"/>
      <c r="AD23" s="198"/>
      <c r="AE23" s="199"/>
    </row>
    <row r="24" spans="1:32" ht="26.4" ph="1">
      <c r="A24" s="61" ph="1"/>
      <c r="B24" s="206" ph="1">
        <v>0.33333333333333331</v>
      </c>
      <c r="C24" s="68" t="s" ph="1">
        <v>45</v>
      </c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79"/>
      <c r="R24" s="60"/>
      <c r="S24" s="60"/>
      <c r="T24" s="60"/>
      <c r="U24" s="60"/>
      <c r="V24" s="60"/>
      <c r="W24" s="60"/>
      <c r="X24" s="60"/>
      <c r="Y24" s="60"/>
      <c r="Z24" s="200"/>
      <c r="AA24" s="201"/>
      <c r="AB24" s="201"/>
      <c r="AC24" s="201"/>
      <c r="AD24" s="201"/>
      <c r="AE24" s="202"/>
    </row>
    <row r="25" spans="1:32" ph="1">
      <c r="A25" s="61" ph="1"/>
      <c r="B25" s="206" ph="1"/>
      <c r="C25" s="57" t="s" ph="1">
        <v>43</v>
      </c>
      <c r="D25" s="80" ph="1"/>
      <c r="E25" s="80" ph="1"/>
      <c r="F25" s="80" ph="1"/>
      <c r="G25" s="80" ph="1"/>
      <c r="H25" s="80" ph="1"/>
      <c r="I25" s="80" ph="1"/>
      <c r="J25" s="80" ph="1"/>
      <c r="K25" s="80" ph="1"/>
      <c r="L25" s="80" ph="1"/>
      <c r="M25" s="80" ph="1"/>
      <c r="N25" s="80" ph="1"/>
      <c r="O25" s="80" ph="1"/>
      <c r="P25" s="80" ph="1"/>
      <c r="Q25" s="81" ph="1"/>
      <c r="R25" s="80" ph="1"/>
      <c r="S25" s="80" ph="1"/>
      <c r="T25" s="80" ph="1"/>
      <c r="U25" s="80" ph="1"/>
      <c r="V25" s="80" ph="1"/>
      <c r="W25" s="80" ph="1"/>
      <c r="X25" s="80" ph="1"/>
      <c r="Y25" s="80" ph="1"/>
      <c r="Z25" s="200"/>
      <c r="AA25" s="201"/>
      <c r="AB25" s="201"/>
      <c r="AC25" s="201"/>
      <c r="AD25" s="201"/>
      <c r="AE25" s="202"/>
    </row>
    <row r="26" spans="1:32" ph="1">
      <c r="A26" s="61" ph="1"/>
      <c r="B26" s="206" ph="1"/>
      <c r="C26" s="57" t="s" ph="1">
        <v>44</v>
      </c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82"/>
      <c r="R26" s="63"/>
      <c r="S26" s="63"/>
      <c r="T26" s="63"/>
      <c r="U26" s="63"/>
      <c r="V26" s="63"/>
      <c r="W26" s="63"/>
      <c r="X26" s="63"/>
      <c r="Y26" s="63"/>
      <c r="Z26" s="200"/>
      <c r="AA26" s="201"/>
      <c r="AB26" s="201"/>
      <c r="AC26" s="201"/>
      <c r="AD26" s="201"/>
      <c r="AE26" s="202"/>
    </row>
    <row r="27" spans="1:32" ht="26.4" ph="1">
      <c r="A27" s="61" ph="1"/>
      <c r="B27" s="206" ph="1">
        <v>0.66666666666666663</v>
      </c>
      <c r="C27" s="128" t="s" ph="1">
        <v>45</v>
      </c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79"/>
      <c r="R27" s="60"/>
      <c r="S27" s="60"/>
      <c r="T27" s="60"/>
      <c r="U27" s="60"/>
      <c r="V27" s="60"/>
      <c r="W27" s="60"/>
      <c r="X27" s="60"/>
      <c r="Y27" s="60"/>
      <c r="Z27" s="200"/>
      <c r="AA27" s="201"/>
      <c r="AB27" s="201"/>
      <c r="AC27" s="201"/>
      <c r="AD27" s="201"/>
      <c r="AE27" s="202"/>
    </row>
    <row r="28" spans="1:32" ph="1">
      <c r="A28" s="61" ph="1"/>
      <c r="B28" s="206" ph="1"/>
      <c r="C28" s="128" t="s" ph="1">
        <v>43</v>
      </c>
      <c r="D28" s="80" ph="1"/>
      <c r="E28" s="80" ph="1"/>
      <c r="F28" s="80" ph="1"/>
      <c r="G28" s="80" ph="1"/>
      <c r="H28" s="80" ph="1"/>
      <c r="I28" s="80" ph="1"/>
      <c r="J28" s="80" ph="1"/>
      <c r="K28" s="80" ph="1"/>
      <c r="L28" s="80" ph="1"/>
      <c r="M28" s="80" ph="1"/>
      <c r="N28" s="80" ph="1"/>
      <c r="O28" s="80" ph="1"/>
      <c r="P28" s="80" ph="1"/>
      <c r="Q28" s="81" ph="1"/>
      <c r="R28" s="80" ph="1"/>
      <c r="S28" s="80" ph="1"/>
      <c r="T28" s="80" ph="1"/>
      <c r="U28" s="80" ph="1"/>
      <c r="V28" s="80" ph="1"/>
      <c r="W28" s="80" ph="1"/>
      <c r="X28" s="80" ph="1"/>
      <c r="Y28" s="80" ph="1"/>
      <c r="Z28" s="200"/>
      <c r="AA28" s="201"/>
      <c r="AB28" s="201"/>
      <c r="AC28" s="201"/>
      <c r="AD28" s="201"/>
      <c r="AE28" s="202"/>
    </row>
    <row r="29" spans="1:32" ph="1">
      <c r="A29" s="61" ph="1"/>
      <c r="B29" s="206" ph="1"/>
      <c r="C29" s="128" t="s" ph="1">
        <v>44</v>
      </c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82"/>
      <c r="R29" s="63"/>
      <c r="S29" s="63"/>
      <c r="T29" s="63"/>
      <c r="U29" s="63"/>
      <c r="V29" s="63"/>
      <c r="W29" s="63"/>
      <c r="X29" s="63"/>
      <c r="Y29" s="63"/>
      <c r="Z29" s="203"/>
      <c r="AA29" s="204"/>
      <c r="AB29" s="204"/>
      <c r="AC29" s="204"/>
      <c r="AD29" s="204"/>
      <c r="AE29" s="205"/>
    </row>
    <row r="30" spans="1:32" ph="1">
      <c r="D30" s="83" ph="1"/>
      <c r="Z30" s="53" t="s" ph="1">
        <v>23</v>
      </c>
      <c r="AE30" s="84" ph="1"/>
    </row>
    <row r="31" spans="1:32" ht="28.2" ph="1">
      <c r="A31" s="53"/>
      <c r="B31" s="189" t="s" ph="1">
        <v>23</v>
      </c>
      <c r="C31" s="190" ph="1"/>
      <c r="D31" s="167" t="s" ph="1">
        <v>3</v>
      </c>
      <c r="E31" s="168" ph="1"/>
      <c r="F31" s="169" ph="1"/>
      <c r="G31" s="193" ph="1"/>
      <c r="H31" s="168" ph="1"/>
      <c r="I31" s="169" ph="1"/>
      <c r="J31" s="167" ph="1"/>
      <c r="K31" s="168" ph="1"/>
      <c r="L31" s="169" ph="1"/>
      <c r="M31" s="167" ph="1"/>
      <c r="N31" s="168" ph="1"/>
      <c r="O31" s="169" ph="1"/>
      <c r="P31" s="167" ph="1"/>
      <c r="Q31" s="168"/>
      <c r="R31" s="169"/>
      <c r="S31" s="167" ph="1"/>
      <c r="T31" s="168"/>
      <c r="U31" s="169"/>
      <c r="V31" s="167" ph="1"/>
      <c r="W31" s="168" ph="1"/>
      <c r="X31" s="169" ph="1"/>
      <c r="Y31" s="167" ph="1"/>
      <c r="Z31" s="168" ph="1"/>
      <c r="AA31" s="169" ph="1"/>
      <c r="AB31" s="170"/>
      <c r="AC31" s="171"/>
      <c r="AD31" s="171"/>
      <c r="AE31" s="172"/>
    </row>
    <row r="32" spans="1:32" ph="1">
      <c r="A32" s="53"/>
      <c r="B32" s="191" ph="1"/>
      <c r="C32" s="192" ph="1"/>
      <c r="D32" s="85" t="s" ph="1">
        <v>0</v>
      </c>
      <c r="E32" s="128" t="s" ph="1">
        <v>1</v>
      </c>
      <c r="F32" s="129" t="s" ph="1">
        <v>28</v>
      </c>
      <c r="G32" s="86" t="s" ph="1">
        <v>0</v>
      </c>
      <c r="H32" s="128" t="s" ph="1">
        <v>1</v>
      </c>
      <c r="I32" s="129" t="s" ph="1">
        <v>28</v>
      </c>
      <c r="J32" s="86" t="s" ph="1">
        <v>0</v>
      </c>
      <c r="K32" s="128" t="s" ph="1">
        <v>1</v>
      </c>
      <c r="L32" s="129" t="s" ph="1">
        <v>28</v>
      </c>
      <c r="M32" s="86" t="s" ph="1">
        <v>0</v>
      </c>
      <c r="N32" s="128" t="s" ph="1">
        <v>1</v>
      </c>
      <c r="O32" s="129" t="s" ph="1">
        <v>28</v>
      </c>
      <c r="P32" s="86" t="s" ph="1">
        <v>0</v>
      </c>
      <c r="Q32" s="87" t="s" ph="1">
        <v>1</v>
      </c>
      <c r="R32" s="88" t="s" ph="1">
        <v>28</v>
      </c>
      <c r="S32" s="86" t="s" ph="1">
        <v>0</v>
      </c>
      <c r="T32" s="128" t="s" ph="1">
        <v>1</v>
      </c>
      <c r="U32" s="88" t="s" ph="1">
        <v>28</v>
      </c>
      <c r="V32" s="86" t="s" ph="1">
        <v>0</v>
      </c>
      <c r="W32" s="128" t="s" ph="1">
        <v>1</v>
      </c>
      <c r="X32" s="88" t="s" ph="1">
        <v>28</v>
      </c>
      <c r="Y32" s="89" t="s" ph="1">
        <v>0</v>
      </c>
      <c r="Z32" s="128" t="s" ph="1">
        <v>1</v>
      </c>
      <c r="AA32" s="129" t="s" ph="1">
        <v>28</v>
      </c>
      <c r="AB32" s="86" t="s" ph="1">
        <v>38</v>
      </c>
      <c r="AC32" s="128" t="s" ph="1">
        <v>37</v>
      </c>
      <c r="AD32" s="173" t="s" ph="1">
        <v>36</v>
      </c>
      <c r="AE32" s="174"/>
    </row>
    <row r="33" spans="1:31" ph="1">
      <c r="A33" s="53"/>
      <c r="B33" s="175" t="s" ph="1">
        <v>46</v>
      </c>
      <c r="C33" s="176" ph="1"/>
      <c r="D33" s="155" ph="1">
        <f>O10+P10</f>
        <v>105092.411414</v>
      </c>
      <c r="E33" s="155" ph="1">
        <f>H10+I10+J10+K10</f>
        <v>100324.76470835001</v>
      </c>
      <c r="F33" s="179" ph="1">
        <f>L10+N10</f>
        <v>113880.534976</v>
      </c>
      <c r="G33" s="181" ph="1">
        <v>0</v>
      </c>
      <c r="H33" s="155" ph="1">
        <v>0</v>
      </c>
      <c r="I33" s="159" ph="1">
        <v>0</v>
      </c>
      <c r="J33" s="163" ph="1">
        <v>0</v>
      </c>
      <c r="K33" s="155" ph="1">
        <v>0</v>
      </c>
      <c r="L33" s="165" ph="1">
        <v>0</v>
      </c>
      <c r="M33" s="163" ph="1">
        <v>0</v>
      </c>
      <c r="N33" s="155" ph="1">
        <v>0</v>
      </c>
      <c r="O33" s="159" ph="1">
        <f>G19</f>
        <v>0</v>
      </c>
      <c r="P33" s="163" ph="1">
        <v>0</v>
      </c>
      <c r="Q33" s="155" ph="1">
        <v>0</v>
      </c>
      <c r="R33" s="159" ph="1">
        <v>0</v>
      </c>
      <c r="S33" s="163" ph="1">
        <v>0</v>
      </c>
      <c r="T33" s="155" ph="1">
        <v>0</v>
      </c>
      <c r="U33" s="144" ph="1">
        <v>0</v>
      </c>
      <c r="V33" s="157" ph="1">
        <v>0</v>
      </c>
      <c r="W33" s="157" ph="1">
        <v>0</v>
      </c>
      <c r="X33" s="159" ph="1">
        <v>0</v>
      </c>
      <c r="Y33" s="161" ph="1">
        <v>0</v>
      </c>
      <c r="Z33" s="142" ph="1">
        <v>0</v>
      </c>
      <c r="AA33" s="144" ph="1">
        <v>0</v>
      </c>
      <c r="AB33" s="146" ph="1">
        <v>0</v>
      </c>
      <c r="AC33" s="148" ph="1">
        <v>0</v>
      </c>
      <c r="AD33" s="150" ph="1">
        <v>0</v>
      </c>
      <c r="AE33" s="151"/>
    </row>
    <row r="34" spans="1:31" ph="1">
      <c r="A34" s="53"/>
      <c r="B34" s="177" ph="1"/>
      <c r="C34" s="178" ph="1"/>
      <c r="D34" s="156" ph="1"/>
      <c r="E34" s="156" ph="1"/>
      <c r="F34" s="180" ph="1"/>
      <c r="G34" s="182" ph="1"/>
      <c r="H34" s="156" ph="1"/>
      <c r="I34" s="160" ph="1"/>
      <c r="J34" s="164" ph="1"/>
      <c r="K34" s="156" ph="1"/>
      <c r="L34" s="166" ph="1"/>
      <c r="M34" s="164" ph="1"/>
      <c r="N34" s="156" ph="1"/>
      <c r="O34" s="160" ph="1"/>
      <c r="P34" s="164" ph="1"/>
      <c r="Q34" s="156" ph="1"/>
      <c r="R34" s="160" ph="1"/>
      <c r="S34" s="164" ph="1"/>
      <c r="T34" s="156"/>
      <c r="U34" s="145"/>
      <c r="V34" s="158" ph="1"/>
      <c r="W34" s="158" ph="1"/>
      <c r="X34" s="160" ph="1"/>
      <c r="Y34" s="162" ph="1"/>
      <c r="Z34" s="143" ph="1"/>
      <c r="AA34" s="145" ph="1"/>
      <c r="AB34" s="147"/>
      <c r="AC34" s="149"/>
      <c r="AD34" s="152"/>
      <c r="AE34" s="153"/>
    </row>
    <row r="35" spans="1:31" ph="1">
      <c r="A35" s="53"/>
      <c r="AC35" s="154" t="s" ph="1">
        <v>52</v>
      </c>
      <c r="AD35" s="154"/>
      <c r="AE35" s="154"/>
    </row>
    <row r="36" spans="1:31" ht="28.2" ph="1">
      <c r="A36" s="53"/>
      <c r="B36" s="92" t="s" ph="1">
        <v>47</v>
      </c>
      <c r="I36" s="140" t="s" ph="1">
        <v>48</v>
      </c>
      <c r="J36" s="140" ph="1"/>
      <c r="K36" s="90" ph="1"/>
      <c r="P36" s="90" ph="1"/>
      <c r="R36" s="140" t="s" ph="1">
        <v>49</v>
      </c>
      <c r="S36" s="140" ph="1"/>
      <c r="Y36" s="91" ph="1"/>
      <c r="Z36" s="130" t="s" ph="1">
        <v>50</v>
      </c>
      <c r="AA36" s="130" ph="1"/>
      <c r="AB36" s="141" t="s" ph="1">
        <v>53</v>
      </c>
      <c r="AC36" s="141" ph="1"/>
      <c r="AD36" s="141" ph="1"/>
      <c r="AE36" s="141" ph="1"/>
    </row>
    <row r="37" spans="1:31" s="130" customFormat="1" ph="1">
      <c r="A37" s="53" ph="1"/>
      <c r="B37" s="53" ph="1"/>
      <c r="C37" s="53" ph="1"/>
      <c r="D37" s="53" ph="1"/>
      <c r="E37" s="53" ph="1"/>
      <c r="F37" s="53" ph="1"/>
      <c r="G37" s="53" ph="1"/>
      <c r="H37" s="53" ph="1"/>
      <c r="I37" s="53" ph="1"/>
      <c r="J37" s="53" ph="1"/>
      <c r="K37" s="53" ph="1"/>
      <c r="L37" s="53" ph="1"/>
      <c r="M37" s="53" ph="1"/>
      <c r="N37" s="53" ph="1"/>
      <c r="O37" s="53" ph="1"/>
      <c r="P37" s="53" ph="1"/>
      <c r="Q37" s="53" ph="1"/>
      <c r="R37" s="53" ph="1"/>
      <c r="S37" s="53" ph="1"/>
      <c r="T37" s="53" ph="1"/>
      <c r="U37" s="53" ph="1"/>
      <c r="V37" s="53" ph="1"/>
      <c r="W37" s="53" ph="1"/>
      <c r="X37" s="53" ph="1"/>
      <c r="Y37" s="53" ph="1"/>
      <c r="Z37" s="53" ph="1"/>
      <c r="AA37" s="53" ph="1"/>
      <c r="AB37" s="53" ph="1"/>
      <c r="AC37" s="53" ph="1"/>
      <c r="AD37" s="53" ph="1"/>
      <c r="AE37" s="53" ph="1"/>
    </row>
    <row r="38" spans="1:31" ph="1">
      <c r="AE38" s="53" ph="1"/>
    </row>
    <row r="42" spans="1:31" ph="1"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64"/>
    </row>
    <row r="43" spans="1:31" ph="1"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64"/>
    </row>
    <row r="44" spans="1:31" ph="1"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64"/>
    </row>
    <row r="45" spans="1:31" ph="1"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64"/>
    </row>
    <row r="46" spans="1:31" ph="1"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64"/>
    </row>
    <row r="47" spans="1:31" ph="1"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64"/>
    </row>
    <row r="48" spans="1:31" ph="1"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64"/>
    </row>
    <row r="49" spans="16:31" ph="1"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64"/>
    </row>
    <row r="50" spans="16:31" ph="1"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64"/>
    </row>
    <row r="51" spans="16:31" ph="1"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64"/>
    </row>
    <row r="52" spans="16:31" ph="1"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64"/>
    </row>
    <row r="53" spans="16:31" ph="1">
      <c r="R53" s="53"/>
      <c r="S53" s="53"/>
      <c r="T53" s="53"/>
      <c r="U53" s="53"/>
      <c r="W53" s="53"/>
      <c r="X53" s="53"/>
      <c r="Y53" s="53"/>
      <c r="Z53" s="53"/>
      <c r="AA53" s="53"/>
      <c r="AB53" s="53"/>
      <c r="AC53" s="53"/>
      <c r="AD53" s="53"/>
    </row>
    <row r="54" spans="16:31" ph="1">
      <c r="R54" s="53"/>
      <c r="S54" s="53"/>
      <c r="T54" s="53"/>
      <c r="U54" s="53"/>
      <c r="W54" s="53"/>
      <c r="X54" s="53"/>
      <c r="Y54" s="53"/>
      <c r="Z54" s="53"/>
      <c r="AA54" s="53"/>
      <c r="AC54" s="53"/>
      <c r="AD54" s="53"/>
    </row>
    <row r="55" spans="16:31" ph="1">
      <c r="R55" s="53"/>
      <c r="S55" s="53"/>
      <c r="T55" s="53"/>
      <c r="U55" s="53"/>
      <c r="V55" s="53"/>
      <c r="W55" s="53"/>
      <c r="X55" s="53"/>
      <c r="Z55" s="53"/>
      <c r="AC55" s="53"/>
      <c r="AD55" s="53"/>
      <c r="AE55" s="64"/>
    </row>
    <row r="56" spans="16:31" ph="1">
      <c r="R56" s="53"/>
      <c r="S56" s="53"/>
      <c r="T56" s="53"/>
      <c r="U56" s="53"/>
      <c r="V56" s="53"/>
      <c r="W56" s="53"/>
      <c r="X56" s="53"/>
      <c r="Z56" s="53"/>
      <c r="AA56" s="53"/>
      <c r="AB56" s="53"/>
      <c r="AC56" s="53"/>
      <c r="AD56" s="53"/>
      <c r="AE56" s="64"/>
    </row>
    <row r="57" spans="16:31" ph="1">
      <c r="R57" s="53"/>
      <c r="S57" s="53"/>
      <c r="T57" s="53"/>
      <c r="U57" s="53"/>
      <c r="V57" s="53"/>
      <c r="W57" s="53"/>
      <c r="AA57" s="53"/>
      <c r="AB57" s="53"/>
      <c r="AC57" s="53"/>
      <c r="AD57" s="53"/>
      <c r="AE57" s="64"/>
    </row>
    <row r="58" spans="16:31" ph="1">
      <c r="P58" s="53"/>
    </row>
    <row r="59" spans="16:31" ph="1">
      <c r="V59" s="53"/>
    </row>
    <row r="60" spans="16:31" ph="1">
      <c r="R60" s="53"/>
      <c r="S60" s="53"/>
      <c r="T60" s="53"/>
    </row>
    <row r="223" spans="18:18" ph="1">
      <c r="R223" s="100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 D9 D11">
    <cfRule type="expression" dxfId="1021" priority="146">
      <formula>ABS(D$7-D$10)&gt;=1000</formula>
    </cfRule>
  </conditionalFormatting>
  <conditionalFormatting sqref="E4 E9 E11">
    <cfRule type="expression" dxfId="1020" priority="145">
      <formula>ABS(E$7-E$10)&gt;=1000</formula>
    </cfRule>
  </conditionalFormatting>
  <conditionalFormatting sqref="F4 F9 F11">
    <cfRule type="expression" dxfId="1019" priority="144">
      <formula>ABS(F$7-F$10)&gt;=1000</formula>
    </cfRule>
  </conditionalFormatting>
  <conditionalFormatting sqref="G4 G9 G11">
    <cfRule type="expression" dxfId="1018" priority="143">
      <formula>ABS(G$7-G$10)&gt;=1000</formula>
    </cfRule>
  </conditionalFormatting>
  <conditionalFormatting sqref="H4:K4 H11">
    <cfRule type="expression" dxfId="1017" priority="142">
      <formula>ABS(H$7-H$10)&gt;=1000</formula>
    </cfRule>
  </conditionalFormatting>
  <conditionalFormatting sqref="I8 I11">
    <cfRule type="expression" dxfId="1016" priority="141">
      <formula>ABS(I$7-I$10)&gt;=1000</formula>
    </cfRule>
  </conditionalFormatting>
  <conditionalFormatting sqref="J11">
    <cfRule type="expression" dxfId="1015" priority="140">
      <formula>ABS(J$7-J$10)&gt;=1000</formula>
    </cfRule>
  </conditionalFormatting>
  <conditionalFormatting sqref="K11">
    <cfRule type="expression" dxfId="1014" priority="139">
      <formula>ABS(K$7-K$10)&gt;=1000</formula>
    </cfRule>
  </conditionalFormatting>
  <conditionalFormatting sqref="L4:L5 M4:N4 Q4:S4 L11">
    <cfRule type="expression" dxfId="1013" priority="138">
      <formula>ABS(L$7-L$10)&gt;=1000</formula>
    </cfRule>
  </conditionalFormatting>
  <conditionalFormatting sqref="M11">
    <cfRule type="expression" dxfId="1012" priority="137">
      <formula>ABS(M$7-M$10)&gt;=1000</formula>
    </cfRule>
  </conditionalFormatting>
  <conditionalFormatting sqref="N11">
    <cfRule type="expression" dxfId="1011" priority="136">
      <formula>ABS(N$7-N$10)&gt;=1000</formula>
    </cfRule>
  </conditionalFormatting>
  <conditionalFormatting sqref="Q5:Q11">
    <cfRule type="expression" dxfId="1010" priority="135">
      <formula>ABS(Q$7-Q$10)&gt;=1000</formula>
    </cfRule>
  </conditionalFormatting>
  <conditionalFormatting sqref="R5:R11">
    <cfRule type="expression" dxfId="1009" priority="134">
      <formula>ABS(R$7-R$10)&gt;=1000</formula>
    </cfRule>
  </conditionalFormatting>
  <conditionalFormatting sqref="S5:S11">
    <cfRule type="expression" dxfId="1008" priority="133">
      <formula>ABS(S$7-S$10)&gt;=1000</formula>
    </cfRule>
  </conditionalFormatting>
  <conditionalFormatting sqref="T4:T9 T11">
    <cfRule type="expression" dxfId="1007" priority="132">
      <formula>ABS(T$7-T$10)&gt;=1000</formula>
    </cfRule>
  </conditionalFormatting>
  <conditionalFormatting sqref="U4:U9 U11">
    <cfRule type="expression" dxfId="1006" priority="131">
      <formula>ABS(U$7-U$10)&gt;=1000</formula>
    </cfRule>
  </conditionalFormatting>
  <conditionalFormatting sqref="V4:V9 V11">
    <cfRule type="expression" dxfId="1005" priority="130">
      <formula>ABS(V$7-V$10)&gt;=1000</formula>
    </cfRule>
  </conditionalFormatting>
  <conditionalFormatting sqref="W4:W9 W11">
    <cfRule type="expression" dxfId="1004" priority="129">
      <formula>ABS(W$7-W$10)&gt;=1000</formula>
    </cfRule>
  </conditionalFormatting>
  <conditionalFormatting sqref="X4:X9 X11">
    <cfRule type="expression" dxfId="1003" priority="128">
      <formula>ABS(X$7-X$10)&gt;=1000</formula>
    </cfRule>
  </conditionalFormatting>
  <conditionalFormatting sqref="Y4:Y9 Y11">
    <cfRule type="expression" dxfId="1002" priority="127">
      <formula>ABS(Y$7-Y$10)&gt;=1000</formula>
    </cfRule>
  </conditionalFormatting>
  <conditionalFormatting sqref="Z4:Z11">
    <cfRule type="expression" dxfId="1001" priority="126">
      <formula>ABS(Z$7-Z$10)&gt;=1000</formula>
    </cfRule>
  </conditionalFormatting>
  <conditionalFormatting sqref="AA4:AA11">
    <cfRule type="expression" dxfId="1000" priority="125">
      <formula>ABS(AA$7-AA$10)&gt;=1000</formula>
    </cfRule>
  </conditionalFormatting>
  <conditionalFormatting sqref="AB4:AB11">
    <cfRule type="expression" dxfId="999" priority="124">
      <formula>ABS(AB$7-AB$10)&gt;=1000</formula>
    </cfRule>
  </conditionalFormatting>
  <conditionalFormatting sqref="AC4 AC6:AC11">
    <cfRule type="expression" dxfId="998" priority="123">
      <formula>ABS(AC$7-AC$10)&gt;=1000</formula>
    </cfRule>
  </conditionalFormatting>
  <conditionalFormatting sqref="AD4 AD6:AD11">
    <cfRule type="expression" dxfId="997" priority="122">
      <formula>ABS(AD$7-AD$10)&gt;=1000</formula>
    </cfRule>
  </conditionalFormatting>
  <conditionalFormatting sqref="AE4 AE6:AE11">
    <cfRule type="expression" dxfId="996" priority="121">
      <formula>ABS(AE$7-AE$10)&gt;=1000</formula>
    </cfRule>
  </conditionalFormatting>
  <conditionalFormatting sqref="D13:D20 I14:I20 I12">
    <cfRule type="expression" dxfId="995" priority="120">
      <formula>ABS(D$16-D$19)&gt;=1000</formula>
    </cfRule>
  </conditionalFormatting>
  <conditionalFormatting sqref="E13:E20">
    <cfRule type="expression" dxfId="994" priority="119">
      <formula>ABS(E$16-E$19)&gt;=1000</formula>
    </cfRule>
  </conditionalFormatting>
  <conditionalFormatting sqref="F13 F15:F20">
    <cfRule type="expression" dxfId="993" priority="118">
      <formula>ABS(F$16-F$19)&gt;=1000</formula>
    </cfRule>
  </conditionalFormatting>
  <conditionalFormatting sqref="G13:G20">
    <cfRule type="expression" dxfId="992" priority="117">
      <formula>ABS(G$16-G$19)&gt;=1000</formula>
    </cfRule>
  </conditionalFormatting>
  <conditionalFormatting sqref="H13 H15:H20">
    <cfRule type="expression" dxfId="991" priority="116">
      <formula>ABS(H$16-H$19)&gt;=1000</formula>
    </cfRule>
  </conditionalFormatting>
  <conditionalFormatting sqref="J13:J20">
    <cfRule type="expression" dxfId="990" priority="115">
      <formula>ABS(J$16-J$19)&gt;=1000</formula>
    </cfRule>
  </conditionalFormatting>
  <conditionalFormatting sqref="L13:L20">
    <cfRule type="expression" dxfId="989" priority="114">
      <formula>ABS(L$16-L$19)&gt;=1000</formula>
    </cfRule>
  </conditionalFormatting>
  <conditionalFormatting sqref="M13 M15 M17:M18 M20">
    <cfRule type="expression" dxfId="988" priority="113">
      <formula>ABS(M$16-M$19)&gt;=1000</formula>
    </cfRule>
  </conditionalFormatting>
  <conditionalFormatting sqref="N13:N20">
    <cfRule type="expression" dxfId="987" priority="112">
      <formula>ABS(N$16-N$19)&gt;=1000</formula>
    </cfRule>
  </conditionalFormatting>
  <conditionalFormatting sqref="O13:O20">
    <cfRule type="expression" dxfId="986" priority="111">
      <formula>ABS(O$16-O$19)&gt;=1000</formula>
    </cfRule>
  </conditionalFormatting>
  <conditionalFormatting sqref="P13:P20">
    <cfRule type="expression" dxfId="985" priority="110">
      <formula>ABS(P$16-P$19)&gt;=1000</formula>
    </cfRule>
  </conditionalFormatting>
  <conditionalFormatting sqref="Q13 Q15:Q20">
    <cfRule type="expression" dxfId="984" priority="109">
      <formula>ABS(Q$16-Q$19)&gt;=1000</formula>
    </cfRule>
  </conditionalFormatting>
  <conditionalFormatting sqref="R13:R20">
    <cfRule type="expression" dxfId="983" priority="108">
      <formula>ABS(R$16-R$19)&gt;=1000</formula>
    </cfRule>
  </conditionalFormatting>
  <conditionalFormatting sqref="S13:S20">
    <cfRule type="expression" dxfId="982" priority="107">
      <formula>ABS(S$16-S$19)&gt;=1000</formula>
    </cfRule>
  </conditionalFormatting>
  <conditionalFormatting sqref="T13:T20">
    <cfRule type="expression" dxfId="981" priority="106">
      <formula>ABS(T$16-T$19)&gt;=1000</formula>
    </cfRule>
  </conditionalFormatting>
  <conditionalFormatting sqref="U13:U20">
    <cfRule type="expression" dxfId="980" priority="105">
      <formula>ABS(U$16-U$19)&gt;=1000</formula>
    </cfRule>
  </conditionalFormatting>
  <conditionalFormatting sqref="V13:V20">
    <cfRule type="expression" dxfId="979" priority="104">
      <formula>ABS(V$16-V$19)&gt;=1000</formula>
    </cfRule>
  </conditionalFormatting>
  <conditionalFormatting sqref="W13 W20 W15:W18">
    <cfRule type="expression" dxfId="978" priority="103">
      <formula>ABS(W$16-W$19)&gt;=1000</formula>
    </cfRule>
  </conditionalFormatting>
  <conditionalFormatting sqref="X13 X15:X20 Y19">
    <cfRule type="expression" dxfId="977" priority="102">
      <formula>ABS(X$16-X$19)&gt;=1000</formula>
    </cfRule>
  </conditionalFormatting>
  <conditionalFormatting sqref="Y13 Y15:Y18 Y20">
    <cfRule type="expression" dxfId="976" priority="101">
      <formula>ABS(Y$16-Y$19)&gt;=1000</formula>
    </cfRule>
  </conditionalFormatting>
  <conditionalFormatting sqref="Z13:Z20">
    <cfRule type="expression" dxfId="975" priority="100">
      <formula>ABS(Z$16-Z$19)&gt;=1000</formula>
    </cfRule>
  </conditionalFormatting>
  <conditionalFormatting sqref="AA13:AA20">
    <cfRule type="expression" dxfId="974" priority="99">
      <formula>ABS(AA$16-AA$19)&gt;=1000</formula>
    </cfRule>
  </conditionalFormatting>
  <conditionalFormatting sqref="AB13 AB15:AB20">
    <cfRule type="expression" dxfId="973" priority="98">
      <formula>ABS(AB$16-AB$19)&gt;=1000</formula>
    </cfRule>
  </conditionalFormatting>
  <conditionalFormatting sqref="AC13 AC15:AC20">
    <cfRule type="expression" dxfId="972" priority="97">
      <formula>ABS(AC$16-AC$19)&gt;=1000</formula>
    </cfRule>
  </conditionalFormatting>
  <conditionalFormatting sqref="AD13:AD20">
    <cfRule type="expression" dxfId="971" priority="96">
      <formula>ABS(AD$16-AD$19)&gt;=1000</formula>
    </cfRule>
  </conditionalFormatting>
  <conditionalFormatting sqref="AE13:AE20">
    <cfRule type="expression" dxfId="970" priority="95">
      <formula>ABS(AE$16-AE$19)&gt;=1000</formula>
    </cfRule>
  </conditionalFormatting>
  <conditionalFormatting sqref="D22:D29">
    <cfRule type="expression" dxfId="969" priority="94">
      <formula>ABS(D$25-D$28)&gt;=1000</formula>
    </cfRule>
  </conditionalFormatting>
  <conditionalFormatting sqref="E22:E29">
    <cfRule type="expression" dxfId="968" priority="93">
      <formula>ABS(E$25-E$28)&gt;=1000</formula>
    </cfRule>
  </conditionalFormatting>
  <conditionalFormatting sqref="F22:F29">
    <cfRule type="expression" dxfId="967" priority="92">
      <formula>ABS(F$25-F$28)&gt;=1000</formula>
    </cfRule>
  </conditionalFormatting>
  <conditionalFormatting sqref="G22:G29">
    <cfRule type="expression" dxfId="966" priority="91">
      <formula>ABS(G$25-G$28)&gt;=1000</formula>
    </cfRule>
  </conditionalFormatting>
  <conditionalFormatting sqref="H22:H29">
    <cfRule type="expression" dxfId="965" priority="90">
      <formula>ABS(H$25-H$28)&gt;=1000</formula>
    </cfRule>
  </conditionalFormatting>
  <conditionalFormatting sqref="I22 I24:I29">
    <cfRule type="expression" dxfId="964" priority="89">
      <formula>ABS(I$25-I$28)&gt;=1000</formula>
    </cfRule>
  </conditionalFormatting>
  <conditionalFormatting sqref="J22:J29 K22">
    <cfRule type="expression" dxfId="963" priority="88">
      <formula>ABS(J$25-J$28)&gt;=1000</formula>
    </cfRule>
  </conditionalFormatting>
  <conditionalFormatting sqref="K23:K29 L25 L28">
    <cfRule type="expression" dxfId="962" priority="87">
      <formula>ABS(K$25-K$28)&gt;=1000</formula>
    </cfRule>
  </conditionalFormatting>
  <conditionalFormatting sqref="L22 L26:L27 L29 L24">
    <cfRule type="expression" dxfId="961" priority="86">
      <formula>ABS(L$25-L$28)&gt;=1000</formula>
    </cfRule>
  </conditionalFormatting>
  <conditionalFormatting sqref="M22:M29">
    <cfRule type="expression" dxfId="960" priority="85">
      <formula>ABS(M$25-M$28)&gt;=1000</formula>
    </cfRule>
  </conditionalFormatting>
  <conditionalFormatting sqref="N22:N29">
    <cfRule type="expression" dxfId="959" priority="84">
      <formula>ABS(N$25-N$28)&gt;=1000</formula>
    </cfRule>
  </conditionalFormatting>
  <conditionalFormatting sqref="O22:O29">
    <cfRule type="expression" dxfId="958" priority="83">
      <formula>ABS(O$25-O$28)&gt;=1000</formula>
    </cfRule>
  </conditionalFormatting>
  <conditionalFormatting sqref="P22:P29">
    <cfRule type="expression" dxfId="957" priority="82">
      <formula>ABS(P$25-P$28)&gt;=1000</formula>
    </cfRule>
  </conditionalFormatting>
  <conditionalFormatting sqref="Q22:Q29">
    <cfRule type="expression" dxfId="956" priority="81">
      <formula>ABS(Q$25-Q$28)&gt;=1000</formula>
    </cfRule>
  </conditionalFormatting>
  <conditionalFormatting sqref="R22:R29">
    <cfRule type="expression" dxfId="955" priority="80">
      <formula>ABS(R$25-R$28)&gt;=1000</formula>
    </cfRule>
  </conditionalFormatting>
  <conditionalFormatting sqref="S22:S29">
    <cfRule type="expression" dxfId="954" priority="79">
      <formula>ABS(S$25-S$28)&gt;=1000</formula>
    </cfRule>
  </conditionalFormatting>
  <conditionalFormatting sqref="T22:T29">
    <cfRule type="expression" dxfId="953" priority="78">
      <formula>ABS(T$25-T$28)&gt;=1000</formula>
    </cfRule>
  </conditionalFormatting>
  <conditionalFormatting sqref="U22:U29">
    <cfRule type="expression" dxfId="952" priority="77">
      <formula>ABS(U$25-U$28)&gt;=1000</formula>
    </cfRule>
  </conditionalFormatting>
  <conditionalFormatting sqref="V22:V29">
    <cfRule type="expression" dxfId="951" priority="76">
      <formula>ABS(V$25-V$28)&gt;=1000</formula>
    </cfRule>
  </conditionalFormatting>
  <conditionalFormatting sqref="W22:W29">
    <cfRule type="expression" dxfId="950" priority="75">
      <formula>ABS(W$25-W$28)&gt;=1000</formula>
    </cfRule>
  </conditionalFormatting>
  <conditionalFormatting sqref="X22:X29">
    <cfRule type="expression" dxfId="949" priority="74">
      <formula>ABS(X$25-X$28)&gt;=1000</formula>
    </cfRule>
  </conditionalFormatting>
  <conditionalFormatting sqref="Y22:Y29">
    <cfRule type="expression" dxfId="948" priority="73">
      <formula>ABS(Y$25-Y$28)&gt;=1000</formula>
    </cfRule>
  </conditionalFormatting>
  <conditionalFormatting sqref="I23">
    <cfRule type="expression" dxfId="947" priority="72">
      <formula>ABS(I$25-I$28)&gt;=1000</formula>
    </cfRule>
  </conditionalFormatting>
  <conditionalFormatting sqref="Q14">
    <cfRule type="expression" dxfId="946" priority="71">
      <formula>ABS(Q$16-Q$19)&gt;=1000</formula>
    </cfRule>
  </conditionalFormatting>
  <conditionalFormatting sqref="W14">
    <cfRule type="expression" dxfId="945" priority="70">
      <formula>ABS(W$16-W$19)&gt;=1000</formula>
    </cfRule>
  </conditionalFormatting>
  <conditionalFormatting sqref="X14">
    <cfRule type="expression" dxfId="944" priority="69">
      <formula>ABS(X$16-X$19)&gt;=1000</formula>
    </cfRule>
  </conditionalFormatting>
  <conditionalFormatting sqref="T10:Y10">
    <cfRule type="expression" dxfId="943" priority="68">
      <formula>ABS(T$7-T$10)&gt;=1000</formula>
    </cfRule>
  </conditionalFormatting>
  <conditionalFormatting sqref="W19">
    <cfRule type="expression" dxfId="942" priority="67">
      <formula>ABS(W$16-W$19)&gt;=1000</formula>
    </cfRule>
  </conditionalFormatting>
  <conditionalFormatting sqref="AC5">
    <cfRule type="expression" dxfId="941" priority="66">
      <formula>ABS(AC$7-AC$10)&gt;=1000</formula>
    </cfRule>
  </conditionalFormatting>
  <conditionalFormatting sqref="M14">
    <cfRule type="expression" dxfId="940" priority="65">
      <formula>ABS(M$16-M$19)&gt;=1000</formula>
    </cfRule>
  </conditionalFormatting>
  <conditionalFormatting sqref="M16">
    <cfRule type="expression" dxfId="939" priority="64">
      <formula>ABS(M$16-M$19)&gt;=1000</formula>
    </cfRule>
  </conditionalFormatting>
  <conditionalFormatting sqref="M19">
    <cfRule type="expression" dxfId="938" priority="63">
      <formula>ABS(M$16-M$19)&gt;=1000</formula>
    </cfRule>
  </conditionalFormatting>
  <conditionalFormatting sqref="K13:K20">
    <cfRule type="expression" dxfId="937" priority="62">
      <formula>ABS(K$16-K$19)&gt;=1000</formula>
    </cfRule>
  </conditionalFormatting>
  <conditionalFormatting sqref="AB14:AC14">
    <cfRule type="expression" dxfId="936" priority="61">
      <formula>ABS(AB$16-AB$19)&gt;=1000</formula>
    </cfRule>
  </conditionalFormatting>
  <conditionalFormatting sqref="M5">
    <cfRule type="expression" dxfId="935" priority="60">
      <formula>ABS(M$7-M$10)&gt;=1000</formula>
    </cfRule>
  </conditionalFormatting>
  <conditionalFormatting sqref="N5">
    <cfRule type="expression" dxfId="934" priority="59">
      <formula>ABS(N$7-N$10)&gt;=1000</formula>
    </cfRule>
  </conditionalFormatting>
  <conditionalFormatting sqref="L23">
    <cfRule type="expression" dxfId="933" priority="58">
      <formula>ABS(L$25-L$28)&gt;=1000</formula>
    </cfRule>
  </conditionalFormatting>
  <conditionalFormatting sqref="Y14">
    <cfRule type="expression" dxfId="932" priority="57">
      <formula>ABS(Y$16-Y$19)&gt;=1000</formula>
    </cfRule>
  </conditionalFormatting>
  <conditionalFormatting sqref="F14">
    <cfRule type="expression" dxfId="931" priority="56">
      <formula>ABS(F$16-F$19)&gt;=1000</formula>
    </cfRule>
  </conditionalFormatting>
  <conditionalFormatting sqref="H14">
    <cfRule type="expression" dxfId="930" priority="55">
      <formula>ABS(H$16-H$19)&gt;=1000</formula>
    </cfRule>
  </conditionalFormatting>
  <conditionalFormatting sqref="AD5">
    <cfRule type="expression" dxfId="929" priority="54">
      <formula>ABS(AD$7-AD$10)&gt;=1000</formula>
    </cfRule>
  </conditionalFormatting>
  <conditionalFormatting sqref="AE5">
    <cfRule type="expression" dxfId="928" priority="53">
      <formula>ABS(AE$7-AE$10)&gt;=1000</formula>
    </cfRule>
  </conditionalFormatting>
  <conditionalFormatting sqref="D5">
    <cfRule type="expression" dxfId="927" priority="52">
      <formula>ABS(D$7-D$10)&gt;=1000</formula>
    </cfRule>
  </conditionalFormatting>
  <conditionalFormatting sqref="E5:G5">
    <cfRule type="expression" dxfId="926" priority="51">
      <formula>ABS(E$7-E$10)&gt;=1000</formula>
    </cfRule>
  </conditionalFormatting>
  <conditionalFormatting sqref="H5">
    <cfRule type="expression" dxfId="925" priority="50">
      <formula>ABS(H$7-H$10)&gt;=1000</formula>
    </cfRule>
  </conditionalFormatting>
  <conditionalFormatting sqref="O4:P4">
    <cfRule type="expression" dxfId="924" priority="49">
      <formula>ABS(O$7-O$10)&gt;=1000</formula>
    </cfRule>
  </conditionalFormatting>
  <conditionalFormatting sqref="O5 O11">
    <cfRule type="expression" dxfId="923" priority="48">
      <formula>ABS(O$7-O$10)&gt;=1000</formula>
    </cfRule>
  </conditionalFormatting>
  <conditionalFormatting sqref="P11">
    <cfRule type="expression" dxfId="922" priority="47">
      <formula>ABS(P$7-P$10)&gt;=1000</formula>
    </cfRule>
  </conditionalFormatting>
  <conditionalFormatting sqref="J5">
    <cfRule type="expression" dxfId="921" priority="46">
      <formula>ABS(J$7-J$10)&gt;=1000</formula>
    </cfRule>
  </conditionalFormatting>
  <conditionalFormatting sqref="K5">
    <cfRule type="expression" dxfId="920" priority="45">
      <formula>ABS(K$7-K$10)&gt;=1000</formula>
    </cfRule>
  </conditionalFormatting>
  <conditionalFormatting sqref="I6">
    <cfRule type="expression" dxfId="919" priority="44">
      <formula>ABS(I$7-I$10)&gt;=1000</formula>
    </cfRule>
  </conditionalFormatting>
  <conditionalFormatting sqref="H9">
    <cfRule type="expression" dxfId="918" priority="43">
      <formula>ABS(H$7-H$10)&gt;=1000</formula>
    </cfRule>
  </conditionalFormatting>
  <conditionalFormatting sqref="J9">
    <cfRule type="expression" dxfId="917" priority="42">
      <formula>ABS(J$7-J$10)&gt;=1000</formula>
    </cfRule>
  </conditionalFormatting>
  <conditionalFormatting sqref="K9">
    <cfRule type="expression" dxfId="916" priority="41">
      <formula>ABS(K$7-K$10)&gt;=1000</formula>
    </cfRule>
  </conditionalFormatting>
  <conditionalFormatting sqref="L9">
    <cfRule type="expression" dxfId="915" priority="40">
      <formula>ABS(L$7-L$10)&gt;=1000</formula>
    </cfRule>
  </conditionalFormatting>
  <conditionalFormatting sqref="M9">
    <cfRule type="expression" dxfId="914" priority="39">
      <formula>ABS(M$7-M$10)&gt;=1000</formula>
    </cfRule>
  </conditionalFormatting>
  <conditionalFormatting sqref="N9">
    <cfRule type="expression" dxfId="913" priority="38">
      <formula>ABS(N$7-N$10)&gt;=1000</formula>
    </cfRule>
  </conditionalFormatting>
  <conditionalFormatting sqref="O9">
    <cfRule type="expression" dxfId="912" priority="37">
      <formula>ABS(O$7-O$10)&gt;=1000</formula>
    </cfRule>
  </conditionalFormatting>
  <conditionalFormatting sqref="P9">
    <cfRule type="expression" dxfId="911" priority="36">
      <formula>ABS(P$7-P$10)&gt;=1000</formula>
    </cfRule>
  </conditionalFormatting>
  <conditionalFormatting sqref="I9">
    <cfRule type="expression" dxfId="910" priority="35">
      <formula>ABS(I$7-I$10)&gt;=1000</formula>
    </cfRule>
  </conditionalFormatting>
  <conditionalFormatting sqref="P5">
    <cfRule type="expression" dxfId="909" priority="34">
      <formula>ABS(P$7-P$10)&gt;=1000</formula>
    </cfRule>
  </conditionalFormatting>
  <conditionalFormatting sqref="I5">
    <cfRule type="expression" dxfId="908" priority="33">
      <formula>ABS(I$7-I$10)&gt;=1000</formula>
    </cfRule>
  </conditionalFormatting>
  <conditionalFormatting sqref="D6 D8">
    <cfRule type="expression" dxfId="907" priority="32">
      <formula>ABS(D$7-D$10)&gt;=1000</formula>
    </cfRule>
  </conditionalFormatting>
  <conditionalFormatting sqref="E6 E8">
    <cfRule type="expression" dxfId="906" priority="31">
      <formula>ABS(E$7-E$10)&gt;=1000</formula>
    </cfRule>
  </conditionalFormatting>
  <conditionalFormatting sqref="F6 F8">
    <cfRule type="expression" dxfId="905" priority="30">
      <formula>ABS(F$7-F$10)&gt;=1000</formula>
    </cfRule>
  </conditionalFormatting>
  <conditionalFormatting sqref="G6 G8">
    <cfRule type="expression" dxfId="904" priority="29">
      <formula>ABS(G$7-G$10)&gt;=1000</formula>
    </cfRule>
  </conditionalFormatting>
  <conditionalFormatting sqref="H8">
    <cfRule type="expression" dxfId="903" priority="28">
      <formula>ABS(H$7-H$10)&gt;=1000</formula>
    </cfRule>
  </conditionalFormatting>
  <conditionalFormatting sqref="H6">
    <cfRule type="expression" dxfId="902" priority="27">
      <formula>ABS(H$7-H$10)&gt;=1000</formula>
    </cfRule>
  </conditionalFormatting>
  <conditionalFormatting sqref="J8">
    <cfRule type="expression" dxfId="901" priority="26">
      <formula>ABS(J$7-J$10)&gt;=1000</formula>
    </cfRule>
  </conditionalFormatting>
  <conditionalFormatting sqref="K8">
    <cfRule type="expression" dxfId="900" priority="25">
      <formula>ABS(K$7-K$10)&gt;=1000</formula>
    </cfRule>
  </conditionalFormatting>
  <conditionalFormatting sqref="L8">
    <cfRule type="expression" dxfId="899" priority="24">
      <formula>ABS(L$7-L$10)&gt;=1000</formula>
    </cfRule>
  </conditionalFormatting>
  <conditionalFormatting sqref="M8">
    <cfRule type="expression" dxfId="898" priority="23">
      <formula>ABS(M$7-M$10)&gt;=1000</formula>
    </cfRule>
  </conditionalFormatting>
  <conditionalFormatting sqref="N8">
    <cfRule type="expression" dxfId="897" priority="22">
      <formula>ABS(N$7-N$10)&gt;=1000</formula>
    </cfRule>
  </conditionalFormatting>
  <conditionalFormatting sqref="O8">
    <cfRule type="expression" dxfId="896" priority="21">
      <formula>ABS(O$7-O$10)&gt;=1000</formula>
    </cfRule>
  </conditionalFormatting>
  <conditionalFormatting sqref="P8">
    <cfRule type="expression" dxfId="895" priority="20">
      <formula>ABS(P$7-P$10)&gt;=1000</formula>
    </cfRule>
  </conditionalFormatting>
  <conditionalFormatting sqref="J6">
    <cfRule type="expression" dxfId="894" priority="19">
      <formula>ABS(J$7-J$10)&gt;=1000</formula>
    </cfRule>
  </conditionalFormatting>
  <conditionalFormatting sqref="K6">
    <cfRule type="expression" dxfId="893" priority="18">
      <formula>ABS(K$7-K$10)&gt;=1000</formula>
    </cfRule>
  </conditionalFormatting>
  <conditionalFormatting sqref="L6">
    <cfRule type="expression" dxfId="892" priority="17">
      <formula>ABS(L$7-L$10)&gt;=1000</formula>
    </cfRule>
  </conditionalFormatting>
  <conditionalFormatting sqref="M6">
    <cfRule type="expression" dxfId="891" priority="16">
      <formula>ABS(M$7-M$10)&gt;=1000</formula>
    </cfRule>
  </conditionalFormatting>
  <conditionalFormatting sqref="N6">
    <cfRule type="expression" dxfId="890" priority="15">
      <formula>ABS(N$7-N$10)&gt;=1000</formula>
    </cfRule>
  </conditionalFormatting>
  <conditionalFormatting sqref="O6">
    <cfRule type="expression" dxfId="889" priority="14">
      <formula>ABS(O$7-O$10)&gt;=1000</formula>
    </cfRule>
  </conditionalFormatting>
  <conditionalFormatting sqref="P6">
    <cfRule type="expression" dxfId="888" priority="13">
      <formula>ABS(P$7-P$10)&gt;=1000</formula>
    </cfRule>
  </conditionalFormatting>
  <conditionalFormatting sqref="L7">
    <cfRule type="expression" dxfId="887" priority="12">
      <formula>ABS(L$7-L$10)&gt;=1000</formula>
    </cfRule>
  </conditionalFormatting>
  <conditionalFormatting sqref="M7">
    <cfRule type="expression" dxfId="886" priority="11">
      <formula>ABS(M$7-M$10)&gt;=1000</formula>
    </cfRule>
  </conditionalFormatting>
  <conditionalFormatting sqref="O7:P7">
    <cfRule type="expression" dxfId="885" priority="10">
      <formula>ABS(O$7-O$10)&gt;=1000</formula>
    </cfRule>
  </conditionalFormatting>
  <conditionalFormatting sqref="N7">
    <cfRule type="expression" dxfId="884" priority="9">
      <formula>ABS(N$7-N$10)&gt;=1000</formula>
    </cfRule>
  </conditionalFormatting>
  <conditionalFormatting sqref="H7:K7">
    <cfRule type="expression" dxfId="883" priority="8">
      <formula>ABS(H$7-H$10)&gt;=1000</formula>
    </cfRule>
  </conditionalFormatting>
  <conditionalFormatting sqref="D7:G7">
    <cfRule type="expression" dxfId="882" priority="7">
      <formula>ABS(D$7-D$10)&gt;=1000</formula>
    </cfRule>
  </conditionalFormatting>
  <conditionalFormatting sqref="L10">
    <cfRule type="expression" dxfId="881" priority="6">
      <formula>ABS(L$7-L$10)&gt;=1000</formula>
    </cfRule>
  </conditionalFormatting>
  <conditionalFormatting sqref="M10">
    <cfRule type="expression" dxfId="880" priority="5">
      <formula>ABS(M$7-M$10)&gt;=1000</formula>
    </cfRule>
  </conditionalFormatting>
  <conditionalFormatting sqref="O10:P10">
    <cfRule type="expression" dxfId="879" priority="4">
      <formula>ABS(O$7-O$10)&gt;=1000</formula>
    </cfRule>
  </conditionalFormatting>
  <conditionalFormatting sqref="N10">
    <cfRule type="expression" dxfId="878" priority="3">
      <formula>ABS(N$7-N$10)&gt;=1000</formula>
    </cfRule>
  </conditionalFormatting>
  <conditionalFormatting sqref="H10:K10">
    <cfRule type="expression" dxfId="877" priority="2">
      <formula>ABS(H$7-H$10)&gt;=1000</formula>
    </cfRule>
  </conditionalFormatting>
  <conditionalFormatting sqref="D10:G10">
    <cfRule type="expression" dxfId="876" priority="1">
      <formula>ABS(D$7-D$10)&gt;=1000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9280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72">
    <pageSetUpPr fitToPage="1"/>
  </sheetPr>
  <dimension ref="A1:BA223"/>
  <sheetViews>
    <sheetView view="pageBreakPreview" zoomScale="110" zoomScaleNormal="100" zoomScaleSheetLayoutView="110" workbookViewId="0">
      <selection activeCell="D6" sqref="D6"/>
    </sheetView>
  </sheetViews>
  <sheetFormatPr defaultColWidth="8.109375" defaultRowHeight="25.8"/>
  <cols>
    <col min="1" max="1" width="11.6640625" style="53" customWidth="1" phonetic="1"/>
    <col min="2" max="2" width="7.6640625" style="53" customWidth="1" phonetic="1"/>
    <col min="3" max="3" width="8" style="53" customWidth="1" phonetic="1"/>
    <col min="4" max="7" width="8.77734375" style="53" customWidth="1" phonetic="1"/>
    <col min="8" max="8" width="9.77734375" style="53" customWidth="1" phonetic="1"/>
    <col min="9" max="16" width="8.77734375" style="53" customWidth="1" phonetic="1"/>
    <col min="17" max="30" width="7.6640625" style="53" customWidth="1" phonetic="1"/>
    <col min="31" max="31" width="7.6640625" style="64" customWidth="1" phonetic="1"/>
    <col min="32" max="32" width="11.6640625" style="53" bestFit="1" customWidth="1" phonetic="1"/>
    <col min="33" max="16384" width="8.109375" style="53" phonetic="1"/>
  </cols>
  <sheetData>
    <row r="1" spans="1:53" ht="31.2" ph="1">
      <c r="A1" s="53"/>
      <c r="B1" s="207" t="s" ph="1">
        <v>87</v>
      </c>
      <c r="C1" s="207" ph="1"/>
      <c r="D1" s="207" ph="1"/>
      <c r="E1" s="207" ph="1"/>
      <c r="F1" s="207" ph="1"/>
      <c r="G1" s="207" ph="1"/>
      <c r="H1" s="207" ph="1"/>
      <c r="I1" s="207" ph="1"/>
      <c r="J1" s="207" ph="1"/>
      <c r="K1" s="207" ph="1"/>
      <c r="L1" s="207" ph="1"/>
      <c r="M1" s="207" ph="1"/>
      <c r="N1" s="207" ph="1"/>
      <c r="O1" s="207" ph="1"/>
      <c r="P1" s="207" ph="1"/>
      <c r="Q1" s="207" ph="1"/>
      <c r="R1" s="207" ph="1"/>
      <c r="S1" s="207" ph="1"/>
      <c r="T1" s="207" ph="1"/>
      <c r="U1" s="207" ph="1"/>
      <c r="V1" s="207" ph="1"/>
      <c r="W1" s="207" ph="1"/>
      <c r="X1" s="207" ph="1"/>
      <c r="Y1" s="207" ph="1"/>
      <c r="Z1" s="207" ph="1"/>
      <c r="AA1" s="207" ph="1"/>
      <c r="AB1" s="207" ph="1"/>
      <c r="AC1" s="207" ph="1"/>
      <c r="AD1" s="207" ph="1"/>
      <c r="AE1" s="207" ph="1"/>
    </row>
    <row r="2" spans="1:53" s="55" customFormat="1" ht="24" customHeight="1" ph="1">
      <c r="B2" s="208" t="s" ph="1">
        <v>35</v>
      </c>
      <c r="C2" s="208" ph="1"/>
      <c r="D2" s="208" ph="1"/>
      <c r="E2" s="208" ph="1"/>
      <c r="F2" s="208" ph="1"/>
      <c r="G2" s="208" ph="1"/>
      <c r="H2" s="208" ph="1"/>
      <c r="I2" s="208" ph="1"/>
      <c r="J2" s="208" ph="1"/>
      <c r="K2" s="208" ph="1"/>
      <c r="L2" s="208" ph="1"/>
      <c r="M2" s="208" ph="1"/>
      <c r="N2" s="208" ph="1"/>
      <c r="O2" s="208" ph="1"/>
      <c r="P2" s="208" ph="1"/>
      <c r="Q2" s="208" ph="1"/>
      <c r="R2" s="208" ph="1"/>
      <c r="S2" s="208" ph="1"/>
      <c r="T2" s="208" ph="1"/>
      <c r="U2" s="208" ph="1"/>
      <c r="V2" s="208" ph="1"/>
      <c r="W2" s="208" ph="1"/>
      <c r="X2" s="208" ph="1"/>
      <c r="Y2" s="208" ph="1"/>
      <c r="Z2" s="208" ph="1"/>
      <c r="AA2" s="208" ph="1"/>
      <c r="AB2" s="208" ph="1"/>
      <c r="AC2" s="208" ph="1"/>
      <c r="AD2" s="208" ph="1"/>
      <c r="AE2" s="208" ph="1"/>
    </row>
    <row r="3" spans="1:53" ht="21" customHeight="1" ph="1">
      <c r="B3" s="209" ph="1">
        <v>46155</v>
      </c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209"/>
      <c r="P3" s="209"/>
      <c r="Q3" s="209"/>
      <c r="R3" s="209"/>
      <c r="S3" s="209"/>
      <c r="T3" s="209"/>
      <c r="U3" s="209"/>
      <c r="V3" s="209"/>
      <c r="W3" s="209"/>
      <c r="X3" s="209"/>
      <c r="Y3" s="209"/>
      <c r="Z3" s="209"/>
      <c r="AA3" s="209"/>
      <c r="AB3" s="209"/>
      <c r="AC3" s="209"/>
      <c r="AD3" s="209"/>
      <c r="AE3" s="209"/>
    </row>
    <row r="4" spans="1:53" s="58" customFormat="1" ph="1">
      <c r="A4" s="54" ph="1"/>
      <c r="B4" s="188" t="s" ph="1">
        <v>25</v>
      </c>
      <c r="C4" s="56" t="s" ph="1">
        <v>41</v>
      </c>
      <c r="D4" s="57" t="s" ph="1">
        <v>89</v>
      </c>
      <c r="E4" s="57" t="s" ph="1">
        <v>90</v>
      </c>
      <c r="F4" s="57" t="s" ph="1">
        <v>27</v>
      </c>
      <c r="G4" s="57" t="s" ph="1">
        <v>54</v>
      </c>
      <c r="H4" s="57" t="s" ph="1">
        <v>88</v>
      </c>
      <c r="I4" s="57" t="s" ph="1">
        <v>91</v>
      </c>
      <c r="J4" s="57" t="s" ph="1">
        <v>57</v>
      </c>
      <c r="K4" s="57" t="s" ph="1">
        <v>58</v>
      </c>
      <c r="L4" s="57" t="s" ph="1">
        <v>59</v>
      </c>
      <c r="M4" s="57" t="s" ph="1">
        <v>60</v>
      </c>
      <c r="N4" s="57" t="s" ph="1">
        <v>61</v>
      </c>
      <c r="O4" s="57" t="s" ph="1">
        <v>62</v>
      </c>
      <c r="P4" s="57" t="s" ph="1">
        <v>63</v>
      </c>
      <c r="Q4" s="57" ph="1"/>
      <c r="R4" s="57" ph="1"/>
      <c r="S4" s="57" ph="1"/>
      <c r="T4" s="57" ph="1"/>
      <c r="U4" s="57" ph="1"/>
      <c r="V4" s="57" ph="1"/>
      <c r="W4" s="57" ph="1"/>
      <c r="X4" s="57" ph="1"/>
      <c r="Y4" s="57" ph="1"/>
      <c r="Z4" s="57" ph="1"/>
      <c r="AA4" s="57" ph="1"/>
      <c r="AB4" s="57" ph="1"/>
      <c r="AC4" s="57" ph="1"/>
      <c r="AD4" s="57" ph="1"/>
      <c r="AE4" s="57" ph="1"/>
      <c r="AF4" s="54" ph="1"/>
      <c r="AG4" s="54" ph="1"/>
      <c r="AH4" s="54" ph="1"/>
      <c r="AI4" s="54" ph="1"/>
      <c r="AJ4" s="54" ph="1"/>
      <c r="AK4" s="54" ph="1"/>
      <c r="AL4" s="54" ph="1"/>
      <c r="AM4" s="54" ph="1"/>
      <c r="AN4" s="54" ph="1"/>
      <c r="AO4" s="54" ph="1"/>
      <c r="AP4" s="54" ph="1"/>
      <c r="AQ4" s="54" ph="1"/>
      <c r="AR4" s="54" ph="1"/>
      <c r="AS4" s="54" ph="1"/>
      <c r="AT4" s="54" ph="1"/>
      <c r="AU4" s="54" ph="1"/>
      <c r="AV4" s="54" ph="1"/>
      <c r="AW4" s="54" ph="1"/>
      <c r="AX4" s="54" ph="1"/>
      <c r="AY4" s="54" ph="1"/>
      <c r="AZ4" s="54" ph="1"/>
      <c r="BA4" s="54" ph="1"/>
    </row>
    <row r="5" spans="1:53" s="58" customFormat="1" ht="29.25" customHeight="1" ph="1">
      <c r="A5" s="54" ph="1"/>
      <c r="B5" s="188" ph="1"/>
      <c r="C5" s="56" t="s" ph="1">
        <v>24</v>
      </c>
      <c r="D5" s="103" t="s" ph="1">
        <v>64</v>
      </c>
      <c r="E5" s="103" t="s" ph="1">
        <v>64</v>
      </c>
      <c r="F5" s="103" t="s" ph="1">
        <v>86</v>
      </c>
      <c r="G5" s="103" t="s" ph="1">
        <v>86</v>
      </c>
      <c r="H5" s="103" t="s" ph="1">
        <v>64</v>
      </c>
      <c r="I5" s="103" t="s" ph="1">
        <v>64</v>
      </c>
      <c r="J5" s="103" t="s" ph="1">
        <v>86</v>
      </c>
      <c r="K5" s="103" t="s" ph="1">
        <v>86</v>
      </c>
      <c r="L5" s="102" t="s" ph="1">
        <v>51</v>
      </c>
      <c r="M5" s="102" t="s" ph="1">
        <v>65</v>
      </c>
      <c r="N5" s="102" t="s" ph="1">
        <v>51</v>
      </c>
      <c r="O5" s="102" t="s" ph="1">
        <v>66</v>
      </c>
      <c r="P5" s="102" t="s" ph="1">
        <v>66</v>
      </c>
      <c r="Q5" s="59" ph="1"/>
      <c r="R5" s="59" ph="1"/>
      <c r="S5" s="59" ph="1"/>
      <c r="T5" s="59" ph="1"/>
      <c r="U5" s="59" ph="1"/>
      <c r="V5" s="59" ph="1"/>
      <c r="W5" s="59" ph="1"/>
      <c r="X5" s="59" ph="1"/>
      <c r="Y5" s="59" ph="1"/>
      <c r="Z5" s="59" ph="1"/>
      <c r="AA5" s="59" ph="1"/>
      <c r="AB5" s="59" ph="1"/>
      <c r="AC5" s="59" ph="1"/>
      <c r="AD5" s="60"/>
      <c r="AE5" s="60"/>
      <c r="AF5" s="54" ph="1"/>
      <c r="AG5" s="54" ph="1"/>
      <c r="AH5" s="54" ph="1"/>
      <c r="AI5" s="54" ph="1"/>
      <c r="AJ5" s="54" ph="1"/>
      <c r="AK5" s="54" ph="1"/>
      <c r="AL5" s="54" ph="1"/>
      <c r="AM5" s="54" ph="1"/>
      <c r="AN5" s="54" ph="1"/>
      <c r="AO5" s="54" ph="1"/>
      <c r="AP5" s="54" ph="1"/>
      <c r="AQ5" s="54" ph="1"/>
      <c r="AR5" s="54" ph="1"/>
      <c r="AS5" s="54" ph="1"/>
      <c r="AT5" s="54" ph="1"/>
      <c r="AU5" s="54" ph="1"/>
      <c r="AV5" s="54" ph="1"/>
      <c r="AW5" s="54" ph="1"/>
      <c r="AX5" s="54" ph="1"/>
      <c r="AY5" s="54" ph="1"/>
      <c r="AZ5" s="54" ph="1"/>
      <c r="BA5" s="54" ph="1"/>
    </row>
    <row r="6" spans="1:53" ph="1">
      <c r="B6" s="206" ph="1">
        <v>0.33333333333333331</v>
      </c>
      <c r="C6" s="133" t="s" ph="1">
        <v>42</v>
      </c>
      <c r="D6" s="109">
        <v>0.95369999999999999</v>
      </c>
      <c r="E6" s="109">
        <v>0.18770000000000001</v>
      </c>
      <c r="F6" s="109">
        <v>0</v>
      </c>
      <c r="G6" s="109">
        <v>0</v>
      </c>
      <c r="H6" s="60">
        <v>4974</v>
      </c>
      <c r="I6" s="60">
        <v>5570</v>
      </c>
      <c r="J6" s="60">
        <v>0</v>
      </c>
      <c r="K6" s="60">
        <v>0</v>
      </c>
      <c r="L6" s="60">
        <v>2461</v>
      </c>
      <c r="M6" s="60">
        <v>1904</v>
      </c>
      <c r="N6" s="60">
        <v>4583</v>
      </c>
      <c r="O6" s="60">
        <v>1250</v>
      </c>
      <c r="P6" s="60">
        <v>231</v>
      </c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</row>
    <row r="7" spans="1:53" s="61" customFormat="1" ht="22.2" ph="1">
      <c r="B7" s="206" ph="1"/>
      <c r="C7" s="57" t="s" ph="1">
        <v>43</v>
      </c>
      <c r="D7" s="62" ph="1">
        <f>((D6*5885)*4.48)*LOOKUP(D8,密度!$A$2:$A$50,密度!$B$2:$B$50)</f>
        <v>19448.968899359999</v>
      </c>
      <c r="E7" s="62" ph="1">
        <f>((E6*5885)*4.48)*LOOKUP(E8,密度!$A$2:$A$50,密度!$B$2:$B$50)</f>
        <v>3827.7985345600005</v>
      </c>
      <c r="F7" s="62" ph="1">
        <f>((F6*5885)*4.48)*LOOKUP(F8,密度!$A$2:$A$50,密度!$B$2:$B$50)</f>
        <v>0</v>
      </c>
      <c r="G7" s="62" ph="1">
        <f>((G6*5885)*4.48)*LOOKUP(G8,密度!$A$2:$A$50,密度!$B$2:$B$50)</f>
        <v>0</v>
      </c>
      <c r="H7" s="62" ph="1">
        <f>IF(H6&lt;=0,0,IF(H6&lt;=745,PI()*(5.3235*(H6/1000)^2-(4/3)*(H6/1000)^3),7.55+15.2053*((H6-745)/1000))*LOOKUP(H8,密度!$A$2:$A$50,密度!$B$2:$B$50)*1000)</f>
        <v>55643.128689279998</v>
      </c>
      <c r="I7" s="62" ph="1">
        <f>IF(I6&lt;=0,0,IF(I6&lt;=745,PI()*(5.3235*(I6/1000)^2-(4/3)*(I6/1000)^3),7.55+15.2053*((I6-745)/1000))*LOOKUP(I8,密度!$A$2:$A$50,密度!$B$2:$B$50)*1000)</f>
        <v>62588.19532875</v>
      </c>
      <c r="J7" s="62" ph="1">
        <f>IF(J6&lt;=0,0,IF(J6&lt;=745,PI()*(5.3235*(J6/1000)^2-(4/3)*(J6/1000)^3),7.55+15.2053*((J6-745)/1000))*LOOKUP(J8,密度!$A$2:$A$50,密度!$B$2:$B$50)*1000)</f>
        <v>0</v>
      </c>
      <c r="K7" s="62" ph="1">
        <f>IF(K6&lt;=0,0,IF(K6&lt;=745,PI()*(5.3235*(K6/1000)^2-(4/3)*(K6/1000)^3),7.55+15.2053*((K6-745)/1000))*LOOKUP(K8,密度!$A$2:$A$50,密度!$B$2:$B$50)*1000)</f>
        <v>0</v>
      </c>
      <c r="L7" s="62" ph="1">
        <f>L6*26.42*LOOKUP(L8,密度!$A$2:$A$50,密度!$B$2:$B$50)</f>
        <v>50468.229044</v>
      </c>
      <c r="M7" s="62" ph="1">
        <f>M6*26.42*1</f>
        <v>50303.68</v>
      </c>
      <c r="N7" s="62" ph="1">
        <f>N6*18.32*LOOKUP(N8,密度!$A$2:$A$50,密度!$B$2:$B$50)</f>
        <v>65094.622167999994</v>
      </c>
      <c r="O7" s="62" ph="1">
        <f>O6*81.71*LOOKUP(O8,密度!$A$2:$A$50,密度!$B$2:$B$50)</f>
        <v>79279.127499999988</v>
      </c>
      <c r="P7" s="62" ph="1">
        <f>P6*81.71*LOOKUP(P8,密度!$A$2:$A$50,密度!$B$2:$B$50)</f>
        <v>14633.795252999998</v>
      </c>
      <c r="Q7" s="62" ph="1"/>
      <c r="R7" s="62" ph="1"/>
      <c r="S7" s="62" ph="1"/>
      <c r="T7" s="62" ph="1"/>
      <c r="U7" s="62" ph="1"/>
      <c r="V7" s="62" ph="1"/>
      <c r="W7" s="62" ph="1"/>
      <c r="X7" s="62" ph="1"/>
      <c r="Y7" s="62" ph="1"/>
      <c r="Z7" s="62" ph="1"/>
      <c r="AA7" s="62" ph="1"/>
      <c r="AB7" s="62" ph="1"/>
      <c r="AC7" s="62" ph="1"/>
      <c r="AD7" s="62" ph="1"/>
      <c r="AE7" s="62" ph="1"/>
    </row>
    <row r="8" spans="1:53" ph="1">
      <c r="B8" s="206" ph="1"/>
      <c r="C8" s="57" t="s" ph="1">
        <v>44</v>
      </c>
      <c r="D8" s="63">
        <v>32</v>
      </c>
      <c r="E8" s="63">
        <v>32</v>
      </c>
      <c r="F8" s="63">
        <v>29</v>
      </c>
      <c r="G8" s="63">
        <v>29</v>
      </c>
      <c r="H8" s="63">
        <v>31</v>
      </c>
      <c r="I8" s="63">
        <v>32</v>
      </c>
      <c r="J8" s="63">
        <v>31</v>
      </c>
      <c r="K8" s="63">
        <v>29</v>
      </c>
      <c r="L8" s="63">
        <v>29</v>
      </c>
      <c r="M8" s="63">
        <v>29</v>
      </c>
      <c r="N8" s="63">
        <v>30</v>
      </c>
      <c r="O8" s="63">
        <v>29</v>
      </c>
      <c r="P8" s="63">
        <v>30</v>
      </c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</row>
    <row r="9" spans="1:53" ht="26.4" ph="1">
      <c r="B9" s="206" ph="1">
        <v>0.66666666666666663</v>
      </c>
      <c r="C9" s="133" t="s" ph="1">
        <v>45</v>
      </c>
      <c r="D9" s="109">
        <v>0</v>
      </c>
      <c r="E9" s="109">
        <v>0.74160000000000004</v>
      </c>
      <c r="F9" s="109">
        <v>0</v>
      </c>
      <c r="G9" s="109">
        <v>0</v>
      </c>
      <c r="H9" s="60">
        <v>5314</v>
      </c>
      <c r="I9" s="60">
        <v>4737</v>
      </c>
      <c r="J9" s="60">
        <v>0</v>
      </c>
      <c r="K9" s="60">
        <v>0</v>
      </c>
      <c r="L9" s="60">
        <v>2533</v>
      </c>
      <c r="M9" s="60">
        <v>1902</v>
      </c>
      <c r="N9" s="60">
        <v>4622</v>
      </c>
      <c r="O9" s="60">
        <v>2441</v>
      </c>
      <c r="P9" s="60">
        <v>230</v>
      </c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</row>
    <row r="10" spans="1:53" s="61" customFormat="1" ht="22.2" ph="1">
      <c r="B10" s="206" ph="1"/>
      <c r="C10" s="133" t="s" ph="1">
        <v>43</v>
      </c>
      <c r="D10" s="62" ph="1">
        <f>((D9*5885)*4.48)*LOOKUP(D11,密度!$A$2:$A$50,密度!$B$2:$B$50)</f>
        <v>0</v>
      </c>
      <c r="E10" s="62" ph="1">
        <f>((E9*5885)*4.48)*LOOKUP(E11,密度!$A$2:$A$50,密度!$B$2:$B$50)</f>
        <v>15107.935239936001</v>
      </c>
      <c r="F10" s="62" ph="1">
        <f>((F9*5885)*4.48)*LOOKUP(F11,密度!$A$2:$A$50,密度!$B$2:$B$50)</f>
        <v>0</v>
      </c>
      <c r="G10" s="62" ph="1">
        <f>((G9*5885)*4.48)*LOOKUP(G11,密度!$A$2:$A$50,密度!$B$2:$B$50)</f>
        <v>0</v>
      </c>
      <c r="H10" s="62" ph="1">
        <f>IF(H9&lt;=0,0,IF(H9&lt;=745,PI()*(5.3235*(H9/1000)^2-(4/3)*(H9/1000)^3),7.55+15.2053*((H9-745)/1000))*LOOKUP(H11,密度!$A$2:$A$50,密度!$B$2:$B$50)*1000)</f>
        <v>59515.684231389998</v>
      </c>
      <c r="I10" s="62" ph="1">
        <f>IF(I9&lt;=0,0,IF(I9&lt;=745,PI()*(5.3235*(I9/1000)^2-(4/3)*(I9/1000)^3),7.55+15.2053*((I9-745)/1000))*LOOKUP(I11,密度!$A$2:$A$50,密度!$B$2:$B$50)*1000)</f>
        <v>52736.433157520005</v>
      </c>
      <c r="J10" s="62" ph="1">
        <f>IF(J9&lt;=0,0,IF(J9&lt;=745,PI()*(5.3235*(J9/1000)^2-(4/3)*(J9/1000)^3),7.55+15.2053*((J9-745)/1000))*LOOKUP(J11,密度!$A$2:$A$50,密度!$B$2:$B$50)*1000)</f>
        <v>0</v>
      </c>
      <c r="K10" s="62" ph="1">
        <f>IF(K9&lt;=0,0,IF(K9&lt;=745,PI()*(5.3235*(K9/1000)^2-(4/3)*(K9/1000)^3),7.55+15.2053*((K9-745)/1000))*LOOKUP(K11,密度!$A$2:$A$50,密度!$B$2:$B$50)*1000)</f>
        <v>0</v>
      </c>
      <c r="L10" s="62" ph="1">
        <f>L9*26.42*LOOKUP(L11,密度!$A$2:$A$50,密度!$B$2:$B$50)</f>
        <v>51884.518058000001</v>
      </c>
      <c r="M10" s="62" ph="1">
        <f>M9*26.42*1</f>
        <v>50250.840000000004</v>
      </c>
      <c r="N10" s="62" ph="1">
        <f>N9*18.32*LOOKUP(N11,密度!$A$2:$A$50,密度!$B$2:$B$50)</f>
        <v>65648.558512000003</v>
      </c>
      <c r="O10" s="62" ph="1">
        <f>O9*81.71*LOOKUP(O11,密度!$A$2:$A$50,密度!$B$2:$B$50)</f>
        <v>154816.28018199999</v>
      </c>
      <c r="P10" s="62" ph="1">
        <f>P9*81.71*LOOKUP(P11,密度!$A$2:$A$50,密度!$B$2:$B$50)</f>
        <v>14570.44549</v>
      </c>
      <c r="Q10" s="62" ph="1"/>
      <c r="R10" s="62" ph="1"/>
      <c r="S10" s="62" ph="1"/>
      <c r="T10" s="62" ph="1"/>
      <c r="U10" s="62" ph="1"/>
      <c r="V10" s="62" ph="1"/>
      <c r="W10" s="62" ph="1"/>
      <c r="X10" s="62" ph="1"/>
      <c r="Y10" s="62" ph="1"/>
      <c r="Z10" s="62" ph="1"/>
      <c r="AA10" s="62" ph="1"/>
      <c r="AB10" s="62" ph="1"/>
      <c r="AC10" s="62" ph="1"/>
      <c r="AD10" s="62" ph="1"/>
      <c r="AE10" s="62" ph="1"/>
    </row>
    <row r="11" spans="1:53" ph="1">
      <c r="A11" s="53" t="s" ph="1">
        <v>40</v>
      </c>
      <c r="B11" s="206" ph="1"/>
      <c r="C11" s="133" t="s" ph="1">
        <v>44</v>
      </c>
      <c r="D11" s="63">
        <v>34</v>
      </c>
      <c r="E11" s="63">
        <v>33</v>
      </c>
      <c r="F11" s="63">
        <v>36</v>
      </c>
      <c r="G11" s="63">
        <v>35</v>
      </c>
      <c r="H11" s="63">
        <v>33</v>
      </c>
      <c r="I11" s="63">
        <v>33</v>
      </c>
      <c r="J11" s="63">
        <v>32</v>
      </c>
      <c r="K11" s="63">
        <v>35</v>
      </c>
      <c r="L11" s="63">
        <v>30</v>
      </c>
      <c r="M11" s="63">
        <v>30</v>
      </c>
      <c r="N11" s="63">
        <v>30</v>
      </c>
      <c r="O11" s="63">
        <v>29</v>
      </c>
      <c r="P11" s="63">
        <v>30</v>
      </c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</row>
    <row r="12" spans="1:53" ht="9.9" customHeight="1" ph="1">
      <c r="I12" s="65" ph="1"/>
      <c r="U12" s="119" ph="1"/>
    </row>
    <row r="13" spans="1:53" s="61" customFormat="1" ht="29.25" customHeight="1" ph="1">
      <c r="B13" s="183" t="s" ph="1">
        <v>25</v>
      </c>
      <c r="C13" s="133" t="s" ph="1">
        <v>41</v>
      </c>
      <c r="D13" s="65" ph="1"/>
      <c r="E13" s="65" ph="1"/>
      <c r="F13" s="65" ph="1"/>
      <c r="G13" s="65" ph="1"/>
      <c r="H13" s="65" ph="1"/>
      <c r="I13" s="61"/>
      <c r="J13" s="65" ph="1"/>
      <c r="K13" s="65" ph="1"/>
      <c r="L13" s="65" ph="1"/>
      <c r="M13" s="65" ph="1"/>
      <c r="N13" s="65" ph="1"/>
      <c r="O13" s="65" ph="1"/>
      <c r="P13" s="65" ph="1"/>
      <c r="Q13" s="65" ph="1"/>
      <c r="R13" s="65" ph="1"/>
      <c r="S13" s="65" ph="1"/>
      <c r="T13" s="65" ph="1"/>
      <c r="U13" s="65" ph="1"/>
      <c r="V13" s="65" ph="1"/>
      <c r="W13" s="65" ph="1"/>
      <c r="X13" s="65" ph="1"/>
      <c r="Y13" s="94" ph="1"/>
      <c r="Z13" s="65" ph="1"/>
      <c r="AA13" s="65" ph="1"/>
      <c r="AB13" s="65" ph="1"/>
      <c r="AC13" s="65" ph="1"/>
      <c r="AD13" s="65" ph="1"/>
      <c r="AE13" s="65" ph="1"/>
    </row>
    <row r="14" spans="1:53" s="61" customFormat="1" ht="24" ph="1">
      <c r="B14" s="184" ph="1"/>
      <c r="C14" s="56" t="s" ph="1">
        <v>24</v>
      </c>
      <c r="D14" s="66" ph="1"/>
      <c r="E14" s="66" ph="1"/>
      <c r="F14" s="108" ph="1"/>
      <c r="G14" s="66" ph="1"/>
      <c r="H14" s="66" ph="1"/>
      <c r="I14" s="101" ph="1"/>
      <c r="J14" s="66" ph="1"/>
      <c r="K14" s="66" ph="1"/>
      <c r="L14" s="66" ph="1"/>
      <c r="M14" s="93" ph="1"/>
      <c r="N14" s="93" ph="1"/>
      <c r="O14" s="93" ph="1"/>
      <c r="P14" s="66" ph="1"/>
      <c r="Q14" s="66" ph="1"/>
      <c r="R14" s="77" ph="1"/>
      <c r="S14" s="66" ph="1"/>
      <c r="T14" s="66" ph="1"/>
      <c r="U14" s="66" ph="1"/>
      <c r="V14" s="66" ph="1"/>
      <c r="W14" s="66" ph="1"/>
      <c r="X14" s="66" ph="1"/>
      <c r="Y14" s="104" ph="1"/>
      <c r="Z14" s="66" ph="1"/>
      <c r="AA14" s="66" ph="1"/>
      <c r="AB14" s="66" ph="1"/>
      <c r="AC14" s="66" ph="1"/>
      <c r="AD14" s="66" ph="1"/>
      <c r="AE14" s="66" ph="1"/>
    </row>
    <row r="15" spans="1:53" ht="26.4" ph="1">
      <c r="B15" s="185" ph="1">
        <v>0.33333333333333331</v>
      </c>
      <c r="C15" s="68" t="s" ph="1">
        <v>45</v>
      </c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0"/>
      <c r="X15" s="67"/>
      <c r="Y15" s="95"/>
      <c r="Z15" s="67"/>
      <c r="AA15" s="67"/>
      <c r="AB15" s="67" ph="1"/>
      <c r="AC15" s="67" ph="1"/>
      <c r="AD15" s="67"/>
      <c r="AE15" s="67"/>
    </row>
    <row r="16" spans="1:53" s="61" customFormat="1" ht="26.4" ph="1">
      <c r="B16" s="186" ph="1"/>
      <c r="C16" s="133" t="s" ph="1">
        <v>43</v>
      </c>
      <c r="D16" s="62" ph="1"/>
      <c r="E16" s="62" ph="1"/>
      <c r="F16" s="62" ph="1"/>
      <c r="G16" s="62" ph="1"/>
      <c r="H16" s="62" ph="1"/>
      <c r="I16" s="62" ph="1"/>
      <c r="J16" s="62" ph="1"/>
      <c r="K16" s="62" ph="1"/>
      <c r="L16" s="62" ph="1"/>
      <c r="M16" s="62" ph="1"/>
      <c r="N16" s="62" ph="1"/>
      <c r="O16" s="62" ph="1"/>
      <c r="P16" s="62" ph="1"/>
      <c r="Q16" s="62" ph="1"/>
      <c r="R16" s="62" ph="1"/>
      <c r="S16" s="62" ph="1"/>
      <c r="T16" s="62" ph="1"/>
      <c r="U16" s="62" ph="1"/>
      <c r="V16" s="62" ph="1"/>
      <c r="W16" s="120" ph="1"/>
      <c r="X16" s="62" ph="1"/>
      <c r="Y16" s="96" ph="1"/>
      <c r="Z16" s="62" ph="1"/>
      <c r="AA16" s="62" ph="1"/>
      <c r="AB16" s="62" ph="1"/>
      <c r="AC16" s="62" ph="1"/>
      <c r="AD16" s="62" ph="1"/>
      <c r="AE16" s="62" ph="1"/>
    </row>
    <row r="17" spans="1:32" ph="1">
      <c r="A17" s="53" t="s" ph="1">
        <v>33</v>
      </c>
      <c r="B17" s="187" ph="1"/>
      <c r="C17" s="68" t="s" ph="1">
        <v>44</v>
      </c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121"/>
      <c r="W17" s="63"/>
      <c r="X17" s="63"/>
      <c r="Y17" s="97"/>
      <c r="Z17" s="63"/>
      <c r="AA17" s="63"/>
      <c r="AB17" s="63"/>
      <c r="AC17" s="63"/>
      <c r="AD17" s="63"/>
      <c r="AE17" s="63"/>
    </row>
    <row r="18" spans="1:32" ht="26.4" ph="1">
      <c r="B18" s="185" ph="1">
        <v>0.66666666666666663</v>
      </c>
      <c r="C18" s="68" t="s" ph="1">
        <v>45</v>
      </c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98"/>
      <c r="Z18" s="60"/>
      <c r="AA18" s="60"/>
      <c r="AB18" s="60"/>
      <c r="AC18" s="60"/>
      <c r="AD18" s="60"/>
      <c r="AE18" s="60"/>
    </row>
    <row r="19" spans="1:32" s="61" customFormat="1" ht="22.2" ph="1">
      <c r="B19" s="186" ph="1"/>
      <c r="C19" s="133" t="s" ph="1">
        <v>43</v>
      </c>
      <c r="D19" s="62" ph="1"/>
      <c r="E19" s="62" ph="1"/>
      <c r="F19" s="62" ph="1"/>
      <c r="G19" s="62" ph="1"/>
      <c r="H19" s="62" ph="1"/>
      <c r="I19" s="62" ph="1"/>
      <c r="J19" s="62" ph="1"/>
      <c r="K19" s="62" ph="1"/>
      <c r="L19" s="62" ph="1"/>
      <c r="M19" s="62" ph="1"/>
      <c r="N19" s="62" ph="1"/>
      <c r="O19" s="62" ph="1"/>
      <c r="P19" s="62" ph="1"/>
      <c r="Q19" s="62" ph="1"/>
      <c r="R19" s="62" ph="1"/>
      <c r="S19" s="62" ph="1"/>
      <c r="T19" s="62" ph="1"/>
      <c r="U19" s="62" ph="1"/>
      <c r="V19" s="62" ph="1"/>
      <c r="W19" s="62" ph="1"/>
      <c r="X19" s="62" ph="1"/>
      <c r="Y19" s="62" ph="1"/>
      <c r="Z19" s="62" ph="1"/>
      <c r="AA19" s="62" ph="1"/>
      <c r="AB19" s="62" ph="1"/>
      <c r="AC19" s="62" ph="1"/>
      <c r="AD19" s="62" ph="1"/>
      <c r="AE19" s="62" ph="1"/>
    </row>
    <row r="20" spans="1:32" ph="1">
      <c r="A20" s="61" ph="1"/>
      <c r="B20" s="186" ph="1"/>
      <c r="C20" s="69" t="s" ph="1">
        <v>44</v>
      </c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99"/>
      <c r="Z20" s="70"/>
      <c r="AA20" s="70"/>
      <c r="AB20" s="70"/>
      <c r="AC20" s="70"/>
      <c r="AD20" s="70"/>
      <c r="AE20" s="70"/>
      <c r="AF20" s="53" t="s" ph="1">
        <v>23</v>
      </c>
    </row>
    <row r="21" spans="1:32" ph="1">
      <c r="A21" s="61" ph="1"/>
      <c r="B21" s="71" ph="1"/>
      <c r="C21" s="72" ph="1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</row>
    <row r="22" spans="1:32" ph="1">
      <c r="A22" s="61" ph="1"/>
      <c r="B22" s="184" t="s" ph="1">
        <v>25</v>
      </c>
      <c r="C22" s="74" t="s" ph="1">
        <v>41</v>
      </c>
      <c r="D22" s="75" ph="1"/>
      <c r="E22" s="75" ph="1"/>
      <c r="F22" s="75" ph="1"/>
      <c r="G22" s="75" ph="1"/>
      <c r="H22" s="75" ph="1"/>
      <c r="I22" s="75" ph="1"/>
      <c r="J22" s="75" ph="1"/>
      <c r="K22" s="75" ph="1"/>
      <c r="L22" s="75" ph="1"/>
      <c r="M22" s="75" ph="1"/>
      <c r="N22" s="75" ph="1"/>
      <c r="O22" s="75" ph="1"/>
      <c r="P22" s="75" ph="1"/>
      <c r="Q22" s="76" ph="1"/>
      <c r="R22" s="75" ph="1"/>
      <c r="S22" s="75" ph="1"/>
      <c r="T22" s="75" ph="1"/>
      <c r="U22" s="75" ph="1"/>
      <c r="V22" s="75" ph="1"/>
      <c r="W22" s="75" ph="1"/>
      <c r="X22" s="75" ph="1"/>
      <c r="Y22" s="75" ph="1"/>
      <c r="Z22" s="194" t="s" ph="1">
        <v>31</v>
      </c>
      <c r="AA22" s="195"/>
      <c r="AB22" s="195"/>
      <c r="AC22" s="195"/>
      <c r="AD22" s="195"/>
      <c r="AE22" s="196"/>
    </row>
    <row r="23" spans="1:32" ph="1">
      <c r="A23" s="61" ph="1"/>
      <c r="B23" s="188" ph="1"/>
      <c r="C23" s="56" t="s" ph="1">
        <v>24</v>
      </c>
      <c r="D23" s="77" ph="1"/>
      <c r="E23" s="77" ph="1"/>
      <c r="F23" s="77" ph="1"/>
      <c r="G23" s="77" ph="1"/>
      <c r="H23" s="77" ph="1"/>
      <c r="I23" s="77" ph="1"/>
      <c r="J23" s="77" ph="1"/>
      <c r="K23" s="77" ph="1"/>
      <c r="L23" s="77" ph="1"/>
      <c r="M23" s="77" ph="1"/>
      <c r="N23" s="77" ph="1"/>
      <c r="O23" s="77" ph="1"/>
      <c r="P23" s="77" ph="1"/>
      <c r="Q23" s="78" ph="1"/>
      <c r="R23" s="77" ph="1"/>
      <c r="S23" s="77" ph="1"/>
      <c r="T23" s="77" ph="1"/>
      <c r="U23" s="93" ph="1"/>
      <c r="V23" s="77" ph="1"/>
      <c r="W23" s="77" ph="1"/>
      <c r="X23" s="77" ph="1"/>
      <c r="Y23" s="77" ph="1"/>
      <c r="Z23" s="197" t="s" ph="1">
        <v>67</v>
      </c>
      <c r="AA23" s="198"/>
      <c r="AB23" s="198"/>
      <c r="AC23" s="198"/>
      <c r="AD23" s="198"/>
      <c r="AE23" s="199"/>
    </row>
    <row r="24" spans="1:32" ht="26.4" ph="1">
      <c r="A24" s="61" ph="1"/>
      <c r="B24" s="206" ph="1">
        <v>0.33333333333333331</v>
      </c>
      <c r="C24" s="68" t="s" ph="1">
        <v>45</v>
      </c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79"/>
      <c r="R24" s="60"/>
      <c r="S24" s="60"/>
      <c r="T24" s="60"/>
      <c r="U24" s="60"/>
      <c r="V24" s="60"/>
      <c r="W24" s="60"/>
      <c r="X24" s="60"/>
      <c r="Y24" s="60"/>
      <c r="Z24" s="200"/>
      <c r="AA24" s="201"/>
      <c r="AB24" s="201"/>
      <c r="AC24" s="201"/>
      <c r="AD24" s="201"/>
      <c r="AE24" s="202"/>
    </row>
    <row r="25" spans="1:32" ph="1">
      <c r="A25" s="61" ph="1"/>
      <c r="B25" s="206" ph="1"/>
      <c r="C25" s="57" t="s" ph="1">
        <v>43</v>
      </c>
      <c r="D25" s="80" ph="1"/>
      <c r="E25" s="80" ph="1"/>
      <c r="F25" s="80" ph="1"/>
      <c r="G25" s="80" ph="1"/>
      <c r="H25" s="80" ph="1"/>
      <c r="I25" s="80" ph="1"/>
      <c r="J25" s="80" ph="1"/>
      <c r="K25" s="80" ph="1"/>
      <c r="L25" s="80" ph="1"/>
      <c r="M25" s="80" ph="1"/>
      <c r="N25" s="80" ph="1"/>
      <c r="O25" s="80" ph="1"/>
      <c r="P25" s="80" ph="1"/>
      <c r="Q25" s="81" ph="1"/>
      <c r="R25" s="80" ph="1"/>
      <c r="S25" s="80" ph="1"/>
      <c r="T25" s="80" ph="1"/>
      <c r="U25" s="80" ph="1"/>
      <c r="V25" s="80" ph="1"/>
      <c r="W25" s="80" ph="1"/>
      <c r="X25" s="80" ph="1"/>
      <c r="Y25" s="80" ph="1"/>
      <c r="Z25" s="200"/>
      <c r="AA25" s="201"/>
      <c r="AB25" s="201"/>
      <c r="AC25" s="201"/>
      <c r="AD25" s="201"/>
      <c r="AE25" s="202"/>
    </row>
    <row r="26" spans="1:32" ph="1">
      <c r="A26" s="61" ph="1"/>
      <c r="B26" s="206" ph="1"/>
      <c r="C26" s="57" t="s" ph="1">
        <v>44</v>
      </c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82"/>
      <c r="R26" s="63"/>
      <c r="S26" s="63"/>
      <c r="T26" s="63"/>
      <c r="U26" s="63"/>
      <c r="V26" s="63"/>
      <c r="W26" s="63"/>
      <c r="X26" s="63"/>
      <c r="Y26" s="63"/>
      <c r="Z26" s="200"/>
      <c r="AA26" s="201"/>
      <c r="AB26" s="201"/>
      <c r="AC26" s="201"/>
      <c r="AD26" s="201"/>
      <c r="AE26" s="202"/>
    </row>
    <row r="27" spans="1:32" ht="26.4" ph="1">
      <c r="A27" s="61" ph="1"/>
      <c r="B27" s="206" ph="1">
        <v>0.66666666666666663</v>
      </c>
      <c r="C27" s="133" t="s" ph="1">
        <v>45</v>
      </c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79"/>
      <c r="R27" s="60"/>
      <c r="S27" s="60"/>
      <c r="T27" s="60"/>
      <c r="U27" s="60"/>
      <c r="V27" s="60"/>
      <c r="W27" s="60"/>
      <c r="X27" s="60"/>
      <c r="Y27" s="60"/>
      <c r="Z27" s="200"/>
      <c r="AA27" s="201"/>
      <c r="AB27" s="201"/>
      <c r="AC27" s="201"/>
      <c r="AD27" s="201"/>
      <c r="AE27" s="202"/>
    </row>
    <row r="28" spans="1:32" ph="1">
      <c r="A28" s="61" ph="1"/>
      <c r="B28" s="206" ph="1"/>
      <c r="C28" s="133" t="s" ph="1">
        <v>43</v>
      </c>
      <c r="D28" s="80" ph="1"/>
      <c r="E28" s="80" ph="1"/>
      <c r="F28" s="80" ph="1"/>
      <c r="G28" s="80" ph="1"/>
      <c r="H28" s="80" ph="1"/>
      <c r="I28" s="80" ph="1"/>
      <c r="J28" s="80" ph="1"/>
      <c r="K28" s="80" ph="1"/>
      <c r="L28" s="80" ph="1"/>
      <c r="M28" s="80" ph="1"/>
      <c r="N28" s="80" ph="1"/>
      <c r="O28" s="80" ph="1"/>
      <c r="P28" s="80" ph="1"/>
      <c r="Q28" s="81" ph="1"/>
      <c r="R28" s="80" ph="1"/>
      <c r="S28" s="80" ph="1"/>
      <c r="T28" s="80" ph="1"/>
      <c r="U28" s="80" ph="1"/>
      <c r="V28" s="80" ph="1"/>
      <c r="W28" s="80" ph="1"/>
      <c r="X28" s="80" ph="1"/>
      <c r="Y28" s="80" ph="1"/>
      <c r="Z28" s="200"/>
      <c r="AA28" s="201"/>
      <c r="AB28" s="201"/>
      <c r="AC28" s="201"/>
      <c r="AD28" s="201"/>
      <c r="AE28" s="202"/>
    </row>
    <row r="29" spans="1:32" ph="1">
      <c r="A29" s="61" ph="1"/>
      <c r="B29" s="206" ph="1"/>
      <c r="C29" s="133" t="s" ph="1">
        <v>44</v>
      </c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82"/>
      <c r="R29" s="63"/>
      <c r="S29" s="63"/>
      <c r="T29" s="63"/>
      <c r="U29" s="63"/>
      <c r="V29" s="63"/>
      <c r="W29" s="63"/>
      <c r="X29" s="63"/>
      <c r="Y29" s="63"/>
      <c r="Z29" s="203"/>
      <c r="AA29" s="204"/>
      <c r="AB29" s="204"/>
      <c r="AC29" s="204"/>
      <c r="AD29" s="204"/>
      <c r="AE29" s="205"/>
    </row>
    <row r="30" spans="1:32" ph="1">
      <c r="D30" s="83" ph="1"/>
      <c r="Z30" s="53" t="s" ph="1">
        <v>23</v>
      </c>
      <c r="AE30" s="84" ph="1"/>
    </row>
    <row r="31" spans="1:32" ht="28.2" ph="1">
      <c r="A31" s="53"/>
      <c r="B31" s="189" t="s" ph="1">
        <v>23</v>
      </c>
      <c r="C31" s="190" ph="1"/>
      <c r="D31" s="167" t="s" ph="1">
        <v>3</v>
      </c>
      <c r="E31" s="168" ph="1"/>
      <c r="F31" s="169" ph="1"/>
      <c r="G31" s="193" ph="1"/>
      <c r="H31" s="168" ph="1"/>
      <c r="I31" s="169" ph="1"/>
      <c r="J31" s="167" ph="1"/>
      <c r="K31" s="168" ph="1"/>
      <c r="L31" s="169" ph="1"/>
      <c r="M31" s="167" ph="1"/>
      <c r="N31" s="168" ph="1"/>
      <c r="O31" s="169" ph="1"/>
      <c r="P31" s="167" ph="1"/>
      <c r="Q31" s="168"/>
      <c r="R31" s="169"/>
      <c r="S31" s="167" ph="1"/>
      <c r="T31" s="168"/>
      <c r="U31" s="169"/>
      <c r="V31" s="167" ph="1"/>
      <c r="W31" s="168" ph="1"/>
      <c r="X31" s="169" ph="1"/>
      <c r="Y31" s="167" ph="1"/>
      <c r="Z31" s="168" ph="1"/>
      <c r="AA31" s="169" ph="1"/>
      <c r="AB31" s="170"/>
      <c r="AC31" s="171"/>
      <c r="AD31" s="171"/>
      <c r="AE31" s="172"/>
    </row>
    <row r="32" spans="1:32" ph="1">
      <c r="A32" s="53"/>
      <c r="B32" s="191" ph="1"/>
      <c r="C32" s="192" ph="1"/>
      <c r="D32" s="85" t="s" ph="1">
        <v>0</v>
      </c>
      <c r="E32" s="133" t="s" ph="1">
        <v>1</v>
      </c>
      <c r="F32" s="132" t="s" ph="1">
        <v>28</v>
      </c>
      <c r="G32" s="86" t="s" ph="1">
        <v>0</v>
      </c>
      <c r="H32" s="133" t="s" ph="1">
        <v>1</v>
      </c>
      <c r="I32" s="132" t="s" ph="1">
        <v>28</v>
      </c>
      <c r="J32" s="86" t="s" ph="1">
        <v>0</v>
      </c>
      <c r="K32" s="133" t="s" ph="1">
        <v>1</v>
      </c>
      <c r="L32" s="132" t="s" ph="1">
        <v>28</v>
      </c>
      <c r="M32" s="86" t="s" ph="1">
        <v>0</v>
      </c>
      <c r="N32" s="133" t="s" ph="1">
        <v>1</v>
      </c>
      <c r="O32" s="132" t="s" ph="1">
        <v>28</v>
      </c>
      <c r="P32" s="86" t="s" ph="1">
        <v>0</v>
      </c>
      <c r="Q32" s="87" t="s" ph="1">
        <v>1</v>
      </c>
      <c r="R32" s="88" t="s" ph="1">
        <v>28</v>
      </c>
      <c r="S32" s="86" t="s" ph="1">
        <v>0</v>
      </c>
      <c r="T32" s="133" t="s" ph="1">
        <v>1</v>
      </c>
      <c r="U32" s="88" t="s" ph="1">
        <v>28</v>
      </c>
      <c r="V32" s="86" t="s" ph="1">
        <v>0</v>
      </c>
      <c r="W32" s="133" t="s" ph="1">
        <v>1</v>
      </c>
      <c r="X32" s="88" t="s" ph="1">
        <v>28</v>
      </c>
      <c r="Y32" s="89" t="s" ph="1">
        <v>0</v>
      </c>
      <c r="Z32" s="133" t="s" ph="1">
        <v>1</v>
      </c>
      <c r="AA32" s="132" t="s" ph="1">
        <v>28</v>
      </c>
      <c r="AB32" s="86" t="s" ph="1">
        <v>38</v>
      </c>
      <c r="AC32" s="133" t="s" ph="1">
        <v>37</v>
      </c>
      <c r="AD32" s="173" t="s" ph="1">
        <v>36</v>
      </c>
      <c r="AE32" s="174"/>
    </row>
    <row r="33" spans="1:31" ph="1">
      <c r="A33" s="53"/>
      <c r="B33" s="175" t="s" ph="1">
        <v>46</v>
      </c>
      <c r="C33" s="176" ph="1"/>
      <c r="D33" s="155" ph="1">
        <f>O10+P10</f>
        <v>169386.725672</v>
      </c>
      <c r="E33" s="155" ph="1">
        <f>H10+I10+J10+K10</f>
        <v>112252.11738891</v>
      </c>
      <c r="F33" s="179" ph="1">
        <f>L10+N10</f>
        <v>117533.07657</v>
      </c>
      <c r="G33" s="181" ph="1">
        <v>0</v>
      </c>
      <c r="H33" s="155" ph="1">
        <v>0</v>
      </c>
      <c r="I33" s="159" ph="1">
        <v>0</v>
      </c>
      <c r="J33" s="163" ph="1">
        <v>0</v>
      </c>
      <c r="K33" s="155" ph="1">
        <v>0</v>
      </c>
      <c r="L33" s="165" ph="1">
        <v>0</v>
      </c>
      <c r="M33" s="163" ph="1">
        <v>0</v>
      </c>
      <c r="N33" s="155" ph="1">
        <v>0</v>
      </c>
      <c r="O33" s="159" ph="1">
        <f>G19</f>
        <v>0</v>
      </c>
      <c r="P33" s="163" ph="1">
        <v>0</v>
      </c>
      <c r="Q33" s="155" ph="1">
        <v>0</v>
      </c>
      <c r="R33" s="159" ph="1">
        <v>0</v>
      </c>
      <c r="S33" s="163" ph="1">
        <v>0</v>
      </c>
      <c r="T33" s="155" ph="1">
        <v>0</v>
      </c>
      <c r="U33" s="144" ph="1">
        <v>0</v>
      </c>
      <c r="V33" s="157" ph="1">
        <v>0</v>
      </c>
      <c r="W33" s="157" ph="1">
        <v>0</v>
      </c>
      <c r="X33" s="159" ph="1">
        <v>0</v>
      </c>
      <c r="Y33" s="161" ph="1">
        <v>0</v>
      </c>
      <c r="Z33" s="142" ph="1">
        <v>0</v>
      </c>
      <c r="AA33" s="144" ph="1">
        <v>0</v>
      </c>
      <c r="AB33" s="146" ph="1">
        <v>0</v>
      </c>
      <c r="AC33" s="148" ph="1">
        <v>0</v>
      </c>
      <c r="AD33" s="150" ph="1">
        <v>0</v>
      </c>
      <c r="AE33" s="151"/>
    </row>
    <row r="34" spans="1:31" ph="1">
      <c r="A34" s="53"/>
      <c r="B34" s="177" ph="1"/>
      <c r="C34" s="178" ph="1"/>
      <c r="D34" s="156" ph="1"/>
      <c r="E34" s="156" ph="1"/>
      <c r="F34" s="180" ph="1"/>
      <c r="G34" s="182" ph="1"/>
      <c r="H34" s="156" ph="1"/>
      <c r="I34" s="160" ph="1"/>
      <c r="J34" s="164" ph="1"/>
      <c r="K34" s="156" ph="1"/>
      <c r="L34" s="166" ph="1"/>
      <c r="M34" s="164" ph="1"/>
      <c r="N34" s="156" ph="1"/>
      <c r="O34" s="160" ph="1"/>
      <c r="P34" s="164" ph="1"/>
      <c r="Q34" s="156" ph="1"/>
      <c r="R34" s="160" ph="1"/>
      <c r="S34" s="164" ph="1"/>
      <c r="T34" s="156"/>
      <c r="U34" s="145"/>
      <c r="V34" s="158" ph="1"/>
      <c r="W34" s="158" ph="1"/>
      <c r="X34" s="160" ph="1"/>
      <c r="Y34" s="162" ph="1"/>
      <c r="Z34" s="143" ph="1"/>
      <c r="AA34" s="145" ph="1"/>
      <c r="AB34" s="147"/>
      <c r="AC34" s="149"/>
      <c r="AD34" s="152"/>
      <c r="AE34" s="153"/>
    </row>
    <row r="35" spans="1:31" ph="1">
      <c r="A35" s="53"/>
      <c r="AC35" s="154" t="s" ph="1">
        <v>52</v>
      </c>
      <c r="AD35" s="154"/>
      <c r="AE35" s="154"/>
    </row>
    <row r="36" spans="1:31" ht="28.2" ph="1">
      <c r="A36" s="53"/>
      <c r="B36" s="92" t="s" ph="1">
        <v>47</v>
      </c>
      <c r="I36" s="140" t="s" ph="1">
        <v>48</v>
      </c>
      <c r="J36" s="140" ph="1"/>
      <c r="K36" s="90" ph="1"/>
      <c r="P36" s="90" ph="1"/>
      <c r="R36" s="140" t="s" ph="1">
        <v>49</v>
      </c>
      <c r="S36" s="140" ph="1"/>
      <c r="Y36" s="91" ph="1"/>
      <c r="Z36" s="131" t="s" ph="1">
        <v>50</v>
      </c>
      <c r="AA36" s="131" ph="1"/>
      <c r="AB36" s="141" t="s" ph="1">
        <v>53</v>
      </c>
      <c r="AC36" s="141" ph="1"/>
      <c r="AD36" s="141" ph="1"/>
      <c r="AE36" s="141" ph="1"/>
    </row>
    <row r="37" spans="1:31" s="131" customFormat="1" ph="1">
      <c r="A37" s="53" ph="1"/>
      <c r="B37" s="53" ph="1"/>
      <c r="C37" s="53" ph="1"/>
      <c r="D37" s="53" ph="1"/>
      <c r="E37" s="53" ph="1"/>
      <c r="F37" s="53" ph="1"/>
      <c r="G37" s="53" ph="1"/>
      <c r="H37" s="53" ph="1"/>
      <c r="I37" s="53" ph="1"/>
      <c r="J37" s="53" ph="1"/>
      <c r="K37" s="53" ph="1"/>
      <c r="L37" s="53" ph="1"/>
      <c r="M37" s="53" ph="1"/>
      <c r="N37" s="53" ph="1"/>
      <c r="O37" s="53" ph="1"/>
      <c r="P37" s="53" ph="1"/>
      <c r="Q37" s="53" ph="1"/>
      <c r="R37" s="53" ph="1"/>
      <c r="S37" s="53" ph="1"/>
      <c r="T37" s="53" ph="1"/>
      <c r="U37" s="53" ph="1"/>
      <c r="V37" s="53" ph="1"/>
      <c r="W37" s="53" ph="1"/>
      <c r="X37" s="53" ph="1"/>
      <c r="Y37" s="53" ph="1"/>
      <c r="Z37" s="53" ph="1"/>
      <c r="AA37" s="53" ph="1"/>
      <c r="AB37" s="53" ph="1"/>
      <c r="AC37" s="53" ph="1"/>
      <c r="AD37" s="53" ph="1"/>
      <c r="AE37" s="53" ph="1"/>
    </row>
    <row r="38" spans="1:31" ph="1">
      <c r="AE38" s="53" ph="1"/>
    </row>
    <row r="42" spans="1:31" ph="1"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64"/>
    </row>
    <row r="43" spans="1:31" ph="1"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64"/>
    </row>
    <row r="44" spans="1:31" ph="1"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64"/>
    </row>
    <row r="45" spans="1:31" ph="1"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64"/>
    </row>
    <row r="46" spans="1:31" ph="1"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64"/>
    </row>
    <row r="47" spans="1:31" ph="1"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64"/>
    </row>
    <row r="48" spans="1:31" ph="1"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64"/>
    </row>
    <row r="49" spans="16:31" ph="1"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64"/>
    </row>
    <row r="50" spans="16:31" ph="1"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64"/>
    </row>
    <row r="51" spans="16:31" ph="1"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64"/>
    </row>
    <row r="52" spans="16:31" ph="1"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64"/>
    </row>
    <row r="53" spans="16:31" ph="1">
      <c r="R53" s="53"/>
      <c r="S53" s="53"/>
      <c r="T53" s="53"/>
      <c r="U53" s="53"/>
      <c r="W53" s="53"/>
      <c r="X53" s="53"/>
      <c r="Y53" s="53"/>
      <c r="Z53" s="53"/>
      <c r="AA53" s="53"/>
      <c r="AB53" s="53"/>
      <c r="AC53" s="53"/>
      <c r="AD53" s="53"/>
    </row>
    <row r="54" spans="16:31" ph="1">
      <c r="R54" s="53"/>
      <c r="S54" s="53"/>
      <c r="T54" s="53"/>
      <c r="U54" s="53"/>
      <c r="W54" s="53"/>
      <c r="X54" s="53"/>
      <c r="Y54" s="53"/>
      <c r="Z54" s="53"/>
      <c r="AA54" s="53"/>
      <c r="AC54" s="53"/>
      <c r="AD54" s="53"/>
    </row>
    <row r="55" spans="16:31" ph="1">
      <c r="R55" s="53"/>
      <c r="S55" s="53"/>
      <c r="T55" s="53"/>
      <c r="U55" s="53"/>
      <c r="V55" s="53"/>
      <c r="W55" s="53"/>
      <c r="X55" s="53"/>
      <c r="Z55" s="53"/>
      <c r="AC55" s="53"/>
      <c r="AD55" s="53"/>
      <c r="AE55" s="64"/>
    </row>
    <row r="56" spans="16:31" ph="1">
      <c r="R56" s="53"/>
      <c r="S56" s="53"/>
      <c r="T56" s="53"/>
      <c r="U56" s="53"/>
      <c r="V56" s="53"/>
      <c r="W56" s="53"/>
      <c r="X56" s="53"/>
      <c r="Z56" s="53"/>
      <c r="AA56" s="53"/>
      <c r="AB56" s="53"/>
      <c r="AC56" s="53"/>
      <c r="AD56" s="53"/>
      <c r="AE56" s="64"/>
    </row>
    <row r="57" spans="16:31" ph="1">
      <c r="R57" s="53"/>
      <c r="S57" s="53"/>
      <c r="T57" s="53"/>
      <c r="U57" s="53"/>
      <c r="V57" s="53"/>
      <c r="W57" s="53"/>
      <c r="AA57" s="53"/>
      <c r="AB57" s="53"/>
      <c r="AC57" s="53"/>
      <c r="AD57" s="53"/>
      <c r="AE57" s="64"/>
    </row>
    <row r="58" spans="16:31" ph="1">
      <c r="P58" s="53"/>
    </row>
    <row r="59" spans="16:31" ph="1">
      <c r="V59" s="53"/>
    </row>
    <row r="60" spans="16:31" ph="1">
      <c r="R60" s="53"/>
      <c r="S60" s="53"/>
      <c r="T60" s="53"/>
    </row>
    <row r="223" spans="18:18" ph="1">
      <c r="R223" s="100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9 D11">
    <cfRule type="expression" dxfId="875" priority="146">
      <formula>ABS(D$7-D$10)&gt;=1000</formula>
    </cfRule>
  </conditionalFormatting>
  <conditionalFormatting sqref="E4 E9 E11">
    <cfRule type="expression" dxfId="874" priority="145">
      <formula>ABS(E$7-E$10)&gt;=1000</formula>
    </cfRule>
  </conditionalFormatting>
  <conditionalFormatting sqref="F4 F9 F11">
    <cfRule type="expression" dxfId="873" priority="144">
      <formula>ABS(F$7-F$10)&gt;=1000</formula>
    </cfRule>
  </conditionalFormatting>
  <conditionalFormatting sqref="G4 G9 G11">
    <cfRule type="expression" dxfId="872" priority="143">
      <formula>ABS(G$7-G$10)&gt;=1000</formula>
    </cfRule>
  </conditionalFormatting>
  <conditionalFormatting sqref="H4:K4 H11">
    <cfRule type="expression" dxfId="871" priority="142">
      <formula>ABS(H$7-H$10)&gt;=1000</formula>
    </cfRule>
  </conditionalFormatting>
  <conditionalFormatting sqref="I8 I11">
    <cfRule type="expression" dxfId="870" priority="141">
      <formula>ABS(I$7-I$10)&gt;=1000</formula>
    </cfRule>
  </conditionalFormatting>
  <conditionalFormatting sqref="J11">
    <cfRule type="expression" dxfId="869" priority="140">
      <formula>ABS(J$7-J$10)&gt;=1000</formula>
    </cfRule>
  </conditionalFormatting>
  <conditionalFormatting sqref="K11">
    <cfRule type="expression" dxfId="868" priority="139">
      <formula>ABS(K$7-K$10)&gt;=1000</formula>
    </cfRule>
  </conditionalFormatting>
  <conditionalFormatting sqref="L4:L5 M4:N4 Q4:S4 L11">
    <cfRule type="expression" dxfId="867" priority="138">
      <formula>ABS(L$7-L$10)&gt;=1000</formula>
    </cfRule>
  </conditionalFormatting>
  <conditionalFormatting sqref="M11">
    <cfRule type="expression" dxfId="866" priority="137">
      <formula>ABS(M$7-M$10)&gt;=1000</formula>
    </cfRule>
  </conditionalFormatting>
  <conditionalFormatting sqref="N11">
    <cfRule type="expression" dxfId="865" priority="136">
      <formula>ABS(N$7-N$10)&gt;=1000</formula>
    </cfRule>
  </conditionalFormatting>
  <conditionalFormatting sqref="Q5:Q11">
    <cfRule type="expression" dxfId="864" priority="135">
      <formula>ABS(Q$7-Q$10)&gt;=1000</formula>
    </cfRule>
  </conditionalFormatting>
  <conditionalFormatting sqref="R5:R11">
    <cfRule type="expression" dxfId="863" priority="134">
      <formula>ABS(R$7-R$10)&gt;=1000</formula>
    </cfRule>
  </conditionalFormatting>
  <conditionalFormatting sqref="S5:S11">
    <cfRule type="expression" dxfId="862" priority="133">
      <formula>ABS(S$7-S$10)&gt;=1000</formula>
    </cfRule>
  </conditionalFormatting>
  <conditionalFormatting sqref="T4:T9 T11">
    <cfRule type="expression" dxfId="861" priority="132">
      <formula>ABS(T$7-T$10)&gt;=1000</formula>
    </cfRule>
  </conditionalFormatting>
  <conditionalFormatting sqref="U4:U9 U11">
    <cfRule type="expression" dxfId="860" priority="131">
      <formula>ABS(U$7-U$10)&gt;=1000</formula>
    </cfRule>
  </conditionalFormatting>
  <conditionalFormatting sqref="V4:V9 V11">
    <cfRule type="expression" dxfId="859" priority="130">
      <formula>ABS(V$7-V$10)&gt;=1000</formula>
    </cfRule>
  </conditionalFormatting>
  <conditionalFormatting sqref="W4:W9 W11">
    <cfRule type="expression" dxfId="858" priority="129">
      <formula>ABS(W$7-W$10)&gt;=1000</formula>
    </cfRule>
  </conditionalFormatting>
  <conditionalFormatting sqref="X4:X9 X11">
    <cfRule type="expression" dxfId="857" priority="128">
      <formula>ABS(X$7-X$10)&gt;=1000</formula>
    </cfRule>
  </conditionalFormatting>
  <conditionalFormatting sqref="Y4:Y9 Y11">
    <cfRule type="expression" dxfId="856" priority="127">
      <formula>ABS(Y$7-Y$10)&gt;=1000</formula>
    </cfRule>
  </conditionalFormatting>
  <conditionalFormatting sqref="Z4:Z11">
    <cfRule type="expression" dxfId="855" priority="126">
      <formula>ABS(Z$7-Z$10)&gt;=1000</formula>
    </cfRule>
  </conditionalFormatting>
  <conditionalFormatting sqref="AA4:AA11">
    <cfRule type="expression" dxfId="854" priority="125">
      <formula>ABS(AA$7-AA$10)&gt;=1000</formula>
    </cfRule>
  </conditionalFormatting>
  <conditionalFormatting sqref="AB4:AB11">
    <cfRule type="expression" dxfId="853" priority="124">
      <formula>ABS(AB$7-AB$10)&gt;=1000</formula>
    </cfRule>
  </conditionalFormatting>
  <conditionalFormatting sqref="AC4 AC6:AC11">
    <cfRule type="expression" dxfId="852" priority="123">
      <formula>ABS(AC$7-AC$10)&gt;=1000</formula>
    </cfRule>
  </conditionalFormatting>
  <conditionalFormatting sqref="AD4 AD6:AD11">
    <cfRule type="expression" dxfId="851" priority="122">
      <formula>ABS(AD$7-AD$10)&gt;=1000</formula>
    </cfRule>
  </conditionalFormatting>
  <conditionalFormatting sqref="AE4 AE6:AE11">
    <cfRule type="expression" dxfId="850" priority="121">
      <formula>ABS(AE$7-AE$10)&gt;=1000</formula>
    </cfRule>
  </conditionalFormatting>
  <conditionalFormatting sqref="D13:D20 I14:I20 I12">
    <cfRule type="expression" dxfId="849" priority="120">
      <formula>ABS(D$16-D$19)&gt;=1000</formula>
    </cfRule>
  </conditionalFormatting>
  <conditionalFormatting sqref="E13:E20">
    <cfRule type="expression" dxfId="848" priority="119">
      <formula>ABS(E$16-E$19)&gt;=1000</formula>
    </cfRule>
  </conditionalFormatting>
  <conditionalFormatting sqref="F13 F15:F20">
    <cfRule type="expression" dxfId="847" priority="118">
      <formula>ABS(F$16-F$19)&gt;=1000</formula>
    </cfRule>
  </conditionalFormatting>
  <conditionalFormatting sqref="G13:G20">
    <cfRule type="expression" dxfId="846" priority="117">
      <formula>ABS(G$16-G$19)&gt;=1000</formula>
    </cfRule>
  </conditionalFormatting>
  <conditionalFormatting sqref="H13 H15:H20">
    <cfRule type="expression" dxfId="845" priority="116">
      <formula>ABS(H$16-H$19)&gt;=1000</formula>
    </cfRule>
  </conditionalFormatting>
  <conditionalFormatting sqref="J13:J20">
    <cfRule type="expression" dxfId="844" priority="115">
      <formula>ABS(J$16-J$19)&gt;=1000</formula>
    </cfRule>
  </conditionalFormatting>
  <conditionalFormatting sqref="L13:L20">
    <cfRule type="expression" dxfId="843" priority="114">
      <formula>ABS(L$16-L$19)&gt;=1000</formula>
    </cfRule>
  </conditionalFormatting>
  <conditionalFormatting sqref="M13 M15 M17:M18 M20">
    <cfRule type="expression" dxfId="842" priority="113">
      <formula>ABS(M$16-M$19)&gt;=1000</formula>
    </cfRule>
  </conditionalFormatting>
  <conditionalFormatting sqref="N13:N20">
    <cfRule type="expression" dxfId="841" priority="112">
      <formula>ABS(N$16-N$19)&gt;=1000</formula>
    </cfRule>
  </conditionalFormatting>
  <conditionalFormatting sqref="O13:O20">
    <cfRule type="expression" dxfId="840" priority="111">
      <formula>ABS(O$16-O$19)&gt;=1000</formula>
    </cfRule>
  </conditionalFormatting>
  <conditionalFormatting sqref="P13:P20">
    <cfRule type="expression" dxfId="839" priority="110">
      <formula>ABS(P$16-P$19)&gt;=1000</formula>
    </cfRule>
  </conditionalFormatting>
  <conditionalFormatting sqref="Q13 Q15:Q20">
    <cfRule type="expression" dxfId="838" priority="109">
      <formula>ABS(Q$16-Q$19)&gt;=1000</formula>
    </cfRule>
  </conditionalFormatting>
  <conditionalFormatting sqref="R13:R20">
    <cfRule type="expression" dxfId="837" priority="108">
      <formula>ABS(R$16-R$19)&gt;=1000</formula>
    </cfRule>
  </conditionalFormatting>
  <conditionalFormatting sqref="S13:S20">
    <cfRule type="expression" dxfId="836" priority="107">
      <formula>ABS(S$16-S$19)&gt;=1000</formula>
    </cfRule>
  </conditionalFormatting>
  <conditionalFormatting sqref="T13:T20">
    <cfRule type="expression" dxfId="835" priority="106">
      <formula>ABS(T$16-T$19)&gt;=1000</formula>
    </cfRule>
  </conditionalFormatting>
  <conditionalFormatting sqref="U13:U20">
    <cfRule type="expression" dxfId="834" priority="105">
      <formula>ABS(U$16-U$19)&gt;=1000</formula>
    </cfRule>
  </conditionalFormatting>
  <conditionalFormatting sqref="V13:V20">
    <cfRule type="expression" dxfId="833" priority="104">
      <formula>ABS(V$16-V$19)&gt;=1000</formula>
    </cfRule>
  </conditionalFormatting>
  <conditionalFormatting sqref="W13 W20 W15:W18">
    <cfRule type="expression" dxfId="832" priority="103">
      <formula>ABS(W$16-W$19)&gt;=1000</formula>
    </cfRule>
  </conditionalFormatting>
  <conditionalFormatting sqref="X13 X15:X20 Y19">
    <cfRule type="expression" dxfId="831" priority="102">
      <formula>ABS(X$16-X$19)&gt;=1000</formula>
    </cfRule>
  </conditionalFormatting>
  <conditionalFormatting sqref="Y13 Y15:Y18 Y20">
    <cfRule type="expression" dxfId="830" priority="101">
      <formula>ABS(Y$16-Y$19)&gt;=1000</formula>
    </cfRule>
  </conditionalFormatting>
  <conditionalFormatting sqref="Z13:Z20">
    <cfRule type="expression" dxfId="829" priority="100">
      <formula>ABS(Z$16-Z$19)&gt;=1000</formula>
    </cfRule>
  </conditionalFormatting>
  <conditionalFormatting sqref="AA13:AA20">
    <cfRule type="expression" dxfId="828" priority="99">
      <formula>ABS(AA$16-AA$19)&gt;=1000</formula>
    </cfRule>
  </conditionalFormatting>
  <conditionalFormatting sqref="AB13 AB15:AB20">
    <cfRule type="expression" dxfId="827" priority="98">
      <formula>ABS(AB$16-AB$19)&gt;=1000</formula>
    </cfRule>
  </conditionalFormatting>
  <conditionalFormatting sqref="AC13 AC15:AC20">
    <cfRule type="expression" dxfId="826" priority="97">
      <formula>ABS(AC$16-AC$19)&gt;=1000</formula>
    </cfRule>
  </conditionalFormatting>
  <conditionalFormatting sqref="AD13:AD20">
    <cfRule type="expression" dxfId="825" priority="96">
      <formula>ABS(AD$16-AD$19)&gt;=1000</formula>
    </cfRule>
  </conditionalFormatting>
  <conditionalFormatting sqref="AE13:AE20">
    <cfRule type="expression" dxfId="824" priority="95">
      <formula>ABS(AE$16-AE$19)&gt;=1000</formula>
    </cfRule>
  </conditionalFormatting>
  <conditionalFormatting sqref="D22:D29">
    <cfRule type="expression" dxfId="823" priority="94">
      <formula>ABS(D$25-D$28)&gt;=1000</formula>
    </cfRule>
  </conditionalFormatting>
  <conditionalFormatting sqref="E22:E29">
    <cfRule type="expression" dxfId="822" priority="93">
      <formula>ABS(E$25-E$28)&gt;=1000</formula>
    </cfRule>
  </conditionalFormatting>
  <conditionalFormatting sqref="F22:F29">
    <cfRule type="expression" dxfId="821" priority="92">
      <formula>ABS(F$25-F$28)&gt;=1000</formula>
    </cfRule>
  </conditionalFormatting>
  <conditionalFormatting sqref="G22:G29">
    <cfRule type="expression" dxfId="820" priority="91">
      <formula>ABS(G$25-G$28)&gt;=1000</formula>
    </cfRule>
  </conditionalFormatting>
  <conditionalFormatting sqref="H22:H29">
    <cfRule type="expression" dxfId="819" priority="90">
      <formula>ABS(H$25-H$28)&gt;=1000</formula>
    </cfRule>
  </conditionalFormatting>
  <conditionalFormatting sqref="I22 I24:I29">
    <cfRule type="expression" dxfId="818" priority="89">
      <formula>ABS(I$25-I$28)&gt;=1000</formula>
    </cfRule>
  </conditionalFormatting>
  <conditionalFormatting sqref="J22:J29 K22">
    <cfRule type="expression" dxfId="817" priority="88">
      <formula>ABS(J$25-J$28)&gt;=1000</formula>
    </cfRule>
  </conditionalFormatting>
  <conditionalFormatting sqref="K23:K29 L25 L28">
    <cfRule type="expression" dxfId="816" priority="87">
      <formula>ABS(K$25-K$28)&gt;=1000</formula>
    </cfRule>
  </conditionalFormatting>
  <conditionalFormatting sqref="L22 L26:L27 L29 L24">
    <cfRule type="expression" dxfId="815" priority="86">
      <formula>ABS(L$25-L$28)&gt;=1000</formula>
    </cfRule>
  </conditionalFormatting>
  <conditionalFormatting sqref="M22:M29">
    <cfRule type="expression" dxfId="814" priority="85">
      <formula>ABS(M$25-M$28)&gt;=1000</formula>
    </cfRule>
  </conditionalFormatting>
  <conditionalFormatting sqref="N22:N29">
    <cfRule type="expression" dxfId="813" priority="84">
      <formula>ABS(N$25-N$28)&gt;=1000</formula>
    </cfRule>
  </conditionalFormatting>
  <conditionalFormatting sqref="O22:O29">
    <cfRule type="expression" dxfId="812" priority="83">
      <formula>ABS(O$25-O$28)&gt;=1000</formula>
    </cfRule>
  </conditionalFormatting>
  <conditionalFormatting sqref="P22:P29">
    <cfRule type="expression" dxfId="811" priority="82">
      <formula>ABS(P$25-P$28)&gt;=1000</formula>
    </cfRule>
  </conditionalFormatting>
  <conditionalFormatting sqref="Q22:Q29">
    <cfRule type="expression" dxfId="810" priority="81">
      <formula>ABS(Q$25-Q$28)&gt;=1000</formula>
    </cfRule>
  </conditionalFormatting>
  <conditionalFormatting sqref="R22:R29">
    <cfRule type="expression" dxfId="809" priority="80">
      <formula>ABS(R$25-R$28)&gt;=1000</formula>
    </cfRule>
  </conditionalFormatting>
  <conditionalFormatting sqref="S22:S29">
    <cfRule type="expression" dxfId="808" priority="79">
      <formula>ABS(S$25-S$28)&gt;=1000</formula>
    </cfRule>
  </conditionalFormatting>
  <conditionalFormatting sqref="T22:T29">
    <cfRule type="expression" dxfId="807" priority="78">
      <formula>ABS(T$25-T$28)&gt;=1000</formula>
    </cfRule>
  </conditionalFormatting>
  <conditionalFormatting sqref="U22:U29">
    <cfRule type="expression" dxfId="806" priority="77">
      <formula>ABS(U$25-U$28)&gt;=1000</formula>
    </cfRule>
  </conditionalFormatting>
  <conditionalFormatting sqref="V22:V29">
    <cfRule type="expression" dxfId="805" priority="76">
      <formula>ABS(V$25-V$28)&gt;=1000</formula>
    </cfRule>
  </conditionalFormatting>
  <conditionalFormatting sqref="W22:W29">
    <cfRule type="expression" dxfId="804" priority="75">
      <formula>ABS(W$25-W$28)&gt;=1000</formula>
    </cfRule>
  </conditionalFormatting>
  <conditionalFormatting sqref="X22:X29">
    <cfRule type="expression" dxfId="803" priority="74">
      <formula>ABS(X$25-X$28)&gt;=1000</formula>
    </cfRule>
  </conditionalFormatting>
  <conditionalFormatting sqref="Y22:Y29">
    <cfRule type="expression" dxfId="802" priority="73">
      <formula>ABS(Y$25-Y$28)&gt;=1000</formula>
    </cfRule>
  </conditionalFormatting>
  <conditionalFormatting sqref="I23">
    <cfRule type="expression" dxfId="801" priority="72">
      <formula>ABS(I$25-I$28)&gt;=1000</formula>
    </cfRule>
  </conditionalFormatting>
  <conditionalFormatting sqref="Q14">
    <cfRule type="expression" dxfId="800" priority="71">
      <formula>ABS(Q$16-Q$19)&gt;=1000</formula>
    </cfRule>
  </conditionalFormatting>
  <conditionalFormatting sqref="W14">
    <cfRule type="expression" dxfId="799" priority="70">
      <formula>ABS(W$16-W$19)&gt;=1000</formula>
    </cfRule>
  </conditionalFormatting>
  <conditionalFormatting sqref="X14">
    <cfRule type="expression" dxfId="798" priority="69">
      <formula>ABS(X$16-X$19)&gt;=1000</formula>
    </cfRule>
  </conditionalFormatting>
  <conditionalFormatting sqref="T10:Y10">
    <cfRule type="expression" dxfId="797" priority="68">
      <formula>ABS(T$7-T$10)&gt;=1000</formula>
    </cfRule>
  </conditionalFormatting>
  <conditionalFormatting sqref="W19">
    <cfRule type="expression" dxfId="796" priority="67">
      <formula>ABS(W$16-W$19)&gt;=1000</formula>
    </cfRule>
  </conditionalFormatting>
  <conditionalFormatting sqref="AC5">
    <cfRule type="expression" dxfId="795" priority="66">
      <formula>ABS(AC$7-AC$10)&gt;=1000</formula>
    </cfRule>
  </conditionalFormatting>
  <conditionalFormatting sqref="M14">
    <cfRule type="expression" dxfId="794" priority="65">
      <formula>ABS(M$16-M$19)&gt;=1000</formula>
    </cfRule>
  </conditionalFormatting>
  <conditionalFormatting sqref="M16">
    <cfRule type="expression" dxfId="793" priority="64">
      <formula>ABS(M$16-M$19)&gt;=1000</formula>
    </cfRule>
  </conditionalFormatting>
  <conditionalFormatting sqref="M19">
    <cfRule type="expression" dxfId="792" priority="63">
      <formula>ABS(M$16-M$19)&gt;=1000</formula>
    </cfRule>
  </conditionalFormatting>
  <conditionalFormatting sqref="K13:K20">
    <cfRule type="expression" dxfId="791" priority="62">
      <formula>ABS(K$16-K$19)&gt;=1000</formula>
    </cfRule>
  </conditionalFormatting>
  <conditionalFormatting sqref="AB14:AC14">
    <cfRule type="expression" dxfId="790" priority="61">
      <formula>ABS(AB$16-AB$19)&gt;=1000</formula>
    </cfRule>
  </conditionalFormatting>
  <conditionalFormatting sqref="M5">
    <cfRule type="expression" dxfId="789" priority="60">
      <formula>ABS(M$7-M$10)&gt;=1000</formula>
    </cfRule>
  </conditionalFormatting>
  <conditionalFormatting sqref="N5">
    <cfRule type="expression" dxfId="788" priority="59">
      <formula>ABS(N$7-N$10)&gt;=1000</formula>
    </cfRule>
  </conditionalFormatting>
  <conditionalFormatting sqref="L23">
    <cfRule type="expression" dxfId="787" priority="58">
      <formula>ABS(L$25-L$28)&gt;=1000</formula>
    </cfRule>
  </conditionalFormatting>
  <conditionalFormatting sqref="Y14">
    <cfRule type="expression" dxfId="786" priority="57">
      <formula>ABS(Y$16-Y$19)&gt;=1000</formula>
    </cfRule>
  </conditionalFormatting>
  <conditionalFormatting sqref="F14">
    <cfRule type="expression" dxfId="785" priority="56">
      <formula>ABS(F$16-F$19)&gt;=1000</formula>
    </cfRule>
  </conditionalFormatting>
  <conditionalFormatting sqref="H14">
    <cfRule type="expression" dxfId="784" priority="55">
      <formula>ABS(H$16-H$19)&gt;=1000</formula>
    </cfRule>
  </conditionalFormatting>
  <conditionalFormatting sqref="AD5">
    <cfRule type="expression" dxfId="783" priority="54">
      <formula>ABS(AD$7-AD$10)&gt;=1000</formula>
    </cfRule>
  </conditionalFormatting>
  <conditionalFormatting sqref="AE5">
    <cfRule type="expression" dxfId="782" priority="53">
      <formula>ABS(AE$7-AE$10)&gt;=1000</formula>
    </cfRule>
  </conditionalFormatting>
  <conditionalFormatting sqref="D5">
    <cfRule type="expression" dxfId="781" priority="52">
      <formula>ABS(D$7-D$10)&gt;=1000</formula>
    </cfRule>
  </conditionalFormatting>
  <conditionalFormatting sqref="E5:G5">
    <cfRule type="expression" dxfId="780" priority="51">
      <formula>ABS(E$7-E$10)&gt;=1000</formula>
    </cfRule>
  </conditionalFormatting>
  <conditionalFormatting sqref="H5">
    <cfRule type="expression" dxfId="779" priority="50">
      <formula>ABS(H$7-H$10)&gt;=1000</formula>
    </cfRule>
  </conditionalFormatting>
  <conditionalFormatting sqref="O4:P4">
    <cfRule type="expression" dxfId="778" priority="49">
      <formula>ABS(O$7-O$10)&gt;=1000</formula>
    </cfRule>
  </conditionalFormatting>
  <conditionalFormatting sqref="O5 O11">
    <cfRule type="expression" dxfId="777" priority="48">
      <formula>ABS(O$7-O$10)&gt;=1000</formula>
    </cfRule>
  </conditionalFormatting>
  <conditionalFormatting sqref="P11">
    <cfRule type="expression" dxfId="776" priority="47">
      <formula>ABS(P$7-P$10)&gt;=1000</formula>
    </cfRule>
  </conditionalFormatting>
  <conditionalFormatting sqref="J5">
    <cfRule type="expression" dxfId="775" priority="46">
      <formula>ABS(J$7-J$10)&gt;=1000</formula>
    </cfRule>
  </conditionalFormatting>
  <conditionalFormatting sqref="K5">
    <cfRule type="expression" dxfId="774" priority="45">
      <formula>ABS(K$7-K$10)&gt;=1000</formula>
    </cfRule>
  </conditionalFormatting>
  <conditionalFormatting sqref="I6">
    <cfRule type="expression" dxfId="773" priority="44">
      <formula>ABS(I$7-I$10)&gt;=1000</formula>
    </cfRule>
  </conditionalFormatting>
  <conditionalFormatting sqref="H9">
    <cfRule type="expression" dxfId="772" priority="43">
      <formula>ABS(H$7-H$10)&gt;=1000</formula>
    </cfRule>
  </conditionalFormatting>
  <conditionalFormatting sqref="J9">
    <cfRule type="expression" dxfId="771" priority="42">
      <formula>ABS(J$7-J$10)&gt;=1000</formula>
    </cfRule>
  </conditionalFormatting>
  <conditionalFormatting sqref="K9">
    <cfRule type="expression" dxfId="770" priority="41">
      <formula>ABS(K$7-K$10)&gt;=1000</formula>
    </cfRule>
  </conditionalFormatting>
  <conditionalFormatting sqref="L9">
    <cfRule type="expression" dxfId="769" priority="40">
      <formula>ABS(L$7-L$10)&gt;=1000</formula>
    </cfRule>
  </conditionalFormatting>
  <conditionalFormatting sqref="M9">
    <cfRule type="expression" dxfId="768" priority="39">
      <formula>ABS(M$7-M$10)&gt;=1000</formula>
    </cfRule>
  </conditionalFormatting>
  <conditionalFormatting sqref="N9">
    <cfRule type="expression" dxfId="767" priority="38">
      <formula>ABS(N$7-N$10)&gt;=1000</formula>
    </cfRule>
  </conditionalFormatting>
  <conditionalFormatting sqref="O9">
    <cfRule type="expression" dxfId="766" priority="37">
      <formula>ABS(O$7-O$10)&gt;=1000</formula>
    </cfRule>
  </conditionalFormatting>
  <conditionalFormatting sqref="P9">
    <cfRule type="expression" dxfId="765" priority="36">
      <formula>ABS(P$7-P$10)&gt;=1000</formula>
    </cfRule>
  </conditionalFormatting>
  <conditionalFormatting sqref="I9">
    <cfRule type="expression" dxfId="764" priority="35">
      <formula>ABS(I$7-I$10)&gt;=1000</formula>
    </cfRule>
  </conditionalFormatting>
  <conditionalFormatting sqref="P5">
    <cfRule type="expression" dxfId="763" priority="34">
      <formula>ABS(P$7-P$10)&gt;=1000</formula>
    </cfRule>
  </conditionalFormatting>
  <conditionalFormatting sqref="I5">
    <cfRule type="expression" dxfId="762" priority="33">
      <formula>ABS(I$7-I$10)&gt;=1000</formula>
    </cfRule>
  </conditionalFormatting>
  <conditionalFormatting sqref="D6 D8">
    <cfRule type="expression" dxfId="761" priority="32">
      <formula>ABS(D$7-D$10)&gt;=1000</formula>
    </cfRule>
  </conditionalFormatting>
  <conditionalFormatting sqref="E6 E8">
    <cfRule type="expression" dxfId="760" priority="31">
      <formula>ABS(E$7-E$10)&gt;=1000</formula>
    </cfRule>
  </conditionalFormatting>
  <conditionalFormatting sqref="F6 F8">
    <cfRule type="expression" dxfId="759" priority="30">
      <formula>ABS(F$7-F$10)&gt;=1000</formula>
    </cfRule>
  </conditionalFormatting>
  <conditionalFormatting sqref="G6 G8">
    <cfRule type="expression" dxfId="758" priority="29">
      <formula>ABS(G$7-G$10)&gt;=1000</formula>
    </cfRule>
  </conditionalFormatting>
  <conditionalFormatting sqref="H8">
    <cfRule type="expression" dxfId="757" priority="28">
      <formula>ABS(H$7-H$10)&gt;=1000</formula>
    </cfRule>
  </conditionalFormatting>
  <conditionalFormatting sqref="H6">
    <cfRule type="expression" dxfId="756" priority="27">
      <formula>ABS(H$7-H$10)&gt;=1000</formula>
    </cfRule>
  </conditionalFormatting>
  <conditionalFormatting sqref="J8">
    <cfRule type="expression" dxfId="755" priority="26">
      <formula>ABS(J$7-J$10)&gt;=1000</formula>
    </cfRule>
  </conditionalFormatting>
  <conditionalFormatting sqref="K8">
    <cfRule type="expression" dxfId="754" priority="25">
      <formula>ABS(K$7-K$10)&gt;=1000</formula>
    </cfRule>
  </conditionalFormatting>
  <conditionalFormatting sqref="L8">
    <cfRule type="expression" dxfId="753" priority="24">
      <formula>ABS(L$7-L$10)&gt;=1000</formula>
    </cfRule>
  </conditionalFormatting>
  <conditionalFormatting sqref="M8">
    <cfRule type="expression" dxfId="752" priority="23">
      <formula>ABS(M$7-M$10)&gt;=1000</formula>
    </cfRule>
  </conditionalFormatting>
  <conditionalFormatting sqref="N8">
    <cfRule type="expression" dxfId="751" priority="22">
      <formula>ABS(N$7-N$10)&gt;=1000</formula>
    </cfRule>
  </conditionalFormatting>
  <conditionalFormatting sqref="O8">
    <cfRule type="expression" dxfId="750" priority="21">
      <formula>ABS(O$7-O$10)&gt;=1000</formula>
    </cfRule>
  </conditionalFormatting>
  <conditionalFormatting sqref="P8">
    <cfRule type="expression" dxfId="749" priority="20">
      <formula>ABS(P$7-P$10)&gt;=1000</formula>
    </cfRule>
  </conditionalFormatting>
  <conditionalFormatting sqref="J6">
    <cfRule type="expression" dxfId="748" priority="19">
      <formula>ABS(J$7-J$10)&gt;=1000</formula>
    </cfRule>
  </conditionalFormatting>
  <conditionalFormatting sqref="K6">
    <cfRule type="expression" dxfId="747" priority="18">
      <formula>ABS(K$7-K$10)&gt;=1000</formula>
    </cfRule>
  </conditionalFormatting>
  <conditionalFormatting sqref="L6">
    <cfRule type="expression" dxfId="746" priority="17">
      <formula>ABS(L$7-L$10)&gt;=1000</formula>
    </cfRule>
  </conditionalFormatting>
  <conditionalFormatting sqref="M6">
    <cfRule type="expression" dxfId="745" priority="16">
      <formula>ABS(M$7-M$10)&gt;=1000</formula>
    </cfRule>
  </conditionalFormatting>
  <conditionalFormatting sqref="N6">
    <cfRule type="expression" dxfId="744" priority="15">
      <formula>ABS(N$7-N$10)&gt;=1000</formula>
    </cfRule>
  </conditionalFormatting>
  <conditionalFormatting sqref="O6">
    <cfRule type="expression" dxfId="743" priority="14">
      <formula>ABS(O$7-O$10)&gt;=1000</formula>
    </cfRule>
  </conditionalFormatting>
  <conditionalFormatting sqref="P6">
    <cfRule type="expression" dxfId="742" priority="13">
      <formula>ABS(P$7-P$10)&gt;=1000</formula>
    </cfRule>
  </conditionalFormatting>
  <conditionalFormatting sqref="L7">
    <cfRule type="expression" dxfId="741" priority="12">
      <formula>ABS(L$7-L$10)&gt;=1000</formula>
    </cfRule>
  </conditionalFormatting>
  <conditionalFormatting sqref="M7">
    <cfRule type="expression" dxfId="740" priority="11">
      <formula>ABS(M$7-M$10)&gt;=1000</formula>
    </cfRule>
  </conditionalFormatting>
  <conditionalFormatting sqref="O7:P7">
    <cfRule type="expression" dxfId="739" priority="10">
      <formula>ABS(O$7-O$10)&gt;=1000</formula>
    </cfRule>
  </conditionalFormatting>
  <conditionalFormatting sqref="N7">
    <cfRule type="expression" dxfId="738" priority="9">
      <formula>ABS(N$7-N$10)&gt;=1000</formula>
    </cfRule>
  </conditionalFormatting>
  <conditionalFormatting sqref="H7:K7">
    <cfRule type="expression" dxfId="737" priority="8">
      <formula>ABS(H$7-H$10)&gt;=1000</formula>
    </cfRule>
  </conditionalFormatting>
  <conditionalFormatting sqref="D7:G7">
    <cfRule type="expression" dxfId="736" priority="7">
      <formula>ABS(D$7-D$10)&gt;=1000</formula>
    </cfRule>
  </conditionalFormatting>
  <conditionalFormatting sqref="L10">
    <cfRule type="expression" dxfId="735" priority="6">
      <formula>ABS(L$7-L$10)&gt;=1000</formula>
    </cfRule>
  </conditionalFormatting>
  <conditionalFormatting sqref="M10">
    <cfRule type="expression" dxfId="734" priority="5">
      <formula>ABS(M$7-M$10)&gt;=1000</formula>
    </cfRule>
  </conditionalFormatting>
  <conditionalFormatting sqref="O10:P10">
    <cfRule type="expression" dxfId="733" priority="4">
      <formula>ABS(O$7-O$10)&gt;=1000</formula>
    </cfRule>
  </conditionalFormatting>
  <conditionalFormatting sqref="N10">
    <cfRule type="expression" dxfId="732" priority="3">
      <formula>ABS(N$7-N$10)&gt;=1000</formula>
    </cfRule>
  </conditionalFormatting>
  <conditionalFormatting sqref="H10:K10">
    <cfRule type="expression" dxfId="731" priority="2">
      <formula>ABS(H$7-H$10)&gt;=1000</formula>
    </cfRule>
  </conditionalFormatting>
  <conditionalFormatting sqref="D10:G10">
    <cfRule type="expression" dxfId="730" priority="1">
      <formula>ABS(D$7-D$10)&gt;=1000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9382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73">
    <pageSetUpPr fitToPage="1"/>
  </sheetPr>
  <dimension ref="A1:BA223"/>
  <sheetViews>
    <sheetView view="pageBreakPreview" zoomScale="110" zoomScaleNormal="100" zoomScaleSheetLayoutView="110" workbookViewId="0">
      <selection activeCell="L9" sqref="L9"/>
    </sheetView>
  </sheetViews>
  <sheetFormatPr defaultColWidth="8.109375" defaultRowHeight="25.8"/>
  <cols>
    <col min="1" max="1" width="11.6640625" style="53" customWidth="1" phonetic="1"/>
    <col min="2" max="2" width="7.6640625" style="53" customWidth="1" phonetic="1"/>
    <col min="3" max="3" width="8" style="53" customWidth="1" phonetic="1"/>
    <col min="4" max="7" width="8.77734375" style="53" customWidth="1" phonetic="1"/>
    <col min="8" max="8" width="9.77734375" style="53" customWidth="1" phonetic="1"/>
    <col min="9" max="16" width="8.77734375" style="53" customWidth="1" phonetic="1"/>
    <col min="17" max="30" width="7.6640625" style="53" customWidth="1" phonetic="1"/>
    <col min="31" max="31" width="7.6640625" style="64" customWidth="1" phonetic="1"/>
    <col min="32" max="32" width="11.6640625" style="53" bestFit="1" customWidth="1" phonetic="1"/>
    <col min="33" max="16384" width="8.109375" style="53" phonetic="1"/>
  </cols>
  <sheetData>
    <row r="1" spans="1:53" ht="31.2" ph="1">
      <c r="A1" s="53"/>
      <c r="B1" s="207" t="s" ph="1">
        <v>87</v>
      </c>
      <c r="C1" s="207" ph="1"/>
      <c r="D1" s="207" ph="1"/>
      <c r="E1" s="207" ph="1"/>
      <c r="F1" s="207" ph="1"/>
      <c r="G1" s="207" ph="1"/>
      <c r="H1" s="207" ph="1"/>
      <c r="I1" s="207" ph="1"/>
      <c r="J1" s="207" ph="1"/>
      <c r="K1" s="207" ph="1"/>
      <c r="L1" s="207" ph="1"/>
      <c r="M1" s="207" ph="1"/>
      <c r="N1" s="207" ph="1"/>
      <c r="O1" s="207" ph="1"/>
      <c r="P1" s="207" ph="1"/>
      <c r="Q1" s="207" ph="1"/>
      <c r="R1" s="207" ph="1"/>
      <c r="S1" s="207" ph="1"/>
      <c r="T1" s="207" ph="1"/>
      <c r="U1" s="207" ph="1"/>
      <c r="V1" s="207" ph="1"/>
      <c r="W1" s="207" ph="1"/>
      <c r="X1" s="207" ph="1"/>
      <c r="Y1" s="207" ph="1"/>
      <c r="Z1" s="207" ph="1"/>
      <c r="AA1" s="207" ph="1"/>
      <c r="AB1" s="207" ph="1"/>
      <c r="AC1" s="207" ph="1"/>
      <c r="AD1" s="207" ph="1"/>
      <c r="AE1" s="207" ph="1"/>
    </row>
    <row r="2" spans="1:53" s="55" customFormat="1" ht="24" customHeight="1" ph="1">
      <c r="B2" s="208" t="s" ph="1">
        <v>35</v>
      </c>
      <c r="C2" s="208" ph="1"/>
      <c r="D2" s="208" ph="1"/>
      <c r="E2" s="208" ph="1"/>
      <c r="F2" s="208" ph="1"/>
      <c r="G2" s="208" ph="1"/>
      <c r="H2" s="208" ph="1"/>
      <c r="I2" s="208" ph="1"/>
      <c r="J2" s="208" ph="1"/>
      <c r="K2" s="208" ph="1"/>
      <c r="L2" s="208" ph="1"/>
      <c r="M2" s="208" ph="1"/>
      <c r="N2" s="208" ph="1"/>
      <c r="O2" s="208" ph="1"/>
      <c r="P2" s="208" ph="1"/>
      <c r="Q2" s="208" ph="1"/>
      <c r="R2" s="208" ph="1"/>
      <c r="S2" s="208" ph="1"/>
      <c r="T2" s="208" ph="1"/>
      <c r="U2" s="208" ph="1"/>
      <c r="V2" s="208" ph="1"/>
      <c r="W2" s="208" ph="1"/>
      <c r="X2" s="208" ph="1"/>
      <c r="Y2" s="208" ph="1"/>
      <c r="Z2" s="208" ph="1"/>
      <c r="AA2" s="208" ph="1"/>
      <c r="AB2" s="208" ph="1"/>
      <c r="AC2" s="208" ph="1"/>
      <c r="AD2" s="208" ph="1"/>
      <c r="AE2" s="208" ph="1"/>
    </row>
    <row r="3" spans="1:53" ht="21" customHeight="1" ph="1">
      <c r="B3" s="209" ph="1">
        <v>46155</v>
      </c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209"/>
      <c r="P3" s="209"/>
      <c r="Q3" s="209"/>
      <c r="R3" s="209"/>
      <c r="S3" s="209"/>
      <c r="T3" s="209"/>
      <c r="U3" s="209"/>
      <c r="V3" s="209"/>
      <c r="W3" s="209"/>
      <c r="X3" s="209"/>
      <c r="Y3" s="209"/>
      <c r="Z3" s="209"/>
      <c r="AA3" s="209"/>
      <c r="AB3" s="209"/>
      <c r="AC3" s="209"/>
      <c r="AD3" s="209"/>
      <c r="AE3" s="209"/>
    </row>
    <row r="4" spans="1:53" s="58" customFormat="1" ph="1">
      <c r="A4" s="54" ph="1"/>
      <c r="B4" s="188" t="s" ph="1">
        <v>25</v>
      </c>
      <c r="C4" s="56" t="s" ph="1">
        <v>41</v>
      </c>
      <c r="D4" s="57" t="s" ph="1">
        <v>89</v>
      </c>
      <c r="E4" s="57" t="s" ph="1">
        <v>90</v>
      </c>
      <c r="F4" s="57" t="s" ph="1">
        <v>27</v>
      </c>
      <c r="G4" s="57" t="s" ph="1">
        <v>54</v>
      </c>
      <c r="H4" s="57" t="s" ph="1">
        <v>88</v>
      </c>
      <c r="I4" s="57" t="s" ph="1">
        <v>91</v>
      </c>
      <c r="J4" s="57" t="s" ph="1">
        <v>57</v>
      </c>
      <c r="K4" s="57" t="s" ph="1">
        <v>58</v>
      </c>
      <c r="L4" s="57" t="s" ph="1">
        <v>59</v>
      </c>
      <c r="M4" s="57" t="s" ph="1">
        <v>60</v>
      </c>
      <c r="N4" s="57" t="s" ph="1">
        <v>61</v>
      </c>
      <c r="O4" s="57" t="s" ph="1">
        <v>62</v>
      </c>
      <c r="P4" s="57" t="s" ph="1">
        <v>63</v>
      </c>
      <c r="Q4" s="57" ph="1"/>
      <c r="R4" s="57" ph="1"/>
      <c r="S4" s="57" ph="1"/>
      <c r="T4" s="57" ph="1"/>
      <c r="U4" s="57" ph="1"/>
      <c r="V4" s="57" ph="1"/>
      <c r="W4" s="57" ph="1"/>
      <c r="X4" s="57" ph="1"/>
      <c r="Y4" s="57" ph="1"/>
      <c r="Z4" s="57" ph="1"/>
      <c r="AA4" s="57" ph="1"/>
      <c r="AB4" s="57" ph="1"/>
      <c r="AC4" s="57" ph="1"/>
      <c r="AD4" s="57" ph="1"/>
      <c r="AE4" s="57" ph="1"/>
      <c r="AF4" s="54" ph="1"/>
      <c r="AG4" s="54" ph="1"/>
      <c r="AH4" s="54" ph="1"/>
      <c r="AI4" s="54" ph="1"/>
      <c r="AJ4" s="54" ph="1"/>
      <c r="AK4" s="54" ph="1"/>
      <c r="AL4" s="54" ph="1"/>
      <c r="AM4" s="54" ph="1"/>
      <c r="AN4" s="54" ph="1"/>
      <c r="AO4" s="54" ph="1"/>
      <c r="AP4" s="54" ph="1"/>
      <c r="AQ4" s="54" ph="1"/>
      <c r="AR4" s="54" ph="1"/>
      <c r="AS4" s="54" ph="1"/>
      <c r="AT4" s="54" ph="1"/>
      <c r="AU4" s="54" ph="1"/>
      <c r="AV4" s="54" ph="1"/>
      <c r="AW4" s="54" ph="1"/>
      <c r="AX4" s="54" ph="1"/>
      <c r="AY4" s="54" ph="1"/>
      <c r="AZ4" s="54" ph="1"/>
      <c r="BA4" s="54" ph="1"/>
    </row>
    <row r="5" spans="1:53" s="58" customFormat="1" ht="29.25" customHeight="1" ph="1">
      <c r="A5" s="54" ph="1"/>
      <c r="B5" s="188" ph="1"/>
      <c r="C5" s="56" t="s" ph="1">
        <v>24</v>
      </c>
      <c r="D5" s="103" t="s" ph="1">
        <v>64</v>
      </c>
      <c r="E5" s="103" t="s" ph="1">
        <v>64</v>
      </c>
      <c r="F5" s="103" t="s" ph="1">
        <v>86</v>
      </c>
      <c r="G5" s="103" t="s" ph="1">
        <v>86</v>
      </c>
      <c r="H5" s="103" t="s" ph="1">
        <v>64</v>
      </c>
      <c r="I5" s="103" t="s" ph="1">
        <v>64</v>
      </c>
      <c r="J5" s="103" t="s" ph="1">
        <v>86</v>
      </c>
      <c r="K5" s="103" t="s" ph="1">
        <v>86</v>
      </c>
      <c r="L5" s="102" t="s" ph="1">
        <v>51</v>
      </c>
      <c r="M5" s="102" t="s" ph="1">
        <v>65</v>
      </c>
      <c r="N5" s="102" t="s" ph="1">
        <v>51</v>
      </c>
      <c r="O5" s="102" t="s" ph="1">
        <v>66</v>
      </c>
      <c r="P5" s="102" t="s" ph="1">
        <v>66</v>
      </c>
      <c r="Q5" s="59" ph="1"/>
      <c r="R5" s="59" ph="1"/>
      <c r="S5" s="59" ph="1"/>
      <c r="T5" s="59" ph="1"/>
      <c r="U5" s="59" ph="1"/>
      <c r="V5" s="59" ph="1"/>
      <c r="W5" s="59" ph="1"/>
      <c r="X5" s="59" ph="1"/>
      <c r="Y5" s="59" ph="1"/>
      <c r="Z5" s="59" ph="1"/>
      <c r="AA5" s="59" ph="1"/>
      <c r="AB5" s="59" ph="1"/>
      <c r="AC5" s="59" ph="1"/>
      <c r="AD5" s="60"/>
      <c r="AE5" s="60"/>
      <c r="AF5" s="54" ph="1"/>
      <c r="AG5" s="54" ph="1"/>
      <c r="AH5" s="54" ph="1"/>
      <c r="AI5" s="54" ph="1"/>
      <c r="AJ5" s="54" ph="1"/>
      <c r="AK5" s="54" ph="1"/>
      <c r="AL5" s="54" ph="1"/>
      <c r="AM5" s="54" ph="1"/>
      <c r="AN5" s="54" ph="1"/>
      <c r="AO5" s="54" ph="1"/>
      <c r="AP5" s="54" ph="1"/>
      <c r="AQ5" s="54" ph="1"/>
      <c r="AR5" s="54" ph="1"/>
      <c r="AS5" s="54" ph="1"/>
      <c r="AT5" s="54" ph="1"/>
      <c r="AU5" s="54" ph="1"/>
      <c r="AV5" s="54" ph="1"/>
      <c r="AW5" s="54" ph="1"/>
      <c r="AX5" s="54" ph="1"/>
      <c r="AY5" s="54" ph="1"/>
      <c r="AZ5" s="54" ph="1"/>
      <c r="BA5" s="54" ph="1"/>
    </row>
    <row r="6" spans="1:53" ph="1">
      <c r="B6" s="206" ph="1">
        <v>0.33333333333333331</v>
      </c>
      <c r="C6" s="134" t="s" ph="1">
        <v>42</v>
      </c>
      <c r="D6" s="109">
        <v>0.99009999999999998</v>
      </c>
      <c r="E6" s="109">
        <v>0.1145</v>
      </c>
      <c r="F6" s="109">
        <v>0</v>
      </c>
      <c r="G6" s="109">
        <v>0</v>
      </c>
      <c r="H6" s="60">
        <v>5709</v>
      </c>
      <c r="I6" s="60">
        <v>4734</v>
      </c>
      <c r="J6" s="60">
        <v>0</v>
      </c>
      <c r="K6" s="60">
        <v>0</v>
      </c>
      <c r="L6" s="60">
        <v>2538</v>
      </c>
      <c r="M6" s="60">
        <v>1903</v>
      </c>
      <c r="N6" s="60">
        <v>4704</v>
      </c>
      <c r="O6" s="60">
        <v>2871</v>
      </c>
      <c r="P6" s="60">
        <v>230</v>
      </c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</row>
    <row r="7" spans="1:53" s="61" customFormat="1" ht="22.2" ph="1">
      <c r="B7" s="206" ph="1"/>
      <c r="C7" s="57" t="s" ph="1">
        <v>43</v>
      </c>
      <c r="D7" s="62" ph="1">
        <f>((D6*5885)*4.48)*LOOKUP(D8,密度!$A$2:$A$50,密度!$B$2:$B$50)</f>
        <v>20191.28038928</v>
      </c>
      <c r="E7" s="62" ph="1">
        <f>((E6*5885)*4.48)*LOOKUP(E8,密度!$A$2:$A$50,密度!$B$2:$B$50)</f>
        <v>2335.0182856000001</v>
      </c>
      <c r="F7" s="62" ph="1">
        <f>((F6*5885)*4.48)*LOOKUP(F8,密度!$A$2:$A$50,密度!$B$2:$B$50)</f>
        <v>0</v>
      </c>
      <c r="G7" s="62" ph="1">
        <f>((G6*5885)*4.48)*LOOKUP(G8,密度!$A$2:$A$50,密度!$B$2:$B$50)</f>
        <v>0</v>
      </c>
      <c r="H7" s="62" ph="1">
        <f>IF(H6&lt;=0,0,IF(H6&lt;=745,PI()*(5.3235*(H6/1000)^2-(4/3)*(H6/1000)^3),7.55+15.2053*((H6-745)/1000))*LOOKUP(H8,密度!$A$2:$A$50,密度!$B$2:$B$50)*1000)</f>
        <v>64223.015966199993</v>
      </c>
      <c r="I7" s="62" ph="1">
        <f>IF(I6&lt;=0,0,IF(I6&lt;=745,PI()*(5.3235*(I6/1000)^2-(4/3)*(I6/1000)^3),7.55+15.2053*((I6-745)/1000))*LOOKUP(I8,密度!$A$2:$A$50,密度!$B$2:$B$50)*1000)</f>
        <v>52755.74890495</v>
      </c>
      <c r="J7" s="62" ph="1">
        <f>IF(J6&lt;=0,0,IF(J6&lt;=745,PI()*(5.3235*(J6/1000)^2-(4/3)*(J6/1000)^3),7.55+15.2053*((J6-745)/1000))*LOOKUP(J8,密度!$A$2:$A$50,密度!$B$2:$B$50)*1000)</f>
        <v>0</v>
      </c>
      <c r="K7" s="62" ph="1">
        <f>IF(K6&lt;=0,0,IF(K6&lt;=745,PI()*(5.3235*(K6/1000)^2-(4/3)*(K6/1000)^3),7.55+15.2053*((K6-745)/1000))*LOOKUP(K8,密度!$A$2:$A$50,密度!$B$2:$B$50)*1000)</f>
        <v>0</v>
      </c>
      <c r="L7" s="62" ph="1">
        <f>L6*26.42*LOOKUP(L8,密度!$A$2:$A$50,密度!$B$2:$B$50)</f>
        <v>51986.935188000003</v>
      </c>
      <c r="M7" s="62" ph="1">
        <f>M6*26.42*1</f>
        <v>50277.26</v>
      </c>
      <c r="N7" s="62" ph="1">
        <f>N6*18.32*LOOKUP(N8,密度!$A$2:$A$50,密度!$B$2:$B$50)</f>
        <v>66813.245183999999</v>
      </c>
      <c r="O7" s="62" ph="1">
        <f>O6*81.71*LOOKUP(O8,密度!$A$2:$A$50,密度!$B$2:$B$50)</f>
        <v>182088.30004199999</v>
      </c>
      <c r="P7" s="62" ph="1">
        <f>P6*81.71*LOOKUP(P8,密度!$A$2:$A$50,密度!$B$2:$B$50)</f>
        <v>14570.44549</v>
      </c>
      <c r="Q7" s="62" ph="1"/>
      <c r="R7" s="62" ph="1"/>
      <c r="S7" s="62" ph="1"/>
      <c r="T7" s="62" ph="1"/>
      <c r="U7" s="62" ph="1"/>
      <c r="V7" s="62" ph="1"/>
      <c r="W7" s="62" ph="1"/>
      <c r="X7" s="62" ph="1"/>
      <c r="Y7" s="62" ph="1"/>
      <c r="Z7" s="62" ph="1"/>
      <c r="AA7" s="62" ph="1"/>
      <c r="AB7" s="62" ph="1"/>
      <c r="AC7" s="62" ph="1"/>
      <c r="AD7" s="62" ph="1"/>
      <c r="AE7" s="62" ph="1"/>
    </row>
    <row r="8" spans="1:53" ph="1">
      <c r="B8" s="206" ph="1"/>
      <c r="C8" s="57" t="s" ph="1">
        <v>44</v>
      </c>
      <c r="D8" s="63">
        <v>32</v>
      </c>
      <c r="E8" s="63">
        <v>32</v>
      </c>
      <c r="F8" s="63">
        <v>29</v>
      </c>
      <c r="G8" s="63">
        <v>30</v>
      </c>
      <c r="H8" s="63">
        <v>32</v>
      </c>
      <c r="I8" s="63">
        <v>32</v>
      </c>
      <c r="J8" s="63">
        <v>31</v>
      </c>
      <c r="K8" s="63">
        <v>30</v>
      </c>
      <c r="L8" s="63">
        <v>30</v>
      </c>
      <c r="M8" s="63">
        <v>30</v>
      </c>
      <c r="N8" s="63">
        <v>30</v>
      </c>
      <c r="O8" s="63">
        <v>29</v>
      </c>
      <c r="P8" s="63">
        <v>30</v>
      </c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</row>
    <row r="9" spans="1:53" ht="26.4" ph="1">
      <c r="B9" s="206" ph="1">
        <v>0.66666666666666663</v>
      </c>
      <c r="C9" s="134" t="s" ph="1">
        <v>45</v>
      </c>
      <c r="D9" s="109">
        <v>0.99039999999999995</v>
      </c>
      <c r="E9" s="109">
        <v>0.43219999999999997</v>
      </c>
      <c r="F9" s="109">
        <v>0</v>
      </c>
      <c r="G9" s="109">
        <v>0</v>
      </c>
      <c r="H9" s="60">
        <v>4788</v>
      </c>
      <c r="I9" s="60">
        <v>3890</v>
      </c>
      <c r="J9" s="60">
        <v>0</v>
      </c>
      <c r="K9" s="60">
        <v>0</v>
      </c>
      <c r="L9" s="60">
        <v>2622</v>
      </c>
      <c r="M9" s="60">
        <v>1902</v>
      </c>
      <c r="N9" s="60">
        <v>4731</v>
      </c>
      <c r="O9" s="60">
        <v>3573</v>
      </c>
      <c r="P9" s="60">
        <v>489</v>
      </c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</row>
    <row r="10" spans="1:53" s="61" customFormat="1" ht="22.2" ph="1">
      <c r="B10" s="206" ph="1"/>
      <c r="C10" s="134" t="s" ph="1">
        <v>43</v>
      </c>
      <c r="D10" s="62" ph="1">
        <f>((D9*5885)*4.48)*LOOKUP(D11,密度!$A$2:$A$50,密度!$B$2:$B$50)</f>
        <v>20197.398341120002</v>
      </c>
      <c r="E10" s="62" ph="1">
        <f>((E9*5885)*4.48)*LOOKUP(E11,密度!$A$2:$A$50,密度!$B$2:$B$50)</f>
        <v>8794.5580110080009</v>
      </c>
      <c r="F10" s="62" ph="1">
        <f>((F9*5885)*4.48)*LOOKUP(F11,密度!$A$2:$A$50,密度!$B$2:$B$50)</f>
        <v>0</v>
      </c>
      <c r="G10" s="62" ph="1">
        <f>((G9*5885)*4.48)*LOOKUP(G11,密度!$A$2:$A$50,密度!$B$2:$B$50)</f>
        <v>0</v>
      </c>
      <c r="H10" s="62" ph="1">
        <f>IF(H9&lt;=0,0,IF(H9&lt;=745,PI()*(5.3235*(H9/1000)^2-(4/3)*(H9/1000)^3),7.55+15.2053*((H9-745)/1000))*LOOKUP(H11,密度!$A$2:$A$50,密度!$B$2:$B$50)*1000)</f>
        <v>53273.516533220005</v>
      </c>
      <c r="I10" s="62" ph="1">
        <f>IF(I9&lt;=0,0,IF(I9&lt;=745,PI()*(5.3235*(I9/1000)^2-(4/3)*(I9/1000)^3),7.55+15.2053*((I9-745)/1000))*LOOKUP(I11,密度!$A$2:$A$50,密度!$B$2:$B$50)*1000)</f>
        <v>42784.915549949998</v>
      </c>
      <c r="J10" s="62" ph="1">
        <f>IF(J9&lt;=0,0,IF(J9&lt;=745,PI()*(5.3235*(J9/1000)^2-(4/3)*(J9/1000)^3),7.55+15.2053*((J9-745)/1000))*LOOKUP(J11,密度!$A$2:$A$50,密度!$B$2:$B$50)*1000)</f>
        <v>0</v>
      </c>
      <c r="K10" s="62" ph="1">
        <f>IF(K9&lt;=0,0,IF(K9&lt;=745,PI()*(5.3235*(K9/1000)^2-(4/3)*(K9/1000)^3),7.55+15.2053*((K9-745)/1000))*LOOKUP(K11,密度!$A$2:$A$50,密度!$B$2:$B$50)*1000)</f>
        <v>0</v>
      </c>
      <c r="L10" s="62" ph="1">
        <f>L9*26.42*LOOKUP(L11,密度!$A$2:$A$50,密度!$B$2:$B$50)</f>
        <v>53707.542972000003</v>
      </c>
      <c r="M10" s="62" ph="1">
        <f>M9*26.42*1</f>
        <v>50250.840000000004</v>
      </c>
      <c r="N10" s="62" ph="1">
        <f>N9*18.32*LOOKUP(N11,密度!$A$2:$A$50,密度!$B$2:$B$50)</f>
        <v>67118.734847999993</v>
      </c>
      <c r="O10" s="62" ph="1">
        <f>O9*81.71*LOOKUP(O11,密度!$A$2:$A$50,密度!$B$2:$B$50)</f>
        <v>226611.45804599996</v>
      </c>
      <c r="P10" s="62" ph="1">
        <f>P9*81.71*LOOKUP(P11,密度!$A$2:$A$50,密度!$B$2:$B$50)</f>
        <v>30978.034106999996</v>
      </c>
      <c r="Q10" s="62" ph="1"/>
      <c r="R10" s="62" ph="1"/>
      <c r="S10" s="62" ph="1"/>
      <c r="T10" s="62" ph="1"/>
      <c r="U10" s="62" ph="1"/>
      <c r="V10" s="62" ph="1"/>
      <c r="W10" s="62" ph="1"/>
      <c r="X10" s="62" ph="1"/>
      <c r="Y10" s="62" ph="1"/>
      <c r="Z10" s="62" ph="1"/>
      <c r="AA10" s="62" ph="1"/>
      <c r="AB10" s="62" ph="1"/>
      <c r="AC10" s="62" ph="1"/>
      <c r="AD10" s="62" ph="1"/>
      <c r="AE10" s="62" ph="1"/>
    </row>
    <row r="11" spans="1:53" ph="1">
      <c r="A11" s="53" t="s" ph="1">
        <v>40</v>
      </c>
      <c r="B11" s="206" ph="1"/>
      <c r="C11" s="134" t="s" ph="1">
        <v>44</v>
      </c>
      <c r="D11" s="63">
        <v>32</v>
      </c>
      <c r="E11" s="63">
        <v>34</v>
      </c>
      <c r="F11" s="63">
        <v>34</v>
      </c>
      <c r="G11" s="63">
        <v>35</v>
      </c>
      <c r="H11" s="63">
        <v>34</v>
      </c>
      <c r="I11" s="63">
        <v>33</v>
      </c>
      <c r="J11" s="63">
        <v>33</v>
      </c>
      <c r="K11" s="63">
        <v>34</v>
      </c>
      <c r="L11" s="63">
        <v>30</v>
      </c>
      <c r="M11" s="63">
        <v>30</v>
      </c>
      <c r="N11" s="63">
        <v>31</v>
      </c>
      <c r="O11" s="63">
        <v>29</v>
      </c>
      <c r="P11" s="63">
        <v>30</v>
      </c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</row>
    <row r="12" spans="1:53" ht="9.9" customHeight="1" ph="1">
      <c r="I12" s="65" ph="1"/>
      <c r="U12" s="119" ph="1"/>
    </row>
    <row r="13" spans="1:53" s="61" customFormat="1" ht="29.25" customHeight="1" ph="1">
      <c r="B13" s="183" t="s" ph="1">
        <v>25</v>
      </c>
      <c r="C13" s="134" t="s" ph="1">
        <v>41</v>
      </c>
      <c r="D13" s="65" ph="1"/>
      <c r="E13" s="65" ph="1"/>
      <c r="F13" s="65" ph="1"/>
      <c r="G13" s="65" ph="1"/>
      <c r="H13" s="65" ph="1"/>
      <c r="I13" s="61"/>
      <c r="J13" s="65" ph="1"/>
      <c r="K13" s="65" ph="1"/>
      <c r="L13" s="65" ph="1"/>
      <c r="M13" s="65" ph="1"/>
      <c r="N13" s="65" ph="1"/>
      <c r="O13" s="65" ph="1"/>
      <c r="P13" s="65" ph="1"/>
      <c r="Q13" s="65" ph="1"/>
      <c r="R13" s="65" ph="1"/>
      <c r="S13" s="65" ph="1"/>
      <c r="T13" s="65" ph="1"/>
      <c r="U13" s="65" ph="1"/>
      <c r="V13" s="65" ph="1"/>
      <c r="W13" s="65" ph="1"/>
      <c r="X13" s="65" ph="1"/>
      <c r="Y13" s="94" ph="1"/>
      <c r="Z13" s="65" ph="1"/>
      <c r="AA13" s="65" ph="1"/>
      <c r="AB13" s="65" ph="1"/>
      <c r="AC13" s="65" ph="1"/>
      <c r="AD13" s="65" ph="1"/>
      <c r="AE13" s="65" ph="1"/>
    </row>
    <row r="14" spans="1:53" s="61" customFormat="1" ht="24" ph="1">
      <c r="B14" s="184" ph="1"/>
      <c r="C14" s="56" t="s" ph="1">
        <v>24</v>
      </c>
      <c r="D14" s="66" ph="1"/>
      <c r="E14" s="66" ph="1"/>
      <c r="F14" s="108" ph="1"/>
      <c r="G14" s="66" ph="1"/>
      <c r="H14" s="66" ph="1"/>
      <c r="I14" s="101" ph="1"/>
      <c r="J14" s="66" ph="1"/>
      <c r="K14" s="66" ph="1"/>
      <c r="L14" s="66" ph="1"/>
      <c r="M14" s="93" ph="1"/>
      <c r="N14" s="93" ph="1"/>
      <c r="O14" s="93" ph="1"/>
      <c r="P14" s="66" ph="1"/>
      <c r="Q14" s="66" ph="1"/>
      <c r="R14" s="77" ph="1"/>
      <c r="S14" s="66" ph="1"/>
      <c r="T14" s="66" ph="1"/>
      <c r="U14" s="66" ph="1"/>
      <c r="V14" s="66" ph="1"/>
      <c r="W14" s="66" ph="1"/>
      <c r="X14" s="66" ph="1"/>
      <c r="Y14" s="104" ph="1"/>
      <c r="Z14" s="66" ph="1"/>
      <c r="AA14" s="66" ph="1"/>
      <c r="AB14" s="66" ph="1"/>
      <c r="AC14" s="66" ph="1"/>
      <c r="AD14" s="66" ph="1"/>
      <c r="AE14" s="66" ph="1"/>
    </row>
    <row r="15" spans="1:53" ht="26.4" ph="1">
      <c r="B15" s="185" ph="1">
        <v>0.33333333333333331</v>
      </c>
      <c r="C15" s="68" t="s" ph="1">
        <v>45</v>
      </c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0"/>
      <c r="X15" s="67"/>
      <c r="Y15" s="95"/>
      <c r="Z15" s="67"/>
      <c r="AA15" s="67"/>
      <c r="AB15" s="67" ph="1"/>
      <c r="AC15" s="67" ph="1"/>
      <c r="AD15" s="67"/>
      <c r="AE15" s="67"/>
    </row>
    <row r="16" spans="1:53" s="61" customFormat="1" ht="26.4" ph="1">
      <c r="B16" s="186" ph="1"/>
      <c r="C16" s="134" t="s" ph="1">
        <v>43</v>
      </c>
      <c r="D16" s="62" ph="1"/>
      <c r="E16" s="62" ph="1"/>
      <c r="F16" s="62" ph="1"/>
      <c r="G16" s="62" ph="1"/>
      <c r="H16" s="62" ph="1"/>
      <c r="I16" s="62" ph="1"/>
      <c r="J16" s="62" ph="1"/>
      <c r="K16" s="62" ph="1"/>
      <c r="L16" s="62" ph="1"/>
      <c r="M16" s="62" ph="1"/>
      <c r="N16" s="62" ph="1"/>
      <c r="O16" s="62" ph="1"/>
      <c r="P16" s="62" ph="1"/>
      <c r="Q16" s="62" ph="1"/>
      <c r="R16" s="62" ph="1"/>
      <c r="S16" s="62" ph="1"/>
      <c r="T16" s="62" ph="1"/>
      <c r="U16" s="62" ph="1"/>
      <c r="V16" s="62" ph="1"/>
      <c r="W16" s="120" ph="1"/>
      <c r="X16" s="62" ph="1"/>
      <c r="Y16" s="96" ph="1"/>
      <c r="Z16" s="62" ph="1"/>
      <c r="AA16" s="62" ph="1"/>
      <c r="AB16" s="62" ph="1"/>
      <c r="AC16" s="62" ph="1"/>
      <c r="AD16" s="62" ph="1"/>
      <c r="AE16" s="62" ph="1"/>
    </row>
    <row r="17" spans="1:32" ph="1">
      <c r="A17" s="53" t="s" ph="1">
        <v>33</v>
      </c>
      <c r="B17" s="187" ph="1"/>
      <c r="C17" s="68" t="s" ph="1">
        <v>44</v>
      </c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121"/>
      <c r="W17" s="63"/>
      <c r="X17" s="63"/>
      <c r="Y17" s="97"/>
      <c r="Z17" s="63"/>
      <c r="AA17" s="63"/>
      <c r="AB17" s="63"/>
      <c r="AC17" s="63"/>
      <c r="AD17" s="63"/>
      <c r="AE17" s="63"/>
    </row>
    <row r="18" spans="1:32" ht="26.4" ph="1">
      <c r="B18" s="185" ph="1">
        <v>0.66666666666666663</v>
      </c>
      <c r="C18" s="68" t="s" ph="1">
        <v>45</v>
      </c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98"/>
      <c r="Z18" s="60"/>
      <c r="AA18" s="60"/>
      <c r="AB18" s="60"/>
      <c r="AC18" s="60"/>
      <c r="AD18" s="60"/>
      <c r="AE18" s="60"/>
    </row>
    <row r="19" spans="1:32" s="61" customFormat="1" ht="22.2" ph="1">
      <c r="B19" s="186" ph="1"/>
      <c r="C19" s="134" t="s" ph="1">
        <v>43</v>
      </c>
      <c r="D19" s="62" ph="1"/>
      <c r="E19" s="62" ph="1"/>
      <c r="F19" s="62" ph="1"/>
      <c r="G19" s="62" ph="1"/>
      <c r="H19" s="62" ph="1"/>
      <c r="I19" s="62" ph="1"/>
      <c r="J19" s="62" ph="1"/>
      <c r="K19" s="62" ph="1"/>
      <c r="L19" s="62" ph="1"/>
      <c r="M19" s="62" ph="1"/>
      <c r="N19" s="62" ph="1"/>
      <c r="O19" s="62" ph="1"/>
      <c r="P19" s="62" ph="1"/>
      <c r="Q19" s="62" ph="1"/>
      <c r="R19" s="62" ph="1"/>
      <c r="S19" s="62" ph="1"/>
      <c r="T19" s="62" ph="1"/>
      <c r="U19" s="62" ph="1"/>
      <c r="V19" s="62" ph="1"/>
      <c r="W19" s="62" ph="1"/>
      <c r="X19" s="62" ph="1"/>
      <c r="Y19" s="62" ph="1"/>
      <c r="Z19" s="62" ph="1"/>
      <c r="AA19" s="62" ph="1"/>
      <c r="AB19" s="62" ph="1"/>
      <c r="AC19" s="62" ph="1"/>
      <c r="AD19" s="62" ph="1"/>
      <c r="AE19" s="62" ph="1"/>
    </row>
    <row r="20" spans="1:32" ph="1">
      <c r="A20" s="61" ph="1"/>
      <c r="B20" s="186" ph="1"/>
      <c r="C20" s="69" t="s" ph="1">
        <v>44</v>
      </c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99"/>
      <c r="Z20" s="70"/>
      <c r="AA20" s="70"/>
      <c r="AB20" s="70"/>
      <c r="AC20" s="70"/>
      <c r="AD20" s="70"/>
      <c r="AE20" s="70"/>
      <c r="AF20" s="53" t="s" ph="1">
        <v>23</v>
      </c>
    </row>
    <row r="21" spans="1:32" ph="1">
      <c r="A21" s="61" ph="1"/>
      <c r="B21" s="71" ph="1"/>
      <c r="C21" s="72" ph="1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</row>
    <row r="22" spans="1:32" ph="1">
      <c r="A22" s="61" ph="1"/>
      <c r="B22" s="184" t="s" ph="1">
        <v>25</v>
      </c>
      <c r="C22" s="74" t="s" ph="1">
        <v>41</v>
      </c>
      <c r="D22" s="75" ph="1"/>
      <c r="E22" s="75" ph="1"/>
      <c r="F22" s="75" ph="1"/>
      <c r="G22" s="75" ph="1"/>
      <c r="H22" s="75" ph="1"/>
      <c r="I22" s="75" ph="1"/>
      <c r="J22" s="75" ph="1"/>
      <c r="K22" s="75" ph="1"/>
      <c r="L22" s="75" ph="1"/>
      <c r="M22" s="75" ph="1"/>
      <c r="N22" s="75" ph="1"/>
      <c r="O22" s="75" ph="1"/>
      <c r="P22" s="75" ph="1"/>
      <c r="Q22" s="76" ph="1"/>
      <c r="R22" s="75" ph="1"/>
      <c r="S22" s="75" ph="1"/>
      <c r="T22" s="75" ph="1"/>
      <c r="U22" s="75" ph="1"/>
      <c r="V22" s="75" ph="1"/>
      <c r="W22" s="75" ph="1"/>
      <c r="X22" s="75" ph="1"/>
      <c r="Y22" s="75" ph="1"/>
      <c r="Z22" s="194" t="s" ph="1">
        <v>31</v>
      </c>
      <c r="AA22" s="195"/>
      <c r="AB22" s="195"/>
      <c r="AC22" s="195"/>
      <c r="AD22" s="195"/>
      <c r="AE22" s="196"/>
    </row>
    <row r="23" spans="1:32" ph="1">
      <c r="A23" s="61" ph="1"/>
      <c r="B23" s="188" ph="1"/>
      <c r="C23" s="56" t="s" ph="1">
        <v>24</v>
      </c>
      <c r="D23" s="77" ph="1"/>
      <c r="E23" s="77" ph="1"/>
      <c r="F23" s="77" ph="1"/>
      <c r="G23" s="77" ph="1"/>
      <c r="H23" s="77" ph="1"/>
      <c r="I23" s="77" ph="1"/>
      <c r="J23" s="77" ph="1"/>
      <c r="K23" s="77" ph="1"/>
      <c r="L23" s="77" ph="1"/>
      <c r="M23" s="77" ph="1"/>
      <c r="N23" s="77" ph="1"/>
      <c r="O23" s="77" ph="1"/>
      <c r="P23" s="77" ph="1"/>
      <c r="Q23" s="78" ph="1"/>
      <c r="R23" s="77" ph="1"/>
      <c r="S23" s="77" ph="1"/>
      <c r="T23" s="77" ph="1"/>
      <c r="U23" s="93" ph="1"/>
      <c r="V23" s="77" ph="1"/>
      <c r="W23" s="77" ph="1"/>
      <c r="X23" s="77" ph="1"/>
      <c r="Y23" s="77" ph="1"/>
      <c r="Z23" s="197" t="s" ph="1">
        <v>67</v>
      </c>
      <c r="AA23" s="198"/>
      <c r="AB23" s="198"/>
      <c r="AC23" s="198"/>
      <c r="AD23" s="198"/>
      <c r="AE23" s="199"/>
    </row>
    <row r="24" spans="1:32" ht="26.4" ph="1">
      <c r="A24" s="61" ph="1"/>
      <c r="B24" s="206" ph="1">
        <v>0.33333333333333331</v>
      </c>
      <c r="C24" s="68" t="s" ph="1">
        <v>45</v>
      </c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79"/>
      <c r="R24" s="60"/>
      <c r="S24" s="60"/>
      <c r="T24" s="60"/>
      <c r="U24" s="60"/>
      <c r="V24" s="60"/>
      <c r="W24" s="60"/>
      <c r="X24" s="60"/>
      <c r="Y24" s="60"/>
      <c r="Z24" s="200"/>
      <c r="AA24" s="201"/>
      <c r="AB24" s="201"/>
      <c r="AC24" s="201"/>
      <c r="AD24" s="201"/>
      <c r="AE24" s="202"/>
    </row>
    <row r="25" spans="1:32" ph="1">
      <c r="A25" s="61" ph="1"/>
      <c r="B25" s="206" ph="1"/>
      <c r="C25" s="57" t="s" ph="1">
        <v>43</v>
      </c>
      <c r="D25" s="80" ph="1"/>
      <c r="E25" s="80" ph="1"/>
      <c r="F25" s="80" ph="1"/>
      <c r="G25" s="80" ph="1"/>
      <c r="H25" s="80" ph="1"/>
      <c r="I25" s="80" ph="1"/>
      <c r="J25" s="80" ph="1"/>
      <c r="K25" s="80" ph="1"/>
      <c r="L25" s="80" ph="1"/>
      <c r="M25" s="80" ph="1"/>
      <c r="N25" s="80" ph="1"/>
      <c r="O25" s="80" ph="1"/>
      <c r="P25" s="80" ph="1"/>
      <c r="Q25" s="81" ph="1"/>
      <c r="R25" s="80" ph="1"/>
      <c r="S25" s="80" ph="1"/>
      <c r="T25" s="80" ph="1"/>
      <c r="U25" s="80" ph="1"/>
      <c r="V25" s="80" ph="1"/>
      <c r="W25" s="80" ph="1"/>
      <c r="X25" s="80" ph="1"/>
      <c r="Y25" s="80" ph="1"/>
      <c r="Z25" s="200"/>
      <c r="AA25" s="201"/>
      <c r="AB25" s="201"/>
      <c r="AC25" s="201"/>
      <c r="AD25" s="201"/>
      <c r="AE25" s="202"/>
    </row>
    <row r="26" spans="1:32" ph="1">
      <c r="A26" s="61" ph="1"/>
      <c r="B26" s="206" ph="1"/>
      <c r="C26" s="57" t="s" ph="1">
        <v>44</v>
      </c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82"/>
      <c r="R26" s="63"/>
      <c r="S26" s="63"/>
      <c r="T26" s="63"/>
      <c r="U26" s="63"/>
      <c r="V26" s="63"/>
      <c r="W26" s="63"/>
      <c r="X26" s="63"/>
      <c r="Y26" s="63"/>
      <c r="Z26" s="200"/>
      <c r="AA26" s="201"/>
      <c r="AB26" s="201"/>
      <c r="AC26" s="201"/>
      <c r="AD26" s="201"/>
      <c r="AE26" s="202"/>
    </row>
    <row r="27" spans="1:32" ht="26.4" ph="1">
      <c r="A27" s="61" ph="1"/>
      <c r="B27" s="206" ph="1">
        <v>0.66666666666666663</v>
      </c>
      <c r="C27" s="134" t="s" ph="1">
        <v>45</v>
      </c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79"/>
      <c r="R27" s="60"/>
      <c r="S27" s="60"/>
      <c r="T27" s="60"/>
      <c r="U27" s="60"/>
      <c r="V27" s="60"/>
      <c r="W27" s="60"/>
      <c r="X27" s="60"/>
      <c r="Y27" s="60"/>
      <c r="Z27" s="200"/>
      <c r="AA27" s="201"/>
      <c r="AB27" s="201"/>
      <c r="AC27" s="201"/>
      <c r="AD27" s="201"/>
      <c r="AE27" s="202"/>
    </row>
    <row r="28" spans="1:32" ph="1">
      <c r="A28" s="61" ph="1"/>
      <c r="B28" s="206" ph="1"/>
      <c r="C28" s="134" t="s" ph="1">
        <v>43</v>
      </c>
      <c r="D28" s="80" ph="1"/>
      <c r="E28" s="80" ph="1"/>
      <c r="F28" s="80" ph="1"/>
      <c r="G28" s="80" ph="1"/>
      <c r="H28" s="80" ph="1"/>
      <c r="I28" s="80" ph="1"/>
      <c r="J28" s="80" ph="1"/>
      <c r="K28" s="80" ph="1"/>
      <c r="L28" s="80" ph="1"/>
      <c r="M28" s="80" ph="1"/>
      <c r="N28" s="80" ph="1"/>
      <c r="O28" s="80" ph="1"/>
      <c r="P28" s="80" ph="1"/>
      <c r="Q28" s="81" ph="1"/>
      <c r="R28" s="80" ph="1"/>
      <c r="S28" s="80" ph="1"/>
      <c r="T28" s="80" ph="1"/>
      <c r="U28" s="80" ph="1"/>
      <c r="V28" s="80" ph="1"/>
      <c r="W28" s="80" ph="1"/>
      <c r="X28" s="80" ph="1"/>
      <c r="Y28" s="80" ph="1"/>
      <c r="Z28" s="200"/>
      <c r="AA28" s="201"/>
      <c r="AB28" s="201"/>
      <c r="AC28" s="201"/>
      <c r="AD28" s="201"/>
      <c r="AE28" s="202"/>
    </row>
    <row r="29" spans="1:32" ph="1">
      <c r="A29" s="61" ph="1"/>
      <c r="B29" s="206" ph="1"/>
      <c r="C29" s="134" t="s" ph="1">
        <v>44</v>
      </c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82"/>
      <c r="R29" s="63"/>
      <c r="S29" s="63"/>
      <c r="T29" s="63"/>
      <c r="U29" s="63"/>
      <c r="V29" s="63"/>
      <c r="W29" s="63"/>
      <c r="X29" s="63"/>
      <c r="Y29" s="63"/>
      <c r="Z29" s="203"/>
      <c r="AA29" s="204"/>
      <c r="AB29" s="204"/>
      <c r="AC29" s="204"/>
      <c r="AD29" s="204"/>
      <c r="AE29" s="205"/>
    </row>
    <row r="30" spans="1:32" ph="1">
      <c r="D30" s="83" ph="1"/>
      <c r="Z30" s="53" t="s" ph="1">
        <v>23</v>
      </c>
      <c r="AE30" s="84" ph="1"/>
    </row>
    <row r="31" spans="1:32" ht="28.2" ph="1">
      <c r="A31" s="53"/>
      <c r="B31" s="189" t="s" ph="1">
        <v>23</v>
      </c>
      <c r="C31" s="190" ph="1"/>
      <c r="D31" s="167" t="s" ph="1">
        <v>3</v>
      </c>
      <c r="E31" s="168" ph="1"/>
      <c r="F31" s="169" ph="1"/>
      <c r="G31" s="193" ph="1"/>
      <c r="H31" s="168" ph="1"/>
      <c r="I31" s="169" ph="1"/>
      <c r="J31" s="167" ph="1"/>
      <c r="K31" s="168" ph="1"/>
      <c r="L31" s="169" ph="1"/>
      <c r="M31" s="167" ph="1"/>
      <c r="N31" s="168" ph="1"/>
      <c r="O31" s="169" ph="1"/>
      <c r="P31" s="167" ph="1"/>
      <c r="Q31" s="168"/>
      <c r="R31" s="169"/>
      <c r="S31" s="167" ph="1"/>
      <c r="T31" s="168"/>
      <c r="U31" s="169"/>
      <c r="V31" s="167" ph="1"/>
      <c r="W31" s="168" ph="1"/>
      <c r="X31" s="169" ph="1"/>
      <c r="Y31" s="167" ph="1"/>
      <c r="Z31" s="168" ph="1"/>
      <c r="AA31" s="169" ph="1"/>
      <c r="AB31" s="170"/>
      <c r="AC31" s="171"/>
      <c r="AD31" s="171"/>
      <c r="AE31" s="172"/>
    </row>
    <row r="32" spans="1:32" ph="1">
      <c r="A32" s="53"/>
      <c r="B32" s="191" ph="1"/>
      <c r="C32" s="192" ph="1"/>
      <c r="D32" s="85" t="s" ph="1">
        <v>0</v>
      </c>
      <c r="E32" s="134" t="s" ph="1">
        <v>1</v>
      </c>
      <c r="F32" s="135" t="s" ph="1">
        <v>28</v>
      </c>
      <c r="G32" s="86" t="s" ph="1">
        <v>0</v>
      </c>
      <c r="H32" s="134" t="s" ph="1">
        <v>1</v>
      </c>
      <c r="I32" s="135" t="s" ph="1">
        <v>28</v>
      </c>
      <c r="J32" s="86" t="s" ph="1">
        <v>0</v>
      </c>
      <c r="K32" s="134" t="s" ph="1">
        <v>1</v>
      </c>
      <c r="L32" s="135" t="s" ph="1">
        <v>28</v>
      </c>
      <c r="M32" s="86" t="s" ph="1">
        <v>0</v>
      </c>
      <c r="N32" s="134" t="s" ph="1">
        <v>1</v>
      </c>
      <c r="O32" s="135" t="s" ph="1">
        <v>28</v>
      </c>
      <c r="P32" s="86" t="s" ph="1">
        <v>0</v>
      </c>
      <c r="Q32" s="87" t="s" ph="1">
        <v>1</v>
      </c>
      <c r="R32" s="88" t="s" ph="1">
        <v>28</v>
      </c>
      <c r="S32" s="86" t="s" ph="1">
        <v>0</v>
      </c>
      <c r="T32" s="134" t="s" ph="1">
        <v>1</v>
      </c>
      <c r="U32" s="88" t="s" ph="1">
        <v>28</v>
      </c>
      <c r="V32" s="86" t="s" ph="1">
        <v>0</v>
      </c>
      <c r="W32" s="134" t="s" ph="1">
        <v>1</v>
      </c>
      <c r="X32" s="88" t="s" ph="1">
        <v>28</v>
      </c>
      <c r="Y32" s="89" t="s" ph="1">
        <v>0</v>
      </c>
      <c r="Z32" s="134" t="s" ph="1">
        <v>1</v>
      </c>
      <c r="AA32" s="135" t="s" ph="1">
        <v>28</v>
      </c>
      <c r="AB32" s="86" t="s" ph="1">
        <v>38</v>
      </c>
      <c r="AC32" s="134" t="s" ph="1">
        <v>37</v>
      </c>
      <c r="AD32" s="173" t="s" ph="1">
        <v>36</v>
      </c>
      <c r="AE32" s="174"/>
    </row>
    <row r="33" spans="1:31" ph="1">
      <c r="A33" s="53"/>
      <c r="B33" s="175" t="s" ph="1">
        <v>46</v>
      </c>
      <c r="C33" s="176" ph="1"/>
      <c r="D33" s="155" ph="1">
        <f>O10+P10</f>
        <v>257589.49215299994</v>
      </c>
      <c r="E33" s="155" ph="1">
        <f>H10+I10+J10+K10</f>
        <v>96058.432083170002</v>
      </c>
      <c r="F33" s="179" ph="1">
        <f>L10+N10</f>
        <v>120826.27781999999</v>
      </c>
      <c r="G33" s="181" ph="1">
        <v>0</v>
      </c>
      <c r="H33" s="155" ph="1">
        <v>0</v>
      </c>
      <c r="I33" s="159" ph="1">
        <v>0</v>
      </c>
      <c r="J33" s="163" ph="1">
        <v>0</v>
      </c>
      <c r="K33" s="155" ph="1">
        <v>0</v>
      </c>
      <c r="L33" s="165" ph="1">
        <v>0</v>
      </c>
      <c r="M33" s="163" ph="1">
        <v>0</v>
      </c>
      <c r="N33" s="155" ph="1">
        <v>0</v>
      </c>
      <c r="O33" s="159" ph="1">
        <f>G19</f>
        <v>0</v>
      </c>
      <c r="P33" s="163" ph="1">
        <v>0</v>
      </c>
      <c r="Q33" s="155" ph="1">
        <v>0</v>
      </c>
      <c r="R33" s="159" ph="1">
        <v>0</v>
      </c>
      <c r="S33" s="163" ph="1">
        <v>0</v>
      </c>
      <c r="T33" s="155" ph="1">
        <v>0</v>
      </c>
      <c r="U33" s="144" ph="1">
        <v>0</v>
      </c>
      <c r="V33" s="157" ph="1">
        <v>0</v>
      </c>
      <c r="W33" s="157" ph="1">
        <v>0</v>
      </c>
      <c r="X33" s="159" ph="1">
        <v>0</v>
      </c>
      <c r="Y33" s="161" ph="1">
        <v>0</v>
      </c>
      <c r="Z33" s="142" ph="1">
        <v>0</v>
      </c>
      <c r="AA33" s="144" ph="1">
        <v>0</v>
      </c>
      <c r="AB33" s="146" ph="1">
        <v>0</v>
      </c>
      <c r="AC33" s="148" ph="1">
        <v>0</v>
      </c>
      <c r="AD33" s="150" ph="1">
        <v>0</v>
      </c>
      <c r="AE33" s="151"/>
    </row>
    <row r="34" spans="1:31" ph="1">
      <c r="A34" s="53"/>
      <c r="B34" s="177" ph="1"/>
      <c r="C34" s="178" ph="1"/>
      <c r="D34" s="156" ph="1"/>
      <c r="E34" s="156" ph="1"/>
      <c r="F34" s="180" ph="1"/>
      <c r="G34" s="182" ph="1"/>
      <c r="H34" s="156" ph="1"/>
      <c r="I34" s="160" ph="1"/>
      <c r="J34" s="164" ph="1"/>
      <c r="K34" s="156" ph="1"/>
      <c r="L34" s="166" ph="1"/>
      <c r="M34" s="164" ph="1"/>
      <c r="N34" s="156" ph="1"/>
      <c r="O34" s="160" ph="1"/>
      <c r="P34" s="164" ph="1"/>
      <c r="Q34" s="156" ph="1"/>
      <c r="R34" s="160" ph="1"/>
      <c r="S34" s="164" ph="1"/>
      <c r="T34" s="156"/>
      <c r="U34" s="145"/>
      <c r="V34" s="158" ph="1"/>
      <c r="W34" s="158" ph="1"/>
      <c r="X34" s="160" ph="1"/>
      <c r="Y34" s="162" ph="1"/>
      <c r="Z34" s="143" ph="1"/>
      <c r="AA34" s="145" ph="1"/>
      <c r="AB34" s="147"/>
      <c r="AC34" s="149"/>
      <c r="AD34" s="152"/>
      <c r="AE34" s="153"/>
    </row>
    <row r="35" spans="1:31" ph="1">
      <c r="A35" s="53"/>
      <c r="AC35" s="154" t="s" ph="1">
        <v>52</v>
      </c>
      <c r="AD35" s="154"/>
      <c r="AE35" s="154"/>
    </row>
    <row r="36" spans="1:31" ht="28.2" ph="1">
      <c r="A36" s="53"/>
      <c r="B36" s="92" t="s" ph="1">
        <v>47</v>
      </c>
      <c r="I36" s="140" t="s" ph="1">
        <v>48</v>
      </c>
      <c r="J36" s="140" ph="1"/>
      <c r="K36" s="90" ph="1"/>
      <c r="P36" s="90" ph="1"/>
      <c r="R36" s="140" t="s" ph="1">
        <v>49</v>
      </c>
      <c r="S36" s="140" ph="1"/>
      <c r="Y36" s="91" ph="1"/>
      <c r="Z36" s="136" t="s" ph="1">
        <v>50</v>
      </c>
      <c r="AA36" s="136" ph="1"/>
      <c r="AB36" s="141" t="s" ph="1">
        <v>53</v>
      </c>
      <c r="AC36" s="141" ph="1"/>
      <c r="AD36" s="141" ph="1"/>
      <c r="AE36" s="141" ph="1"/>
    </row>
    <row r="37" spans="1:31" s="136" customFormat="1" ph="1">
      <c r="A37" s="53" ph="1"/>
      <c r="B37" s="53" ph="1"/>
      <c r="C37" s="53" ph="1"/>
      <c r="D37" s="53" ph="1"/>
      <c r="E37" s="53" ph="1"/>
      <c r="F37" s="53" ph="1"/>
      <c r="G37" s="53" ph="1"/>
      <c r="H37" s="53" ph="1"/>
      <c r="I37" s="53" ph="1"/>
      <c r="J37" s="53" ph="1"/>
      <c r="K37" s="53" ph="1"/>
      <c r="L37" s="53" ph="1"/>
      <c r="M37" s="53" ph="1"/>
      <c r="N37" s="53" ph="1"/>
      <c r="O37" s="53" ph="1"/>
      <c r="P37" s="53" ph="1"/>
      <c r="Q37" s="53" ph="1"/>
      <c r="R37" s="53" ph="1"/>
      <c r="S37" s="53" ph="1"/>
      <c r="T37" s="53" ph="1"/>
      <c r="U37" s="53" ph="1"/>
      <c r="V37" s="53" ph="1"/>
      <c r="W37" s="53" ph="1"/>
      <c r="X37" s="53" ph="1"/>
      <c r="Y37" s="53" ph="1"/>
      <c r="Z37" s="53" ph="1"/>
      <c r="AA37" s="53" ph="1"/>
      <c r="AB37" s="53" ph="1"/>
      <c r="AC37" s="53" ph="1"/>
      <c r="AD37" s="53" ph="1"/>
      <c r="AE37" s="53" ph="1"/>
    </row>
    <row r="38" spans="1:31" ph="1">
      <c r="AE38" s="53" ph="1"/>
    </row>
    <row r="42" spans="1:31" ph="1"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64"/>
    </row>
    <row r="43" spans="1:31" ph="1"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64"/>
    </row>
    <row r="44" spans="1:31" ph="1"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64"/>
    </row>
    <row r="45" spans="1:31" ph="1"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64"/>
    </row>
    <row r="46" spans="1:31" ph="1"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64"/>
    </row>
    <row r="47" spans="1:31" ph="1"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64"/>
    </row>
    <row r="48" spans="1:31" ph="1"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64"/>
    </row>
    <row r="49" spans="16:31" ph="1"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64"/>
    </row>
    <row r="50" spans="16:31" ph="1"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64"/>
    </row>
    <row r="51" spans="16:31" ph="1"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64"/>
    </row>
    <row r="52" spans="16:31" ph="1"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64"/>
    </row>
    <row r="53" spans="16:31" ph="1">
      <c r="R53" s="53"/>
      <c r="S53" s="53"/>
      <c r="T53" s="53"/>
      <c r="U53" s="53"/>
      <c r="W53" s="53"/>
      <c r="X53" s="53"/>
      <c r="Y53" s="53"/>
      <c r="Z53" s="53"/>
      <c r="AA53" s="53"/>
      <c r="AB53" s="53"/>
      <c r="AC53" s="53"/>
      <c r="AD53" s="53"/>
    </row>
    <row r="54" spans="16:31" ph="1">
      <c r="R54" s="53"/>
      <c r="S54" s="53"/>
      <c r="T54" s="53"/>
      <c r="U54" s="53"/>
      <c r="W54" s="53"/>
      <c r="X54" s="53"/>
      <c r="Y54" s="53"/>
      <c r="Z54" s="53"/>
      <c r="AA54" s="53"/>
      <c r="AC54" s="53"/>
      <c r="AD54" s="53"/>
    </row>
    <row r="55" spans="16:31" ph="1">
      <c r="R55" s="53"/>
      <c r="S55" s="53"/>
      <c r="T55" s="53"/>
      <c r="U55" s="53"/>
      <c r="V55" s="53"/>
      <c r="W55" s="53"/>
      <c r="X55" s="53"/>
      <c r="Z55" s="53"/>
      <c r="AC55" s="53"/>
      <c r="AD55" s="53"/>
      <c r="AE55" s="64"/>
    </row>
    <row r="56" spans="16:31" ph="1">
      <c r="R56" s="53"/>
      <c r="S56" s="53"/>
      <c r="T56" s="53"/>
      <c r="U56" s="53"/>
      <c r="V56" s="53"/>
      <c r="W56" s="53"/>
      <c r="X56" s="53"/>
      <c r="Z56" s="53"/>
      <c r="AA56" s="53"/>
      <c r="AB56" s="53"/>
      <c r="AC56" s="53"/>
      <c r="AD56" s="53"/>
      <c r="AE56" s="64"/>
    </row>
    <row r="57" spans="16:31" ph="1">
      <c r="R57" s="53"/>
      <c r="S57" s="53"/>
      <c r="T57" s="53"/>
      <c r="U57" s="53"/>
      <c r="V57" s="53"/>
      <c r="W57" s="53"/>
      <c r="AA57" s="53"/>
      <c r="AB57" s="53"/>
      <c r="AC57" s="53"/>
      <c r="AD57" s="53"/>
      <c r="AE57" s="64"/>
    </row>
    <row r="58" spans="16:31" ph="1">
      <c r="P58" s="53"/>
    </row>
    <row r="59" spans="16:31" ph="1">
      <c r="V59" s="53"/>
    </row>
    <row r="60" spans="16:31" ph="1">
      <c r="R60" s="53"/>
      <c r="S60" s="53"/>
      <c r="T60" s="53"/>
    </row>
    <row r="223" spans="18:18" ph="1">
      <c r="R223" s="100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 D9 D11">
    <cfRule type="expression" dxfId="729" priority="146">
      <formula>ABS(D$7-D$10)&gt;=1000</formula>
    </cfRule>
  </conditionalFormatting>
  <conditionalFormatting sqref="E4 E9 E11">
    <cfRule type="expression" dxfId="728" priority="145">
      <formula>ABS(E$7-E$10)&gt;=1000</formula>
    </cfRule>
  </conditionalFormatting>
  <conditionalFormatting sqref="F4 F9 F11">
    <cfRule type="expression" dxfId="727" priority="144">
      <formula>ABS(F$7-F$10)&gt;=1000</formula>
    </cfRule>
  </conditionalFormatting>
  <conditionalFormatting sqref="G4 G9 G11">
    <cfRule type="expression" dxfId="726" priority="143">
      <formula>ABS(G$7-G$10)&gt;=1000</formula>
    </cfRule>
  </conditionalFormatting>
  <conditionalFormatting sqref="H4:K4 H11">
    <cfRule type="expression" dxfId="725" priority="142">
      <formula>ABS(H$7-H$10)&gt;=1000</formula>
    </cfRule>
  </conditionalFormatting>
  <conditionalFormatting sqref="I8 I11">
    <cfRule type="expression" dxfId="724" priority="141">
      <formula>ABS(I$7-I$10)&gt;=1000</formula>
    </cfRule>
  </conditionalFormatting>
  <conditionalFormatting sqref="J11">
    <cfRule type="expression" dxfId="723" priority="140">
      <formula>ABS(J$7-J$10)&gt;=1000</formula>
    </cfRule>
  </conditionalFormatting>
  <conditionalFormatting sqref="K11">
    <cfRule type="expression" dxfId="722" priority="139">
      <formula>ABS(K$7-K$10)&gt;=1000</formula>
    </cfRule>
  </conditionalFormatting>
  <conditionalFormatting sqref="L4:L5 M4:N4 Q4:S4 L11">
    <cfRule type="expression" dxfId="721" priority="138">
      <formula>ABS(L$7-L$10)&gt;=1000</formula>
    </cfRule>
  </conditionalFormatting>
  <conditionalFormatting sqref="M11">
    <cfRule type="expression" dxfId="720" priority="137">
      <formula>ABS(M$7-M$10)&gt;=1000</formula>
    </cfRule>
  </conditionalFormatting>
  <conditionalFormatting sqref="N11">
    <cfRule type="expression" dxfId="719" priority="136">
      <formula>ABS(N$7-N$10)&gt;=1000</formula>
    </cfRule>
  </conditionalFormatting>
  <conditionalFormatting sqref="Q5:Q11">
    <cfRule type="expression" dxfId="718" priority="135">
      <formula>ABS(Q$7-Q$10)&gt;=1000</formula>
    </cfRule>
  </conditionalFormatting>
  <conditionalFormatting sqref="R5:R11">
    <cfRule type="expression" dxfId="717" priority="134">
      <formula>ABS(R$7-R$10)&gt;=1000</formula>
    </cfRule>
  </conditionalFormatting>
  <conditionalFormatting sqref="S5:S11">
    <cfRule type="expression" dxfId="716" priority="133">
      <formula>ABS(S$7-S$10)&gt;=1000</formula>
    </cfRule>
  </conditionalFormatting>
  <conditionalFormatting sqref="T4:T9 T11">
    <cfRule type="expression" dxfId="715" priority="132">
      <formula>ABS(T$7-T$10)&gt;=1000</formula>
    </cfRule>
  </conditionalFormatting>
  <conditionalFormatting sqref="U4:U9 U11">
    <cfRule type="expression" dxfId="714" priority="131">
      <formula>ABS(U$7-U$10)&gt;=1000</formula>
    </cfRule>
  </conditionalFormatting>
  <conditionalFormatting sqref="V4:V9 V11">
    <cfRule type="expression" dxfId="713" priority="130">
      <formula>ABS(V$7-V$10)&gt;=1000</formula>
    </cfRule>
  </conditionalFormatting>
  <conditionalFormatting sqref="W4:W9 W11">
    <cfRule type="expression" dxfId="712" priority="129">
      <formula>ABS(W$7-W$10)&gt;=1000</formula>
    </cfRule>
  </conditionalFormatting>
  <conditionalFormatting sqref="X4:X9 X11">
    <cfRule type="expression" dxfId="711" priority="128">
      <formula>ABS(X$7-X$10)&gt;=1000</formula>
    </cfRule>
  </conditionalFormatting>
  <conditionalFormatting sqref="Y4:Y9 Y11">
    <cfRule type="expression" dxfId="710" priority="127">
      <formula>ABS(Y$7-Y$10)&gt;=1000</formula>
    </cfRule>
  </conditionalFormatting>
  <conditionalFormatting sqref="Z4:Z11">
    <cfRule type="expression" dxfId="709" priority="126">
      <formula>ABS(Z$7-Z$10)&gt;=1000</formula>
    </cfRule>
  </conditionalFormatting>
  <conditionalFormatting sqref="AA4:AA11">
    <cfRule type="expression" dxfId="708" priority="125">
      <formula>ABS(AA$7-AA$10)&gt;=1000</formula>
    </cfRule>
  </conditionalFormatting>
  <conditionalFormatting sqref="AB4:AB11">
    <cfRule type="expression" dxfId="707" priority="124">
      <formula>ABS(AB$7-AB$10)&gt;=1000</formula>
    </cfRule>
  </conditionalFormatting>
  <conditionalFormatting sqref="AC4 AC6:AC11">
    <cfRule type="expression" dxfId="706" priority="123">
      <formula>ABS(AC$7-AC$10)&gt;=1000</formula>
    </cfRule>
  </conditionalFormatting>
  <conditionalFormatting sqref="AD4 AD6:AD11">
    <cfRule type="expression" dxfId="705" priority="122">
      <formula>ABS(AD$7-AD$10)&gt;=1000</formula>
    </cfRule>
  </conditionalFormatting>
  <conditionalFormatting sqref="AE4 AE6:AE11">
    <cfRule type="expression" dxfId="704" priority="121">
      <formula>ABS(AE$7-AE$10)&gt;=1000</formula>
    </cfRule>
  </conditionalFormatting>
  <conditionalFormatting sqref="D13:D20 I14:I20 I12">
    <cfRule type="expression" dxfId="703" priority="120">
      <formula>ABS(D$16-D$19)&gt;=1000</formula>
    </cfRule>
  </conditionalFormatting>
  <conditionalFormatting sqref="E13:E20">
    <cfRule type="expression" dxfId="702" priority="119">
      <formula>ABS(E$16-E$19)&gt;=1000</formula>
    </cfRule>
  </conditionalFormatting>
  <conditionalFormatting sqref="F13 F15:F20">
    <cfRule type="expression" dxfId="701" priority="118">
      <formula>ABS(F$16-F$19)&gt;=1000</formula>
    </cfRule>
  </conditionalFormatting>
  <conditionalFormatting sqref="G13:G20">
    <cfRule type="expression" dxfId="700" priority="117">
      <formula>ABS(G$16-G$19)&gt;=1000</formula>
    </cfRule>
  </conditionalFormatting>
  <conditionalFormatting sqref="H13 H15:H20">
    <cfRule type="expression" dxfId="699" priority="116">
      <formula>ABS(H$16-H$19)&gt;=1000</formula>
    </cfRule>
  </conditionalFormatting>
  <conditionalFormatting sqref="J13:J20">
    <cfRule type="expression" dxfId="698" priority="115">
      <formula>ABS(J$16-J$19)&gt;=1000</formula>
    </cfRule>
  </conditionalFormatting>
  <conditionalFormatting sqref="L13:L20">
    <cfRule type="expression" dxfId="697" priority="114">
      <formula>ABS(L$16-L$19)&gt;=1000</formula>
    </cfRule>
  </conditionalFormatting>
  <conditionalFormatting sqref="M13 M15 M17:M18 M20">
    <cfRule type="expression" dxfId="696" priority="113">
      <formula>ABS(M$16-M$19)&gt;=1000</formula>
    </cfRule>
  </conditionalFormatting>
  <conditionalFormatting sqref="N13:N20">
    <cfRule type="expression" dxfId="695" priority="112">
      <formula>ABS(N$16-N$19)&gt;=1000</formula>
    </cfRule>
  </conditionalFormatting>
  <conditionalFormatting sqref="O13:O20">
    <cfRule type="expression" dxfId="694" priority="111">
      <formula>ABS(O$16-O$19)&gt;=1000</formula>
    </cfRule>
  </conditionalFormatting>
  <conditionalFormatting sqref="P13:P20">
    <cfRule type="expression" dxfId="693" priority="110">
      <formula>ABS(P$16-P$19)&gt;=1000</formula>
    </cfRule>
  </conditionalFormatting>
  <conditionalFormatting sqref="Q13 Q15:Q20">
    <cfRule type="expression" dxfId="692" priority="109">
      <formula>ABS(Q$16-Q$19)&gt;=1000</formula>
    </cfRule>
  </conditionalFormatting>
  <conditionalFormatting sqref="R13:R20">
    <cfRule type="expression" dxfId="691" priority="108">
      <formula>ABS(R$16-R$19)&gt;=1000</formula>
    </cfRule>
  </conditionalFormatting>
  <conditionalFormatting sqref="S13:S20">
    <cfRule type="expression" dxfId="690" priority="107">
      <formula>ABS(S$16-S$19)&gt;=1000</formula>
    </cfRule>
  </conditionalFormatting>
  <conditionalFormatting sqref="T13:T20">
    <cfRule type="expression" dxfId="689" priority="106">
      <formula>ABS(T$16-T$19)&gt;=1000</formula>
    </cfRule>
  </conditionalFormatting>
  <conditionalFormatting sqref="U13:U20">
    <cfRule type="expression" dxfId="688" priority="105">
      <formula>ABS(U$16-U$19)&gt;=1000</formula>
    </cfRule>
  </conditionalFormatting>
  <conditionalFormatting sqref="V13:V20">
    <cfRule type="expression" dxfId="687" priority="104">
      <formula>ABS(V$16-V$19)&gt;=1000</formula>
    </cfRule>
  </conditionalFormatting>
  <conditionalFormatting sqref="W13 W20 W15:W18">
    <cfRule type="expression" dxfId="686" priority="103">
      <formula>ABS(W$16-W$19)&gt;=1000</formula>
    </cfRule>
  </conditionalFormatting>
  <conditionalFormatting sqref="X13 X15:X20 Y19">
    <cfRule type="expression" dxfId="685" priority="102">
      <formula>ABS(X$16-X$19)&gt;=1000</formula>
    </cfRule>
  </conditionalFormatting>
  <conditionalFormatting sqref="Y13 Y15:Y18 Y20">
    <cfRule type="expression" dxfId="684" priority="101">
      <formula>ABS(Y$16-Y$19)&gt;=1000</formula>
    </cfRule>
  </conditionalFormatting>
  <conditionalFormatting sqref="Z13:Z20">
    <cfRule type="expression" dxfId="683" priority="100">
      <formula>ABS(Z$16-Z$19)&gt;=1000</formula>
    </cfRule>
  </conditionalFormatting>
  <conditionalFormatting sqref="AA13:AA20">
    <cfRule type="expression" dxfId="682" priority="99">
      <formula>ABS(AA$16-AA$19)&gt;=1000</formula>
    </cfRule>
  </conditionalFormatting>
  <conditionalFormatting sqref="AB13 AB15:AB20">
    <cfRule type="expression" dxfId="681" priority="98">
      <formula>ABS(AB$16-AB$19)&gt;=1000</formula>
    </cfRule>
  </conditionalFormatting>
  <conditionalFormatting sqref="AC13 AC15:AC20">
    <cfRule type="expression" dxfId="680" priority="97">
      <formula>ABS(AC$16-AC$19)&gt;=1000</formula>
    </cfRule>
  </conditionalFormatting>
  <conditionalFormatting sqref="AD13:AD20">
    <cfRule type="expression" dxfId="679" priority="96">
      <formula>ABS(AD$16-AD$19)&gt;=1000</formula>
    </cfRule>
  </conditionalFormatting>
  <conditionalFormatting sqref="AE13:AE20">
    <cfRule type="expression" dxfId="678" priority="95">
      <formula>ABS(AE$16-AE$19)&gt;=1000</formula>
    </cfRule>
  </conditionalFormatting>
  <conditionalFormatting sqref="D22:D29">
    <cfRule type="expression" dxfId="677" priority="94">
      <formula>ABS(D$25-D$28)&gt;=1000</formula>
    </cfRule>
  </conditionalFormatting>
  <conditionalFormatting sqref="E22:E29">
    <cfRule type="expression" dxfId="676" priority="93">
      <formula>ABS(E$25-E$28)&gt;=1000</formula>
    </cfRule>
  </conditionalFormatting>
  <conditionalFormatting sqref="F22:F29">
    <cfRule type="expression" dxfId="675" priority="92">
      <formula>ABS(F$25-F$28)&gt;=1000</formula>
    </cfRule>
  </conditionalFormatting>
  <conditionalFormatting sqref="G22:G29">
    <cfRule type="expression" dxfId="674" priority="91">
      <formula>ABS(G$25-G$28)&gt;=1000</formula>
    </cfRule>
  </conditionalFormatting>
  <conditionalFormatting sqref="H22:H29">
    <cfRule type="expression" dxfId="673" priority="90">
      <formula>ABS(H$25-H$28)&gt;=1000</formula>
    </cfRule>
  </conditionalFormatting>
  <conditionalFormatting sqref="I22 I24:I29">
    <cfRule type="expression" dxfId="672" priority="89">
      <formula>ABS(I$25-I$28)&gt;=1000</formula>
    </cfRule>
  </conditionalFormatting>
  <conditionalFormatting sqref="J22:J29 K22">
    <cfRule type="expression" dxfId="671" priority="88">
      <formula>ABS(J$25-J$28)&gt;=1000</formula>
    </cfRule>
  </conditionalFormatting>
  <conditionalFormatting sqref="K23:K29 L25 L28">
    <cfRule type="expression" dxfId="670" priority="87">
      <formula>ABS(K$25-K$28)&gt;=1000</formula>
    </cfRule>
  </conditionalFormatting>
  <conditionalFormatting sqref="L22 L26:L27 L29 L24">
    <cfRule type="expression" dxfId="669" priority="86">
      <formula>ABS(L$25-L$28)&gt;=1000</formula>
    </cfRule>
  </conditionalFormatting>
  <conditionalFormatting sqref="M22:M29">
    <cfRule type="expression" dxfId="668" priority="85">
      <formula>ABS(M$25-M$28)&gt;=1000</formula>
    </cfRule>
  </conditionalFormatting>
  <conditionalFormatting sqref="N22:N29">
    <cfRule type="expression" dxfId="667" priority="84">
      <formula>ABS(N$25-N$28)&gt;=1000</formula>
    </cfRule>
  </conditionalFormatting>
  <conditionalFormatting sqref="O22:O29">
    <cfRule type="expression" dxfId="666" priority="83">
      <formula>ABS(O$25-O$28)&gt;=1000</formula>
    </cfRule>
  </conditionalFormatting>
  <conditionalFormatting sqref="P22:P29">
    <cfRule type="expression" dxfId="665" priority="82">
      <formula>ABS(P$25-P$28)&gt;=1000</formula>
    </cfRule>
  </conditionalFormatting>
  <conditionalFormatting sqref="Q22:Q29">
    <cfRule type="expression" dxfId="664" priority="81">
      <formula>ABS(Q$25-Q$28)&gt;=1000</formula>
    </cfRule>
  </conditionalFormatting>
  <conditionalFormatting sqref="R22:R29">
    <cfRule type="expression" dxfId="663" priority="80">
      <formula>ABS(R$25-R$28)&gt;=1000</formula>
    </cfRule>
  </conditionalFormatting>
  <conditionalFormatting sqref="S22:S29">
    <cfRule type="expression" dxfId="662" priority="79">
      <formula>ABS(S$25-S$28)&gt;=1000</formula>
    </cfRule>
  </conditionalFormatting>
  <conditionalFormatting sqref="T22:T29">
    <cfRule type="expression" dxfId="661" priority="78">
      <formula>ABS(T$25-T$28)&gt;=1000</formula>
    </cfRule>
  </conditionalFormatting>
  <conditionalFormatting sqref="U22:U29">
    <cfRule type="expression" dxfId="660" priority="77">
      <formula>ABS(U$25-U$28)&gt;=1000</formula>
    </cfRule>
  </conditionalFormatting>
  <conditionalFormatting sqref="V22:V29">
    <cfRule type="expression" dxfId="659" priority="76">
      <formula>ABS(V$25-V$28)&gt;=1000</formula>
    </cfRule>
  </conditionalFormatting>
  <conditionalFormatting sqref="W22:W29">
    <cfRule type="expression" dxfId="658" priority="75">
      <formula>ABS(W$25-W$28)&gt;=1000</formula>
    </cfRule>
  </conditionalFormatting>
  <conditionalFormatting sqref="X22:X29">
    <cfRule type="expression" dxfId="657" priority="74">
      <formula>ABS(X$25-X$28)&gt;=1000</formula>
    </cfRule>
  </conditionalFormatting>
  <conditionalFormatting sqref="Y22:Y29">
    <cfRule type="expression" dxfId="656" priority="73">
      <formula>ABS(Y$25-Y$28)&gt;=1000</formula>
    </cfRule>
  </conditionalFormatting>
  <conditionalFormatting sqref="I23">
    <cfRule type="expression" dxfId="655" priority="72">
      <formula>ABS(I$25-I$28)&gt;=1000</formula>
    </cfRule>
  </conditionalFormatting>
  <conditionalFormatting sqref="Q14">
    <cfRule type="expression" dxfId="654" priority="71">
      <formula>ABS(Q$16-Q$19)&gt;=1000</formula>
    </cfRule>
  </conditionalFormatting>
  <conditionalFormatting sqref="W14">
    <cfRule type="expression" dxfId="653" priority="70">
      <formula>ABS(W$16-W$19)&gt;=1000</formula>
    </cfRule>
  </conditionalFormatting>
  <conditionalFormatting sqref="X14">
    <cfRule type="expression" dxfId="652" priority="69">
      <formula>ABS(X$16-X$19)&gt;=1000</formula>
    </cfRule>
  </conditionalFormatting>
  <conditionalFormatting sqref="T10:Y10">
    <cfRule type="expression" dxfId="651" priority="68">
      <formula>ABS(T$7-T$10)&gt;=1000</formula>
    </cfRule>
  </conditionalFormatting>
  <conditionalFormatting sqref="W19">
    <cfRule type="expression" dxfId="650" priority="67">
      <formula>ABS(W$16-W$19)&gt;=1000</formula>
    </cfRule>
  </conditionalFormatting>
  <conditionalFormatting sqref="AC5">
    <cfRule type="expression" dxfId="649" priority="66">
      <formula>ABS(AC$7-AC$10)&gt;=1000</formula>
    </cfRule>
  </conditionalFormatting>
  <conditionalFormatting sqref="M14">
    <cfRule type="expression" dxfId="648" priority="65">
      <formula>ABS(M$16-M$19)&gt;=1000</formula>
    </cfRule>
  </conditionalFormatting>
  <conditionalFormatting sqref="M16">
    <cfRule type="expression" dxfId="647" priority="64">
      <formula>ABS(M$16-M$19)&gt;=1000</formula>
    </cfRule>
  </conditionalFormatting>
  <conditionalFormatting sqref="M19">
    <cfRule type="expression" dxfId="646" priority="63">
      <formula>ABS(M$16-M$19)&gt;=1000</formula>
    </cfRule>
  </conditionalFormatting>
  <conditionalFormatting sqref="K13:K20">
    <cfRule type="expression" dxfId="645" priority="62">
      <formula>ABS(K$16-K$19)&gt;=1000</formula>
    </cfRule>
  </conditionalFormatting>
  <conditionalFormatting sqref="AB14:AC14">
    <cfRule type="expression" dxfId="644" priority="61">
      <formula>ABS(AB$16-AB$19)&gt;=1000</formula>
    </cfRule>
  </conditionalFormatting>
  <conditionalFormatting sqref="M5">
    <cfRule type="expression" dxfId="643" priority="60">
      <formula>ABS(M$7-M$10)&gt;=1000</formula>
    </cfRule>
  </conditionalFormatting>
  <conditionalFormatting sqref="N5">
    <cfRule type="expression" dxfId="642" priority="59">
      <formula>ABS(N$7-N$10)&gt;=1000</formula>
    </cfRule>
  </conditionalFormatting>
  <conditionalFormatting sqref="L23">
    <cfRule type="expression" dxfId="641" priority="58">
      <formula>ABS(L$25-L$28)&gt;=1000</formula>
    </cfRule>
  </conditionalFormatting>
  <conditionalFormatting sqref="Y14">
    <cfRule type="expression" dxfId="640" priority="57">
      <formula>ABS(Y$16-Y$19)&gt;=1000</formula>
    </cfRule>
  </conditionalFormatting>
  <conditionalFormatting sqref="F14">
    <cfRule type="expression" dxfId="639" priority="56">
      <formula>ABS(F$16-F$19)&gt;=1000</formula>
    </cfRule>
  </conditionalFormatting>
  <conditionalFormatting sqref="H14">
    <cfRule type="expression" dxfId="638" priority="55">
      <formula>ABS(H$16-H$19)&gt;=1000</formula>
    </cfRule>
  </conditionalFormatting>
  <conditionalFormatting sqref="AD5">
    <cfRule type="expression" dxfId="637" priority="54">
      <formula>ABS(AD$7-AD$10)&gt;=1000</formula>
    </cfRule>
  </conditionalFormatting>
  <conditionalFormatting sqref="AE5">
    <cfRule type="expression" dxfId="636" priority="53">
      <formula>ABS(AE$7-AE$10)&gt;=1000</formula>
    </cfRule>
  </conditionalFormatting>
  <conditionalFormatting sqref="D5">
    <cfRule type="expression" dxfId="635" priority="52">
      <formula>ABS(D$7-D$10)&gt;=1000</formula>
    </cfRule>
  </conditionalFormatting>
  <conditionalFormatting sqref="E5:G5">
    <cfRule type="expression" dxfId="634" priority="51">
      <formula>ABS(E$7-E$10)&gt;=1000</formula>
    </cfRule>
  </conditionalFormatting>
  <conditionalFormatting sqref="H5">
    <cfRule type="expression" dxfId="633" priority="50">
      <formula>ABS(H$7-H$10)&gt;=1000</formula>
    </cfRule>
  </conditionalFormatting>
  <conditionalFormatting sqref="O4:P4">
    <cfRule type="expression" dxfId="632" priority="49">
      <formula>ABS(O$7-O$10)&gt;=1000</formula>
    </cfRule>
  </conditionalFormatting>
  <conditionalFormatting sqref="O5 O11">
    <cfRule type="expression" dxfId="631" priority="48">
      <formula>ABS(O$7-O$10)&gt;=1000</formula>
    </cfRule>
  </conditionalFormatting>
  <conditionalFormatting sqref="P11">
    <cfRule type="expression" dxfId="630" priority="47">
      <formula>ABS(P$7-P$10)&gt;=1000</formula>
    </cfRule>
  </conditionalFormatting>
  <conditionalFormatting sqref="J5">
    <cfRule type="expression" dxfId="629" priority="46">
      <formula>ABS(J$7-J$10)&gt;=1000</formula>
    </cfRule>
  </conditionalFormatting>
  <conditionalFormatting sqref="K5">
    <cfRule type="expression" dxfId="628" priority="45">
      <formula>ABS(K$7-K$10)&gt;=1000</formula>
    </cfRule>
  </conditionalFormatting>
  <conditionalFormatting sqref="I6">
    <cfRule type="expression" dxfId="627" priority="44">
      <formula>ABS(I$7-I$10)&gt;=1000</formula>
    </cfRule>
  </conditionalFormatting>
  <conditionalFormatting sqref="H9">
    <cfRule type="expression" dxfId="626" priority="43">
      <formula>ABS(H$7-H$10)&gt;=1000</formula>
    </cfRule>
  </conditionalFormatting>
  <conditionalFormatting sqref="J9">
    <cfRule type="expression" dxfId="625" priority="42">
      <formula>ABS(J$7-J$10)&gt;=1000</formula>
    </cfRule>
  </conditionalFormatting>
  <conditionalFormatting sqref="K9">
    <cfRule type="expression" dxfId="624" priority="41">
      <formula>ABS(K$7-K$10)&gt;=1000</formula>
    </cfRule>
  </conditionalFormatting>
  <conditionalFormatting sqref="L9">
    <cfRule type="expression" dxfId="623" priority="40">
      <formula>ABS(L$7-L$10)&gt;=1000</formula>
    </cfRule>
  </conditionalFormatting>
  <conditionalFormatting sqref="M9">
    <cfRule type="expression" dxfId="622" priority="39">
      <formula>ABS(M$7-M$10)&gt;=1000</formula>
    </cfRule>
  </conditionalFormatting>
  <conditionalFormatting sqref="N9">
    <cfRule type="expression" dxfId="621" priority="38">
      <formula>ABS(N$7-N$10)&gt;=1000</formula>
    </cfRule>
  </conditionalFormatting>
  <conditionalFormatting sqref="O9">
    <cfRule type="expression" dxfId="620" priority="37">
      <formula>ABS(O$7-O$10)&gt;=1000</formula>
    </cfRule>
  </conditionalFormatting>
  <conditionalFormatting sqref="P9">
    <cfRule type="expression" dxfId="619" priority="36">
      <formula>ABS(P$7-P$10)&gt;=1000</formula>
    </cfRule>
  </conditionalFormatting>
  <conditionalFormatting sqref="I9">
    <cfRule type="expression" dxfId="618" priority="35">
      <formula>ABS(I$7-I$10)&gt;=1000</formula>
    </cfRule>
  </conditionalFormatting>
  <conditionalFormatting sqref="P5">
    <cfRule type="expression" dxfId="617" priority="34">
      <formula>ABS(P$7-P$10)&gt;=1000</formula>
    </cfRule>
  </conditionalFormatting>
  <conditionalFormatting sqref="I5">
    <cfRule type="expression" dxfId="616" priority="33">
      <formula>ABS(I$7-I$10)&gt;=1000</formula>
    </cfRule>
  </conditionalFormatting>
  <conditionalFormatting sqref="D6 D8">
    <cfRule type="expression" dxfId="615" priority="32">
      <formula>ABS(D$7-D$10)&gt;=1000</formula>
    </cfRule>
  </conditionalFormatting>
  <conditionalFormatting sqref="E6 E8">
    <cfRule type="expression" dxfId="614" priority="31">
      <formula>ABS(E$7-E$10)&gt;=1000</formula>
    </cfRule>
  </conditionalFormatting>
  <conditionalFormatting sqref="F6 F8">
    <cfRule type="expression" dxfId="613" priority="30">
      <formula>ABS(F$7-F$10)&gt;=1000</formula>
    </cfRule>
  </conditionalFormatting>
  <conditionalFormatting sqref="G6 G8">
    <cfRule type="expression" dxfId="612" priority="29">
      <formula>ABS(G$7-G$10)&gt;=1000</formula>
    </cfRule>
  </conditionalFormatting>
  <conditionalFormatting sqref="H8">
    <cfRule type="expression" dxfId="611" priority="28">
      <formula>ABS(H$7-H$10)&gt;=1000</formula>
    </cfRule>
  </conditionalFormatting>
  <conditionalFormatting sqref="H6">
    <cfRule type="expression" dxfId="610" priority="27">
      <formula>ABS(H$7-H$10)&gt;=1000</formula>
    </cfRule>
  </conditionalFormatting>
  <conditionalFormatting sqref="J8">
    <cfRule type="expression" dxfId="609" priority="26">
      <formula>ABS(J$7-J$10)&gt;=1000</formula>
    </cfRule>
  </conditionalFormatting>
  <conditionalFormatting sqref="K8">
    <cfRule type="expression" dxfId="608" priority="25">
      <formula>ABS(K$7-K$10)&gt;=1000</formula>
    </cfRule>
  </conditionalFormatting>
  <conditionalFormatting sqref="L8">
    <cfRule type="expression" dxfId="607" priority="24">
      <formula>ABS(L$7-L$10)&gt;=1000</formula>
    </cfRule>
  </conditionalFormatting>
  <conditionalFormatting sqref="M8">
    <cfRule type="expression" dxfId="606" priority="23">
      <formula>ABS(M$7-M$10)&gt;=1000</formula>
    </cfRule>
  </conditionalFormatting>
  <conditionalFormatting sqref="N8">
    <cfRule type="expression" dxfId="605" priority="22">
      <formula>ABS(N$7-N$10)&gt;=1000</formula>
    </cfRule>
  </conditionalFormatting>
  <conditionalFormatting sqref="O8">
    <cfRule type="expression" dxfId="604" priority="21">
      <formula>ABS(O$7-O$10)&gt;=1000</formula>
    </cfRule>
  </conditionalFormatting>
  <conditionalFormatting sqref="P8">
    <cfRule type="expression" dxfId="603" priority="20">
      <formula>ABS(P$7-P$10)&gt;=1000</formula>
    </cfRule>
  </conditionalFormatting>
  <conditionalFormatting sqref="J6">
    <cfRule type="expression" dxfId="602" priority="19">
      <formula>ABS(J$7-J$10)&gt;=1000</formula>
    </cfRule>
  </conditionalFormatting>
  <conditionalFormatting sqref="K6">
    <cfRule type="expression" dxfId="601" priority="18">
      <formula>ABS(K$7-K$10)&gt;=1000</formula>
    </cfRule>
  </conditionalFormatting>
  <conditionalFormatting sqref="L6">
    <cfRule type="expression" dxfId="600" priority="17">
      <formula>ABS(L$7-L$10)&gt;=1000</formula>
    </cfRule>
  </conditionalFormatting>
  <conditionalFormatting sqref="M6">
    <cfRule type="expression" dxfId="599" priority="16">
      <formula>ABS(M$7-M$10)&gt;=1000</formula>
    </cfRule>
  </conditionalFormatting>
  <conditionalFormatting sqref="N6">
    <cfRule type="expression" dxfId="598" priority="15">
      <formula>ABS(N$7-N$10)&gt;=1000</formula>
    </cfRule>
  </conditionalFormatting>
  <conditionalFormatting sqref="O6">
    <cfRule type="expression" dxfId="597" priority="14">
      <formula>ABS(O$7-O$10)&gt;=1000</formula>
    </cfRule>
  </conditionalFormatting>
  <conditionalFormatting sqref="P6">
    <cfRule type="expression" dxfId="596" priority="13">
      <formula>ABS(P$7-P$10)&gt;=1000</formula>
    </cfRule>
  </conditionalFormatting>
  <conditionalFormatting sqref="L7">
    <cfRule type="expression" dxfId="595" priority="12">
      <formula>ABS(L$7-L$10)&gt;=1000</formula>
    </cfRule>
  </conditionalFormatting>
  <conditionalFormatting sqref="M7">
    <cfRule type="expression" dxfId="594" priority="11">
      <formula>ABS(M$7-M$10)&gt;=1000</formula>
    </cfRule>
  </conditionalFormatting>
  <conditionalFormatting sqref="O7:P7">
    <cfRule type="expression" dxfId="593" priority="10">
      <formula>ABS(O$7-O$10)&gt;=1000</formula>
    </cfRule>
  </conditionalFormatting>
  <conditionalFormatting sqref="N7">
    <cfRule type="expression" dxfId="592" priority="9">
      <formula>ABS(N$7-N$10)&gt;=1000</formula>
    </cfRule>
  </conditionalFormatting>
  <conditionalFormatting sqref="H7:K7">
    <cfRule type="expression" dxfId="591" priority="8">
      <formula>ABS(H$7-H$10)&gt;=1000</formula>
    </cfRule>
  </conditionalFormatting>
  <conditionalFormatting sqref="D7:G7">
    <cfRule type="expression" dxfId="590" priority="7">
      <formula>ABS(D$7-D$10)&gt;=1000</formula>
    </cfRule>
  </conditionalFormatting>
  <conditionalFormatting sqref="L10">
    <cfRule type="expression" dxfId="589" priority="6">
      <formula>ABS(L$7-L$10)&gt;=1000</formula>
    </cfRule>
  </conditionalFormatting>
  <conditionalFormatting sqref="M10">
    <cfRule type="expression" dxfId="588" priority="5">
      <formula>ABS(M$7-M$10)&gt;=1000</formula>
    </cfRule>
  </conditionalFormatting>
  <conditionalFormatting sqref="O10:P10">
    <cfRule type="expression" dxfId="587" priority="4">
      <formula>ABS(O$7-O$10)&gt;=1000</formula>
    </cfRule>
  </conditionalFormatting>
  <conditionalFormatting sqref="N10">
    <cfRule type="expression" dxfId="586" priority="3">
      <formula>ABS(N$7-N$10)&gt;=1000</formula>
    </cfRule>
  </conditionalFormatting>
  <conditionalFormatting sqref="H10:K10">
    <cfRule type="expression" dxfId="585" priority="2">
      <formula>ABS(H$7-H$10)&gt;=1000</formula>
    </cfRule>
  </conditionalFormatting>
  <conditionalFormatting sqref="D10:G10">
    <cfRule type="expression" dxfId="584" priority="1">
      <formula>ABS(D$7-D$10)&gt;=1000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9484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74">
    <pageSetUpPr fitToPage="1"/>
  </sheetPr>
  <dimension ref="A1:BA223"/>
  <sheetViews>
    <sheetView view="pageBreakPreview" zoomScale="110" zoomScaleNormal="100" zoomScaleSheetLayoutView="110" workbookViewId="0">
      <selection activeCell="P9" sqref="P9"/>
    </sheetView>
  </sheetViews>
  <sheetFormatPr defaultColWidth="8.109375" defaultRowHeight="25.8"/>
  <cols>
    <col min="1" max="1" width="11.6640625" style="53" customWidth="1" phonetic="1"/>
    <col min="2" max="2" width="7.6640625" style="53" customWidth="1" phonetic="1"/>
    <col min="3" max="3" width="8" style="53" customWidth="1" phonetic="1"/>
    <col min="4" max="7" width="8.77734375" style="53" customWidth="1" phonetic="1"/>
    <col min="8" max="8" width="9.77734375" style="53" customWidth="1" phonetic="1"/>
    <col min="9" max="16" width="8.77734375" style="53" customWidth="1" phonetic="1"/>
    <col min="17" max="30" width="7.6640625" style="53" customWidth="1" phonetic="1"/>
    <col min="31" max="31" width="7.6640625" style="64" customWidth="1" phonetic="1"/>
    <col min="32" max="32" width="11.6640625" style="53" bestFit="1" customWidth="1" phonetic="1"/>
    <col min="33" max="16384" width="8.109375" style="53" phonetic="1"/>
  </cols>
  <sheetData>
    <row r="1" spans="1:53" ht="31.2" ph="1">
      <c r="A1" s="53"/>
      <c r="B1" s="207" t="s" ph="1">
        <v>87</v>
      </c>
      <c r="C1" s="207" ph="1"/>
      <c r="D1" s="207" ph="1"/>
      <c r="E1" s="207" ph="1"/>
      <c r="F1" s="207" ph="1"/>
      <c r="G1" s="207" ph="1"/>
      <c r="H1" s="207" ph="1"/>
      <c r="I1" s="207" ph="1"/>
      <c r="J1" s="207" ph="1"/>
      <c r="K1" s="207" ph="1"/>
      <c r="L1" s="207" ph="1"/>
      <c r="M1" s="207" ph="1"/>
      <c r="N1" s="207" ph="1"/>
      <c r="O1" s="207" ph="1"/>
      <c r="P1" s="207" ph="1"/>
      <c r="Q1" s="207" ph="1"/>
      <c r="R1" s="207" ph="1"/>
      <c r="S1" s="207" ph="1"/>
      <c r="T1" s="207" ph="1"/>
      <c r="U1" s="207" ph="1"/>
      <c r="V1" s="207" ph="1"/>
      <c r="W1" s="207" ph="1"/>
      <c r="X1" s="207" ph="1"/>
      <c r="Y1" s="207" ph="1"/>
      <c r="Z1" s="207" ph="1"/>
      <c r="AA1" s="207" ph="1"/>
      <c r="AB1" s="207" ph="1"/>
      <c r="AC1" s="207" ph="1"/>
      <c r="AD1" s="207" ph="1"/>
      <c r="AE1" s="207" ph="1"/>
    </row>
    <row r="2" spans="1:53" s="55" customFormat="1" ht="24" customHeight="1" ph="1">
      <c r="B2" s="208" t="s" ph="1">
        <v>35</v>
      </c>
      <c r="C2" s="208" ph="1"/>
      <c r="D2" s="208" ph="1"/>
      <c r="E2" s="208" ph="1"/>
      <c r="F2" s="208" ph="1"/>
      <c r="G2" s="208" ph="1"/>
      <c r="H2" s="208" ph="1"/>
      <c r="I2" s="208" ph="1"/>
      <c r="J2" s="208" ph="1"/>
      <c r="K2" s="208" ph="1"/>
      <c r="L2" s="208" ph="1"/>
      <c r="M2" s="208" ph="1"/>
      <c r="N2" s="208" ph="1"/>
      <c r="O2" s="208" ph="1"/>
      <c r="P2" s="208" ph="1"/>
      <c r="Q2" s="208" ph="1"/>
      <c r="R2" s="208" ph="1"/>
      <c r="S2" s="208" ph="1"/>
      <c r="T2" s="208" ph="1"/>
      <c r="U2" s="208" ph="1"/>
      <c r="V2" s="208" ph="1"/>
      <c r="W2" s="208" ph="1"/>
      <c r="X2" s="208" ph="1"/>
      <c r="Y2" s="208" ph="1"/>
      <c r="Z2" s="208" ph="1"/>
      <c r="AA2" s="208" ph="1"/>
      <c r="AB2" s="208" ph="1"/>
      <c r="AC2" s="208" ph="1"/>
      <c r="AD2" s="208" ph="1"/>
      <c r="AE2" s="208" ph="1"/>
    </row>
    <row r="3" spans="1:53" ht="21" customHeight="1" ph="1">
      <c r="B3" s="209" ph="1">
        <v>46155</v>
      </c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209"/>
      <c r="P3" s="209"/>
      <c r="Q3" s="209"/>
      <c r="R3" s="209"/>
      <c r="S3" s="209"/>
      <c r="T3" s="209"/>
      <c r="U3" s="209"/>
      <c r="V3" s="209"/>
      <c r="W3" s="209"/>
      <c r="X3" s="209"/>
      <c r="Y3" s="209"/>
      <c r="Z3" s="209"/>
      <c r="AA3" s="209"/>
      <c r="AB3" s="209"/>
      <c r="AC3" s="209"/>
      <c r="AD3" s="209"/>
      <c r="AE3" s="209"/>
    </row>
    <row r="4" spans="1:53" s="58" customFormat="1" ph="1">
      <c r="A4" s="54" ph="1"/>
      <c r="B4" s="188" t="s" ph="1">
        <v>25</v>
      </c>
      <c r="C4" s="56" t="s" ph="1">
        <v>41</v>
      </c>
      <c r="D4" s="57" t="s" ph="1">
        <v>89</v>
      </c>
      <c r="E4" s="57" t="s" ph="1">
        <v>90</v>
      </c>
      <c r="F4" s="57" t="s" ph="1">
        <v>27</v>
      </c>
      <c r="G4" s="57" t="s" ph="1">
        <v>54</v>
      </c>
      <c r="H4" s="57" t="s" ph="1">
        <v>88</v>
      </c>
      <c r="I4" s="57" t="s" ph="1">
        <v>91</v>
      </c>
      <c r="J4" s="57" t="s" ph="1">
        <v>57</v>
      </c>
      <c r="K4" s="57" t="s" ph="1">
        <v>58</v>
      </c>
      <c r="L4" s="57" t="s" ph="1">
        <v>59</v>
      </c>
      <c r="M4" s="57" t="s" ph="1">
        <v>60</v>
      </c>
      <c r="N4" s="57" t="s" ph="1">
        <v>61</v>
      </c>
      <c r="O4" s="57" t="s" ph="1">
        <v>62</v>
      </c>
      <c r="P4" s="57" t="s" ph="1">
        <v>63</v>
      </c>
      <c r="Q4" s="57" ph="1"/>
      <c r="R4" s="57" ph="1"/>
      <c r="S4" s="57" ph="1"/>
      <c r="T4" s="57" ph="1"/>
      <c r="U4" s="57" ph="1"/>
      <c r="V4" s="57" ph="1"/>
      <c r="W4" s="57" ph="1"/>
      <c r="X4" s="57" ph="1"/>
      <c r="Y4" s="57" ph="1"/>
      <c r="Z4" s="57" ph="1"/>
      <c r="AA4" s="57" ph="1"/>
      <c r="AB4" s="57" ph="1"/>
      <c r="AC4" s="57" ph="1"/>
      <c r="AD4" s="57" ph="1"/>
      <c r="AE4" s="57" ph="1"/>
      <c r="AF4" s="54" ph="1"/>
      <c r="AG4" s="54" ph="1"/>
      <c r="AH4" s="54" ph="1"/>
      <c r="AI4" s="54" ph="1"/>
      <c r="AJ4" s="54" ph="1"/>
      <c r="AK4" s="54" ph="1"/>
      <c r="AL4" s="54" ph="1"/>
      <c r="AM4" s="54" ph="1"/>
      <c r="AN4" s="54" ph="1"/>
      <c r="AO4" s="54" ph="1"/>
      <c r="AP4" s="54" ph="1"/>
      <c r="AQ4" s="54" ph="1"/>
      <c r="AR4" s="54" ph="1"/>
      <c r="AS4" s="54" ph="1"/>
      <c r="AT4" s="54" ph="1"/>
      <c r="AU4" s="54" ph="1"/>
      <c r="AV4" s="54" ph="1"/>
      <c r="AW4" s="54" ph="1"/>
      <c r="AX4" s="54" ph="1"/>
      <c r="AY4" s="54" ph="1"/>
      <c r="AZ4" s="54" ph="1"/>
      <c r="BA4" s="54" ph="1"/>
    </row>
    <row r="5" spans="1:53" s="58" customFormat="1" ht="29.25" customHeight="1" ph="1">
      <c r="A5" s="54" ph="1"/>
      <c r="B5" s="188" ph="1"/>
      <c r="C5" s="56" t="s" ph="1">
        <v>24</v>
      </c>
      <c r="D5" s="103" t="s" ph="1">
        <v>64</v>
      </c>
      <c r="E5" s="103" t="s" ph="1">
        <v>64</v>
      </c>
      <c r="F5" s="103" t="s" ph="1">
        <v>86</v>
      </c>
      <c r="G5" s="103" t="s" ph="1">
        <v>86</v>
      </c>
      <c r="H5" s="103" t="s" ph="1">
        <v>64</v>
      </c>
      <c r="I5" s="103" t="s" ph="1">
        <v>64</v>
      </c>
      <c r="J5" s="103" t="s" ph="1">
        <v>86</v>
      </c>
      <c r="K5" s="103" t="s" ph="1">
        <v>86</v>
      </c>
      <c r="L5" s="102" t="s" ph="1">
        <v>51</v>
      </c>
      <c r="M5" s="102" t="s" ph="1">
        <v>65</v>
      </c>
      <c r="N5" s="102" t="s" ph="1">
        <v>51</v>
      </c>
      <c r="O5" s="102" t="s" ph="1">
        <v>66</v>
      </c>
      <c r="P5" s="102" t="s" ph="1">
        <v>66</v>
      </c>
      <c r="Q5" s="59" ph="1"/>
      <c r="R5" s="59" ph="1"/>
      <c r="S5" s="59" ph="1"/>
      <c r="T5" s="59" ph="1"/>
      <c r="U5" s="59" ph="1"/>
      <c r="V5" s="59" ph="1"/>
      <c r="W5" s="59" ph="1"/>
      <c r="X5" s="59" ph="1"/>
      <c r="Y5" s="59" ph="1"/>
      <c r="Z5" s="59" ph="1"/>
      <c r="AA5" s="59" ph="1"/>
      <c r="AB5" s="59" ph="1"/>
      <c r="AC5" s="59" ph="1"/>
      <c r="AD5" s="60"/>
      <c r="AE5" s="60"/>
      <c r="AF5" s="54" ph="1"/>
      <c r="AG5" s="54" ph="1"/>
      <c r="AH5" s="54" ph="1"/>
      <c r="AI5" s="54" ph="1"/>
      <c r="AJ5" s="54" ph="1"/>
      <c r="AK5" s="54" ph="1"/>
      <c r="AL5" s="54" ph="1"/>
      <c r="AM5" s="54" ph="1"/>
      <c r="AN5" s="54" ph="1"/>
      <c r="AO5" s="54" ph="1"/>
      <c r="AP5" s="54" ph="1"/>
      <c r="AQ5" s="54" ph="1"/>
      <c r="AR5" s="54" ph="1"/>
      <c r="AS5" s="54" ph="1"/>
      <c r="AT5" s="54" ph="1"/>
      <c r="AU5" s="54" ph="1"/>
      <c r="AV5" s="54" ph="1"/>
      <c r="AW5" s="54" ph="1"/>
      <c r="AX5" s="54" ph="1"/>
      <c r="AY5" s="54" ph="1"/>
      <c r="AZ5" s="54" ph="1"/>
      <c r="BA5" s="54" ph="1"/>
    </row>
    <row r="6" spans="1:53" ph="1">
      <c r="B6" s="206" ph="1">
        <v>0.33333333333333331</v>
      </c>
      <c r="C6" s="139" t="s" ph="1">
        <v>42</v>
      </c>
      <c r="D6" s="109">
        <v>0.99560000000000004</v>
      </c>
      <c r="E6" s="109">
        <v>0.2389</v>
      </c>
      <c r="F6" s="109">
        <v>0</v>
      </c>
      <c r="G6" s="109">
        <v>0</v>
      </c>
      <c r="H6" s="60">
        <v>6094</v>
      </c>
      <c r="I6" s="60">
        <v>3047</v>
      </c>
      <c r="J6" s="60">
        <v>0</v>
      </c>
      <c r="K6" s="60">
        <v>0</v>
      </c>
      <c r="L6" s="60">
        <v>2943</v>
      </c>
      <c r="M6" s="60">
        <v>1903</v>
      </c>
      <c r="N6" s="60">
        <v>4792</v>
      </c>
      <c r="O6" s="60">
        <v>2452</v>
      </c>
      <c r="P6" s="60">
        <v>490</v>
      </c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</row>
    <row r="7" spans="1:53" s="61" customFormat="1" ht="22.2" ph="1">
      <c r="B7" s="206" ph="1"/>
      <c r="C7" s="57" t="s" ph="1">
        <v>43</v>
      </c>
      <c r="D7" s="62" ph="1">
        <f>((D6*5885)*4.48)*LOOKUP(D8,密度!$A$2:$A$50,密度!$B$2:$B$50)</f>
        <v>20303.442839680003</v>
      </c>
      <c r="E7" s="62" ph="1">
        <f>((E6*5885)*4.48)*LOOKUP(E8,密度!$A$2:$A$50,密度!$B$2:$B$50)</f>
        <v>4871.9289819200003</v>
      </c>
      <c r="F7" s="62" ph="1">
        <f>((F6*5885)*4.48)*LOOKUP(F8,密度!$A$2:$A$50,密度!$B$2:$B$50)</f>
        <v>0</v>
      </c>
      <c r="G7" s="62" ph="1">
        <f>((G6*5885)*4.48)*LOOKUP(G8,密度!$A$2:$A$50,密度!$B$2:$B$50)</f>
        <v>0</v>
      </c>
      <c r="H7" s="62" ph="1">
        <f>IF(H6&lt;=0,0,IF(H6&lt;=745,PI()*(5.3235*(H6/1000)^2-(4/3)*(H6/1000)^3),7.55+15.2053*((H6-745)/1000))*LOOKUP(H8,密度!$A$2:$A$50,密度!$B$2:$B$50)*1000)</f>
        <v>68751.116292949984</v>
      </c>
      <c r="I7" s="62" ph="1">
        <f>IF(I6&lt;=0,0,IF(I6&lt;=745,PI()*(5.3235*(I6/1000)^2-(4/3)*(I6/1000)^3),7.55+15.2053*((I6-745)/1000))*LOOKUP(I8,密度!$A$2:$A$50,密度!$B$2:$B$50)*1000)</f>
        <v>32914.436564099997</v>
      </c>
      <c r="J7" s="62" ph="1">
        <f>IF(J6&lt;=0,0,IF(J6&lt;=745,PI()*(5.3235*(J6/1000)^2-(4/3)*(J6/1000)^3),7.55+15.2053*((J6-745)/1000))*LOOKUP(J8,密度!$A$2:$A$50,密度!$B$2:$B$50)*1000)</f>
        <v>0</v>
      </c>
      <c r="K7" s="62" ph="1">
        <f>IF(K6&lt;=0,0,IF(K6&lt;=745,PI()*(5.3235*(K6/1000)^2-(4/3)*(K6/1000)^3),7.55+15.2053*((K6-745)/1000))*LOOKUP(K8,密度!$A$2:$A$50,密度!$B$2:$B$50)*1000)</f>
        <v>0</v>
      </c>
      <c r="L7" s="62" ph="1">
        <f>L6*26.42*LOOKUP(L8,密度!$A$2:$A$50,密度!$B$2:$B$50)</f>
        <v>60212.744064000006</v>
      </c>
      <c r="M7" s="62" ph="1">
        <f>M6*26.42*1</f>
        <v>50277.26</v>
      </c>
      <c r="N7" s="62" ph="1">
        <f>N6*18.32*LOOKUP(N8,密度!$A$2:$A$50,密度!$B$2:$B$50)</f>
        <v>67984.142336000004</v>
      </c>
      <c r="O7" s="62" ph="1">
        <f>O6*81.71*LOOKUP(O8,密度!$A$2:$A$50,密度!$B$2:$B$50)</f>
        <v>155513.93650399998</v>
      </c>
      <c r="P7" s="62" ph="1">
        <f>P6*81.71*LOOKUP(P8,密度!$A$2:$A$50,密度!$B$2:$B$50)</f>
        <v>31041.383869999994</v>
      </c>
      <c r="Q7" s="62" ph="1"/>
      <c r="R7" s="62" ph="1"/>
      <c r="S7" s="62" ph="1"/>
      <c r="T7" s="62" ph="1"/>
      <c r="U7" s="62" ph="1"/>
      <c r="V7" s="62" ph="1"/>
      <c r="W7" s="62" ph="1"/>
      <c r="X7" s="62" ph="1"/>
      <c r="Y7" s="62" ph="1"/>
      <c r="Z7" s="62" ph="1"/>
      <c r="AA7" s="62" ph="1"/>
      <c r="AB7" s="62" ph="1"/>
      <c r="AC7" s="62" ph="1"/>
      <c r="AD7" s="62" ph="1"/>
      <c r="AE7" s="62" ph="1"/>
    </row>
    <row r="8" spans="1:53" ph="1">
      <c r="B8" s="206" ph="1"/>
      <c r="C8" s="57" t="s" ph="1">
        <v>44</v>
      </c>
      <c r="D8" s="63">
        <v>32</v>
      </c>
      <c r="E8" s="63">
        <v>32</v>
      </c>
      <c r="F8" s="63">
        <v>29</v>
      </c>
      <c r="G8" s="63">
        <v>30</v>
      </c>
      <c r="H8" s="63">
        <v>32</v>
      </c>
      <c r="I8" s="63">
        <v>32</v>
      </c>
      <c r="J8" s="63">
        <v>30</v>
      </c>
      <c r="K8" s="63">
        <v>30</v>
      </c>
      <c r="L8" s="63">
        <v>31</v>
      </c>
      <c r="M8" s="63">
        <v>30</v>
      </c>
      <c r="N8" s="63">
        <v>31</v>
      </c>
      <c r="O8" s="63">
        <v>29</v>
      </c>
      <c r="P8" s="63">
        <v>30</v>
      </c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</row>
    <row r="9" spans="1:53" ht="26.4" ph="1">
      <c r="B9" s="206" ph="1">
        <v>0.66666666666666663</v>
      </c>
      <c r="C9" s="139" t="s" ph="1">
        <v>45</v>
      </c>
      <c r="D9" s="109">
        <v>0.99590000000000001</v>
      </c>
      <c r="E9" s="109">
        <v>0.80159999999999998</v>
      </c>
      <c r="F9" s="109">
        <v>0</v>
      </c>
      <c r="G9" s="109">
        <v>0</v>
      </c>
      <c r="H9" s="60">
        <v>4484</v>
      </c>
      <c r="I9" s="60">
        <v>2216</v>
      </c>
      <c r="J9" s="60">
        <v>0</v>
      </c>
      <c r="K9" s="60">
        <v>0</v>
      </c>
      <c r="L9" s="60">
        <v>3016</v>
      </c>
      <c r="M9" s="60">
        <v>1903</v>
      </c>
      <c r="N9" s="60">
        <v>3096</v>
      </c>
      <c r="O9" s="60">
        <v>3601</v>
      </c>
      <c r="P9" s="60">
        <v>832</v>
      </c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</row>
    <row r="10" spans="1:53" s="61" customFormat="1" ht="22.2" ph="1">
      <c r="B10" s="206" ph="1"/>
      <c r="C10" s="139" t="s" ph="1">
        <v>43</v>
      </c>
      <c r="D10" s="62" ph="1">
        <f>((D9*5885)*4.48)*LOOKUP(D11,密度!$A$2:$A$50,密度!$B$2:$B$50)</f>
        <v>20309.560791520002</v>
      </c>
      <c r="E10" s="62" ph="1">
        <f>((E9*5885)*4.48)*LOOKUP(E11,密度!$A$2:$A$50,密度!$B$2:$B$50)</f>
        <v>16311.239476224002</v>
      </c>
      <c r="F10" s="62" ph="1">
        <f>((F9*5885)*4.48)*LOOKUP(F11,密度!$A$2:$A$50,密度!$B$2:$B$50)</f>
        <v>0</v>
      </c>
      <c r="G10" s="62" ph="1">
        <f>((G9*5885)*4.48)*LOOKUP(G11,密度!$A$2:$A$50,密度!$B$2:$B$50)</f>
        <v>0</v>
      </c>
      <c r="H10" s="62" ph="1">
        <f>IF(H9&lt;=0,0,IF(H9&lt;=745,PI()*(5.3235*(H9/1000)^2-(4/3)*(H9/1000)^3),7.55+15.2053*((H9-745)/1000))*LOOKUP(H11,密度!$A$2:$A$50,密度!$B$2:$B$50)*1000)</f>
        <v>49763.901924090002</v>
      </c>
      <c r="I10" s="62" ph="1">
        <f>IF(I9&lt;=0,0,IF(I9&lt;=745,PI()*(5.3235*(I9/1000)^2-(4/3)*(I9/1000)^3),7.55+15.2053*((I9-745)/1000))*LOOKUP(I11,密度!$A$2:$A$50,密度!$B$2:$B$50)*1000)</f>
        <v>23089.937744340001</v>
      </c>
      <c r="J10" s="62" ph="1">
        <f>IF(J9&lt;=0,0,IF(J9&lt;=745,PI()*(5.3235*(J9/1000)^2-(4/3)*(J9/1000)^3),7.55+15.2053*((J9-745)/1000))*LOOKUP(J11,密度!$A$2:$A$50,密度!$B$2:$B$50)*1000)</f>
        <v>0</v>
      </c>
      <c r="K10" s="62" ph="1">
        <f>IF(K9&lt;=0,0,IF(K9&lt;=745,PI()*(5.3235*(K9/1000)^2-(4/3)*(K9/1000)^3),7.55+15.2053*((K9-745)/1000))*LOOKUP(K11,密度!$A$2:$A$50,密度!$B$2:$B$50)*1000)</f>
        <v>0</v>
      </c>
      <c r="L10" s="62" ph="1">
        <f>L9*26.42*LOOKUP(L11,密度!$A$2:$A$50,密度!$B$2:$B$50)</f>
        <v>61706.298367999996</v>
      </c>
      <c r="M10" s="62" ph="1">
        <f>M9*26.42*1</f>
        <v>50277.26</v>
      </c>
      <c r="N10" s="62" ph="1">
        <f>N9*18.32*LOOKUP(N11,密度!$A$2:$A$50,密度!$B$2:$B$50)</f>
        <v>43871.929920000002</v>
      </c>
      <c r="O10" s="62" ph="1">
        <f>O9*81.71*LOOKUP(O11,密度!$A$2:$A$50,密度!$B$2:$B$50)</f>
        <v>228122.49656299996</v>
      </c>
      <c r="P10" s="62" ph="1">
        <f>P9*81.71*LOOKUP(P11,密度!$A$2:$A$50,密度!$B$2:$B$50)</f>
        <v>52584.63392</v>
      </c>
      <c r="Q10" s="62" ph="1"/>
      <c r="R10" s="62" ph="1"/>
      <c r="S10" s="62" ph="1"/>
      <c r="T10" s="62" ph="1"/>
      <c r="U10" s="62" ph="1"/>
      <c r="V10" s="62" ph="1"/>
      <c r="W10" s="62" ph="1"/>
      <c r="X10" s="62" ph="1"/>
      <c r="Y10" s="62" ph="1"/>
      <c r="Z10" s="62" ph="1"/>
      <c r="AA10" s="62" ph="1"/>
      <c r="AB10" s="62" ph="1"/>
      <c r="AC10" s="62" ph="1"/>
      <c r="AD10" s="62" ph="1"/>
      <c r="AE10" s="62" ph="1"/>
    </row>
    <row r="11" spans="1:53" ph="1">
      <c r="A11" s="53" t="s" ph="1">
        <v>40</v>
      </c>
      <c r="B11" s="206" ph="1"/>
      <c r="C11" s="139" t="s" ph="1">
        <v>44</v>
      </c>
      <c r="D11" s="63">
        <v>32</v>
      </c>
      <c r="E11" s="63">
        <v>34</v>
      </c>
      <c r="F11" s="63">
        <v>34</v>
      </c>
      <c r="G11" s="63">
        <v>34</v>
      </c>
      <c r="H11" s="63">
        <v>33</v>
      </c>
      <c r="I11" s="63">
        <v>34</v>
      </c>
      <c r="J11" s="63">
        <v>32</v>
      </c>
      <c r="K11" s="63">
        <v>33</v>
      </c>
      <c r="L11" s="63">
        <v>31</v>
      </c>
      <c r="M11" s="63">
        <v>30</v>
      </c>
      <c r="N11" s="63">
        <v>32</v>
      </c>
      <c r="O11" s="63">
        <v>30</v>
      </c>
      <c r="P11" s="63">
        <v>32</v>
      </c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</row>
    <row r="12" spans="1:53" ht="9.9" customHeight="1" ph="1">
      <c r="I12" s="65" ph="1"/>
      <c r="U12" s="119" ph="1"/>
    </row>
    <row r="13" spans="1:53" s="61" customFormat="1" ht="29.25" customHeight="1" ph="1">
      <c r="B13" s="183" t="s" ph="1">
        <v>25</v>
      </c>
      <c r="C13" s="139" t="s" ph="1">
        <v>41</v>
      </c>
      <c r="D13" s="65" ph="1"/>
      <c r="E13" s="65" ph="1"/>
      <c r="F13" s="65" ph="1"/>
      <c r="G13" s="65" ph="1"/>
      <c r="H13" s="65" ph="1"/>
      <c r="I13" s="61"/>
      <c r="J13" s="65" ph="1"/>
      <c r="K13" s="65" ph="1"/>
      <c r="L13" s="65" ph="1"/>
      <c r="M13" s="65" ph="1"/>
      <c r="N13" s="65" ph="1"/>
      <c r="O13" s="65" ph="1"/>
      <c r="P13" s="65" ph="1"/>
      <c r="Q13" s="65" ph="1"/>
      <c r="R13" s="65" ph="1"/>
      <c r="S13" s="65" ph="1"/>
      <c r="T13" s="65" ph="1"/>
      <c r="U13" s="65" ph="1"/>
      <c r="V13" s="65" ph="1"/>
      <c r="W13" s="65" ph="1"/>
      <c r="X13" s="65" ph="1"/>
      <c r="Y13" s="94" ph="1"/>
      <c r="Z13" s="65" ph="1"/>
      <c r="AA13" s="65" ph="1"/>
      <c r="AB13" s="65" ph="1"/>
      <c r="AC13" s="65" ph="1"/>
      <c r="AD13" s="65" ph="1"/>
      <c r="AE13" s="65" ph="1"/>
    </row>
    <row r="14" spans="1:53" s="61" customFormat="1" ht="24" ph="1">
      <c r="B14" s="184" ph="1"/>
      <c r="C14" s="56" t="s" ph="1">
        <v>24</v>
      </c>
      <c r="D14" s="66" ph="1"/>
      <c r="E14" s="66" ph="1"/>
      <c r="F14" s="108" ph="1"/>
      <c r="G14" s="66" ph="1"/>
      <c r="H14" s="66" ph="1"/>
      <c r="I14" s="101" ph="1"/>
      <c r="J14" s="66" ph="1"/>
      <c r="K14" s="66" ph="1"/>
      <c r="L14" s="66" ph="1"/>
      <c r="M14" s="93" ph="1"/>
      <c r="N14" s="93" ph="1"/>
      <c r="O14" s="93" ph="1"/>
      <c r="P14" s="66" ph="1"/>
      <c r="Q14" s="66" ph="1"/>
      <c r="R14" s="77" ph="1"/>
      <c r="S14" s="66" ph="1"/>
      <c r="T14" s="66" ph="1"/>
      <c r="U14" s="66" ph="1"/>
      <c r="V14" s="66" ph="1"/>
      <c r="W14" s="66" ph="1"/>
      <c r="X14" s="66" ph="1"/>
      <c r="Y14" s="104" ph="1"/>
      <c r="Z14" s="66" ph="1"/>
      <c r="AA14" s="66" ph="1"/>
      <c r="AB14" s="66" ph="1"/>
      <c r="AC14" s="66" ph="1"/>
      <c r="AD14" s="66" ph="1"/>
      <c r="AE14" s="66" ph="1"/>
    </row>
    <row r="15" spans="1:53" ht="26.4" ph="1">
      <c r="B15" s="185" ph="1">
        <v>0.33333333333333331</v>
      </c>
      <c r="C15" s="68" t="s" ph="1">
        <v>45</v>
      </c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0"/>
      <c r="X15" s="67"/>
      <c r="Y15" s="95"/>
      <c r="Z15" s="67"/>
      <c r="AA15" s="67"/>
      <c r="AB15" s="67" ph="1"/>
      <c r="AC15" s="67" ph="1"/>
      <c r="AD15" s="67"/>
      <c r="AE15" s="67"/>
    </row>
    <row r="16" spans="1:53" s="61" customFormat="1" ht="26.4" ph="1">
      <c r="B16" s="186" ph="1"/>
      <c r="C16" s="139" t="s" ph="1">
        <v>43</v>
      </c>
      <c r="D16" s="62" ph="1"/>
      <c r="E16" s="62" ph="1"/>
      <c r="F16" s="62" ph="1"/>
      <c r="G16" s="62" ph="1"/>
      <c r="H16" s="62" ph="1"/>
      <c r="I16" s="62" ph="1"/>
      <c r="J16" s="62" ph="1"/>
      <c r="K16" s="62" ph="1"/>
      <c r="L16" s="62" ph="1"/>
      <c r="M16" s="62" ph="1"/>
      <c r="N16" s="62" ph="1"/>
      <c r="O16" s="62" ph="1"/>
      <c r="P16" s="62" ph="1"/>
      <c r="Q16" s="62" ph="1"/>
      <c r="R16" s="62" ph="1"/>
      <c r="S16" s="62" ph="1"/>
      <c r="T16" s="62" ph="1"/>
      <c r="U16" s="62" ph="1"/>
      <c r="V16" s="62" ph="1"/>
      <c r="W16" s="120" ph="1"/>
      <c r="X16" s="62" ph="1"/>
      <c r="Y16" s="96" ph="1"/>
      <c r="Z16" s="62" ph="1"/>
      <c r="AA16" s="62" ph="1"/>
      <c r="AB16" s="62" ph="1"/>
      <c r="AC16" s="62" ph="1"/>
      <c r="AD16" s="62" ph="1"/>
      <c r="AE16" s="62" ph="1"/>
    </row>
    <row r="17" spans="1:32" ph="1">
      <c r="A17" s="53" t="s" ph="1">
        <v>33</v>
      </c>
      <c r="B17" s="187" ph="1"/>
      <c r="C17" s="68" t="s" ph="1">
        <v>44</v>
      </c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121"/>
      <c r="W17" s="63"/>
      <c r="X17" s="63"/>
      <c r="Y17" s="97"/>
      <c r="Z17" s="63"/>
      <c r="AA17" s="63"/>
      <c r="AB17" s="63"/>
      <c r="AC17" s="63"/>
      <c r="AD17" s="63"/>
      <c r="AE17" s="63"/>
    </row>
    <row r="18" spans="1:32" ht="26.4" ph="1">
      <c r="B18" s="185" ph="1">
        <v>0.66666666666666663</v>
      </c>
      <c r="C18" s="68" t="s" ph="1">
        <v>45</v>
      </c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98"/>
      <c r="Z18" s="60"/>
      <c r="AA18" s="60"/>
      <c r="AB18" s="60"/>
      <c r="AC18" s="60"/>
      <c r="AD18" s="60"/>
      <c r="AE18" s="60"/>
    </row>
    <row r="19" spans="1:32" s="61" customFormat="1" ht="22.2" ph="1">
      <c r="B19" s="186" ph="1"/>
      <c r="C19" s="139" t="s" ph="1">
        <v>43</v>
      </c>
      <c r="D19" s="62" ph="1"/>
      <c r="E19" s="62" ph="1"/>
      <c r="F19" s="62" ph="1"/>
      <c r="G19" s="62" ph="1"/>
      <c r="H19" s="62" ph="1"/>
      <c r="I19" s="62" ph="1"/>
      <c r="J19" s="62" ph="1"/>
      <c r="K19" s="62" ph="1"/>
      <c r="L19" s="62" ph="1"/>
      <c r="M19" s="62" ph="1"/>
      <c r="N19" s="62" ph="1"/>
      <c r="O19" s="62" ph="1"/>
      <c r="P19" s="62" ph="1"/>
      <c r="Q19" s="62" ph="1"/>
      <c r="R19" s="62" ph="1"/>
      <c r="S19" s="62" ph="1"/>
      <c r="T19" s="62" ph="1"/>
      <c r="U19" s="62" ph="1"/>
      <c r="V19" s="62" ph="1"/>
      <c r="W19" s="62" ph="1"/>
      <c r="X19" s="62" ph="1"/>
      <c r="Y19" s="62" ph="1"/>
      <c r="Z19" s="62" ph="1"/>
      <c r="AA19" s="62" ph="1"/>
      <c r="AB19" s="62" ph="1"/>
      <c r="AC19" s="62" ph="1"/>
      <c r="AD19" s="62" ph="1"/>
      <c r="AE19" s="62" ph="1"/>
    </row>
    <row r="20" spans="1:32" ph="1">
      <c r="A20" s="61" ph="1"/>
      <c r="B20" s="186" ph="1"/>
      <c r="C20" s="69" t="s" ph="1">
        <v>44</v>
      </c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99"/>
      <c r="Z20" s="70"/>
      <c r="AA20" s="70"/>
      <c r="AB20" s="70"/>
      <c r="AC20" s="70"/>
      <c r="AD20" s="70"/>
      <c r="AE20" s="70"/>
      <c r="AF20" s="53" t="s" ph="1">
        <v>23</v>
      </c>
    </row>
    <row r="21" spans="1:32" ph="1">
      <c r="A21" s="61" ph="1"/>
      <c r="B21" s="71" ph="1"/>
      <c r="C21" s="72" ph="1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</row>
    <row r="22" spans="1:32" ph="1">
      <c r="A22" s="61" ph="1"/>
      <c r="B22" s="184" t="s" ph="1">
        <v>25</v>
      </c>
      <c r="C22" s="74" t="s" ph="1">
        <v>41</v>
      </c>
      <c r="D22" s="75" ph="1"/>
      <c r="E22" s="75" ph="1"/>
      <c r="F22" s="75" ph="1"/>
      <c r="G22" s="75" ph="1"/>
      <c r="H22" s="75" ph="1"/>
      <c r="I22" s="75" ph="1"/>
      <c r="J22" s="75" ph="1"/>
      <c r="K22" s="75" ph="1"/>
      <c r="L22" s="75" ph="1"/>
      <c r="M22" s="75" ph="1"/>
      <c r="N22" s="75" ph="1"/>
      <c r="O22" s="75" ph="1"/>
      <c r="P22" s="75" ph="1"/>
      <c r="Q22" s="76" ph="1"/>
      <c r="R22" s="75" ph="1"/>
      <c r="S22" s="75" ph="1"/>
      <c r="T22" s="75" ph="1"/>
      <c r="U22" s="75" ph="1"/>
      <c r="V22" s="75" ph="1"/>
      <c r="W22" s="75" ph="1"/>
      <c r="X22" s="75" ph="1"/>
      <c r="Y22" s="75" ph="1"/>
      <c r="Z22" s="194" t="s" ph="1">
        <v>31</v>
      </c>
      <c r="AA22" s="195"/>
      <c r="AB22" s="195"/>
      <c r="AC22" s="195"/>
      <c r="AD22" s="195"/>
      <c r="AE22" s="196"/>
    </row>
    <row r="23" spans="1:32" ph="1">
      <c r="A23" s="61" ph="1"/>
      <c r="B23" s="188" ph="1"/>
      <c r="C23" s="56" t="s" ph="1">
        <v>24</v>
      </c>
      <c r="D23" s="77" ph="1"/>
      <c r="E23" s="77" ph="1"/>
      <c r="F23" s="77" ph="1"/>
      <c r="G23" s="77" ph="1"/>
      <c r="H23" s="77" ph="1"/>
      <c r="I23" s="77" ph="1"/>
      <c r="J23" s="77" ph="1"/>
      <c r="K23" s="77" ph="1"/>
      <c r="L23" s="77" ph="1"/>
      <c r="M23" s="77" ph="1"/>
      <c r="N23" s="77" ph="1"/>
      <c r="O23" s="77" ph="1"/>
      <c r="P23" s="77" ph="1"/>
      <c r="Q23" s="78" ph="1"/>
      <c r="R23" s="77" ph="1"/>
      <c r="S23" s="77" ph="1"/>
      <c r="T23" s="77" ph="1"/>
      <c r="U23" s="93" ph="1"/>
      <c r="V23" s="77" ph="1"/>
      <c r="W23" s="77" ph="1"/>
      <c r="X23" s="77" ph="1"/>
      <c r="Y23" s="77" ph="1"/>
      <c r="Z23" s="197" t="s" ph="1">
        <v>67</v>
      </c>
      <c r="AA23" s="198"/>
      <c r="AB23" s="198"/>
      <c r="AC23" s="198"/>
      <c r="AD23" s="198"/>
      <c r="AE23" s="199"/>
    </row>
    <row r="24" spans="1:32" ht="26.4" ph="1">
      <c r="A24" s="61" ph="1"/>
      <c r="B24" s="206" ph="1">
        <v>0.33333333333333331</v>
      </c>
      <c r="C24" s="68" t="s" ph="1">
        <v>45</v>
      </c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79"/>
      <c r="R24" s="60"/>
      <c r="S24" s="60"/>
      <c r="T24" s="60"/>
      <c r="U24" s="60"/>
      <c r="V24" s="60"/>
      <c r="W24" s="60"/>
      <c r="X24" s="60"/>
      <c r="Y24" s="60"/>
      <c r="Z24" s="200"/>
      <c r="AA24" s="201"/>
      <c r="AB24" s="201"/>
      <c r="AC24" s="201"/>
      <c r="AD24" s="201"/>
      <c r="AE24" s="202"/>
    </row>
    <row r="25" spans="1:32" ph="1">
      <c r="A25" s="61" ph="1"/>
      <c r="B25" s="206" ph="1"/>
      <c r="C25" s="57" t="s" ph="1">
        <v>43</v>
      </c>
      <c r="D25" s="80" ph="1"/>
      <c r="E25" s="80" ph="1"/>
      <c r="F25" s="80" ph="1"/>
      <c r="G25" s="80" ph="1"/>
      <c r="H25" s="80" ph="1"/>
      <c r="I25" s="80" ph="1"/>
      <c r="J25" s="80" ph="1"/>
      <c r="K25" s="80" ph="1"/>
      <c r="L25" s="80" ph="1"/>
      <c r="M25" s="80" ph="1"/>
      <c r="N25" s="80" ph="1"/>
      <c r="O25" s="80" ph="1"/>
      <c r="P25" s="80" ph="1"/>
      <c r="Q25" s="81" ph="1"/>
      <c r="R25" s="80" ph="1"/>
      <c r="S25" s="80" ph="1"/>
      <c r="T25" s="80" ph="1"/>
      <c r="U25" s="80" ph="1"/>
      <c r="V25" s="80" ph="1"/>
      <c r="W25" s="80" ph="1"/>
      <c r="X25" s="80" ph="1"/>
      <c r="Y25" s="80" ph="1"/>
      <c r="Z25" s="200"/>
      <c r="AA25" s="201"/>
      <c r="AB25" s="201"/>
      <c r="AC25" s="201"/>
      <c r="AD25" s="201"/>
      <c r="AE25" s="202"/>
    </row>
    <row r="26" spans="1:32" ph="1">
      <c r="A26" s="61" ph="1"/>
      <c r="B26" s="206" ph="1"/>
      <c r="C26" s="57" t="s" ph="1">
        <v>44</v>
      </c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82"/>
      <c r="R26" s="63"/>
      <c r="S26" s="63"/>
      <c r="T26" s="63"/>
      <c r="U26" s="63"/>
      <c r="V26" s="63"/>
      <c r="W26" s="63"/>
      <c r="X26" s="63"/>
      <c r="Y26" s="63"/>
      <c r="Z26" s="200"/>
      <c r="AA26" s="201"/>
      <c r="AB26" s="201"/>
      <c r="AC26" s="201"/>
      <c r="AD26" s="201"/>
      <c r="AE26" s="202"/>
    </row>
    <row r="27" spans="1:32" ht="26.4" ph="1">
      <c r="A27" s="61" ph="1"/>
      <c r="B27" s="206" ph="1">
        <v>0.66666666666666663</v>
      </c>
      <c r="C27" s="139" t="s" ph="1">
        <v>45</v>
      </c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79"/>
      <c r="R27" s="60"/>
      <c r="S27" s="60"/>
      <c r="T27" s="60"/>
      <c r="U27" s="60"/>
      <c r="V27" s="60"/>
      <c r="W27" s="60"/>
      <c r="X27" s="60"/>
      <c r="Y27" s="60"/>
      <c r="Z27" s="200"/>
      <c r="AA27" s="201"/>
      <c r="AB27" s="201"/>
      <c r="AC27" s="201"/>
      <c r="AD27" s="201"/>
      <c r="AE27" s="202"/>
    </row>
    <row r="28" spans="1:32" ph="1">
      <c r="A28" s="61" ph="1"/>
      <c r="B28" s="206" ph="1"/>
      <c r="C28" s="139" t="s" ph="1">
        <v>43</v>
      </c>
      <c r="D28" s="80" ph="1"/>
      <c r="E28" s="80" ph="1"/>
      <c r="F28" s="80" ph="1"/>
      <c r="G28" s="80" ph="1"/>
      <c r="H28" s="80" ph="1"/>
      <c r="I28" s="80" ph="1"/>
      <c r="J28" s="80" ph="1"/>
      <c r="K28" s="80" ph="1"/>
      <c r="L28" s="80" ph="1"/>
      <c r="M28" s="80" ph="1"/>
      <c r="N28" s="80" ph="1"/>
      <c r="O28" s="80" ph="1"/>
      <c r="P28" s="80" ph="1"/>
      <c r="Q28" s="81" ph="1"/>
      <c r="R28" s="80" ph="1"/>
      <c r="S28" s="80" ph="1"/>
      <c r="T28" s="80" ph="1"/>
      <c r="U28" s="80" ph="1"/>
      <c r="V28" s="80" ph="1"/>
      <c r="W28" s="80" ph="1"/>
      <c r="X28" s="80" ph="1"/>
      <c r="Y28" s="80" ph="1"/>
      <c r="Z28" s="200"/>
      <c r="AA28" s="201"/>
      <c r="AB28" s="201"/>
      <c r="AC28" s="201"/>
      <c r="AD28" s="201"/>
      <c r="AE28" s="202"/>
    </row>
    <row r="29" spans="1:32" ph="1">
      <c r="A29" s="61" ph="1"/>
      <c r="B29" s="206" ph="1"/>
      <c r="C29" s="139" t="s" ph="1">
        <v>44</v>
      </c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82"/>
      <c r="R29" s="63"/>
      <c r="S29" s="63"/>
      <c r="T29" s="63"/>
      <c r="U29" s="63"/>
      <c r="V29" s="63"/>
      <c r="W29" s="63"/>
      <c r="X29" s="63"/>
      <c r="Y29" s="63"/>
      <c r="Z29" s="203"/>
      <c r="AA29" s="204"/>
      <c r="AB29" s="204"/>
      <c r="AC29" s="204"/>
      <c r="AD29" s="204"/>
      <c r="AE29" s="205"/>
    </row>
    <row r="30" spans="1:32" ph="1">
      <c r="D30" s="83" ph="1"/>
      <c r="Z30" s="53" t="s" ph="1">
        <v>23</v>
      </c>
      <c r="AE30" s="84" ph="1"/>
    </row>
    <row r="31" spans="1:32" ht="28.2" ph="1">
      <c r="A31" s="53"/>
      <c r="B31" s="189" t="s" ph="1">
        <v>23</v>
      </c>
      <c r="C31" s="190" ph="1"/>
      <c r="D31" s="167" t="s" ph="1">
        <v>3</v>
      </c>
      <c r="E31" s="168" ph="1"/>
      <c r="F31" s="169" ph="1"/>
      <c r="G31" s="193" ph="1"/>
      <c r="H31" s="168" ph="1"/>
      <c r="I31" s="169" ph="1"/>
      <c r="J31" s="167" ph="1"/>
      <c r="K31" s="168" ph="1"/>
      <c r="L31" s="169" ph="1"/>
      <c r="M31" s="167" ph="1"/>
      <c r="N31" s="168" ph="1"/>
      <c r="O31" s="169" ph="1"/>
      <c r="P31" s="167" ph="1"/>
      <c r="Q31" s="168"/>
      <c r="R31" s="169"/>
      <c r="S31" s="167" ph="1"/>
      <c r="T31" s="168"/>
      <c r="U31" s="169"/>
      <c r="V31" s="167" ph="1"/>
      <c r="W31" s="168" ph="1"/>
      <c r="X31" s="169" ph="1"/>
      <c r="Y31" s="167" ph="1"/>
      <c r="Z31" s="168" ph="1"/>
      <c r="AA31" s="169" ph="1"/>
      <c r="AB31" s="170"/>
      <c r="AC31" s="171"/>
      <c r="AD31" s="171"/>
      <c r="AE31" s="172"/>
    </row>
    <row r="32" spans="1:32" ph="1">
      <c r="A32" s="53"/>
      <c r="B32" s="191" ph="1"/>
      <c r="C32" s="192" ph="1"/>
      <c r="D32" s="85" t="s" ph="1">
        <v>0</v>
      </c>
      <c r="E32" s="139" t="s" ph="1">
        <v>1</v>
      </c>
      <c r="F32" s="138" t="s" ph="1">
        <v>28</v>
      </c>
      <c r="G32" s="86" t="s" ph="1">
        <v>0</v>
      </c>
      <c r="H32" s="139" t="s" ph="1">
        <v>1</v>
      </c>
      <c r="I32" s="138" t="s" ph="1">
        <v>28</v>
      </c>
      <c r="J32" s="86" t="s" ph="1">
        <v>0</v>
      </c>
      <c r="K32" s="139" t="s" ph="1">
        <v>1</v>
      </c>
      <c r="L32" s="138" t="s" ph="1">
        <v>28</v>
      </c>
      <c r="M32" s="86" t="s" ph="1">
        <v>0</v>
      </c>
      <c r="N32" s="139" t="s" ph="1">
        <v>1</v>
      </c>
      <c r="O32" s="138" t="s" ph="1">
        <v>28</v>
      </c>
      <c r="P32" s="86" t="s" ph="1">
        <v>0</v>
      </c>
      <c r="Q32" s="87" t="s" ph="1">
        <v>1</v>
      </c>
      <c r="R32" s="88" t="s" ph="1">
        <v>28</v>
      </c>
      <c r="S32" s="86" t="s" ph="1">
        <v>0</v>
      </c>
      <c r="T32" s="139" t="s" ph="1">
        <v>1</v>
      </c>
      <c r="U32" s="88" t="s" ph="1">
        <v>28</v>
      </c>
      <c r="V32" s="86" t="s" ph="1">
        <v>0</v>
      </c>
      <c r="W32" s="139" t="s" ph="1">
        <v>1</v>
      </c>
      <c r="X32" s="88" t="s" ph="1">
        <v>28</v>
      </c>
      <c r="Y32" s="89" t="s" ph="1">
        <v>0</v>
      </c>
      <c r="Z32" s="139" t="s" ph="1">
        <v>1</v>
      </c>
      <c r="AA32" s="138" t="s" ph="1">
        <v>28</v>
      </c>
      <c r="AB32" s="86" t="s" ph="1">
        <v>38</v>
      </c>
      <c r="AC32" s="139" t="s" ph="1">
        <v>37</v>
      </c>
      <c r="AD32" s="173" t="s" ph="1">
        <v>36</v>
      </c>
      <c r="AE32" s="174"/>
    </row>
    <row r="33" spans="1:31" ph="1">
      <c r="A33" s="53"/>
      <c r="B33" s="175" t="s" ph="1">
        <v>46</v>
      </c>
      <c r="C33" s="176" ph="1"/>
      <c r="D33" s="155" ph="1">
        <f>O10+P10</f>
        <v>280707.13048299996</v>
      </c>
      <c r="E33" s="155" ph="1">
        <f>H10+I10+J10+K10</f>
        <v>72853.83966843001</v>
      </c>
      <c r="F33" s="179" ph="1">
        <f>L10+N10</f>
        <v>105578.228288</v>
      </c>
      <c r="G33" s="181" ph="1">
        <v>0</v>
      </c>
      <c r="H33" s="155" ph="1">
        <v>0</v>
      </c>
      <c r="I33" s="159" ph="1">
        <v>0</v>
      </c>
      <c r="J33" s="163" ph="1">
        <v>0</v>
      </c>
      <c r="K33" s="155" ph="1">
        <v>0</v>
      </c>
      <c r="L33" s="165" ph="1">
        <v>0</v>
      </c>
      <c r="M33" s="163" ph="1">
        <v>0</v>
      </c>
      <c r="N33" s="155" ph="1">
        <v>0</v>
      </c>
      <c r="O33" s="159" ph="1">
        <f>G19</f>
        <v>0</v>
      </c>
      <c r="P33" s="163" ph="1">
        <v>0</v>
      </c>
      <c r="Q33" s="155" ph="1">
        <v>0</v>
      </c>
      <c r="R33" s="159" ph="1">
        <v>0</v>
      </c>
      <c r="S33" s="163" ph="1">
        <v>0</v>
      </c>
      <c r="T33" s="155" ph="1">
        <v>0</v>
      </c>
      <c r="U33" s="144" ph="1">
        <v>0</v>
      </c>
      <c r="V33" s="157" ph="1">
        <v>0</v>
      </c>
      <c r="W33" s="157" ph="1">
        <v>0</v>
      </c>
      <c r="X33" s="159" ph="1">
        <v>0</v>
      </c>
      <c r="Y33" s="161" ph="1">
        <v>0</v>
      </c>
      <c r="Z33" s="142" ph="1">
        <v>0</v>
      </c>
      <c r="AA33" s="144" ph="1">
        <v>0</v>
      </c>
      <c r="AB33" s="146" ph="1">
        <v>0</v>
      </c>
      <c r="AC33" s="148" ph="1">
        <v>0</v>
      </c>
      <c r="AD33" s="150" ph="1">
        <v>0</v>
      </c>
      <c r="AE33" s="151"/>
    </row>
    <row r="34" spans="1:31" ph="1">
      <c r="A34" s="53"/>
      <c r="B34" s="177" ph="1"/>
      <c r="C34" s="178" ph="1"/>
      <c r="D34" s="156" ph="1"/>
      <c r="E34" s="156" ph="1"/>
      <c r="F34" s="180" ph="1"/>
      <c r="G34" s="182" ph="1"/>
      <c r="H34" s="156" ph="1"/>
      <c r="I34" s="160" ph="1"/>
      <c r="J34" s="164" ph="1"/>
      <c r="K34" s="156" ph="1"/>
      <c r="L34" s="166" ph="1"/>
      <c r="M34" s="164" ph="1"/>
      <c r="N34" s="156" ph="1"/>
      <c r="O34" s="160" ph="1"/>
      <c r="P34" s="164" ph="1"/>
      <c r="Q34" s="156" ph="1"/>
      <c r="R34" s="160" ph="1"/>
      <c r="S34" s="164" ph="1"/>
      <c r="T34" s="156"/>
      <c r="U34" s="145"/>
      <c r="V34" s="158" ph="1"/>
      <c r="W34" s="158" ph="1"/>
      <c r="X34" s="160" ph="1"/>
      <c r="Y34" s="162" ph="1"/>
      <c r="Z34" s="143" ph="1"/>
      <c r="AA34" s="145" ph="1"/>
      <c r="AB34" s="147"/>
      <c r="AC34" s="149"/>
      <c r="AD34" s="152"/>
      <c r="AE34" s="153"/>
    </row>
    <row r="35" spans="1:31" ph="1">
      <c r="A35" s="53"/>
      <c r="AC35" s="154" t="s" ph="1">
        <v>52</v>
      </c>
      <c r="AD35" s="154"/>
      <c r="AE35" s="154"/>
    </row>
    <row r="36" spans="1:31" ht="28.2" ph="1">
      <c r="A36" s="53"/>
      <c r="B36" s="92" t="s" ph="1">
        <v>47</v>
      </c>
      <c r="I36" s="140" t="s" ph="1">
        <v>48</v>
      </c>
      <c r="J36" s="140" ph="1"/>
      <c r="K36" s="90" ph="1"/>
      <c r="P36" s="90" ph="1"/>
      <c r="R36" s="140" t="s" ph="1">
        <v>49</v>
      </c>
      <c r="S36" s="140" ph="1"/>
      <c r="Y36" s="91" ph="1"/>
      <c r="Z36" s="137" t="s" ph="1">
        <v>50</v>
      </c>
      <c r="AA36" s="137" ph="1"/>
      <c r="AB36" s="141" t="s" ph="1">
        <v>53</v>
      </c>
      <c r="AC36" s="141" ph="1"/>
      <c r="AD36" s="141" ph="1"/>
      <c r="AE36" s="141" ph="1"/>
    </row>
    <row r="37" spans="1:31" s="137" customFormat="1" ph="1">
      <c r="A37" s="53" ph="1"/>
      <c r="B37" s="53" ph="1"/>
      <c r="C37" s="53" ph="1"/>
      <c r="D37" s="53" ph="1"/>
      <c r="E37" s="53" ph="1"/>
      <c r="F37" s="53" ph="1"/>
      <c r="G37" s="53" ph="1"/>
      <c r="H37" s="53" ph="1"/>
      <c r="I37" s="53" ph="1"/>
      <c r="J37" s="53" ph="1"/>
      <c r="K37" s="53" ph="1"/>
      <c r="L37" s="53" ph="1"/>
      <c r="M37" s="53" ph="1"/>
      <c r="N37" s="53" ph="1"/>
      <c r="O37" s="53" ph="1"/>
      <c r="P37" s="53" ph="1"/>
      <c r="Q37" s="53" ph="1"/>
      <c r="R37" s="53" ph="1"/>
      <c r="S37" s="53" ph="1"/>
      <c r="T37" s="53" ph="1"/>
      <c r="U37" s="53" ph="1"/>
      <c r="V37" s="53" ph="1"/>
      <c r="W37" s="53" ph="1"/>
      <c r="X37" s="53" ph="1"/>
      <c r="Y37" s="53" ph="1"/>
      <c r="Z37" s="53" ph="1"/>
      <c r="AA37" s="53" ph="1"/>
      <c r="AB37" s="53" ph="1"/>
      <c r="AC37" s="53" ph="1"/>
      <c r="AD37" s="53" ph="1"/>
      <c r="AE37" s="53" ph="1"/>
    </row>
    <row r="38" spans="1:31" ph="1">
      <c r="AE38" s="53" ph="1"/>
    </row>
    <row r="42" spans="1:31" ph="1"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64"/>
    </row>
    <row r="43" spans="1:31" ph="1"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64"/>
    </row>
    <row r="44" spans="1:31" ph="1"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64"/>
    </row>
    <row r="45" spans="1:31" ph="1"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64"/>
    </row>
    <row r="46" spans="1:31" ph="1"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64"/>
    </row>
    <row r="47" spans="1:31" ph="1"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64"/>
    </row>
    <row r="48" spans="1:31" ph="1"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64"/>
    </row>
    <row r="49" spans="16:31" ph="1"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64"/>
    </row>
    <row r="50" spans="16:31" ph="1"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64"/>
    </row>
    <row r="51" spans="16:31" ph="1"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64"/>
    </row>
    <row r="52" spans="16:31" ph="1"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64"/>
    </row>
    <row r="53" spans="16:31" ph="1">
      <c r="R53" s="53"/>
      <c r="S53" s="53"/>
      <c r="T53" s="53"/>
      <c r="U53" s="53"/>
      <c r="W53" s="53"/>
      <c r="X53" s="53"/>
      <c r="Y53" s="53"/>
      <c r="Z53" s="53"/>
      <c r="AA53" s="53"/>
      <c r="AB53" s="53"/>
      <c r="AC53" s="53"/>
      <c r="AD53" s="53"/>
    </row>
    <row r="54" spans="16:31" ph="1">
      <c r="R54" s="53"/>
      <c r="S54" s="53"/>
      <c r="T54" s="53"/>
      <c r="U54" s="53"/>
      <c r="W54" s="53"/>
      <c r="X54" s="53"/>
      <c r="Y54" s="53"/>
      <c r="Z54" s="53"/>
      <c r="AA54" s="53"/>
      <c r="AC54" s="53"/>
      <c r="AD54" s="53"/>
    </row>
    <row r="55" spans="16:31" ph="1">
      <c r="R55" s="53"/>
      <c r="S55" s="53"/>
      <c r="T55" s="53"/>
      <c r="U55" s="53"/>
      <c r="V55" s="53"/>
      <c r="W55" s="53"/>
      <c r="X55" s="53"/>
      <c r="Z55" s="53"/>
      <c r="AC55" s="53"/>
      <c r="AD55" s="53"/>
      <c r="AE55" s="64"/>
    </row>
    <row r="56" spans="16:31" ph="1">
      <c r="R56" s="53"/>
      <c r="S56" s="53"/>
      <c r="T56" s="53"/>
      <c r="U56" s="53"/>
      <c r="V56" s="53"/>
      <c r="W56" s="53"/>
      <c r="X56" s="53"/>
      <c r="Z56" s="53"/>
      <c r="AA56" s="53"/>
      <c r="AB56" s="53"/>
      <c r="AC56" s="53"/>
      <c r="AD56" s="53"/>
      <c r="AE56" s="64"/>
    </row>
    <row r="57" spans="16:31" ph="1">
      <c r="R57" s="53"/>
      <c r="S57" s="53"/>
      <c r="T57" s="53"/>
      <c r="U57" s="53"/>
      <c r="V57" s="53"/>
      <c r="W57" s="53"/>
      <c r="AA57" s="53"/>
      <c r="AB57" s="53"/>
      <c r="AC57" s="53"/>
      <c r="AD57" s="53"/>
      <c r="AE57" s="64"/>
    </row>
    <row r="58" spans="16:31" ph="1">
      <c r="P58" s="53"/>
    </row>
    <row r="59" spans="16:31" ph="1">
      <c r="V59" s="53"/>
    </row>
    <row r="60" spans="16:31" ph="1">
      <c r="R60" s="53"/>
      <c r="S60" s="53"/>
      <c r="T60" s="53"/>
    </row>
    <row r="223" spans="18:18" ph="1">
      <c r="R223" s="100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9 D11">
    <cfRule type="expression" dxfId="583" priority="146">
      <formula>ABS(D$7-D$10)&gt;=1000</formula>
    </cfRule>
  </conditionalFormatting>
  <conditionalFormatting sqref="E4 E9 E11">
    <cfRule type="expression" dxfId="582" priority="145">
      <formula>ABS(E$7-E$10)&gt;=1000</formula>
    </cfRule>
  </conditionalFormatting>
  <conditionalFormatting sqref="F4 F9 F11">
    <cfRule type="expression" dxfId="581" priority="144">
      <formula>ABS(F$7-F$10)&gt;=1000</formula>
    </cfRule>
  </conditionalFormatting>
  <conditionalFormatting sqref="G4 G9 G11">
    <cfRule type="expression" dxfId="580" priority="143">
      <formula>ABS(G$7-G$10)&gt;=1000</formula>
    </cfRule>
  </conditionalFormatting>
  <conditionalFormatting sqref="H4:K4 H11">
    <cfRule type="expression" dxfId="579" priority="142">
      <formula>ABS(H$7-H$10)&gt;=1000</formula>
    </cfRule>
  </conditionalFormatting>
  <conditionalFormatting sqref="I8 I11">
    <cfRule type="expression" dxfId="578" priority="141">
      <formula>ABS(I$7-I$10)&gt;=1000</formula>
    </cfRule>
  </conditionalFormatting>
  <conditionalFormatting sqref="J11">
    <cfRule type="expression" dxfId="577" priority="140">
      <formula>ABS(J$7-J$10)&gt;=1000</formula>
    </cfRule>
  </conditionalFormatting>
  <conditionalFormatting sqref="K11">
    <cfRule type="expression" dxfId="576" priority="139">
      <formula>ABS(K$7-K$10)&gt;=1000</formula>
    </cfRule>
  </conditionalFormatting>
  <conditionalFormatting sqref="L4:L5 M4:N4 Q4:S4 L11">
    <cfRule type="expression" dxfId="575" priority="138">
      <formula>ABS(L$7-L$10)&gt;=1000</formula>
    </cfRule>
  </conditionalFormatting>
  <conditionalFormatting sqref="M11">
    <cfRule type="expression" dxfId="574" priority="137">
      <formula>ABS(M$7-M$10)&gt;=1000</formula>
    </cfRule>
  </conditionalFormatting>
  <conditionalFormatting sqref="N11">
    <cfRule type="expression" dxfId="573" priority="136">
      <formula>ABS(N$7-N$10)&gt;=1000</formula>
    </cfRule>
  </conditionalFormatting>
  <conditionalFormatting sqref="Q5:Q11">
    <cfRule type="expression" dxfId="572" priority="135">
      <formula>ABS(Q$7-Q$10)&gt;=1000</formula>
    </cfRule>
  </conditionalFormatting>
  <conditionalFormatting sqref="R5:R11">
    <cfRule type="expression" dxfId="571" priority="134">
      <formula>ABS(R$7-R$10)&gt;=1000</formula>
    </cfRule>
  </conditionalFormatting>
  <conditionalFormatting sqref="S5:S11">
    <cfRule type="expression" dxfId="570" priority="133">
      <formula>ABS(S$7-S$10)&gt;=1000</formula>
    </cfRule>
  </conditionalFormatting>
  <conditionalFormatting sqref="T4:T9 T11">
    <cfRule type="expression" dxfId="569" priority="132">
      <formula>ABS(T$7-T$10)&gt;=1000</formula>
    </cfRule>
  </conditionalFormatting>
  <conditionalFormatting sqref="U4:U9 U11">
    <cfRule type="expression" dxfId="568" priority="131">
      <formula>ABS(U$7-U$10)&gt;=1000</formula>
    </cfRule>
  </conditionalFormatting>
  <conditionalFormatting sqref="V4:V9 V11">
    <cfRule type="expression" dxfId="567" priority="130">
      <formula>ABS(V$7-V$10)&gt;=1000</formula>
    </cfRule>
  </conditionalFormatting>
  <conditionalFormatting sqref="W4:W9 W11">
    <cfRule type="expression" dxfId="566" priority="129">
      <formula>ABS(W$7-W$10)&gt;=1000</formula>
    </cfRule>
  </conditionalFormatting>
  <conditionalFormatting sqref="X4:X9 X11">
    <cfRule type="expression" dxfId="565" priority="128">
      <formula>ABS(X$7-X$10)&gt;=1000</formula>
    </cfRule>
  </conditionalFormatting>
  <conditionalFormatting sqref="Y4:Y9 Y11">
    <cfRule type="expression" dxfId="564" priority="127">
      <formula>ABS(Y$7-Y$10)&gt;=1000</formula>
    </cfRule>
  </conditionalFormatting>
  <conditionalFormatting sqref="Z4:Z11">
    <cfRule type="expression" dxfId="563" priority="126">
      <formula>ABS(Z$7-Z$10)&gt;=1000</formula>
    </cfRule>
  </conditionalFormatting>
  <conditionalFormatting sqref="AA4:AA11">
    <cfRule type="expression" dxfId="562" priority="125">
      <formula>ABS(AA$7-AA$10)&gt;=1000</formula>
    </cfRule>
  </conditionalFormatting>
  <conditionalFormatting sqref="AB4:AB11">
    <cfRule type="expression" dxfId="561" priority="124">
      <formula>ABS(AB$7-AB$10)&gt;=1000</formula>
    </cfRule>
  </conditionalFormatting>
  <conditionalFormatting sqref="AC4 AC6:AC11">
    <cfRule type="expression" dxfId="560" priority="123">
      <formula>ABS(AC$7-AC$10)&gt;=1000</formula>
    </cfRule>
  </conditionalFormatting>
  <conditionalFormatting sqref="AD4 AD6:AD11">
    <cfRule type="expression" dxfId="559" priority="122">
      <formula>ABS(AD$7-AD$10)&gt;=1000</formula>
    </cfRule>
  </conditionalFormatting>
  <conditionalFormatting sqref="AE4 AE6:AE11">
    <cfRule type="expression" dxfId="558" priority="121">
      <formula>ABS(AE$7-AE$10)&gt;=1000</formula>
    </cfRule>
  </conditionalFormatting>
  <conditionalFormatting sqref="D13:D20 I14:I20 I12">
    <cfRule type="expression" dxfId="557" priority="120">
      <formula>ABS(D$16-D$19)&gt;=1000</formula>
    </cfRule>
  </conditionalFormatting>
  <conditionalFormatting sqref="E13:E20">
    <cfRule type="expression" dxfId="556" priority="119">
      <formula>ABS(E$16-E$19)&gt;=1000</formula>
    </cfRule>
  </conditionalFormatting>
  <conditionalFormatting sqref="F13 F15:F20">
    <cfRule type="expression" dxfId="555" priority="118">
      <formula>ABS(F$16-F$19)&gt;=1000</formula>
    </cfRule>
  </conditionalFormatting>
  <conditionalFormatting sqref="G13:G20">
    <cfRule type="expression" dxfId="554" priority="117">
      <formula>ABS(G$16-G$19)&gt;=1000</formula>
    </cfRule>
  </conditionalFormatting>
  <conditionalFormatting sqref="H13 H15:H20">
    <cfRule type="expression" dxfId="553" priority="116">
      <formula>ABS(H$16-H$19)&gt;=1000</formula>
    </cfRule>
  </conditionalFormatting>
  <conditionalFormatting sqref="J13:J20">
    <cfRule type="expression" dxfId="552" priority="115">
      <formula>ABS(J$16-J$19)&gt;=1000</formula>
    </cfRule>
  </conditionalFormatting>
  <conditionalFormatting sqref="L13:L20">
    <cfRule type="expression" dxfId="551" priority="114">
      <formula>ABS(L$16-L$19)&gt;=1000</formula>
    </cfRule>
  </conditionalFormatting>
  <conditionalFormatting sqref="M13 M15 M17:M18 M20">
    <cfRule type="expression" dxfId="550" priority="113">
      <formula>ABS(M$16-M$19)&gt;=1000</formula>
    </cfRule>
  </conditionalFormatting>
  <conditionalFormatting sqref="N13:N20">
    <cfRule type="expression" dxfId="549" priority="112">
      <formula>ABS(N$16-N$19)&gt;=1000</formula>
    </cfRule>
  </conditionalFormatting>
  <conditionalFormatting sqref="O13:O20">
    <cfRule type="expression" dxfId="548" priority="111">
      <formula>ABS(O$16-O$19)&gt;=1000</formula>
    </cfRule>
  </conditionalFormatting>
  <conditionalFormatting sqref="P13:P20">
    <cfRule type="expression" dxfId="547" priority="110">
      <formula>ABS(P$16-P$19)&gt;=1000</formula>
    </cfRule>
  </conditionalFormatting>
  <conditionalFormatting sqref="Q13 Q15:Q20">
    <cfRule type="expression" dxfId="546" priority="109">
      <formula>ABS(Q$16-Q$19)&gt;=1000</formula>
    </cfRule>
  </conditionalFormatting>
  <conditionalFormatting sqref="R13:R20">
    <cfRule type="expression" dxfId="545" priority="108">
      <formula>ABS(R$16-R$19)&gt;=1000</formula>
    </cfRule>
  </conditionalFormatting>
  <conditionalFormatting sqref="S13:S20">
    <cfRule type="expression" dxfId="544" priority="107">
      <formula>ABS(S$16-S$19)&gt;=1000</formula>
    </cfRule>
  </conditionalFormatting>
  <conditionalFormatting sqref="T13:T20">
    <cfRule type="expression" dxfId="543" priority="106">
      <formula>ABS(T$16-T$19)&gt;=1000</formula>
    </cfRule>
  </conditionalFormatting>
  <conditionalFormatting sqref="U13:U20">
    <cfRule type="expression" dxfId="542" priority="105">
      <formula>ABS(U$16-U$19)&gt;=1000</formula>
    </cfRule>
  </conditionalFormatting>
  <conditionalFormatting sqref="V13:V20">
    <cfRule type="expression" dxfId="541" priority="104">
      <formula>ABS(V$16-V$19)&gt;=1000</formula>
    </cfRule>
  </conditionalFormatting>
  <conditionalFormatting sqref="W13 W20 W15:W18">
    <cfRule type="expression" dxfId="540" priority="103">
      <formula>ABS(W$16-W$19)&gt;=1000</formula>
    </cfRule>
  </conditionalFormatting>
  <conditionalFormatting sqref="X13 X15:X20 Y19">
    <cfRule type="expression" dxfId="539" priority="102">
      <formula>ABS(X$16-X$19)&gt;=1000</formula>
    </cfRule>
  </conditionalFormatting>
  <conditionalFormatting sqref="Y13 Y15:Y18 Y20">
    <cfRule type="expression" dxfId="538" priority="101">
      <formula>ABS(Y$16-Y$19)&gt;=1000</formula>
    </cfRule>
  </conditionalFormatting>
  <conditionalFormatting sqref="Z13:Z20">
    <cfRule type="expression" dxfId="537" priority="100">
      <formula>ABS(Z$16-Z$19)&gt;=1000</formula>
    </cfRule>
  </conditionalFormatting>
  <conditionalFormatting sqref="AA13:AA20">
    <cfRule type="expression" dxfId="536" priority="99">
      <formula>ABS(AA$16-AA$19)&gt;=1000</formula>
    </cfRule>
  </conditionalFormatting>
  <conditionalFormatting sqref="AB13 AB15:AB20">
    <cfRule type="expression" dxfId="535" priority="98">
      <formula>ABS(AB$16-AB$19)&gt;=1000</formula>
    </cfRule>
  </conditionalFormatting>
  <conditionalFormatting sqref="AC13 AC15:AC20">
    <cfRule type="expression" dxfId="534" priority="97">
      <formula>ABS(AC$16-AC$19)&gt;=1000</formula>
    </cfRule>
  </conditionalFormatting>
  <conditionalFormatting sqref="AD13:AD20">
    <cfRule type="expression" dxfId="533" priority="96">
      <formula>ABS(AD$16-AD$19)&gt;=1000</formula>
    </cfRule>
  </conditionalFormatting>
  <conditionalFormatting sqref="AE13:AE20">
    <cfRule type="expression" dxfId="532" priority="95">
      <formula>ABS(AE$16-AE$19)&gt;=1000</formula>
    </cfRule>
  </conditionalFormatting>
  <conditionalFormatting sqref="D22:D29">
    <cfRule type="expression" dxfId="531" priority="94">
      <formula>ABS(D$25-D$28)&gt;=1000</formula>
    </cfRule>
  </conditionalFormatting>
  <conditionalFormatting sqref="E22:E29">
    <cfRule type="expression" dxfId="530" priority="93">
      <formula>ABS(E$25-E$28)&gt;=1000</formula>
    </cfRule>
  </conditionalFormatting>
  <conditionalFormatting sqref="F22:F29">
    <cfRule type="expression" dxfId="529" priority="92">
      <formula>ABS(F$25-F$28)&gt;=1000</formula>
    </cfRule>
  </conditionalFormatting>
  <conditionalFormatting sqref="G22:G29">
    <cfRule type="expression" dxfId="528" priority="91">
      <formula>ABS(G$25-G$28)&gt;=1000</formula>
    </cfRule>
  </conditionalFormatting>
  <conditionalFormatting sqref="H22:H29">
    <cfRule type="expression" dxfId="527" priority="90">
      <formula>ABS(H$25-H$28)&gt;=1000</formula>
    </cfRule>
  </conditionalFormatting>
  <conditionalFormatting sqref="I22 I24:I29">
    <cfRule type="expression" dxfId="526" priority="89">
      <formula>ABS(I$25-I$28)&gt;=1000</formula>
    </cfRule>
  </conditionalFormatting>
  <conditionalFormatting sqref="J22:J29 K22">
    <cfRule type="expression" dxfId="525" priority="88">
      <formula>ABS(J$25-J$28)&gt;=1000</formula>
    </cfRule>
  </conditionalFormatting>
  <conditionalFormatting sqref="K23:K29 L25 L28">
    <cfRule type="expression" dxfId="524" priority="87">
      <formula>ABS(K$25-K$28)&gt;=1000</formula>
    </cfRule>
  </conditionalFormatting>
  <conditionalFormatting sqref="L22 L26:L27 L29 L24">
    <cfRule type="expression" dxfId="523" priority="86">
      <formula>ABS(L$25-L$28)&gt;=1000</formula>
    </cfRule>
  </conditionalFormatting>
  <conditionalFormatting sqref="M22:M29">
    <cfRule type="expression" dxfId="522" priority="85">
      <formula>ABS(M$25-M$28)&gt;=1000</formula>
    </cfRule>
  </conditionalFormatting>
  <conditionalFormatting sqref="N22:N29">
    <cfRule type="expression" dxfId="521" priority="84">
      <formula>ABS(N$25-N$28)&gt;=1000</formula>
    </cfRule>
  </conditionalFormatting>
  <conditionalFormatting sqref="O22:O29">
    <cfRule type="expression" dxfId="520" priority="83">
      <formula>ABS(O$25-O$28)&gt;=1000</formula>
    </cfRule>
  </conditionalFormatting>
  <conditionalFormatting sqref="P22:P29">
    <cfRule type="expression" dxfId="519" priority="82">
      <formula>ABS(P$25-P$28)&gt;=1000</formula>
    </cfRule>
  </conditionalFormatting>
  <conditionalFormatting sqref="Q22:Q29">
    <cfRule type="expression" dxfId="518" priority="81">
      <formula>ABS(Q$25-Q$28)&gt;=1000</formula>
    </cfRule>
  </conditionalFormatting>
  <conditionalFormatting sqref="R22:R29">
    <cfRule type="expression" dxfId="517" priority="80">
      <formula>ABS(R$25-R$28)&gt;=1000</formula>
    </cfRule>
  </conditionalFormatting>
  <conditionalFormatting sqref="S22:S29">
    <cfRule type="expression" dxfId="516" priority="79">
      <formula>ABS(S$25-S$28)&gt;=1000</formula>
    </cfRule>
  </conditionalFormatting>
  <conditionalFormatting sqref="T22:T29">
    <cfRule type="expression" dxfId="515" priority="78">
      <formula>ABS(T$25-T$28)&gt;=1000</formula>
    </cfRule>
  </conditionalFormatting>
  <conditionalFormatting sqref="U22:U29">
    <cfRule type="expression" dxfId="514" priority="77">
      <formula>ABS(U$25-U$28)&gt;=1000</formula>
    </cfRule>
  </conditionalFormatting>
  <conditionalFormatting sqref="V22:V29">
    <cfRule type="expression" dxfId="513" priority="76">
      <formula>ABS(V$25-V$28)&gt;=1000</formula>
    </cfRule>
  </conditionalFormatting>
  <conditionalFormatting sqref="W22:W29">
    <cfRule type="expression" dxfId="512" priority="75">
      <formula>ABS(W$25-W$28)&gt;=1000</formula>
    </cfRule>
  </conditionalFormatting>
  <conditionalFormatting sqref="X22:X29">
    <cfRule type="expression" dxfId="511" priority="74">
      <formula>ABS(X$25-X$28)&gt;=1000</formula>
    </cfRule>
  </conditionalFormatting>
  <conditionalFormatting sqref="Y22:Y29">
    <cfRule type="expression" dxfId="510" priority="73">
      <formula>ABS(Y$25-Y$28)&gt;=1000</formula>
    </cfRule>
  </conditionalFormatting>
  <conditionalFormatting sqref="I23">
    <cfRule type="expression" dxfId="509" priority="72">
      <formula>ABS(I$25-I$28)&gt;=1000</formula>
    </cfRule>
  </conditionalFormatting>
  <conditionalFormatting sqref="Q14">
    <cfRule type="expression" dxfId="508" priority="71">
      <formula>ABS(Q$16-Q$19)&gt;=1000</formula>
    </cfRule>
  </conditionalFormatting>
  <conditionalFormatting sqref="W14">
    <cfRule type="expression" dxfId="507" priority="70">
      <formula>ABS(W$16-W$19)&gt;=1000</formula>
    </cfRule>
  </conditionalFormatting>
  <conditionalFormatting sqref="X14">
    <cfRule type="expression" dxfId="506" priority="69">
      <formula>ABS(X$16-X$19)&gt;=1000</formula>
    </cfRule>
  </conditionalFormatting>
  <conditionalFormatting sqref="T10:Y10">
    <cfRule type="expression" dxfId="505" priority="68">
      <formula>ABS(T$7-T$10)&gt;=1000</formula>
    </cfRule>
  </conditionalFormatting>
  <conditionalFormatting sqref="W19">
    <cfRule type="expression" dxfId="504" priority="67">
      <formula>ABS(W$16-W$19)&gt;=1000</formula>
    </cfRule>
  </conditionalFormatting>
  <conditionalFormatting sqref="AC5">
    <cfRule type="expression" dxfId="503" priority="66">
      <formula>ABS(AC$7-AC$10)&gt;=1000</formula>
    </cfRule>
  </conditionalFormatting>
  <conditionalFormatting sqref="M14">
    <cfRule type="expression" dxfId="502" priority="65">
      <formula>ABS(M$16-M$19)&gt;=1000</formula>
    </cfRule>
  </conditionalFormatting>
  <conditionalFormatting sqref="M16">
    <cfRule type="expression" dxfId="501" priority="64">
      <formula>ABS(M$16-M$19)&gt;=1000</formula>
    </cfRule>
  </conditionalFormatting>
  <conditionalFormatting sqref="M19">
    <cfRule type="expression" dxfId="500" priority="63">
      <formula>ABS(M$16-M$19)&gt;=1000</formula>
    </cfRule>
  </conditionalFormatting>
  <conditionalFormatting sqref="K13:K20">
    <cfRule type="expression" dxfId="499" priority="62">
      <formula>ABS(K$16-K$19)&gt;=1000</formula>
    </cfRule>
  </conditionalFormatting>
  <conditionalFormatting sqref="AB14:AC14">
    <cfRule type="expression" dxfId="498" priority="61">
      <formula>ABS(AB$16-AB$19)&gt;=1000</formula>
    </cfRule>
  </conditionalFormatting>
  <conditionalFormatting sqref="M5">
    <cfRule type="expression" dxfId="497" priority="60">
      <formula>ABS(M$7-M$10)&gt;=1000</formula>
    </cfRule>
  </conditionalFormatting>
  <conditionalFormatting sqref="N5">
    <cfRule type="expression" dxfId="496" priority="59">
      <formula>ABS(N$7-N$10)&gt;=1000</formula>
    </cfRule>
  </conditionalFormatting>
  <conditionalFormatting sqref="L23">
    <cfRule type="expression" dxfId="495" priority="58">
      <formula>ABS(L$25-L$28)&gt;=1000</formula>
    </cfRule>
  </conditionalFormatting>
  <conditionalFormatting sqref="Y14">
    <cfRule type="expression" dxfId="494" priority="57">
      <formula>ABS(Y$16-Y$19)&gt;=1000</formula>
    </cfRule>
  </conditionalFormatting>
  <conditionalFormatting sqref="F14">
    <cfRule type="expression" dxfId="493" priority="56">
      <formula>ABS(F$16-F$19)&gt;=1000</formula>
    </cfRule>
  </conditionalFormatting>
  <conditionalFormatting sqref="H14">
    <cfRule type="expression" dxfId="492" priority="55">
      <formula>ABS(H$16-H$19)&gt;=1000</formula>
    </cfRule>
  </conditionalFormatting>
  <conditionalFormatting sqref="AD5">
    <cfRule type="expression" dxfId="491" priority="54">
      <formula>ABS(AD$7-AD$10)&gt;=1000</formula>
    </cfRule>
  </conditionalFormatting>
  <conditionalFormatting sqref="AE5">
    <cfRule type="expression" dxfId="490" priority="53">
      <formula>ABS(AE$7-AE$10)&gt;=1000</formula>
    </cfRule>
  </conditionalFormatting>
  <conditionalFormatting sqref="D5">
    <cfRule type="expression" dxfId="489" priority="52">
      <formula>ABS(D$7-D$10)&gt;=1000</formula>
    </cfRule>
  </conditionalFormatting>
  <conditionalFormatting sqref="E5:G5">
    <cfRule type="expression" dxfId="488" priority="51">
      <formula>ABS(E$7-E$10)&gt;=1000</formula>
    </cfRule>
  </conditionalFormatting>
  <conditionalFormatting sqref="H5">
    <cfRule type="expression" dxfId="487" priority="50">
      <formula>ABS(H$7-H$10)&gt;=1000</formula>
    </cfRule>
  </conditionalFormatting>
  <conditionalFormatting sqref="O4:P4">
    <cfRule type="expression" dxfId="486" priority="49">
      <formula>ABS(O$7-O$10)&gt;=1000</formula>
    </cfRule>
  </conditionalFormatting>
  <conditionalFormatting sqref="O5 O11">
    <cfRule type="expression" dxfId="485" priority="48">
      <formula>ABS(O$7-O$10)&gt;=1000</formula>
    </cfRule>
  </conditionalFormatting>
  <conditionalFormatting sqref="P11">
    <cfRule type="expression" dxfId="484" priority="47">
      <formula>ABS(P$7-P$10)&gt;=1000</formula>
    </cfRule>
  </conditionalFormatting>
  <conditionalFormatting sqref="J5">
    <cfRule type="expression" dxfId="483" priority="46">
      <formula>ABS(J$7-J$10)&gt;=1000</formula>
    </cfRule>
  </conditionalFormatting>
  <conditionalFormatting sqref="K5">
    <cfRule type="expression" dxfId="482" priority="45">
      <formula>ABS(K$7-K$10)&gt;=1000</formula>
    </cfRule>
  </conditionalFormatting>
  <conditionalFormatting sqref="I6">
    <cfRule type="expression" dxfId="481" priority="44">
      <formula>ABS(I$7-I$10)&gt;=1000</formula>
    </cfRule>
  </conditionalFormatting>
  <conditionalFormatting sqref="H9">
    <cfRule type="expression" dxfId="480" priority="43">
      <formula>ABS(H$7-H$10)&gt;=1000</formula>
    </cfRule>
  </conditionalFormatting>
  <conditionalFormatting sqref="J9">
    <cfRule type="expression" dxfId="479" priority="42">
      <formula>ABS(J$7-J$10)&gt;=1000</formula>
    </cfRule>
  </conditionalFormatting>
  <conditionalFormatting sqref="K9">
    <cfRule type="expression" dxfId="478" priority="41">
      <formula>ABS(K$7-K$10)&gt;=1000</formula>
    </cfRule>
  </conditionalFormatting>
  <conditionalFormatting sqref="L9">
    <cfRule type="expression" dxfId="477" priority="40">
      <formula>ABS(L$7-L$10)&gt;=1000</formula>
    </cfRule>
  </conditionalFormatting>
  <conditionalFormatting sqref="M9">
    <cfRule type="expression" dxfId="476" priority="39">
      <formula>ABS(M$7-M$10)&gt;=1000</formula>
    </cfRule>
  </conditionalFormatting>
  <conditionalFormatting sqref="N9">
    <cfRule type="expression" dxfId="475" priority="38">
      <formula>ABS(N$7-N$10)&gt;=1000</formula>
    </cfRule>
  </conditionalFormatting>
  <conditionalFormatting sqref="O9">
    <cfRule type="expression" dxfId="474" priority="37">
      <formula>ABS(O$7-O$10)&gt;=1000</formula>
    </cfRule>
  </conditionalFormatting>
  <conditionalFormatting sqref="P9">
    <cfRule type="expression" dxfId="473" priority="36">
      <formula>ABS(P$7-P$10)&gt;=1000</formula>
    </cfRule>
  </conditionalFormatting>
  <conditionalFormatting sqref="I9">
    <cfRule type="expression" dxfId="472" priority="35">
      <formula>ABS(I$7-I$10)&gt;=1000</formula>
    </cfRule>
  </conditionalFormatting>
  <conditionalFormatting sqref="P5">
    <cfRule type="expression" dxfId="471" priority="34">
      <formula>ABS(P$7-P$10)&gt;=1000</formula>
    </cfRule>
  </conditionalFormatting>
  <conditionalFormatting sqref="I5">
    <cfRule type="expression" dxfId="470" priority="33">
      <formula>ABS(I$7-I$10)&gt;=1000</formula>
    </cfRule>
  </conditionalFormatting>
  <conditionalFormatting sqref="D6 D8">
    <cfRule type="expression" dxfId="469" priority="32">
      <formula>ABS(D$7-D$10)&gt;=1000</formula>
    </cfRule>
  </conditionalFormatting>
  <conditionalFormatting sqref="E6 E8">
    <cfRule type="expression" dxfId="468" priority="31">
      <formula>ABS(E$7-E$10)&gt;=1000</formula>
    </cfRule>
  </conditionalFormatting>
  <conditionalFormatting sqref="F6 F8">
    <cfRule type="expression" dxfId="467" priority="30">
      <formula>ABS(F$7-F$10)&gt;=1000</formula>
    </cfRule>
  </conditionalFormatting>
  <conditionalFormatting sqref="G6 G8">
    <cfRule type="expression" dxfId="466" priority="29">
      <formula>ABS(G$7-G$10)&gt;=1000</formula>
    </cfRule>
  </conditionalFormatting>
  <conditionalFormatting sqref="H8">
    <cfRule type="expression" dxfId="465" priority="28">
      <formula>ABS(H$7-H$10)&gt;=1000</formula>
    </cfRule>
  </conditionalFormatting>
  <conditionalFormatting sqref="H6">
    <cfRule type="expression" dxfId="464" priority="27">
      <formula>ABS(H$7-H$10)&gt;=1000</formula>
    </cfRule>
  </conditionalFormatting>
  <conditionalFormatting sqref="J8">
    <cfRule type="expression" dxfId="463" priority="26">
      <formula>ABS(J$7-J$10)&gt;=1000</formula>
    </cfRule>
  </conditionalFormatting>
  <conditionalFormatting sqref="K8">
    <cfRule type="expression" dxfId="462" priority="25">
      <formula>ABS(K$7-K$10)&gt;=1000</formula>
    </cfRule>
  </conditionalFormatting>
  <conditionalFormatting sqref="L8">
    <cfRule type="expression" dxfId="461" priority="24">
      <formula>ABS(L$7-L$10)&gt;=1000</formula>
    </cfRule>
  </conditionalFormatting>
  <conditionalFormatting sqref="M8">
    <cfRule type="expression" dxfId="460" priority="23">
      <formula>ABS(M$7-M$10)&gt;=1000</formula>
    </cfRule>
  </conditionalFormatting>
  <conditionalFormatting sqref="N8">
    <cfRule type="expression" dxfId="459" priority="22">
      <formula>ABS(N$7-N$10)&gt;=1000</formula>
    </cfRule>
  </conditionalFormatting>
  <conditionalFormatting sqref="O8">
    <cfRule type="expression" dxfId="458" priority="21">
      <formula>ABS(O$7-O$10)&gt;=1000</formula>
    </cfRule>
  </conditionalFormatting>
  <conditionalFormatting sqref="P8">
    <cfRule type="expression" dxfId="457" priority="20">
      <formula>ABS(P$7-P$10)&gt;=1000</formula>
    </cfRule>
  </conditionalFormatting>
  <conditionalFormatting sqref="J6">
    <cfRule type="expression" dxfId="456" priority="19">
      <formula>ABS(J$7-J$10)&gt;=1000</formula>
    </cfRule>
  </conditionalFormatting>
  <conditionalFormatting sqref="K6">
    <cfRule type="expression" dxfId="455" priority="18">
      <formula>ABS(K$7-K$10)&gt;=1000</formula>
    </cfRule>
  </conditionalFormatting>
  <conditionalFormatting sqref="L6">
    <cfRule type="expression" dxfId="454" priority="17">
      <formula>ABS(L$7-L$10)&gt;=1000</formula>
    </cfRule>
  </conditionalFormatting>
  <conditionalFormatting sqref="M6">
    <cfRule type="expression" dxfId="453" priority="16">
      <formula>ABS(M$7-M$10)&gt;=1000</formula>
    </cfRule>
  </conditionalFormatting>
  <conditionalFormatting sqref="N6">
    <cfRule type="expression" dxfId="452" priority="15">
      <formula>ABS(N$7-N$10)&gt;=1000</formula>
    </cfRule>
  </conditionalFormatting>
  <conditionalFormatting sqref="O6">
    <cfRule type="expression" dxfId="451" priority="14">
      <formula>ABS(O$7-O$10)&gt;=1000</formula>
    </cfRule>
  </conditionalFormatting>
  <conditionalFormatting sqref="P6">
    <cfRule type="expression" dxfId="450" priority="13">
      <formula>ABS(P$7-P$10)&gt;=1000</formula>
    </cfRule>
  </conditionalFormatting>
  <conditionalFormatting sqref="L7">
    <cfRule type="expression" dxfId="449" priority="12">
      <formula>ABS(L$7-L$10)&gt;=1000</formula>
    </cfRule>
  </conditionalFormatting>
  <conditionalFormatting sqref="M7">
    <cfRule type="expression" dxfId="448" priority="11">
      <formula>ABS(M$7-M$10)&gt;=1000</formula>
    </cfRule>
  </conditionalFormatting>
  <conditionalFormatting sqref="O7:P7">
    <cfRule type="expression" dxfId="447" priority="10">
      <formula>ABS(O$7-O$10)&gt;=1000</formula>
    </cfRule>
  </conditionalFormatting>
  <conditionalFormatting sqref="N7">
    <cfRule type="expression" dxfId="446" priority="9">
      <formula>ABS(N$7-N$10)&gt;=1000</formula>
    </cfRule>
  </conditionalFormatting>
  <conditionalFormatting sqref="H7:K7">
    <cfRule type="expression" dxfId="445" priority="8">
      <formula>ABS(H$7-H$10)&gt;=1000</formula>
    </cfRule>
  </conditionalFormatting>
  <conditionalFormatting sqref="D7:G7">
    <cfRule type="expression" dxfId="444" priority="7">
      <formula>ABS(D$7-D$10)&gt;=1000</formula>
    </cfRule>
  </conditionalFormatting>
  <conditionalFormatting sqref="L10">
    <cfRule type="expression" dxfId="443" priority="6">
      <formula>ABS(L$7-L$10)&gt;=1000</formula>
    </cfRule>
  </conditionalFormatting>
  <conditionalFormatting sqref="M10">
    <cfRule type="expression" dxfId="442" priority="5">
      <formula>ABS(M$7-M$10)&gt;=1000</formula>
    </cfRule>
  </conditionalFormatting>
  <conditionalFormatting sqref="O10:P10">
    <cfRule type="expression" dxfId="441" priority="4">
      <formula>ABS(O$7-O$10)&gt;=1000</formula>
    </cfRule>
  </conditionalFormatting>
  <conditionalFormatting sqref="N10">
    <cfRule type="expression" dxfId="440" priority="3">
      <formula>ABS(N$7-N$10)&gt;=1000</formula>
    </cfRule>
  </conditionalFormatting>
  <conditionalFormatting sqref="H10:K10">
    <cfRule type="expression" dxfId="439" priority="2">
      <formula>ABS(H$7-H$10)&gt;=1000</formula>
    </cfRule>
  </conditionalFormatting>
  <conditionalFormatting sqref="D10:G10">
    <cfRule type="expression" dxfId="438" priority="1">
      <formula>ABS(D$7-D$10)&gt;=1000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9587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75">
    <pageSetUpPr fitToPage="1"/>
  </sheetPr>
  <dimension ref="A1:BA223"/>
  <sheetViews>
    <sheetView view="pageBreakPreview" zoomScale="110" zoomScaleNormal="100" zoomScaleSheetLayoutView="110" workbookViewId="0">
      <selection activeCell="I9" sqref="I9"/>
    </sheetView>
  </sheetViews>
  <sheetFormatPr defaultColWidth="8.109375" defaultRowHeight="25.8"/>
  <cols>
    <col min="1" max="1" width="11.6640625" style="53" customWidth="1" phonetic="1"/>
    <col min="2" max="2" width="7.6640625" style="53" customWidth="1" phonetic="1"/>
    <col min="3" max="3" width="8" style="53" customWidth="1" phonetic="1"/>
    <col min="4" max="7" width="8.77734375" style="53" customWidth="1" phonetic="1"/>
    <col min="8" max="8" width="9.77734375" style="53" customWidth="1" phonetic="1"/>
    <col min="9" max="16" width="8.77734375" style="53" customWidth="1" phonetic="1"/>
    <col min="17" max="30" width="7.6640625" style="53" customWidth="1" phonetic="1"/>
    <col min="31" max="31" width="7.6640625" style="64" customWidth="1" phonetic="1"/>
    <col min="32" max="32" width="11.6640625" style="53" bestFit="1" customWidth="1" phonetic="1"/>
    <col min="33" max="16384" width="8.109375" style="53" phonetic="1"/>
  </cols>
  <sheetData>
    <row r="1" spans="1:53" ht="31.2" ph="1">
      <c r="A1" s="53"/>
      <c r="B1" s="207" t="s" ph="1">
        <v>87</v>
      </c>
      <c r="C1" s="207" ph="1"/>
      <c r="D1" s="207" ph="1"/>
      <c r="E1" s="207" ph="1"/>
      <c r="F1" s="207" ph="1"/>
      <c r="G1" s="207" ph="1"/>
      <c r="H1" s="207" ph="1"/>
      <c r="I1" s="207" ph="1"/>
      <c r="J1" s="207" ph="1"/>
      <c r="K1" s="207" ph="1"/>
      <c r="L1" s="207" ph="1"/>
      <c r="M1" s="207" ph="1"/>
      <c r="N1" s="207" ph="1"/>
      <c r="O1" s="207" ph="1"/>
      <c r="P1" s="207" ph="1"/>
      <c r="Q1" s="207" ph="1"/>
      <c r="R1" s="207" ph="1"/>
      <c r="S1" s="207" ph="1"/>
      <c r="T1" s="207" ph="1"/>
      <c r="U1" s="207" ph="1"/>
      <c r="V1" s="207" ph="1"/>
      <c r="W1" s="207" ph="1"/>
      <c r="X1" s="207" ph="1"/>
      <c r="Y1" s="207" ph="1"/>
      <c r="Z1" s="207" ph="1"/>
      <c r="AA1" s="207" ph="1"/>
      <c r="AB1" s="207" ph="1"/>
      <c r="AC1" s="207" ph="1"/>
      <c r="AD1" s="207" ph="1"/>
      <c r="AE1" s="207" ph="1"/>
    </row>
    <row r="2" spans="1:53" s="55" customFormat="1" ht="24" customHeight="1" ph="1">
      <c r="B2" s="208" t="s" ph="1">
        <v>35</v>
      </c>
      <c r="C2" s="208" ph="1"/>
      <c r="D2" s="208" ph="1"/>
      <c r="E2" s="208" ph="1"/>
      <c r="F2" s="208" ph="1"/>
      <c r="G2" s="208" ph="1"/>
      <c r="H2" s="208" ph="1"/>
      <c r="I2" s="208" ph="1"/>
      <c r="J2" s="208" ph="1"/>
      <c r="K2" s="208" ph="1"/>
      <c r="L2" s="208" ph="1"/>
      <c r="M2" s="208" ph="1"/>
      <c r="N2" s="208" ph="1"/>
      <c r="O2" s="208" ph="1"/>
      <c r="P2" s="208" ph="1"/>
      <c r="Q2" s="208" ph="1"/>
      <c r="R2" s="208" ph="1"/>
      <c r="S2" s="208" ph="1"/>
      <c r="T2" s="208" ph="1"/>
      <c r="U2" s="208" ph="1"/>
      <c r="V2" s="208" ph="1"/>
      <c r="W2" s="208" ph="1"/>
      <c r="X2" s="208" ph="1"/>
      <c r="Y2" s="208" ph="1"/>
      <c r="Z2" s="208" ph="1"/>
      <c r="AA2" s="208" ph="1"/>
      <c r="AB2" s="208" ph="1"/>
      <c r="AC2" s="208" ph="1"/>
      <c r="AD2" s="208" ph="1"/>
      <c r="AE2" s="208" ph="1"/>
    </row>
    <row r="3" spans="1:53" ht="21" customHeight="1" ph="1">
      <c r="B3" s="209" ph="1">
        <v>46155</v>
      </c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209"/>
      <c r="P3" s="209"/>
      <c r="Q3" s="209"/>
      <c r="R3" s="209"/>
      <c r="S3" s="209"/>
      <c r="T3" s="209"/>
      <c r="U3" s="209"/>
      <c r="V3" s="209"/>
      <c r="W3" s="209"/>
      <c r="X3" s="209"/>
      <c r="Y3" s="209"/>
      <c r="Z3" s="209"/>
      <c r="AA3" s="209"/>
      <c r="AB3" s="209"/>
      <c r="AC3" s="209"/>
      <c r="AD3" s="209"/>
      <c r="AE3" s="209"/>
    </row>
    <row r="4" spans="1:53" s="58" customFormat="1" ph="1">
      <c r="A4" s="54" ph="1"/>
      <c r="B4" s="188" t="s" ph="1">
        <v>25</v>
      </c>
      <c r="C4" s="56" t="s" ph="1">
        <v>41</v>
      </c>
      <c r="D4" s="57" t="s" ph="1">
        <v>89</v>
      </c>
      <c r="E4" s="57" t="s" ph="1">
        <v>90</v>
      </c>
      <c r="F4" s="57" t="s" ph="1">
        <v>27</v>
      </c>
      <c r="G4" s="57" t="s" ph="1">
        <v>54</v>
      </c>
      <c r="H4" s="57" t="s" ph="1">
        <v>88</v>
      </c>
      <c r="I4" s="57" t="s" ph="1">
        <v>91</v>
      </c>
      <c r="J4" s="57" t="s" ph="1">
        <v>57</v>
      </c>
      <c r="K4" s="57" t="s" ph="1">
        <v>58</v>
      </c>
      <c r="L4" s="57" t="s" ph="1">
        <v>59</v>
      </c>
      <c r="M4" s="57" t="s" ph="1">
        <v>60</v>
      </c>
      <c r="N4" s="57" t="s" ph="1">
        <v>61</v>
      </c>
      <c r="O4" s="57" t="s" ph="1">
        <v>62</v>
      </c>
      <c r="P4" s="57" t="s" ph="1">
        <v>63</v>
      </c>
      <c r="Q4" s="57" ph="1"/>
      <c r="R4" s="57" ph="1"/>
      <c r="S4" s="57" ph="1"/>
      <c r="T4" s="57" ph="1"/>
      <c r="U4" s="57" ph="1"/>
      <c r="V4" s="57" ph="1"/>
      <c r="W4" s="57" ph="1"/>
      <c r="X4" s="57" ph="1"/>
      <c r="Y4" s="57" ph="1"/>
      <c r="Z4" s="57" ph="1"/>
      <c r="AA4" s="57" ph="1"/>
      <c r="AB4" s="57" ph="1"/>
      <c r="AC4" s="57" ph="1"/>
      <c r="AD4" s="57" ph="1"/>
      <c r="AE4" s="57" ph="1"/>
      <c r="AF4" s="54" ph="1"/>
      <c r="AG4" s="54" ph="1"/>
      <c r="AH4" s="54" ph="1"/>
      <c r="AI4" s="54" ph="1"/>
      <c r="AJ4" s="54" ph="1"/>
      <c r="AK4" s="54" ph="1"/>
      <c r="AL4" s="54" ph="1"/>
      <c r="AM4" s="54" ph="1"/>
      <c r="AN4" s="54" ph="1"/>
      <c r="AO4" s="54" ph="1"/>
      <c r="AP4" s="54" ph="1"/>
      <c r="AQ4" s="54" ph="1"/>
      <c r="AR4" s="54" ph="1"/>
      <c r="AS4" s="54" ph="1"/>
      <c r="AT4" s="54" ph="1"/>
      <c r="AU4" s="54" ph="1"/>
      <c r="AV4" s="54" ph="1"/>
      <c r="AW4" s="54" ph="1"/>
      <c r="AX4" s="54" ph="1"/>
      <c r="AY4" s="54" ph="1"/>
      <c r="AZ4" s="54" ph="1"/>
      <c r="BA4" s="54" ph="1"/>
    </row>
    <row r="5" spans="1:53" s="58" customFormat="1" ht="29.25" customHeight="1" ph="1">
      <c r="A5" s="54" ph="1"/>
      <c r="B5" s="188" ph="1"/>
      <c r="C5" s="56" t="s" ph="1">
        <v>24</v>
      </c>
      <c r="D5" s="103" t="s" ph="1">
        <v>64</v>
      </c>
      <c r="E5" s="103" t="s" ph="1">
        <v>64</v>
      </c>
      <c r="F5" s="103" t="s" ph="1">
        <v>86</v>
      </c>
      <c r="G5" s="103" t="s" ph="1">
        <v>86</v>
      </c>
      <c r="H5" s="103" t="s" ph="1">
        <v>64</v>
      </c>
      <c r="I5" s="103" t="s" ph="1">
        <v>64</v>
      </c>
      <c r="J5" s="103" t="s" ph="1">
        <v>86</v>
      </c>
      <c r="K5" s="103" t="s" ph="1">
        <v>86</v>
      </c>
      <c r="L5" s="102" t="s" ph="1">
        <v>51</v>
      </c>
      <c r="M5" s="102" t="s" ph="1">
        <v>65</v>
      </c>
      <c r="N5" s="102" t="s" ph="1">
        <v>51</v>
      </c>
      <c r="O5" s="102" t="s" ph="1">
        <v>66</v>
      </c>
      <c r="P5" s="102" t="s" ph="1">
        <v>66</v>
      </c>
      <c r="Q5" s="59" ph="1"/>
      <c r="R5" s="59" ph="1"/>
      <c r="S5" s="59" ph="1"/>
      <c r="T5" s="59" ph="1"/>
      <c r="U5" s="59" ph="1"/>
      <c r="V5" s="59" ph="1"/>
      <c r="W5" s="59" ph="1"/>
      <c r="X5" s="59" ph="1"/>
      <c r="Y5" s="59" ph="1"/>
      <c r="Z5" s="59" ph="1"/>
      <c r="AA5" s="59" ph="1"/>
      <c r="AB5" s="59" ph="1"/>
      <c r="AC5" s="59" ph="1"/>
      <c r="AD5" s="60"/>
      <c r="AE5" s="60"/>
      <c r="AF5" s="54" ph="1"/>
      <c r="AG5" s="54" ph="1"/>
      <c r="AH5" s="54" ph="1"/>
      <c r="AI5" s="54" ph="1"/>
      <c r="AJ5" s="54" ph="1"/>
      <c r="AK5" s="54" ph="1"/>
      <c r="AL5" s="54" ph="1"/>
      <c r="AM5" s="54" ph="1"/>
      <c r="AN5" s="54" ph="1"/>
      <c r="AO5" s="54" ph="1"/>
      <c r="AP5" s="54" ph="1"/>
      <c r="AQ5" s="54" ph="1"/>
      <c r="AR5" s="54" ph="1"/>
      <c r="AS5" s="54" ph="1"/>
      <c r="AT5" s="54" ph="1"/>
      <c r="AU5" s="54" ph="1"/>
      <c r="AV5" s="54" ph="1"/>
      <c r="AW5" s="54" ph="1"/>
      <c r="AX5" s="54" ph="1"/>
      <c r="AY5" s="54" ph="1"/>
      <c r="AZ5" s="54" ph="1"/>
      <c r="BA5" s="54" ph="1"/>
    </row>
    <row r="6" spans="1:53" ph="1">
      <c r="B6" s="206" ph="1">
        <v>0.33333333333333331</v>
      </c>
      <c r="C6" s="139" t="s" ph="1">
        <v>42</v>
      </c>
      <c r="D6" s="109">
        <v>0.99109999999999998</v>
      </c>
      <c r="E6" s="109">
        <v>0.15679999999999999</v>
      </c>
      <c r="F6" s="109">
        <v>0</v>
      </c>
      <c r="G6" s="109">
        <v>0</v>
      </c>
      <c r="H6" s="60">
        <v>4199</v>
      </c>
      <c r="I6" s="60">
        <v>3896</v>
      </c>
      <c r="J6" s="60">
        <v>0</v>
      </c>
      <c r="K6" s="60">
        <v>0</v>
      </c>
      <c r="L6" s="60">
        <v>3024</v>
      </c>
      <c r="M6" s="60">
        <v>1903</v>
      </c>
      <c r="N6" s="60">
        <v>3172</v>
      </c>
      <c r="O6" s="60">
        <v>3207</v>
      </c>
      <c r="P6" s="60">
        <v>833</v>
      </c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</row>
    <row r="7" spans="1:53" s="61" customFormat="1" ht="22.2" ph="1">
      <c r="B7" s="206" ph="1"/>
      <c r="C7" s="57" t="s" ph="1">
        <v>43</v>
      </c>
      <c r="D7" s="62" ph="1">
        <f>((D6*5885)*4.48)*LOOKUP(D8,密度!$A$2:$A$50,密度!$B$2:$B$50)</f>
        <v>20211.673562079999</v>
      </c>
      <c r="E7" s="62" ph="1">
        <f>((E6*5885)*4.48)*LOOKUP(E8,密度!$A$2:$A$50,密度!$B$2:$B$50)</f>
        <v>3201.3700956160001</v>
      </c>
      <c r="F7" s="62" ph="1">
        <f>((F6*5885)*4.48)*LOOKUP(F8,密度!$A$2:$A$50,密度!$B$2:$B$50)</f>
        <v>0</v>
      </c>
      <c r="G7" s="62" ph="1">
        <f>((G6*5885)*4.48)*LOOKUP(G8,密度!$A$2:$A$50,密度!$B$2:$B$50)</f>
        <v>0</v>
      </c>
      <c r="H7" s="62" ph="1">
        <f>IF(H6&lt;=0,0,IF(H6&lt;=745,PI()*(5.3235*(H6/1000)^2-(4/3)*(H6/1000)^3),7.55+15.2053*((H6-745)/1000))*LOOKUP(H8,密度!$A$2:$A$50,密度!$B$2:$B$50)*1000)</f>
        <v>46415.398360740008</v>
      </c>
      <c r="I7" s="62" ph="1">
        <f>IF(I6&lt;=0,0,IF(I6&lt;=745,PI()*(5.3235*(I6/1000)^2-(4/3)*(I6/1000)^3),7.55+15.2053*((I6-745)/1000))*LOOKUP(I8,密度!$A$2:$A$50,密度!$B$2:$B$50)*1000)</f>
        <v>42899.779882049988</v>
      </c>
      <c r="J7" s="62" ph="1">
        <f>IF(J6&lt;=0,0,IF(J6&lt;=745,PI()*(5.3235*(J6/1000)^2-(4/3)*(J6/1000)^3),7.55+15.2053*((J6-745)/1000))*LOOKUP(J8,密度!$A$2:$A$50,密度!$B$2:$B$50)*1000)</f>
        <v>0</v>
      </c>
      <c r="K7" s="62" ph="1">
        <f>IF(K6&lt;=0,0,IF(K6&lt;=745,PI()*(5.3235*(K6/1000)^2-(4/3)*(K6/1000)^3),7.55+15.2053*((K6-745)/1000))*LOOKUP(K8,密度!$A$2:$A$50,密度!$B$2:$B$50)*1000)</f>
        <v>0</v>
      </c>
      <c r="L7" s="62" ph="1">
        <f>L6*26.42*LOOKUP(L8,密度!$A$2:$A$50,密度!$B$2:$B$50)</f>
        <v>61869.975551999996</v>
      </c>
      <c r="M7" s="62" ph="1">
        <f>M6*26.42*1</f>
        <v>50277.26</v>
      </c>
      <c r="N7" s="62" ph="1">
        <f>N6*18.32*LOOKUP(N8,密度!$A$2:$A$50,密度!$B$2:$B$50)</f>
        <v>45001.189376000002</v>
      </c>
      <c r="O7" s="62" ph="1">
        <f>O6*81.71*LOOKUP(O8,密度!$A$2:$A$50,密度!$B$2:$B$50)</f>
        <v>203162.68994099999</v>
      </c>
      <c r="P7" s="62" ph="1">
        <f>P6*81.71*LOOKUP(P8,密度!$A$2:$A$50,密度!$B$2:$B$50)</f>
        <v>52709.094591999994</v>
      </c>
      <c r="Q7" s="62" ph="1"/>
      <c r="R7" s="62" ph="1"/>
      <c r="S7" s="62" ph="1"/>
      <c r="T7" s="62" ph="1"/>
      <c r="U7" s="62" ph="1"/>
      <c r="V7" s="62" ph="1"/>
      <c r="W7" s="62" ph="1"/>
      <c r="X7" s="62" ph="1"/>
      <c r="Y7" s="62" ph="1"/>
      <c r="Z7" s="62" ph="1"/>
      <c r="AA7" s="62" ph="1"/>
      <c r="AB7" s="62" ph="1"/>
      <c r="AC7" s="62" ph="1"/>
      <c r="AD7" s="62" ph="1"/>
      <c r="AE7" s="62" ph="1"/>
    </row>
    <row r="8" spans="1:53" ph="1">
      <c r="B8" s="206" ph="1"/>
      <c r="C8" s="57" t="s" ph="1">
        <v>44</v>
      </c>
      <c r="D8" s="63">
        <v>32</v>
      </c>
      <c r="E8" s="63">
        <v>31</v>
      </c>
      <c r="F8" s="63">
        <v>29</v>
      </c>
      <c r="G8" s="63">
        <v>30</v>
      </c>
      <c r="H8" s="63">
        <v>33</v>
      </c>
      <c r="I8" s="63">
        <v>32</v>
      </c>
      <c r="J8" s="63">
        <v>31</v>
      </c>
      <c r="K8" s="63">
        <v>29</v>
      </c>
      <c r="L8" s="63">
        <v>31</v>
      </c>
      <c r="M8" s="63">
        <v>30</v>
      </c>
      <c r="N8" s="63">
        <v>31</v>
      </c>
      <c r="O8" s="63">
        <v>30</v>
      </c>
      <c r="P8" s="63">
        <v>31</v>
      </c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</row>
    <row r="9" spans="1:53" ht="26.4" ph="1">
      <c r="B9" s="206" ph="1">
        <v>0.66666666666666663</v>
      </c>
      <c r="C9" s="139" t="s" ph="1">
        <v>45</v>
      </c>
      <c r="D9" s="109">
        <v>0</v>
      </c>
      <c r="E9" s="109">
        <v>0.76980000000000004</v>
      </c>
      <c r="F9" s="109">
        <v>0</v>
      </c>
      <c r="G9" s="109">
        <v>0</v>
      </c>
      <c r="H9" s="60">
        <v>4868</v>
      </c>
      <c r="I9" s="60">
        <v>2970</v>
      </c>
      <c r="J9" s="60">
        <v>0</v>
      </c>
      <c r="K9" s="60">
        <v>0</v>
      </c>
      <c r="L9" s="60">
        <v>3109</v>
      </c>
      <c r="M9" s="60">
        <v>1903</v>
      </c>
      <c r="N9" s="60">
        <v>2056</v>
      </c>
      <c r="O9" s="60">
        <v>4375</v>
      </c>
      <c r="P9" s="60">
        <v>1176</v>
      </c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</row>
    <row r="10" spans="1:53" s="61" customFormat="1" ht="22.2" ph="1">
      <c r="B10" s="206" ph="1"/>
      <c r="C10" s="139" t="s" ph="1">
        <v>43</v>
      </c>
      <c r="D10" s="62" ph="1">
        <f>((D9*5885)*4.48)*LOOKUP(D11,密度!$A$2:$A$50,密度!$B$2:$B$50)</f>
        <v>0</v>
      </c>
      <c r="E10" s="62" ph="1">
        <f>((E9*5885)*4.48)*LOOKUP(E11,密度!$A$2:$A$50,密度!$B$2:$B$50)</f>
        <v>15682.427923008003</v>
      </c>
      <c r="F10" s="62" ph="1">
        <f>((F9*5885)*4.48)*LOOKUP(F11,密度!$A$2:$A$50,密度!$B$2:$B$50)</f>
        <v>0</v>
      </c>
      <c r="G10" s="62" ph="1">
        <f>((G9*5885)*4.48)*LOOKUP(G11,密度!$A$2:$A$50,密度!$B$2:$B$50)</f>
        <v>0</v>
      </c>
      <c r="H10" s="62" ph="1">
        <f>IF(H9&lt;=0,0,IF(H9&lt;=745,PI()*(5.3235*(H9/1000)^2-(4/3)*(H9/1000)^3),7.55+15.2053*((H9-745)/1000))*LOOKUP(H11,密度!$A$2:$A$50,密度!$B$2:$B$50)*1000)</f>
        <v>54275.569883130003</v>
      </c>
      <c r="I10" s="62" ph="1">
        <f>IF(I9&lt;=0,0,IF(I9&lt;=745,PI()*(5.3235*(I9/1000)^2-(4/3)*(I9/1000)^3),7.55+15.2053*((I9-745)/1000))*LOOKUP(I11,密度!$A$2:$A$50,密度!$B$2:$B$50)*1000)</f>
        <v>31938.467451500001</v>
      </c>
      <c r="J10" s="62" ph="1">
        <f>IF(J9&lt;=0,0,IF(J9&lt;=745,PI()*(5.3235*(J9/1000)^2-(4/3)*(J9/1000)^3),7.55+15.2053*((J9-745)/1000))*LOOKUP(J11,密度!$A$2:$A$50,密度!$B$2:$B$50)*1000)</f>
        <v>0</v>
      </c>
      <c r="K10" s="62" ph="1">
        <f>IF(K9&lt;=0,0,IF(K9&lt;=745,PI()*(5.3235*(K9/1000)^2-(4/3)*(K9/1000)^3),7.55+15.2053*((K9-745)/1000))*LOOKUP(K11,密度!$A$2:$A$50,密度!$B$2:$B$50)*1000)</f>
        <v>0</v>
      </c>
      <c r="L10" s="62" ph="1">
        <f>L9*26.42*LOOKUP(L11,密度!$A$2:$A$50,密度!$B$2:$B$50)</f>
        <v>63609.045631999994</v>
      </c>
      <c r="M10" s="62" ph="1">
        <f>M9*26.42*1</f>
        <v>50277.26</v>
      </c>
      <c r="N10" s="62" ph="1">
        <f>N9*18.32*LOOKUP(N11,密度!$A$2:$A$50,密度!$B$2:$B$50)</f>
        <v>29134.589119999997</v>
      </c>
      <c r="O10" s="62" ph="1">
        <f>O9*81.71*LOOKUP(O11,密度!$A$2:$A$50,密度!$B$2:$B$50)</f>
        <v>277155.21312500001</v>
      </c>
      <c r="P10" s="62" ph="1">
        <f>P9*81.71*LOOKUP(P11,密度!$A$2:$A$50,密度!$B$2:$B$50)</f>
        <v>74326.357559999989</v>
      </c>
      <c r="Q10" s="62" ph="1"/>
      <c r="R10" s="62" ph="1"/>
      <c r="S10" s="62" ph="1"/>
      <c r="T10" s="62" ph="1"/>
      <c r="U10" s="62" ph="1"/>
      <c r="V10" s="62" ph="1"/>
      <c r="W10" s="62" ph="1"/>
      <c r="X10" s="62" ph="1"/>
      <c r="Y10" s="62" ph="1"/>
      <c r="Z10" s="62" ph="1"/>
      <c r="AA10" s="62" ph="1"/>
      <c r="AB10" s="62" ph="1"/>
      <c r="AC10" s="62" ph="1"/>
      <c r="AD10" s="62" ph="1"/>
      <c r="AE10" s="62" ph="1"/>
    </row>
    <row r="11" spans="1:53" ph="1">
      <c r="A11" s="53" t="s" ph="1">
        <v>40</v>
      </c>
      <c r="B11" s="206" ph="1"/>
      <c r="C11" s="139" t="s" ph="1">
        <v>44</v>
      </c>
      <c r="D11" s="63">
        <v>34</v>
      </c>
      <c r="E11" s="63">
        <v>33</v>
      </c>
      <c r="F11" s="63">
        <v>34</v>
      </c>
      <c r="G11" s="63">
        <v>33</v>
      </c>
      <c r="H11" s="63">
        <v>33</v>
      </c>
      <c r="I11" s="63">
        <v>34</v>
      </c>
      <c r="J11" s="63">
        <v>32</v>
      </c>
      <c r="K11" s="63">
        <v>33</v>
      </c>
      <c r="L11" s="63">
        <v>31</v>
      </c>
      <c r="M11" s="63">
        <v>30</v>
      </c>
      <c r="N11" s="63">
        <v>32</v>
      </c>
      <c r="O11" s="63">
        <v>30</v>
      </c>
      <c r="P11" s="63">
        <v>32</v>
      </c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</row>
    <row r="12" spans="1:53" ht="9.9" customHeight="1" ph="1">
      <c r="I12" s="65" ph="1"/>
      <c r="U12" s="119" ph="1"/>
    </row>
    <row r="13" spans="1:53" s="61" customFormat="1" ht="29.25" customHeight="1" ph="1">
      <c r="B13" s="183" t="s" ph="1">
        <v>25</v>
      </c>
      <c r="C13" s="139" t="s" ph="1">
        <v>41</v>
      </c>
      <c r="D13" s="65" ph="1"/>
      <c r="E13" s="65" ph="1"/>
      <c r="F13" s="65" ph="1"/>
      <c r="G13" s="65" ph="1"/>
      <c r="H13" s="65" ph="1"/>
      <c r="I13" s="61"/>
      <c r="J13" s="65" ph="1"/>
      <c r="K13" s="65" ph="1"/>
      <c r="L13" s="65" ph="1"/>
      <c r="M13" s="65" ph="1"/>
      <c r="N13" s="65" ph="1"/>
      <c r="O13" s="65" ph="1"/>
      <c r="P13" s="65" ph="1"/>
      <c r="Q13" s="65" ph="1"/>
      <c r="R13" s="65" ph="1"/>
      <c r="S13" s="65" ph="1"/>
      <c r="T13" s="65" ph="1"/>
      <c r="U13" s="65" ph="1"/>
      <c r="V13" s="65" ph="1"/>
      <c r="W13" s="65" ph="1"/>
      <c r="X13" s="65" ph="1"/>
      <c r="Y13" s="94" ph="1"/>
      <c r="Z13" s="65" ph="1"/>
      <c r="AA13" s="65" ph="1"/>
      <c r="AB13" s="65" ph="1"/>
      <c r="AC13" s="65" ph="1"/>
      <c r="AD13" s="65" ph="1"/>
      <c r="AE13" s="65" ph="1"/>
    </row>
    <row r="14" spans="1:53" s="61" customFormat="1" ht="24" ph="1">
      <c r="B14" s="184" ph="1"/>
      <c r="C14" s="56" t="s" ph="1">
        <v>24</v>
      </c>
      <c r="D14" s="66" ph="1"/>
      <c r="E14" s="66" ph="1"/>
      <c r="F14" s="108" ph="1"/>
      <c r="G14" s="66" ph="1"/>
      <c r="H14" s="66" ph="1"/>
      <c r="I14" s="101" ph="1"/>
      <c r="J14" s="66" ph="1"/>
      <c r="K14" s="66" ph="1"/>
      <c r="L14" s="66" ph="1"/>
      <c r="M14" s="93" ph="1"/>
      <c r="N14" s="93" ph="1"/>
      <c r="O14" s="93" ph="1"/>
      <c r="P14" s="66" ph="1"/>
      <c r="Q14" s="66" ph="1"/>
      <c r="R14" s="77" ph="1"/>
      <c r="S14" s="66" ph="1"/>
      <c r="T14" s="66" ph="1"/>
      <c r="U14" s="66" ph="1"/>
      <c r="V14" s="66" ph="1"/>
      <c r="W14" s="66" ph="1"/>
      <c r="X14" s="66" ph="1"/>
      <c r="Y14" s="104" ph="1"/>
      <c r="Z14" s="66" ph="1"/>
      <c r="AA14" s="66" ph="1"/>
      <c r="AB14" s="66" ph="1"/>
      <c r="AC14" s="66" ph="1"/>
      <c r="AD14" s="66" ph="1"/>
      <c r="AE14" s="66" ph="1"/>
    </row>
    <row r="15" spans="1:53" ht="26.4" ph="1">
      <c r="B15" s="185" ph="1">
        <v>0.33333333333333331</v>
      </c>
      <c r="C15" s="68" t="s" ph="1">
        <v>45</v>
      </c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0"/>
      <c r="X15" s="67"/>
      <c r="Y15" s="95"/>
      <c r="Z15" s="67"/>
      <c r="AA15" s="67"/>
      <c r="AB15" s="67" ph="1"/>
      <c r="AC15" s="67" ph="1"/>
      <c r="AD15" s="67"/>
      <c r="AE15" s="67"/>
    </row>
    <row r="16" spans="1:53" s="61" customFormat="1" ht="26.4" ph="1">
      <c r="B16" s="186" ph="1"/>
      <c r="C16" s="139" t="s" ph="1">
        <v>43</v>
      </c>
      <c r="D16" s="62" ph="1"/>
      <c r="E16" s="62" ph="1"/>
      <c r="F16" s="62" ph="1"/>
      <c r="G16" s="62" ph="1"/>
      <c r="H16" s="62" ph="1"/>
      <c r="I16" s="62" ph="1"/>
      <c r="J16" s="62" ph="1"/>
      <c r="K16" s="62" ph="1"/>
      <c r="L16" s="62" ph="1"/>
      <c r="M16" s="62" ph="1"/>
      <c r="N16" s="62" ph="1"/>
      <c r="O16" s="62" ph="1"/>
      <c r="P16" s="62" ph="1"/>
      <c r="Q16" s="62" ph="1"/>
      <c r="R16" s="62" ph="1"/>
      <c r="S16" s="62" ph="1"/>
      <c r="T16" s="62" ph="1"/>
      <c r="U16" s="62" ph="1"/>
      <c r="V16" s="62" ph="1"/>
      <c r="W16" s="120" ph="1"/>
      <c r="X16" s="62" ph="1"/>
      <c r="Y16" s="96" ph="1"/>
      <c r="Z16" s="62" ph="1"/>
      <c r="AA16" s="62" ph="1"/>
      <c r="AB16" s="62" ph="1"/>
      <c r="AC16" s="62" ph="1"/>
      <c r="AD16" s="62" ph="1"/>
      <c r="AE16" s="62" ph="1"/>
    </row>
    <row r="17" spans="1:32" ph="1">
      <c r="A17" s="53" t="s" ph="1">
        <v>33</v>
      </c>
      <c r="B17" s="187" ph="1"/>
      <c r="C17" s="68" t="s" ph="1">
        <v>44</v>
      </c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121"/>
      <c r="W17" s="63"/>
      <c r="X17" s="63"/>
      <c r="Y17" s="97"/>
      <c r="Z17" s="63"/>
      <c r="AA17" s="63"/>
      <c r="AB17" s="63"/>
      <c r="AC17" s="63"/>
      <c r="AD17" s="63"/>
      <c r="AE17" s="63"/>
    </row>
    <row r="18" spans="1:32" ht="26.4" ph="1">
      <c r="B18" s="185" ph="1">
        <v>0.66666666666666663</v>
      </c>
      <c r="C18" s="68" t="s" ph="1">
        <v>45</v>
      </c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98"/>
      <c r="Z18" s="60"/>
      <c r="AA18" s="60"/>
      <c r="AB18" s="60"/>
      <c r="AC18" s="60"/>
      <c r="AD18" s="60"/>
      <c r="AE18" s="60"/>
    </row>
    <row r="19" spans="1:32" s="61" customFormat="1" ht="22.2" ph="1">
      <c r="B19" s="186" ph="1"/>
      <c r="C19" s="139" t="s" ph="1">
        <v>43</v>
      </c>
      <c r="D19" s="62" ph="1"/>
      <c r="E19" s="62" ph="1"/>
      <c r="F19" s="62" ph="1"/>
      <c r="G19" s="62" ph="1"/>
      <c r="H19" s="62" ph="1"/>
      <c r="I19" s="62" ph="1"/>
      <c r="J19" s="62" ph="1"/>
      <c r="K19" s="62" ph="1"/>
      <c r="L19" s="62" ph="1"/>
      <c r="M19" s="62" ph="1"/>
      <c r="N19" s="62" ph="1"/>
      <c r="O19" s="62" ph="1"/>
      <c r="P19" s="62" ph="1"/>
      <c r="Q19" s="62" ph="1"/>
      <c r="R19" s="62" ph="1"/>
      <c r="S19" s="62" ph="1"/>
      <c r="T19" s="62" ph="1"/>
      <c r="U19" s="62" ph="1"/>
      <c r="V19" s="62" ph="1"/>
      <c r="W19" s="62" ph="1"/>
      <c r="X19" s="62" ph="1"/>
      <c r="Y19" s="62" ph="1"/>
      <c r="Z19" s="62" ph="1"/>
      <c r="AA19" s="62" ph="1"/>
      <c r="AB19" s="62" ph="1"/>
      <c r="AC19" s="62" ph="1"/>
      <c r="AD19" s="62" ph="1"/>
      <c r="AE19" s="62" ph="1"/>
    </row>
    <row r="20" spans="1:32" ph="1">
      <c r="A20" s="61" ph="1"/>
      <c r="B20" s="186" ph="1"/>
      <c r="C20" s="69" t="s" ph="1">
        <v>44</v>
      </c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99"/>
      <c r="Z20" s="70"/>
      <c r="AA20" s="70"/>
      <c r="AB20" s="70"/>
      <c r="AC20" s="70"/>
      <c r="AD20" s="70"/>
      <c r="AE20" s="70"/>
      <c r="AF20" s="53" t="s" ph="1">
        <v>23</v>
      </c>
    </row>
    <row r="21" spans="1:32" ph="1">
      <c r="A21" s="61" ph="1"/>
      <c r="B21" s="71" ph="1"/>
      <c r="C21" s="72" ph="1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</row>
    <row r="22" spans="1:32" ph="1">
      <c r="A22" s="61" ph="1"/>
      <c r="B22" s="184" t="s" ph="1">
        <v>25</v>
      </c>
      <c r="C22" s="74" t="s" ph="1">
        <v>41</v>
      </c>
      <c r="D22" s="75" ph="1"/>
      <c r="E22" s="75" ph="1"/>
      <c r="F22" s="75" ph="1"/>
      <c r="G22" s="75" ph="1"/>
      <c r="H22" s="75" ph="1"/>
      <c r="I22" s="75" ph="1"/>
      <c r="J22" s="75" ph="1"/>
      <c r="K22" s="75" ph="1"/>
      <c r="L22" s="75" ph="1"/>
      <c r="M22" s="75" ph="1"/>
      <c r="N22" s="75" ph="1"/>
      <c r="O22" s="75" ph="1"/>
      <c r="P22" s="75" ph="1"/>
      <c r="Q22" s="76" ph="1"/>
      <c r="R22" s="75" ph="1"/>
      <c r="S22" s="75" ph="1"/>
      <c r="T22" s="75" ph="1"/>
      <c r="U22" s="75" ph="1"/>
      <c r="V22" s="75" ph="1"/>
      <c r="W22" s="75" ph="1"/>
      <c r="X22" s="75" ph="1"/>
      <c r="Y22" s="75" ph="1"/>
      <c r="Z22" s="194" t="s" ph="1">
        <v>31</v>
      </c>
      <c r="AA22" s="195"/>
      <c r="AB22" s="195"/>
      <c r="AC22" s="195"/>
      <c r="AD22" s="195"/>
      <c r="AE22" s="196"/>
    </row>
    <row r="23" spans="1:32" ph="1">
      <c r="A23" s="61" ph="1"/>
      <c r="B23" s="188" ph="1"/>
      <c r="C23" s="56" t="s" ph="1">
        <v>24</v>
      </c>
      <c r="D23" s="77" ph="1"/>
      <c r="E23" s="77" ph="1"/>
      <c r="F23" s="77" ph="1"/>
      <c r="G23" s="77" ph="1"/>
      <c r="H23" s="77" ph="1"/>
      <c r="I23" s="77" ph="1"/>
      <c r="J23" s="77" ph="1"/>
      <c r="K23" s="77" ph="1"/>
      <c r="L23" s="77" ph="1"/>
      <c r="M23" s="77" ph="1"/>
      <c r="N23" s="77" ph="1"/>
      <c r="O23" s="77" ph="1"/>
      <c r="P23" s="77" ph="1"/>
      <c r="Q23" s="78" ph="1"/>
      <c r="R23" s="77" ph="1"/>
      <c r="S23" s="77" ph="1"/>
      <c r="T23" s="77" ph="1"/>
      <c r="U23" s="93" ph="1"/>
      <c r="V23" s="77" ph="1"/>
      <c r="W23" s="77" ph="1"/>
      <c r="X23" s="77" ph="1"/>
      <c r="Y23" s="77" ph="1"/>
      <c r="Z23" s="197" t="s" ph="1">
        <v>67</v>
      </c>
      <c r="AA23" s="198"/>
      <c r="AB23" s="198"/>
      <c r="AC23" s="198"/>
      <c r="AD23" s="198"/>
      <c r="AE23" s="199"/>
    </row>
    <row r="24" spans="1:32" ht="26.4" ph="1">
      <c r="A24" s="61" ph="1"/>
      <c r="B24" s="206" ph="1">
        <v>0.33333333333333331</v>
      </c>
      <c r="C24" s="68" t="s" ph="1">
        <v>45</v>
      </c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79"/>
      <c r="R24" s="60"/>
      <c r="S24" s="60"/>
      <c r="T24" s="60"/>
      <c r="U24" s="60"/>
      <c r="V24" s="60"/>
      <c r="W24" s="60"/>
      <c r="X24" s="60"/>
      <c r="Y24" s="60"/>
      <c r="Z24" s="200"/>
      <c r="AA24" s="201"/>
      <c r="AB24" s="201"/>
      <c r="AC24" s="201"/>
      <c r="AD24" s="201"/>
      <c r="AE24" s="202"/>
    </row>
    <row r="25" spans="1:32" ph="1">
      <c r="A25" s="61" ph="1"/>
      <c r="B25" s="206" ph="1"/>
      <c r="C25" s="57" t="s" ph="1">
        <v>43</v>
      </c>
      <c r="D25" s="80" ph="1"/>
      <c r="E25" s="80" ph="1"/>
      <c r="F25" s="80" ph="1"/>
      <c r="G25" s="80" ph="1"/>
      <c r="H25" s="80" ph="1"/>
      <c r="I25" s="80" ph="1"/>
      <c r="J25" s="80" ph="1"/>
      <c r="K25" s="80" ph="1"/>
      <c r="L25" s="80" ph="1"/>
      <c r="M25" s="80" ph="1"/>
      <c r="N25" s="80" ph="1"/>
      <c r="O25" s="80" ph="1"/>
      <c r="P25" s="80" ph="1"/>
      <c r="Q25" s="81" ph="1"/>
      <c r="R25" s="80" ph="1"/>
      <c r="S25" s="80" ph="1"/>
      <c r="T25" s="80" ph="1"/>
      <c r="U25" s="80" ph="1"/>
      <c r="V25" s="80" ph="1"/>
      <c r="W25" s="80" ph="1"/>
      <c r="X25" s="80" ph="1"/>
      <c r="Y25" s="80" ph="1"/>
      <c r="Z25" s="200"/>
      <c r="AA25" s="201"/>
      <c r="AB25" s="201"/>
      <c r="AC25" s="201"/>
      <c r="AD25" s="201"/>
      <c r="AE25" s="202"/>
    </row>
    <row r="26" spans="1:32" ph="1">
      <c r="A26" s="61" ph="1"/>
      <c r="B26" s="206" ph="1"/>
      <c r="C26" s="57" t="s" ph="1">
        <v>44</v>
      </c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82"/>
      <c r="R26" s="63"/>
      <c r="S26" s="63"/>
      <c r="T26" s="63"/>
      <c r="U26" s="63"/>
      <c r="V26" s="63"/>
      <c r="W26" s="63"/>
      <c r="X26" s="63"/>
      <c r="Y26" s="63"/>
      <c r="Z26" s="200"/>
      <c r="AA26" s="201"/>
      <c r="AB26" s="201"/>
      <c r="AC26" s="201"/>
      <c r="AD26" s="201"/>
      <c r="AE26" s="202"/>
    </row>
    <row r="27" spans="1:32" ht="26.4" ph="1">
      <c r="A27" s="61" ph="1"/>
      <c r="B27" s="206" ph="1">
        <v>0.66666666666666663</v>
      </c>
      <c r="C27" s="139" t="s" ph="1">
        <v>45</v>
      </c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79"/>
      <c r="R27" s="60"/>
      <c r="S27" s="60"/>
      <c r="T27" s="60"/>
      <c r="U27" s="60"/>
      <c r="V27" s="60"/>
      <c r="W27" s="60"/>
      <c r="X27" s="60"/>
      <c r="Y27" s="60"/>
      <c r="Z27" s="200"/>
      <c r="AA27" s="201"/>
      <c r="AB27" s="201"/>
      <c r="AC27" s="201"/>
      <c r="AD27" s="201"/>
      <c r="AE27" s="202"/>
    </row>
    <row r="28" spans="1:32" ph="1">
      <c r="A28" s="61" ph="1"/>
      <c r="B28" s="206" ph="1"/>
      <c r="C28" s="139" t="s" ph="1">
        <v>43</v>
      </c>
      <c r="D28" s="80" ph="1"/>
      <c r="E28" s="80" ph="1"/>
      <c r="F28" s="80" ph="1"/>
      <c r="G28" s="80" ph="1"/>
      <c r="H28" s="80" ph="1"/>
      <c r="I28" s="80" ph="1"/>
      <c r="J28" s="80" ph="1"/>
      <c r="K28" s="80" ph="1"/>
      <c r="L28" s="80" ph="1"/>
      <c r="M28" s="80" ph="1"/>
      <c r="N28" s="80" ph="1"/>
      <c r="O28" s="80" ph="1"/>
      <c r="P28" s="80" ph="1"/>
      <c r="Q28" s="81" ph="1"/>
      <c r="R28" s="80" ph="1"/>
      <c r="S28" s="80" ph="1"/>
      <c r="T28" s="80" ph="1"/>
      <c r="U28" s="80" ph="1"/>
      <c r="V28" s="80" ph="1"/>
      <c r="W28" s="80" ph="1"/>
      <c r="X28" s="80" ph="1"/>
      <c r="Y28" s="80" ph="1"/>
      <c r="Z28" s="200"/>
      <c r="AA28" s="201"/>
      <c r="AB28" s="201"/>
      <c r="AC28" s="201"/>
      <c r="AD28" s="201"/>
      <c r="AE28" s="202"/>
    </row>
    <row r="29" spans="1:32" ph="1">
      <c r="A29" s="61" ph="1"/>
      <c r="B29" s="206" ph="1"/>
      <c r="C29" s="139" t="s" ph="1">
        <v>44</v>
      </c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82"/>
      <c r="R29" s="63"/>
      <c r="S29" s="63"/>
      <c r="T29" s="63"/>
      <c r="U29" s="63"/>
      <c r="V29" s="63"/>
      <c r="W29" s="63"/>
      <c r="X29" s="63"/>
      <c r="Y29" s="63"/>
      <c r="Z29" s="203"/>
      <c r="AA29" s="204"/>
      <c r="AB29" s="204"/>
      <c r="AC29" s="204"/>
      <c r="AD29" s="204"/>
      <c r="AE29" s="205"/>
    </row>
    <row r="30" spans="1:32" ph="1">
      <c r="D30" s="83" ph="1"/>
      <c r="Z30" s="53" t="s" ph="1">
        <v>23</v>
      </c>
      <c r="AE30" s="84" ph="1"/>
    </row>
    <row r="31" spans="1:32" ht="28.2" ph="1">
      <c r="A31" s="53"/>
      <c r="B31" s="189" t="s" ph="1">
        <v>23</v>
      </c>
      <c r="C31" s="190" ph="1"/>
      <c r="D31" s="167" t="s" ph="1">
        <v>3</v>
      </c>
      <c r="E31" s="168" ph="1"/>
      <c r="F31" s="169" ph="1"/>
      <c r="G31" s="193" ph="1"/>
      <c r="H31" s="168" ph="1"/>
      <c r="I31" s="169" ph="1"/>
      <c r="J31" s="167" ph="1"/>
      <c r="K31" s="168" ph="1"/>
      <c r="L31" s="169" ph="1"/>
      <c r="M31" s="167" ph="1"/>
      <c r="N31" s="168" ph="1"/>
      <c r="O31" s="169" ph="1"/>
      <c r="P31" s="167" ph="1"/>
      <c r="Q31" s="168"/>
      <c r="R31" s="169"/>
      <c r="S31" s="167" ph="1"/>
      <c r="T31" s="168"/>
      <c r="U31" s="169"/>
      <c r="V31" s="167" ph="1"/>
      <c r="W31" s="168" ph="1"/>
      <c r="X31" s="169" ph="1"/>
      <c r="Y31" s="167" ph="1"/>
      <c r="Z31" s="168" ph="1"/>
      <c r="AA31" s="169" ph="1"/>
      <c r="AB31" s="170"/>
      <c r="AC31" s="171"/>
      <c r="AD31" s="171"/>
      <c r="AE31" s="172"/>
    </row>
    <row r="32" spans="1:32" ph="1">
      <c r="A32" s="53"/>
      <c r="B32" s="191" ph="1"/>
      <c r="C32" s="192" ph="1"/>
      <c r="D32" s="85" t="s" ph="1">
        <v>0</v>
      </c>
      <c r="E32" s="139" t="s" ph="1">
        <v>1</v>
      </c>
      <c r="F32" s="138" t="s" ph="1">
        <v>28</v>
      </c>
      <c r="G32" s="86" t="s" ph="1">
        <v>0</v>
      </c>
      <c r="H32" s="139" t="s" ph="1">
        <v>1</v>
      </c>
      <c r="I32" s="138" t="s" ph="1">
        <v>28</v>
      </c>
      <c r="J32" s="86" t="s" ph="1">
        <v>0</v>
      </c>
      <c r="K32" s="139" t="s" ph="1">
        <v>1</v>
      </c>
      <c r="L32" s="138" t="s" ph="1">
        <v>28</v>
      </c>
      <c r="M32" s="86" t="s" ph="1">
        <v>0</v>
      </c>
      <c r="N32" s="139" t="s" ph="1">
        <v>1</v>
      </c>
      <c r="O32" s="138" t="s" ph="1">
        <v>28</v>
      </c>
      <c r="P32" s="86" t="s" ph="1">
        <v>0</v>
      </c>
      <c r="Q32" s="87" t="s" ph="1">
        <v>1</v>
      </c>
      <c r="R32" s="88" t="s" ph="1">
        <v>28</v>
      </c>
      <c r="S32" s="86" t="s" ph="1">
        <v>0</v>
      </c>
      <c r="T32" s="139" t="s" ph="1">
        <v>1</v>
      </c>
      <c r="U32" s="88" t="s" ph="1">
        <v>28</v>
      </c>
      <c r="V32" s="86" t="s" ph="1">
        <v>0</v>
      </c>
      <c r="W32" s="139" t="s" ph="1">
        <v>1</v>
      </c>
      <c r="X32" s="88" t="s" ph="1">
        <v>28</v>
      </c>
      <c r="Y32" s="89" t="s" ph="1">
        <v>0</v>
      </c>
      <c r="Z32" s="139" t="s" ph="1">
        <v>1</v>
      </c>
      <c r="AA32" s="138" t="s" ph="1">
        <v>28</v>
      </c>
      <c r="AB32" s="86" t="s" ph="1">
        <v>38</v>
      </c>
      <c r="AC32" s="139" t="s" ph="1">
        <v>37</v>
      </c>
      <c r="AD32" s="173" t="s" ph="1">
        <v>36</v>
      </c>
      <c r="AE32" s="174"/>
    </row>
    <row r="33" spans="1:31" ph="1">
      <c r="A33" s="53"/>
      <c r="B33" s="175" t="s" ph="1">
        <v>46</v>
      </c>
      <c r="C33" s="176" ph="1"/>
      <c r="D33" s="155" ph="1">
        <f>O10+P10</f>
        <v>351481.57068499998</v>
      </c>
      <c r="E33" s="155" ph="1">
        <f>H10+I10+J10+K10</f>
        <v>86214.037334630004</v>
      </c>
      <c r="F33" s="179" ph="1">
        <f>L10+N10</f>
        <v>92743.634751999984</v>
      </c>
      <c r="G33" s="181" ph="1">
        <v>0</v>
      </c>
      <c r="H33" s="155" ph="1">
        <v>0</v>
      </c>
      <c r="I33" s="159" ph="1">
        <v>0</v>
      </c>
      <c r="J33" s="163" ph="1">
        <v>0</v>
      </c>
      <c r="K33" s="155" ph="1">
        <v>0</v>
      </c>
      <c r="L33" s="165" ph="1">
        <v>0</v>
      </c>
      <c r="M33" s="163" ph="1">
        <v>0</v>
      </c>
      <c r="N33" s="155" ph="1">
        <v>0</v>
      </c>
      <c r="O33" s="159" ph="1">
        <f>G19</f>
        <v>0</v>
      </c>
      <c r="P33" s="163" ph="1">
        <v>0</v>
      </c>
      <c r="Q33" s="155" ph="1">
        <v>0</v>
      </c>
      <c r="R33" s="159" ph="1">
        <v>0</v>
      </c>
      <c r="S33" s="163" ph="1">
        <v>0</v>
      </c>
      <c r="T33" s="155" ph="1">
        <v>0</v>
      </c>
      <c r="U33" s="144" ph="1">
        <v>0</v>
      </c>
      <c r="V33" s="157" ph="1">
        <v>0</v>
      </c>
      <c r="W33" s="157" ph="1">
        <v>0</v>
      </c>
      <c r="X33" s="159" ph="1">
        <v>0</v>
      </c>
      <c r="Y33" s="161" ph="1">
        <v>0</v>
      </c>
      <c r="Z33" s="142" ph="1">
        <v>0</v>
      </c>
      <c r="AA33" s="144" ph="1">
        <v>0</v>
      </c>
      <c r="AB33" s="146" ph="1">
        <v>0</v>
      </c>
      <c r="AC33" s="148" ph="1">
        <v>0</v>
      </c>
      <c r="AD33" s="150" ph="1">
        <v>0</v>
      </c>
      <c r="AE33" s="151"/>
    </row>
    <row r="34" spans="1:31" ph="1">
      <c r="A34" s="53"/>
      <c r="B34" s="177" ph="1"/>
      <c r="C34" s="178" ph="1"/>
      <c r="D34" s="156" ph="1"/>
      <c r="E34" s="156" ph="1"/>
      <c r="F34" s="180" ph="1"/>
      <c r="G34" s="182" ph="1"/>
      <c r="H34" s="156" ph="1"/>
      <c r="I34" s="160" ph="1"/>
      <c r="J34" s="164" ph="1"/>
      <c r="K34" s="156" ph="1"/>
      <c r="L34" s="166" ph="1"/>
      <c r="M34" s="164" ph="1"/>
      <c r="N34" s="156" ph="1"/>
      <c r="O34" s="160" ph="1"/>
      <c r="P34" s="164" ph="1"/>
      <c r="Q34" s="156" ph="1"/>
      <c r="R34" s="160" ph="1"/>
      <c r="S34" s="164" ph="1"/>
      <c r="T34" s="156"/>
      <c r="U34" s="145"/>
      <c r="V34" s="158" ph="1"/>
      <c r="W34" s="158" ph="1"/>
      <c r="X34" s="160" ph="1"/>
      <c r="Y34" s="162" ph="1"/>
      <c r="Z34" s="143" ph="1"/>
      <c r="AA34" s="145" ph="1"/>
      <c r="AB34" s="147"/>
      <c r="AC34" s="149"/>
      <c r="AD34" s="152"/>
      <c r="AE34" s="153"/>
    </row>
    <row r="35" spans="1:31" ph="1">
      <c r="A35" s="53"/>
      <c r="AC35" s="154" t="s" ph="1">
        <v>52</v>
      </c>
      <c r="AD35" s="154"/>
      <c r="AE35" s="154"/>
    </row>
    <row r="36" spans="1:31" ht="28.2" ph="1">
      <c r="A36" s="53"/>
      <c r="B36" s="92" t="s" ph="1">
        <v>47</v>
      </c>
      <c r="I36" s="140" t="s" ph="1">
        <v>48</v>
      </c>
      <c r="J36" s="140" ph="1"/>
      <c r="K36" s="90" ph="1"/>
      <c r="P36" s="90" ph="1"/>
      <c r="R36" s="140" t="s" ph="1">
        <v>49</v>
      </c>
      <c r="S36" s="140" ph="1"/>
      <c r="Y36" s="91" ph="1"/>
      <c r="Z36" s="137" t="s" ph="1">
        <v>50</v>
      </c>
      <c r="AA36" s="137" ph="1"/>
      <c r="AB36" s="141" t="s" ph="1">
        <v>53</v>
      </c>
      <c r="AC36" s="141" ph="1"/>
      <c r="AD36" s="141" ph="1"/>
      <c r="AE36" s="141" ph="1"/>
    </row>
    <row r="37" spans="1:31" s="137" customFormat="1" ph="1">
      <c r="A37" s="53" ph="1"/>
      <c r="B37" s="53" ph="1"/>
      <c r="C37" s="53" ph="1"/>
      <c r="D37" s="53" ph="1"/>
      <c r="E37" s="53" ph="1"/>
      <c r="F37" s="53" ph="1"/>
      <c r="G37" s="53" ph="1"/>
      <c r="H37" s="53" ph="1"/>
      <c r="I37" s="53" ph="1"/>
      <c r="J37" s="53" ph="1"/>
      <c r="K37" s="53" ph="1"/>
      <c r="L37" s="53" ph="1"/>
      <c r="M37" s="53" ph="1"/>
      <c r="N37" s="53" ph="1"/>
      <c r="O37" s="53" ph="1"/>
      <c r="P37" s="53" ph="1"/>
      <c r="Q37" s="53" ph="1"/>
      <c r="R37" s="53" ph="1"/>
      <c r="S37" s="53" ph="1"/>
      <c r="T37" s="53" ph="1"/>
      <c r="U37" s="53" ph="1"/>
      <c r="V37" s="53" ph="1"/>
      <c r="W37" s="53" ph="1"/>
      <c r="X37" s="53" ph="1"/>
      <c r="Y37" s="53" ph="1"/>
      <c r="Z37" s="53" ph="1"/>
      <c r="AA37" s="53" ph="1"/>
      <c r="AB37" s="53" ph="1"/>
      <c r="AC37" s="53" ph="1"/>
      <c r="AD37" s="53" ph="1"/>
      <c r="AE37" s="53" ph="1"/>
    </row>
    <row r="38" spans="1:31" ph="1">
      <c r="AE38" s="53" ph="1"/>
    </row>
    <row r="42" spans="1:31" ph="1"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64"/>
    </row>
    <row r="43" spans="1:31" ph="1"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64"/>
    </row>
    <row r="44" spans="1:31" ph="1"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64"/>
    </row>
    <row r="45" spans="1:31" ph="1"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64"/>
    </row>
    <row r="46" spans="1:31" ph="1"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64"/>
    </row>
    <row r="47" spans="1:31" ph="1"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64"/>
    </row>
    <row r="48" spans="1:31" ph="1"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64"/>
    </row>
    <row r="49" spans="16:31" ph="1"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64"/>
    </row>
    <row r="50" spans="16:31" ph="1"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64"/>
    </row>
    <row r="51" spans="16:31" ph="1"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64"/>
    </row>
    <row r="52" spans="16:31" ph="1"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64"/>
    </row>
    <row r="53" spans="16:31" ph="1">
      <c r="R53" s="53"/>
      <c r="S53" s="53"/>
      <c r="T53" s="53"/>
      <c r="U53" s="53"/>
      <c r="W53" s="53"/>
      <c r="X53" s="53"/>
      <c r="Y53" s="53"/>
      <c r="Z53" s="53"/>
      <c r="AA53" s="53"/>
      <c r="AB53" s="53"/>
      <c r="AC53" s="53"/>
      <c r="AD53" s="53"/>
    </row>
    <row r="54" spans="16:31" ph="1">
      <c r="R54" s="53"/>
      <c r="S54" s="53"/>
      <c r="T54" s="53"/>
      <c r="U54" s="53"/>
      <c r="W54" s="53"/>
      <c r="X54" s="53"/>
      <c r="Y54" s="53"/>
      <c r="Z54" s="53"/>
      <c r="AA54" s="53"/>
      <c r="AC54" s="53"/>
      <c r="AD54" s="53"/>
    </row>
    <row r="55" spans="16:31" ph="1">
      <c r="R55" s="53"/>
      <c r="S55" s="53"/>
      <c r="T55" s="53"/>
      <c r="U55" s="53"/>
      <c r="V55" s="53"/>
      <c r="W55" s="53"/>
      <c r="X55" s="53"/>
      <c r="Z55" s="53"/>
      <c r="AC55" s="53"/>
      <c r="AD55" s="53"/>
      <c r="AE55" s="64"/>
    </row>
    <row r="56" spans="16:31" ph="1">
      <c r="R56" s="53"/>
      <c r="S56" s="53"/>
      <c r="T56" s="53"/>
      <c r="U56" s="53"/>
      <c r="V56" s="53"/>
      <c r="W56" s="53"/>
      <c r="X56" s="53"/>
      <c r="Z56" s="53"/>
      <c r="AA56" s="53"/>
      <c r="AB56" s="53"/>
      <c r="AC56" s="53"/>
      <c r="AD56" s="53"/>
      <c r="AE56" s="64"/>
    </row>
    <row r="57" spans="16:31" ph="1">
      <c r="R57" s="53"/>
      <c r="S57" s="53"/>
      <c r="T57" s="53"/>
      <c r="U57" s="53"/>
      <c r="V57" s="53"/>
      <c r="W57" s="53"/>
      <c r="AA57" s="53"/>
      <c r="AB57" s="53"/>
      <c r="AC57" s="53"/>
      <c r="AD57" s="53"/>
      <c r="AE57" s="64"/>
    </row>
    <row r="58" spans="16:31" ph="1">
      <c r="P58" s="53"/>
    </row>
    <row r="59" spans="16:31" ph="1">
      <c r="V59" s="53"/>
    </row>
    <row r="60" spans="16:31" ph="1">
      <c r="R60" s="53"/>
      <c r="S60" s="53"/>
      <c r="T60" s="53"/>
    </row>
    <row r="223" spans="18:18" ph="1">
      <c r="R223" s="100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9 D11">
    <cfRule type="expression" dxfId="437" priority="146">
      <formula>ABS(D$7-D$10)&gt;=1000</formula>
    </cfRule>
  </conditionalFormatting>
  <conditionalFormatting sqref="E4 E9 E11">
    <cfRule type="expression" dxfId="436" priority="145">
      <formula>ABS(E$7-E$10)&gt;=1000</formula>
    </cfRule>
  </conditionalFormatting>
  <conditionalFormatting sqref="F4 F9 F11">
    <cfRule type="expression" dxfId="435" priority="144">
      <formula>ABS(F$7-F$10)&gt;=1000</formula>
    </cfRule>
  </conditionalFormatting>
  <conditionalFormatting sqref="G4 G9 G11">
    <cfRule type="expression" dxfId="434" priority="143">
      <formula>ABS(G$7-G$10)&gt;=1000</formula>
    </cfRule>
  </conditionalFormatting>
  <conditionalFormatting sqref="H4:K4 H11">
    <cfRule type="expression" dxfId="433" priority="142">
      <formula>ABS(H$7-H$10)&gt;=1000</formula>
    </cfRule>
  </conditionalFormatting>
  <conditionalFormatting sqref="I8 I11">
    <cfRule type="expression" dxfId="432" priority="141">
      <formula>ABS(I$7-I$10)&gt;=1000</formula>
    </cfRule>
  </conditionalFormatting>
  <conditionalFormatting sqref="J11">
    <cfRule type="expression" dxfId="431" priority="140">
      <formula>ABS(J$7-J$10)&gt;=1000</formula>
    </cfRule>
  </conditionalFormatting>
  <conditionalFormatting sqref="K11">
    <cfRule type="expression" dxfId="430" priority="139">
      <formula>ABS(K$7-K$10)&gt;=1000</formula>
    </cfRule>
  </conditionalFormatting>
  <conditionalFormatting sqref="L4:L5 M4:N4 Q4:S4 L11">
    <cfRule type="expression" dxfId="429" priority="138">
      <formula>ABS(L$7-L$10)&gt;=1000</formula>
    </cfRule>
  </conditionalFormatting>
  <conditionalFormatting sqref="M11">
    <cfRule type="expression" dxfId="428" priority="137">
      <formula>ABS(M$7-M$10)&gt;=1000</formula>
    </cfRule>
  </conditionalFormatting>
  <conditionalFormatting sqref="N11">
    <cfRule type="expression" dxfId="427" priority="136">
      <formula>ABS(N$7-N$10)&gt;=1000</formula>
    </cfRule>
  </conditionalFormatting>
  <conditionalFormatting sqref="Q5:Q11">
    <cfRule type="expression" dxfId="426" priority="135">
      <formula>ABS(Q$7-Q$10)&gt;=1000</formula>
    </cfRule>
  </conditionalFormatting>
  <conditionalFormatting sqref="R5:R11">
    <cfRule type="expression" dxfId="425" priority="134">
      <formula>ABS(R$7-R$10)&gt;=1000</formula>
    </cfRule>
  </conditionalFormatting>
  <conditionalFormatting sqref="S5:S11">
    <cfRule type="expression" dxfId="424" priority="133">
      <formula>ABS(S$7-S$10)&gt;=1000</formula>
    </cfRule>
  </conditionalFormatting>
  <conditionalFormatting sqref="T4:T9 T11">
    <cfRule type="expression" dxfId="423" priority="132">
      <formula>ABS(T$7-T$10)&gt;=1000</formula>
    </cfRule>
  </conditionalFormatting>
  <conditionalFormatting sqref="U4:U9 U11">
    <cfRule type="expression" dxfId="422" priority="131">
      <formula>ABS(U$7-U$10)&gt;=1000</formula>
    </cfRule>
  </conditionalFormatting>
  <conditionalFormatting sqref="V4:V9 V11">
    <cfRule type="expression" dxfId="421" priority="130">
      <formula>ABS(V$7-V$10)&gt;=1000</formula>
    </cfRule>
  </conditionalFormatting>
  <conditionalFormatting sqref="W4:W9 W11">
    <cfRule type="expression" dxfId="420" priority="129">
      <formula>ABS(W$7-W$10)&gt;=1000</formula>
    </cfRule>
  </conditionalFormatting>
  <conditionalFormatting sqref="X4:X9 X11">
    <cfRule type="expression" dxfId="419" priority="128">
      <formula>ABS(X$7-X$10)&gt;=1000</formula>
    </cfRule>
  </conditionalFormatting>
  <conditionalFormatting sqref="Y4:Y9 Y11">
    <cfRule type="expression" dxfId="418" priority="127">
      <formula>ABS(Y$7-Y$10)&gt;=1000</formula>
    </cfRule>
  </conditionalFormatting>
  <conditionalFormatting sqref="Z4:Z11">
    <cfRule type="expression" dxfId="417" priority="126">
      <formula>ABS(Z$7-Z$10)&gt;=1000</formula>
    </cfRule>
  </conditionalFormatting>
  <conditionalFormatting sqref="AA4:AA11">
    <cfRule type="expression" dxfId="416" priority="125">
      <formula>ABS(AA$7-AA$10)&gt;=1000</formula>
    </cfRule>
  </conditionalFormatting>
  <conditionalFormatting sqref="AB4:AB11">
    <cfRule type="expression" dxfId="415" priority="124">
      <formula>ABS(AB$7-AB$10)&gt;=1000</formula>
    </cfRule>
  </conditionalFormatting>
  <conditionalFormatting sqref="AC4 AC6:AC11">
    <cfRule type="expression" dxfId="414" priority="123">
      <formula>ABS(AC$7-AC$10)&gt;=1000</formula>
    </cfRule>
  </conditionalFormatting>
  <conditionalFormatting sqref="AD4 AD6:AD11">
    <cfRule type="expression" dxfId="413" priority="122">
      <formula>ABS(AD$7-AD$10)&gt;=1000</formula>
    </cfRule>
  </conditionalFormatting>
  <conditionalFormatting sqref="AE4 AE6:AE11">
    <cfRule type="expression" dxfId="412" priority="121">
      <formula>ABS(AE$7-AE$10)&gt;=1000</formula>
    </cfRule>
  </conditionalFormatting>
  <conditionalFormatting sqref="D13:D20 I14:I20 I12">
    <cfRule type="expression" dxfId="411" priority="120">
      <formula>ABS(D$16-D$19)&gt;=1000</formula>
    </cfRule>
  </conditionalFormatting>
  <conditionalFormatting sqref="E13:E20">
    <cfRule type="expression" dxfId="410" priority="119">
      <formula>ABS(E$16-E$19)&gt;=1000</formula>
    </cfRule>
  </conditionalFormatting>
  <conditionalFormatting sqref="F13 F15:F20">
    <cfRule type="expression" dxfId="409" priority="118">
      <formula>ABS(F$16-F$19)&gt;=1000</formula>
    </cfRule>
  </conditionalFormatting>
  <conditionalFormatting sqref="G13:G20">
    <cfRule type="expression" dxfId="408" priority="117">
      <formula>ABS(G$16-G$19)&gt;=1000</formula>
    </cfRule>
  </conditionalFormatting>
  <conditionalFormatting sqref="H13 H15:H20">
    <cfRule type="expression" dxfId="407" priority="116">
      <formula>ABS(H$16-H$19)&gt;=1000</formula>
    </cfRule>
  </conditionalFormatting>
  <conditionalFormatting sqref="J13:J20">
    <cfRule type="expression" dxfId="406" priority="115">
      <formula>ABS(J$16-J$19)&gt;=1000</formula>
    </cfRule>
  </conditionalFormatting>
  <conditionalFormatting sqref="L13:L20">
    <cfRule type="expression" dxfId="405" priority="114">
      <formula>ABS(L$16-L$19)&gt;=1000</formula>
    </cfRule>
  </conditionalFormatting>
  <conditionalFormatting sqref="M13 M15 M17:M18 M20">
    <cfRule type="expression" dxfId="404" priority="113">
      <formula>ABS(M$16-M$19)&gt;=1000</formula>
    </cfRule>
  </conditionalFormatting>
  <conditionalFormatting sqref="N13:N20">
    <cfRule type="expression" dxfId="403" priority="112">
      <formula>ABS(N$16-N$19)&gt;=1000</formula>
    </cfRule>
  </conditionalFormatting>
  <conditionalFormatting sqref="O13:O20">
    <cfRule type="expression" dxfId="402" priority="111">
      <formula>ABS(O$16-O$19)&gt;=1000</formula>
    </cfRule>
  </conditionalFormatting>
  <conditionalFormatting sqref="P13:P20">
    <cfRule type="expression" dxfId="401" priority="110">
      <formula>ABS(P$16-P$19)&gt;=1000</formula>
    </cfRule>
  </conditionalFormatting>
  <conditionalFormatting sqref="Q13 Q15:Q20">
    <cfRule type="expression" dxfId="400" priority="109">
      <formula>ABS(Q$16-Q$19)&gt;=1000</formula>
    </cfRule>
  </conditionalFormatting>
  <conditionalFormatting sqref="R13:R20">
    <cfRule type="expression" dxfId="399" priority="108">
      <formula>ABS(R$16-R$19)&gt;=1000</formula>
    </cfRule>
  </conditionalFormatting>
  <conditionalFormatting sqref="S13:S20">
    <cfRule type="expression" dxfId="398" priority="107">
      <formula>ABS(S$16-S$19)&gt;=1000</formula>
    </cfRule>
  </conditionalFormatting>
  <conditionalFormatting sqref="T13:T20">
    <cfRule type="expression" dxfId="397" priority="106">
      <formula>ABS(T$16-T$19)&gt;=1000</formula>
    </cfRule>
  </conditionalFormatting>
  <conditionalFormatting sqref="U13:U20">
    <cfRule type="expression" dxfId="396" priority="105">
      <formula>ABS(U$16-U$19)&gt;=1000</formula>
    </cfRule>
  </conditionalFormatting>
  <conditionalFormatting sqref="V13:V20">
    <cfRule type="expression" dxfId="395" priority="104">
      <formula>ABS(V$16-V$19)&gt;=1000</formula>
    </cfRule>
  </conditionalFormatting>
  <conditionalFormatting sqref="W13 W20 W15:W18">
    <cfRule type="expression" dxfId="394" priority="103">
      <formula>ABS(W$16-W$19)&gt;=1000</formula>
    </cfRule>
  </conditionalFormatting>
  <conditionalFormatting sqref="X13 X15:X20 Y19">
    <cfRule type="expression" dxfId="393" priority="102">
      <formula>ABS(X$16-X$19)&gt;=1000</formula>
    </cfRule>
  </conditionalFormatting>
  <conditionalFormatting sqref="Y13 Y15:Y18 Y20">
    <cfRule type="expression" dxfId="392" priority="101">
      <formula>ABS(Y$16-Y$19)&gt;=1000</formula>
    </cfRule>
  </conditionalFormatting>
  <conditionalFormatting sqref="Z13:Z20">
    <cfRule type="expression" dxfId="391" priority="100">
      <formula>ABS(Z$16-Z$19)&gt;=1000</formula>
    </cfRule>
  </conditionalFormatting>
  <conditionalFormatting sqref="AA13:AA20">
    <cfRule type="expression" dxfId="390" priority="99">
      <formula>ABS(AA$16-AA$19)&gt;=1000</formula>
    </cfRule>
  </conditionalFormatting>
  <conditionalFormatting sqref="AB13 AB15:AB20">
    <cfRule type="expression" dxfId="389" priority="98">
      <formula>ABS(AB$16-AB$19)&gt;=1000</formula>
    </cfRule>
  </conditionalFormatting>
  <conditionalFormatting sqref="AC13 AC15:AC20">
    <cfRule type="expression" dxfId="388" priority="97">
      <formula>ABS(AC$16-AC$19)&gt;=1000</formula>
    </cfRule>
  </conditionalFormatting>
  <conditionalFormatting sqref="AD13:AD20">
    <cfRule type="expression" dxfId="387" priority="96">
      <formula>ABS(AD$16-AD$19)&gt;=1000</formula>
    </cfRule>
  </conditionalFormatting>
  <conditionalFormatting sqref="AE13:AE20">
    <cfRule type="expression" dxfId="386" priority="95">
      <formula>ABS(AE$16-AE$19)&gt;=1000</formula>
    </cfRule>
  </conditionalFormatting>
  <conditionalFormatting sqref="D22:D29">
    <cfRule type="expression" dxfId="385" priority="94">
      <formula>ABS(D$25-D$28)&gt;=1000</formula>
    </cfRule>
  </conditionalFormatting>
  <conditionalFormatting sqref="E22:E29">
    <cfRule type="expression" dxfId="384" priority="93">
      <formula>ABS(E$25-E$28)&gt;=1000</formula>
    </cfRule>
  </conditionalFormatting>
  <conditionalFormatting sqref="F22:F29">
    <cfRule type="expression" dxfId="383" priority="92">
      <formula>ABS(F$25-F$28)&gt;=1000</formula>
    </cfRule>
  </conditionalFormatting>
  <conditionalFormatting sqref="G22:G29">
    <cfRule type="expression" dxfId="382" priority="91">
      <formula>ABS(G$25-G$28)&gt;=1000</formula>
    </cfRule>
  </conditionalFormatting>
  <conditionalFormatting sqref="H22:H29">
    <cfRule type="expression" dxfId="381" priority="90">
      <formula>ABS(H$25-H$28)&gt;=1000</formula>
    </cfRule>
  </conditionalFormatting>
  <conditionalFormatting sqref="I22 I24:I29">
    <cfRule type="expression" dxfId="380" priority="89">
      <formula>ABS(I$25-I$28)&gt;=1000</formula>
    </cfRule>
  </conditionalFormatting>
  <conditionalFormatting sqref="J22:J29 K22">
    <cfRule type="expression" dxfId="379" priority="88">
      <formula>ABS(J$25-J$28)&gt;=1000</formula>
    </cfRule>
  </conditionalFormatting>
  <conditionalFormatting sqref="K23:K29 L25 L28">
    <cfRule type="expression" dxfId="378" priority="87">
      <formula>ABS(K$25-K$28)&gt;=1000</formula>
    </cfRule>
  </conditionalFormatting>
  <conditionalFormatting sqref="L22 L26:L27 L29 L24">
    <cfRule type="expression" dxfId="377" priority="86">
      <formula>ABS(L$25-L$28)&gt;=1000</formula>
    </cfRule>
  </conditionalFormatting>
  <conditionalFormatting sqref="M22:M29">
    <cfRule type="expression" dxfId="376" priority="85">
      <formula>ABS(M$25-M$28)&gt;=1000</formula>
    </cfRule>
  </conditionalFormatting>
  <conditionalFormatting sqref="N22:N29">
    <cfRule type="expression" dxfId="375" priority="84">
      <formula>ABS(N$25-N$28)&gt;=1000</formula>
    </cfRule>
  </conditionalFormatting>
  <conditionalFormatting sqref="O22:O29">
    <cfRule type="expression" dxfId="374" priority="83">
      <formula>ABS(O$25-O$28)&gt;=1000</formula>
    </cfRule>
  </conditionalFormatting>
  <conditionalFormatting sqref="P22:P29">
    <cfRule type="expression" dxfId="373" priority="82">
      <formula>ABS(P$25-P$28)&gt;=1000</formula>
    </cfRule>
  </conditionalFormatting>
  <conditionalFormatting sqref="Q22:Q29">
    <cfRule type="expression" dxfId="372" priority="81">
      <formula>ABS(Q$25-Q$28)&gt;=1000</formula>
    </cfRule>
  </conditionalFormatting>
  <conditionalFormatting sqref="R22:R29">
    <cfRule type="expression" dxfId="371" priority="80">
      <formula>ABS(R$25-R$28)&gt;=1000</formula>
    </cfRule>
  </conditionalFormatting>
  <conditionalFormatting sqref="S22:S29">
    <cfRule type="expression" dxfId="370" priority="79">
      <formula>ABS(S$25-S$28)&gt;=1000</formula>
    </cfRule>
  </conditionalFormatting>
  <conditionalFormatting sqref="T22:T29">
    <cfRule type="expression" dxfId="369" priority="78">
      <formula>ABS(T$25-T$28)&gt;=1000</formula>
    </cfRule>
  </conditionalFormatting>
  <conditionalFormatting sqref="U22:U29">
    <cfRule type="expression" dxfId="368" priority="77">
      <formula>ABS(U$25-U$28)&gt;=1000</formula>
    </cfRule>
  </conditionalFormatting>
  <conditionalFormatting sqref="V22:V29">
    <cfRule type="expression" dxfId="367" priority="76">
      <formula>ABS(V$25-V$28)&gt;=1000</formula>
    </cfRule>
  </conditionalFormatting>
  <conditionalFormatting sqref="W22:W29">
    <cfRule type="expression" dxfId="366" priority="75">
      <formula>ABS(W$25-W$28)&gt;=1000</formula>
    </cfRule>
  </conditionalFormatting>
  <conditionalFormatting sqref="X22:X29">
    <cfRule type="expression" dxfId="365" priority="74">
      <formula>ABS(X$25-X$28)&gt;=1000</formula>
    </cfRule>
  </conditionalFormatting>
  <conditionalFormatting sqref="Y22:Y29">
    <cfRule type="expression" dxfId="364" priority="73">
      <formula>ABS(Y$25-Y$28)&gt;=1000</formula>
    </cfRule>
  </conditionalFormatting>
  <conditionalFormatting sqref="I23">
    <cfRule type="expression" dxfId="363" priority="72">
      <formula>ABS(I$25-I$28)&gt;=1000</formula>
    </cfRule>
  </conditionalFormatting>
  <conditionalFormatting sqref="Q14">
    <cfRule type="expression" dxfId="362" priority="71">
      <formula>ABS(Q$16-Q$19)&gt;=1000</formula>
    </cfRule>
  </conditionalFormatting>
  <conditionalFormatting sqref="W14">
    <cfRule type="expression" dxfId="361" priority="70">
      <formula>ABS(W$16-W$19)&gt;=1000</formula>
    </cfRule>
  </conditionalFormatting>
  <conditionalFormatting sqref="X14">
    <cfRule type="expression" dxfId="360" priority="69">
      <formula>ABS(X$16-X$19)&gt;=1000</formula>
    </cfRule>
  </conditionalFormatting>
  <conditionalFormatting sqref="T10:Y10">
    <cfRule type="expression" dxfId="359" priority="68">
      <formula>ABS(T$7-T$10)&gt;=1000</formula>
    </cfRule>
  </conditionalFormatting>
  <conditionalFormatting sqref="W19">
    <cfRule type="expression" dxfId="358" priority="67">
      <formula>ABS(W$16-W$19)&gt;=1000</formula>
    </cfRule>
  </conditionalFormatting>
  <conditionalFormatting sqref="AC5">
    <cfRule type="expression" dxfId="357" priority="66">
      <formula>ABS(AC$7-AC$10)&gt;=1000</formula>
    </cfRule>
  </conditionalFormatting>
  <conditionalFormatting sqref="M14">
    <cfRule type="expression" dxfId="356" priority="65">
      <formula>ABS(M$16-M$19)&gt;=1000</formula>
    </cfRule>
  </conditionalFormatting>
  <conditionalFormatting sqref="M16">
    <cfRule type="expression" dxfId="355" priority="64">
      <formula>ABS(M$16-M$19)&gt;=1000</formula>
    </cfRule>
  </conditionalFormatting>
  <conditionalFormatting sqref="M19">
    <cfRule type="expression" dxfId="354" priority="63">
      <formula>ABS(M$16-M$19)&gt;=1000</formula>
    </cfRule>
  </conditionalFormatting>
  <conditionalFormatting sqref="K13:K20">
    <cfRule type="expression" dxfId="353" priority="62">
      <formula>ABS(K$16-K$19)&gt;=1000</formula>
    </cfRule>
  </conditionalFormatting>
  <conditionalFormatting sqref="AB14:AC14">
    <cfRule type="expression" dxfId="352" priority="61">
      <formula>ABS(AB$16-AB$19)&gt;=1000</formula>
    </cfRule>
  </conditionalFormatting>
  <conditionalFormatting sqref="M5">
    <cfRule type="expression" dxfId="351" priority="60">
      <formula>ABS(M$7-M$10)&gt;=1000</formula>
    </cfRule>
  </conditionalFormatting>
  <conditionalFormatting sqref="N5">
    <cfRule type="expression" dxfId="350" priority="59">
      <formula>ABS(N$7-N$10)&gt;=1000</formula>
    </cfRule>
  </conditionalFormatting>
  <conditionalFormatting sqref="L23">
    <cfRule type="expression" dxfId="349" priority="58">
      <formula>ABS(L$25-L$28)&gt;=1000</formula>
    </cfRule>
  </conditionalFormatting>
  <conditionalFormatting sqref="Y14">
    <cfRule type="expression" dxfId="348" priority="57">
      <formula>ABS(Y$16-Y$19)&gt;=1000</formula>
    </cfRule>
  </conditionalFormatting>
  <conditionalFormatting sqref="F14">
    <cfRule type="expression" dxfId="347" priority="56">
      <formula>ABS(F$16-F$19)&gt;=1000</formula>
    </cfRule>
  </conditionalFormatting>
  <conditionalFormatting sqref="H14">
    <cfRule type="expression" dxfId="346" priority="55">
      <formula>ABS(H$16-H$19)&gt;=1000</formula>
    </cfRule>
  </conditionalFormatting>
  <conditionalFormatting sqref="AD5">
    <cfRule type="expression" dxfId="345" priority="54">
      <formula>ABS(AD$7-AD$10)&gt;=1000</formula>
    </cfRule>
  </conditionalFormatting>
  <conditionalFormatting sqref="AE5">
    <cfRule type="expression" dxfId="344" priority="53">
      <formula>ABS(AE$7-AE$10)&gt;=1000</formula>
    </cfRule>
  </conditionalFormatting>
  <conditionalFormatting sqref="D5">
    <cfRule type="expression" dxfId="343" priority="52">
      <formula>ABS(D$7-D$10)&gt;=1000</formula>
    </cfRule>
  </conditionalFormatting>
  <conditionalFormatting sqref="E5:G5">
    <cfRule type="expression" dxfId="342" priority="51">
      <formula>ABS(E$7-E$10)&gt;=1000</formula>
    </cfRule>
  </conditionalFormatting>
  <conditionalFormatting sqref="H5">
    <cfRule type="expression" dxfId="341" priority="50">
      <formula>ABS(H$7-H$10)&gt;=1000</formula>
    </cfRule>
  </conditionalFormatting>
  <conditionalFormatting sqref="O4:P4">
    <cfRule type="expression" dxfId="340" priority="49">
      <formula>ABS(O$7-O$10)&gt;=1000</formula>
    </cfRule>
  </conditionalFormatting>
  <conditionalFormatting sqref="O5 O11">
    <cfRule type="expression" dxfId="339" priority="48">
      <formula>ABS(O$7-O$10)&gt;=1000</formula>
    </cfRule>
  </conditionalFormatting>
  <conditionalFormatting sqref="P11">
    <cfRule type="expression" dxfId="338" priority="47">
      <formula>ABS(P$7-P$10)&gt;=1000</formula>
    </cfRule>
  </conditionalFormatting>
  <conditionalFormatting sqref="J5">
    <cfRule type="expression" dxfId="337" priority="46">
      <formula>ABS(J$7-J$10)&gt;=1000</formula>
    </cfRule>
  </conditionalFormatting>
  <conditionalFormatting sqref="K5">
    <cfRule type="expression" dxfId="336" priority="45">
      <formula>ABS(K$7-K$10)&gt;=1000</formula>
    </cfRule>
  </conditionalFormatting>
  <conditionalFormatting sqref="I6">
    <cfRule type="expression" dxfId="335" priority="44">
      <formula>ABS(I$7-I$10)&gt;=1000</formula>
    </cfRule>
  </conditionalFormatting>
  <conditionalFormatting sqref="H9">
    <cfRule type="expression" dxfId="334" priority="43">
      <formula>ABS(H$7-H$10)&gt;=1000</formula>
    </cfRule>
  </conditionalFormatting>
  <conditionalFormatting sqref="J9">
    <cfRule type="expression" dxfId="333" priority="42">
      <formula>ABS(J$7-J$10)&gt;=1000</formula>
    </cfRule>
  </conditionalFormatting>
  <conditionalFormatting sqref="K9">
    <cfRule type="expression" dxfId="332" priority="41">
      <formula>ABS(K$7-K$10)&gt;=1000</formula>
    </cfRule>
  </conditionalFormatting>
  <conditionalFormatting sqref="L9">
    <cfRule type="expression" dxfId="331" priority="40">
      <formula>ABS(L$7-L$10)&gt;=1000</formula>
    </cfRule>
  </conditionalFormatting>
  <conditionalFormatting sqref="M9">
    <cfRule type="expression" dxfId="330" priority="39">
      <formula>ABS(M$7-M$10)&gt;=1000</formula>
    </cfRule>
  </conditionalFormatting>
  <conditionalFormatting sqref="N9">
    <cfRule type="expression" dxfId="329" priority="38">
      <formula>ABS(N$7-N$10)&gt;=1000</formula>
    </cfRule>
  </conditionalFormatting>
  <conditionalFormatting sqref="O9">
    <cfRule type="expression" dxfId="328" priority="37">
      <formula>ABS(O$7-O$10)&gt;=1000</formula>
    </cfRule>
  </conditionalFormatting>
  <conditionalFormatting sqref="P9">
    <cfRule type="expression" dxfId="327" priority="36">
      <formula>ABS(P$7-P$10)&gt;=1000</formula>
    </cfRule>
  </conditionalFormatting>
  <conditionalFormatting sqref="I9">
    <cfRule type="expression" dxfId="326" priority="35">
      <formula>ABS(I$7-I$10)&gt;=1000</formula>
    </cfRule>
  </conditionalFormatting>
  <conditionalFormatting sqref="P5">
    <cfRule type="expression" dxfId="325" priority="34">
      <formula>ABS(P$7-P$10)&gt;=1000</formula>
    </cfRule>
  </conditionalFormatting>
  <conditionalFormatting sqref="I5">
    <cfRule type="expression" dxfId="324" priority="33">
      <formula>ABS(I$7-I$10)&gt;=1000</formula>
    </cfRule>
  </conditionalFormatting>
  <conditionalFormatting sqref="D6 D8">
    <cfRule type="expression" dxfId="323" priority="32">
      <formula>ABS(D$7-D$10)&gt;=1000</formula>
    </cfRule>
  </conditionalFormatting>
  <conditionalFormatting sqref="E6 E8">
    <cfRule type="expression" dxfId="322" priority="31">
      <formula>ABS(E$7-E$10)&gt;=1000</formula>
    </cfRule>
  </conditionalFormatting>
  <conditionalFormatting sqref="F6 F8">
    <cfRule type="expression" dxfId="321" priority="30">
      <formula>ABS(F$7-F$10)&gt;=1000</formula>
    </cfRule>
  </conditionalFormatting>
  <conditionalFormatting sqref="G6 G8">
    <cfRule type="expression" dxfId="320" priority="29">
      <formula>ABS(G$7-G$10)&gt;=1000</formula>
    </cfRule>
  </conditionalFormatting>
  <conditionalFormatting sqref="H8">
    <cfRule type="expression" dxfId="319" priority="28">
      <formula>ABS(H$7-H$10)&gt;=1000</formula>
    </cfRule>
  </conditionalFormatting>
  <conditionalFormatting sqref="H6">
    <cfRule type="expression" dxfId="318" priority="27">
      <formula>ABS(H$7-H$10)&gt;=1000</formula>
    </cfRule>
  </conditionalFormatting>
  <conditionalFormatting sqref="J8">
    <cfRule type="expression" dxfId="317" priority="26">
      <formula>ABS(J$7-J$10)&gt;=1000</formula>
    </cfRule>
  </conditionalFormatting>
  <conditionalFormatting sqref="K8">
    <cfRule type="expression" dxfId="316" priority="25">
      <formula>ABS(K$7-K$10)&gt;=1000</formula>
    </cfRule>
  </conditionalFormatting>
  <conditionalFormatting sqref="L8">
    <cfRule type="expression" dxfId="315" priority="24">
      <formula>ABS(L$7-L$10)&gt;=1000</formula>
    </cfRule>
  </conditionalFormatting>
  <conditionalFormatting sqref="M8">
    <cfRule type="expression" dxfId="314" priority="23">
      <formula>ABS(M$7-M$10)&gt;=1000</formula>
    </cfRule>
  </conditionalFormatting>
  <conditionalFormatting sqref="N8">
    <cfRule type="expression" dxfId="313" priority="22">
      <formula>ABS(N$7-N$10)&gt;=1000</formula>
    </cfRule>
  </conditionalFormatting>
  <conditionalFormatting sqref="O8">
    <cfRule type="expression" dxfId="312" priority="21">
      <formula>ABS(O$7-O$10)&gt;=1000</formula>
    </cfRule>
  </conditionalFormatting>
  <conditionalFormatting sqref="P8">
    <cfRule type="expression" dxfId="311" priority="20">
      <formula>ABS(P$7-P$10)&gt;=1000</formula>
    </cfRule>
  </conditionalFormatting>
  <conditionalFormatting sqref="J6">
    <cfRule type="expression" dxfId="310" priority="19">
      <formula>ABS(J$7-J$10)&gt;=1000</formula>
    </cfRule>
  </conditionalFormatting>
  <conditionalFormatting sqref="K6">
    <cfRule type="expression" dxfId="309" priority="18">
      <formula>ABS(K$7-K$10)&gt;=1000</formula>
    </cfRule>
  </conditionalFormatting>
  <conditionalFormatting sqref="L6">
    <cfRule type="expression" dxfId="308" priority="17">
      <formula>ABS(L$7-L$10)&gt;=1000</formula>
    </cfRule>
  </conditionalFormatting>
  <conditionalFormatting sqref="M6">
    <cfRule type="expression" dxfId="307" priority="16">
      <formula>ABS(M$7-M$10)&gt;=1000</formula>
    </cfRule>
  </conditionalFormatting>
  <conditionalFormatting sqref="N6">
    <cfRule type="expression" dxfId="306" priority="15">
      <formula>ABS(N$7-N$10)&gt;=1000</formula>
    </cfRule>
  </conditionalFormatting>
  <conditionalFormatting sqref="O6">
    <cfRule type="expression" dxfId="305" priority="14">
      <formula>ABS(O$7-O$10)&gt;=1000</formula>
    </cfRule>
  </conditionalFormatting>
  <conditionalFormatting sqref="P6">
    <cfRule type="expression" dxfId="304" priority="13">
      <formula>ABS(P$7-P$10)&gt;=1000</formula>
    </cfRule>
  </conditionalFormatting>
  <conditionalFormatting sqref="L7">
    <cfRule type="expression" dxfId="303" priority="12">
      <formula>ABS(L$7-L$10)&gt;=1000</formula>
    </cfRule>
  </conditionalFormatting>
  <conditionalFormatting sqref="M7">
    <cfRule type="expression" dxfId="302" priority="11">
      <formula>ABS(M$7-M$10)&gt;=1000</formula>
    </cfRule>
  </conditionalFormatting>
  <conditionalFormatting sqref="O7:P7">
    <cfRule type="expression" dxfId="301" priority="10">
      <formula>ABS(O$7-O$10)&gt;=1000</formula>
    </cfRule>
  </conditionalFormatting>
  <conditionalFormatting sqref="N7">
    <cfRule type="expression" dxfId="300" priority="9">
      <formula>ABS(N$7-N$10)&gt;=1000</formula>
    </cfRule>
  </conditionalFormatting>
  <conditionalFormatting sqref="H7:K7">
    <cfRule type="expression" dxfId="299" priority="8">
      <formula>ABS(H$7-H$10)&gt;=1000</formula>
    </cfRule>
  </conditionalFormatting>
  <conditionalFormatting sqref="D7:G7">
    <cfRule type="expression" dxfId="298" priority="7">
      <formula>ABS(D$7-D$10)&gt;=1000</formula>
    </cfRule>
  </conditionalFormatting>
  <conditionalFormatting sqref="L10">
    <cfRule type="expression" dxfId="297" priority="6">
      <formula>ABS(L$7-L$10)&gt;=1000</formula>
    </cfRule>
  </conditionalFormatting>
  <conditionalFormatting sqref="M10">
    <cfRule type="expression" dxfId="296" priority="5">
      <formula>ABS(M$7-M$10)&gt;=1000</formula>
    </cfRule>
  </conditionalFormatting>
  <conditionalFormatting sqref="O10:P10">
    <cfRule type="expression" dxfId="295" priority="4">
      <formula>ABS(O$7-O$10)&gt;=1000</formula>
    </cfRule>
  </conditionalFormatting>
  <conditionalFormatting sqref="N10">
    <cfRule type="expression" dxfId="294" priority="3">
      <formula>ABS(N$7-N$10)&gt;=1000</formula>
    </cfRule>
  </conditionalFormatting>
  <conditionalFormatting sqref="H10:K10">
    <cfRule type="expression" dxfId="293" priority="2">
      <formula>ABS(H$7-H$10)&gt;=1000</formula>
    </cfRule>
  </conditionalFormatting>
  <conditionalFormatting sqref="D10:G10">
    <cfRule type="expression" dxfId="292" priority="1">
      <formula>ABS(D$7-D$10)&gt;=1000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9894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76">
    <pageSetUpPr fitToPage="1"/>
  </sheetPr>
  <dimension ref="A1:BA223"/>
  <sheetViews>
    <sheetView view="pageBreakPreview" topLeftCell="A4" zoomScale="110" zoomScaleNormal="100" zoomScaleSheetLayoutView="110" workbookViewId="0">
      <selection activeCell="P11" sqref="P11"/>
    </sheetView>
  </sheetViews>
  <sheetFormatPr defaultColWidth="8.109375" defaultRowHeight="25.8"/>
  <cols>
    <col min="1" max="1" width="11.6640625" style="53" customWidth="1" phonetic="1"/>
    <col min="2" max="2" width="7.6640625" style="53" customWidth="1" phonetic="1"/>
    <col min="3" max="3" width="8" style="53" customWidth="1" phonetic="1"/>
    <col min="4" max="7" width="8.77734375" style="53" customWidth="1" phonetic="1"/>
    <col min="8" max="8" width="9.77734375" style="53" customWidth="1" phonetic="1"/>
    <col min="9" max="16" width="8.77734375" style="53" customWidth="1" phonetic="1"/>
    <col min="17" max="30" width="7.6640625" style="53" customWidth="1" phonetic="1"/>
    <col min="31" max="31" width="7.6640625" style="64" customWidth="1" phonetic="1"/>
    <col min="32" max="32" width="11.6640625" style="53" bestFit="1" customWidth="1" phonetic="1"/>
    <col min="33" max="16384" width="8.109375" style="53" phonetic="1"/>
  </cols>
  <sheetData>
    <row r="1" spans="1:53" ht="31.2" ph="1">
      <c r="A1" s="53"/>
      <c r="B1" s="207" t="s" ph="1">
        <v>87</v>
      </c>
      <c r="C1" s="207" ph="1"/>
      <c r="D1" s="207" ph="1"/>
      <c r="E1" s="207" ph="1"/>
      <c r="F1" s="207" ph="1"/>
      <c r="G1" s="207" ph="1"/>
      <c r="H1" s="207" ph="1"/>
      <c r="I1" s="207" ph="1"/>
      <c r="J1" s="207" ph="1"/>
      <c r="K1" s="207" ph="1"/>
      <c r="L1" s="207" ph="1"/>
      <c r="M1" s="207" ph="1"/>
      <c r="N1" s="207" ph="1"/>
      <c r="O1" s="207" ph="1"/>
      <c r="P1" s="207" ph="1"/>
      <c r="Q1" s="207" ph="1"/>
      <c r="R1" s="207" ph="1"/>
      <c r="S1" s="207" ph="1"/>
      <c r="T1" s="207" ph="1"/>
      <c r="U1" s="207" ph="1"/>
      <c r="V1" s="207" ph="1"/>
      <c r="W1" s="207" ph="1"/>
      <c r="X1" s="207" ph="1"/>
      <c r="Y1" s="207" ph="1"/>
      <c r="Z1" s="207" ph="1"/>
      <c r="AA1" s="207" ph="1"/>
      <c r="AB1" s="207" ph="1"/>
      <c r="AC1" s="207" ph="1"/>
      <c r="AD1" s="207" ph="1"/>
      <c r="AE1" s="207" ph="1"/>
    </row>
    <row r="2" spans="1:53" s="55" customFormat="1" ht="24" customHeight="1" ph="1">
      <c r="B2" s="208" t="s" ph="1">
        <v>35</v>
      </c>
      <c r="C2" s="208" ph="1"/>
      <c r="D2" s="208" ph="1"/>
      <c r="E2" s="208" ph="1"/>
      <c r="F2" s="208" ph="1"/>
      <c r="G2" s="208" ph="1"/>
      <c r="H2" s="208" ph="1"/>
      <c r="I2" s="208" ph="1"/>
      <c r="J2" s="208" ph="1"/>
      <c r="K2" s="208" ph="1"/>
      <c r="L2" s="208" ph="1"/>
      <c r="M2" s="208" ph="1"/>
      <c r="N2" s="208" ph="1"/>
      <c r="O2" s="208" ph="1"/>
      <c r="P2" s="208" ph="1"/>
      <c r="Q2" s="208" ph="1"/>
      <c r="R2" s="208" ph="1"/>
      <c r="S2" s="208" ph="1"/>
      <c r="T2" s="208" ph="1"/>
      <c r="U2" s="208" ph="1"/>
      <c r="V2" s="208" ph="1"/>
      <c r="W2" s="208" ph="1"/>
      <c r="X2" s="208" ph="1"/>
      <c r="Y2" s="208" ph="1"/>
      <c r="Z2" s="208" ph="1"/>
      <c r="AA2" s="208" ph="1"/>
      <c r="AB2" s="208" ph="1"/>
      <c r="AC2" s="208" ph="1"/>
      <c r="AD2" s="208" ph="1"/>
      <c r="AE2" s="208" ph="1"/>
    </row>
    <row r="3" spans="1:53" ht="21" customHeight="1" ph="1">
      <c r="B3" s="209" ph="1">
        <v>46155</v>
      </c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209"/>
      <c r="P3" s="209"/>
      <c r="Q3" s="209"/>
      <c r="R3" s="209"/>
      <c r="S3" s="209"/>
      <c r="T3" s="209"/>
      <c r="U3" s="209"/>
      <c r="V3" s="209"/>
      <c r="W3" s="209"/>
      <c r="X3" s="209"/>
      <c r="Y3" s="209"/>
      <c r="Z3" s="209"/>
      <c r="AA3" s="209"/>
      <c r="AB3" s="209"/>
      <c r="AC3" s="209"/>
      <c r="AD3" s="209"/>
      <c r="AE3" s="209"/>
    </row>
    <row r="4" spans="1:53" s="58" customFormat="1" ph="1">
      <c r="A4" s="54" ph="1"/>
      <c r="B4" s="188" t="s" ph="1">
        <v>25</v>
      </c>
      <c r="C4" s="56" t="s" ph="1">
        <v>41</v>
      </c>
      <c r="D4" s="57" t="s" ph="1">
        <v>89</v>
      </c>
      <c r="E4" s="57" t="s" ph="1">
        <v>90</v>
      </c>
      <c r="F4" s="57" t="s" ph="1">
        <v>27</v>
      </c>
      <c r="G4" s="57" t="s" ph="1">
        <v>54</v>
      </c>
      <c r="H4" s="57" t="s" ph="1">
        <v>88</v>
      </c>
      <c r="I4" s="57" t="s" ph="1">
        <v>91</v>
      </c>
      <c r="J4" s="57" t="s" ph="1">
        <v>57</v>
      </c>
      <c r="K4" s="57" t="s" ph="1">
        <v>58</v>
      </c>
      <c r="L4" s="57" t="s" ph="1">
        <v>59</v>
      </c>
      <c r="M4" s="57" t="s" ph="1">
        <v>60</v>
      </c>
      <c r="N4" s="57" t="s" ph="1">
        <v>61</v>
      </c>
      <c r="O4" s="57" t="s" ph="1">
        <v>62</v>
      </c>
      <c r="P4" s="57" t="s" ph="1">
        <v>63</v>
      </c>
      <c r="Q4" s="57" ph="1"/>
      <c r="R4" s="57" ph="1"/>
      <c r="S4" s="57" ph="1"/>
      <c r="T4" s="57" ph="1"/>
      <c r="U4" s="57" ph="1"/>
      <c r="V4" s="57" ph="1"/>
      <c r="W4" s="57" ph="1"/>
      <c r="X4" s="57" ph="1"/>
      <c r="Y4" s="57" ph="1"/>
      <c r="Z4" s="57" ph="1"/>
      <c r="AA4" s="57" ph="1"/>
      <c r="AB4" s="57" ph="1"/>
      <c r="AC4" s="57" ph="1"/>
      <c r="AD4" s="57" ph="1"/>
      <c r="AE4" s="57" ph="1"/>
      <c r="AF4" s="54" ph="1"/>
      <c r="AG4" s="54" ph="1"/>
      <c r="AH4" s="54" ph="1"/>
      <c r="AI4" s="54" ph="1"/>
      <c r="AJ4" s="54" ph="1"/>
      <c r="AK4" s="54" ph="1"/>
      <c r="AL4" s="54" ph="1"/>
      <c r="AM4" s="54" ph="1"/>
      <c r="AN4" s="54" ph="1"/>
      <c r="AO4" s="54" ph="1"/>
      <c r="AP4" s="54" ph="1"/>
      <c r="AQ4" s="54" ph="1"/>
      <c r="AR4" s="54" ph="1"/>
      <c r="AS4" s="54" ph="1"/>
      <c r="AT4" s="54" ph="1"/>
      <c r="AU4" s="54" ph="1"/>
      <c r="AV4" s="54" ph="1"/>
      <c r="AW4" s="54" ph="1"/>
      <c r="AX4" s="54" ph="1"/>
      <c r="AY4" s="54" ph="1"/>
      <c r="AZ4" s="54" ph="1"/>
      <c r="BA4" s="54" ph="1"/>
    </row>
    <row r="5" spans="1:53" s="58" customFormat="1" ht="29.25" customHeight="1" ph="1">
      <c r="A5" s="54" ph="1"/>
      <c r="B5" s="188" ph="1"/>
      <c r="C5" s="56" t="s" ph="1">
        <v>24</v>
      </c>
      <c r="D5" s="103" t="s" ph="1">
        <v>64</v>
      </c>
      <c r="E5" s="103" t="s" ph="1">
        <v>64</v>
      </c>
      <c r="F5" s="103" t="s" ph="1">
        <v>86</v>
      </c>
      <c r="G5" s="103" t="s" ph="1">
        <v>86</v>
      </c>
      <c r="H5" s="103" t="s" ph="1">
        <v>64</v>
      </c>
      <c r="I5" s="103" t="s" ph="1">
        <v>64</v>
      </c>
      <c r="J5" s="103" t="s" ph="1">
        <v>86</v>
      </c>
      <c r="K5" s="103" t="s" ph="1">
        <v>86</v>
      </c>
      <c r="L5" s="102" t="s" ph="1">
        <v>51</v>
      </c>
      <c r="M5" s="102" t="s" ph="1">
        <v>65</v>
      </c>
      <c r="N5" s="102" t="s" ph="1">
        <v>51</v>
      </c>
      <c r="O5" s="102" t="s" ph="1">
        <v>66</v>
      </c>
      <c r="P5" s="102" t="s" ph="1">
        <v>66</v>
      </c>
      <c r="Q5" s="59" ph="1"/>
      <c r="R5" s="59" ph="1"/>
      <c r="S5" s="59" ph="1"/>
      <c r="T5" s="59" ph="1"/>
      <c r="U5" s="59" ph="1"/>
      <c r="V5" s="59" ph="1"/>
      <c r="W5" s="59" ph="1"/>
      <c r="X5" s="59" ph="1"/>
      <c r="Y5" s="59" ph="1"/>
      <c r="Z5" s="59" ph="1"/>
      <c r="AA5" s="59" ph="1"/>
      <c r="AB5" s="59" ph="1"/>
      <c r="AC5" s="59" ph="1"/>
      <c r="AD5" s="60"/>
      <c r="AE5" s="60"/>
      <c r="AF5" s="54" ph="1"/>
      <c r="AG5" s="54" ph="1"/>
      <c r="AH5" s="54" ph="1"/>
      <c r="AI5" s="54" ph="1"/>
      <c r="AJ5" s="54" ph="1"/>
      <c r="AK5" s="54" ph="1"/>
      <c r="AL5" s="54" ph="1"/>
      <c r="AM5" s="54" ph="1"/>
      <c r="AN5" s="54" ph="1"/>
      <c r="AO5" s="54" ph="1"/>
      <c r="AP5" s="54" ph="1"/>
      <c r="AQ5" s="54" ph="1"/>
      <c r="AR5" s="54" ph="1"/>
      <c r="AS5" s="54" ph="1"/>
      <c r="AT5" s="54" ph="1"/>
      <c r="AU5" s="54" ph="1"/>
      <c r="AV5" s="54" ph="1"/>
      <c r="AW5" s="54" ph="1"/>
      <c r="AX5" s="54" ph="1"/>
      <c r="AY5" s="54" ph="1"/>
      <c r="AZ5" s="54" ph="1"/>
      <c r="BA5" s="54" ph="1"/>
    </row>
    <row r="6" spans="1:53" ph="1">
      <c r="B6" s="206" ph="1">
        <v>0.33333333333333331</v>
      </c>
      <c r="C6" s="139" t="s" ph="1">
        <v>42</v>
      </c>
      <c r="D6" s="109">
        <v>0.99160000000000004</v>
      </c>
      <c r="E6" s="109">
        <v>9.4399999999999998E-2</v>
      </c>
      <c r="F6" s="109">
        <v>0</v>
      </c>
      <c r="G6" s="109">
        <v>0</v>
      </c>
      <c r="H6" s="60">
        <v>4911</v>
      </c>
      <c r="I6" s="60">
        <v>2965</v>
      </c>
      <c r="J6" s="60">
        <v>0</v>
      </c>
      <c r="K6" s="60">
        <v>0</v>
      </c>
      <c r="L6" s="60">
        <v>3161</v>
      </c>
      <c r="M6" s="60">
        <v>1904</v>
      </c>
      <c r="N6" s="60">
        <v>2171</v>
      </c>
      <c r="O6" s="60">
        <v>3990</v>
      </c>
      <c r="P6" s="60">
        <v>1175</v>
      </c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</row>
    <row r="7" spans="1:53" s="61" customFormat="1" ht="22.2" ph="1">
      <c r="B7" s="206" ph="1"/>
      <c r="C7" s="57" t="s" ph="1">
        <v>43</v>
      </c>
      <c r="D7" s="62" ph="1">
        <f>((D6*5885)*4.48)*LOOKUP(D8,密度!$A$2:$A$50,密度!$B$2:$B$50)</f>
        <v>20245.399150591998</v>
      </c>
      <c r="E7" s="62" ph="1">
        <f>((E6*5885)*4.48)*LOOKUP(E8,密度!$A$2:$A$50,密度!$B$2:$B$50)</f>
        <v>1927.3554657280001</v>
      </c>
      <c r="F7" s="62" ph="1">
        <f>((F6*5885)*4.48)*LOOKUP(F8,密度!$A$2:$A$50,密度!$B$2:$B$50)</f>
        <v>0</v>
      </c>
      <c r="G7" s="62" ph="1">
        <f>((G6*5885)*4.48)*LOOKUP(G8,密度!$A$2:$A$50,密度!$B$2:$B$50)</f>
        <v>0</v>
      </c>
      <c r="H7" s="62" ph="1">
        <f>IF(H6&lt;=0,0,IF(H6&lt;=745,PI()*(5.3235*(H6/1000)^2-(4/3)*(H6/1000)^3),7.55+15.2053*((H6-745)/1000))*LOOKUP(H8,密度!$A$2:$A$50,密度!$B$2:$B$50)*1000)</f>
        <v>54837.498925299995</v>
      </c>
      <c r="I7" s="62" ph="1">
        <f>IF(I6&lt;=0,0,IF(I6&lt;=745,PI()*(5.3235*(I6/1000)^2-(4/3)*(I6/1000)^3),7.55+15.2053*((I6-745)/1000))*LOOKUP(I8,密度!$A$2:$A$50,密度!$B$2:$B$50)*1000)</f>
        <v>31916.965388200002</v>
      </c>
      <c r="J7" s="62" ph="1">
        <f>IF(J6&lt;=0,0,IF(J6&lt;=745,PI()*(5.3235*(J6/1000)^2-(4/3)*(J6/1000)^3),7.55+15.2053*((J6-745)/1000))*LOOKUP(J8,密度!$A$2:$A$50,密度!$B$2:$B$50)*1000)</f>
        <v>0</v>
      </c>
      <c r="K7" s="62" ph="1">
        <f>IF(K6&lt;=0,0,IF(K6&lt;=745,PI()*(5.3235*(K6/1000)^2-(4/3)*(K6/1000)^3),7.55+15.2053*((K6-745)/1000))*LOOKUP(K8,密度!$A$2:$A$50,密度!$B$2:$B$50)*1000)</f>
        <v>0</v>
      </c>
      <c r="L7" s="62" ph="1">
        <f>L6*26.42*LOOKUP(L8,密度!$A$2:$A$50,密度!$B$2:$B$50)</f>
        <v>64672.947328000009</v>
      </c>
      <c r="M7" s="62" ph="1">
        <f>M6*26.42*1</f>
        <v>50303.68</v>
      </c>
      <c r="N7" s="62" ph="1">
        <f>N6*18.32*LOOKUP(N8,密度!$A$2:$A$50,密度!$B$2:$B$50)</f>
        <v>30799.994368</v>
      </c>
      <c r="O7" s="62" ph="1">
        <f>O6*81.71*LOOKUP(O8,密度!$A$2:$A$50,密度!$B$2:$B$50)</f>
        <v>252765.55436999997</v>
      </c>
      <c r="P7" s="62" ph="1">
        <f>P6*81.71*LOOKUP(P8,密度!$A$2:$A$50,密度!$B$2:$B$50)</f>
        <v>74263.154874999978</v>
      </c>
      <c r="Q7" s="62" ph="1"/>
      <c r="R7" s="62" ph="1"/>
      <c r="S7" s="62" ph="1"/>
      <c r="T7" s="62" ph="1"/>
      <c r="U7" s="62" ph="1"/>
      <c r="V7" s="62" ph="1"/>
      <c r="W7" s="62" ph="1"/>
      <c r="X7" s="62" ph="1"/>
      <c r="Y7" s="62" ph="1"/>
      <c r="Z7" s="62" ph="1"/>
      <c r="AA7" s="62" ph="1"/>
      <c r="AB7" s="62" ph="1"/>
      <c r="AC7" s="62" ph="1"/>
      <c r="AD7" s="62" ph="1"/>
      <c r="AE7" s="62" ph="1"/>
    </row>
    <row r="8" spans="1:53" ph="1">
      <c r="B8" s="206" ph="1"/>
      <c r="C8" s="57" t="s" ph="1">
        <v>44</v>
      </c>
      <c r="D8" s="63">
        <v>31</v>
      </c>
      <c r="E8" s="63">
        <v>31</v>
      </c>
      <c r="F8" s="63">
        <v>29</v>
      </c>
      <c r="G8" s="63">
        <v>29</v>
      </c>
      <c r="H8" s="63">
        <v>32</v>
      </c>
      <c r="I8" s="63">
        <v>33</v>
      </c>
      <c r="J8" s="63">
        <v>32</v>
      </c>
      <c r="K8" s="63">
        <v>29</v>
      </c>
      <c r="L8" s="63">
        <v>31</v>
      </c>
      <c r="M8" s="63">
        <v>31</v>
      </c>
      <c r="N8" s="63">
        <v>31</v>
      </c>
      <c r="O8" s="63">
        <v>30</v>
      </c>
      <c r="P8" s="63">
        <v>32</v>
      </c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</row>
    <row r="9" spans="1:53" ht="26.4" ph="1">
      <c r="B9" s="206" ph="1">
        <v>0.66666666666666663</v>
      </c>
      <c r="C9" s="139" t="s" ph="1">
        <v>45</v>
      </c>
      <c r="D9" s="109">
        <v>0</v>
      </c>
      <c r="E9" s="109">
        <v>0.62480000000000002</v>
      </c>
      <c r="F9" s="109">
        <v>0</v>
      </c>
      <c r="G9" s="109">
        <v>0</v>
      </c>
      <c r="H9" s="60">
        <v>5700</v>
      </c>
      <c r="I9" s="60">
        <v>2392</v>
      </c>
      <c r="J9" s="60">
        <v>0</v>
      </c>
      <c r="K9" s="60">
        <v>0</v>
      </c>
      <c r="L9" s="60">
        <v>3501</v>
      </c>
      <c r="M9" s="60">
        <v>1903</v>
      </c>
      <c r="N9" s="60">
        <v>2209</v>
      </c>
      <c r="O9" s="60">
        <v>4349</v>
      </c>
      <c r="P9" s="60">
        <v>1525</v>
      </c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</row>
    <row r="10" spans="1:53" s="61" customFormat="1" ht="22.2" ph="1">
      <c r="B10" s="206" ph="1"/>
      <c r="C10" s="139" t="s" ph="1">
        <v>43</v>
      </c>
      <c r="D10" s="62" ph="1">
        <f>((D9*5885)*4.48)*LOOKUP(D11,密度!$A$2:$A$50,密度!$B$2:$B$50)</f>
        <v>0</v>
      </c>
      <c r="E10" s="62" ph="1">
        <f>((E9*5885)*4.48)*LOOKUP(E11,密度!$A$2:$A$50,密度!$B$2:$B$50)</f>
        <v>12728.476183808001</v>
      </c>
      <c r="F10" s="62" ph="1">
        <f>((F9*5885)*4.48)*LOOKUP(F11,密度!$A$2:$A$50,密度!$B$2:$B$50)</f>
        <v>0</v>
      </c>
      <c r="G10" s="62" ph="1">
        <f>((G9*5885)*4.48)*LOOKUP(G11,密度!$A$2:$A$50,密度!$B$2:$B$50)</f>
        <v>0</v>
      </c>
      <c r="H10" s="62" ph="1">
        <f>IF(H9&lt;=0,0,IF(H9&lt;=745,PI()*(5.3235*(H9/1000)^2-(4/3)*(H9/1000)^3),7.55+15.2053*((H9-745)/1000))*LOOKUP(H11,密度!$A$2:$A$50,密度!$B$2:$B$50)*1000)</f>
        <v>64050.850461049988</v>
      </c>
      <c r="I10" s="62" ph="1">
        <f>IF(I9&lt;=0,0,IF(I9&lt;=745,PI()*(5.3235*(I9/1000)^2-(4/3)*(I9/1000)^3),7.55+15.2053*((I9-745)/1000))*LOOKUP(I11,密度!$A$2:$A$50,密度!$B$2:$B$50)*1000)</f>
        <v>25155.37703938</v>
      </c>
      <c r="J10" s="62" ph="1">
        <f>IF(J9&lt;=0,0,IF(J9&lt;=745,PI()*(5.3235*(J9/1000)^2-(4/3)*(J9/1000)^3),7.55+15.2053*((J9-745)/1000))*LOOKUP(J11,密度!$A$2:$A$50,密度!$B$2:$B$50)*1000)</f>
        <v>0</v>
      </c>
      <c r="K10" s="62" ph="1">
        <f>IF(K9&lt;=0,0,IF(K9&lt;=745,PI()*(5.3235*(K9/1000)^2-(4/3)*(K9/1000)^3),7.55+15.2053*((K9-745)/1000))*LOOKUP(K11,密度!$A$2:$A$50,密度!$B$2:$B$50)*1000)</f>
        <v>0</v>
      </c>
      <c r="L10" s="62" ph="1">
        <f>L9*26.42*LOOKUP(L11,密度!$A$2:$A$50,密度!$B$2:$B$50)</f>
        <v>71629.227648000015</v>
      </c>
      <c r="M10" s="62" ph="1">
        <f>M9*26.42*1</f>
        <v>50277.26</v>
      </c>
      <c r="N10" s="62" ph="1">
        <f>N9*18.32*LOOKUP(N11,密度!$A$2:$A$50,密度!$B$2:$B$50)</f>
        <v>31302.678679999997</v>
      </c>
      <c r="O10" s="62" ph="1">
        <f>O9*81.71*LOOKUP(O11,密度!$A$2:$A$50,密度!$B$2:$B$50)</f>
        <v>275508.11928699998</v>
      </c>
      <c r="P10" s="62" ph="1">
        <f>P9*81.71*LOOKUP(P11,密度!$A$2:$A$50,密度!$B$2:$B$50)</f>
        <v>96384.094624999983</v>
      </c>
      <c r="Q10" s="62" ph="1"/>
      <c r="R10" s="62" ph="1"/>
      <c r="S10" s="62" ph="1"/>
      <c r="T10" s="62" ph="1"/>
      <c r="U10" s="62" ph="1"/>
      <c r="V10" s="62" ph="1"/>
      <c r="W10" s="62" ph="1"/>
      <c r="X10" s="62" ph="1"/>
      <c r="Y10" s="62" ph="1"/>
      <c r="Z10" s="62" ph="1"/>
      <c r="AA10" s="62" ph="1"/>
      <c r="AB10" s="62" ph="1"/>
      <c r="AC10" s="62" ph="1"/>
      <c r="AD10" s="62" ph="1"/>
      <c r="AE10" s="62" ph="1"/>
    </row>
    <row r="11" spans="1:53" ph="1">
      <c r="A11" s="53" t="s" ph="1">
        <v>40</v>
      </c>
      <c r="B11" s="206" ph="1"/>
      <c r="C11" s="139" t="s" ph="1">
        <v>44</v>
      </c>
      <c r="D11" s="63">
        <v>33</v>
      </c>
      <c r="E11" s="63">
        <v>33</v>
      </c>
      <c r="F11" s="63">
        <v>33</v>
      </c>
      <c r="G11" s="63">
        <v>34</v>
      </c>
      <c r="H11" s="63">
        <v>33</v>
      </c>
      <c r="I11" s="63">
        <v>34</v>
      </c>
      <c r="J11" s="63">
        <v>32</v>
      </c>
      <c r="K11" s="63">
        <v>34</v>
      </c>
      <c r="L11" s="63">
        <v>31</v>
      </c>
      <c r="M11" s="63">
        <v>30</v>
      </c>
      <c r="N11" s="63">
        <v>32</v>
      </c>
      <c r="O11" s="63">
        <v>30</v>
      </c>
      <c r="P11" s="63">
        <v>32</v>
      </c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</row>
    <row r="12" spans="1:53" ht="9.9" customHeight="1" ph="1">
      <c r="I12" s="65" ph="1"/>
      <c r="U12" s="119" ph="1"/>
    </row>
    <row r="13" spans="1:53" s="61" customFormat="1" ht="29.25" customHeight="1" ph="1">
      <c r="B13" s="183" t="s" ph="1">
        <v>25</v>
      </c>
      <c r="C13" s="139" t="s" ph="1">
        <v>41</v>
      </c>
      <c r="D13" s="65" ph="1"/>
      <c r="E13" s="65" ph="1"/>
      <c r="F13" s="65" ph="1"/>
      <c r="G13" s="65" ph="1"/>
      <c r="H13" s="65" ph="1"/>
      <c r="I13" s="61"/>
      <c r="J13" s="65" ph="1"/>
      <c r="K13" s="65" ph="1"/>
      <c r="L13" s="65" ph="1"/>
      <c r="M13" s="65" ph="1"/>
      <c r="N13" s="65" ph="1"/>
      <c r="O13" s="65" ph="1"/>
      <c r="P13" s="65" ph="1"/>
      <c r="Q13" s="65" ph="1"/>
      <c r="R13" s="65" ph="1"/>
      <c r="S13" s="65" ph="1"/>
      <c r="T13" s="65" ph="1"/>
      <c r="U13" s="65" ph="1"/>
      <c r="V13" s="65" ph="1"/>
      <c r="W13" s="65" ph="1"/>
      <c r="X13" s="65" ph="1"/>
      <c r="Y13" s="94" ph="1"/>
      <c r="Z13" s="65" ph="1"/>
      <c r="AA13" s="65" ph="1"/>
      <c r="AB13" s="65" ph="1"/>
      <c r="AC13" s="65" ph="1"/>
      <c r="AD13" s="65" ph="1"/>
      <c r="AE13" s="65" ph="1"/>
    </row>
    <row r="14" spans="1:53" s="61" customFormat="1" ht="24" ph="1">
      <c r="B14" s="184" ph="1"/>
      <c r="C14" s="56" t="s" ph="1">
        <v>24</v>
      </c>
      <c r="D14" s="66" ph="1"/>
      <c r="E14" s="66" ph="1"/>
      <c r="F14" s="108" ph="1"/>
      <c r="G14" s="66" ph="1"/>
      <c r="H14" s="66" ph="1"/>
      <c r="I14" s="101" ph="1"/>
      <c r="J14" s="66" ph="1"/>
      <c r="K14" s="66" ph="1"/>
      <c r="L14" s="66" ph="1"/>
      <c r="M14" s="93" ph="1"/>
      <c r="N14" s="93" ph="1"/>
      <c r="O14" s="93" ph="1"/>
      <c r="P14" s="66" ph="1"/>
      <c r="Q14" s="66" ph="1"/>
      <c r="R14" s="77" ph="1"/>
      <c r="S14" s="66" ph="1"/>
      <c r="T14" s="66" ph="1"/>
      <c r="U14" s="66" ph="1"/>
      <c r="V14" s="66" ph="1"/>
      <c r="W14" s="66" ph="1"/>
      <c r="X14" s="66" ph="1"/>
      <c r="Y14" s="104" ph="1"/>
      <c r="Z14" s="66" ph="1"/>
      <c r="AA14" s="66" ph="1"/>
      <c r="AB14" s="66" ph="1"/>
      <c r="AC14" s="66" ph="1"/>
      <c r="AD14" s="66" ph="1"/>
      <c r="AE14" s="66" ph="1"/>
    </row>
    <row r="15" spans="1:53" ht="26.4" ph="1">
      <c r="B15" s="185" ph="1">
        <v>0.33333333333333331</v>
      </c>
      <c r="C15" s="68" t="s" ph="1">
        <v>45</v>
      </c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0"/>
      <c r="X15" s="67"/>
      <c r="Y15" s="95"/>
      <c r="Z15" s="67"/>
      <c r="AA15" s="67"/>
      <c r="AB15" s="67" ph="1"/>
      <c r="AC15" s="67" ph="1"/>
      <c r="AD15" s="67"/>
      <c r="AE15" s="67"/>
    </row>
    <row r="16" spans="1:53" s="61" customFormat="1" ht="26.4" ph="1">
      <c r="B16" s="186" ph="1"/>
      <c r="C16" s="139" t="s" ph="1">
        <v>43</v>
      </c>
      <c r="D16" s="62" ph="1"/>
      <c r="E16" s="62" ph="1"/>
      <c r="F16" s="62" ph="1"/>
      <c r="G16" s="62" ph="1"/>
      <c r="H16" s="62" ph="1"/>
      <c r="I16" s="62" ph="1"/>
      <c r="J16" s="62" ph="1"/>
      <c r="K16" s="62" ph="1"/>
      <c r="L16" s="62" ph="1"/>
      <c r="M16" s="62" ph="1"/>
      <c r="N16" s="62" ph="1"/>
      <c r="O16" s="62" ph="1"/>
      <c r="P16" s="62" ph="1"/>
      <c r="Q16" s="62" ph="1"/>
      <c r="R16" s="62" ph="1"/>
      <c r="S16" s="62" ph="1"/>
      <c r="T16" s="62" ph="1"/>
      <c r="U16" s="62" ph="1"/>
      <c r="V16" s="62" ph="1"/>
      <c r="W16" s="120" ph="1"/>
      <c r="X16" s="62" ph="1"/>
      <c r="Y16" s="96" ph="1"/>
      <c r="Z16" s="62" ph="1"/>
      <c r="AA16" s="62" ph="1"/>
      <c r="AB16" s="62" ph="1"/>
      <c r="AC16" s="62" ph="1"/>
      <c r="AD16" s="62" ph="1"/>
      <c r="AE16" s="62" ph="1"/>
    </row>
    <row r="17" spans="1:32" ph="1">
      <c r="A17" s="53" t="s" ph="1">
        <v>33</v>
      </c>
      <c r="B17" s="187" ph="1"/>
      <c r="C17" s="68" t="s" ph="1">
        <v>44</v>
      </c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121"/>
      <c r="W17" s="63"/>
      <c r="X17" s="63"/>
      <c r="Y17" s="97"/>
      <c r="Z17" s="63"/>
      <c r="AA17" s="63"/>
      <c r="AB17" s="63"/>
      <c r="AC17" s="63"/>
      <c r="AD17" s="63"/>
      <c r="AE17" s="63"/>
    </row>
    <row r="18" spans="1:32" ht="26.4" ph="1">
      <c r="B18" s="185" ph="1">
        <v>0.66666666666666663</v>
      </c>
      <c r="C18" s="68" t="s" ph="1">
        <v>45</v>
      </c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98"/>
      <c r="Z18" s="60"/>
      <c r="AA18" s="60"/>
      <c r="AB18" s="60"/>
      <c r="AC18" s="60"/>
      <c r="AD18" s="60"/>
      <c r="AE18" s="60"/>
    </row>
    <row r="19" spans="1:32" s="61" customFormat="1" ht="22.2" ph="1">
      <c r="B19" s="186" ph="1"/>
      <c r="C19" s="139" t="s" ph="1">
        <v>43</v>
      </c>
      <c r="D19" s="62" ph="1"/>
      <c r="E19" s="62" ph="1"/>
      <c r="F19" s="62" ph="1"/>
      <c r="G19" s="62" ph="1"/>
      <c r="H19" s="62" ph="1"/>
      <c r="I19" s="62" ph="1"/>
      <c r="J19" s="62" ph="1"/>
      <c r="K19" s="62" ph="1"/>
      <c r="L19" s="62" ph="1"/>
      <c r="M19" s="62" ph="1"/>
      <c r="N19" s="62" ph="1"/>
      <c r="O19" s="62" ph="1"/>
      <c r="P19" s="62" ph="1"/>
      <c r="Q19" s="62" ph="1"/>
      <c r="R19" s="62" ph="1"/>
      <c r="S19" s="62" ph="1"/>
      <c r="T19" s="62" ph="1"/>
      <c r="U19" s="62" ph="1"/>
      <c r="V19" s="62" ph="1"/>
      <c r="W19" s="62" ph="1"/>
      <c r="X19" s="62" ph="1"/>
      <c r="Y19" s="62" ph="1"/>
      <c r="Z19" s="62" ph="1"/>
      <c r="AA19" s="62" ph="1"/>
      <c r="AB19" s="62" ph="1"/>
      <c r="AC19" s="62" ph="1"/>
      <c r="AD19" s="62" ph="1"/>
      <c r="AE19" s="62" ph="1"/>
    </row>
    <row r="20" spans="1:32" ph="1">
      <c r="A20" s="61" ph="1"/>
      <c r="B20" s="186" ph="1"/>
      <c r="C20" s="69" t="s" ph="1">
        <v>44</v>
      </c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99"/>
      <c r="Z20" s="70"/>
      <c r="AA20" s="70"/>
      <c r="AB20" s="70"/>
      <c r="AC20" s="70"/>
      <c r="AD20" s="70"/>
      <c r="AE20" s="70"/>
      <c r="AF20" s="53" t="s" ph="1">
        <v>23</v>
      </c>
    </row>
    <row r="21" spans="1:32" ph="1">
      <c r="A21" s="61" ph="1"/>
      <c r="B21" s="71" ph="1"/>
      <c r="C21" s="72" ph="1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</row>
    <row r="22" spans="1:32" ph="1">
      <c r="A22" s="61" ph="1"/>
      <c r="B22" s="184" t="s" ph="1">
        <v>25</v>
      </c>
      <c r="C22" s="74" t="s" ph="1">
        <v>41</v>
      </c>
      <c r="D22" s="75" ph="1"/>
      <c r="E22" s="75" ph="1"/>
      <c r="F22" s="75" ph="1"/>
      <c r="G22" s="75" ph="1"/>
      <c r="H22" s="75" ph="1"/>
      <c r="I22" s="75" ph="1"/>
      <c r="J22" s="75" ph="1"/>
      <c r="K22" s="75" ph="1"/>
      <c r="L22" s="75" ph="1"/>
      <c r="M22" s="75" ph="1"/>
      <c r="N22" s="75" ph="1"/>
      <c r="O22" s="75" ph="1"/>
      <c r="P22" s="75" ph="1"/>
      <c r="Q22" s="76" ph="1"/>
      <c r="R22" s="75" ph="1"/>
      <c r="S22" s="75" ph="1"/>
      <c r="T22" s="75" ph="1"/>
      <c r="U22" s="75" ph="1"/>
      <c r="V22" s="75" ph="1"/>
      <c r="W22" s="75" ph="1"/>
      <c r="X22" s="75" ph="1"/>
      <c r="Y22" s="75" ph="1"/>
      <c r="Z22" s="194" t="s" ph="1">
        <v>31</v>
      </c>
      <c r="AA22" s="195"/>
      <c r="AB22" s="195"/>
      <c r="AC22" s="195"/>
      <c r="AD22" s="195"/>
      <c r="AE22" s="196"/>
    </row>
    <row r="23" spans="1:32" ph="1">
      <c r="A23" s="61" ph="1"/>
      <c r="B23" s="188" ph="1"/>
      <c r="C23" s="56" t="s" ph="1">
        <v>24</v>
      </c>
      <c r="D23" s="77" ph="1"/>
      <c r="E23" s="77" ph="1"/>
      <c r="F23" s="77" ph="1"/>
      <c r="G23" s="77" ph="1"/>
      <c r="H23" s="77" ph="1"/>
      <c r="I23" s="77" ph="1"/>
      <c r="J23" s="77" ph="1"/>
      <c r="K23" s="77" ph="1"/>
      <c r="L23" s="77" ph="1"/>
      <c r="M23" s="77" ph="1"/>
      <c r="N23" s="77" ph="1"/>
      <c r="O23" s="77" ph="1"/>
      <c r="P23" s="77" ph="1"/>
      <c r="Q23" s="78" ph="1"/>
      <c r="R23" s="77" ph="1"/>
      <c r="S23" s="77" ph="1"/>
      <c r="T23" s="77" ph="1"/>
      <c r="U23" s="93" ph="1"/>
      <c r="V23" s="77" ph="1"/>
      <c r="W23" s="77" ph="1"/>
      <c r="X23" s="77" ph="1"/>
      <c r="Y23" s="77" ph="1"/>
      <c r="Z23" s="197" t="s" ph="1">
        <v>67</v>
      </c>
      <c r="AA23" s="198"/>
      <c r="AB23" s="198"/>
      <c r="AC23" s="198"/>
      <c r="AD23" s="198"/>
      <c r="AE23" s="199"/>
    </row>
    <row r="24" spans="1:32" ht="26.4" ph="1">
      <c r="A24" s="61" ph="1"/>
      <c r="B24" s="206" ph="1">
        <v>0.33333333333333331</v>
      </c>
      <c r="C24" s="68" t="s" ph="1">
        <v>45</v>
      </c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79"/>
      <c r="R24" s="60"/>
      <c r="S24" s="60"/>
      <c r="T24" s="60"/>
      <c r="U24" s="60"/>
      <c r="V24" s="60"/>
      <c r="W24" s="60"/>
      <c r="X24" s="60"/>
      <c r="Y24" s="60"/>
      <c r="Z24" s="200"/>
      <c r="AA24" s="201"/>
      <c r="AB24" s="201"/>
      <c r="AC24" s="201"/>
      <c r="AD24" s="201"/>
      <c r="AE24" s="202"/>
    </row>
    <row r="25" spans="1:32" ph="1">
      <c r="A25" s="61" ph="1"/>
      <c r="B25" s="206" ph="1"/>
      <c r="C25" s="57" t="s" ph="1">
        <v>43</v>
      </c>
      <c r="D25" s="80" ph="1"/>
      <c r="E25" s="80" ph="1"/>
      <c r="F25" s="80" ph="1"/>
      <c r="G25" s="80" ph="1"/>
      <c r="H25" s="80" ph="1"/>
      <c r="I25" s="80" ph="1"/>
      <c r="J25" s="80" ph="1"/>
      <c r="K25" s="80" ph="1"/>
      <c r="L25" s="80" ph="1"/>
      <c r="M25" s="80" ph="1"/>
      <c r="N25" s="80" ph="1"/>
      <c r="O25" s="80" ph="1"/>
      <c r="P25" s="80" ph="1"/>
      <c r="Q25" s="81" ph="1"/>
      <c r="R25" s="80" ph="1"/>
      <c r="S25" s="80" ph="1"/>
      <c r="T25" s="80" ph="1"/>
      <c r="U25" s="80" ph="1"/>
      <c r="V25" s="80" ph="1"/>
      <c r="W25" s="80" ph="1"/>
      <c r="X25" s="80" ph="1"/>
      <c r="Y25" s="80" ph="1"/>
      <c r="Z25" s="200"/>
      <c r="AA25" s="201"/>
      <c r="AB25" s="201"/>
      <c r="AC25" s="201"/>
      <c r="AD25" s="201"/>
      <c r="AE25" s="202"/>
    </row>
    <row r="26" spans="1:32" ph="1">
      <c r="A26" s="61" ph="1"/>
      <c r="B26" s="206" ph="1"/>
      <c r="C26" s="57" t="s" ph="1">
        <v>44</v>
      </c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82"/>
      <c r="R26" s="63"/>
      <c r="S26" s="63"/>
      <c r="T26" s="63"/>
      <c r="U26" s="63"/>
      <c r="V26" s="63"/>
      <c r="W26" s="63"/>
      <c r="X26" s="63"/>
      <c r="Y26" s="63"/>
      <c r="Z26" s="200"/>
      <c r="AA26" s="201"/>
      <c r="AB26" s="201"/>
      <c r="AC26" s="201"/>
      <c r="AD26" s="201"/>
      <c r="AE26" s="202"/>
    </row>
    <row r="27" spans="1:32" ht="26.4" ph="1">
      <c r="A27" s="61" ph="1"/>
      <c r="B27" s="206" ph="1">
        <v>0.66666666666666663</v>
      </c>
      <c r="C27" s="139" t="s" ph="1">
        <v>45</v>
      </c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79"/>
      <c r="R27" s="60"/>
      <c r="S27" s="60"/>
      <c r="T27" s="60"/>
      <c r="U27" s="60"/>
      <c r="V27" s="60"/>
      <c r="W27" s="60"/>
      <c r="X27" s="60"/>
      <c r="Y27" s="60"/>
      <c r="Z27" s="200"/>
      <c r="AA27" s="201"/>
      <c r="AB27" s="201"/>
      <c r="AC27" s="201"/>
      <c r="AD27" s="201"/>
      <c r="AE27" s="202"/>
    </row>
    <row r="28" spans="1:32" ph="1">
      <c r="A28" s="61" ph="1"/>
      <c r="B28" s="206" ph="1"/>
      <c r="C28" s="139" t="s" ph="1">
        <v>43</v>
      </c>
      <c r="D28" s="80" ph="1"/>
      <c r="E28" s="80" ph="1"/>
      <c r="F28" s="80" ph="1"/>
      <c r="G28" s="80" ph="1"/>
      <c r="H28" s="80" ph="1"/>
      <c r="I28" s="80" ph="1"/>
      <c r="J28" s="80" ph="1"/>
      <c r="K28" s="80" ph="1"/>
      <c r="L28" s="80" ph="1"/>
      <c r="M28" s="80" ph="1"/>
      <c r="N28" s="80" ph="1"/>
      <c r="O28" s="80" ph="1"/>
      <c r="P28" s="80" ph="1"/>
      <c r="Q28" s="81" ph="1"/>
      <c r="R28" s="80" ph="1"/>
      <c r="S28" s="80" ph="1"/>
      <c r="T28" s="80" ph="1"/>
      <c r="U28" s="80" ph="1"/>
      <c r="V28" s="80" ph="1"/>
      <c r="W28" s="80" ph="1"/>
      <c r="X28" s="80" ph="1"/>
      <c r="Y28" s="80" ph="1"/>
      <c r="Z28" s="200"/>
      <c r="AA28" s="201"/>
      <c r="AB28" s="201"/>
      <c r="AC28" s="201"/>
      <c r="AD28" s="201"/>
      <c r="AE28" s="202"/>
    </row>
    <row r="29" spans="1:32" ph="1">
      <c r="A29" s="61" ph="1"/>
      <c r="B29" s="206" ph="1"/>
      <c r="C29" s="139" t="s" ph="1">
        <v>44</v>
      </c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82"/>
      <c r="R29" s="63"/>
      <c r="S29" s="63"/>
      <c r="T29" s="63"/>
      <c r="U29" s="63"/>
      <c r="V29" s="63"/>
      <c r="W29" s="63"/>
      <c r="X29" s="63"/>
      <c r="Y29" s="63"/>
      <c r="Z29" s="203"/>
      <c r="AA29" s="204"/>
      <c r="AB29" s="204"/>
      <c r="AC29" s="204"/>
      <c r="AD29" s="204"/>
      <c r="AE29" s="205"/>
    </row>
    <row r="30" spans="1:32" ph="1">
      <c r="D30" s="83" ph="1"/>
      <c r="Z30" s="53" t="s" ph="1">
        <v>23</v>
      </c>
      <c r="AE30" s="84" ph="1"/>
    </row>
    <row r="31" spans="1:32" ht="28.2" ph="1">
      <c r="A31" s="53"/>
      <c r="B31" s="189" t="s" ph="1">
        <v>23</v>
      </c>
      <c r="C31" s="190" ph="1"/>
      <c r="D31" s="167" t="s" ph="1">
        <v>3</v>
      </c>
      <c r="E31" s="168" ph="1"/>
      <c r="F31" s="169" ph="1"/>
      <c r="G31" s="193" ph="1"/>
      <c r="H31" s="168" ph="1"/>
      <c r="I31" s="169" ph="1"/>
      <c r="J31" s="167" ph="1"/>
      <c r="K31" s="168" ph="1"/>
      <c r="L31" s="169" ph="1"/>
      <c r="M31" s="167" ph="1"/>
      <c r="N31" s="168" ph="1"/>
      <c r="O31" s="169" ph="1"/>
      <c r="P31" s="167" ph="1"/>
      <c r="Q31" s="168"/>
      <c r="R31" s="169"/>
      <c r="S31" s="167" ph="1"/>
      <c r="T31" s="168"/>
      <c r="U31" s="169"/>
      <c r="V31" s="167" ph="1"/>
      <c r="W31" s="168" ph="1"/>
      <c r="X31" s="169" ph="1"/>
      <c r="Y31" s="167" ph="1"/>
      <c r="Z31" s="168" ph="1"/>
      <c r="AA31" s="169" ph="1"/>
      <c r="AB31" s="170"/>
      <c r="AC31" s="171"/>
      <c r="AD31" s="171"/>
      <c r="AE31" s="172"/>
    </row>
    <row r="32" spans="1:32" ph="1">
      <c r="A32" s="53"/>
      <c r="B32" s="191" ph="1"/>
      <c r="C32" s="192" ph="1"/>
      <c r="D32" s="85" t="s" ph="1">
        <v>0</v>
      </c>
      <c r="E32" s="139" t="s" ph="1">
        <v>1</v>
      </c>
      <c r="F32" s="138" t="s" ph="1">
        <v>28</v>
      </c>
      <c r="G32" s="86" t="s" ph="1">
        <v>0</v>
      </c>
      <c r="H32" s="139" t="s" ph="1">
        <v>1</v>
      </c>
      <c r="I32" s="138" t="s" ph="1">
        <v>28</v>
      </c>
      <c r="J32" s="86" t="s" ph="1">
        <v>0</v>
      </c>
      <c r="K32" s="139" t="s" ph="1">
        <v>1</v>
      </c>
      <c r="L32" s="138" t="s" ph="1">
        <v>28</v>
      </c>
      <c r="M32" s="86" t="s" ph="1">
        <v>0</v>
      </c>
      <c r="N32" s="139" t="s" ph="1">
        <v>1</v>
      </c>
      <c r="O32" s="138" t="s" ph="1">
        <v>28</v>
      </c>
      <c r="P32" s="86" t="s" ph="1">
        <v>0</v>
      </c>
      <c r="Q32" s="87" t="s" ph="1">
        <v>1</v>
      </c>
      <c r="R32" s="88" t="s" ph="1">
        <v>28</v>
      </c>
      <c r="S32" s="86" t="s" ph="1">
        <v>0</v>
      </c>
      <c r="T32" s="139" t="s" ph="1">
        <v>1</v>
      </c>
      <c r="U32" s="88" t="s" ph="1">
        <v>28</v>
      </c>
      <c r="V32" s="86" t="s" ph="1">
        <v>0</v>
      </c>
      <c r="W32" s="139" t="s" ph="1">
        <v>1</v>
      </c>
      <c r="X32" s="88" t="s" ph="1">
        <v>28</v>
      </c>
      <c r="Y32" s="89" t="s" ph="1">
        <v>0</v>
      </c>
      <c r="Z32" s="139" t="s" ph="1">
        <v>1</v>
      </c>
      <c r="AA32" s="138" t="s" ph="1">
        <v>28</v>
      </c>
      <c r="AB32" s="86" t="s" ph="1">
        <v>38</v>
      </c>
      <c r="AC32" s="139" t="s" ph="1">
        <v>37</v>
      </c>
      <c r="AD32" s="173" t="s" ph="1">
        <v>36</v>
      </c>
      <c r="AE32" s="174"/>
    </row>
    <row r="33" spans="1:31" ph="1">
      <c r="A33" s="53"/>
      <c r="B33" s="175" t="s" ph="1">
        <v>46</v>
      </c>
      <c r="C33" s="176" ph="1"/>
      <c r="D33" s="155" ph="1">
        <f>O10+P10</f>
        <v>371892.21391199995</v>
      </c>
      <c r="E33" s="155" ph="1">
        <f>H10+I10+J10+K10</f>
        <v>89206.227500429988</v>
      </c>
      <c r="F33" s="179" ph="1">
        <f>L10+N10</f>
        <v>102931.90632800001</v>
      </c>
      <c r="G33" s="181" ph="1">
        <v>0</v>
      </c>
      <c r="H33" s="155" ph="1">
        <v>0</v>
      </c>
      <c r="I33" s="159" ph="1">
        <v>0</v>
      </c>
      <c r="J33" s="163" ph="1">
        <v>0</v>
      </c>
      <c r="K33" s="155" ph="1">
        <v>0</v>
      </c>
      <c r="L33" s="165" ph="1">
        <v>0</v>
      </c>
      <c r="M33" s="163" ph="1">
        <v>0</v>
      </c>
      <c r="N33" s="155" ph="1">
        <v>0</v>
      </c>
      <c r="O33" s="159" ph="1">
        <f>G19</f>
        <v>0</v>
      </c>
      <c r="P33" s="163" ph="1">
        <v>0</v>
      </c>
      <c r="Q33" s="155" ph="1">
        <v>0</v>
      </c>
      <c r="R33" s="159" ph="1">
        <v>0</v>
      </c>
      <c r="S33" s="163" ph="1">
        <v>0</v>
      </c>
      <c r="T33" s="155" ph="1">
        <v>0</v>
      </c>
      <c r="U33" s="144" ph="1">
        <v>0</v>
      </c>
      <c r="V33" s="157" ph="1">
        <v>0</v>
      </c>
      <c r="W33" s="157" ph="1">
        <v>0</v>
      </c>
      <c r="X33" s="159" ph="1">
        <v>0</v>
      </c>
      <c r="Y33" s="161" ph="1">
        <v>0</v>
      </c>
      <c r="Z33" s="142" ph="1">
        <v>0</v>
      </c>
      <c r="AA33" s="144" ph="1">
        <v>0</v>
      </c>
      <c r="AB33" s="146" ph="1">
        <v>0</v>
      </c>
      <c r="AC33" s="148" ph="1">
        <v>0</v>
      </c>
      <c r="AD33" s="150" ph="1">
        <v>0</v>
      </c>
      <c r="AE33" s="151"/>
    </row>
    <row r="34" spans="1:31" ph="1">
      <c r="A34" s="53"/>
      <c r="B34" s="177" ph="1"/>
      <c r="C34" s="178" ph="1"/>
      <c r="D34" s="156" ph="1"/>
      <c r="E34" s="156" ph="1"/>
      <c r="F34" s="180" ph="1"/>
      <c r="G34" s="182" ph="1"/>
      <c r="H34" s="156" ph="1"/>
      <c r="I34" s="160" ph="1"/>
      <c r="J34" s="164" ph="1"/>
      <c r="K34" s="156" ph="1"/>
      <c r="L34" s="166" ph="1"/>
      <c r="M34" s="164" ph="1"/>
      <c r="N34" s="156" ph="1"/>
      <c r="O34" s="160" ph="1"/>
      <c r="P34" s="164" ph="1"/>
      <c r="Q34" s="156" ph="1"/>
      <c r="R34" s="160" ph="1"/>
      <c r="S34" s="164" ph="1"/>
      <c r="T34" s="156"/>
      <c r="U34" s="145"/>
      <c r="V34" s="158" ph="1"/>
      <c r="W34" s="158" ph="1"/>
      <c r="X34" s="160" ph="1"/>
      <c r="Y34" s="162" ph="1"/>
      <c r="Z34" s="143" ph="1"/>
      <c r="AA34" s="145" ph="1"/>
      <c r="AB34" s="147"/>
      <c r="AC34" s="149"/>
      <c r="AD34" s="152"/>
      <c r="AE34" s="153"/>
    </row>
    <row r="35" spans="1:31" ph="1">
      <c r="A35" s="53"/>
      <c r="AC35" s="154" t="s" ph="1">
        <v>52</v>
      </c>
      <c r="AD35" s="154"/>
      <c r="AE35" s="154"/>
    </row>
    <row r="36" spans="1:31" ht="28.2" ph="1">
      <c r="A36" s="53"/>
      <c r="B36" s="92" t="s" ph="1">
        <v>47</v>
      </c>
      <c r="I36" s="140" t="s" ph="1">
        <v>48</v>
      </c>
      <c r="J36" s="140" ph="1"/>
      <c r="K36" s="90" ph="1"/>
      <c r="P36" s="90" ph="1"/>
      <c r="R36" s="140" t="s" ph="1">
        <v>49</v>
      </c>
      <c r="S36" s="140" ph="1"/>
      <c r="Y36" s="91" ph="1"/>
      <c r="Z36" s="137" t="s" ph="1">
        <v>50</v>
      </c>
      <c r="AA36" s="137" ph="1"/>
      <c r="AB36" s="141" t="s" ph="1">
        <v>53</v>
      </c>
      <c r="AC36" s="141" ph="1"/>
      <c r="AD36" s="141" ph="1"/>
      <c r="AE36" s="141" ph="1"/>
    </row>
    <row r="37" spans="1:31" s="137" customFormat="1" ph="1">
      <c r="A37" s="53" ph="1"/>
      <c r="B37" s="53" ph="1"/>
      <c r="C37" s="53" ph="1"/>
      <c r="D37" s="53" ph="1"/>
      <c r="E37" s="53" ph="1"/>
      <c r="F37" s="53" ph="1"/>
      <c r="G37" s="53" ph="1"/>
      <c r="H37" s="53" ph="1"/>
      <c r="I37" s="53" ph="1"/>
      <c r="J37" s="53" ph="1"/>
      <c r="K37" s="53" ph="1"/>
      <c r="L37" s="53" ph="1"/>
      <c r="M37" s="53" ph="1"/>
      <c r="N37" s="53" ph="1"/>
      <c r="O37" s="53" ph="1"/>
      <c r="P37" s="53" ph="1"/>
      <c r="Q37" s="53" ph="1"/>
      <c r="R37" s="53" ph="1"/>
      <c r="S37" s="53" ph="1"/>
      <c r="T37" s="53" ph="1"/>
      <c r="U37" s="53" ph="1"/>
      <c r="V37" s="53" ph="1"/>
      <c r="W37" s="53" ph="1"/>
      <c r="X37" s="53" ph="1"/>
      <c r="Y37" s="53" ph="1"/>
      <c r="Z37" s="53" ph="1"/>
      <c r="AA37" s="53" ph="1"/>
      <c r="AB37" s="53" ph="1"/>
      <c r="AC37" s="53" ph="1"/>
      <c r="AD37" s="53" ph="1"/>
      <c r="AE37" s="53" ph="1"/>
    </row>
    <row r="38" spans="1:31" ph="1">
      <c r="AE38" s="53" ph="1"/>
    </row>
    <row r="42" spans="1:31" ph="1"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64"/>
    </row>
    <row r="43" spans="1:31" ph="1"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64"/>
    </row>
    <row r="44" spans="1:31" ph="1"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64"/>
    </row>
    <row r="45" spans="1:31" ph="1"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64"/>
    </row>
    <row r="46" spans="1:31" ph="1"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64"/>
    </row>
    <row r="47" spans="1:31" ph="1"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64"/>
    </row>
    <row r="48" spans="1:31" ph="1"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64"/>
    </row>
    <row r="49" spans="16:31" ph="1"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64"/>
    </row>
    <row r="50" spans="16:31" ph="1"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64"/>
    </row>
    <row r="51" spans="16:31" ph="1"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64"/>
    </row>
    <row r="52" spans="16:31" ph="1"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64"/>
    </row>
    <row r="53" spans="16:31" ph="1">
      <c r="R53" s="53"/>
      <c r="S53" s="53"/>
      <c r="T53" s="53"/>
      <c r="U53" s="53"/>
      <c r="W53" s="53"/>
      <c r="X53" s="53"/>
      <c r="Y53" s="53"/>
      <c r="Z53" s="53"/>
      <c r="AA53" s="53"/>
      <c r="AB53" s="53"/>
      <c r="AC53" s="53"/>
      <c r="AD53" s="53"/>
    </row>
    <row r="54" spans="16:31" ph="1">
      <c r="R54" s="53"/>
      <c r="S54" s="53"/>
      <c r="T54" s="53"/>
      <c r="U54" s="53"/>
      <c r="W54" s="53"/>
      <c r="X54" s="53"/>
      <c r="Y54" s="53"/>
      <c r="Z54" s="53"/>
      <c r="AA54" s="53"/>
      <c r="AC54" s="53"/>
      <c r="AD54" s="53"/>
    </row>
    <row r="55" spans="16:31" ph="1">
      <c r="R55" s="53"/>
      <c r="S55" s="53"/>
      <c r="T55" s="53"/>
      <c r="U55" s="53"/>
      <c r="V55" s="53"/>
      <c r="W55" s="53"/>
      <c r="X55" s="53"/>
      <c r="Z55" s="53"/>
      <c r="AC55" s="53"/>
      <c r="AD55" s="53"/>
      <c r="AE55" s="64"/>
    </row>
    <row r="56" spans="16:31" ph="1">
      <c r="R56" s="53"/>
      <c r="S56" s="53"/>
      <c r="T56" s="53"/>
      <c r="U56" s="53"/>
      <c r="V56" s="53"/>
      <c r="W56" s="53"/>
      <c r="X56" s="53"/>
      <c r="Z56" s="53"/>
      <c r="AA56" s="53"/>
      <c r="AB56" s="53"/>
      <c r="AC56" s="53"/>
      <c r="AD56" s="53"/>
      <c r="AE56" s="64"/>
    </row>
    <row r="57" spans="16:31" ph="1">
      <c r="R57" s="53"/>
      <c r="S57" s="53"/>
      <c r="T57" s="53"/>
      <c r="U57" s="53"/>
      <c r="V57" s="53"/>
      <c r="W57" s="53"/>
      <c r="AA57" s="53"/>
      <c r="AB57" s="53"/>
      <c r="AC57" s="53"/>
      <c r="AD57" s="53"/>
      <c r="AE57" s="64"/>
    </row>
    <row r="58" spans="16:31" ph="1">
      <c r="P58" s="53"/>
    </row>
    <row r="59" spans="16:31" ph="1">
      <c r="V59" s="53"/>
    </row>
    <row r="60" spans="16:31" ph="1">
      <c r="R60" s="53"/>
      <c r="S60" s="53"/>
      <c r="T60" s="53"/>
    </row>
    <row r="223" spans="18:18" ph="1">
      <c r="R223" s="100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9 D11">
    <cfRule type="expression" dxfId="291" priority="146">
      <formula>ABS(D$7-D$10)&gt;=1000</formula>
    </cfRule>
  </conditionalFormatting>
  <conditionalFormatting sqref="E4 E9 E11">
    <cfRule type="expression" dxfId="290" priority="145">
      <formula>ABS(E$7-E$10)&gt;=1000</formula>
    </cfRule>
  </conditionalFormatting>
  <conditionalFormatting sqref="F4 F9 F11">
    <cfRule type="expression" dxfId="289" priority="144">
      <formula>ABS(F$7-F$10)&gt;=1000</formula>
    </cfRule>
  </conditionalFormatting>
  <conditionalFormatting sqref="G4 G9 G11">
    <cfRule type="expression" dxfId="288" priority="143">
      <formula>ABS(G$7-G$10)&gt;=1000</formula>
    </cfRule>
  </conditionalFormatting>
  <conditionalFormatting sqref="H4:K4 H11">
    <cfRule type="expression" dxfId="287" priority="142">
      <formula>ABS(H$7-H$10)&gt;=1000</formula>
    </cfRule>
  </conditionalFormatting>
  <conditionalFormatting sqref="I8 I11">
    <cfRule type="expression" dxfId="286" priority="141">
      <formula>ABS(I$7-I$10)&gt;=1000</formula>
    </cfRule>
  </conditionalFormatting>
  <conditionalFormatting sqref="J11">
    <cfRule type="expression" dxfId="285" priority="140">
      <formula>ABS(J$7-J$10)&gt;=1000</formula>
    </cfRule>
  </conditionalFormatting>
  <conditionalFormatting sqref="K11">
    <cfRule type="expression" dxfId="284" priority="139">
      <formula>ABS(K$7-K$10)&gt;=1000</formula>
    </cfRule>
  </conditionalFormatting>
  <conditionalFormatting sqref="L4:L5 M4:N4 Q4:S4 L11">
    <cfRule type="expression" dxfId="283" priority="138">
      <formula>ABS(L$7-L$10)&gt;=1000</formula>
    </cfRule>
  </conditionalFormatting>
  <conditionalFormatting sqref="M11">
    <cfRule type="expression" dxfId="282" priority="137">
      <formula>ABS(M$7-M$10)&gt;=1000</formula>
    </cfRule>
  </conditionalFormatting>
  <conditionalFormatting sqref="N11">
    <cfRule type="expression" dxfId="281" priority="136">
      <formula>ABS(N$7-N$10)&gt;=1000</formula>
    </cfRule>
  </conditionalFormatting>
  <conditionalFormatting sqref="Q5:Q11">
    <cfRule type="expression" dxfId="280" priority="135">
      <formula>ABS(Q$7-Q$10)&gt;=1000</formula>
    </cfRule>
  </conditionalFormatting>
  <conditionalFormatting sqref="R5:R11">
    <cfRule type="expression" dxfId="279" priority="134">
      <formula>ABS(R$7-R$10)&gt;=1000</formula>
    </cfRule>
  </conditionalFormatting>
  <conditionalFormatting sqref="S5:S11">
    <cfRule type="expression" dxfId="278" priority="133">
      <formula>ABS(S$7-S$10)&gt;=1000</formula>
    </cfRule>
  </conditionalFormatting>
  <conditionalFormatting sqref="T4:T9 T11">
    <cfRule type="expression" dxfId="277" priority="132">
      <formula>ABS(T$7-T$10)&gt;=1000</formula>
    </cfRule>
  </conditionalFormatting>
  <conditionalFormatting sqref="U4:U9 U11">
    <cfRule type="expression" dxfId="276" priority="131">
      <formula>ABS(U$7-U$10)&gt;=1000</formula>
    </cfRule>
  </conditionalFormatting>
  <conditionalFormatting sqref="V4:V9 V11">
    <cfRule type="expression" dxfId="275" priority="130">
      <formula>ABS(V$7-V$10)&gt;=1000</formula>
    </cfRule>
  </conditionalFormatting>
  <conditionalFormatting sqref="W4:W9 W11">
    <cfRule type="expression" dxfId="274" priority="129">
      <formula>ABS(W$7-W$10)&gt;=1000</formula>
    </cfRule>
  </conditionalFormatting>
  <conditionalFormatting sqref="X4:X9 X11">
    <cfRule type="expression" dxfId="273" priority="128">
      <formula>ABS(X$7-X$10)&gt;=1000</formula>
    </cfRule>
  </conditionalFormatting>
  <conditionalFormatting sqref="Y4:Y9 Y11">
    <cfRule type="expression" dxfId="272" priority="127">
      <formula>ABS(Y$7-Y$10)&gt;=1000</formula>
    </cfRule>
  </conditionalFormatting>
  <conditionalFormatting sqref="Z4:Z11">
    <cfRule type="expression" dxfId="271" priority="126">
      <formula>ABS(Z$7-Z$10)&gt;=1000</formula>
    </cfRule>
  </conditionalFormatting>
  <conditionalFormatting sqref="AA4:AA11">
    <cfRule type="expression" dxfId="270" priority="125">
      <formula>ABS(AA$7-AA$10)&gt;=1000</formula>
    </cfRule>
  </conditionalFormatting>
  <conditionalFormatting sqref="AB4:AB11">
    <cfRule type="expression" dxfId="269" priority="124">
      <formula>ABS(AB$7-AB$10)&gt;=1000</formula>
    </cfRule>
  </conditionalFormatting>
  <conditionalFormatting sqref="AC4 AC6:AC11">
    <cfRule type="expression" dxfId="268" priority="123">
      <formula>ABS(AC$7-AC$10)&gt;=1000</formula>
    </cfRule>
  </conditionalFormatting>
  <conditionalFormatting sqref="AD4 AD6:AD11">
    <cfRule type="expression" dxfId="267" priority="122">
      <formula>ABS(AD$7-AD$10)&gt;=1000</formula>
    </cfRule>
  </conditionalFormatting>
  <conditionalFormatting sqref="AE4 AE6:AE11">
    <cfRule type="expression" dxfId="266" priority="121">
      <formula>ABS(AE$7-AE$10)&gt;=1000</formula>
    </cfRule>
  </conditionalFormatting>
  <conditionalFormatting sqref="D13:D20 I14:I20 I12">
    <cfRule type="expression" dxfId="265" priority="120">
      <formula>ABS(D$16-D$19)&gt;=1000</formula>
    </cfRule>
  </conditionalFormatting>
  <conditionalFormatting sqref="E13:E20">
    <cfRule type="expression" dxfId="264" priority="119">
      <formula>ABS(E$16-E$19)&gt;=1000</formula>
    </cfRule>
  </conditionalFormatting>
  <conditionalFormatting sqref="F13 F15:F20">
    <cfRule type="expression" dxfId="263" priority="118">
      <formula>ABS(F$16-F$19)&gt;=1000</formula>
    </cfRule>
  </conditionalFormatting>
  <conditionalFormatting sqref="G13:G20">
    <cfRule type="expression" dxfId="262" priority="117">
      <formula>ABS(G$16-G$19)&gt;=1000</formula>
    </cfRule>
  </conditionalFormatting>
  <conditionalFormatting sqref="H13 H15:H20">
    <cfRule type="expression" dxfId="261" priority="116">
      <formula>ABS(H$16-H$19)&gt;=1000</formula>
    </cfRule>
  </conditionalFormatting>
  <conditionalFormatting sqref="J13:J20">
    <cfRule type="expression" dxfId="260" priority="115">
      <formula>ABS(J$16-J$19)&gt;=1000</formula>
    </cfRule>
  </conditionalFormatting>
  <conditionalFormatting sqref="L13:L20">
    <cfRule type="expression" dxfId="259" priority="114">
      <formula>ABS(L$16-L$19)&gt;=1000</formula>
    </cfRule>
  </conditionalFormatting>
  <conditionalFormatting sqref="M13 M15 M17:M18 M20">
    <cfRule type="expression" dxfId="258" priority="113">
      <formula>ABS(M$16-M$19)&gt;=1000</formula>
    </cfRule>
  </conditionalFormatting>
  <conditionalFormatting sqref="N13:N20">
    <cfRule type="expression" dxfId="257" priority="112">
      <formula>ABS(N$16-N$19)&gt;=1000</formula>
    </cfRule>
  </conditionalFormatting>
  <conditionalFormatting sqref="O13:O20">
    <cfRule type="expression" dxfId="256" priority="111">
      <formula>ABS(O$16-O$19)&gt;=1000</formula>
    </cfRule>
  </conditionalFormatting>
  <conditionalFormatting sqref="P13:P20">
    <cfRule type="expression" dxfId="255" priority="110">
      <formula>ABS(P$16-P$19)&gt;=1000</formula>
    </cfRule>
  </conditionalFormatting>
  <conditionalFormatting sqref="Q13 Q15:Q20">
    <cfRule type="expression" dxfId="254" priority="109">
      <formula>ABS(Q$16-Q$19)&gt;=1000</formula>
    </cfRule>
  </conditionalFormatting>
  <conditionalFormatting sqref="R13:R20">
    <cfRule type="expression" dxfId="253" priority="108">
      <formula>ABS(R$16-R$19)&gt;=1000</formula>
    </cfRule>
  </conditionalFormatting>
  <conditionalFormatting sqref="S13:S20">
    <cfRule type="expression" dxfId="252" priority="107">
      <formula>ABS(S$16-S$19)&gt;=1000</formula>
    </cfRule>
  </conditionalFormatting>
  <conditionalFormatting sqref="T13:T20">
    <cfRule type="expression" dxfId="251" priority="106">
      <formula>ABS(T$16-T$19)&gt;=1000</formula>
    </cfRule>
  </conditionalFormatting>
  <conditionalFormatting sqref="U13:U20">
    <cfRule type="expression" dxfId="250" priority="105">
      <formula>ABS(U$16-U$19)&gt;=1000</formula>
    </cfRule>
  </conditionalFormatting>
  <conditionalFormatting sqref="V13:V20">
    <cfRule type="expression" dxfId="249" priority="104">
      <formula>ABS(V$16-V$19)&gt;=1000</formula>
    </cfRule>
  </conditionalFormatting>
  <conditionalFormatting sqref="W13 W20 W15:W18">
    <cfRule type="expression" dxfId="248" priority="103">
      <formula>ABS(W$16-W$19)&gt;=1000</formula>
    </cfRule>
  </conditionalFormatting>
  <conditionalFormatting sqref="X13 X15:X20 Y19">
    <cfRule type="expression" dxfId="247" priority="102">
      <formula>ABS(X$16-X$19)&gt;=1000</formula>
    </cfRule>
  </conditionalFormatting>
  <conditionalFormatting sqref="Y13 Y15:Y18 Y20">
    <cfRule type="expression" dxfId="246" priority="101">
      <formula>ABS(Y$16-Y$19)&gt;=1000</formula>
    </cfRule>
  </conditionalFormatting>
  <conditionalFormatting sqref="Z13:Z20">
    <cfRule type="expression" dxfId="245" priority="100">
      <formula>ABS(Z$16-Z$19)&gt;=1000</formula>
    </cfRule>
  </conditionalFormatting>
  <conditionalFormatting sqref="AA13:AA20">
    <cfRule type="expression" dxfId="244" priority="99">
      <formula>ABS(AA$16-AA$19)&gt;=1000</formula>
    </cfRule>
  </conditionalFormatting>
  <conditionalFormatting sqref="AB13 AB15:AB20">
    <cfRule type="expression" dxfId="243" priority="98">
      <formula>ABS(AB$16-AB$19)&gt;=1000</formula>
    </cfRule>
  </conditionalFormatting>
  <conditionalFormatting sqref="AC13 AC15:AC20">
    <cfRule type="expression" dxfId="242" priority="97">
      <formula>ABS(AC$16-AC$19)&gt;=1000</formula>
    </cfRule>
  </conditionalFormatting>
  <conditionalFormatting sqref="AD13:AD20">
    <cfRule type="expression" dxfId="241" priority="96">
      <formula>ABS(AD$16-AD$19)&gt;=1000</formula>
    </cfRule>
  </conditionalFormatting>
  <conditionalFormatting sqref="AE13:AE20">
    <cfRule type="expression" dxfId="240" priority="95">
      <formula>ABS(AE$16-AE$19)&gt;=1000</formula>
    </cfRule>
  </conditionalFormatting>
  <conditionalFormatting sqref="D22:D29">
    <cfRule type="expression" dxfId="239" priority="94">
      <formula>ABS(D$25-D$28)&gt;=1000</formula>
    </cfRule>
  </conditionalFormatting>
  <conditionalFormatting sqref="E22:E29">
    <cfRule type="expression" dxfId="238" priority="93">
      <formula>ABS(E$25-E$28)&gt;=1000</formula>
    </cfRule>
  </conditionalFormatting>
  <conditionalFormatting sqref="F22:F29">
    <cfRule type="expression" dxfId="237" priority="92">
      <formula>ABS(F$25-F$28)&gt;=1000</formula>
    </cfRule>
  </conditionalFormatting>
  <conditionalFormatting sqref="G22:G29">
    <cfRule type="expression" dxfId="236" priority="91">
      <formula>ABS(G$25-G$28)&gt;=1000</formula>
    </cfRule>
  </conditionalFormatting>
  <conditionalFormatting sqref="H22:H29">
    <cfRule type="expression" dxfId="235" priority="90">
      <formula>ABS(H$25-H$28)&gt;=1000</formula>
    </cfRule>
  </conditionalFormatting>
  <conditionalFormatting sqref="I22 I24:I29">
    <cfRule type="expression" dxfId="234" priority="89">
      <formula>ABS(I$25-I$28)&gt;=1000</formula>
    </cfRule>
  </conditionalFormatting>
  <conditionalFormatting sqref="J22:J29 K22">
    <cfRule type="expression" dxfId="233" priority="88">
      <formula>ABS(J$25-J$28)&gt;=1000</formula>
    </cfRule>
  </conditionalFormatting>
  <conditionalFormatting sqref="K23:K29 L25 L28">
    <cfRule type="expression" dxfId="232" priority="87">
      <formula>ABS(K$25-K$28)&gt;=1000</formula>
    </cfRule>
  </conditionalFormatting>
  <conditionalFormatting sqref="L22 L26:L27 L29 L24">
    <cfRule type="expression" dxfId="231" priority="86">
      <formula>ABS(L$25-L$28)&gt;=1000</formula>
    </cfRule>
  </conditionalFormatting>
  <conditionalFormatting sqref="M22:M29">
    <cfRule type="expression" dxfId="230" priority="85">
      <formula>ABS(M$25-M$28)&gt;=1000</formula>
    </cfRule>
  </conditionalFormatting>
  <conditionalFormatting sqref="N22:N29">
    <cfRule type="expression" dxfId="229" priority="84">
      <formula>ABS(N$25-N$28)&gt;=1000</formula>
    </cfRule>
  </conditionalFormatting>
  <conditionalFormatting sqref="O22:O29">
    <cfRule type="expression" dxfId="228" priority="83">
      <formula>ABS(O$25-O$28)&gt;=1000</formula>
    </cfRule>
  </conditionalFormatting>
  <conditionalFormatting sqref="P22:P29">
    <cfRule type="expression" dxfId="227" priority="82">
      <formula>ABS(P$25-P$28)&gt;=1000</formula>
    </cfRule>
  </conditionalFormatting>
  <conditionalFormatting sqref="Q22:Q29">
    <cfRule type="expression" dxfId="226" priority="81">
      <formula>ABS(Q$25-Q$28)&gt;=1000</formula>
    </cfRule>
  </conditionalFormatting>
  <conditionalFormatting sqref="R22:R29">
    <cfRule type="expression" dxfId="225" priority="80">
      <formula>ABS(R$25-R$28)&gt;=1000</formula>
    </cfRule>
  </conditionalFormatting>
  <conditionalFormatting sqref="S22:S29">
    <cfRule type="expression" dxfId="224" priority="79">
      <formula>ABS(S$25-S$28)&gt;=1000</formula>
    </cfRule>
  </conditionalFormatting>
  <conditionalFormatting sqref="T22:T29">
    <cfRule type="expression" dxfId="223" priority="78">
      <formula>ABS(T$25-T$28)&gt;=1000</formula>
    </cfRule>
  </conditionalFormatting>
  <conditionalFormatting sqref="U22:U29">
    <cfRule type="expression" dxfId="222" priority="77">
      <formula>ABS(U$25-U$28)&gt;=1000</formula>
    </cfRule>
  </conditionalFormatting>
  <conditionalFormatting sqref="V22:V29">
    <cfRule type="expression" dxfId="221" priority="76">
      <formula>ABS(V$25-V$28)&gt;=1000</formula>
    </cfRule>
  </conditionalFormatting>
  <conditionalFormatting sqref="W22:W29">
    <cfRule type="expression" dxfId="220" priority="75">
      <formula>ABS(W$25-W$28)&gt;=1000</formula>
    </cfRule>
  </conditionalFormatting>
  <conditionalFormatting sqref="X22:X29">
    <cfRule type="expression" dxfId="219" priority="74">
      <formula>ABS(X$25-X$28)&gt;=1000</formula>
    </cfRule>
  </conditionalFormatting>
  <conditionalFormatting sqref="Y22:Y29">
    <cfRule type="expression" dxfId="218" priority="73">
      <formula>ABS(Y$25-Y$28)&gt;=1000</formula>
    </cfRule>
  </conditionalFormatting>
  <conditionalFormatting sqref="I23">
    <cfRule type="expression" dxfId="217" priority="72">
      <formula>ABS(I$25-I$28)&gt;=1000</formula>
    </cfRule>
  </conditionalFormatting>
  <conditionalFormatting sqref="Q14">
    <cfRule type="expression" dxfId="216" priority="71">
      <formula>ABS(Q$16-Q$19)&gt;=1000</formula>
    </cfRule>
  </conditionalFormatting>
  <conditionalFormatting sqref="W14">
    <cfRule type="expression" dxfId="215" priority="70">
      <formula>ABS(W$16-W$19)&gt;=1000</formula>
    </cfRule>
  </conditionalFormatting>
  <conditionalFormatting sqref="X14">
    <cfRule type="expression" dxfId="214" priority="69">
      <formula>ABS(X$16-X$19)&gt;=1000</formula>
    </cfRule>
  </conditionalFormatting>
  <conditionalFormatting sqref="T10:Y10">
    <cfRule type="expression" dxfId="213" priority="68">
      <formula>ABS(T$7-T$10)&gt;=1000</formula>
    </cfRule>
  </conditionalFormatting>
  <conditionalFormatting sqref="W19">
    <cfRule type="expression" dxfId="212" priority="67">
      <formula>ABS(W$16-W$19)&gt;=1000</formula>
    </cfRule>
  </conditionalFormatting>
  <conditionalFormatting sqref="AC5">
    <cfRule type="expression" dxfId="211" priority="66">
      <formula>ABS(AC$7-AC$10)&gt;=1000</formula>
    </cfRule>
  </conditionalFormatting>
  <conditionalFormatting sqref="M14">
    <cfRule type="expression" dxfId="210" priority="65">
      <formula>ABS(M$16-M$19)&gt;=1000</formula>
    </cfRule>
  </conditionalFormatting>
  <conditionalFormatting sqref="M16">
    <cfRule type="expression" dxfId="209" priority="64">
      <formula>ABS(M$16-M$19)&gt;=1000</formula>
    </cfRule>
  </conditionalFormatting>
  <conditionalFormatting sqref="M19">
    <cfRule type="expression" dxfId="208" priority="63">
      <formula>ABS(M$16-M$19)&gt;=1000</formula>
    </cfRule>
  </conditionalFormatting>
  <conditionalFormatting sqref="K13:K20">
    <cfRule type="expression" dxfId="207" priority="62">
      <formula>ABS(K$16-K$19)&gt;=1000</formula>
    </cfRule>
  </conditionalFormatting>
  <conditionalFormatting sqref="AB14:AC14">
    <cfRule type="expression" dxfId="206" priority="61">
      <formula>ABS(AB$16-AB$19)&gt;=1000</formula>
    </cfRule>
  </conditionalFormatting>
  <conditionalFormatting sqref="M5">
    <cfRule type="expression" dxfId="205" priority="60">
      <formula>ABS(M$7-M$10)&gt;=1000</formula>
    </cfRule>
  </conditionalFormatting>
  <conditionalFormatting sqref="N5">
    <cfRule type="expression" dxfId="204" priority="59">
      <formula>ABS(N$7-N$10)&gt;=1000</formula>
    </cfRule>
  </conditionalFormatting>
  <conditionalFormatting sqref="L23">
    <cfRule type="expression" dxfId="203" priority="58">
      <formula>ABS(L$25-L$28)&gt;=1000</formula>
    </cfRule>
  </conditionalFormatting>
  <conditionalFormatting sqref="Y14">
    <cfRule type="expression" dxfId="202" priority="57">
      <formula>ABS(Y$16-Y$19)&gt;=1000</formula>
    </cfRule>
  </conditionalFormatting>
  <conditionalFormatting sqref="F14">
    <cfRule type="expression" dxfId="201" priority="56">
      <formula>ABS(F$16-F$19)&gt;=1000</formula>
    </cfRule>
  </conditionalFormatting>
  <conditionalFormatting sqref="H14">
    <cfRule type="expression" dxfId="200" priority="55">
      <formula>ABS(H$16-H$19)&gt;=1000</formula>
    </cfRule>
  </conditionalFormatting>
  <conditionalFormatting sqref="AD5">
    <cfRule type="expression" dxfId="199" priority="54">
      <formula>ABS(AD$7-AD$10)&gt;=1000</formula>
    </cfRule>
  </conditionalFormatting>
  <conditionalFormatting sqref="AE5">
    <cfRule type="expression" dxfId="198" priority="53">
      <formula>ABS(AE$7-AE$10)&gt;=1000</formula>
    </cfRule>
  </conditionalFormatting>
  <conditionalFormatting sqref="D5">
    <cfRule type="expression" dxfId="197" priority="52">
      <formula>ABS(D$7-D$10)&gt;=1000</formula>
    </cfRule>
  </conditionalFormatting>
  <conditionalFormatting sqref="E5:G5">
    <cfRule type="expression" dxfId="196" priority="51">
      <formula>ABS(E$7-E$10)&gt;=1000</formula>
    </cfRule>
  </conditionalFormatting>
  <conditionalFormatting sqref="H5">
    <cfRule type="expression" dxfId="195" priority="50">
      <formula>ABS(H$7-H$10)&gt;=1000</formula>
    </cfRule>
  </conditionalFormatting>
  <conditionalFormatting sqref="O4:P4">
    <cfRule type="expression" dxfId="194" priority="49">
      <formula>ABS(O$7-O$10)&gt;=1000</formula>
    </cfRule>
  </conditionalFormatting>
  <conditionalFormatting sqref="O5 O11">
    <cfRule type="expression" dxfId="193" priority="48">
      <formula>ABS(O$7-O$10)&gt;=1000</formula>
    </cfRule>
  </conditionalFormatting>
  <conditionalFormatting sqref="P11">
    <cfRule type="expression" dxfId="192" priority="47">
      <formula>ABS(P$7-P$10)&gt;=1000</formula>
    </cfRule>
  </conditionalFormatting>
  <conditionalFormatting sqref="J5">
    <cfRule type="expression" dxfId="191" priority="46">
      <formula>ABS(J$7-J$10)&gt;=1000</formula>
    </cfRule>
  </conditionalFormatting>
  <conditionalFormatting sqref="K5">
    <cfRule type="expression" dxfId="190" priority="45">
      <formula>ABS(K$7-K$10)&gt;=1000</formula>
    </cfRule>
  </conditionalFormatting>
  <conditionalFormatting sqref="I6">
    <cfRule type="expression" dxfId="189" priority="44">
      <formula>ABS(I$7-I$10)&gt;=1000</formula>
    </cfRule>
  </conditionalFormatting>
  <conditionalFormatting sqref="H9">
    <cfRule type="expression" dxfId="188" priority="43">
      <formula>ABS(H$7-H$10)&gt;=1000</formula>
    </cfRule>
  </conditionalFormatting>
  <conditionalFormatting sqref="J9">
    <cfRule type="expression" dxfId="187" priority="42">
      <formula>ABS(J$7-J$10)&gt;=1000</formula>
    </cfRule>
  </conditionalFormatting>
  <conditionalFormatting sqref="K9">
    <cfRule type="expression" dxfId="186" priority="41">
      <formula>ABS(K$7-K$10)&gt;=1000</formula>
    </cfRule>
  </conditionalFormatting>
  <conditionalFormatting sqref="L9">
    <cfRule type="expression" dxfId="185" priority="40">
      <formula>ABS(L$7-L$10)&gt;=1000</formula>
    </cfRule>
  </conditionalFormatting>
  <conditionalFormatting sqref="M9">
    <cfRule type="expression" dxfId="184" priority="39">
      <formula>ABS(M$7-M$10)&gt;=1000</formula>
    </cfRule>
  </conditionalFormatting>
  <conditionalFormatting sqref="N9">
    <cfRule type="expression" dxfId="183" priority="38">
      <formula>ABS(N$7-N$10)&gt;=1000</formula>
    </cfRule>
  </conditionalFormatting>
  <conditionalFormatting sqref="O9">
    <cfRule type="expression" dxfId="182" priority="37">
      <formula>ABS(O$7-O$10)&gt;=1000</formula>
    </cfRule>
  </conditionalFormatting>
  <conditionalFormatting sqref="P9">
    <cfRule type="expression" dxfId="181" priority="36">
      <formula>ABS(P$7-P$10)&gt;=1000</formula>
    </cfRule>
  </conditionalFormatting>
  <conditionalFormatting sqref="I9">
    <cfRule type="expression" dxfId="180" priority="35">
      <formula>ABS(I$7-I$10)&gt;=1000</formula>
    </cfRule>
  </conditionalFormatting>
  <conditionalFormatting sqref="P5">
    <cfRule type="expression" dxfId="179" priority="34">
      <formula>ABS(P$7-P$10)&gt;=1000</formula>
    </cfRule>
  </conditionalFormatting>
  <conditionalFormatting sqref="I5">
    <cfRule type="expression" dxfId="178" priority="33">
      <formula>ABS(I$7-I$10)&gt;=1000</formula>
    </cfRule>
  </conditionalFormatting>
  <conditionalFormatting sqref="D6 D8">
    <cfRule type="expression" dxfId="177" priority="32">
      <formula>ABS(D$7-D$10)&gt;=1000</formula>
    </cfRule>
  </conditionalFormatting>
  <conditionalFormatting sqref="E6 E8">
    <cfRule type="expression" dxfId="176" priority="31">
      <formula>ABS(E$7-E$10)&gt;=1000</formula>
    </cfRule>
  </conditionalFormatting>
  <conditionalFormatting sqref="F6 F8">
    <cfRule type="expression" dxfId="175" priority="30">
      <formula>ABS(F$7-F$10)&gt;=1000</formula>
    </cfRule>
  </conditionalFormatting>
  <conditionalFormatting sqref="G6 G8">
    <cfRule type="expression" dxfId="174" priority="29">
      <formula>ABS(G$7-G$10)&gt;=1000</formula>
    </cfRule>
  </conditionalFormatting>
  <conditionalFormatting sqref="H8">
    <cfRule type="expression" dxfId="173" priority="28">
      <formula>ABS(H$7-H$10)&gt;=1000</formula>
    </cfRule>
  </conditionalFormatting>
  <conditionalFormatting sqref="H6">
    <cfRule type="expression" dxfId="172" priority="27">
      <formula>ABS(H$7-H$10)&gt;=1000</formula>
    </cfRule>
  </conditionalFormatting>
  <conditionalFormatting sqref="J8">
    <cfRule type="expression" dxfId="171" priority="26">
      <formula>ABS(J$7-J$10)&gt;=1000</formula>
    </cfRule>
  </conditionalFormatting>
  <conditionalFormatting sqref="K8">
    <cfRule type="expression" dxfId="170" priority="25">
      <formula>ABS(K$7-K$10)&gt;=1000</formula>
    </cfRule>
  </conditionalFormatting>
  <conditionalFormatting sqref="L8">
    <cfRule type="expression" dxfId="169" priority="24">
      <formula>ABS(L$7-L$10)&gt;=1000</formula>
    </cfRule>
  </conditionalFormatting>
  <conditionalFormatting sqref="M8">
    <cfRule type="expression" dxfId="168" priority="23">
      <formula>ABS(M$7-M$10)&gt;=1000</formula>
    </cfRule>
  </conditionalFormatting>
  <conditionalFormatting sqref="N8">
    <cfRule type="expression" dxfId="167" priority="22">
      <formula>ABS(N$7-N$10)&gt;=1000</formula>
    </cfRule>
  </conditionalFormatting>
  <conditionalFormatting sqref="O8">
    <cfRule type="expression" dxfId="166" priority="21">
      <formula>ABS(O$7-O$10)&gt;=1000</formula>
    </cfRule>
  </conditionalFormatting>
  <conditionalFormatting sqref="P8">
    <cfRule type="expression" dxfId="165" priority="20">
      <formula>ABS(P$7-P$10)&gt;=1000</formula>
    </cfRule>
  </conditionalFormatting>
  <conditionalFormatting sqref="J6">
    <cfRule type="expression" dxfId="164" priority="19">
      <formula>ABS(J$7-J$10)&gt;=1000</formula>
    </cfRule>
  </conditionalFormatting>
  <conditionalFormatting sqref="K6">
    <cfRule type="expression" dxfId="163" priority="18">
      <formula>ABS(K$7-K$10)&gt;=1000</formula>
    </cfRule>
  </conditionalFormatting>
  <conditionalFormatting sqref="L6">
    <cfRule type="expression" dxfId="162" priority="17">
      <formula>ABS(L$7-L$10)&gt;=1000</formula>
    </cfRule>
  </conditionalFormatting>
  <conditionalFormatting sqref="M6">
    <cfRule type="expression" dxfId="161" priority="16">
      <formula>ABS(M$7-M$10)&gt;=1000</formula>
    </cfRule>
  </conditionalFormatting>
  <conditionalFormatting sqref="N6">
    <cfRule type="expression" dxfId="160" priority="15">
      <formula>ABS(N$7-N$10)&gt;=1000</formula>
    </cfRule>
  </conditionalFormatting>
  <conditionalFormatting sqref="O6">
    <cfRule type="expression" dxfId="159" priority="14">
      <formula>ABS(O$7-O$10)&gt;=1000</formula>
    </cfRule>
  </conditionalFormatting>
  <conditionalFormatting sqref="P6">
    <cfRule type="expression" dxfId="158" priority="13">
      <formula>ABS(P$7-P$10)&gt;=1000</formula>
    </cfRule>
  </conditionalFormatting>
  <conditionalFormatting sqref="L7">
    <cfRule type="expression" dxfId="157" priority="12">
      <formula>ABS(L$7-L$10)&gt;=1000</formula>
    </cfRule>
  </conditionalFormatting>
  <conditionalFormatting sqref="M7">
    <cfRule type="expression" dxfId="156" priority="11">
      <formula>ABS(M$7-M$10)&gt;=1000</formula>
    </cfRule>
  </conditionalFormatting>
  <conditionalFormatting sqref="O7:P7">
    <cfRule type="expression" dxfId="155" priority="10">
      <formula>ABS(O$7-O$10)&gt;=1000</formula>
    </cfRule>
  </conditionalFormatting>
  <conditionalFormatting sqref="N7">
    <cfRule type="expression" dxfId="154" priority="9">
      <formula>ABS(N$7-N$10)&gt;=1000</formula>
    </cfRule>
  </conditionalFormatting>
  <conditionalFormatting sqref="H7:K7">
    <cfRule type="expression" dxfId="153" priority="8">
      <formula>ABS(H$7-H$10)&gt;=1000</formula>
    </cfRule>
  </conditionalFormatting>
  <conditionalFormatting sqref="D7:G7">
    <cfRule type="expression" dxfId="152" priority="7">
      <formula>ABS(D$7-D$10)&gt;=1000</formula>
    </cfRule>
  </conditionalFormatting>
  <conditionalFormatting sqref="L10">
    <cfRule type="expression" dxfId="151" priority="6">
      <formula>ABS(L$7-L$10)&gt;=1000</formula>
    </cfRule>
  </conditionalFormatting>
  <conditionalFormatting sqref="M10">
    <cfRule type="expression" dxfId="150" priority="5">
      <formula>ABS(M$7-M$10)&gt;=1000</formula>
    </cfRule>
  </conditionalFormatting>
  <conditionalFormatting sqref="O10:P10">
    <cfRule type="expression" dxfId="149" priority="4">
      <formula>ABS(O$7-O$10)&gt;=1000</formula>
    </cfRule>
  </conditionalFormatting>
  <conditionalFormatting sqref="N10">
    <cfRule type="expression" dxfId="148" priority="3">
      <formula>ABS(N$7-N$10)&gt;=1000</formula>
    </cfRule>
  </conditionalFormatting>
  <conditionalFormatting sqref="H10:K10">
    <cfRule type="expression" dxfId="147" priority="2">
      <formula>ABS(H$7-H$10)&gt;=1000</formula>
    </cfRule>
  </conditionalFormatting>
  <conditionalFormatting sqref="D10:G10">
    <cfRule type="expression" dxfId="146" priority="1">
      <formula>ABS(D$7-D$10)&gt;=1000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9996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77">
    <pageSetUpPr fitToPage="1"/>
  </sheetPr>
  <dimension ref="A1:BA223"/>
  <sheetViews>
    <sheetView tabSelected="1" view="pageBreakPreview" zoomScale="110" zoomScaleNormal="100" zoomScaleSheetLayoutView="110" workbookViewId="0">
      <selection activeCell="D10" sqref="D10"/>
    </sheetView>
  </sheetViews>
  <sheetFormatPr defaultColWidth="8.109375" defaultRowHeight="25.8"/>
  <cols>
    <col min="1" max="1" width="11.6640625" style="53" customWidth="1" phonetic="1"/>
    <col min="2" max="2" width="7.6640625" style="53" customWidth="1" phonetic="1"/>
    <col min="3" max="3" width="8" style="53" customWidth="1" phonetic="1"/>
    <col min="4" max="7" width="8.77734375" style="53" customWidth="1" phonetic="1"/>
    <col min="8" max="8" width="9.77734375" style="53" customWidth="1" phonetic="1"/>
    <col min="9" max="16" width="8.77734375" style="53" customWidth="1" phonetic="1"/>
    <col min="17" max="30" width="7.6640625" style="53" customWidth="1" phonetic="1"/>
    <col min="31" max="31" width="7.6640625" style="64" customWidth="1" phonetic="1"/>
    <col min="32" max="32" width="11.6640625" style="53" bestFit="1" customWidth="1" phonetic="1"/>
    <col min="33" max="16384" width="8.109375" style="53" phonetic="1"/>
  </cols>
  <sheetData>
    <row r="1" spans="1:53" ht="31.2" ph="1">
      <c r="A1" s="53"/>
      <c r="B1" s="207" t="s" ph="1">
        <v>87</v>
      </c>
      <c r="C1" s="207" ph="1"/>
      <c r="D1" s="207" ph="1"/>
      <c r="E1" s="207" ph="1"/>
      <c r="F1" s="207" ph="1"/>
      <c r="G1" s="207" ph="1"/>
      <c r="H1" s="207" ph="1"/>
      <c r="I1" s="207" ph="1"/>
      <c r="J1" s="207" ph="1"/>
      <c r="K1" s="207" ph="1"/>
      <c r="L1" s="207" ph="1"/>
      <c r="M1" s="207" ph="1"/>
      <c r="N1" s="207" ph="1"/>
      <c r="O1" s="207" ph="1"/>
      <c r="P1" s="207" ph="1"/>
      <c r="Q1" s="207" ph="1"/>
      <c r="R1" s="207" ph="1"/>
      <c r="S1" s="207" ph="1"/>
      <c r="T1" s="207" ph="1"/>
      <c r="U1" s="207" ph="1"/>
      <c r="V1" s="207" ph="1"/>
      <c r="W1" s="207" ph="1"/>
      <c r="X1" s="207" ph="1"/>
      <c r="Y1" s="207" ph="1"/>
      <c r="Z1" s="207" ph="1"/>
      <c r="AA1" s="207" ph="1"/>
      <c r="AB1" s="207" ph="1"/>
      <c r="AC1" s="207" ph="1"/>
      <c r="AD1" s="207" ph="1"/>
      <c r="AE1" s="207" ph="1"/>
    </row>
    <row r="2" spans="1:53" s="55" customFormat="1" ht="24" customHeight="1" ph="1">
      <c r="B2" s="208" t="s" ph="1">
        <v>35</v>
      </c>
      <c r="C2" s="208" ph="1"/>
      <c r="D2" s="208" ph="1"/>
      <c r="E2" s="208" ph="1"/>
      <c r="F2" s="208" ph="1"/>
      <c r="G2" s="208" ph="1"/>
      <c r="H2" s="208" ph="1"/>
      <c r="I2" s="208" ph="1"/>
      <c r="J2" s="208" ph="1"/>
      <c r="K2" s="208" ph="1"/>
      <c r="L2" s="208" ph="1"/>
      <c r="M2" s="208" ph="1"/>
      <c r="N2" s="208" ph="1"/>
      <c r="O2" s="208" ph="1"/>
      <c r="P2" s="208" ph="1"/>
      <c r="Q2" s="208" ph="1"/>
      <c r="R2" s="208" ph="1"/>
      <c r="S2" s="208" ph="1"/>
      <c r="T2" s="208" ph="1"/>
      <c r="U2" s="208" ph="1"/>
      <c r="V2" s="208" ph="1"/>
      <c r="W2" s="208" ph="1"/>
      <c r="X2" s="208" ph="1"/>
      <c r="Y2" s="208" ph="1"/>
      <c r="Z2" s="208" ph="1"/>
      <c r="AA2" s="208" ph="1"/>
      <c r="AB2" s="208" ph="1"/>
      <c r="AC2" s="208" ph="1"/>
      <c r="AD2" s="208" ph="1"/>
      <c r="AE2" s="208" ph="1"/>
    </row>
    <row r="3" spans="1:53" ht="21" customHeight="1" ph="1">
      <c r="B3" s="209" ph="1">
        <v>46155</v>
      </c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209"/>
      <c r="P3" s="209"/>
      <c r="Q3" s="209"/>
      <c r="R3" s="209"/>
      <c r="S3" s="209"/>
      <c r="T3" s="209"/>
      <c r="U3" s="209"/>
      <c r="V3" s="209"/>
      <c r="W3" s="209"/>
      <c r="X3" s="209"/>
      <c r="Y3" s="209"/>
      <c r="Z3" s="209"/>
      <c r="AA3" s="209"/>
      <c r="AB3" s="209"/>
      <c r="AC3" s="209"/>
      <c r="AD3" s="209"/>
      <c r="AE3" s="209"/>
    </row>
    <row r="4" spans="1:53" s="58" customFormat="1" ph="1">
      <c r="A4" s="54" ph="1"/>
      <c r="B4" s="188" t="s" ph="1">
        <v>25</v>
      </c>
      <c r="C4" s="56" t="s" ph="1">
        <v>41</v>
      </c>
      <c r="D4" s="57" t="s" ph="1">
        <v>89</v>
      </c>
      <c r="E4" s="57" t="s" ph="1">
        <v>90</v>
      </c>
      <c r="F4" s="57" t="s" ph="1">
        <v>27</v>
      </c>
      <c r="G4" s="57" t="s" ph="1">
        <v>54</v>
      </c>
      <c r="H4" s="57" t="s" ph="1">
        <v>88</v>
      </c>
      <c r="I4" s="57" t="s" ph="1">
        <v>91</v>
      </c>
      <c r="J4" s="57" t="s" ph="1">
        <v>57</v>
      </c>
      <c r="K4" s="57" t="s" ph="1">
        <v>58</v>
      </c>
      <c r="L4" s="57" t="s" ph="1">
        <v>59</v>
      </c>
      <c r="M4" s="57" t="s" ph="1">
        <v>60</v>
      </c>
      <c r="N4" s="57" t="s" ph="1">
        <v>61</v>
      </c>
      <c r="O4" s="57" t="s" ph="1">
        <v>62</v>
      </c>
      <c r="P4" s="57" t="s" ph="1">
        <v>63</v>
      </c>
      <c r="Q4" s="57" ph="1"/>
      <c r="R4" s="57" ph="1"/>
      <c r="S4" s="57" ph="1"/>
      <c r="T4" s="57" ph="1"/>
      <c r="U4" s="57" ph="1"/>
      <c r="V4" s="57" ph="1"/>
      <c r="W4" s="57" ph="1"/>
      <c r="X4" s="57" ph="1"/>
      <c r="Y4" s="57" ph="1"/>
      <c r="Z4" s="57" ph="1"/>
      <c r="AA4" s="57" ph="1"/>
      <c r="AB4" s="57" ph="1"/>
      <c r="AC4" s="57" ph="1"/>
      <c r="AD4" s="57" ph="1"/>
      <c r="AE4" s="57" ph="1"/>
      <c r="AF4" s="54" ph="1"/>
      <c r="AG4" s="54" ph="1"/>
      <c r="AH4" s="54" ph="1"/>
      <c r="AI4" s="54" ph="1"/>
      <c r="AJ4" s="54" ph="1"/>
      <c r="AK4" s="54" ph="1"/>
      <c r="AL4" s="54" ph="1"/>
      <c r="AM4" s="54" ph="1"/>
      <c r="AN4" s="54" ph="1"/>
      <c r="AO4" s="54" ph="1"/>
      <c r="AP4" s="54" ph="1"/>
      <c r="AQ4" s="54" ph="1"/>
      <c r="AR4" s="54" ph="1"/>
      <c r="AS4" s="54" ph="1"/>
      <c r="AT4" s="54" ph="1"/>
      <c r="AU4" s="54" ph="1"/>
      <c r="AV4" s="54" ph="1"/>
      <c r="AW4" s="54" ph="1"/>
      <c r="AX4" s="54" ph="1"/>
      <c r="AY4" s="54" ph="1"/>
      <c r="AZ4" s="54" ph="1"/>
      <c r="BA4" s="54" ph="1"/>
    </row>
    <row r="5" spans="1:53" s="58" customFormat="1" ht="29.25" customHeight="1" ph="1">
      <c r="A5" s="54" ph="1"/>
      <c r="B5" s="188" ph="1"/>
      <c r="C5" s="56" t="s" ph="1">
        <v>24</v>
      </c>
      <c r="D5" s="103" t="s" ph="1">
        <v>64</v>
      </c>
      <c r="E5" s="103" t="s" ph="1">
        <v>64</v>
      </c>
      <c r="F5" s="103" t="s" ph="1">
        <v>86</v>
      </c>
      <c r="G5" s="103" t="s" ph="1">
        <v>86</v>
      </c>
      <c r="H5" s="103" t="s" ph="1">
        <v>64</v>
      </c>
      <c r="I5" s="103" t="s" ph="1">
        <v>64</v>
      </c>
      <c r="J5" s="103" t="s" ph="1">
        <v>86</v>
      </c>
      <c r="K5" s="103" t="s" ph="1">
        <v>86</v>
      </c>
      <c r="L5" s="102" t="s" ph="1">
        <v>51</v>
      </c>
      <c r="M5" s="102" t="s" ph="1">
        <v>65</v>
      </c>
      <c r="N5" s="102" t="s" ph="1">
        <v>51</v>
      </c>
      <c r="O5" s="102" t="s" ph="1">
        <v>66</v>
      </c>
      <c r="P5" s="102" t="s" ph="1">
        <v>66</v>
      </c>
      <c r="Q5" s="59" ph="1"/>
      <c r="R5" s="59" ph="1"/>
      <c r="S5" s="59" ph="1"/>
      <c r="T5" s="59" ph="1"/>
      <c r="U5" s="59" ph="1"/>
      <c r="V5" s="59" ph="1"/>
      <c r="W5" s="59" ph="1"/>
      <c r="X5" s="59" ph="1"/>
      <c r="Y5" s="59" ph="1"/>
      <c r="Z5" s="59" ph="1"/>
      <c r="AA5" s="59" ph="1"/>
      <c r="AB5" s="59" ph="1"/>
      <c r="AC5" s="59" ph="1"/>
      <c r="AD5" s="60"/>
      <c r="AE5" s="60"/>
      <c r="AF5" s="54" ph="1"/>
      <c r="AG5" s="54" ph="1"/>
      <c r="AH5" s="54" ph="1"/>
      <c r="AI5" s="54" ph="1"/>
      <c r="AJ5" s="54" ph="1"/>
      <c r="AK5" s="54" ph="1"/>
      <c r="AL5" s="54" ph="1"/>
      <c r="AM5" s="54" ph="1"/>
      <c r="AN5" s="54" ph="1"/>
      <c r="AO5" s="54" ph="1"/>
      <c r="AP5" s="54" ph="1"/>
      <c r="AQ5" s="54" ph="1"/>
      <c r="AR5" s="54" ph="1"/>
      <c r="AS5" s="54" ph="1"/>
      <c r="AT5" s="54" ph="1"/>
      <c r="AU5" s="54" ph="1"/>
      <c r="AV5" s="54" ph="1"/>
      <c r="AW5" s="54" ph="1"/>
      <c r="AX5" s="54" ph="1"/>
      <c r="AY5" s="54" ph="1"/>
      <c r="AZ5" s="54" ph="1"/>
      <c r="BA5" s="54" ph="1"/>
    </row>
    <row r="6" spans="1:53" ph="1">
      <c r="B6" s="206" ph="1">
        <v>0.33333333333333331</v>
      </c>
      <c r="C6" s="139" t="s" ph="1">
        <v>42</v>
      </c>
      <c r="D6" s="109">
        <v>0.81</v>
      </c>
      <c r="E6" s="109">
        <v>0.99180000000000001</v>
      </c>
      <c r="F6" s="109">
        <v>0</v>
      </c>
      <c r="G6" s="109">
        <v>0</v>
      </c>
      <c r="H6" s="60">
        <v>1872</v>
      </c>
      <c r="I6" s="60">
        <v>4099</v>
      </c>
      <c r="J6" s="60">
        <v>0</v>
      </c>
      <c r="K6" s="60">
        <v>0</v>
      </c>
      <c r="L6" s="60">
        <v>3566</v>
      </c>
      <c r="M6" s="60">
        <v>1904</v>
      </c>
      <c r="N6" s="60">
        <v>2290</v>
      </c>
      <c r="O6" s="60">
        <v>3938</v>
      </c>
      <c r="P6" s="60">
        <v>1533</v>
      </c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</row>
    <row r="7" spans="1:53" s="61" customFormat="1" ht="22.2" ph="1">
      <c r="B7" s="206" ph="1"/>
      <c r="C7" s="57" t="s" ph="1">
        <v>43</v>
      </c>
      <c r="D7" s="62" ph="1">
        <f>((D6*5885)*4.48)*LOOKUP(D8,密度!$A$2:$A$50,密度!$B$2:$B$50)</f>
        <v>16537.689907200001</v>
      </c>
      <c r="E7" s="62" ph="1">
        <f>((E6*5885)*4.48)*LOOKUP(E8,密度!$A$2:$A$50,密度!$B$2:$B$50)</f>
        <v>20249.482530816003</v>
      </c>
      <c r="F7" s="62" ph="1">
        <f>((F6*5885)*4.48)*LOOKUP(F8,密度!$A$2:$A$50,密度!$B$2:$B$50)</f>
        <v>0</v>
      </c>
      <c r="G7" s="62" ph="1">
        <f>((G6*5885)*4.48)*LOOKUP(G8,密度!$A$2:$A$50,密度!$B$2:$B$50)</f>
        <v>0</v>
      </c>
      <c r="H7" s="62" ph="1">
        <f>IF(H6&lt;=0,0,IF(H6&lt;=745,PI()*(5.3235*(H6/1000)^2-(4/3)*(H6/1000)^3),7.55+15.2053*((H6-745)/1000))*LOOKUP(H8,密度!$A$2:$A$50,密度!$B$2:$B$50)*1000)</f>
        <v>19052.94275858</v>
      </c>
      <c r="I7" s="62" ph="1">
        <f>IF(I6&lt;=0,0,IF(I6&lt;=745,PI()*(5.3235*(I6/1000)^2-(4/3)*(I6/1000)^3),7.55+15.2053*((I6-745)/1000))*LOOKUP(I8,密度!$A$2:$A$50,密度!$B$2:$B$50)*1000)</f>
        <v>45287.323690700003</v>
      </c>
      <c r="J7" s="62" ph="1">
        <f>IF(J6&lt;=0,0,IF(J6&lt;=745,PI()*(5.3235*(J6/1000)^2-(4/3)*(J6/1000)^3),7.55+15.2053*((J6-745)/1000))*LOOKUP(J8,密度!$A$2:$A$50,密度!$B$2:$B$50)*1000)</f>
        <v>0</v>
      </c>
      <c r="K7" s="62" ph="1">
        <f>IF(K6&lt;=0,0,IF(K6&lt;=745,PI()*(5.3235*(K6/1000)^2-(4/3)*(K6/1000)^3),7.55+15.2053*((K6-745)/1000))*LOOKUP(K8,密度!$A$2:$A$50,密度!$B$2:$B$50)*1000)</f>
        <v>0</v>
      </c>
      <c r="L7" s="62" ph="1">
        <f>L6*26.42*LOOKUP(L8,密度!$A$2:$A$50,密度!$B$2:$B$50)</f>
        <v>72959.104768000005</v>
      </c>
      <c r="M7" s="62" ph="1">
        <f>M6*26.42*1</f>
        <v>50303.68</v>
      </c>
      <c r="N7" s="62" ph="1">
        <f>N6*18.32*LOOKUP(N8,密度!$A$2:$A$50,密度!$B$2:$B$50)</f>
        <v>32488.248320000002</v>
      </c>
      <c r="O7" s="62" ph="1">
        <f>O6*81.71*LOOKUP(O8,密度!$A$2:$A$50,密度!$B$2:$B$50)</f>
        <v>249471.36669399997</v>
      </c>
      <c r="P7" s="62" ph="1">
        <f>P6*81.71*LOOKUP(P8,密度!$A$2:$A$50,密度!$B$2:$B$50)</f>
        <v>96889.716104999985</v>
      </c>
      <c r="Q7" s="62" ph="1"/>
      <c r="R7" s="62" ph="1"/>
      <c r="S7" s="62" ph="1"/>
      <c r="T7" s="62" ph="1"/>
      <c r="U7" s="62" ph="1"/>
      <c r="V7" s="62" ph="1"/>
      <c r="W7" s="62" ph="1"/>
      <c r="X7" s="62" ph="1"/>
      <c r="Y7" s="62" ph="1"/>
      <c r="Z7" s="62" ph="1"/>
      <c r="AA7" s="62" ph="1"/>
      <c r="AB7" s="62" ph="1"/>
      <c r="AC7" s="62" ph="1"/>
      <c r="AD7" s="62" ph="1"/>
      <c r="AE7" s="62" ph="1"/>
    </row>
    <row r="8" spans="1:53" ph="1">
      <c r="B8" s="206" ph="1"/>
      <c r="C8" s="57" t="s" ph="1">
        <v>44</v>
      </c>
      <c r="D8" s="63">
        <v>31</v>
      </c>
      <c r="E8" s="63">
        <v>31</v>
      </c>
      <c r="F8" s="63">
        <v>28</v>
      </c>
      <c r="G8" s="63">
        <v>28</v>
      </c>
      <c r="H8" s="63">
        <v>34</v>
      </c>
      <c r="I8" s="63">
        <v>32</v>
      </c>
      <c r="J8" s="63">
        <v>31</v>
      </c>
      <c r="K8" s="63">
        <v>28</v>
      </c>
      <c r="L8" s="63">
        <v>31</v>
      </c>
      <c r="M8" s="63">
        <v>31</v>
      </c>
      <c r="N8" s="63">
        <v>31</v>
      </c>
      <c r="O8" s="63">
        <v>30</v>
      </c>
      <c r="P8" s="63">
        <v>32</v>
      </c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</row>
    <row r="9" spans="1:53" ht="26.4" ph="1">
      <c r="B9" s="206" ph="1">
        <v>0.66666666666666663</v>
      </c>
      <c r="C9" s="139" t="s" ph="1">
        <v>45</v>
      </c>
      <c r="D9" s="109">
        <v>0</v>
      </c>
      <c r="E9" s="109">
        <v>0.38440000000000002</v>
      </c>
      <c r="F9" s="109">
        <v>0</v>
      </c>
      <c r="G9" s="109">
        <v>0</v>
      </c>
      <c r="H9" s="60">
        <v>4193</v>
      </c>
      <c r="I9" s="60">
        <v>3536</v>
      </c>
      <c r="J9" s="60">
        <v>0</v>
      </c>
      <c r="K9" s="60">
        <v>0</v>
      </c>
      <c r="L9" s="60">
        <v>3657</v>
      </c>
      <c r="M9" s="60">
        <v>1903</v>
      </c>
      <c r="N9" s="60">
        <v>2331</v>
      </c>
      <c r="O9" s="60">
        <v>4567</v>
      </c>
      <c r="P9" s="60">
        <v>1869</v>
      </c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</row>
    <row r="10" spans="1:53" s="61" customFormat="1" ht="22.2" ph="1">
      <c r="B10" s="206" ph="1"/>
      <c r="C10" s="139" t="s" ph="1">
        <v>43</v>
      </c>
      <c r="D10" s="62" ph="1">
        <f>((D9*5885)*4.48)*LOOKUP(D11,密度!$A$2:$A$50,密度!$B$2:$B$50)</f>
        <v>0</v>
      </c>
      <c r="E10" s="62" ph="1">
        <f>((E9*5885)*4.48)*LOOKUP(E11,密度!$A$2:$A$50,密度!$B$2:$B$50)</f>
        <v>7831.0279210240014</v>
      </c>
      <c r="F10" s="62" ph="1">
        <f>((F9*5885)*4.48)*LOOKUP(F11,密度!$A$2:$A$50,密度!$B$2:$B$50)</f>
        <v>0</v>
      </c>
      <c r="G10" s="62" ph="1">
        <f>((G9*5885)*4.48)*LOOKUP(G11,密度!$A$2:$A$50,密度!$B$2:$B$50)</f>
        <v>0</v>
      </c>
      <c r="H10" s="62" ph="1">
        <f>IF(H9&lt;=0,0,IF(H9&lt;=745,PI()*(5.3235*(H9/1000)^2-(4/3)*(H9/1000)^3),7.55+15.2053*((H9-745)/1000))*LOOKUP(H11,密度!$A$2:$A$50,密度!$B$2:$B$50)*1000)</f>
        <v>46290.92346192</v>
      </c>
      <c r="I10" s="62" ph="1">
        <f>IF(I9&lt;=0,0,IF(I9&lt;=745,PI()*(5.3235*(I9/1000)^2-(4/3)*(I9/1000)^3),7.55+15.2053*((I9-745)/1000))*LOOKUP(I11,密度!$A$2:$A$50,密度!$B$2:$B$50)*1000)</f>
        <v>38625.721650209998</v>
      </c>
      <c r="J10" s="62" ph="1">
        <f>IF(J9&lt;=0,0,IF(J9&lt;=745,PI()*(5.3235*(J9/1000)^2-(4/3)*(J9/1000)^3),7.55+15.2053*((J9-745)/1000))*LOOKUP(J11,密度!$A$2:$A$50,密度!$B$2:$B$50)*1000)</f>
        <v>0</v>
      </c>
      <c r="K10" s="62" ph="1">
        <f>IF(K9&lt;=0,0,IF(K9&lt;=745,PI()*(5.3235*(K9/1000)^2-(4/3)*(K9/1000)^3),7.55+15.2053*((K9-745)/1000))*LOOKUP(K11,密度!$A$2:$A$50,密度!$B$2:$B$50)*1000)</f>
        <v>0</v>
      </c>
      <c r="L10" s="62" ph="1">
        <f>L9*26.42*LOOKUP(L11,密度!$A$2:$A$50,密度!$B$2:$B$50)</f>
        <v>74820.932736000002</v>
      </c>
      <c r="M10" s="62" ph="1">
        <f>M9*26.42*1</f>
        <v>50277.26</v>
      </c>
      <c r="N10" s="62" ph="1">
        <f>N9*18.32*LOOKUP(N11,密度!$A$2:$A$50,密度!$B$2:$B$50)</f>
        <v>33031.482120000001</v>
      </c>
      <c r="O10" s="62" ph="1">
        <f>O9*81.71*LOOKUP(O11,密度!$A$2:$A$50,密度!$B$2:$B$50)</f>
        <v>289318.36762099998</v>
      </c>
      <c r="P10" s="62" ph="1">
        <f>P9*81.71*LOOKUP(P11,密度!$A$2:$A$50,密度!$B$2:$B$50)</f>
        <v>118125.81826499999</v>
      </c>
      <c r="Q10" s="62" ph="1"/>
      <c r="R10" s="62" ph="1"/>
      <c r="S10" s="62" ph="1"/>
      <c r="T10" s="62" ph="1"/>
      <c r="U10" s="62" ph="1"/>
      <c r="V10" s="62" ph="1"/>
      <c r="W10" s="62" ph="1"/>
      <c r="X10" s="62" ph="1"/>
      <c r="Y10" s="62" ph="1"/>
      <c r="Z10" s="62" ph="1"/>
      <c r="AA10" s="62" ph="1"/>
      <c r="AB10" s="62" ph="1"/>
      <c r="AC10" s="62" ph="1"/>
      <c r="AD10" s="62" ph="1"/>
      <c r="AE10" s="62" ph="1"/>
    </row>
    <row r="11" spans="1:53" ph="1">
      <c r="A11" s="53" t="s" ph="1">
        <v>40</v>
      </c>
      <c r="B11" s="206" ph="1"/>
      <c r="C11" s="139" t="s" ph="1">
        <v>44</v>
      </c>
      <c r="D11" s="63">
        <v>34</v>
      </c>
      <c r="E11" s="63">
        <v>33</v>
      </c>
      <c r="F11" s="63">
        <v>36</v>
      </c>
      <c r="G11" s="63">
        <v>35</v>
      </c>
      <c r="H11" s="63">
        <v>34</v>
      </c>
      <c r="I11" s="63">
        <v>33</v>
      </c>
      <c r="J11" s="63">
        <v>36</v>
      </c>
      <c r="K11" s="63">
        <v>34</v>
      </c>
      <c r="L11" s="63">
        <v>31</v>
      </c>
      <c r="M11" s="63">
        <v>30</v>
      </c>
      <c r="N11" s="63">
        <v>32</v>
      </c>
      <c r="O11" s="63">
        <v>30</v>
      </c>
      <c r="P11" s="63">
        <v>32</v>
      </c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</row>
    <row r="12" spans="1:53" ht="9.9" customHeight="1" ph="1">
      <c r="I12" s="65" ph="1"/>
      <c r="U12" s="119" ph="1"/>
    </row>
    <row r="13" spans="1:53" s="61" customFormat="1" ht="29.25" customHeight="1" ph="1">
      <c r="B13" s="183" t="s" ph="1">
        <v>25</v>
      </c>
      <c r="C13" s="139" t="s" ph="1">
        <v>41</v>
      </c>
      <c r="D13" s="65" ph="1"/>
      <c r="E13" s="65" ph="1"/>
      <c r="F13" s="65" ph="1"/>
      <c r="G13" s="65" ph="1"/>
      <c r="H13" s="65" ph="1"/>
      <c r="I13" s="61"/>
      <c r="J13" s="65" ph="1"/>
      <c r="K13" s="65" ph="1"/>
      <c r="L13" s="65" ph="1"/>
      <c r="M13" s="65" ph="1"/>
      <c r="N13" s="65" ph="1"/>
      <c r="O13" s="65" ph="1"/>
      <c r="P13" s="65" ph="1"/>
      <c r="Q13" s="65" ph="1"/>
      <c r="R13" s="65" ph="1"/>
      <c r="S13" s="65" ph="1"/>
      <c r="T13" s="65" ph="1"/>
      <c r="U13" s="65" ph="1"/>
      <c r="V13" s="65" ph="1"/>
      <c r="W13" s="65" ph="1"/>
      <c r="X13" s="65" ph="1"/>
      <c r="Y13" s="94" ph="1"/>
      <c r="Z13" s="65" ph="1"/>
      <c r="AA13" s="65" ph="1"/>
      <c r="AB13" s="65" ph="1"/>
      <c r="AC13" s="65" ph="1"/>
      <c r="AD13" s="65" ph="1"/>
      <c r="AE13" s="65" ph="1"/>
    </row>
    <row r="14" spans="1:53" s="61" customFormat="1" ht="24" ph="1">
      <c r="B14" s="184" ph="1"/>
      <c r="C14" s="56" t="s" ph="1">
        <v>24</v>
      </c>
      <c r="D14" s="66" ph="1"/>
      <c r="E14" s="66" ph="1"/>
      <c r="F14" s="108" ph="1"/>
      <c r="G14" s="66" ph="1"/>
      <c r="H14" s="66" ph="1"/>
      <c r="I14" s="101" ph="1"/>
      <c r="J14" s="66" ph="1"/>
      <c r="K14" s="66" ph="1"/>
      <c r="L14" s="66" ph="1"/>
      <c r="M14" s="93" ph="1"/>
      <c r="N14" s="93" ph="1"/>
      <c r="O14" s="93" ph="1"/>
      <c r="P14" s="66" ph="1"/>
      <c r="Q14" s="66" ph="1"/>
      <c r="R14" s="77" ph="1"/>
      <c r="S14" s="66" ph="1"/>
      <c r="T14" s="66" ph="1"/>
      <c r="U14" s="66" ph="1"/>
      <c r="V14" s="66" ph="1"/>
      <c r="W14" s="66" ph="1"/>
      <c r="X14" s="66" ph="1"/>
      <c r="Y14" s="104" ph="1"/>
      <c r="Z14" s="66" ph="1"/>
      <c r="AA14" s="66" ph="1"/>
      <c r="AB14" s="66" ph="1"/>
      <c r="AC14" s="66" ph="1"/>
      <c r="AD14" s="66" ph="1"/>
      <c r="AE14" s="66" ph="1"/>
    </row>
    <row r="15" spans="1:53" ht="26.4" ph="1">
      <c r="B15" s="185" ph="1">
        <v>0.33333333333333331</v>
      </c>
      <c r="C15" s="68" t="s" ph="1">
        <v>45</v>
      </c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0"/>
      <c r="X15" s="67"/>
      <c r="Y15" s="95"/>
      <c r="Z15" s="67"/>
      <c r="AA15" s="67"/>
      <c r="AB15" s="67" ph="1"/>
      <c r="AC15" s="67" ph="1"/>
      <c r="AD15" s="67"/>
      <c r="AE15" s="67"/>
    </row>
    <row r="16" spans="1:53" s="61" customFormat="1" ht="26.4" ph="1">
      <c r="B16" s="186" ph="1"/>
      <c r="C16" s="139" t="s" ph="1">
        <v>43</v>
      </c>
      <c r="D16" s="62" ph="1"/>
      <c r="E16" s="62" ph="1"/>
      <c r="F16" s="62" ph="1"/>
      <c r="G16" s="62" ph="1"/>
      <c r="H16" s="62" ph="1"/>
      <c r="I16" s="62" ph="1"/>
      <c r="J16" s="62" ph="1"/>
      <c r="K16" s="62" ph="1"/>
      <c r="L16" s="62" ph="1"/>
      <c r="M16" s="62" ph="1"/>
      <c r="N16" s="62" ph="1"/>
      <c r="O16" s="62" ph="1"/>
      <c r="P16" s="62" ph="1"/>
      <c r="Q16" s="62" ph="1"/>
      <c r="R16" s="62" ph="1"/>
      <c r="S16" s="62" ph="1"/>
      <c r="T16" s="62" ph="1"/>
      <c r="U16" s="62" ph="1"/>
      <c r="V16" s="62" ph="1"/>
      <c r="W16" s="120" ph="1"/>
      <c r="X16" s="62" ph="1"/>
      <c r="Y16" s="96" ph="1"/>
      <c r="Z16" s="62" ph="1"/>
      <c r="AA16" s="62" ph="1"/>
      <c r="AB16" s="62" ph="1"/>
      <c r="AC16" s="62" ph="1"/>
      <c r="AD16" s="62" ph="1"/>
      <c r="AE16" s="62" ph="1"/>
    </row>
    <row r="17" spans="1:32" ph="1">
      <c r="A17" s="53" t="s" ph="1">
        <v>33</v>
      </c>
      <c r="B17" s="187" ph="1"/>
      <c r="C17" s="68" t="s" ph="1">
        <v>44</v>
      </c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121"/>
      <c r="W17" s="63"/>
      <c r="X17" s="63"/>
      <c r="Y17" s="97"/>
      <c r="Z17" s="63"/>
      <c r="AA17" s="63"/>
      <c r="AB17" s="63"/>
      <c r="AC17" s="63"/>
      <c r="AD17" s="63"/>
      <c r="AE17" s="63"/>
    </row>
    <row r="18" spans="1:32" ht="26.4" ph="1">
      <c r="B18" s="185" ph="1">
        <v>0.66666666666666663</v>
      </c>
      <c r="C18" s="68" t="s" ph="1">
        <v>45</v>
      </c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98"/>
      <c r="Z18" s="60"/>
      <c r="AA18" s="60"/>
      <c r="AB18" s="60"/>
      <c r="AC18" s="60"/>
      <c r="AD18" s="60"/>
      <c r="AE18" s="60"/>
    </row>
    <row r="19" spans="1:32" s="61" customFormat="1" ht="22.2" ph="1">
      <c r="B19" s="186" ph="1"/>
      <c r="C19" s="139" t="s" ph="1">
        <v>43</v>
      </c>
      <c r="D19" s="62" ph="1"/>
      <c r="E19" s="62" ph="1"/>
      <c r="F19" s="62" ph="1"/>
      <c r="G19" s="62" ph="1"/>
      <c r="H19" s="62" ph="1"/>
      <c r="I19" s="62" ph="1"/>
      <c r="J19" s="62" ph="1"/>
      <c r="K19" s="62" ph="1"/>
      <c r="L19" s="62" ph="1"/>
      <c r="M19" s="62" ph="1"/>
      <c r="N19" s="62" ph="1"/>
      <c r="O19" s="62" ph="1"/>
      <c r="P19" s="62" ph="1"/>
      <c r="Q19" s="62" ph="1"/>
      <c r="R19" s="62" ph="1"/>
      <c r="S19" s="62" ph="1"/>
      <c r="T19" s="62" ph="1"/>
      <c r="U19" s="62" ph="1"/>
      <c r="V19" s="62" ph="1"/>
      <c r="W19" s="62" ph="1"/>
      <c r="X19" s="62" ph="1"/>
      <c r="Y19" s="62" ph="1"/>
      <c r="Z19" s="62" ph="1"/>
      <c r="AA19" s="62" ph="1"/>
      <c r="AB19" s="62" ph="1"/>
      <c r="AC19" s="62" ph="1"/>
      <c r="AD19" s="62" ph="1"/>
      <c r="AE19" s="62" ph="1"/>
    </row>
    <row r="20" spans="1:32" ph="1">
      <c r="A20" s="61" ph="1"/>
      <c r="B20" s="186" ph="1"/>
      <c r="C20" s="69" t="s" ph="1">
        <v>44</v>
      </c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99"/>
      <c r="Z20" s="70"/>
      <c r="AA20" s="70"/>
      <c r="AB20" s="70"/>
      <c r="AC20" s="70"/>
      <c r="AD20" s="70"/>
      <c r="AE20" s="70"/>
      <c r="AF20" s="53" t="s" ph="1">
        <v>23</v>
      </c>
    </row>
    <row r="21" spans="1:32" ph="1">
      <c r="A21" s="61" ph="1"/>
      <c r="B21" s="71" ph="1"/>
      <c r="C21" s="72" ph="1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</row>
    <row r="22" spans="1:32" ph="1">
      <c r="A22" s="61" ph="1"/>
      <c r="B22" s="184" t="s" ph="1">
        <v>25</v>
      </c>
      <c r="C22" s="74" t="s" ph="1">
        <v>41</v>
      </c>
      <c r="D22" s="75" ph="1"/>
      <c r="E22" s="75" ph="1"/>
      <c r="F22" s="75" ph="1"/>
      <c r="G22" s="75" ph="1"/>
      <c r="H22" s="75" ph="1"/>
      <c r="I22" s="75" ph="1"/>
      <c r="J22" s="75" ph="1"/>
      <c r="K22" s="75" ph="1"/>
      <c r="L22" s="75" ph="1"/>
      <c r="M22" s="75" ph="1"/>
      <c r="N22" s="75" ph="1"/>
      <c r="O22" s="75" ph="1"/>
      <c r="P22" s="75" ph="1"/>
      <c r="Q22" s="76" ph="1"/>
      <c r="R22" s="75" ph="1"/>
      <c r="S22" s="75" ph="1"/>
      <c r="T22" s="75" ph="1"/>
      <c r="U22" s="75" ph="1"/>
      <c r="V22" s="75" ph="1"/>
      <c r="W22" s="75" ph="1"/>
      <c r="X22" s="75" ph="1"/>
      <c r="Y22" s="75" ph="1"/>
      <c r="Z22" s="194" t="s" ph="1">
        <v>31</v>
      </c>
      <c r="AA22" s="195"/>
      <c r="AB22" s="195"/>
      <c r="AC22" s="195"/>
      <c r="AD22" s="195"/>
      <c r="AE22" s="196"/>
    </row>
    <row r="23" spans="1:32" ph="1">
      <c r="A23" s="61" ph="1"/>
      <c r="B23" s="188" ph="1"/>
      <c r="C23" s="56" t="s" ph="1">
        <v>24</v>
      </c>
      <c r="D23" s="77" ph="1"/>
      <c r="E23" s="77" ph="1"/>
      <c r="F23" s="77" ph="1"/>
      <c r="G23" s="77" ph="1"/>
      <c r="H23" s="77" ph="1"/>
      <c r="I23" s="77" ph="1"/>
      <c r="J23" s="77" ph="1"/>
      <c r="K23" s="77" ph="1"/>
      <c r="L23" s="77" ph="1"/>
      <c r="M23" s="77" ph="1"/>
      <c r="N23" s="77" ph="1"/>
      <c r="O23" s="77" ph="1"/>
      <c r="P23" s="77" ph="1"/>
      <c r="Q23" s="78" ph="1"/>
      <c r="R23" s="77" ph="1"/>
      <c r="S23" s="77" ph="1"/>
      <c r="T23" s="77" ph="1"/>
      <c r="U23" s="93" ph="1"/>
      <c r="V23" s="77" ph="1"/>
      <c r="W23" s="77" ph="1"/>
      <c r="X23" s="77" ph="1"/>
      <c r="Y23" s="77" ph="1"/>
      <c r="Z23" s="197" t="s" ph="1">
        <v>67</v>
      </c>
      <c r="AA23" s="198"/>
      <c r="AB23" s="198"/>
      <c r="AC23" s="198"/>
      <c r="AD23" s="198"/>
      <c r="AE23" s="199"/>
    </row>
    <row r="24" spans="1:32" ht="26.4" ph="1">
      <c r="A24" s="61" ph="1"/>
      <c r="B24" s="206" ph="1">
        <v>0.33333333333333331</v>
      </c>
      <c r="C24" s="68" t="s" ph="1">
        <v>45</v>
      </c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79"/>
      <c r="R24" s="60"/>
      <c r="S24" s="60"/>
      <c r="T24" s="60"/>
      <c r="U24" s="60"/>
      <c r="V24" s="60"/>
      <c r="W24" s="60"/>
      <c r="X24" s="60"/>
      <c r="Y24" s="60"/>
      <c r="Z24" s="200"/>
      <c r="AA24" s="201"/>
      <c r="AB24" s="201"/>
      <c r="AC24" s="201"/>
      <c r="AD24" s="201"/>
      <c r="AE24" s="202"/>
    </row>
    <row r="25" spans="1:32" ph="1">
      <c r="A25" s="61" ph="1"/>
      <c r="B25" s="206" ph="1"/>
      <c r="C25" s="57" t="s" ph="1">
        <v>43</v>
      </c>
      <c r="D25" s="80" ph="1"/>
      <c r="E25" s="80" ph="1"/>
      <c r="F25" s="80" ph="1"/>
      <c r="G25" s="80" ph="1"/>
      <c r="H25" s="80" ph="1"/>
      <c r="I25" s="80" ph="1"/>
      <c r="J25" s="80" ph="1"/>
      <c r="K25" s="80" ph="1"/>
      <c r="L25" s="80" ph="1"/>
      <c r="M25" s="80" ph="1"/>
      <c r="N25" s="80" ph="1"/>
      <c r="O25" s="80" ph="1"/>
      <c r="P25" s="80" ph="1"/>
      <c r="Q25" s="81" ph="1"/>
      <c r="R25" s="80" ph="1"/>
      <c r="S25" s="80" ph="1"/>
      <c r="T25" s="80" ph="1"/>
      <c r="U25" s="80" ph="1"/>
      <c r="V25" s="80" ph="1"/>
      <c r="W25" s="80" ph="1"/>
      <c r="X25" s="80" ph="1"/>
      <c r="Y25" s="80" ph="1"/>
      <c r="Z25" s="200"/>
      <c r="AA25" s="201"/>
      <c r="AB25" s="201"/>
      <c r="AC25" s="201"/>
      <c r="AD25" s="201"/>
      <c r="AE25" s="202"/>
    </row>
    <row r="26" spans="1:32" ph="1">
      <c r="A26" s="61" ph="1"/>
      <c r="B26" s="206" ph="1"/>
      <c r="C26" s="57" t="s" ph="1">
        <v>44</v>
      </c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82"/>
      <c r="R26" s="63"/>
      <c r="S26" s="63"/>
      <c r="T26" s="63"/>
      <c r="U26" s="63"/>
      <c r="V26" s="63"/>
      <c r="W26" s="63"/>
      <c r="X26" s="63"/>
      <c r="Y26" s="63"/>
      <c r="Z26" s="200"/>
      <c r="AA26" s="201"/>
      <c r="AB26" s="201"/>
      <c r="AC26" s="201"/>
      <c r="AD26" s="201"/>
      <c r="AE26" s="202"/>
    </row>
    <row r="27" spans="1:32" ht="26.4" ph="1">
      <c r="A27" s="61" ph="1"/>
      <c r="B27" s="206" ph="1">
        <v>0.66666666666666663</v>
      </c>
      <c r="C27" s="139" t="s" ph="1">
        <v>45</v>
      </c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79"/>
      <c r="R27" s="60"/>
      <c r="S27" s="60"/>
      <c r="T27" s="60"/>
      <c r="U27" s="60"/>
      <c r="V27" s="60"/>
      <c r="W27" s="60"/>
      <c r="X27" s="60"/>
      <c r="Y27" s="60"/>
      <c r="Z27" s="200"/>
      <c r="AA27" s="201"/>
      <c r="AB27" s="201"/>
      <c r="AC27" s="201"/>
      <c r="AD27" s="201"/>
      <c r="AE27" s="202"/>
    </row>
    <row r="28" spans="1:32" ph="1">
      <c r="A28" s="61" ph="1"/>
      <c r="B28" s="206" ph="1"/>
      <c r="C28" s="139" t="s" ph="1">
        <v>43</v>
      </c>
      <c r="D28" s="80" ph="1"/>
      <c r="E28" s="80" ph="1"/>
      <c r="F28" s="80" ph="1"/>
      <c r="G28" s="80" ph="1"/>
      <c r="H28" s="80" ph="1"/>
      <c r="I28" s="80" ph="1"/>
      <c r="J28" s="80" ph="1"/>
      <c r="K28" s="80" ph="1"/>
      <c r="L28" s="80" ph="1"/>
      <c r="M28" s="80" ph="1"/>
      <c r="N28" s="80" ph="1"/>
      <c r="O28" s="80" ph="1"/>
      <c r="P28" s="80" ph="1"/>
      <c r="Q28" s="81" ph="1"/>
      <c r="R28" s="80" ph="1"/>
      <c r="S28" s="80" ph="1"/>
      <c r="T28" s="80" ph="1"/>
      <c r="U28" s="80" ph="1"/>
      <c r="V28" s="80" ph="1"/>
      <c r="W28" s="80" ph="1"/>
      <c r="X28" s="80" ph="1"/>
      <c r="Y28" s="80" ph="1"/>
      <c r="Z28" s="200"/>
      <c r="AA28" s="201"/>
      <c r="AB28" s="201"/>
      <c r="AC28" s="201"/>
      <c r="AD28" s="201"/>
      <c r="AE28" s="202"/>
    </row>
    <row r="29" spans="1:32" ph="1">
      <c r="A29" s="61" ph="1"/>
      <c r="B29" s="206" ph="1"/>
      <c r="C29" s="139" t="s" ph="1">
        <v>44</v>
      </c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82"/>
      <c r="R29" s="63"/>
      <c r="S29" s="63"/>
      <c r="T29" s="63"/>
      <c r="U29" s="63"/>
      <c r="V29" s="63"/>
      <c r="W29" s="63"/>
      <c r="X29" s="63"/>
      <c r="Y29" s="63"/>
      <c r="Z29" s="203"/>
      <c r="AA29" s="204"/>
      <c r="AB29" s="204"/>
      <c r="AC29" s="204"/>
      <c r="AD29" s="204"/>
      <c r="AE29" s="205"/>
    </row>
    <row r="30" spans="1:32" ph="1">
      <c r="D30" s="83" ph="1"/>
      <c r="Z30" s="53" t="s" ph="1">
        <v>23</v>
      </c>
      <c r="AE30" s="84" ph="1"/>
    </row>
    <row r="31" spans="1:32" ht="28.2" ph="1">
      <c r="A31" s="53"/>
      <c r="B31" s="189" t="s" ph="1">
        <v>23</v>
      </c>
      <c r="C31" s="190" ph="1"/>
      <c r="D31" s="167" t="s" ph="1">
        <v>3</v>
      </c>
      <c r="E31" s="168" ph="1"/>
      <c r="F31" s="169" ph="1"/>
      <c r="G31" s="193" ph="1"/>
      <c r="H31" s="168" ph="1"/>
      <c r="I31" s="169" ph="1"/>
      <c r="J31" s="167" ph="1"/>
      <c r="K31" s="168" ph="1"/>
      <c r="L31" s="169" ph="1"/>
      <c r="M31" s="167" ph="1"/>
      <c r="N31" s="168" ph="1"/>
      <c r="O31" s="169" ph="1"/>
      <c r="P31" s="167" ph="1"/>
      <c r="Q31" s="168"/>
      <c r="R31" s="169"/>
      <c r="S31" s="167" ph="1"/>
      <c r="T31" s="168"/>
      <c r="U31" s="169"/>
      <c r="V31" s="167" ph="1"/>
      <c r="W31" s="168" ph="1"/>
      <c r="X31" s="169" ph="1"/>
      <c r="Y31" s="167" ph="1"/>
      <c r="Z31" s="168" ph="1"/>
      <c r="AA31" s="169" ph="1"/>
      <c r="AB31" s="170"/>
      <c r="AC31" s="171"/>
      <c r="AD31" s="171"/>
      <c r="AE31" s="172"/>
    </row>
    <row r="32" spans="1:32" ph="1">
      <c r="A32" s="53"/>
      <c r="B32" s="191" ph="1"/>
      <c r="C32" s="192" ph="1"/>
      <c r="D32" s="85" t="s" ph="1">
        <v>0</v>
      </c>
      <c r="E32" s="139" t="s" ph="1">
        <v>1</v>
      </c>
      <c r="F32" s="138" t="s" ph="1">
        <v>28</v>
      </c>
      <c r="G32" s="86" t="s" ph="1">
        <v>0</v>
      </c>
      <c r="H32" s="139" t="s" ph="1">
        <v>1</v>
      </c>
      <c r="I32" s="138" t="s" ph="1">
        <v>28</v>
      </c>
      <c r="J32" s="86" t="s" ph="1">
        <v>0</v>
      </c>
      <c r="K32" s="139" t="s" ph="1">
        <v>1</v>
      </c>
      <c r="L32" s="138" t="s" ph="1">
        <v>28</v>
      </c>
      <c r="M32" s="86" t="s" ph="1">
        <v>0</v>
      </c>
      <c r="N32" s="139" t="s" ph="1">
        <v>1</v>
      </c>
      <c r="O32" s="138" t="s" ph="1">
        <v>28</v>
      </c>
      <c r="P32" s="86" t="s" ph="1">
        <v>0</v>
      </c>
      <c r="Q32" s="87" t="s" ph="1">
        <v>1</v>
      </c>
      <c r="R32" s="88" t="s" ph="1">
        <v>28</v>
      </c>
      <c r="S32" s="86" t="s" ph="1">
        <v>0</v>
      </c>
      <c r="T32" s="139" t="s" ph="1">
        <v>1</v>
      </c>
      <c r="U32" s="88" t="s" ph="1">
        <v>28</v>
      </c>
      <c r="V32" s="86" t="s" ph="1">
        <v>0</v>
      </c>
      <c r="W32" s="139" t="s" ph="1">
        <v>1</v>
      </c>
      <c r="X32" s="88" t="s" ph="1">
        <v>28</v>
      </c>
      <c r="Y32" s="89" t="s" ph="1">
        <v>0</v>
      </c>
      <c r="Z32" s="139" t="s" ph="1">
        <v>1</v>
      </c>
      <c r="AA32" s="138" t="s" ph="1">
        <v>28</v>
      </c>
      <c r="AB32" s="86" t="s" ph="1">
        <v>38</v>
      </c>
      <c r="AC32" s="139" t="s" ph="1">
        <v>37</v>
      </c>
      <c r="AD32" s="173" t="s" ph="1">
        <v>36</v>
      </c>
      <c r="AE32" s="174"/>
    </row>
    <row r="33" spans="1:31" ph="1">
      <c r="A33" s="53"/>
      <c r="B33" s="175" t="s" ph="1">
        <v>46</v>
      </c>
      <c r="C33" s="176" ph="1"/>
      <c r="D33" s="155" ph="1">
        <f>O10+P10</f>
        <v>407444.18588599999</v>
      </c>
      <c r="E33" s="155" ph="1">
        <f>H10+I10+J10+K10</f>
        <v>84916.645112130005</v>
      </c>
      <c r="F33" s="179" ph="1">
        <f>L10+N10</f>
        <v>107852.414856</v>
      </c>
      <c r="G33" s="181" ph="1">
        <v>0</v>
      </c>
      <c r="H33" s="155" ph="1">
        <v>0</v>
      </c>
      <c r="I33" s="159" ph="1">
        <v>0</v>
      </c>
      <c r="J33" s="163" ph="1">
        <v>0</v>
      </c>
      <c r="K33" s="155" ph="1">
        <v>0</v>
      </c>
      <c r="L33" s="165" ph="1">
        <v>0</v>
      </c>
      <c r="M33" s="163" ph="1">
        <v>0</v>
      </c>
      <c r="N33" s="155" ph="1">
        <v>0</v>
      </c>
      <c r="O33" s="159" ph="1">
        <f>G19</f>
        <v>0</v>
      </c>
      <c r="P33" s="163" ph="1">
        <v>0</v>
      </c>
      <c r="Q33" s="155" ph="1">
        <v>0</v>
      </c>
      <c r="R33" s="159" ph="1">
        <v>0</v>
      </c>
      <c r="S33" s="163" ph="1">
        <v>0</v>
      </c>
      <c r="T33" s="155" ph="1">
        <v>0</v>
      </c>
      <c r="U33" s="144" ph="1">
        <v>0</v>
      </c>
      <c r="V33" s="157" ph="1">
        <v>0</v>
      </c>
      <c r="W33" s="157" ph="1">
        <v>0</v>
      </c>
      <c r="X33" s="159" ph="1">
        <v>0</v>
      </c>
      <c r="Y33" s="161" ph="1">
        <v>0</v>
      </c>
      <c r="Z33" s="142" ph="1">
        <v>0</v>
      </c>
      <c r="AA33" s="144" ph="1">
        <v>0</v>
      </c>
      <c r="AB33" s="146" ph="1">
        <v>0</v>
      </c>
      <c r="AC33" s="148" ph="1">
        <v>0</v>
      </c>
      <c r="AD33" s="150" ph="1">
        <v>0</v>
      </c>
      <c r="AE33" s="151"/>
    </row>
    <row r="34" spans="1:31" ph="1">
      <c r="A34" s="53"/>
      <c r="B34" s="177" ph="1"/>
      <c r="C34" s="178" ph="1"/>
      <c r="D34" s="156" ph="1"/>
      <c r="E34" s="156" ph="1"/>
      <c r="F34" s="180" ph="1"/>
      <c r="G34" s="182" ph="1"/>
      <c r="H34" s="156" ph="1"/>
      <c r="I34" s="160" ph="1"/>
      <c r="J34" s="164" ph="1"/>
      <c r="K34" s="156" ph="1"/>
      <c r="L34" s="166" ph="1"/>
      <c r="M34" s="164" ph="1"/>
      <c r="N34" s="156" ph="1"/>
      <c r="O34" s="160" ph="1"/>
      <c r="P34" s="164" ph="1"/>
      <c r="Q34" s="156" ph="1"/>
      <c r="R34" s="160" ph="1"/>
      <c r="S34" s="164" ph="1"/>
      <c r="T34" s="156"/>
      <c r="U34" s="145"/>
      <c r="V34" s="158" ph="1"/>
      <c r="W34" s="158" ph="1"/>
      <c r="X34" s="160" ph="1"/>
      <c r="Y34" s="162" ph="1"/>
      <c r="Z34" s="143" ph="1"/>
      <c r="AA34" s="145" ph="1"/>
      <c r="AB34" s="147"/>
      <c r="AC34" s="149"/>
      <c r="AD34" s="152"/>
      <c r="AE34" s="153"/>
    </row>
    <row r="35" spans="1:31" ph="1">
      <c r="A35" s="53"/>
      <c r="AC35" s="154" t="s" ph="1">
        <v>52</v>
      </c>
      <c r="AD35" s="154"/>
      <c r="AE35" s="154"/>
    </row>
    <row r="36" spans="1:31" ht="28.2" ph="1">
      <c r="A36" s="53"/>
      <c r="B36" s="92" t="s" ph="1">
        <v>47</v>
      </c>
      <c r="I36" s="140" t="s" ph="1">
        <v>48</v>
      </c>
      <c r="J36" s="140" ph="1"/>
      <c r="K36" s="90" ph="1"/>
      <c r="P36" s="90" ph="1"/>
      <c r="R36" s="140" t="s" ph="1">
        <v>49</v>
      </c>
      <c r="S36" s="140" ph="1"/>
      <c r="Y36" s="91" ph="1"/>
      <c r="Z36" s="137" t="s" ph="1">
        <v>50</v>
      </c>
      <c r="AA36" s="137" ph="1"/>
      <c r="AB36" s="141" t="s" ph="1">
        <v>53</v>
      </c>
      <c r="AC36" s="141" ph="1"/>
      <c r="AD36" s="141" ph="1"/>
      <c r="AE36" s="141" ph="1"/>
    </row>
    <row r="37" spans="1:31" s="137" customFormat="1" ph="1">
      <c r="A37" s="53" ph="1"/>
      <c r="B37" s="53" ph="1"/>
      <c r="C37" s="53" ph="1"/>
      <c r="D37" s="53" ph="1"/>
      <c r="E37" s="53" ph="1"/>
      <c r="F37" s="53" ph="1"/>
      <c r="G37" s="53" ph="1"/>
      <c r="H37" s="53" ph="1"/>
      <c r="I37" s="53" ph="1"/>
      <c r="J37" s="53" ph="1"/>
      <c r="K37" s="53" ph="1"/>
      <c r="L37" s="53" ph="1"/>
      <c r="M37" s="53" ph="1"/>
      <c r="N37" s="53" ph="1"/>
      <c r="O37" s="53" ph="1"/>
      <c r="P37" s="53" ph="1"/>
      <c r="Q37" s="53" ph="1"/>
      <c r="R37" s="53" ph="1"/>
      <c r="S37" s="53" ph="1"/>
      <c r="T37" s="53" ph="1"/>
      <c r="U37" s="53" ph="1"/>
      <c r="V37" s="53" ph="1"/>
      <c r="W37" s="53" ph="1"/>
      <c r="X37" s="53" ph="1"/>
      <c r="Y37" s="53" ph="1"/>
      <c r="Z37" s="53" ph="1"/>
      <c r="AA37" s="53" ph="1"/>
      <c r="AB37" s="53" ph="1"/>
      <c r="AC37" s="53" ph="1"/>
      <c r="AD37" s="53" ph="1"/>
      <c r="AE37" s="53" ph="1"/>
    </row>
    <row r="38" spans="1:31" ph="1">
      <c r="AE38" s="53" ph="1"/>
    </row>
    <row r="42" spans="1:31" ph="1"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64"/>
    </row>
    <row r="43" spans="1:31" ph="1"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64"/>
    </row>
    <row r="44" spans="1:31" ph="1"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64"/>
    </row>
    <row r="45" spans="1:31" ph="1"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64"/>
    </row>
    <row r="46" spans="1:31" ph="1"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64"/>
    </row>
    <row r="47" spans="1:31" ph="1"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64"/>
    </row>
    <row r="48" spans="1:31" ph="1"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64"/>
    </row>
    <row r="49" spans="16:31" ph="1"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64"/>
    </row>
    <row r="50" spans="16:31" ph="1"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64"/>
    </row>
    <row r="51" spans="16:31" ph="1"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64"/>
    </row>
    <row r="52" spans="16:31" ph="1"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64"/>
    </row>
    <row r="53" spans="16:31" ph="1">
      <c r="R53" s="53"/>
      <c r="S53" s="53"/>
      <c r="T53" s="53"/>
      <c r="U53" s="53"/>
      <c r="W53" s="53"/>
      <c r="X53" s="53"/>
      <c r="Y53" s="53"/>
      <c r="Z53" s="53"/>
      <c r="AA53" s="53"/>
      <c r="AB53" s="53"/>
      <c r="AC53" s="53"/>
      <c r="AD53" s="53"/>
    </row>
    <row r="54" spans="16:31" ph="1">
      <c r="R54" s="53"/>
      <c r="S54" s="53"/>
      <c r="T54" s="53"/>
      <c r="U54" s="53"/>
      <c r="W54" s="53"/>
      <c r="X54" s="53"/>
      <c r="Y54" s="53"/>
      <c r="Z54" s="53"/>
      <c r="AA54" s="53"/>
      <c r="AC54" s="53"/>
      <c r="AD54" s="53"/>
    </row>
    <row r="55" spans="16:31" ph="1">
      <c r="R55" s="53"/>
      <c r="S55" s="53"/>
      <c r="T55" s="53"/>
      <c r="U55" s="53"/>
      <c r="V55" s="53"/>
      <c r="W55" s="53"/>
      <c r="X55" s="53"/>
      <c r="Z55" s="53"/>
      <c r="AC55" s="53"/>
      <c r="AD55" s="53"/>
      <c r="AE55" s="64"/>
    </row>
    <row r="56" spans="16:31" ph="1">
      <c r="R56" s="53"/>
      <c r="S56" s="53"/>
      <c r="T56" s="53"/>
      <c r="U56" s="53"/>
      <c r="V56" s="53"/>
      <c r="W56" s="53"/>
      <c r="X56" s="53"/>
      <c r="Z56" s="53"/>
      <c r="AA56" s="53"/>
      <c r="AB56" s="53"/>
      <c r="AC56" s="53"/>
      <c r="AD56" s="53"/>
      <c r="AE56" s="64"/>
    </row>
    <row r="57" spans="16:31" ph="1">
      <c r="R57" s="53"/>
      <c r="S57" s="53"/>
      <c r="T57" s="53"/>
      <c r="U57" s="53"/>
      <c r="V57" s="53"/>
      <c r="W57" s="53"/>
      <c r="AA57" s="53"/>
      <c r="AB57" s="53"/>
      <c r="AC57" s="53"/>
      <c r="AD57" s="53"/>
      <c r="AE57" s="64"/>
    </row>
    <row r="58" spans="16:31" ph="1">
      <c r="P58" s="53"/>
    </row>
    <row r="59" spans="16:31" ph="1">
      <c r="V59" s="53"/>
    </row>
    <row r="60" spans="16:31" ph="1">
      <c r="R60" s="53"/>
      <c r="S60" s="53"/>
      <c r="T60" s="53"/>
    </row>
    <row r="223" spans="18:18" ph="1">
      <c r="R223" s="100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9 D11">
    <cfRule type="expression" dxfId="145" priority="146">
      <formula>ABS(D$7-D$10)&gt;=1000</formula>
    </cfRule>
  </conditionalFormatting>
  <conditionalFormatting sqref="E4 E9 E11">
    <cfRule type="expression" dxfId="144" priority="145">
      <formula>ABS(E$7-E$10)&gt;=1000</formula>
    </cfRule>
  </conditionalFormatting>
  <conditionalFormatting sqref="F4 F9 F11">
    <cfRule type="expression" dxfId="143" priority="144">
      <formula>ABS(F$7-F$10)&gt;=1000</formula>
    </cfRule>
  </conditionalFormatting>
  <conditionalFormatting sqref="G4 G9 G11">
    <cfRule type="expression" dxfId="142" priority="143">
      <formula>ABS(G$7-G$10)&gt;=1000</formula>
    </cfRule>
  </conditionalFormatting>
  <conditionalFormatting sqref="H4:K4 H11">
    <cfRule type="expression" dxfId="141" priority="142">
      <formula>ABS(H$7-H$10)&gt;=1000</formula>
    </cfRule>
  </conditionalFormatting>
  <conditionalFormatting sqref="I8 I11">
    <cfRule type="expression" dxfId="140" priority="141">
      <formula>ABS(I$7-I$10)&gt;=1000</formula>
    </cfRule>
  </conditionalFormatting>
  <conditionalFormatting sqref="J11">
    <cfRule type="expression" dxfId="139" priority="140">
      <formula>ABS(J$7-J$10)&gt;=1000</formula>
    </cfRule>
  </conditionalFormatting>
  <conditionalFormatting sqref="K11">
    <cfRule type="expression" dxfId="138" priority="139">
      <formula>ABS(K$7-K$10)&gt;=1000</formula>
    </cfRule>
  </conditionalFormatting>
  <conditionalFormatting sqref="L4:L5 M4:N4 Q4:S4 L11">
    <cfRule type="expression" dxfId="137" priority="138">
      <formula>ABS(L$7-L$10)&gt;=1000</formula>
    </cfRule>
  </conditionalFormatting>
  <conditionalFormatting sqref="M11">
    <cfRule type="expression" dxfId="136" priority="137">
      <formula>ABS(M$7-M$10)&gt;=1000</formula>
    </cfRule>
  </conditionalFormatting>
  <conditionalFormatting sqref="N11">
    <cfRule type="expression" dxfId="135" priority="136">
      <formula>ABS(N$7-N$10)&gt;=1000</formula>
    </cfRule>
  </conditionalFormatting>
  <conditionalFormatting sqref="Q5:Q11">
    <cfRule type="expression" dxfId="134" priority="135">
      <formula>ABS(Q$7-Q$10)&gt;=1000</formula>
    </cfRule>
  </conditionalFormatting>
  <conditionalFormatting sqref="R5:R11">
    <cfRule type="expression" dxfId="133" priority="134">
      <formula>ABS(R$7-R$10)&gt;=1000</formula>
    </cfRule>
  </conditionalFormatting>
  <conditionalFormatting sqref="S5:S11">
    <cfRule type="expression" dxfId="132" priority="133">
      <formula>ABS(S$7-S$10)&gt;=1000</formula>
    </cfRule>
  </conditionalFormatting>
  <conditionalFormatting sqref="T4:T9 T11">
    <cfRule type="expression" dxfId="131" priority="132">
      <formula>ABS(T$7-T$10)&gt;=1000</formula>
    </cfRule>
  </conditionalFormatting>
  <conditionalFormatting sqref="U4:U9 U11">
    <cfRule type="expression" dxfId="130" priority="131">
      <formula>ABS(U$7-U$10)&gt;=1000</formula>
    </cfRule>
  </conditionalFormatting>
  <conditionalFormatting sqref="V4:V9 V11">
    <cfRule type="expression" dxfId="129" priority="130">
      <formula>ABS(V$7-V$10)&gt;=1000</formula>
    </cfRule>
  </conditionalFormatting>
  <conditionalFormatting sqref="W4:W9 W11">
    <cfRule type="expression" dxfId="128" priority="129">
      <formula>ABS(W$7-W$10)&gt;=1000</formula>
    </cfRule>
  </conditionalFormatting>
  <conditionalFormatting sqref="X4:X9 X11">
    <cfRule type="expression" dxfId="127" priority="128">
      <formula>ABS(X$7-X$10)&gt;=1000</formula>
    </cfRule>
  </conditionalFormatting>
  <conditionalFormatting sqref="Y4:Y9 Y11">
    <cfRule type="expression" dxfId="126" priority="127">
      <formula>ABS(Y$7-Y$10)&gt;=1000</formula>
    </cfRule>
  </conditionalFormatting>
  <conditionalFormatting sqref="Z4:Z11">
    <cfRule type="expression" dxfId="125" priority="126">
      <formula>ABS(Z$7-Z$10)&gt;=1000</formula>
    </cfRule>
  </conditionalFormatting>
  <conditionalFormatting sqref="AA4:AA11">
    <cfRule type="expression" dxfId="124" priority="125">
      <formula>ABS(AA$7-AA$10)&gt;=1000</formula>
    </cfRule>
  </conditionalFormatting>
  <conditionalFormatting sqref="AB4:AB11">
    <cfRule type="expression" dxfId="123" priority="124">
      <formula>ABS(AB$7-AB$10)&gt;=1000</formula>
    </cfRule>
  </conditionalFormatting>
  <conditionalFormatting sqref="AC4 AC6:AC11">
    <cfRule type="expression" dxfId="122" priority="123">
      <formula>ABS(AC$7-AC$10)&gt;=1000</formula>
    </cfRule>
  </conditionalFormatting>
  <conditionalFormatting sqref="AD4 AD6:AD11">
    <cfRule type="expression" dxfId="121" priority="122">
      <formula>ABS(AD$7-AD$10)&gt;=1000</formula>
    </cfRule>
  </conditionalFormatting>
  <conditionalFormatting sqref="AE4 AE6:AE11">
    <cfRule type="expression" dxfId="120" priority="121">
      <formula>ABS(AE$7-AE$10)&gt;=1000</formula>
    </cfRule>
  </conditionalFormatting>
  <conditionalFormatting sqref="D13:D20 I14:I20 I12">
    <cfRule type="expression" dxfId="119" priority="120">
      <formula>ABS(D$16-D$19)&gt;=1000</formula>
    </cfRule>
  </conditionalFormatting>
  <conditionalFormatting sqref="E13:E20">
    <cfRule type="expression" dxfId="118" priority="119">
      <formula>ABS(E$16-E$19)&gt;=1000</formula>
    </cfRule>
  </conditionalFormatting>
  <conditionalFormatting sqref="F13 F15:F20">
    <cfRule type="expression" dxfId="117" priority="118">
      <formula>ABS(F$16-F$19)&gt;=1000</formula>
    </cfRule>
  </conditionalFormatting>
  <conditionalFormatting sqref="G13:G20">
    <cfRule type="expression" dxfId="116" priority="117">
      <formula>ABS(G$16-G$19)&gt;=1000</formula>
    </cfRule>
  </conditionalFormatting>
  <conditionalFormatting sqref="H13 H15:H20">
    <cfRule type="expression" dxfId="115" priority="116">
      <formula>ABS(H$16-H$19)&gt;=1000</formula>
    </cfRule>
  </conditionalFormatting>
  <conditionalFormatting sqref="J13:J20">
    <cfRule type="expression" dxfId="114" priority="115">
      <formula>ABS(J$16-J$19)&gt;=1000</formula>
    </cfRule>
  </conditionalFormatting>
  <conditionalFormatting sqref="L13:L20">
    <cfRule type="expression" dxfId="113" priority="114">
      <formula>ABS(L$16-L$19)&gt;=1000</formula>
    </cfRule>
  </conditionalFormatting>
  <conditionalFormatting sqref="M13 M15 M17:M18 M20">
    <cfRule type="expression" dxfId="112" priority="113">
      <formula>ABS(M$16-M$19)&gt;=1000</formula>
    </cfRule>
  </conditionalFormatting>
  <conditionalFormatting sqref="N13:N20">
    <cfRule type="expression" dxfId="111" priority="112">
      <formula>ABS(N$16-N$19)&gt;=1000</formula>
    </cfRule>
  </conditionalFormatting>
  <conditionalFormatting sqref="O13:O20">
    <cfRule type="expression" dxfId="110" priority="111">
      <formula>ABS(O$16-O$19)&gt;=1000</formula>
    </cfRule>
  </conditionalFormatting>
  <conditionalFormatting sqref="P13:P20">
    <cfRule type="expression" dxfId="109" priority="110">
      <formula>ABS(P$16-P$19)&gt;=1000</formula>
    </cfRule>
  </conditionalFormatting>
  <conditionalFormatting sqref="Q13 Q15:Q20">
    <cfRule type="expression" dxfId="108" priority="109">
      <formula>ABS(Q$16-Q$19)&gt;=1000</formula>
    </cfRule>
  </conditionalFormatting>
  <conditionalFormatting sqref="R13:R20">
    <cfRule type="expression" dxfId="107" priority="108">
      <formula>ABS(R$16-R$19)&gt;=1000</formula>
    </cfRule>
  </conditionalFormatting>
  <conditionalFormatting sqref="S13:S20">
    <cfRule type="expression" dxfId="106" priority="107">
      <formula>ABS(S$16-S$19)&gt;=1000</formula>
    </cfRule>
  </conditionalFormatting>
  <conditionalFormatting sqref="T13:T20">
    <cfRule type="expression" dxfId="105" priority="106">
      <formula>ABS(T$16-T$19)&gt;=1000</formula>
    </cfRule>
  </conditionalFormatting>
  <conditionalFormatting sqref="U13:U20">
    <cfRule type="expression" dxfId="104" priority="105">
      <formula>ABS(U$16-U$19)&gt;=1000</formula>
    </cfRule>
  </conditionalFormatting>
  <conditionalFormatting sqref="V13:V20">
    <cfRule type="expression" dxfId="103" priority="104">
      <formula>ABS(V$16-V$19)&gt;=1000</formula>
    </cfRule>
  </conditionalFormatting>
  <conditionalFormatting sqref="W13 W20 W15:W18">
    <cfRule type="expression" dxfId="102" priority="103">
      <formula>ABS(W$16-W$19)&gt;=1000</formula>
    </cfRule>
  </conditionalFormatting>
  <conditionalFormatting sqref="X13 X15:X20 Y19">
    <cfRule type="expression" dxfId="101" priority="102">
      <formula>ABS(X$16-X$19)&gt;=1000</formula>
    </cfRule>
  </conditionalFormatting>
  <conditionalFormatting sqref="Y13 Y15:Y18 Y20">
    <cfRule type="expression" dxfId="100" priority="101">
      <formula>ABS(Y$16-Y$19)&gt;=1000</formula>
    </cfRule>
  </conditionalFormatting>
  <conditionalFormatting sqref="Z13:Z20">
    <cfRule type="expression" dxfId="99" priority="100">
      <formula>ABS(Z$16-Z$19)&gt;=1000</formula>
    </cfRule>
  </conditionalFormatting>
  <conditionalFormatting sqref="AA13:AA20">
    <cfRule type="expression" dxfId="98" priority="99">
      <formula>ABS(AA$16-AA$19)&gt;=1000</formula>
    </cfRule>
  </conditionalFormatting>
  <conditionalFormatting sqref="AB13 AB15:AB20">
    <cfRule type="expression" dxfId="97" priority="98">
      <formula>ABS(AB$16-AB$19)&gt;=1000</formula>
    </cfRule>
  </conditionalFormatting>
  <conditionalFormatting sqref="AC13 AC15:AC20">
    <cfRule type="expression" dxfId="96" priority="97">
      <formula>ABS(AC$16-AC$19)&gt;=1000</formula>
    </cfRule>
  </conditionalFormatting>
  <conditionalFormatting sqref="AD13:AD20">
    <cfRule type="expression" dxfId="95" priority="96">
      <formula>ABS(AD$16-AD$19)&gt;=1000</formula>
    </cfRule>
  </conditionalFormatting>
  <conditionalFormatting sqref="AE13:AE20">
    <cfRule type="expression" dxfId="94" priority="95">
      <formula>ABS(AE$16-AE$19)&gt;=1000</formula>
    </cfRule>
  </conditionalFormatting>
  <conditionalFormatting sqref="D22:D29">
    <cfRule type="expression" dxfId="93" priority="94">
      <formula>ABS(D$25-D$28)&gt;=1000</formula>
    </cfRule>
  </conditionalFormatting>
  <conditionalFormatting sqref="E22:E29">
    <cfRule type="expression" dxfId="92" priority="93">
      <formula>ABS(E$25-E$28)&gt;=1000</formula>
    </cfRule>
  </conditionalFormatting>
  <conditionalFormatting sqref="F22:F29">
    <cfRule type="expression" dxfId="91" priority="92">
      <formula>ABS(F$25-F$28)&gt;=1000</formula>
    </cfRule>
  </conditionalFormatting>
  <conditionalFormatting sqref="G22:G29">
    <cfRule type="expression" dxfId="90" priority="91">
      <formula>ABS(G$25-G$28)&gt;=1000</formula>
    </cfRule>
  </conditionalFormatting>
  <conditionalFormatting sqref="H22:H29">
    <cfRule type="expression" dxfId="89" priority="90">
      <formula>ABS(H$25-H$28)&gt;=1000</formula>
    </cfRule>
  </conditionalFormatting>
  <conditionalFormatting sqref="I22 I24:I29">
    <cfRule type="expression" dxfId="88" priority="89">
      <formula>ABS(I$25-I$28)&gt;=1000</formula>
    </cfRule>
  </conditionalFormatting>
  <conditionalFormatting sqref="J22:J29 K22">
    <cfRule type="expression" dxfId="87" priority="88">
      <formula>ABS(J$25-J$28)&gt;=1000</formula>
    </cfRule>
  </conditionalFormatting>
  <conditionalFormatting sqref="K23:K29 L25 L28">
    <cfRule type="expression" dxfId="86" priority="87">
      <formula>ABS(K$25-K$28)&gt;=1000</formula>
    </cfRule>
  </conditionalFormatting>
  <conditionalFormatting sqref="L22 L26:L27 L29 L24">
    <cfRule type="expression" dxfId="85" priority="86">
      <formula>ABS(L$25-L$28)&gt;=1000</formula>
    </cfRule>
  </conditionalFormatting>
  <conditionalFormatting sqref="M22:M29">
    <cfRule type="expression" dxfId="84" priority="85">
      <formula>ABS(M$25-M$28)&gt;=1000</formula>
    </cfRule>
  </conditionalFormatting>
  <conditionalFormatting sqref="N22:N29">
    <cfRule type="expression" dxfId="83" priority="84">
      <formula>ABS(N$25-N$28)&gt;=1000</formula>
    </cfRule>
  </conditionalFormatting>
  <conditionalFormatting sqref="O22:O29">
    <cfRule type="expression" dxfId="82" priority="83">
      <formula>ABS(O$25-O$28)&gt;=1000</formula>
    </cfRule>
  </conditionalFormatting>
  <conditionalFormatting sqref="P22:P29">
    <cfRule type="expression" dxfId="81" priority="82">
      <formula>ABS(P$25-P$28)&gt;=1000</formula>
    </cfRule>
  </conditionalFormatting>
  <conditionalFormatting sqref="Q22:Q29">
    <cfRule type="expression" dxfId="80" priority="81">
      <formula>ABS(Q$25-Q$28)&gt;=1000</formula>
    </cfRule>
  </conditionalFormatting>
  <conditionalFormatting sqref="R22:R29">
    <cfRule type="expression" dxfId="79" priority="80">
      <formula>ABS(R$25-R$28)&gt;=1000</formula>
    </cfRule>
  </conditionalFormatting>
  <conditionalFormatting sqref="S22:S29">
    <cfRule type="expression" dxfId="78" priority="79">
      <formula>ABS(S$25-S$28)&gt;=1000</formula>
    </cfRule>
  </conditionalFormatting>
  <conditionalFormatting sqref="T22:T29">
    <cfRule type="expression" dxfId="77" priority="78">
      <formula>ABS(T$25-T$28)&gt;=1000</formula>
    </cfRule>
  </conditionalFormatting>
  <conditionalFormatting sqref="U22:U29">
    <cfRule type="expression" dxfId="76" priority="77">
      <formula>ABS(U$25-U$28)&gt;=1000</formula>
    </cfRule>
  </conditionalFormatting>
  <conditionalFormatting sqref="V22:V29">
    <cfRule type="expression" dxfId="75" priority="76">
      <formula>ABS(V$25-V$28)&gt;=1000</formula>
    </cfRule>
  </conditionalFormatting>
  <conditionalFormatting sqref="W22:W29">
    <cfRule type="expression" dxfId="74" priority="75">
      <formula>ABS(W$25-W$28)&gt;=1000</formula>
    </cfRule>
  </conditionalFormatting>
  <conditionalFormatting sqref="X22:X29">
    <cfRule type="expression" dxfId="73" priority="74">
      <formula>ABS(X$25-X$28)&gt;=1000</formula>
    </cfRule>
  </conditionalFormatting>
  <conditionalFormatting sqref="Y22:Y29">
    <cfRule type="expression" dxfId="72" priority="73">
      <formula>ABS(Y$25-Y$28)&gt;=1000</formula>
    </cfRule>
  </conditionalFormatting>
  <conditionalFormatting sqref="I23">
    <cfRule type="expression" dxfId="71" priority="72">
      <formula>ABS(I$25-I$28)&gt;=1000</formula>
    </cfRule>
  </conditionalFormatting>
  <conditionalFormatting sqref="Q14">
    <cfRule type="expression" dxfId="70" priority="71">
      <formula>ABS(Q$16-Q$19)&gt;=1000</formula>
    </cfRule>
  </conditionalFormatting>
  <conditionalFormatting sqref="W14">
    <cfRule type="expression" dxfId="69" priority="70">
      <formula>ABS(W$16-W$19)&gt;=1000</formula>
    </cfRule>
  </conditionalFormatting>
  <conditionalFormatting sqref="X14">
    <cfRule type="expression" dxfId="68" priority="69">
      <formula>ABS(X$16-X$19)&gt;=1000</formula>
    </cfRule>
  </conditionalFormatting>
  <conditionalFormatting sqref="T10:Y10">
    <cfRule type="expression" dxfId="67" priority="68">
      <formula>ABS(T$7-T$10)&gt;=1000</formula>
    </cfRule>
  </conditionalFormatting>
  <conditionalFormatting sqref="W19">
    <cfRule type="expression" dxfId="66" priority="67">
      <formula>ABS(W$16-W$19)&gt;=1000</formula>
    </cfRule>
  </conditionalFormatting>
  <conditionalFormatting sqref="AC5">
    <cfRule type="expression" dxfId="65" priority="66">
      <formula>ABS(AC$7-AC$10)&gt;=1000</formula>
    </cfRule>
  </conditionalFormatting>
  <conditionalFormatting sqref="M14">
    <cfRule type="expression" dxfId="64" priority="65">
      <formula>ABS(M$16-M$19)&gt;=1000</formula>
    </cfRule>
  </conditionalFormatting>
  <conditionalFormatting sqref="M16">
    <cfRule type="expression" dxfId="63" priority="64">
      <formula>ABS(M$16-M$19)&gt;=1000</formula>
    </cfRule>
  </conditionalFormatting>
  <conditionalFormatting sqref="M19">
    <cfRule type="expression" dxfId="62" priority="63">
      <formula>ABS(M$16-M$19)&gt;=1000</formula>
    </cfRule>
  </conditionalFormatting>
  <conditionalFormatting sqref="K13:K20">
    <cfRule type="expression" dxfId="61" priority="62">
      <formula>ABS(K$16-K$19)&gt;=1000</formula>
    </cfRule>
  </conditionalFormatting>
  <conditionalFormatting sqref="AB14:AC14">
    <cfRule type="expression" dxfId="60" priority="61">
      <formula>ABS(AB$16-AB$19)&gt;=1000</formula>
    </cfRule>
  </conditionalFormatting>
  <conditionalFormatting sqref="M5">
    <cfRule type="expression" dxfId="59" priority="60">
      <formula>ABS(M$7-M$10)&gt;=1000</formula>
    </cfRule>
  </conditionalFormatting>
  <conditionalFormatting sqref="N5">
    <cfRule type="expression" dxfId="58" priority="59">
      <formula>ABS(N$7-N$10)&gt;=1000</formula>
    </cfRule>
  </conditionalFormatting>
  <conditionalFormatting sqref="L23">
    <cfRule type="expression" dxfId="57" priority="58">
      <formula>ABS(L$25-L$28)&gt;=1000</formula>
    </cfRule>
  </conditionalFormatting>
  <conditionalFormatting sqref="Y14">
    <cfRule type="expression" dxfId="56" priority="57">
      <formula>ABS(Y$16-Y$19)&gt;=1000</formula>
    </cfRule>
  </conditionalFormatting>
  <conditionalFormatting sqref="F14">
    <cfRule type="expression" dxfId="55" priority="56">
      <formula>ABS(F$16-F$19)&gt;=1000</formula>
    </cfRule>
  </conditionalFormatting>
  <conditionalFormatting sqref="H14">
    <cfRule type="expression" dxfId="54" priority="55">
      <formula>ABS(H$16-H$19)&gt;=1000</formula>
    </cfRule>
  </conditionalFormatting>
  <conditionalFormatting sqref="AD5">
    <cfRule type="expression" dxfId="53" priority="54">
      <formula>ABS(AD$7-AD$10)&gt;=1000</formula>
    </cfRule>
  </conditionalFormatting>
  <conditionalFormatting sqref="AE5">
    <cfRule type="expression" dxfId="52" priority="53">
      <formula>ABS(AE$7-AE$10)&gt;=1000</formula>
    </cfRule>
  </conditionalFormatting>
  <conditionalFormatting sqref="D5">
    <cfRule type="expression" dxfId="51" priority="52">
      <formula>ABS(D$7-D$10)&gt;=1000</formula>
    </cfRule>
  </conditionalFormatting>
  <conditionalFormatting sqref="E5:G5">
    <cfRule type="expression" dxfId="50" priority="51">
      <formula>ABS(E$7-E$10)&gt;=1000</formula>
    </cfRule>
  </conditionalFormatting>
  <conditionalFormatting sqref="H5">
    <cfRule type="expression" dxfId="49" priority="50">
      <formula>ABS(H$7-H$10)&gt;=1000</formula>
    </cfRule>
  </conditionalFormatting>
  <conditionalFormatting sqref="O4:P4">
    <cfRule type="expression" dxfId="48" priority="49">
      <formula>ABS(O$7-O$10)&gt;=1000</formula>
    </cfRule>
  </conditionalFormatting>
  <conditionalFormatting sqref="O5 O11">
    <cfRule type="expression" dxfId="47" priority="48">
      <formula>ABS(O$7-O$10)&gt;=1000</formula>
    </cfRule>
  </conditionalFormatting>
  <conditionalFormatting sqref="P11">
    <cfRule type="expression" dxfId="46" priority="47">
      <formula>ABS(P$7-P$10)&gt;=1000</formula>
    </cfRule>
  </conditionalFormatting>
  <conditionalFormatting sqref="J5">
    <cfRule type="expression" dxfId="45" priority="46">
      <formula>ABS(J$7-J$10)&gt;=1000</formula>
    </cfRule>
  </conditionalFormatting>
  <conditionalFormatting sqref="K5">
    <cfRule type="expression" dxfId="44" priority="45">
      <formula>ABS(K$7-K$10)&gt;=1000</formula>
    </cfRule>
  </conditionalFormatting>
  <conditionalFormatting sqref="I6">
    <cfRule type="expression" dxfId="43" priority="44">
      <formula>ABS(I$7-I$10)&gt;=1000</formula>
    </cfRule>
  </conditionalFormatting>
  <conditionalFormatting sqref="H9">
    <cfRule type="expression" dxfId="42" priority="43">
      <formula>ABS(H$7-H$10)&gt;=1000</formula>
    </cfRule>
  </conditionalFormatting>
  <conditionalFormatting sqref="J9">
    <cfRule type="expression" dxfId="41" priority="42">
      <formula>ABS(J$7-J$10)&gt;=1000</formula>
    </cfRule>
  </conditionalFormatting>
  <conditionalFormatting sqref="K9">
    <cfRule type="expression" dxfId="40" priority="41">
      <formula>ABS(K$7-K$10)&gt;=1000</formula>
    </cfRule>
  </conditionalFormatting>
  <conditionalFormatting sqref="L9">
    <cfRule type="expression" dxfId="39" priority="40">
      <formula>ABS(L$7-L$10)&gt;=1000</formula>
    </cfRule>
  </conditionalFormatting>
  <conditionalFormatting sqref="M9">
    <cfRule type="expression" dxfId="38" priority="39">
      <formula>ABS(M$7-M$10)&gt;=1000</formula>
    </cfRule>
  </conditionalFormatting>
  <conditionalFormatting sqref="N9">
    <cfRule type="expression" dxfId="37" priority="38">
      <formula>ABS(N$7-N$10)&gt;=1000</formula>
    </cfRule>
  </conditionalFormatting>
  <conditionalFormatting sqref="O9">
    <cfRule type="expression" dxfId="36" priority="37">
      <formula>ABS(O$7-O$10)&gt;=1000</formula>
    </cfRule>
  </conditionalFormatting>
  <conditionalFormatting sqref="P9">
    <cfRule type="expression" dxfId="35" priority="36">
      <formula>ABS(P$7-P$10)&gt;=1000</formula>
    </cfRule>
  </conditionalFormatting>
  <conditionalFormatting sqref="I9">
    <cfRule type="expression" dxfId="34" priority="35">
      <formula>ABS(I$7-I$10)&gt;=1000</formula>
    </cfRule>
  </conditionalFormatting>
  <conditionalFormatting sqref="P5">
    <cfRule type="expression" dxfId="33" priority="34">
      <formula>ABS(P$7-P$10)&gt;=1000</formula>
    </cfRule>
  </conditionalFormatting>
  <conditionalFormatting sqref="I5">
    <cfRule type="expression" dxfId="32" priority="33">
      <formula>ABS(I$7-I$10)&gt;=1000</formula>
    </cfRule>
  </conditionalFormatting>
  <conditionalFormatting sqref="D6 D8">
    <cfRule type="expression" dxfId="31" priority="32">
      <formula>ABS(D$7-D$10)&gt;=1000</formula>
    </cfRule>
  </conditionalFormatting>
  <conditionalFormatting sqref="E6 E8">
    <cfRule type="expression" dxfId="30" priority="31">
      <formula>ABS(E$7-E$10)&gt;=1000</formula>
    </cfRule>
  </conditionalFormatting>
  <conditionalFormatting sqref="F6 F8">
    <cfRule type="expression" dxfId="29" priority="30">
      <formula>ABS(F$7-F$10)&gt;=1000</formula>
    </cfRule>
  </conditionalFormatting>
  <conditionalFormatting sqref="G6 G8">
    <cfRule type="expression" dxfId="28" priority="29">
      <formula>ABS(G$7-G$10)&gt;=1000</formula>
    </cfRule>
  </conditionalFormatting>
  <conditionalFormatting sqref="H8">
    <cfRule type="expression" dxfId="27" priority="28">
      <formula>ABS(H$7-H$10)&gt;=1000</formula>
    </cfRule>
  </conditionalFormatting>
  <conditionalFormatting sqref="H6">
    <cfRule type="expression" dxfId="26" priority="27">
      <formula>ABS(H$7-H$10)&gt;=1000</formula>
    </cfRule>
  </conditionalFormatting>
  <conditionalFormatting sqref="J8">
    <cfRule type="expression" dxfId="25" priority="26">
      <formula>ABS(J$7-J$10)&gt;=1000</formula>
    </cfRule>
  </conditionalFormatting>
  <conditionalFormatting sqref="K8">
    <cfRule type="expression" dxfId="24" priority="25">
      <formula>ABS(K$7-K$10)&gt;=1000</formula>
    </cfRule>
  </conditionalFormatting>
  <conditionalFormatting sqref="L8">
    <cfRule type="expression" dxfId="23" priority="24">
      <formula>ABS(L$7-L$10)&gt;=1000</formula>
    </cfRule>
  </conditionalFormatting>
  <conditionalFormatting sqref="M8">
    <cfRule type="expression" dxfId="22" priority="23">
      <formula>ABS(M$7-M$10)&gt;=1000</formula>
    </cfRule>
  </conditionalFormatting>
  <conditionalFormatting sqref="N8">
    <cfRule type="expression" dxfId="21" priority="22">
      <formula>ABS(N$7-N$10)&gt;=1000</formula>
    </cfRule>
  </conditionalFormatting>
  <conditionalFormatting sqref="O8">
    <cfRule type="expression" dxfId="20" priority="21">
      <formula>ABS(O$7-O$10)&gt;=1000</formula>
    </cfRule>
  </conditionalFormatting>
  <conditionalFormatting sqref="P8">
    <cfRule type="expression" dxfId="19" priority="20">
      <formula>ABS(P$7-P$10)&gt;=1000</formula>
    </cfRule>
  </conditionalFormatting>
  <conditionalFormatting sqref="J6">
    <cfRule type="expression" dxfId="18" priority="19">
      <formula>ABS(J$7-J$10)&gt;=1000</formula>
    </cfRule>
  </conditionalFormatting>
  <conditionalFormatting sqref="K6">
    <cfRule type="expression" dxfId="17" priority="18">
      <formula>ABS(K$7-K$10)&gt;=1000</formula>
    </cfRule>
  </conditionalFormatting>
  <conditionalFormatting sqref="L6">
    <cfRule type="expression" dxfId="16" priority="17">
      <formula>ABS(L$7-L$10)&gt;=1000</formula>
    </cfRule>
  </conditionalFormatting>
  <conditionalFormatting sqref="M6">
    <cfRule type="expression" dxfId="15" priority="16">
      <formula>ABS(M$7-M$10)&gt;=1000</formula>
    </cfRule>
  </conditionalFormatting>
  <conditionalFormatting sqref="N6">
    <cfRule type="expression" dxfId="14" priority="15">
      <formula>ABS(N$7-N$10)&gt;=1000</formula>
    </cfRule>
  </conditionalFormatting>
  <conditionalFormatting sqref="O6">
    <cfRule type="expression" dxfId="13" priority="14">
      <formula>ABS(O$7-O$10)&gt;=1000</formula>
    </cfRule>
  </conditionalFormatting>
  <conditionalFormatting sqref="P6">
    <cfRule type="expression" dxfId="12" priority="13">
      <formula>ABS(P$7-P$10)&gt;=1000</formula>
    </cfRule>
  </conditionalFormatting>
  <conditionalFormatting sqref="L7">
    <cfRule type="expression" dxfId="11" priority="12">
      <formula>ABS(L$7-L$10)&gt;=1000</formula>
    </cfRule>
  </conditionalFormatting>
  <conditionalFormatting sqref="M7">
    <cfRule type="expression" dxfId="10" priority="11">
      <formula>ABS(M$7-M$10)&gt;=1000</formula>
    </cfRule>
  </conditionalFormatting>
  <conditionalFormatting sqref="O7:P7">
    <cfRule type="expression" dxfId="9" priority="10">
      <formula>ABS(O$7-O$10)&gt;=1000</formula>
    </cfRule>
  </conditionalFormatting>
  <conditionalFormatting sqref="N7">
    <cfRule type="expression" dxfId="8" priority="9">
      <formula>ABS(N$7-N$10)&gt;=1000</formula>
    </cfRule>
  </conditionalFormatting>
  <conditionalFormatting sqref="H7:K7">
    <cfRule type="expression" dxfId="7" priority="8">
      <formula>ABS(H$7-H$10)&gt;=1000</formula>
    </cfRule>
  </conditionalFormatting>
  <conditionalFormatting sqref="D7:G7">
    <cfRule type="expression" dxfId="6" priority="7">
      <formula>ABS(D$7-D$10)&gt;=1000</formula>
    </cfRule>
  </conditionalFormatting>
  <conditionalFormatting sqref="L10">
    <cfRule type="expression" dxfId="5" priority="6">
      <formula>ABS(L$7-L$10)&gt;=1000</formula>
    </cfRule>
  </conditionalFormatting>
  <conditionalFormatting sqref="M10">
    <cfRule type="expression" dxfId="4" priority="5">
      <formula>ABS(M$7-M$10)&gt;=1000</formula>
    </cfRule>
  </conditionalFormatting>
  <conditionalFormatting sqref="O10:P10">
    <cfRule type="expression" dxfId="3" priority="4">
      <formula>ABS(O$7-O$10)&gt;=1000</formula>
    </cfRule>
  </conditionalFormatting>
  <conditionalFormatting sqref="N10">
    <cfRule type="expression" dxfId="2" priority="3">
      <formula>ABS(N$7-N$10)&gt;=1000</formula>
    </cfRule>
  </conditionalFormatting>
  <conditionalFormatting sqref="H10:K10">
    <cfRule type="expression" dxfId="1" priority="2">
      <formula>ABS(H$7-H$10)&gt;=1000</formula>
    </cfRule>
  </conditionalFormatting>
  <conditionalFormatting sqref="D10:G10">
    <cfRule type="expression" dxfId="0" priority="1">
      <formula>ABS(D$7-D$10)&gt;=1000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0099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已命名的範圍</vt:lpstr>
      </vt:variant>
      <vt:variant>
        <vt:i4>12</vt:i4>
      </vt:variant>
    </vt:vector>
  </HeadingPairs>
  <TitlesOfParts>
    <vt:vector size="25" baseType="lpstr">
      <vt:lpstr>工作表1</vt:lpstr>
      <vt:lpstr>密度</vt:lpstr>
      <vt:lpstr>mm計算</vt:lpstr>
      <vt:lpstr>1.30 %計算</vt:lpstr>
      <vt:lpstr>5.29 </vt:lpstr>
      <vt:lpstr>6.30</vt:lpstr>
      <vt:lpstr>7.1</vt:lpstr>
      <vt:lpstr>7.2</vt:lpstr>
      <vt:lpstr>7.3</vt:lpstr>
      <vt:lpstr>7.6</vt:lpstr>
      <vt:lpstr>7.7</vt:lpstr>
      <vt:lpstr>7.8</vt:lpstr>
      <vt:lpstr>7.9</vt:lpstr>
      <vt:lpstr>'1.30 %計算'!Print_Area</vt:lpstr>
      <vt:lpstr>'5.29 '!Print_Area</vt:lpstr>
      <vt:lpstr>'6.30'!Print_Area</vt:lpstr>
      <vt:lpstr>'7.1'!Print_Area</vt:lpstr>
      <vt:lpstr>'7.2'!Print_Area</vt:lpstr>
      <vt:lpstr>'7.3'!Print_Area</vt:lpstr>
      <vt:lpstr>'7.6'!Print_Area</vt:lpstr>
      <vt:lpstr>'7.7'!Print_Area</vt:lpstr>
      <vt:lpstr>'7.8'!Print_Area</vt:lpstr>
      <vt:lpstr>'7.9'!Print_Area</vt:lpstr>
      <vt:lpstr>mm計算!Print_Area</vt:lpstr>
      <vt:lpstr>密度!Print_Area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C663</dc:creator>
  <cp:lastModifiedBy>50110-NB</cp:lastModifiedBy>
  <cp:lastPrinted>2026-02-26T11:26:55Z</cp:lastPrinted>
  <dcterms:created xsi:type="dcterms:W3CDTF">2006-09-16T00:00:00Z</dcterms:created>
  <dcterms:modified xsi:type="dcterms:W3CDTF">2026-07-09T08:32:40Z</dcterms:modified>
</cp:coreProperties>
</file>