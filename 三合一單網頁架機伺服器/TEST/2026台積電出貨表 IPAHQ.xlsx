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60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6.xml" ContentType="application/vnd.openxmlformats-officedocument.spreadsheetml.revisionLog+xml"/>
  <Override PartName="/xl/revisions/revisionLog117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112.xml" ContentType="application/vnd.openxmlformats-officedocument.spreadsheetml.revisionLog+xml"/>
  <Override PartName="/xl/revisions/revisionLog133.xml" ContentType="application/vnd.openxmlformats-officedocument.spreadsheetml.revisionLog+xml"/>
  <Override PartName="/xl/revisions/revisionLog138.xml" ContentType="application/vnd.openxmlformats-officedocument.spreadsheetml.revisionLog+xml"/>
  <Override PartName="/xl/revisions/revisionLog154.xml" ContentType="application/vnd.openxmlformats-officedocument.spreadsheetml.revisionLog+xml"/>
  <Override PartName="/xl/revisions/revisionLog159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107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23.xml" ContentType="application/vnd.openxmlformats-officedocument.spreadsheetml.revisionLog+xml"/>
  <Override PartName="/xl/revisions/revisionLog128.xml" ContentType="application/vnd.openxmlformats-officedocument.spreadsheetml.revisionLog+xml"/>
  <Override PartName="/xl/revisions/revisionLog144.xml" ContentType="application/vnd.openxmlformats-officedocument.spreadsheetml.revisionLog+xml"/>
  <Override PartName="/xl/revisions/revisionLog149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113.xml" ContentType="application/vnd.openxmlformats-officedocument.spreadsheetml.revisionLog+xml"/>
  <Override PartName="/xl/revisions/revisionLog118.xml" ContentType="application/vnd.openxmlformats-officedocument.spreadsheetml.revisionLog+xml"/>
  <Override PartName="/xl/revisions/revisionLog134.xml" ContentType="application/vnd.openxmlformats-officedocument.spreadsheetml.revisionLog+xml"/>
  <Override PartName="/xl/revisions/revisionLog139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150.xml" ContentType="application/vnd.openxmlformats-officedocument.spreadsheetml.revisionLog+xml"/>
  <Override PartName="/xl/revisions/revisionLog155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38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103.xml" ContentType="application/vnd.openxmlformats-officedocument.spreadsheetml.revisionLog+xml"/>
  <Override PartName="/xl/revisions/revisionLog108.xml" ContentType="application/vnd.openxmlformats-officedocument.spreadsheetml.revisionLog+xml"/>
  <Override PartName="/xl/revisions/revisionLog124.xml" ContentType="application/vnd.openxmlformats-officedocument.spreadsheetml.revisionLog+xml"/>
  <Override PartName="/xl/revisions/revisionLog12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111.xml" ContentType="application/vnd.openxmlformats-officedocument.spreadsheetml.revisionLog+xml"/>
  <Override PartName="/xl/revisions/revisionLog132.xml" ContentType="application/vnd.openxmlformats-officedocument.spreadsheetml.revisionLog+xml"/>
  <Override PartName="/xl/revisions/revisionLog140.xml" ContentType="application/vnd.openxmlformats-officedocument.spreadsheetml.revisionLog+xml"/>
  <Override PartName="/xl/revisions/revisionLog145.xml" ContentType="application/vnd.openxmlformats-officedocument.spreadsheetml.revisionLog+xml"/>
  <Override PartName="/xl/revisions/revisionLog153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114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106.xml" ContentType="application/vnd.openxmlformats-officedocument.spreadsheetml.revisionLog+xml"/>
  <Override PartName="/xl/revisions/revisionLog119.xml" ContentType="application/vnd.openxmlformats-officedocument.spreadsheetml.revisionLog+xml"/>
  <Override PartName="/xl/revisions/revisionLog12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122.xml" ContentType="application/vnd.openxmlformats-officedocument.spreadsheetml.revisionLog+xml"/>
  <Override PartName="/xl/revisions/revisionLog130.xml" ContentType="application/vnd.openxmlformats-officedocument.spreadsheetml.revisionLog+xml"/>
  <Override PartName="/xl/revisions/revisionLog135.xml" ContentType="application/vnd.openxmlformats-officedocument.spreadsheetml.revisionLog+xml"/>
  <Override PartName="/xl/revisions/revisionLog143.xml" ContentType="application/vnd.openxmlformats-officedocument.spreadsheetml.revisionLog+xml"/>
  <Override PartName="/xl/revisions/revisionLog148.xml" ContentType="application/vnd.openxmlformats-officedocument.spreadsheetml.revisionLog+xml"/>
  <Override PartName="/xl/revisions/revisionLog151.xml" ContentType="application/vnd.openxmlformats-officedocument.spreadsheetml.revisionLog+xml"/>
  <Override PartName="/xl/revisions/revisionLog156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109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4.xml" ContentType="application/vnd.openxmlformats-officedocument.spreadsheetml.revisionLog+xml"/>
  <Override PartName="/xl/revisions/revisionLog120.xml" ContentType="application/vnd.openxmlformats-officedocument.spreadsheetml.revisionLog+xml"/>
  <Override PartName="/xl/revisions/revisionLog125.xml" ContentType="application/vnd.openxmlformats-officedocument.spreadsheetml.revisionLog+xml"/>
  <Override PartName="/xl/revisions/revisionLog141.xml" ContentType="application/vnd.openxmlformats-officedocument.spreadsheetml.revisionLog+xml"/>
  <Override PartName="/xl/revisions/revisionLog146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10.xml" ContentType="application/vnd.openxmlformats-officedocument.spreadsheetml.revisionLog+xml"/>
  <Override PartName="/xl/revisions/revisionLog115.xml" ContentType="application/vnd.openxmlformats-officedocument.spreadsheetml.revisionLog+xml"/>
  <Override PartName="/xl/revisions/revisionLog131.xml" ContentType="application/vnd.openxmlformats-officedocument.spreadsheetml.revisionLog+xml"/>
  <Override PartName="/xl/revisions/revisionLog136.xml" ContentType="application/vnd.openxmlformats-officedocument.spreadsheetml.revisionLog+xml"/>
  <Override PartName="/xl/revisions/revisionLog157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152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105.xml" ContentType="application/vnd.openxmlformats-officedocument.spreadsheetml.revisionLog+xml"/>
  <Override PartName="/xl/revisions/revisionLog126.xml" ContentType="application/vnd.openxmlformats-officedocument.spreadsheetml.revisionLog+xml"/>
  <Override PartName="/xl/revisions/revisionLog147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21.xml" ContentType="application/vnd.openxmlformats-officedocument.spreadsheetml.revisionLog+xml"/>
  <Override PartName="/xl/revisions/revisionLog142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116.xml" ContentType="application/vnd.openxmlformats-officedocument.spreadsheetml.revisionLog+xml"/>
  <Override PartName="/xl/revisions/revisionLog137.xml" ContentType="application/vnd.openxmlformats-officedocument.spreadsheetml.revisionLog+xml"/>
  <Override PartName="/xl/revisions/revisionLog15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業務部\業務部營業課\台積電\台積IPAHQ 液位 &amp;  出貨表\"/>
    </mc:Choice>
  </mc:AlternateContent>
  <bookViews>
    <workbookView xWindow="0" yWindow="0" windowWidth="23040" windowHeight="8365" activeTab="1"/>
  </bookViews>
  <sheets>
    <sheet name="IPAHQ(TANK)-竹科" sheetId="1" r:id="rId1"/>
    <sheet name="IPAHQ(TANK)-中科" sheetId="2" r:id="rId2"/>
    <sheet name="IPAHQ(TANK)-12P3" sheetId="3" r:id="rId3"/>
    <sheet name="IPAHQ(TANK)-南科" sheetId="4" r:id="rId4"/>
  </sheets>
  <definedNames>
    <definedName name="_xlnm._FilterDatabase" localSheetId="2" hidden="1">'IPAHQ(TANK)-12P3'!$A$2:$T$22</definedName>
    <definedName name="_xlnm._FilterDatabase" localSheetId="1" hidden="1">'IPAHQ(TANK)-中科'!$A$2:$S$904</definedName>
    <definedName name="_xlnm._FilterDatabase" localSheetId="0" hidden="1">'IPAHQ(TANK)-竹科'!$A$2:$T$181</definedName>
    <definedName name="_xlnm._FilterDatabase" localSheetId="3" hidden="1">'IPAHQ(TANK)-南科'!$A$2:$S$192</definedName>
    <definedName name="_xlnm.Print_Area" localSheetId="2">'IPAHQ(TANK)-12P3'!$A$1:$Q$2</definedName>
    <definedName name="_xlnm.Print_Area" localSheetId="1">'IPAHQ(TANK)-中科'!$A$1:$P$2</definedName>
    <definedName name="_xlnm.Print_Area" localSheetId="0">'IPAHQ(TANK)-竹科'!$A$1:$Q$2</definedName>
    <definedName name="_xlnm.Print_Area" localSheetId="3">'IPAHQ(TANK)-南科'!$A$1:$P$2</definedName>
    <definedName name="Z_168FB4DF_DC2C_49C4_9F27_AAA245F768B9_.wvu.FilterData" localSheetId="2" hidden="1">'IPAHQ(TANK)-12P3'!$A$2:$T$2</definedName>
    <definedName name="Z_168FB4DF_DC2C_49C4_9F27_AAA245F768B9_.wvu.FilterData" localSheetId="1" hidden="1">'IPAHQ(TANK)-中科'!$A$2:$S$2</definedName>
    <definedName name="Z_168FB4DF_DC2C_49C4_9F27_AAA245F768B9_.wvu.FilterData" localSheetId="0" hidden="1">'IPAHQ(TANK)-竹科'!$A$2:$T$2</definedName>
    <definedName name="Z_168FB4DF_DC2C_49C4_9F27_AAA245F768B9_.wvu.FilterData" localSheetId="3" hidden="1">'IPAHQ(TANK)-南科'!$A$2:$S$2</definedName>
    <definedName name="Z_23CED6F5_6EE7_4C94_BD9F_C44B1917FE2D_.wvu.FilterData" localSheetId="1" hidden="1">'IPAHQ(TANK)-中科'!$A$2:$S$904</definedName>
    <definedName name="Z_34E441CB_6330_48F0_B097_A4EDB111149A_.wvu.FilterData" localSheetId="2" hidden="1">'IPAHQ(TANK)-12P3'!$A$2:$T$2</definedName>
    <definedName name="Z_34E441CB_6330_48F0_B097_A4EDB111149A_.wvu.FilterData" localSheetId="1" hidden="1">'IPAHQ(TANK)-中科'!$A$2:$S$2</definedName>
    <definedName name="Z_34E441CB_6330_48F0_B097_A4EDB111149A_.wvu.FilterData" localSheetId="0" hidden="1">'IPAHQ(TANK)-竹科'!$A$2:$T$2</definedName>
    <definedName name="Z_34E441CB_6330_48F0_B097_A4EDB111149A_.wvu.FilterData" localSheetId="3" hidden="1">'IPAHQ(TANK)-南科'!$A$2:$S$2</definedName>
    <definedName name="Z_34E441CB_6330_48F0_B097_A4EDB111149A_.wvu.PrintArea" localSheetId="2" hidden="1">'IPAHQ(TANK)-12P3'!$A$1:$Q$2</definedName>
    <definedName name="Z_34E441CB_6330_48F0_B097_A4EDB111149A_.wvu.PrintArea" localSheetId="1" hidden="1">'IPAHQ(TANK)-中科'!$A$1:$P$2</definedName>
    <definedName name="Z_34E441CB_6330_48F0_B097_A4EDB111149A_.wvu.PrintArea" localSheetId="0" hidden="1">'IPAHQ(TANK)-竹科'!$A$1:$Q$2</definedName>
    <definedName name="Z_34E441CB_6330_48F0_B097_A4EDB111149A_.wvu.PrintArea" localSheetId="3" hidden="1">'IPAHQ(TANK)-南科'!$A$1:$P$2</definedName>
    <definedName name="Z_3F35F349_D2F7_4B85_BE24_820307F90332_.wvu.FilterData" localSheetId="1" hidden="1">'IPAHQ(TANK)-中科'!$A$2:$S$904</definedName>
    <definedName name="Z_4146620F_8879_4A56_9D36_F4EA2B31528B_.wvu.FilterData" localSheetId="2" hidden="1">'IPAHQ(TANK)-12P3'!$A$2:$T$2</definedName>
    <definedName name="Z_4146620F_8879_4A56_9D36_F4EA2B31528B_.wvu.FilterData" localSheetId="1" hidden="1">'IPAHQ(TANK)-中科'!$A$2:$S$904</definedName>
    <definedName name="Z_4146620F_8879_4A56_9D36_F4EA2B31528B_.wvu.FilterData" localSheetId="0" hidden="1">'IPAHQ(TANK)-竹科'!$A$2:$T$2</definedName>
    <definedName name="Z_4146620F_8879_4A56_9D36_F4EA2B31528B_.wvu.FilterData" localSheetId="3" hidden="1">'IPAHQ(TANK)-南科'!$A$2:$S$192</definedName>
    <definedName name="Z_5AFECFD9_E8A5_469F_BA7F_E625784BB00E_.wvu.Cols" localSheetId="2" hidden="1">'IPAHQ(TANK)-12P3'!$A:$A</definedName>
    <definedName name="Z_5AFECFD9_E8A5_469F_BA7F_E625784BB00E_.wvu.Cols" localSheetId="1" hidden="1">'IPAHQ(TANK)-中科'!$A:$A</definedName>
    <definedName name="Z_5AFECFD9_E8A5_469F_BA7F_E625784BB00E_.wvu.Cols" localSheetId="0" hidden="1">'IPAHQ(TANK)-竹科'!$A:$A</definedName>
    <definedName name="Z_5AFECFD9_E8A5_469F_BA7F_E625784BB00E_.wvu.Cols" localSheetId="3" hidden="1">'IPAHQ(TANK)-南科'!$A:$A</definedName>
    <definedName name="Z_5AFECFD9_E8A5_469F_BA7F_E625784BB00E_.wvu.FilterData" localSheetId="2" hidden="1">'IPAHQ(TANK)-12P3'!$A$2:$T$2</definedName>
    <definedName name="Z_5AFECFD9_E8A5_469F_BA7F_E625784BB00E_.wvu.FilterData" localSheetId="1" hidden="1">'IPAHQ(TANK)-中科'!$A$2:$S$2</definedName>
    <definedName name="Z_5AFECFD9_E8A5_469F_BA7F_E625784BB00E_.wvu.FilterData" localSheetId="0" hidden="1">'IPAHQ(TANK)-竹科'!$A$2:$T$2</definedName>
    <definedName name="Z_5AFECFD9_E8A5_469F_BA7F_E625784BB00E_.wvu.FilterData" localSheetId="3" hidden="1">'IPAHQ(TANK)-南科'!$A$2:$S$2</definedName>
    <definedName name="Z_5AFECFD9_E8A5_469F_BA7F_E625784BB00E_.wvu.PrintArea" localSheetId="2" hidden="1">'IPAHQ(TANK)-12P3'!$A$1:$Q$2</definedName>
    <definedName name="Z_5AFECFD9_E8A5_469F_BA7F_E625784BB00E_.wvu.PrintArea" localSheetId="1" hidden="1">'IPAHQ(TANK)-中科'!$A$1:$P$2</definedName>
    <definedName name="Z_5AFECFD9_E8A5_469F_BA7F_E625784BB00E_.wvu.PrintArea" localSheetId="0" hidden="1">'IPAHQ(TANK)-竹科'!$A$1:$Q$2</definedName>
    <definedName name="Z_5AFECFD9_E8A5_469F_BA7F_E625784BB00E_.wvu.PrintArea" localSheetId="3" hidden="1">'IPAHQ(TANK)-南科'!$A$1:$P$2</definedName>
    <definedName name="Z_672D5AB9_BC7D_4150_A9A0_388212000AF9_.wvu.FilterData" localSheetId="2" hidden="1">'IPAHQ(TANK)-12P3'!$A$2:$T$2</definedName>
    <definedName name="Z_672D5AB9_BC7D_4150_A9A0_388212000AF9_.wvu.FilterData" localSheetId="1" hidden="1">'IPAHQ(TANK)-中科'!$A$2:$S$2</definedName>
    <definedName name="Z_672D5AB9_BC7D_4150_A9A0_388212000AF9_.wvu.FilterData" localSheetId="0" hidden="1">'IPAHQ(TANK)-竹科'!$A$2:$T$2</definedName>
    <definedName name="Z_672D5AB9_BC7D_4150_A9A0_388212000AF9_.wvu.FilterData" localSheetId="3" hidden="1">'IPAHQ(TANK)-南科'!$A$2:$S$2</definedName>
    <definedName name="Z_672D5AB9_BC7D_4150_A9A0_388212000AF9_.wvu.PrintArea" localSheetId="2" hidden="1">'IPAHQ(TANK)-12P3'!$A$1:$Q$2</definedName>
    <definedName name="Z_672D5AB9_BC7D_4150_A9A0_388212000AF9_.wvu.PrintArea" localSheetId="1" hidden="1">'IPAHQ(TANK)-中科'!$A$1:$P$2</definedName>
    <definedName name="Z_672D5AB9_BC7D_4150_A9A0_388212000AF9_.wvu.PrintArea" localSheetId="0" hidden="1">'IPAHQ(TANK)-竹科'!$A$1:$Q$2</definedName>
    <definedName name="Z_672D5AB9_BC7D_4150_A9A0_388212000AF9_.wvu.PrintArea" localSheetId="3" hidden="1">'IPAHQ(TANK)-南科'!$A$1:$P$2</definedName>
    <definedName name="Z_6B0BFE4A_020C_4DA3_8C4A_766EBDCD9ED9_.wvu.FilterData" localSheetId="2" hidden="1">'IPAHQ(TANK)-12P3'!$A$2:$T$22</definedName>
    <definedName name="Z_6B0BFE4A_020C_4DA3_8C4A_766EBDCD9ED9_.wvu.FilterData" localSheetId="1" hidden="1">'IPAHQ(TANK)-中科'!$A$2:$S$904</definedName>
    <definedName name="Z_6B0BFE4A_020C_4DA3_8C4A_766EBDCD9ED9_.wvu.FilterData" localSheetId="0" hidden="1">'IPAHQ(TANK)-竹科'!$A$2:$T$181</definedName>
    <definedName name="Z_6B0BFE4A_020C_4DA3_8C4A_766EBDCD9ED9_.wvu.FilterData" localSheetId="3" hidden="1">'IPAHQ(TANK)-南科'!$A$2:$S$192</definedName>
    <definedName name="Z_72A1B7F5_9678_471A_A21F_564D163832E5_.wvu.FilterData" localSheetId="2" hidden="1">'IPAHQ(TANK)-12P3'!$A$2:$T$2</definedName>
    <definedName name="Z_72A1B7F5_9678_471A_A21F_564D163832E5_.wvu.FilterData" localSheetId="1" hidden="1">'IPAHQ(TANK)-中科'!$A$2:$S$2</definedName>
    <definedName name="Z_72A1B7F5_9678_471A_A21F_564D163832E5_.wvu.FilterData" localSheetId="0" hidden="1">'IPAHQ(TANK)-竹科'!$A$2:$T$2</definedName>
    <definedName name="Z_72A1B7F5_9678_471A_A21F_564D163832E5_.wvu.FilterData" localSheetId="3" hidden="1">'IPAHQ(TANK)-南科'!$A$2:$S$2</definedName>
    <definedName name="Z_7B6A6A28_312B_491C_893A_F727367EB4B2_.wvu.FilterData" localSheetId="1" hidden="1">'IPAHQ(TANK)-中科'!$A$2:$S$904</definedName>
    <definedName name="Z_8578D927_8BDE_4C99_A2DB_3E44DFA36FF2_.wvu.Cols" localSheetId="2" hidden="1">'IPAHQ(TANK)-12P3'!$A:$A</definedName>
    <definedName name="Z_8578D927_8BDE_4C99_A2DB_3E44DFA36FF2_.wvu.Cols" localSheetId="1" hidden="1">'IPAHQ(TANK)-中科'!$A:$A</definedName>
    <definedName name="Z_8578D927_8BDE_4C99_A2DB_3E44DFA36FF2_.wvu.Cols" localSheetId="0" hidden="1">'IPAHQ(TANK)-竹科'!$A:$A</definedName>
    <definedName name="Z_8578D927_8BDE_4C99_A2DB_3E44DFA36FF2_.wvu.Cols" localSheetId="3" hidden="1">'IPAHQ(TANK)-南科'!$A:$A</definedName>
    <definedName name="Z_8578D927_8BDE_4C99_A2DB_3E44DFA36FF2_.wvu.FilterData" localSheetId="2" hidden="1">'IPAHQ(TANK)-12P3'!$A$2:$T$22</definedName>
    <definedName name="Z_8578D927_8BDE_4C99_A2DB_3E44DFA36FF2_.wvu.FilterData" localSheetId="1" hidden="1">'IPAHQ(TANK)-中科'!$A$2:$S$904</definedName>
    <definedName name="Z_8578D927_8BDE_4C99_A2DB_3E44DFA36FF2_.wvu.FilterData" localSheetId="0" hidden="1">'IPAHQ(TANK)-竹科'!$A$2:$T$181</definedName>
    <definedName name="Z_8578D927_8BDE_4C99_A2DB_3E44DFA36FF2_.wvu.FilterData" localSheetId="3" hidden="1">'IPAHQ(TANK)-南科'!$A$2:$S$192</definedName>
    <definedName name="Z_8578D927_8BDE_4C99_A2DB_3E44DFA36FF2_.wvu.PrintArea" localSheetId="2" hidden="1">'IPAHQ(TANK)-12P3'!$A$1:$Q$2</definedName>
    <definedName name="Z_8578D927_8BDE_4C99_A2DB_3E44DFA36FF2_.wvu.PrintArea" localSheetId="1" hidden="1">'IPAHQ(TANK)-中科'!$A$1:$P$2</definedName>
    <definedName name="Z_8578D927_8BDE_4C99_A2DB_3E44DFA36FF2_.wvu.PrintArea" localSheetId="0" hidden="1">'IPAHQ(TANK)-竹科'!$A$1:$Q$2</definedName>
    <definedName name="Z_8578D927_8BDE_4C99_A2DB_3E44DFA36FF2_.wvu.PrintArea" localSheetId="3" hidden="1">'IPAHQ(TANK)-南科'!$A$1:$P$2</definedName>
    <definedName name="Z_A275D6FB_0E3B_464A_90A9_796607D25D76_.wvu.FilterData" localSheetId="1" hidden="1">'IPAHQ(TANK)-中科'!$A$2:$S$904</definedName>
    <definedName name="Z_A275D6FB_0E3B_464A_90A9_796607D25D76_.wvu.FilterData" localSheetId="3" hidden="1">'IPAHQ(TANK)-南科'!$A$2:$S$192</definedName>
    <definedName name="Z_BA200749_4826_4644_89F2_E6EC3C9D0259_.wvu.FilterData" localSheetId="1" hidden="1">'IPAHQ(TANK)-中科'!$A$2:$S$904</definedName>
    <definedName name="Z_BDF5DBEA_BE12_4A40_BFBB_1F0364ACDC9C_.wvu.FilterData" localSheetId="2" hidden="1">'IPAHQ(TANK)-12P3'!$A$2:$T$22</definedName>
    <definedName name="Z_BDF5DBEA_BE12_4A40_BFBB_1F0364ACDC9C_.wvu.FilterData" localSheetId="1" hidden="1">'IPAHQ(TANK)-中科'!$A$2:$S$904</definedName>
    <definedName name="Z_BDF5DBEA_BE12_4A40_BFBB_1F0364ACDC9C_.wvu.FilterData" localSheetId="0" hidden="1">'IPAHQ(TANK)-竹科'!$A$2:$T$181</definedName>
    <definedName name="Z_BDF5DBEA_BE12_4A40_BFBB_1F0364ACDC9C_.wvu.FilterData" localSheetId="3" hidden="1">'IPAHQ(TANK)-南科'!$A$2:$S$192</definedName>
    <definedName name="Z_C385E223_9746_41C3_BE02_1903DFE9D1AF_.wvu.FilterData" localSheetId="2" hidden="1">'IPAHQ(TANK)-12P3'!$A$2:$T$2</definedName>
    <definedName name="Z_C385E223_9746_41C3_BE02_1903DFE9D1AF_.wvu.FilterData" localSheetId="1" hidden="1">'IPAHQ(TANK)-中科'!$A$2:$S$2</definedName>
    <definedName name="Z_C385E223_9746_41C3_BE02_1903DFE9D1AF_.wvu.FilterData" localSheetId="0" hidden="1">'IPAHQ(TANK)-竹科'!$A$2:$T$2</definedName>
    <definedName name="Z_C385E223_9746_41C3_BE02_1903DFE9D1AF_.wvu.FilterData" localSheetId="3" hidden="1">'IPAHQ(TANK)-南科'!$A$2:$S$2</definedName>
    <definedName name="Z_D108A94F_96BE_4B2E_9408_7CE19DC55699_.wvu.Cols" localSheetId="2" hidden="1">'IPAHQ(TANK)-12P3'!$A:$A</definedName>
    <definedName name="Z_D108A94F_96BE_4B2E_9408_7CE19DC55699_.wvu.Cols" localSheetId="1" hidden="1">'IPAHQ(TANK)-中科'!$A:$A</definedName>
    <definedName name="Z_D108A94F_96BE_4B2E_9408_7CE19DC55699_.wvu.Cols" localSheetId="0" hidden="1">'IPAHQ(TANK)-竹科'!$A:$A</definedName>
    <definedName name="Z_D108A94F_96BE_4B2E_9408_7CE19DC55699_.wvu.Cols" localSheetId="3" hidden="1">'IPAHQ(TANK)-南科'!$A:$A</definedName>
    <definedName name="Z_D108A94F_96BE_4B2E_9408_7CE19DC55699_.wvu.FilterData" localSheetId="2" hidden="1">'IPAHQ(TANK)-12P3'!$A$2:$T$22</definedName>
    <definedName name="Z_D108A94F_96BE_4B2E_9408_7CE19DC55699_.wvu.FilterData" localSheetId="1" hidden="1">'IPAHQ(TANK)-中科'!$A$2:$S$904</definedName>
    <definedName name="Z_D108A94F_96BE_4B2E_9408_7CE19DC55699_.wvu.FilterData" localSheetId="0" hidden="1">'IPAHQ(TANK)-竹科'!$A$2:$T$181</definedName>
    <definedName name="Z_D108A94F_96BE_4B2E_9408_7CE19DC55699_.wvu.FilterData" localSheetId="3" hidden="1">'IPAHQ(TANK)-南科'!$A$2:$S$192</definedName>
    <definedName name="Z_D108A94F_96BE_4B2E_9408_7CE19DC55699_.wvu.PrintArea" localSheetId="2" hidden="1">'IPAHQ(TANK)-12P3'!$A$1:$Q$2</definedName>
    <definedName name="Z_D108A94F_96BE_4B2E_9408_7CE19DC55699_.wvu.PrintArea" localSheetId="1" hidden="1">'IPAHQ(TANK)-中科'!$A$1:$P$2</definedName>
    <definedName name="Z_D108A94F_96BE_4B2E_9408_7CE19DC55699_.wvu.PrintArea" localSheetId="0" hidden="1">'IPAHQ(TANK)-竹科'!$A$1:$Q$2</definedName>
    <definedName name="Z_D108A94F_96BE_4B2E_9408_7CE19DC55699_.wvu.PrintArea" localSheetId="3" hidden="1">'IPAHQ(TANK)-南科'!$A$1:$P$2</definedName>
    <definedName name="Z_D3FF3127_C992_4EDF_A3E4_A5C14CDC162A_.wvu.FilterData" localSheetId="1" hidden="1">'IPAHQ(TANK)-中科'!$A$2:$S$744</definedName>
    <definedName name="Z_D3FF3127_C992_4EDF_A3E4_A5C14CDC162A_.wvu.FilterData" localSheetId="3" hidden="1">'IPAHQ(TANK)-南科'!$A$2:$S$192</definedName>
    <definedName name="Z_D9FD064C_9E84_406D_8576_0AF62BC96CFB_.wvu.FilterData" localSheetId="1" hidden="1">'IPAHQ(TANK)-中科'!$A$2:$S$904</definedName>
    <definedName name="Z_E61BF7BF_A2FF_45AB_B8EF_985573EF52EC_.wvu.FilterData" localSheetId="2" hidden="1">'IPAHQ(TANK)-12P3'!$A$2:$T$2</definedName>
    <definedName name="Z_E61BF7BF_A2FF_45AB_B8EF_985573EF52EC_.wvu.FilterData" localSheetId="1" hidden="1">'IPAHQ(TANK)-中科'!$A$2:$S$2</definedName>
    <definedName name="Z_E61BF7BF_A2FF_45AB_B8EF_985573EF52EC_.wvu.FilterData" localSheetId="0" hidden="1">'IPAHQ(TANK)-竹科'!$A$2:$T$2</definedName>
    <definedName name="Z_E61BF7BF_A2FF_45AB_B8EF_985573EF52EC_.wvu.FilterData" localSheetId="3" hidden="1">'IPAHQ(TANK)-南科'!$A$2:$S$2</definedName>
    <definedName name="Z_F261CC3E_BBAF_4421_92E0_E43167440BFB_.wvu.Cols" localSheetId="2" hidden="1">'IPAHQ(TANK)-12P3'!$A:$A</definedName>
    <definedName name="Z_F261CC3E_BBAF_4421_92E0_E43167440BFB_.wvu.Cols" localSheetId="1" hidden="1">'IPAHQ(TANK)-中科'!$A:$A</definedName>
    <definedName name="Z_F261CC3E_BBAF_4421_92E0_E43167440BFB_.wvu.Cols" localSheetId="0" hidden="1">'IPAHQ(TANK)-竹科'!$A:$A</definedName>
    <definedName name="Z_F261CC3E_BBAF_4421_92E0_E43167440BFB_.wvu.Cols" localSheetId="3" hidden="1">'IPAHQ(TANK)-南科'!$A:$A</definedName>
    <definedName name="Z_F261CC3E_BBAF_4421_92E0_E43167440BFB_.wvu.FilterData" localSheetId="2" hidden="1">'IPAHQ(TANK)-12P3'!$A$2:$T$22</definedName>
    <definedName name="Z_F261CC3E_BBAF_4421_92E0_E43167440BFB_.wvu.FilterData" localSheetId="1" hidden="1">'IPAHQ(TANK)-中科'!$A$2:$S$904</definedName>
    <definedName name="Z_F261CC3E_BBAF_4421_92E0_E43167440BFB_.wvu.FilterData" localSheetId="0" hidden="1">'IPAHQ(TANK)-竹科'!$A$2:$T$181</definedName>
    <definedName name="Z_F261CC3E_BBAF_4421_92E0_E43167440BFB_.wvu.FilterData" localSheetId="3" hidden="1">'IPAHQ(TANK)-南科'!$A$2:$S$192</definedName>
    <definedName name="Z_F261CC3E_BBAF_4421_92E0_E43167440BFB_.wvu.PrintArea" localSheetId="2" hidden="1">'IPAHQ(TANK)-12P3'!$A$1:$Q$2</definedName>
    <definedName name="Z_F261CC3E_BBAF_4421_92E0_E43167440BFB_.wvu.PrintArea" localSheetId="1" hidden="1">'IPAHQ(TANK)-中科'!$A$1:$P$2</definedName>
    <definedName name="Z_F261CC3E_BBAF_4421_92E0_E43167440BFB_.wvu.PrintArea" localSheetId="0" hidden="1">'IPAHQ(TANK)-竹科'!$A$1:$Q$2</definedName>
    <definedName name="Z_F261CC3E_BBAF_4421_92E0_E43167440BFB_.wvu.PrintArea" localSheetId="3" hidden="1">'IPAHQ(TANK)-南科'!$A$1:$P$2</definedName>
    <definedName name="Z_F607B316_DD6D_4909_B40C_8E7F3D6FB597_.wvu.Cols" localSheetId="2" hidden="1">'IPAHQ(TANK)-12P3'!$A:$A</definedName>
    <definedName name="Z_F607B316_DD6D_4909_B40C_8E7F3D6FB597_.wvu.Cols" localSheetId="1" hidden="1">'IPAHQ(TANK)-中科'!$A:$A</definedName>
    <definedName name="Z_F607B316_DD6D_4909_B40C_8E7F3D6FB597_.wvu.Cols" localSheetId="0" hidden="1">'IPAHQ(TANK)-竹科'!$A:$A</definedName>
    <definedName name="Z_F607B316_DD6D_4909_B40C_8E7F3D6FB597_.wvu.Cols" localSheetId="3" hidden="1">'IPAHQ(TANK)-南科'!$A:$A</definedName>
    <definedName name="Z_F607B316_DD6D_4909_B40C_8E7F3D6FB597_.wvu.FilterData" localSheetId="2" hidden="1">'IPAHQ(TANK)-12P3'!$A$2:$T$2</definedName>
    <definedName name="Z_F607B316_DD6D_4909_B40C_8E7F3D6FB597_.wvu.FilterData" localSheetId="1" hidden="1">'IPAHQ(TANK)-中科'!$A$2:$S$2</definedName>
    <definedName name="Z_F607B316_DD6D_4909_B40C_8E7F3D6FB597_.wvu.FilterData" localSheetId="0" hidden="1">'IPAHQ(TANK)-竹科'!$A$2:$T$2</definedName>
    <definedName name="Z_F607B316_DD6D_4909_B40C_8E7F3D6FB597_.wvu.FilterData" localSheetId="3" hidden="1">'IPAHQ(TANK)-南科'!$A$2:$S$2</definedName>
    <definedName name="Z_F607B316_DD6D_4909_B40C_8E7F3D6FB597_.wvu.PrintArea" localSheetId="2" hidden="1">'IPAHQ(TANK)-12P3'!$A$1:$Q$2</definedName>
    <definedName name="Z_F607B316_DD6D_4909_B40C_8E7F3D6FB597_.wvu.PrintArea" localSheetId="1" hidden="1">'IPAHQ(TANK)-中科'!$A$1:$P$2</definedName>
    <definedName name="Z_F607B316_DD6D_4909_B40C_8E7F3D6FB597_.wvu.PrintArea" localSheetId="0" hidden="1">'IPAHQ(TANK)-竹科'!$A$1:$Q$2</definedName>
    <definedName name="Z_F607B316_DD6D_4909_B40C_8E7F3D6FB597_.wvu.PrintArea" localSheetId="3" hidden="1">'IPAHQ(TANK)-南科'!$A$1:$P$2</definedName>
  </definedNames>
  <calcPr calcId="152511"/>
  <customWorkbookViews>
    <customWorkbookView name="C600-PC - 個人檢視畫面" guid="{F261CC3E-BBAF-4421-92E0-E43167440BFB}" mergeInterval="0" personalView="1" maximized="1" xWindow="-9" yWindow="-9" windowWidth="1938" windowHeight="1044" activeSheetId="2"/>
    <customWorkbookView name="USER - 個人檢視畫面" guid="{D108A94F-96BE-4B2E-9408-7CE19DC55699}" mergeInterval="0" personalView="1" maximized="1" xWindow="-9" yWindow="-9" windowWidth="1938" windowHeight="1038" activeSheetId="2"/>
    <customWorkbookView name="C776-PC - 個人檢視畫面" guid="{8578D927-8BDE-4C99-A2DB-3E44DFA36FF2}" mergeInterval="0" personalView="1" maximized="1" xWindow="-9" yWindow="-9" windowWidth="1938" windowHeight="1051" activeSheetId="2"/>
  </customWorkbookViews>
</workbook>
</file>

<file path=xl/calcChain.xml><?xml version="1.0" encoding="utf-8"?>
<calcChain xmlns="http://schemas.openxmlformats.org/spreadsheetml/2006/main">
  <c r="K770" i="2" l="1"/>
  <c r="K767" i="2" l="1"/>
  <c r="D778" i="2" l="1"/>
  <c r="D802" i="2"/>
  <c r="D801" i="2"/>
  <c r="D798" i="2"/>
  <c r="D797" i="2"/>
  <c r="D794" i="2"/>
  <c r="D791" i="2"/>
  <c r="D790" i="2"/>
  <c r="D787" i="2"/>
  <c r="D784" i="2"/>
  <c r="D783" i="2"/>
  <c r="D780" i="2"/>
  <c r="D779" i="2"/>
  <c r="D800" i="2"/>
  <c r="D799" i="2"/>
  <c r="D796" i="2"/>
  <c r="D795" i="2"/>
  <c r="D793" i="2"/>
  <c r="D792" i="2"/>
  <c r="D789" i="2"/>
  <c r="D788" i="2"/>
  <c r="D786" i="2"/>
  <c r="D785" i="2"/>
  <c r="D782" i="2"/>
  <c r="D781" i="2"/>
  <c r="D777" i="2"/>
  <c r="D776" i="2"/>
  <c r="K766" i="2" l="1"/>
  <c r="K765" i="2"/>
  <c r="K764" i="2"/>
  <c r="K759" i="2"/>
  <c r="K763" i="2"/>
  <c r="K762" i="2"/>
  <c r="K758" i="2"/>
  <c r="K800" i="2" l="1"/>
  <c r="K799" i="2"/>
  <c r="K796" i="2"/>
  <c r="K795" i="2"/>
  <c r="K793" i="2"/>
  <c r="K792" i="2"/>
  <c r="K789" i="2"/>
  <c r="K788" i="2"/>
  <c r="K786" i="2"/>
  <c r="K785" i="2"/>
  <c r="K782" i="2"/>
  <c r="K781" i="2"/>
  <c r="K778" i="2"/>
  <c r="K777" i="2"/>
  <c r="K802" i="2"/>
  <c r="K801" i="2"/>
  <c r="K798" i="2"/>
  <c r="K797" i="2"/>
  <c r="K794" i="2"/>
  <c r="K791" i="2"/>
  <c r="K790" i="2"/>
  <c r="K787" i="2"/>
  <c r="K784" i="2"/>
  <c r="K783" i="2"/>
  <c r="K780" i="2"/>
  <c r="K779" i="2"/>
  <c r="K776" i="2"/>
  <c r="K172" i="4"/>
  <c r="D172" i="4"/>
  <c r="K171" i="4"/>
  <c r="D171" i="4"/>
  <c r="D168" i="4" l="1"/>
  <c r="O168" i="4"/>
  <c r="P168" i="4" s="1"/>
  <c r="K168" i="4"/>
  <c r="K761" i="2" l="1"/>
  <c r="K757" i="2"/>
  <c r="K756" i="2"/>
  <c r="K752" i="2"/>
  <c r="K167" i="4"/>
  <c r="O804" i="2" l="1"/>
  <c r="P804" i="2" s="1"/>
  <c r="O803" i="2"/>
  <c r="P803" i="2" s="1"/>
  <c r="O775" i="2"/>
  <c r="P775" i="2" s="1"/>
  <c r="O774" i="2"/>
  <c r="P774" i="2" s="1"/>
  <c r="O773" i="2"/>
  <c r="P773" i="2" s="1"/>
  <c r="O772" i="2"/>
  <c r="P772" i="2" s="1"/>
  <c r="O770" i="2"/>
  <c r="P770" i="2" s="1"/>
  <c r="O769" i="2"/>
  <c r="P769" i="2" s="1"/>
  <c r="O771" i="2"/>
  <c r="P771" i="2" s="1"/>
  <c r="O768" i="2"/>
  <c r="P768" i="2" s="1"/>
  <c r="O766" i="2"/>
  <c r="P766" i="2" s="1"/>
  <c r="O765" i="2"/>
  <c r="P765" i="2" s="1"/>
  <c r="O767" i="2"/>
  <c r="P767" i="2" s="1"/>
  <c r="O763" i="2"/>
  <c r="P763" i="2" s="1"/>
  <c r="O764" i="2"/>
  <c r="P764" i="2" s="1"/>
  <c r="O761" i="2"/>
  <c r="P761" i="2" s="1"/>
  <c r="O762" i="2"/>
  <c r="P762" i="2" s="1"/>
  <c r="K754" i="2" l="1"/>
  <c r="K753" i="2" l="1"/>
  <c r="K804" i="2"/>
  <c r="D804" i="2"/>
  <c r="K803" i="2"/>
  <c r="D803" i="2"/>
  <c r="K775" i="2"/>
  <c r="D775" i="2"/>
  <c r="O759" i="2" l="1"/>
  <c r="P759" i="2" s="1"/>
  <c r="O758" i="2"/>
  <c r="P758" i="2" s="1"/>
  <c r="K748" i="2" l="1"/>
  <c r="K745" i="2"/>
  <c r="K164" i="4"/>
  <c r="K165" i="4"/>
  <c r="O757" i="2" l="1"/>
  <c r="P757" i="2" s="1"/>
  <c r="K743" i="2" l="1"/>
  <c r="O751" i="2" l="1"/>
  <c r="P751" i="2" s="1"/>
  <c r="O752" i="2"/>
  <c r="P752" i="2" s="1"/>
  <c r="O753" i="2"/>
  <c r="P753" i="2" s="1"/>
  <c r="O754" i="2"/>
  <c r="P754" i="2" s="1"/>
  <c r="O755" i="2"/>
  <c r="P755" i="2" s="1"/>
  <c r="O756" i="2"/>
  <c r="P756" i="2" s="1"/>
  <c r="D760" i="2"/>
  <c r="D772" i="2"/>
  <c r="D771" i="2"/>
  <c r="D768" i="2"/>
  <c r="D767" i="2"/>
  <c r="D763" i="2"/>
  <c r="D762" i="2"/>
  <c r="D758" i="2"/>
  <c r="D755" i="2"/>
  <c r="D752" i="2"/>
  <c r="D751" i="2"/>
  <c r="D773" i="2"/>
  <c r="D774" i="2"/>
  <c r="D770" i="2"/>
  <c r="D769" i="2"/>
  <c r="D766" i="2"/>
  <c r="D765" i="2"/>
  <c r="D764" i="2"/>
  <c r="D761" i="2"/>
  <c r="D759" i="2"/>
  <c r="D757" i="2"/>
  <c r="D756" i="2"/>
  <c r="D754" i="2"/>
  <c r="D753" i="2"/>
  <c r="K742" i="2" l="1"/>
  <c r="K741" i="2"/>
  <c r="K733" i="2"/>
  <c r="K740" i="2"/>
  <c r="K732" i="2"/>
  <c r="K163" i="4"/>
  <c r="K162" i="4"/>
  <c r="H19" i="1"/>
  <c r="H165" i="4" l="1"/>
  <c r="H168" i="4" s="1"/>
  <c r="D165" i="4"/>
  <c r="O165" i="4"/>
  <c r="P165" i="4" s="1"/>
  <c r="D749" i="2" l="1"/>
  <c r="O749" i="2"/>
  <c r="P749" i="2" s="1"/>
  <c r="D748" i="2"/>
  <c r="D747" i="2"/>
  <c r="O747" i="2"/>
  <c r="P747" i="2" s="1"/>
  <c r="D746" i="2"/>
  <c r="O746" i="2"/>
  <c r="P746" i="2" s="1"/>
  <c r="K729" i="2" l="1"/>
  <c r="K727" i="2"/>
  <c r="K772" i="2" l="1"/>
  <c r="K771" i="2"/>
  <c r="K768" i="2"/>
  <c r="K755" i="2"/>
  <c r="K751" i="2"/>
  <c r="K747" i="2"/>
  <c r="K746" i="2" l="1"/>
  <c r="K760" i="2"/>
  <c r="K774" i="2"/>
  <c r="K773" i="2"/>
  <c r="K769" i="2"/>
  <c r="K749" i="2"/>
  <c r="K170" i="4"/>
  <c r="D170" i="4"/>
  <c r="K169" i="4"/>
  <c r="D169" i="4"/>
  <c r="D167" i="4"/>
  <c r="O743" i="2" l="1"/>
  <c r="P743" i="2" s="1"/>
  <c r="D743" i="2"/>
  <c r="O738" i="2" l="1"/>
  <c r="P738" i="2" s="1"/>
  <c r="D738" i="2"/>
  <c r="D164" i="4" l="1"/>
  <c r="D166" i="4"/>
  <c r="D173" i="4"/>
  <c r="D163" i="4"/>
  <c r="K726" i="2" l="1"/>
  <c r="K725" i="2"/>
  <c r="K724" i="2"/>
  <c r="O732" i="2" l="1"/>
  <c r="P732" i="2" s="1"/>
  <c r="D732" i="2"/>
  <c r="D18" i="1"/>
  <c r="K161" i="4" l="1"/>
  <c r="K719" i="2"/>
  <c r="K723" i="2"/>
  <c r="K722" i="2"/>
  <c r="K720" i="2"/>
  <c r="K716" i="2"/>
  <c r="D162" i="4" l="1"/>
  <c r="K166" i="4" l="1"/>
  <c r="K717" i="2" l="1"/>
  <c r="K714" i="2"/>
  <c r="K715" i="2"/>
  <c r="H161" i="4" l="1"/>
  <c r="H162" i="4" s="1"/>
  <c r="H163" i="4" s="1"/>
  <c r="H164" i="4" s="1"/>
  <c r="H166" i="4" s="1"/>
  <c r="H167" i="4" s="1"/>
  <c r="H169" i="4" s="1"/>
  <c r="H170" i="4" s="1"/>
  <c r="H171" i="4" s="1"/>
  <c r="H172" i="4" s="1"/>
  <c r="D161" i="4" l="1"/>
  <c r="O161" i="4"/>
  <c r="P161" i="4" s="1"/>
  <c r="K706" i="2" l="1"/>
  <c r="K705" i="2"/>
  <c r="K704" i="2"/>
  <c r="K712" i="2"/>
  <c r="K709" i="2"/>
  <c r="O160" i="4" l="1"/>
  <c r="P160" i="4" s="1"/>
  <c r="D160" i="4"/>
  <c r="K160" i="4"/>
  <c r="H160" i="4" s="1"/>
  <c r="D744" i="2" l="1"/>
  <c r="D735" i="2"/>
  <c r="D736" i="2"/>
  <c r="D737" i="2"/>
  <c r="D739" i="2"/>
  <c r="D740" i="2"/>
  <c r="D731" i="2"/>
  <c r="D727" i="2"/>
  <c r="D728" i="2"/>
  <c r="D724" i="2"/>
  <c r="D720" i="2"/>
  <c r="D721" i="2"/>
  <c r="O720" i="2" l="1"/>
  <c r="O721" i="2"/>
  <c r="O722" i="2"/>
  <c r="O723" i="2"/>
  <c r="O724" i="2"/>
  <c r="O725" i="2"/>
  <c r="O726" i="2"/>
  <c r="P726" i="2" s="1"/>
  <c r="O719" i="2"/>
  <c r="P719" i="2" s="1"/>
  <c r="O727" i="2"/>
  <c r="P727" i="2" s="1"/>
  <c r="O728" i="2"/>
  <c r="P728" i="2" s="1"/>
  <c r="O729" i="2"/>
  <c r="P729" i="2" s="1"/>
  <c r="O730" i="2"/>
  <c r="P730" i="2" s="1"/>
  <c r="O731" i="2"/>
  <c r="P731" i="2" s="1"/>
  <c r="O733" i="2"/>
  <c r="P733" i="2" s="1"/>
  <c r="O734" i="2"/>
  <c r="P734" i="2" s="1"/>
  <c r="O735" i="2"/>
  <c r="P735" i="2" s="1"/>
  <c r="O736" i="2"/>
  <c r="P736" i="2" s="1"/>
  <c r="O737" i="2"/>
  <c r="P737" i="2" s="1"/>
  <c r="O739" i="2"/>
  <c r="P739" i="2" s="1"/>
  <c r="O740" i="2"/>
  <c r="P740" i="2" s="1"/>
  <c r="O741" i="2"/>
  <c r="P741" i="2" s="1"/>
  <c r="O742" i="2"/>
  <c r="P742" i="2" s="1"/>
  <c r="O744" i="2"/>
  <c r="P744" i="2" s="1"/>
  <c r="O745" i="2"/>
  <c r="P745" i="2" s="1"/>
  <c r="O748" i="2"/>
  <c r="P748" i="2" s="1"/>
  <c r="O750" i="2"/>
  <c r="P750" i="2" s="1"/>
  <c r="K701" i="2" l="1"/>
  <c r="K698" i="2"/>
  <c r="K708" i="2"/>
  <c r="K699" i="2"/>
  <c r="K697" i="2"/>
  <c r="K707" i="2"/>
  <c r="P721" i="2" l="1"/>
  <c r="P724" i="2"/>
  <c r="K158" i="4" l="1"/>
  <c r="K159" i="4"/>
  <c r="D159" i="4"/>
  <c r="O715" i="2"/>
  <c r="P715" i="2" s="1"/>
  <c r="O716" i="2"/>
  <c r="P716" i="2" s="1"/>
  <c r="O717" i="2"/>
  <c r="P717" i="2" s="1"/>
  <c r="O718" i="2"/>
  <c r="P718" i="2" s="1"/>
  <c r="P720" i="2"/>
  <c r="D745" i="2" l="1"/>
  <c r="D742" i="2"/>
  <c r="D741" i="2"/>
  <c r="K737" i="2"/>
  <c r="K736" i="2"/>
  <c r="K734" i="2"/>
  <c r="K730" i="2"/>
  <c r="K718" i="2"/>
  <c r="D734" i="2"/>
  <c r="D733" i="2"/>
  <c r="D730" i="2"/>
  <c r="D729" i="2"/>
  <c r="D726" i="2"/>
  <c r="D725" i="2"/>
  <c r="D723" i="2"/>
  <c r="D722" i="2"/>
  <c r="D718" i="2"/>
  <c r="D717" i="2"/>
  <c r="K728" i="2"/>
  <c r="K731" i="2"/>
  <c r="K735" i="2"/>
  <c r="K739" i="2"/>
  <c r="K744" i="2"/>
  <c r="K721" i="2"/>
  <c r="D716" i="2"/>
  <c r="K750" i="2"/>
  <c r="D750" i="2"/>
  <c r="D715" i="2" l="1"/>
  <c r="O707" i="2" l="1"/>
  <c r="P707" i="2" s="1"/>
  <c r="D707" i="2"/>
  <c r="O714" i="2"/>
  <c r="O713" i="2"/>
  <c r="O712" i="2"/>
  <c r="O711" i="2"/>
  <c r="O710" i="2"/>
  <c r="O709" i="2"/>
  <c r="O708" i="2"/>
  <c r="O18" i="1" l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7" i="1"/>
  <c r="O3" i="3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O836" i="2"/>
  <c r="O835" i="2"/>
  <c r="O834" i="2"/>
  <c r="O833" i="2"/>
  <c r="O832" i="2"/>
  <c r="O831" i="2"/>
  <c r="O830" i="2"/>
  <c r="O829" i="2"/>
  <c r="O828" i="2"/>
  <c r="O827" i="2"/>
  <c r="O826" i="2"/>
  <c r="O825" i="2"/>
  <c r="O824" i="2"/>
  <c r="O823" i="2"/>
  <c r="O822" i="2"/>
  <c r="O821" i="2"/>
  <c r="O820" i="2"/>
  <c r="O819" i="2"/>
  <c r="O818" i="2"/>
  <c r="O817" i="2"/>
  <c r="O816" i="2"/>
  <c r="O815" i="2"/>
  <c r="O814" i="2"/>
  <c r="O813" i="2"/>
  <c r="O812" i="2"/>
  <c r="O811" i="2"/>
  <c r="O810" i="2"/>
  <c r="O809" i="2"/>
  <c r="O808" i="2"/>
  <c r="O807" i="2"/>
  <c r="O806" i="2"/>
  <c r="O805" i="2"/>
  <c r="O800" i="2"/>
  <c r="O799" i="2"/>
  <c r="O796" i="2"/>
  <c r="O795" i="2"/>
  <c r="O793" i="2"/>
  <c r="O792" i="2"/>
  <c r="O789" i="2"/>
  <c r="P789" i="2" s="1"/>
  <c r="O788" i="2"/>
  <c r="P788" i="2" s="1"/>
  <c r="O786" i="2"/>
  <c r="P786" i="2" s="1"/>
  <c r="O785" i="2"/>
  <c r="P785" i="2" s="1"/>
  <c r="O782" i="2"/>
  <c r="P782" i="2" s="1"/>
  <c r="O781" i="2"/>
  <c r="P781" i="2" s="1"/>
  <c r="O778" i="2"/>
  <c r="P778" i="2" s="1"/>
  <c r="O777" i="2"/>
  <c r="P777" i="2" s="1"/>
  <c r="O802" i="2"/>
  <c r="O801" i="2"/>
  <c r="O798" i="2"/>
  <c r="O797" i="2"/>
  <c r="O794" i="2"/>
  <c r="O791" i="2"/>
  <c r="O790" i="2"/>
  <c r="O787" i="2"/>
  <c r="P787" i="2" s="1"/>
  <c r="O784" i="2"/>
  <c r="P784" i="2" s="1"/>
  <c r="O783" i="2"/>
  <c r="P783" i="2" s="1"/>
  <c r="O780" i="2"/>
  <c r="P780" i="2" s="1"/>
  <c r="O779" i="2"/>
  <c r="P779" i="2" s="1"/>
  <c r="O776" i="2"/>
  <c r="P776" i="2" s="1"/>
  <c r="O760" i="2"/>
  <c r="P760" i="2" s="1"/>
  <c r="P725" i="2"/>
  <c r="P723" i="2"/>
  <c r="P722" i="2"/>
  <c r="O706" i="2"/>
  <c r="O158" i="4"/>
  <c r="P158" i="4" s="1"/>
  <c r="O159" i="4"/>
  <c r="P159" i="4" s="1"/>
  <c r="O162" i="4"/>
  <c r="P162" i="4" s="1"/>
  <c r="O163" i="4"/>
  <c r="P163" i="4" s="1"/>
  <c r="O164" i="4"/>
  <c r="P164" i="4" s="1"/>
  <c r="O166" i="4"/>
  <c r="P166" i="4" s="1"/>
  <c r="O167" i="4"/>
  <c r="P167" i="4" s="1"/>
  <c r="O169" i="4"/>
  <c r="P169" i="4" s="1"/>
  <c r="O170" i="4"/>
  <c r="P170" i="4" s="1"/>
  <c r="O171" i="4"/>
  <c r="P171" i="4" s="1"/>
  <c r="O172" i="4"/>
  <c r="P172" i="4" s="1"/>
  <c r="O173" i="4"/>
  <c r="P173" i="4" s="1"/>
  <c r="O174" i="4"/>
  <c r="P174" i="4" s="1"/>
  <c r="O175" i="4"/>
  <c r="P175" i="4" s="1"/>
  <c r="O176" i="4"/>
  <c r="P176" i="4" s="1"/>
  <c r="O177" i="4"/>
  <c r="P177" i="4" s="1"/>
  <c r="O178" i="4"/>
  <c r="P178" i="4" s="1"/>
  <c r="O179" i="4"/>
  <c r="P179" i="4" s="1"/>
  <c r="O180" i="4"/>
  <c r="P180" i="4" s="1"/>
  <c r="O181" i="4"/>
  <c r="P181" i="4" s="1"/>
  <c r="O182" i="4"/>
  <c r="P182" i="4" s="1"/>
  <c r="O183" i="4"/>
  <c r="P183" i="4" s="1"/>
  <c r="O184" i="4"/>
  <c r="P184" i="4" s="1"/>
  <c r="O185" i="4"/>
  <c r="P185" i="4" s="1"/>
  <c r="O186" i="4"/>
  <c r="P186" i="4" s="1"/>
  <c r="O187" i="4"/>
  <c r="P187" i="4" s="1"/>
  <c r="O188" i="4"/>
  <c r="P188" i="4" s="1"/>
  <c r="O189" i="4"/>
  <c r="O190" i="4"/>
  <c r="O191" i="4"/>
  <c r="O192" i="4"/>
  <c r="O157" i="4"/>
  <c r="O156" i="4"/>
  <c r="D706" i="2"/>
  <c r="P706" i="2" l="1"/>
  <c r="D156" i="4" l="1"/>
  <c r="D157" i="4"/>
  <c r="D158" i="4"/>
  <c r="D174" i="4"/>
  <c r="D175" i="4"/>
  <c r="D176" i="4"/>
  <c r="D177" i="4"/>
  <c r="D178" i="4"/>
  <c r="D179" i="4"/>
  <c r="D181" i="4"/>
  <c r="D182" i="4"/>
  <c r="D183" i="4"/>
  <c r="D184" i="4"/>
  <c r="D185" i="4"/>
  <c r="D186" i="4"/>
  <c r="D187" i="4"/>
  <c r="D188" i="4"/>
  <c r="D189" i="4"/>
  <c r="D190" i="4"/>
  <c r="D191" i="4"/>
  <c r="D155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3" i="3"/>
  <c r="D19" i="1"/>
  <c r="D20" i="1"/>
  <c r="D21" i="1"/>
  <c r="D22" i="1"/>
  <c r="D23" i="1"/>
  <c r="D24" i="1"/>
  <c r="D25" i="1"/>
  <c r="D26" i="1"/>
  <c r="D27" i="1"/>
  <c r="D28" i="1"/>
  <c r="D29" i="1"/>
  <c r="D30" i="1"/>
  <c r="D17" i="1"/>
  <c r="D703" i="2"/>
  <c r="D704" i="2"/>
  <c r="D705" i="2"/>
  <c r="D708" i="2"/>
  <c r="D709" i="2"/>
  <c r="D710" i="2"/>
  <c r="D711" i="2"/>
  <c r="D712" i="2"/>
  <c r="D713" i="2"/>
  <c r="D714" i="2"/>
  <c r="D719" i="2"/>
  <c r="D701" i="2"/>
  <c r="D702" i="2"/>
  <c r="K154" i="4" l="1"/>
  <c r="K692" i="2"/>
  <c r="K693" i="2"/>
  <c r="K17" i="1" l="1"/>
  <c r="K153" i="4"/>
  <c r="K151" i="4" l="1"/>
  <c r="K685" i="2" l="1"/>
  <c r="K683" i="2"/>
  <c r="H151" i="4" l="1"/>
  <c r="P151" i="4"/>
  <c r="K678" i="2"/>
  <c r="K677" i="2"/>
  <c r="K682" i="2"/>
  <c r="K676" i="2"/>
  <c r="K675" i="2"/>
  <c r="K671" i="2"/>
  <c r="P692" i="2" l="1"/>
  <c r="P696" i="2"/>
  <c r="P698" i="2"/>
  <c r="P701" i="2"/>
  <c r="P702" i="2"/>
  <c r="P704" i="2"/>
  <c r="P705" i="2"/>
  <c r="P710" i="2"/>
  <c r="P711" i="2"/>
  <c r="P713" i="2"/>
  <c r="P714" i="2"/>
  <c r="K696" i="2"/>
  <c r="K702" i="2"/>
  <c r="K710" i="2"/>
  <c r="K711" i="2"/>
  <c r="K713" i="2"/>
  <c r="K694" i="2"/>
  <c r="K700" i="2"/>
  <c r="K703" i="2"/>
  <c r="P693" i="2"/>
  <c r="P694" i="2"/>
  <c r="P697" i="2"/>
  <c r="P699" i="2"/>
  <c r="P700" i="2"/>
  <c r="P703" i="2"/>
  <c r="P708" i="2"/>
  <c r="P709" i="2"/>
  <c r="P712" i="2"/>
  <c r="K673" i="2" l="1"/>
  <c r="K672" i="2"/>
  <c r="K667" i="2"/>
  <c r="P17" i="1" l="1"/>
  <c r="P152" i="4"/>
  <c r="P153" i="4"/>
  <c r="P154" i="4"/>
  <c r="P155" i="4"/>
  <c r="P156" i="4"/>
  <c r="P157" i="4"/>
  <c r="H152" i="4"/>
  <c r="K155" i="4"/>
  <c r="K156" i="4"/>
  <c r="K157" i="4"/>
  <c r="H153" i="4" l="1"/>
  <c r="H154" i="4" s="1"/>
  <c r="H155" i="4" s="1"/>
  <c r="H156" i="4" s="1"/>
  <c r="H157" i="4" s="1"/>
  <c r="H158" i="4" s="1"/>
  <c r="H159" i="4" s="1"/>
  <c r="P149" i="4"/>
  <c r="P150" i="4"/>
  <c r="P681" i="2" l="1"/>
  <c r="P682" i="2"/>
  <c r="P683" i="2"/>
  <c r="P684" i="2"/>
  <c r="P685" i="2"/>
  <c r="P686" i="2"/>
  <c r="P687" i="2"/>
  <c r="P688" i="2"/>
  <c r="P690" i="2"/>
  <c r="P691" i="2"/>
  <c r="P695" i="2"/>
  <c r="K666" i="2" l="1"/>
  <c r="P676" i="2" l="1"/>
  <c r="P677" i="2"/>
  <c r="P678" i="2"/>
  <c r="P689" i="2"/>
  <c r="P679" i="2"/>
  <c r="P680" i="2"/>
  <c r="K665" i="2" l="1"/>
  <c r="K664" i="2"/>
  <c r="P148" i="4" l="1"/>
  <c r="K658" i="2" l="1"/>
  <c r="K661" i="2"/>
  <c r="P147" i="4" l="1"/>
  <c r="K145" i="4" l="1"/>
  <c r="K144" i="4"/>
  <c r="K657" i="2"/>
  <c r="K647" i="2"/>
  <c r="K650" i="2"/>
  <c r="K646" i="2"/>
  <c r="K654" i="2"/>
  <c r="P668" i="2" l="1"/>
  <c r="P669" i="2"/>
  <c r="P670" i="2"/>
  <c r="P671" i="2"/>
  <c r="P672" i="2"/>
  <c r="P673" i="2"/>
  <c r="P675" i="2"/>
  <c r="P674" i="2"/>
  <c r="P663" i="2" l="1"/>
  <c r="P664" i="2"/>
  <c r="P665" i="2"/>
  <c r="P666" i="2"/>
  <c r="P667" i="2"/>
  <c r="K681" i="2"/>
  <c r="K695" i="2"/>
  <c r="K688" i="2"/>
  <c r="K687" i="2"/>
  <c r="K684" i="2"/>
  <c r="K680" i="2"/>
  <c r="K674" i="2"/>
  <c r="K669" i="2"/>
  <c r="H669" i="2" s="1"/>
  <c r="K668" i="2"/>
  <c r="K691" i="2"/>
  <c r="K690" i="2"/>
  <c r="K686" i="2"/>
  <c r="K679" i="2"/>
  <c r="K670" i="2"/>
  <c r="K663" i="2"/>
  <c r="K150" i="4"/>
  <c r="K149" i="4"/>
  <c r="K148" i="4"/>
  <c r="K147" i="4"/>
  <c r="K689" i="2" l="1"/>
  <c r="K644" i="2" l="1"/>
  <c r="K640" i="2" l="1"/>
  <c r="K638" i="2"/>
  <c r="K636" i="2" l="1"/>
  <c r="K635" i="2" l="1"/>
  <c r="K631" i="2" l="1"/>
  <c r="K16" i="1"/>
  <c r="P143" i="4" l="1"/>
  <c r="P144" i="4"/>
  <c r="P145" i="4"/>
  <c r="P146" i="4"/>
  <c r="K143" i="4"/>
  <c r="K146" i="4"/>
  <c r="P649" i="2"/>
  <c r="P654" i="2"/>
  <c r="K649" i="2"/>
  <c r="P640" i="2"/>
  <c r="P641" i="2"/>
  <c r="P643" i="2"/>
  <c r="P644" i="2"/>
  <c r="P647" i="2"/>
  <c r="P648" i="2"/>
  <c r="P652" i="2"/>
  <c r="P653" i="2"/>
  <c r="P656" i="2"/>
  <c r="P657" i="2"/>
  <c r="P660" i="2"/>
  <c r="P661" i="2"/>
  <c r="K641" i="2"/>
  <c r="K643" i="2"/>
  <c r="K648" i="2"/>
  <c r="K652" i="2"/>
  <c r="K653" i="2"/>
  <c r="K656" i="2"/>
  <c r="K660" i="2"/>
  <c r="P639" i="2"/>
  <c r="P642" i="2"/>
  <c r="P645" i="2"/>
  <c r="P646" i="2"/>
  <c r="P650" i="2"/>
  <c r="P651" i="2"/>
  <c r="P655" i="2"/>
  <c r="P658" i="2"/>
  <c r="P659" i="2"/>
  <c r="P662" i="2"/>
  <c r="K639" i="2"/>
  <c r="K642" i="2"/>
  <c r="K645" i="2"/>
  <c r="K651" i="2"/>
  <c r="K655" i="2"/>
  <c r="K659" i="2"/>
  <c r="K662" i="2"/>
  <c r="K630" i="2" l="1"/>
  <c r="K140" i="4"/>
  <c r="K629" i="2" l="1"/>
  <c r="K621" i="2"/>
  <c r="K628" i="2"/>
  <c r="K623" i="2"/>
  <c r="K627" i="2"/>
  <c r="H627" i="2" s="1"/>
  <c r="K139" i="4"/>
  <c r="P16" i="1" l="1"/>
  <c r="P140" i="4" l="1"/>
  <c r="P141" i="4"/>
  <c r="P142" i="4"/>
  <c r="P634" i="2"/>
  <c r="P627" i="2"/>
  <c r="P635" i="2"/>
  <c r="P638" i="2"/>
  <c r="P636" i="2"/>
  <c r="P637" i="2"/>
  <c r="K619" i="2" l="1"/>
  <c r="K138" i="4"/>
  <c r="K616" i="2"/>
  <c r="P139" i="4" l="1"/>
  <c r="P625" i="2" l="1"/>
  <c r="P626" i="2"/>
  <c r="P628" i="2"/>
  <c r="P631" i="2"/>
  <c r="P629" i="2"/>
  <c r="P630" i="2"/>
  <c r="P632" i="2"/>
  <c r="P633" i="2"/>
  <c r="K613" i="2" l="1"/>
  <c r="K615" i="2"/>
  <c r="K614" i="2" l="1"/>
  <c r="K617" i="2"/>
  <c r="K618" i="2"/>
  <c r="K620" i="2"/>
  <c r="K622" i="2"/>
  <c r="K624" i="2"/>
  <c r="K625" i="2"/>
  <c r="K626" i="2"/>
  <c r="K632" i="2"/>
  <c r="K633" i="2"/>
  <c r="K634" i="2"/>
  <c r="K637" i="2"/>
  <c r="K610" i="2"/>
  <c r="K137" i="4" l="1"/>
  <c r="K611" i="2" l="1"/>
  <c r="K609" i="2"/>
  <c r="K606" i="2"/>
  <c r="K604" i="2"/>
  <c r="P138" i="4" l="1"/>
  <c r="K605" i="2" l="1"/>
  <c r="P613" i="2" l="1"/>
  <c r="P614" i="2"/>
  <c r="P615" i="2"/>
  <c r="P616" i="2"/>
  <c r="P617" i="2"/>
  <c r="P618" i="2"/>
  <c r="P619" i="2"/>
  <c r="P620" i="2"/>
  <c r="P621" i="2"/>
  <c r="P622" i="2"/>
  <c r="P623" i="2"/>
  <c r="P624" i="2"/>
  <c r="H614" i="2"/>
  <c r="H615" i="2" s="1"/>
  <c r="H618" i="2" s="1"/>
  <c r="H619" i="2" s="1"/>
  <c r="H621" i="2" s="1"/>
  <c r="H622" i="2" s="1"/>
  <c r="H625" i="2" s="1"/>
  <c r="H626" i="2" s="1"/>
  <c r="H629" i="2" s="1"/>
  <c r="H630" i="2" s="1"/>
  <c r="H633" i="2" s="1"/>
  <c r="H634" i="2" s="1"/>
  <c r="H636" i="2" s="1"/>
  <c r="H637" i="2" l="1"/>
  <c r="H639" i="2"/>
  <c r="H646" i="2" s="1"/>
  <c r="H655" i="2" s="1"/>
  <c r="H662" i="2" s="1"/>
  <c r="H663" i="2" s="1"/>
  <c r="H667" i="2" s="1"/>
  <c r="H670" i="2" s="1"/>
  <c r="H671" i="2" s="1"/>
  <c r="H675" i="2" s="1"/>
  <c r="H676" i="2" s="1"/>
  <c r="H679" i="2" s="1"/>
  <c r="H682" i="2" s="1"/>
  <c r="H649" i="2"/>
  <c r="H654" i="2" s="1"/>
  <c r="H666" i="2" s="1"/>
  <c r="H689" i="2" s="1"/>
  <c r="H707" i="2" s="1"/>
  <c r="H719" i="2" s="1"/>
  <c r="H738" i="2" l="1"/>
  <c r="H683" i="2"/>
  <c r="H686" i="2" s="1"/>
  <c r="H690" i="2" s="1"/>
  <c r="H691" i="2" s="1"/>
  <c r="H693" i="2" s="1"/>
  <c r="H694" i="2" s="1"/>
  <c r="H697" i="2" s="1"/>
  <c r="H699" i="2" s="1"/>
  <c r="H700" i="2" s="1"/>
  <c r="H703" i="2" s="1"/>
  <c r="H708" i="2" s="1"/>
  <c r="H709" i="2" s="1"/>
  <c r="H642" i="2"/>
  <c r="H650" i="2" s="1"/>
  <c r="H658" i="2" s="1"/>
  <c r="H640" i="2"/>
  <c r="H641" i="2" s="1"/>
  <c r="H643" i="2" s="1"/>
  <c r="H644" i="2" s="1"/>
  <c r="H647" i="2" s="1"/>
  <c r="H648" i="2" s="1"/>
  <c r="H652" i="2" s="1"/>
  <c r="H653" i="2" s="1"/>
  <c r="H656" i="2" s="1"/>
  <c r="H657" i="2" s="1"/>
  <c r="H660" i="2" s="1"/>
  <c r="H661" i="2" s="1"/>
  <c r="H664" i="2" s="1"/>
  <c r="H665" i="2" s="1"/>
  <c r="H668" i="2" s="1"/>
  <c r="K142" i="4"/>
  <c r="K141" i="4"/>
  <c r="H750" i="2" l="1"/>
  <c r="H760" i="2" s="1"/>
  <c r="H775" i="2" s="1"/>
  <c r="H712" i="2"/>
  <c r="H672" i="2"/>
  <c r="H673" i="2" s="1"/>
  <c r="H674" i="2" s="1"/>
  <c r="H677" i="2" s="1"/>
  <c r="K135" i="4"/>
  <c r="K134" i="4"/>
  <c r="K602" i="2"/>
  <c r="K599" i="2"/>
  <c r="K596" i="2"/>
  <c r="H803" i="2" l="1"/>
  <c r="H804" i="2" s="1"/>
  <c r="H715" i="2"/>
  <c r="H716" i="2" s="1"/>
  <c r="H720" i="2" s="1"/>
  <c r="H721" i="2" s="1"/>
  <c r="H724" i="2" s="1"/>
  <c r="H678" i="2"/>
  <c r="H680" i="2" s="1"/>
  <c r="H684" i="2" s="1"/>
  <c r="H685" i="2" s="1"/>
  <c r="H687" i="2" s="1"/>
  <c r="H688" i="2" s="1"/>
  <c r="H695" i="2" s="1"/>
  <c r="H681" i="2" s="1"/>
  <c r="K592" i="2"/>
  <c r="K590" i="2"/>
  <c r="H727" i="2" l="1"/>
  <c r="H728" i="2" s="1"/>
  <c r="H731" i="2" s="1"/>
  <c r="H732" i="2" s="1"/>
  <c r="H735" i="2" s="1"/>
  <c r="H739" i="2" s="1"/>
  <c r="H740" i="2" s="1"/>
  <c r="H692" i="2"/>
  <c r="H696" i="2" s="1"/>
  <c r="H698" i="2" s="1"/>
  <c r="H701" i="2" s="1"/>
  <c r="H702" i="2" s="1"/>
  <c r="H704" i="2" s="1"/>
  <c r="H705" i="2" s="1"/>
  <c r="H706" i="2" s="1"/>
  <c r="K589" i="2"/>
  <c r="K587" i="2"/>
  <c r="K133" i="4"/>
  <c r="H710" i="2" l="1"/>
  <c r="H711" i="2" s="1"/>
  <c r="H713" i="2" s="1"/>
  <c r="H714" i="2" s="1"/>
  <c r="H717" i="2" s="1"/>
  <c r="H718" i="2" s="1"/>
  <c r="H722" i="2" s="1"/>
  <c r="H723" i="2" s="1"/>
  <c r="H725" i="2" s="1"/>
  <c r="H726" i="2" s="1"/>
  <c r="P135" i="4"/>
  <c r="P136" i="4"/>
  <c r="P137" i="4"/>
  <c r="K136" i="4"/>
  <c r="P599" i="2"/>
  <c r="P600" i="2"/>
  <c r="P602" i="2"/>
  <c r="P603" i="2"/>
  <c r="P607" i="2"/>
  <c r="P608" i="2"/>
  <c r="P611" i="2"/>
  <c r="P612" i="2"/>
  <c r="K600" i="2"/>
  <c r="K603" i="2"/>
  <c r="K607" i="2"/>
  <c r="K608" i="2"/>
  <c r="K612" i="2"/>
  <c r="H729" i="2" l="1"/>
  <c r="P597" i="2"/>
  <c r="P598" i="2"/>
  <c r="P601" i="2"/>
  <c r="P605" i="2"/>
  <c r="P606" i="2"/>
  <c r="P609" i="2"/>
  <c r="P610" i="2"/>
  <c r="K597" i="2"/>
  <c r="K598" i="2"/>
  <c r="K601" i="2"/>
  <c r="H610" i="2"/>
  <c r="H613" i="2" s="1"/>
  <c r="H616" i="2" s="1"/>
  <c r="H617" i="2" s="1"/>
  <c r="H620" i="2" s="1"/>
  <c r="H623" i="2" s="1"/>
  <c r="H624" i="2" s="1"/>
  <c r="H628" i="2" s="1"/>
  <c r="H631" i="2" s="1"/>
  <c r="H632" i="2" s="1"/>
  <c r="H635" i="2" s="1"/>
  <c r="H638" i="2" s="1"/>
  <c r="H645" i="2" s="1"/>
  <c r="H651" i="2" s="1"/>
  <c r="H659" i="2" s="1"/>
  <c r="H730" i="2" l="1"/>
  <c r="H733" i="2" s="1"/>
  <c r="H734" i="2" s="1"/>
  <c r="H736" i="2" s="1"/>
  <c r="H744" i="2"/>
  <c r="H746" i="2" s="1"/>
  <c r="H747" i="2" s="1"/>
  <c r="H751" i="2" s="1"/>
  <c r="H752" i="2" s="1"/>
  <c r="H755" i="2" s="1"/>
  <c r="K579" i="2"/>
  <c r="K132" i="4"/>
  <c r="H758" i="2" l="1"/>
  <c r="H762" i="2" s="1"/>
  <c r="H763" i="2" s="1"/>
  <c r="H767" i="2" s="1"/>
  <c r="H768" i="2" s="1"/>
  <c r="H771" i="2" s="1"/>
  <c r="H772" i="2" s="1"/>
  <c r="H776" i="2" s="1"/>
  <c r="H779" i="2" s="1"/>
  <c r="H780" i="2" s="1"/>
  <c r="H783" i="2" s="1"/>
  <c r="H784" i="2" s="1"/>
  <c r="H787" i="2" s="1"/>
  <c r="H790" i="2" s="1"/>
  <c r="H791" i="2" s="1"/>
  <c r="H794" i="2" s="1"/>
  <c r="H797" i="2" s="1"/>
  <c r="H798" i="2" s="1"/>
  <c r="H801" i="2" s="1"/>
  <c r="H802" i="2" s="1"/>
  <c r="H737" i="2"/>
  <c r="H741" i="2" s="1"/>
  <c r="K131" i="4"/>
  <c r="K581" i="2"/>
  <c r="H742" i="2" l="1"/>
  <c r="H743" i="2" s="1"/>
  <c r="K577" i="2"/>
  <c r="H745" i="2" l="1"/>
  <c r="H748" i="2" s="1"/>
  <c r="H749" i="2" s="1"/>
  <c r="H753" i="2" s="1"/>
  <c r="H754" i="2" s="1"/>
  <c r="H756" i="2" s="1"/>
  <c r="H757" i="2" s="1"/>
  <c r="H759" i="2" s="1"/>
  <c r="H761" i="2" s="1"/>
  <c r="H764" i="2" s="1"/>
  <c r="P133" i="4"/>
  <c r="P134" i="4"/>
  <c r="P588" i="2"/>
  <c r="P589" i="2"/>
  <c r="P592" i="2"/>
  <c r="P593" i="2"/>
  <c r="P595" i="2"/>
  <c r="P596" i="2"/>
  <c r="K588" i="2"/>
  <c r="K593" i="2"/>
  <c r="K595" i="2"/>
  <c r="P587" i="2"/>
  <c r="P590" i="2"/>
  <c r="P591" i="2"/>
  <c r="P594" i="2"/>
  <c r="K591" i="2"/>
  <c r="K594" i="2"/>
  <c r="H765" i="2" l="1"/>
  <c r="H766" i="2" s="1"/>
  <c r="H769" i="2" s="1"/>
  <c r="H770" i="2" s="1"/>
  <c r="H773" i="2" s="1"/>
  <c r="H774" i="2" s="1"/>
  <c r="K576" i="2"/>
  <c r="K573" i="2"/>
  <c r="K569" i="2"/>
  <c r="K575" i="2"/>
  <c r="K571" i="2"/>
  <c r="K565" i="2"/>
  <c r="K567" i="2"/>
  <c r="K129" i="4"/>
  <c r="K15" i="1"/>
  <c r="H777" i="2" l="1"/>
  <c r="H778" i="2" s="1"/>
  <c r="K128" i="4"/>
  <c r="K566" i="2"/>
  <c r="K563" i="2"/>
  <c r="H781" i="2" l="1"/>
  <c r="H782" i="2" s="1"/>
  <c r="P15" i="1"/>
  <c r="H785" i="2" l="1"/>
  <c r="H786" i="2" s="1"/>
  <c r="H788" i="2" s="1"/>
  <c r="H789" i="2" s="1"/>
  <c r="H792" i="2" s="1"/>
  <c r="H793" i="2" s="1"/>
  <c r="H795" i="2" s="1"/>
  <c r="H796" i="2" s="1"/>
  <c r="H799" i="2" s="1"/>
  <c r="H800" i="2" s="1"/>
  <c r="K559" i="2"/>
  <c r="K561" i="2"/>
  <c r="K560" i="2"/>
  <c r="K127" i="4" l="1"/>
  <c r="K557" i="2"/>
  <c r="K556" i="2"/>
  <c r="K552" i="2" l="1"/>
  <c r="P575" i="2" l="1"/>
  <c r="P576" i="2"/>
  <c r="P577" i="2"/>
  <c r="P578" i="2"/>
  <c r="P579" i="2"/>
  <c r="P580" i="2"/>
  <c r="P581" i="2"/>
  <c r="P582" i="2"/>
  <c r="P586" i="2"/>
  <c r="P583" i="2"/>
  <c r="P584" i="2"/>
  <c r="P604" i="2"/>
  <c r="P560" i="2"/>
  <c r="P561" i="2"/>
  <c r="P559" i="2"/>
  <c r="P562" i="2"/>
  <c r="P567" i="2"/>
  <c r="P564" i="2"/>
  <c r="P565" i="2"/>
  <c r="P563" i="2"/>
  <c r="P566" i="2"/>
  <c r="P568" i="2"/>
  <c r="P569" i="2"/>
  <c r="P570" i="2"/>
  <c r="P571" i="2"/>
  <c r="P572" i="2"/>
  <c r="P573" i="2"/>
  <c r="P574" i="2"/>
  <c r="P585" i="2"/>
  <c r="K584" i="2"/>
  <c r="K583" i="2"/>
  <c r="K580" i="2"/>
  <c r="K574" i="2"/>
  <c r="K570" i="2"/>
  <c r="K562" i="2"/>
  <c r="K586" i="2"/>
  <c r="K582" i="2"/>
  <c r="K578" i="2"/>
  <c r="K572" i="2"/>
  <c r="K568" i="2"/>
  <c r="K564" i="2"/>
  <c r="K585" i="2"/>
  <c r="P128" i="4"/>
  <c r="P129" i="4"/>
  <c r="P130" i="4"/>
  <c r="P131" i="4"/>
  <c r="P132" i="4"/>
  <c r="K130" i="4"/>
  <c r="K125" i="4" l="1"/>
  <c r="K124" i="4"/>
  <c r="K543" i="2"/>
  <c r="K538" i="2"/>
  <c r="K546" i="2"/>
  <c r="K541" i="2"/>
  <c r="K537" i="2"/>
  <c r="K540" i="2"/>
  <c r="K535" i="2" l="1"/>
  <c r="K533" i="2"/>
  <c r="K121" i="4" l="1"/>
  <c r="P123" i="4" l="1"/>
  <c r="P124" i="4"/>
  <c r="P125" i="4"/>
  <c r="P126" i="4"/>
  <c r="P127" i="4"/>
  <c r="K123" i="4"/>
  <c r="K126" i="4"/>
  <c r="K536" i="2"/>
  <c r="K539" i="2"/>
  <c r="K544" i="2"/>
  <c r="K547" i="2"/>
  <c r="K548" i="2"/>
  <c r="K550" i="2"/>
  <c r="K551" i="2"/>
  <c r="K554" i="2"/>
  <c r="K555" i="2"/>
  <c r="K558" i="2"/>
  <c r="P535" i="2"/>
  <c r="P536" i="2"/>
  <c r="P538" i="2"/>
  <c r="P539" i="2"/>
  <c r="P543" i="2"/>
  <c r="P544" i="2"/>
  <c r="P547" i="2"/>
  <c r="P548" i="2"/>
  <c r="P550" i="2"/>
  <c r="P551" i="2"/>
  <c r="P554" i="2"/>
  <c r="P555" i="2"/>
  <c r="P557" i="2"/>
  <c r="P558" i="2"/>
  <c r="K534" i="2"/>
  <c r="K542" i="2"/>
  <c r="K545" i="2"/>
  <c r="K549" i="2"/>
  <c r="K553" i="2"/>
  <c r="P534" i="2"/>
  <c r="P537" i="2"/>
  <c r="P541" i="2"/>
  <c r="P542" i="2"/>
  <c r="P545" i="2"/>
  <c r="P546" i="2"/>
  <c r="P549" i="2"/>
  <c r="P552" i="2"/>
  <c r="P553" i="2"/>
  <c r="P556" i="2"/>
  <c r="K522" i="2" l="1"/>
  <c r="K520" i="2"/>
  <c r="K120" i="4"/>
  <c r="K523" i="2" l="1"/>
  <c r="K518" i="2"/>
  <c r="K512" i="2"/>
  <c r="K517" i="2"/>
  <c r="K513" i="2"/>
  <c r="P122" i="4" l="1"/>
  <c r="K509" i="2" l="1"/>
  <c r="K510" i="2"/>
  <c r="K506" i="2"/>
  <c r="K116" i="4" l="1"/>
  <c r="K117" i="4"/>
  <c r="K503" i="2"/>
  <c r="K502" i="2"/>
  <c r="K505" i="2"/>
  <c r="K14" i="1"/>
  <c r="K528" i="2" l="1"/>
  <c r="K499" i="2" l="1"/>
  <c r="K494" i="2" l="1"/>
  <c r="P14" i="1" l="1"/>
  <c r="K113" i="4" l="1"/>
  <c r="K490" i="2"/>
  <c r="K486" i="2"/>
  <c r="K492" i="2"/>
  <c r="K483" i="2"/>
  <c r="K487" i="2"/>
  <c r="K508" i="2" l="1"/>
  <c r="P501" i="2"/>
  <c r="P502" i="2"/>
  <c r="P503" i="2"/>
  <c r="P505" i="2"/>
  <c r="P506" i="2"/>
  <c r="P507" i="2"/>
  <c r="P510" i="2"/>
  <c r="P509" i="2"/>
  <c r="P513" i="2"/>
  <c r="P511" i="2"/>
  <c r="P512" i="2"/>
  <c r="P514" i="2"/>
  <c r="P515" i="2"/>
  <c r="P516" i="2"/>
  <c r="P517" i="2"/>
  <c r="P521" i="2"/>
  <c r="P518" i="2"/>
  <c r="P519" i="2"/>
  <c r="P522" i="2"/>
  <c r="P523" i="2"/>
  <c r="P524" i="2"/>
  <c r="P525" i="2"/>
  <c r="P529" i="2"/>
  <c r="P526" i="2"/>
  <c r="P527" i="2"/>
  <c r="P530" i="2"/>
  <c r="P533" i="2"/>
  <c r="P531" i="2"/>
  <c r="P532" i="2"/>
  <c r="P504" i="2"/>
  <c r="P500" i="2"/>
  <c r="P508" i="2"/>
  <c r="P520" i="2"/>
  <c r="P528" i="2"/>
  <c r="P540" i="2"/>
  <c r="K532" i="2"/>
  <c r="K531" i="2"/>
  <c r="K527" i="2"/>
  <c r="K526" i="2"/>
  <c r="K524" i="2"/>
  <c r="K519" i="2"/>
  <c r="K516" i="2"/>
  <c r="K515" i="2"/>
  <c r="K511" i="2"/>
  <c r="K507" i="2"/>
  <c r="K530" i="2"/>
  <c r="K529" i="2"/>
  <c r="K525" i="2"/>
  <c r="K521" i="2"/>
  <c r="K514" i="2"/>
  <c r="K122" i="4"/>
  <c r="P116" i="4" l="1"/>
  <c r="P117" i="4"/>
  <c r="P118" i="4"/>
  <c r="P119" i="4"/>
  <c r="P120" i="4"/>
  <c r="P121" i="4"/>
  <c r="K119" i="4" l="1"/>
  <c r="K118" i="4"/>
  <c r="K478" i="2" l="1"/>
  <c r="K477" i="2"/>
  <c r="K482" i="2"/>
  <c r="K475" i="2"/>
  <c r="K474" i="2" l="1"/>
  <c r="K476" i="2"/>
  <c r="K111" i="4"/>
  <c r="K470" i="2" l="1"/>
  <c r="K110" i="4"/>
  <c r="P482" i="2" l="1"/>
  <c r="P487" i="2"/>
  <c r="P495" i="2"/>
  <c r="K495" i="2"/>
  <c r="K504" i="2"/>
  <c r="K500" i="2"/>
  <c r="K469" i="2" l="1"/>
  <c r="K467" i="2"/>
  <c r="K466" i="2"/>
  <c r="K109" i="4"/>
  <c r="K462" i="2" l="1"/>
  <c r="K464" i="2"/>
  <c r="K463" i="2"/>
  <c r="K460" i="2"/>
  <c r="K456" i="2"/>
  <c r="P475" i="2" l="1"/>
  <c r="K480" i="2"/>
  <c r="K481" i="2"/>
  <c r="K485" i="2"/>
  <c r="K489" i="2"/>
  <c r="K493" i="2"/>
  <c r="K498" i="2"/>
  <c r="P478" i="2"/>
  <c r="P480" i="2"/>
  <c r="P481" i="2"/>
  <c r="P485" i="2"/>
  <c r="P486" i="2"/>
  <c r="P489" i="2"/>
  <c r="P490" i="2"/>
  <c r="P493" i="2"/>
  <c r="P494" i="2"/>
  <c r="P498" i="2"/>
  <c r="P499" i="2"/>
  <c r="P491" i="2"/>
  <c r="P492" i="2"/>
  <c r="P496" i="2"/>
  <c r="P497" i="2"/>
  <c r="K479" i="2"/>
  <c r="K484" i="2"/>
  <c r="K488" i="2"/>
  <c r="K491" i="2"/>
  <c r="K496" i="2"/>
  <c r="K497" i="2"/>
  <c r="K501" i="2"/>
  <c r="P111" i="4"/>
  <c r="P112" i="4"/>
  <c r="P113" i="4"/>
  <c r="P114" i="4"/>
  <c r="P115" i="4"/>
  <c r="K112" i="4"/>
  <c r="K114" i="4"/>
  <c r="K115" i="4"/>
  <c r="K455" i="2" l="1"/>
  <c r="K454" i="2"/>
  <c r="H454" i="2" s="1"/>
  <c r="K106" i="4" l="1"/>
  <c r="K447" i="2"/>
  <c r="K449" i="2"/>
  <c r="K448" i="2" l="1"/>
  <c r="K450" i="2"/>
  <c r="K446" i="2" l="1"/>
  <c r="K442" i="2"/>
  <c r="K444" i="2"/>
  <c r="K443" i="2"/>
  <c r="K440" i="2" l="1"/>
  <c r="K441" i="2"/>
  <c r="P451" i="2" l="1"/>
  <c r="P452" i="2"/>
  <c r="P453" i="2"/>
  <c r="P455" i="2"/>
  <c r="P471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9" i="2"/>
  <c r="P470" i="2"/>
  <c r="P468" i="2"/>
  <c r="P472" i="2"/>
  <c r="P473" i="2"/>
  <c r="P474" i="2"/>
  <c r="P476" i="2"/>
  <c r="P477" i="2"/>
  <c r="P479" i="2"/>
  <c r="P483" i="2"/>
  <c r="P484" i="2"/>
  <c r="P488" i="2"/>
  <c r="K472" i="2"/>
  <c r="K468" i="2"/>
  <c r="K457" i="2"/>
  <c r="K452" i="2"/>
  <c r="K451" i="2"/>
  <c r="K473" i="2" l="1"/>
  <c r="K465" i="2"/>
  <c r="K461" i="2"/>
  <c r="K459" i="2"/>
  <c r="K458" i="2"/>
  <c r="P107" i="4"/>
  <c r="P108" i="4"/>
  <c r="P109" i="4"/>
  <c r="P110" i="4"/>
  <c r="K108" i="4"/>
  <c r="K107" i="4"/>
  <c r="H425" i="2" l="1"/>
  <c r="H455" i="2" l="1"/>
  <c r="K13" i="1"/>
  <c r="K103" i="4"/>
  <c r="K102" i="4"/>
  <c r="K435" i="2"/>
  <c r="K432" i="2"/>
  <c r="K436" i="2"/>
  <c r="P434" i="2" l="1"/>
  <c r="P435" i="2"/>
  <c r="P450" i="2"/>
  <c r="P437" i="2"/>
  <c r="P438" i="2"/>
  <c r="P439" i="2"/>
  <c r="P440" i="2"/>
  <c r="P443" i="2"/>
  <c r="P441" i="2"/>
  <c r="P442" i="2"/>
  <c r="P444" i="2"/>
  <c r="P447" i="2"/>
  <c r="P445" i="2"/>
  <c r="P446" i="2"/>
  <c r="P448" i="2"/>
  <c r="P449" i="2"/>
  <c r="H458" i="2" l="1"/>
  <c r="H459" i="2" s="1"/>
  <c r="K101" i="4"/>
  <c r="K420" i="2"/>
  <c r="K422" i="2"/>
  <c r="H461" i="2" l="1"/>
  <c r="H462" i="2" s="1"/>
  <c r="H465" i="2" s="1"/>
  <c r="H466" i="2" s="1"/>
  <c r="H469" i="2" s="1"/>
  <c r="H470" i="2" s="1"/>
  <c r="H473" i="2" s="1"/>
  <c r="H474" i="2" s="1"/>
  <c r="H478" i="2" s="1"/>
  <c r="H480" i="2" s="1"/>
  <c r="H481" i="2" s="1"/>
  <c r="H485" i="2" s="1"/>
  <c r="H486" i="2" s="1"/>
  <c r="H489" i="2" s="1"/>
  <c r="H490" i="2" s="1"/>
  <c r="H493" i="2" s="1"/>
  <c r="H494" i="2" s="1"/>
  <c r="H498" i="2" s="1"/>
  <c r="H499" i="2" s="1"/>
  <c r="H502" i="2" s="1"/>
  <c r="H503" i="2" s="1"/>
  <c r="H510" i="2" s="1"/>
  <c r="K471" i="2"/>
  <c r="K437" i="2"/>
  <c r="K445" i="2"/>
  <c r="K439" i="2"/>
  <c r="K438" i="2"/>
  <c r="K434" i="2"/>
  <c r="P432" i="2"/>
  <c r="P13" i="1" l="1"/>
  <c r="P102" i="4" l="1"/>
  <c r="P103" i="4"/>
  <c r="P104" i="4"/>
  <c r="P105" i="4"/>
  <c r="P106" i="4"/>
  <c r="K417" i="2" l="1"/>
  <c r="K418" i="2"/>
  <c r="P436" i="2" l="1"/>
  <c r="P433" i="2"/>
  <c r="K433" i="2"/>
  <c r="P430" i="2"/>
  <c r="K430" i="2"/>
  <c r="P429" i="2"/>
  <c r="K429" i="2"/>
  <c r="K411" i="2" l="1"/>
  <c r="K413" i="2"/>
  <c r="K409" i="2"/>
  <c r="P422" i="2" l="1"/>
  <c r="P423" i="2"/>
  <c r="P426" i="2"/>
  <c r="P427" i="2"/>
  <c r="P431" i="2"/>
  <c r="P428" i="2"/>
  <c r="K426" i="2" l="1"/>
  <c r="P421" i="2"/>
  <c r="K421" i="2"/>
  <c r="P420" i="2"/>
  <c r="K431" i="2"/>
  <c r="K427" i="2"/>
  <c r="K423" i="2"/>
  <c r="K105" i="4" l="1"/>
  <c r="K104" i="4"/>
  <c r="K405" i="2" l="1"/>
  <c r="K410" i="2" l="1"/>
  <c r="K407" i="2"/>
  <c r="K403" i="2"/>
  <c r="K99" i="4"/>
  <c r="K98" i="4" l="1"/>
  <c r="K399" i="2" l="1"/>
  <c r="K396" i="2"/>
  <c r="K97" i="4"/>
  <c r="K392" i="2" l="1"/>
  <c r="K387" i="2"/>
  <c r="K391" i="2"/>
  <c r="K390" i="2"/>
  <c r="K389" i="2"/>
  <c r="K95" i="4"/>
  <c r="K385" i="2" l="1"/>
  <c r="K379" i="2" l="1"/>
  <c r="K376" i="2"/>
  <c r="K375" i="2"/>
  <c r="K381" i="2"/>
  <c r="K378" i="2"/>
  <c r="K377" i="2"/>
  <c r="K374" i="2"/>
  <c r="K94" i="4"/>
  <c r="K12" i="1"/>
  <c r="K428" i="2" l="1"/>
  <c r="H428" i="2" l="1"/>
  <c r="H450" i="2" s="1"/>
  <c r="H471" i="2" s="1"/>
  <c r="H475" i="2" s="1"/>
  <c r="H482" i="2" s="1"/>
  <c r="H487" i="2" s="1"/>
  <c r="H495" i="2" s="1"/>
  <c r="P388" i="2"/>
  <c r="P390" i="2"/>
  <c r="P391" i="2"/>
  <c r="P395" i="2"/>
  <c r="P396" i="2"/>
  <c r="P399" i="2"/>
  <c r="P400" i="2"/>
  <c r="P403" i="2"/>
  <c r="P404" i="2"/>
  <c r="P406" i="2"/>
  <c r="P407" i="2"/>
  <c r="P410" i="2"/>
  <c r="P411" i="2"/>
  <c r="P415" i="2"/>
  <c r="P416" i="2"/>
  <c r="P418" i="2"/>
  <c r="P419" i="2"/>
  <c r="K395" i="2"/>
  <c r="K400" i="2"/>
  <c r="K404" i="2"/>
  <c r="K406" i="2"/>
  <c r="K415" i="2"/>
  <c r="K416" i="2"/>
  <c r="K419" i="2"/>
  <c r="P394" i="2"/>
  <c r="P397" i="2"/>
  <c r="P398" i="2"/>
  <c r="P401" i="2"/>
  <c r="P402" i="2"/>
  <c r="P405" i="2"/>
  <c r="P408" i="2"/>
  <c r="P409" i="2"/>
  <c r="P413" i="2"/>
  <c r="P414" i="2"/>
  <c r="P417" i="2"/>
  <c r="K394" i="2"/>
  <c r="K397" i="2"/>
  <c r="K398" i="2"/>
  <c r="K401" i="2"/>
  <c r="K402" i="2"/>
  <c r="K408" i="2"/>
  <c r="K414" i="2"/>
  <c r="H504" i="2" l="1"/>
  <c r="H500" i="2" s="1"/>
  <c r="H508" i="2" s="1"/>
  <c r="H520" i="2" s="1"/>
  <c r="K373" i="2"/>
  <c r="H528" i="2" l="1"/>
  <c r="H540" i="2" s="1"/>
  <c r="H567" i="2" s="1"/>
  <c r="K372" i="2"/>
  <c r="K367" i="2"/>
  <c r="H585" i="2" l="1"/>
  <c r="K388" i="2"/>
  <c r="P389" i="2"/>
  <c r="P412" i="2"/>
  <c r="P424" i="2"/>
  <c r="K412" i="2"/>
  <c r="H604" i="2" l="1"/>
  <c r="P12" i="1"/>
  <c r="K366" i="2" l="1"/>
  <c r="K360" i="2" l="1"/>
  <c r="K359" i="2"/>
  <c r="K363" i="2"/>
  <c r="K355" i="2" l="1"/>
  <c r="K354" i="2"/>
  <c r="K90" i="4"/>
  <c r="P367" i="2" l="1"/>
  <c r="P368" i="2"/>
  <c r="K347" i="2" l="1"/>
  <c r="K342" i="2"/>
  <c r="K350" i="2"/>
  <c r="K346" i="2"/>
  <c r="K345" i="2"/>
  <c r="K338" i="2"/>
  <c r="K89" i="4"/>
  <c r="K88" i="4"/>
  <c r="P98" i="4" l="1"/>
  <c r="P99" i="4"/>
  <c r="P100" i="4"/>
  <c r="P101" i="4"/>
  <c r="K100" i="4"/>
  <c r="P93" i="4"/>
  <c r="P94" i="4"/>
  <c r="P95" i="4"/>
  <c r="P96" i="4"/>
  <c r="P97" i="4"/>
  <c r="K93" i="4"/>
  <c r="K96" i="4"/>
  <c r="K368" i="2"/>
  <c r="K369" i="2"/>
  <c r="K380" i="2"/>
  <c r="K382" i="2"/>
  <c r="K383" i="2"/>
  <c r="K386" i="2"/>
  <c r="K393" i="2"/>
  <c r="P369" i="2"/>
  <c r="P372" i="2"/>
  <c r="P373" i="2"/>
  <c r="P375" i="2"/>
  <c r="P376" i="2"/>
  <c r="P379" i="2"/>
  <c r="P380" i="2"/>
  <c r="P382" i="2"/>
  <c r="P383" i="2"/>
  <c r="P386" i="2"/>
  <c r="P387" i="2"/>
  <c r="P392" i="2"/>
  <c r="P393" i="2"/>
  <c r="K362" i="2" l="1"/>
  <c r="K370" i="2"/>
  <c r="K371" i="2"/>
  <c r="K384" i="2"/>
  <c r="P366" i="2"/>
  <c r="P362" i="2"/>
  <c r="P370" i="2"/>
  <c r="P371" i="2"/>
  <c r="P374" i="2"/>
  <c r="P377" i="2"/>
  <c r="P378" i="2"/>
  <c r="P381" i="2"/>
  <c r="P384" i="2"/>
  <c r="P385" i="2"/>
  <c r="P360" i="2" l="1"/>
  <c r="P361" i="2"/>
  <c r="P358" i="2" l="1"/>
  <c r="P359" i="2"/>
  <c r="P363" i="2"/>
  <c r="P364" i="2"/>
  <c r="P365" i="2"/>
  <c r="P89" i="4" l="1"/>
  <c r="P90" i="4"/>
  <c r="P91" i="4"/>
  <c r="P92" i="4"/>
  <c r="P344" i="2" l="1"/>
  <c r="P345" i="2"/>
  <c r="P346" i="2"/>
  <c r="K344" i="2" l="1"/>
  <c r="K336" i="2" l="1"/>
  <c r="K333" i="2" l="1"/>
  <c r="H333" i="2" s="1"/>
  <c r="P349" i="2" l="1"/>
  <c r="P350" i="2"/>
  <c r="P351" i="2"/>
  <c r="P352" i="2"/>
  <c r="P353" i="2"/>
  <c r="P354" i="2"/>
  <c r="P355" i="2"/>
  <c r="P356" i="2"/>
  <c r="P357" i="2"/>
  <c r="P88" i="4" l="1"/>
  <c r="P339" i="2" l="1"/>
  <c r="K86" i="4" l="1"/>
  <c r="K331" i="2"/>
  <c r="K349" i="2" l="1"/>
  <c r="K339" i="2"/>
  <c r="H339" i="2" s="1"/>
  <c r="K334" i="2"/>
  <c r="H334" i="2" s="1"/>
  <c r="K332" i="2"/>
  <c r="P338" i="2"/>
  <c r="H344" i="2" l="1"/>
  <c r="H345" i="2" s="1"/>
  <c r="H349" i="2" s="1"/>
  <c r="H354" i="2" s="1"/>
  <c r="H355" i="2" s="1"/>
  <c r="H359" i="2" s="1"/>
  <c r="H360" i="2" s="1"/>
  <c r="H388" i="2" s="1"/>
  <c r="H389" i="2" s="1"/>
  <c r="H338" i="2"/>
  <c r="P87" i="4"/>
  <c r="K327" i="2" l="1"/>
  <c r="H325" i="2"/>
  <c r="K324" i="2"/>
  <c r="P334" i="2" l="1"/>
  <c r="P333" i="2" l="1"/>
  <c r="K321" i="2" l="1"/>
  <c r="K85" i="4"/>
  <c r="P324" i="2"/>
  <c r="H324" i="2"/>
  <c r="K320" i="2" l="1"/>
  <c r="P330" i="2" l="1"/>
  <c r="P331" i="2"/>
  <c r="P332" i="2"/>
  <c r="P335" i="2"/>
  <c r="P340" i="2"/>
  <c r="P336" i="2"/>
  <c r="P337" i="2"/>
  <c r="P341" i="2"/>
  <c r="P342" i="2"/>
  <c r="P343" i="2"/>
  <c r="P347" i="2"/>
  <c r="P348" i="2"/>
  <c r="K343" i="2" l="1"/>
  <c r="K365" i="2"/>
  <c r="K364" i="2"/>
  <c r="K358" i="2"/>
  <c r="K357" i="2"/>
  <c r="K353" i="2"/>
  <c r="K352" i="2"/>
  <c r="K348" i="2"/>
  <c r="K337" i="2"/>
  <c r="K361" i="2"/>
  <c r="K356" i="2"/>
  <c r="K351" i="2"/>
  <c r="K341" i="2"/>
  <c r="K340" i="2"/>
  <c r="K335" i="2"/>
  <c r="K330" i="2"/>
  <c r="K318" i="2" l="1"/>
  <c r="K92" i="4" l="1"/>
  <c r="K91" i="4"/>
  <c r="K84" i="4"/>
  <c r="K87" i="4"/>
  <c r="K314" i="2" l="1"/>
  <c r="K313" i="2"/>
  <c r="K311" i="2"/>
  <c r="K308" i="2"/>
  <c r="K312" i="2"/>
  <c r="K307" i="2" l="1"/>
  <c r="K304" i="2"/>
  <c r="K3" i="3"/>
  <c r="K305" i="2"/>
  <c r="K302" i="2" l="1"/>
  <c r="K11" i="1" l="1"/>
  <c r="K299" i="2"/>
  <c r="K300" i="2"/>
  <c r="K296" i="2"/>
  <c r="K297" i="2" l="1"/>
  <c r="K292" i="2" l="1"/>
  <c r="K294" i="2"/>
  <c r="H79" i="4"/>
  <c r="H266" i="2"/>
  <c r="H267" i="2"/>
  <c r="K284" i="2" l="1"/>
  <c r="K290" i="2"/>
  <c r="K289" i="2"/>
  <c r="K287" i="2"/>
  <c r="K286" i="2"/>
  <c r="K283" i="2"/>
  <c r="P82" i="4" l="1"/>
  <c r="P83" i="4"/>
  <c r="P84" i="4"/>
  <c r="P85" i="4"/>
  <c r="P86" i="4"/>
  <c r="K82" i="4"/>
  <c r="K83" i="4"/>
  <c r="P304" i="2"/>
  <c r="P307" i="2"/>
  <c r="P308" i="2"/>
  <c r="P311" i="2"/>
  <c r="P314" i="2"/>
  <c r="P321" i="2"/>
  <c r="P315" i="2"/>
  <c r="P318" i="2"/>
  <c r="P322" i="2"/>
  <c r="P326" i="2"/>
  <c r="P329" i="2"/>
  <c r="K315" i="2"/>
  <c r="K322" i="2"/>
  <c r="K326" i="2"/>
  <c r="K329" i="2"/>
  <c r="P302" i="2"/>
  <c r="P305" i="2"/>
  <c r="P306" i="2"/>
  <c r="P309" i="2"/>
  <c r="P310" i="2"/>
  <c r="P312" i="2"/>
  <c r="P313" i="2"/>
  <c r="P316" i="2"/>
  <c r="P317" i="2"/>
  <c r="P319" i="2"/>
  <c r="P320" i="2"/>
  <c r="P323" i="2"/>
  <c r="P325" i="2"/>
  <c r="P327" i="2"/>
  <c r="P328" i="2"/>
  <c r="K306" i="2"/>
  <c r="K309" i="2"/>
  <c r="K310" i="2"/>
  <c r="K316" i="2"/>
  <c r="K317" i="2"/>
  <c r="K319" i="2"/>
  <c r="K323" i="2"/>
  <c r="K328" i="2"/>
  <c r="H327" i="2" l="1"/>
  <c r="H328" i="2" s="1"/>
  <c r="P80" i="4"/>
  <c r="P81" i="4"/>
  <c r="H331" i="2" l="1"/>
  <c r="H332" i="2" s="1"/>
  <c r="H336" i="2" s="1"/>
  <c r="H337" i="2" s="1"/>
  <c r="H342" i="2" s="1"/>
  <c r="H343" i="2" s="1"/>
  <c r="H347" i="2" s="1"/>
  <c r="H348" i="2" s="1"/>
  <c r="H352" i="2" s="1"/>
  <c r="P291" i="2"/>
  <c r="P292" i="2"/>
  <c r="P293" i="2"/>
  <c r="P294" i="2"/>
  <c r="P295" i="2"/>
  <c r="P296" i="2"/>
  <c r="P297" i="2"/>
  <c r="P298" i="2"/>
  <c r="P300" i="2"/>
  <c r="P303" i="2"/>
  <c r="P299" i="2"/>
  <c r="P301" i="2"/>
  <c r="H353" i="2" l="1"/>
  <c r="H357" i="2" s="1"/>
  <c r="H358" i="2" s="1"/>
  <c r="H364" i="2" s="1"/>
  <c r="H365" i="2" s="1"/>
  <c r="H368" i="2" s="1"/>
  <c r="H369" i="2" s="1"/>
  <c r="H372" i="2" s="1"/>
  <c r="H373" i="2" s="1"/>
  <c r="H375" i="2" s="1"/>
  <c r="H376" i="2" s="1"/>
  <c r="H379" i="2" s="1"/>
  <c r="H380" i="2" s="1"/>
  <c r="H382" i="2" s="1"/>
  <c r="H383" i="2" s="1"/>
  <c r="H386" i="2" s="1"/>
  <c r="H387" i="2" s="1"/>
  <c r="H392" i="2" s="1"/>
  <c r="H393" i="2" s="1"/>
  <c r="H395" i="2" s="1"/>
  <c r="H396" i="2" s="1"/>
  <c r="H399" i="2" s="1"/>
  <c r="H400" i="2" s="1"/>
  <c r="H403" i="2" s="1"/>
  <c r="H404" i="2" s="1"/>
  <c r="H406" i="2" s="1"/>
  <c r="H407" i="2" s="1"/>
  <c r="K77" i="4"/>
  <c r="H410" i="2" l="1"/>
  <c r="H411" i="2" s="1"/>
  <c r="H415" i="2" s="1"/>
  <c r="P11" i="1"/>
  <c r="P3" i="3"/>
  <c r="H3" i="3"/>
  <c r="K282" i="2"/>
  <c r="H416" i="2" l="1"/>
  <c r="H418" i="2" s="1"/>
  <c r="H419" i="2" s="1"/>
  <c r="P290" i="2"/>
  <c r="P289" i="2"/>
  <c r="P288" i="2"/>
  <c r="H422" i="2" l="1"/>
  <c r="H423" i="2" s="1"/>
  <c r="H427" i="2" s="1"/>
  <c r="H431" i="2" s="1"/>
  <c r="P78" i="4"/>
  <c r="H432" i="2" l="1"/>
  <c r="H434" i="2" s="1"/>
  <c r="H435" i="2" s="1"/>
  <c r="H438" i="2" s="1"/>
  <c r="H439" i="2" s="1"/>
  <c r="H441" i="2" s="1"/>
  <c r="H442" i="2" s="1"/>
  <c r="H445" i="2" s="1"/>
  <c r="H446" i="2" s="1"/>
  <c r="H448" i="2" s="1"/>
  <c r="H449" i="2" s="1"/>
  <c r="H453" i="2" s="1"/>
  <c r="K76" i="4"/>
  <c r="K80" i="4"/>
  <c r="K81" i="4"/>
  <c r="P287" i="2" l="1"/>
  <c r="P77" i="4" l="1"/>
  <c r="K274" i="2" l="1"/>
  <c r="K273" i="2" l="1"/>
  <c r="H77" i="4" l="1"/>
  <c r="H78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l="1"/>
  <c r="K270" i="2"/>
  <c r="K271" i="2"/>
  <c r="K269" i="2"/>
  <c r="H118" i="4" l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P76" i="4"/>
  <c r="P278" i="2" l="1"/>
  <c r="P279" i="2"/>
  <c r="P280" i="2"/>
  <c r="P281" i="2"/>
  <c r="P282" i="2"/>
  <c r="P283" i="2"/>
  <c r="P284" i="2"/>
  <c r="P285" i="2"/>
  <c r="P286" i="2"/>
  <c r="P277" i="2"/>
  <c r="K265" i="2" l="1"/>
  <c r="K263" i="2"/>
  <c r="P276" i="2" l="1"/>
  <c r="K303" i="2"/>
  <c r="K295" i="2"/>
  <c r="K291" i="2"/>
  <c r="K288" i="2"/>
  <c r="K285" i="2"/>
  <c r="K281" i="2"/>
  <c r="K278" i="2"/>
  <c r="K277" i="2"/>
  <c r="K301" i="2" l="1"/>
  <c r="K298" i="2"/>
  <c r="K293" i="2"/>
  <c r="K280" i="2"/>
  <c r="K279" i="2"/>
  <c r="K276" i="2"/>
  <c r="P274" i="2"/>
  <c r="P273" i="2"/>
  <c r="K257" i="2" l="1"/>
  <c r="K256" i="2"/>
  <c r="K255" i="2" l="1"/>
  <c r="K254" i="2"/>
  <c r="P260" i="2" l="1"/>
  <c r="P261" i="2"/>
  <c r="P263" i="2"/>
  <c r="P264" i="2"/>
  <c r="P268" i="2"/>
  <c r="P269" i="2"/>
  <c r="P271" i="2"/>
  <c r="P272" i="2"/>
  <c r="P275" i="2"/>
  <c r="K260" i="2"/>
  <c r="K261" i="2"/>
  <c r="K264" i="2"/>
  <c r="K268" i="2"/>
  <c r="K272" i="2"/>
  <c r="K275" i="2"/>
  <c r="K75" i="4" l="1"/>
  <c r="H75" i="4" s="1"/>
  <c r="H76" i="4" s="1"/>
  <c r="P258" i="2" l="1"/>
  <c r="P259" i="2"/>
  <c r="P262" i="2"/>
  <c r="P265" i="2"/>
  <c r="P266" i="2"/>
  <c r="P270" i="2"/>
  <c r="K258" i="2"/>
  <c r="K259" i="2"/>
  <c r="K262" i="2"/>
  <c r="H270" i="2"/>
  <c r="H273" i="2" l="1"/>
  <c r="H274" i="2" s="1"/>
  <c r="H277" i="2" s="1"/>
  <c r="H278" i="2" s="1"/>
  <c r="H281" i="2" s="1"/>
  <c r="H284" i="2" s="1"/>
  <c r="H285" i="2" s="1"/>
  <c r="H288" i="2" s="1"/>
  <c r="H291" i="2" s="1"/>
  <c r="H292" i="2" s="1"/>
  <c r="H295" i="2" s="1"/>
  <c r="H296" i="2" s="1"/>
  <c r="H300" i="2" s="1"/>
  <c r="H303" i="2" s="1"/>
  <c r="H304" i="2" s="1"/>
  <c r="H307" i="2" s="1"/>
  <c r="H308" i="2" s="1"/>
  <c r="H311" i="2" s="1"/>
  <c r="H314" i="2" s="1"/>
  <c r="H315" i="2" s="1"/>
  <c r="H318" i="2" s="1"/>
  <c r="H321" i="2" s="1"/>
  <c r="K251" i="2"/>
  <c r="K10" i="1"/>
  <c r="H322" i="2" l="1"/>
  <c r="H326" i="2" s="1"/>
  <c r="H329" i="2" s="1"/>
  <c r="H330" i="2" s="1"/>
  <c r="H335" i="2" s="1"/>
  <c r="P255" i="2"/>
  <c r="P256" i="2"/>
  <c r="P257" i="2"/>
  <c r="P253" i="2"/>
  <c r="P254" i="2"/>
  <c r="H340" i="2" l="1"/>
  <c r="H341" i="2" s="1"/>
  <c r="H346" i="2" s="1"/>
  <c r="H350" i="2" s="1"/>
  <c r="K253" i="2"/>
  <c r="H351" i="2" l="1"/>
  <c r="P251" i="2"/>
  <c r="P252" i="2"/>
  <c r="K252" i="2"/>
  <c r="H361" i="2" l="1"/>
  <c r="H362" i="2" s="1"/>
  <c r="H366" i="2" s="1"/>
  <c r="H367" i="2" s="1"/>
  <c r="H370" i="2" s="1"/>
  <c r="H371" i="2" s="1"/>
  <c r="H374" i="2" s="1"/>
  <c r="H377" i="2" s="1"/>
  <c r="H378" i="2" s="1"/>
  <c r="H381" i="2" s="1"/>
  <c r="H384" i="2" s="1"/>
  <c r="H385" i="2" s="1"/>
  <c r="H390" i="2" s="1"/>
  <c r="H391" i="2" s="1"/>
  <c r="H394" i="2" s="1"/>
  <c r="H397" i="2" s="1"/>
  <c r="H398" i="2" s="1"/>
  <c r="H401" i="2" s="1"/>
  <c r="H402" i="2" s="1"/>
  <c r="H405" i="2" s="1"/>
  <c r="H408" i="2" s="1"/>
  <c r="H409" i="2" s="1"/>
  <c r="H413" i="2" s="1"/>
  <c r="H414" i="2" s="1"/>
  <c r="H417" i="2" s="1"/>
  <c r="H420" i="2" s="1"/>
  <c r="H421" i="2" s="1"/>
  <c r="H426" i="2" s="1"/>
  <c r="H429" i="2" s="1"/>
  <c r="P75" i="4"/>
  <c r="H430" i="2" l="1"/>
  <c r="H433" i="2" s="1"/>
  <c r="H436" i="2" s="1"/>
  <c r="H437" i="2" s="1"/>
  <c r="H440" i="2" s="1"/>
  <c r="H443" i="2" s="1"/>
  <c r="H444" i="2" s="1"/>
  <c r="H447" i="2" s="1"/>
  <c r="K250" i="2"/>
  <c r="H451" i="2" l="1"/>
  <c r="H452" i="2" s="1"/>
  <c r="H456" i="2" s="1"/>
  <c r="H457" i="2" s="1"/>
  <c r="H460" i="2" s="1"/>
  <c r="H463" i="2" s="1"/>
  <c r="H464" i="2" s="1"/>
  <c r="H467" i="2" s="1"/>
  <c r="H468" i="2" s="1"/>
  <c r="H472" i="2" s="1"/>
  <c r="H476" i="2" s="1"/>
  <c r="H477" i="2" s="1"/>
  <c r="H479" i="2" s="1"/>
  <c r="H483" i="2" s="1"/>
  <c r="H484" i="2" s="1"/>
  <c r="H488" i="2" s="1"/>
  <c r="H491" i="2" s="1"/>
  <c r="H492" i="2" s="1"/>
  <c r="H496" i="2" s="1"/>
  <c r="K74" i="4"/>
  <c r="H497" i="2" l="1"/>
  <c r="H501" i="2" s="1"/>
  <c r="P250" i="2"/>
  <c r="H505" i="2" l="1"/>
  <c r="H506" i="2" s="1"/>
  <c r="H509" i="2" s="1"/>
  <c r="H513" i="2" s="1"/>
  <c r="H514" i="2" s="1"/>
  <c r="H517" i="2" s="1"/>
  <c r="H74" i="4"/>
  <c r="H521" i="2" l="1"/>
  <c r="H522" i="2" s="1"/>
  <c r="H525" i="2" s="1"/>
  <c r="H529" i="2" s="1"/>
  <c r="H530" i="2" s="1"/>
  <c r="H533" i="2" s="1"/>
  <c r="H534" i="2" s="1"/>
  <c r="H537" i="2" s="1"/>
  <c r="H541" i="2" s="1"/>
  <c r="H542" i="2" s="1"/>
  <c r="H545" i="2" s="1"/>
  <c r="H546" i="2" s="1"/>
  <c r="H549" i="2" s="1"/>
  <c r="H552" i="2" s="1"/>
  <c r="H553" i="2" s="1"/>
  <c r="H556" i="2" s="1"/>
  <c r="H561" i="2" s="1"/>
  <c r="H564" i="2" s="1"/>
  <c r="H565" i="2" s="1"/>
  <c r="H568" i="2" s="1"/>
  <c r="H571" i="2" s="1"/>
  <c r="H572" i="2" s="1"/>
  <c r="H575" i="2" s="1"/>
  <c r="H578" i="2" s="1"/>
  <c r="H579" i="2" s="1"/>
  <c r="H582" i="2" s="1"/>
  <c r="P10" i="1"/>
  <c r="H586" i="2" l="1"/>
  <c r="H587" i="2"/>
  <c r="H590" i="2" s="1"/>
  <c r="H591" i="2" s="1"/>
  <c r="H594" i="2" s="1"/>
  <c r="H597" i="2" s="1"/>
  <c r="H598" i="2" s="1"/>
  <c r="H601" i="2" s="1"/>
  <c r="H605" i="2" s="1"/>
  <c r="H606" i="2" s="1"/>
  <c r="H609" i="2" s="1"/>
  <c r="H560" i="2"/>
  <c r="P74" i="4"/>
  <c r="K72" i="4" l="1"/>
  <c r="P73" i="4" l="1"/>
  <c r="K73" i="4"/>
  <c r="H73" i="4" s="1"/>
  <c r="H72" i="4" l="1"/>
  <c r="P72" i="4"/>
  <c r="K9" i="1" l="1"/>
  <c r="P9" i="1"/>
  <c r="K8" i="1" l="1"/>
  <c r="P8" i="1" l="1"/>
  <c r="K71" i="4" l="1"/>
  <c r="K246" i="2"/>
  <c r="K243" i="2"/>
  <c r="K241" i="2"/>
  <c r="P243" i="2" l="1"/>
  <c r="P244" i="2"/>
  <c r="P247" i="2"/>
  <c r="K244" i="2"/>
  <c r="K247" i="2"/>
  <c r="P246" i="2"/>
  <c r="P248" i="2"/>
  <c r="P249" i="2"/>
  <c r="K248" i="2"/>
  <c r="K249" i="2"/>
  <c r="P71" i="4"/>
  <c r="K68" i="4" l="1"/>
  <c r="K236" i="2" l="1"/>
  <c r="P70" i="4" l="1"/>
  <c r="K70" i="4"/>
  <c r="K232" i="2" l="1"/>
  <c r="K230" i="2" l="1"/>
  <c r="P225" i="2" l="1"/>
  <c r="K224" i="2"/>
  <c r="H224" i="2" s="1"/>
  <c r="K231" i="2"/>
  <c r="K220" i="2" l="1"/>
  <c r="K217" i="2"/>
  <c r="K222" i="2"/>
  <c r="K218" i="2"/>
  <c r="K66" i="4"/>
  <c r="K67" i="4"/>
  <c r="K69" i="4"/>
  <c r="K65" i="4"/>
  <c r="K64" i="4"/>
  <c r="K7" i="1"/>
  <c r="K214" i="2" l="1"/>
  <c r="K63" i="4" l="1"/>
  <c r="K212" i="2"/>
  <c r="K210" i="2"/>
  <c r="P228" i="2" l="1"/>
  <c r="P229" i="2"/>
  <c r="P231" i="2"/>
  <c r="P233" i="2"/>
  <c r="P236" i="2"/>
  <c r="P237" i="2"/>
  <c r="P241" i="2"/>
  <c r="P242" i="2"/>
  <c r="P245" i="2"/>
  <c r="K228" i="2"/>
  <c r="H228" i="2" s="1"/>
  <c r="K229" i="2"/>
  <c r="K233" i="2"/>
  <c r="K237" i="2"/>
  <c r="K242" i="2"/>
  <c r="K245" i="2"/>
  <c r="P224" i="2"/>
  <c r="P222" i="2"/>
  <c r="P226" i="2"/>
  <c r="P227" i="2"/>
  <c r="P230" i="2"/>
  <c r="P232" i="2"/>
  <c r="P234" i="2"/>
  <c r="P235" i="2"/>
  <c r="P238" i="2"/>
  <c r="P239" i="2"/>
  <c r="P240" i="2"/>
  <c r="K226" i="2"/>
  <c r="K227" i="2"/>
  <c r="K234" i="2"/>
  <c r="K235" i="2"/>
  <c r="K238" i="2"/>
  <c r="K239" i="2"/>
  <c r="K240" i="2"/>
  <c r="K211" i="2"/>
  <c r="H229" i="2" l="1"/>
  <c r="H231" i="2" s="1"/>
  <c r="H233" i="2" s="1"/>
  <c r="H236" i="2" s="1"/>
  <c r="H237" i="2" s="1"/>
  <c r="H241" i="2" s="1"/>
  <c r="H242" i="2" s="1"/>
  <c r="H245" i="2" s="1"/>
  <c r="H246" i="2" s="1"/>
  <c r="H248" i="2" s="1"/>
  <c r="H249" i="2" s="1"/>
  <c r="H250" i="2" s="1"/>
  <c r="H251" i="2" s="1"/>
  <c r="H252" i="2" s="1"/>
  <c r="H260" i="2" s="1"/>
  <c r="H261" i="2" s="1"/>
  <c r="H263" i="2" s="1"/>
  <c r="H264" i="2" s="1"/>
  <c r="H268" i="2" s="1"/>
  <c r="H269" i="2" s="1"/>
  <c r="K209" i="2"/>
  <c r="K204" i="2"/>
  <c r="K62" i="4"/>
  <c r="H271" i="2" l="1"/>
  <c r="P64" i="4"/>
  <c r="P65" i="4"/>
  <c r="P66" i="4"/>
  <c r="P67" i="4"/>
  <c r="P68" i="4"/>
  <c r="P69" i="4"/>
  <c r="H272" i="2" l="1"/>
  <c r="H275" i="2" s="1"/>
  <c r="H276" i="2" s="1"/>
  <c r="H279" i="2" s="1"/>
  <c r="H280" i="2" s="1"/>
  <c r="H282" i="2" s="1"/>
  <c r="H283" i="2" s="1"/>
  <c r="H286" i="2" s="1"/>
  <c r="H287" i="2" s="1"/>
  <c r="H289" i="2" s="1"/>
  <c r="H290" i="2" s="1"/>
  <c r="H293" i="2" s="1"/>
  <c r="H294" i="2" s="1"/>
  <c r="H297" i="2" s="1"/>
  <c r="H298" i="2" s="1"/>
  <c r="H299" i="2" s="1"/>
  <c r="H301" i="2" s="1"/>
  <c r="H302" i="2" s="1"/>
  <c r="H305" i="2" s="1"/>
  <c r="H306" i="2" s="1"/>
  <c r="H309" i="2" s="1"/>
  <c r="H310" i="2" s="1"/>
  <c r="H312" i="2" s="1"/>
  <c r="H313" i="2" s="1"/>
  <c r="H316" i="2" s="1"/>
  <c r="H317" i="2" s="1"/>
  <c r="H319" i="2" s="1"/>
  <c r="H320" i="2" s="1"/>
  <c r="H323" i="2" s="1"/>
  <c r="P7" i="1"/>
  <c r="K203" i="2" l="1"/>
  <c r="K200" i="2"/>
  <c r="K60" i="4"/>
  <c r="K197" i="2"/>
  <c r="K199" i="2"/>
  <c r="K195" i="2" l="1"/>
  <c r="K59" i="4"/>
  <c r="K193" i="2"/>
  <c r="K192" i="2"/>
  <c r="P207" i="2" l="1"/>
  <c r="K207" i="2"/>
  <c r="K188" i="2" l="1"/>
  <c r="K189" i="2" l="1"/>
  <c r="P199" i="2" l="1"/>
  <c r="K187" i="2" l="1"/>
  <c r="K185" i="2"/>
  <c r="K182" i="2" l="1"/>
  <c r="P198" i="2" l="1"/>
  <c r="K198" i="2"/>
  <c r="K184" i="2" l="1"/>
  <c r="K180" i="2"/>
  <c r="P58" i="4" l="1"/>
  <c r="P59" i="4"/>
  <c r="P61" i="4"/>
  <c r="P62" i="4"/>
  <c r="P60" i="4"/>
  <c r="P63" i="4"/>
  <c r="K58" i="4"/>
  <c r="K61" i="4"/>
  <c r="P202" i="2"/>
  <c r="P203" i="2"/>
  <c r="P205" i="2"/>
  <c r="P206" i="2"/>
  <c r="P209" i="2"/>
  <c r="P216" i="2"/>
  <c r="P212" i="2"/>
  <c r="P213" i="2"/>
  <c r="P217" i="2"/>
  <c r="P220" i="2"/>
  <c r="P221" i="2"/>
  <c r="P223" i="2"/>
  <c r="K202" i="2"/>
  <c r="K205" i="2"/>
  <c r="K206" i="2"/>
  <c r="K216" i="2"/>
  <c r="K213" i="2"/>
  <c r="K221" i="2"/>
  <c r="K223" i="2"/>
  <c r="P219" i="2"/>
  <c r="K219" i="2"/>
  <c r="P197" i="2"/>
  <c r="P200" i="2"/>
  <c r="P201" i="2"/>
  <c r="P204" i="2"/>
  <c r="P210" i="2"/>
  <c r="P208" i="2"/>
  <c r="P214" i="2"/>
  <c r="P215" i="2"/>
  <c r="P211" i="2"/>
  <c r="P218" i="2"/>
  <c r="K201" i="2"/>
  <c r="K208" i="2"/>
  <c r="K215" i="2"/>
  <c r="K179" i="2" l="1"/>
  <c r="K178" i="2" l="1"/>
  <c r="K175" i="2" l="1"/>
  <c r="K174" i="2"/>
  <c r="K55" i="4"/>
  <c r="K170" i="2"/>
  <c r="K53" i="4"/>
  <c r="K167" i="2"/>
  <c r="K169" i="2"/>
  <c r="K6" i="1"/>
  <c r="K5" i="1"/>
  <c r="H6" i="1" l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K52" i="4"/>
  <c r="K162" i="2"/>
  <c r="K161" i="2"/>
  <c r="K160" i="2"/>
  <c r="K51" i="4"/>
  <c r="K159" i="2"/>
  <c r="K155" i="2"/>
  <c r="K156" i="2"/>
  <c r="K154" i="2"/>
  <c r="K152" i="2"/>
  <c r="K149" i="2"/>
  <c r="K148" i="2"/>
  <c r="K146" i="2"/>
  <c r="K144" i="2"/>
  <c r="K145" i="2"/>
  <c r="P184" i="2" l="1"/>
  <c r="P186" i="2"/>
  <c r="P187" i="2"/>
  <c r="P189" i="2"/>
  <c r="P190" i="2"/>
  <c r="P194" i="2"/>
  <c r="P195" i="2"/>
  <c r="P191" i="2"/>
  <c r="K186" i="2"/>
  <c r="K190" i="2"/>
  <c r="K194" i="2"/>
  <c r="K191" i="2"/>
  <c r="P181" i="2"/>
  <c r="P182" i="2"/>
  <c r="P185" i="2"/>
  <c r="P188" i="2"/>
  <c r="P193" i="2"/>
  <c r="P192" i="2"/>
  <c r="P196" i="2"/>
  <c r="K181" i="2"/>
  <c r="K196" i="2"/>
  <c r="K141" i="2" l="1"/>
  <c r="K139" i="2"/>
  <c r="K134" i="2" l="1"/>
  <c r="K130" i="2" l="1"/>
  <c r="K131" i="2"/>
  <c r="K136" i="2"/>
  <c r="P48" i="4" l="1"/>
  <c r="P49" i="4"/>
  <c r="P50" i="4"/>
  <c r="P51" i="4"/>
  <c r="P52" i="4"/>
  <c r="P53" i="4"/>
  <c r="P54" i="4"/>
  <c r="P55" i="4"/>
  <c r="P56" i="4"/>
  <c r="P57" i="4"/>
  <c r="K48" i="4"/>
  <c r="K49" i="4"/>
  <c r="K50" i="4"/>
  <c r="K54" i="4"/>
  <c r="K56" i="4"/>
  <c r="K57" i="4"/>
  <c r="P145" i="2"/>
  <c r="P146" i="2"/>
  <c r="P148" i="2"/>
  <c r="P150" i="2"/>
  <c r="P151" i="2"/>
  <c r="P154" i="2"/>
  <c r="P155" i="2"/>
  <c r="P159" i="2"/>
  <c r="P160" i="2"/>
  <c r="P163" i="2"/>
  <c r="P164" i="2"/>
  <c r="P166" i="2"/>
  <c r="P169" i="2"/>
  <c r="P170" i="2"/>
  <c r="P172" i="2"/>
  <c r="P173" i="2"/>
  <c r="P176" i="2"/>
  <c r="P177" i="2"/>
  <c r="P180" i="2"/>
  <c r="P183" i="2"/>
  <c r="K150" i="2"/>
  <c r="K151" i="2"/>
  <c r="K163" i="2"/>
  <c r="K164" i="2"/>
  <c r="K166" i="2"/>
  <c r="K172" i="2"/>
  <c r="K173" i="2"/>
  <c r="K176" i="2"/>
  <c r="K177" i="2"/>
  <c r="K183" i="2"/>
  <c r="P179" i="2" l="1"/>
  <c r="P147" i="2"/>
  <c r="P149" i="2"/>
  <c r="P152" i="2"/>
  <c r="P153" i="2"/>
  <c r="P156" i="2"/>
  <c r="P157" i="2"/>
  <c r="P158" i="2"/>
  <c r="P161" i="2"/>
  <c r="P162" i="2"/>
  <c r="P165" i="2"/>
  <c r="P167" i="2"/>
  <c r="P168" i="2"/>
  <c r="P171" i="2"/>
  <c r="P174" i="2"/>
  <c r="P175" i="2"/>
  <c r="P178" i="2"/>
  <c r="K147" i="2"/>
  <c r="H152" i="2"/>
  <c r="H198" i="2" s="1"/>
  <c r="H207" i="2" s="1"/>
  <c r="H356" i="2" s="1"/>
  <c r="H363" i="2" s="1"/>
  <c r="H507" i="2" s="1"/>
  <c r="H511" i="2" s="1"/>
  <c r="H512" i="2" s="1"/>
  <c r="H515" i="2" s="1"/>
  <c r="H516" i="2" s="1"/>
  <c r="H518" i="2" s="1"/>
  <c r="H519" i="2" s="1"/>
  <c r="H523" i="2" s="1"/>
  <c r="H524" i="2" s="1"/>
  <c r="H526" i="2" s="1"/>
  <c r="H527" i="2" s="1"/>
  <c r="H531" i="2" s="1"/>
  <c r="H532" i="2" s="1"/>
  <c r="H535" i="2" s="1"/>
  <c r="H536" i="2" s="1"/>
  <c r="H538" i="2" s="1"/>
  <c r="H539" i="2" s="1"/>
  <c r="H543" i="2" s="1"/>
  <c r="H544" i="2" s="1"/>
  <c r="H547" i="2" s="1"/>
  <c r="H548" i="2" s="1"/>
  <c r="H550" i="2" s="1"/>
  <c r="H551" i="2" s="1"/>
  <c r="H554" i="2" s="1"/>
  <c r="H555" i="2" s="1"/>
  <c r="H557" i="2" s="1"/>
  <c r="K153" i="2"/>
  <c r="K157" i="2"/>
  <c r="K158" i="2"/>
  <c r="K165" i="2"/>
  <c r="K168" i="2"/>
  <c r="K171" i="2"/>
  <c r="H558" i="2" l="1"/>
  <c r="H559" i="2" s="1"/>
  <c r="H562" i="2" s="1"/>
  <c r="H563" i="2" s="1"/>
  <c r="H566" i="2" s="1"/>
  <c r="H569" i="2" s="1"/>
  <c r="H570" i="2" s="1"/>
  <c r="H573" i="2" s="1"/>
  <c r="H574" i="2" s="1"/>
  <c r="H576" i="2" s="1"/>
  <c r="H577" i="2" s="1"/>
  <c r="H580" i="2" s="1"/>
  <c r="H581" i="2" s="1"/>
  <c r="H583" i="2" s="1"/>
  <c r="H584" i="2" s="1"/>
  <c r="H588" i="2" s="1"/>
  <c r="H589" i="2" s="1"/>
  <c r="H592" i="2" s="1"/>
  <c r="H593" i="2" s="1"/>
  <c r="H595" i="2" s="1"/>
  <c r="H596" i="2" s="1"/>
  <c r="H599" i="2" s="1"/>
  <c r="H600" i="2" s="1"/>
  <c r="H602" i="2" s="1"/>
  <c r="H603" i="2" s="1"/>
  <c r="H607" i="2" s="1"/>
  <c r="H608" i="2" s="1"/>
  <c r="H611" i="2" s="1"/>
  <c r="H612" i="2" s="1"/>
  <c r="P5" i="1"/>
  <c r="H5" i="1"/>
  <c r="K127" i="2" l="1"/>
  <c r="K129" i="2"/>
  <c r="K44" i="4"/>
  <c r="K43" i="4"/>
  <c r="K125" i="2"/>
  <c r="K121" i="2"/>
  <c r="K42" i="4"/>
  <c r="K122" i="2"/>
  <c r="K117" i="2" l="1"/>
  <c r="K128" i="2" l="1"/>
  <c r="K133" i="2"/>
  <c r="K137" i="2"/>
  <c r="K140" i="2"/>
  <c r="K143" i="2"/>
  <c r="P127" i="2"/>
  <c r="P128" i="2"/>
  <c r="P130" i="2"/>
  <c r="P133" i="2"/>
  <c r="P134" i="2"/>
  <c r="P137" i="2"/>
  <c r="P140" i="2"/>
  <c r="P143" i="2"/>
  <c r="P144" i="2"/>
  <c r="P126" i="2"/>
  <c r="P129" i="2"/>
  <c r="P131" i="2"/>
  <c r="P132" i="2"/>
  <c r="P135" i="2"/>
  <c r="P136" i="2"/>
  <c r="P138" i="2"/>
  <c r="P139" i="2"/>
  <c r="P141" i="2"/>
  <c r="P142" i="2"/>
  <c r="K142" i="2"/>
  <c r="K126" i="2"/>
  <c r="K132" i="2"/>
  <c r="K135" i="2"/>
  <c r="K138" i="2"/>
  <c r="K115" i="2" l="1"/>
  <c r="K114" i="2"/>
  <c r="P43" i="4" l="1"/>
  <c r="P44" i="4"/>
  <c r="P45" i="4"/>
  <c r="P46" i="4"/>
  <c r="P47" i="4"/>
  <c r="K45" i="4"/>
  <c r="K46" i="4"/>
  <c r="K47" i="4"/>
  <c r="K40" i="4" l="1"/>
  <c r="H111" i="2" l="1"/>
  <c r="K110" i="2"/>
  <c r="K39" i="4"/>
  <c r="K109" i="2" l="1"/>
  <c r="K105" i="2" l="1"/>
  <c r="K102" i="2" l="1"/>
  <c r="K35" i="4"/>
  <c r="K101" i="2"/>
  <c r="K100" i="2"/>
  <c r="K99" i="2"/>
  <c r="K98" i="2"/>
  <c r="P37" i="4" l="1"/>
  <c r="P38" i="4"/>
  <c r="K37" i="4"/>
  <c r="K38" i="4"/>
  <c r="P39" i="4" l="1"/>
  <c r="P40" i="4"/>
  <c r="P41" i="4"/>
  <c r="P42" i="4"/>
  <c r="K41" i="4"/>
  <c r="P106" i="2"/>
  <c r="P107" i="2"/>
  <c r="P109" i="2"/>
  <c r="P110" i="2"/>
  <c r="P113" i="2"/>
  <c r="P114" i="2"/>
  <c r="P117" i="2"/>
  <c r="P120" i="2"/>
  <c r="P125" i="2"/>
  <c r="P122" i="2"/>
  <c r="P123" i="2"/>
  <c r="K106" i="2"/>
  <c r="K107" i="2"/>
  <c r="H107" i="2" s="1"/>
  <c r="K113" i="2"/>
  <c r="K120" i="2"/>
  <c r="K123" i="2"/>
  <c r="P105" i="2"/>
  <c r="P108" i="2"/>
  <c r="P112" i="2"/>
  <c r="P115" i="2"/>
  <c r="P116" i="2"/>
  <c r="P118" i="2"/>
  <c r="P119" i="2"/>
  <c r="P121" i="2"/>
  <c r="P124" i="2"/>
  <c r="K108" i="2"/>
  <c r="K112" i="2"/>
  <c r="K116" i="2"/>
  <c r="K118" i="2"/>
  <c r="K119" i="2"/>
  <c r="K124" i="2"/>
  <c r="K96" i="2"/>
  <c r="H109" i="2" l="1"/>
  <c r="H110" i="2" s="1"/>
  <c r="H113" i="2" s="1"/>
  <c r="H114" i="2" s="1"/>
  <c r="H117" i="2" s="1"/>
  <c r="H120" i="2" s="1"/>
  <c r="H122" i="2" s="1"/>
  <c r="K94" i="2"/>
  <c r="K33" i="4" l="1"/>
  <c r="K93" i="2"/>
  <c r="K88" i="2" l="1"/>
  <c r="K87" i="2" l="1"/>
  <c r="K86" i="2"/>
  <c r="K82" i="2"/>
  <c r="K31" i="4"/>
  <c r="P36" i="4" l="1"/>
  <c r="K36" i="4"/>
  <c r="P34" i="4"/>
  <c r="P35" i="4"/>
  <c r="K34" i="4"/>
  <c r="K30" i="4" l="1"/>
  <c r="K83" i="2"/>
  <c r="K28" i="4"/>
  <c r="K77" i="2"/>
  <c r="K76" i="2"/>
  <c r="P90" i="2" l="1"/>
  <c r="P91" i="2"/>
  <c r="P93" i="2"/>
  <c r="P94" i="2"/>
  <c r="P97" i="2"/>
  <c r="P98" i="2"/>
  <c r="P100" i="2"/>
  <c r="P103" i="2"/>
  <c r="P104" i="2"/>
  <c r="K90" i="2"/>
  <c r="K91" i="2"/>
  <c r="K97" i="2"/>
  <c r="K103" i="2"/>
  <c r="K104" i="2"/>
  <c r="P89" i="2" l="1"/>
  <c r="P92" i="2"/>
  <c r="P95" i="2"/>
  <c r="P96" i="2"/>
  <c r="P99" i="2"/>
  <c r="P101" i="2"/>
  <c r="P102" i="2"/>
  <c r="K89" i="2"/>
  <c r="K92" i="2"/>
  <c r="K95" i="2"/>
  <c r="K71" i="2" l="1"/>
  <c r="K27" i="4"/>
  <c r="K29" i="4" l="1"/>
  <c r="K32" i="4"/>
  <c r="P29" i="4"/>
  <c r="P30" i="4"/>
  <c r="P32" i="4"/>
  <c r="P33" i="4"/>
  <c r="P31" i="4"/>
  <c r="K4" i="1" l="1"/>
  <c r="P4" i="1"/>
  <c r="K64" i="2" l="1"/>
  <c r="K61" i="2"/>
  <c r="K58" i="2" l="1"/>
  <c r="K26" i="4"/>
  <c r="K25" i="4"/>
  <c r="K66" i="2"/>
  <c r="K63" i="2"/>
  <c r="K60" i="2"/>
  <c r="K59" i="2"/>
  <c r="P70" i="2" l="1"/>
  <c r="P72" i="2"/>
  <c r="P74" i="2"/>
  <c r="P75" i="2"/>
  <c r="P78" i="2"/>
  <c r="P81" i="2"/>
  <c r="P82" i="2"/>
  <c r="P85" i="2"/>
  <c r="P88" i="2"/>
  <c r="K70" i="2"/>
  <c r="K72" i="2"/>
  <c r="K74" i="2"/>
  <c r="K75" i="2"/>
  <c r="K78" i="2"/>
  <c r="K81" i="2"/>
  <c r="K85" i="2"/>
  <c r="P69" i="2"/>
  <c r="P71" i="2"/>
  <c r="P73" i="2"/>
  <c r="P76" i="2"/>
  <c r="P77" i="2"/>
  <c r="P79" i="2"/>
  <c r="P80" i="2"/>
  <c r="P83" i="2"/>
  <c r="P86" i="2"/>
  <c r="P87" i="2"/>
  <c r="P84" i="2"/>
  <c r="K69" i="2"/>
  <c r="K73" i="2"/>
  <c r="K79" i="2"/>
  <c r="K80" i="2"/>
  <c r="K84" i="2"/>
  <c r="K24" i="4" l="1"/>
  <c r="K56" i="2"/>
  <c r="K55" i="2"/>
  <c r="K23" i="4"/>
  <c r="K49" i="2"/>
  <c r="K53" i="2"/>
  <c r="P24" i="4" l="1"/>
  <c r="P25" i="4"/>
  <c r="P26" i="4"/>
  <c r="P27" i="4"/>
  <c r="P28" i="4"/>
  <c r="K22" i="4"/>
  <c r="K3" i="1"/>
  <c r="H3" i="1" s="1"/>
  <c r="H4" i="1" s="1"/>
  <c r="K45" i="2"/>
  <c r="K42" i="2" l="1"/>
  <c r="K41" i="2" l="1"/>
  <c r="P52" i="2" l="1"/>
  <c r="P54" i="2"/>
  <c r="P57" i="2"/>
  <c r="P58" i="2"/>
  <c r="P61" i="2"/>
  <c r="P64" i="2"/>
  <c r="P65" i="2"/>
  <c r="P67" i="2"/>
  <c r="K51" i="2"/>
  <c r="K62" i="2"/>
  <c r="K68" i="2"/>
  <c r="K52" i="2"/>
  <c r="K54" i="2"/>
  <c r="K57" i="2"/>
  <c r="K65" i="2"/>
  <c r="K67" i="2"/>
  <c r="P51" i="2" l="1"/>
  <c r="P53" i="2"/>
  <c r="P55" i="2"/>
  <c r="P56" i="2"/>
  <c r="P59" i="2"/>
  <c r="P60" i="2"/>
  <c r="P62" i="2"/>
  <c r="P63" i="2"/>
  <c r="P66" i="2"/>
  <c r="P68" i="2"/>
  <c r="K20" i="4" l="1"/>
  <c r="K39" i="2"/>
  <c r="K36" i="2"/>
  <c r="K33" i="2" l="1"/>
  <c r="K31" i="2"/>
  <c r="K29" i="2"/>
  <c r="K32" i="2"/>
  <c r="K28" i="2"/>
  <c r="K27" i="2"/>
  <c r="K26" i="2" l="1"/>
  <c r="K23" i="2" l="1"/>
  <c r="K22" i="2"/>
  <c r="K19" i="2"/>
  <c r="P37" i="2" l="1"/>
  <c r="P38" i="2"/>
  <c r="P41" i="2"/>
  <c r="P45" i="2"/>
  <c r="P48" i="2"/>
  <c r="P49" i="2"/>
  <c r="P42" i="2"/>
  <c r="K37" i="2"/>
  <c r="K38" i="2"/>
  <c r="K48" i="2"/>
  <c r="P32" i="2"/>
  <c r="P33" i="2"/>
  <c r="P35" i="2"/>
  <c r="P36" i="2"/>
  <c r="P40" i="2"/>
  <c r="P43" i="2"/>
  <c r="P44" i="2"/>
  <c r="P46" i="2"/>
  <c r="P47" i="2"/>
  <c r="P50" i="2"/>
  <c r="K35" i="2"/>
  <c r="K40" i="2"/>
  <c r="K43" i="2"/>
  <c r="K44" i="2"/>
  <c r="K46" i="2"/>
  <c r="K47" i="2"/>
  <c r="K50" i="2"/>
  <c r="K18" i="4"/>
  <c r="K19" i="4"/>
  <c r="K21" i="4"/>
  <c r="P18" i="4"/>
  <c r="P19" i="4"/>
  <c r="P20" i="4"/>
  <c r="P21" i="4"/>
  <c r="P22" i="4"/>
  <c r="P23" i="4"/>
  <c r="P3" i="1"/>
  <c r="H15" i="4" l="1"/>
  <c r="K20" i="2"/>
  <c r="K16" i="2" l="1"/>
  <c r="P17" i="4" l="1"/>
  <c r="K17" i="4"/>
  <c r="H13" i="2" l="1"/>
  <c r="K8" i="2"/>
  <c r="K6" i="2"/>
  <c r="K5" i="4"/>
  <c r="H6" i="4"/>
  <c r="K8" i="4"/>
  <c r="K10" i="2"/>
  <c r="K7" i="4"/>
  <c r="H8" i="4" l="1"/>
  <c r="P14" i="4"/>
  <c r="P16" i="4"/>
  <c r="K16" i="4"/>
  <c r="H16" i="4" s="1"/>
  <c r="H18" i="4" l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K10" i="4"/>
  <c r="K11" i="4"/>
  <c r="K13" i="4"/>
  <c r="K9" i="4"/>
  <c r="K12" i="4"/>
  <c r="P10" i="4"/>
  <c r="P11" i="4"/>
  <c r="P13" i="4"/>
  <c r="P9" i="4"/>
  <c r="P12" i="4"/>
  <c r="H60" i="4" l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K5" i="2"/>
  <c r="K3" i="2"/>
  <c r="H3" i="2" s="1"/>
  <c r="H6" i="2" s="1"/>
  <c r="P11" i="2" l="1"/>
  <c r="P12" i="2"/>
  <c r="P15" i="2"/>
  <c r="P18" i="2"/>
  <c r="P39" i="2"/>
  <c r="P20" i="2"/>
  <c r="P21" i="2"/>
  <c r="P23" i="2"/>
  <c r="P24" i="2"/>
  <c r="P26" i="2"/>
  <c r="P27" i="2"/>
  <c r="P30" i="2"/>
  <c r="K30" i="2"/>
  <c r="K15" i="2"/>
  <c r="H15" i="2" s="1"/>
  <c r="K18" i="2"/>
  <c r="K21" i="2"/>
  <c r="K24" i="2"/>
  <c r="K11" i="2"/>
  <c r="K14" i="2"/>
  <c r="K17" i="2"/>
  <c r="K25" i="2"/>
  <c r="K34" i="2"/>
  <c r="P14" i="2"/>
  <c r="P16" i="2"/>
  <c r="P17" i="2"/>
  <c r="P19" i="2"/>
  <c r="P22" i="2"/>
  <c r="P25" i="2"/>
  <c r="P28" i="2"/>
  <c r="P29" i="2"/>
  <c r="P31" i="2"/>
  <c r="P34" i="2"/>
  <c r="H18" i="2" l="1"/>
  <c r="H20" i="2" s="1"/>
  <c r="H21" i="2" s="1"/>
  <c r="H23" i="2" s="1"/>
  <c r="H24" i="2" s="1"/>
  <c r="H26" i="2" s="1"/>
  <c r="H27" i="2" s="1"/>
  <c r="H30" i="2" s="1"/>
  <c r="H32" i="2" s="1"/>
  <c r="H33" i="2" s="1"/>
  <c r="H35" i="2" s="1"/>
  <c r="H36" i="2" s="1"/>
  <c r="H39" i="2" s="1"/>
  <c r="H40" i="2" s="1"/>
  <c r="H43" i="2" s="1"/>
  <c r="H44" i="2" s="1"/>
  <c r="H46" i="2" s="1"/>
  <c r="H47" i="2" s="1"/>
  <c r="H50" i="2" s="1"/>
  <c r="H51" i="2" s="1"/>
  <c r="H53" i="2" s="1"/>
  <c r="H55" i="2" s="1"/>
  <c r="H56" i="2" s="1"/>
  <c r="H59" i="2" s="1"/>
  <c r="P4" i="4" l="1"/>
  <c r="P8" i="4" l="1"/>
  <c r="H10" i="4"/>
  <c r="H11" i="4" s="1"/>
  <c r="H13" i="4" s="1"/>
  <c r="H17" i="4" s="1"/>
  <c r="P7" i="4" l="1"/>
  <c r="K4" i="4"/>
  <c r="H4" i="4" s="1"/>
  <c r="H7" i="4"/>
  <c r="H9" i="4" s="1"/>
  <c r="H12" i="4" s="1"/>
  <c r="H14" i="4" s="1"/>
  <c r="P8" i="2" l="1"/>
  <c r="P10" i="2"/>
  <c r="P7" i="2"/>
  <c r="P3" i="2"/>
  <c r="P9" i="2"/>
  <c r="P4" i="2"/>
  <c r="P5" i="2"/>
  <c r="P6" i="2"/>
  <c r="K9" i="2"/>
  <c r="H9" i="2" s="1"/>
  <c r="H10" i="2" s="1"/>
  <c r="H14" i="2" s="1"/>
  <c r="H16" i="2" s="1"/>
  <c r="H17" i="2" s="1"/>
  <c r="H19" i="2" s="1"/>
  <c r="H22" i="2" s="1"/>
  <c r="H25" i="2" s="1"/>
  <c r="H28" i="2" s="1"/>
  <c r="H29" i="2" s="1"/>
  <c r="H31" i="2" s="1"/>
  <c r="H34" i="2" s="1"/>
  <c r="H37" i="2" s="1"/>
  <c r="K4" i="2"/>
  <c r="H4" i="2" s="1"/>
  <c r="K7" i="2"/>
  <c r="H5" i="2" l="1"/>
  <c r="H7" i="2" s="1"/>
  <c r="H8" i="2" s="1"/>
  <c r="H11" i="2" l="1"/>
  <c r="H12" i="2" s="1"/>
  <c r="K3" i="4" l="1"/>
  <c r="H3" i="4" s="1"/>
  <c r="P3" i="4"/>
  <c r="P5" i="4"/>
  <c r="H5" i="4" l="1"/>
  <c r="H38" i="2" l="1"/>
  <c r="H41" i="2" s="1"/>
  <c r="H42" i="2" l="1"/>
  <c r="H45" i="2" s="1"/>
  <c r="H48" i="2" s="1"/>
  <c r="H49" i="2" s="1"/>
  <c r="H52" i="2" s="1"/>
  <c r="H54" i="2" s="1"/>
  <c r="H57" i="2" s="1"/>
  <c r="H58" i="2" s="1"/>
  <c r="H61" i="2" s="1"/>
  <c r="H64" i="2" s="1"/>
  <c r="H65" i="2" s="1"/>
  <c r="H67" i="2" s="1"/>
  <c r="H72" i="2" s="1"/>
  <c r="H74" i="2" s="1"/>
  <c r="H75" i="2" s="1"/>
  <c r="H78" i="2" s="1"/>
  <c r="H81" i="2" s="1"/>
  <c r="H82" i="2" s="1"/>
  <c r="H85" i="2" s="1"/>
  <c r="H88" i="2" s="1"/>
  <c r="H89" i="2" s="1"/>
  <c r="H92" i="2" s="1"/>
  <c r="H95" i="2" s="1"/>
  <c r="H96" i="2" s="1"/>
  <c r="H99" i="2" s="1"/>
  <c r="H101" i="2" s="1"/>
  <c r="H102" i="2" s="1"/>
  <c r="H105" i="2" s="1"/>
  <c r="H108" i="2" s="1"/>
  <c r="H112" i="2" s="1"/>
  <c r="H115" i="2" s="1"/>
  <c r="H116" i="2" s="1"/>
  <c r="H118" i="2" s="1"/>
  <c r="H119" i="2" s="1"/>
  <c r="H121" i="2" s="1"/>
  <c r="H124" i="2" s="1"/>
  <c r="H127" i="2" s="1"/>
  <c r="H128" i="2" s="1"/>
  <c r="H130" i="2" s="1"/>
  <c r="H133" i="2" s="1"/>
  <c r="H134" i="2" s="1"/>
  <c r="H137" i="2" s="1"/>
  <c r="H60" i="2" l="1"/>
  <c r="H62" i="2" s="1"/>
  <c r="H63" i="2" s="1"/>
  <c r="H66" i="2" l="1"/>
  <c r="H68" i="2" s="1"/>
  <c r="H69" i="2" s="1"/>
  <c r="H71" i="2" s="1"/>
  <c r="H73" i="2" s="1"/>
  <c r="H76" i="2" s="1"/>
  <c r="H77" i="2" s="1"/>
  <c r="H79" i="2" s="1"/>
  <c r="H80" i="2" s="1"/>
  <c r="H83" i="2" s="1"/>
  <c r="H140" i="2" l="1"/>
  <c r="H143" i="2" s="1"/>
  <c r="H144" i="2" s="1"/>
  <c r="H147" i="2" s="1"/>
  <c r="H149" i="2" s="1"/>
  <c r="H153" i="2" s="1"/>
  <c r="H156" i="2" s="1"/>
  <c r="H157" i="2" s="1"/>
  <c r="H158" i="2" s="1"/>
  <c r="H161" i="2" s="1"/>
  <c r="H162" i="2" s="1"/>
  <c r="H165" i="2" s="1"/>
  <c r="H167" i="2" s="1"/>
  <c r="H168" i="2" s="1"/>
  <c r="H171" i="2" s="1"/>
  <c r="H174" i="2" s="1"/>
  <c r="H175" i="2" s="1"/>
  <c r="H178" i="2" s="1"/>
  <c r="H179" i="2" s="1"/>
  <c r="H181" i="2" s="1"/>
  <c r="H182" i="2" s="1"/>
  <c r="H185" i="2" s="1"/>
  <c r="H188" i="2" s="1"/>
  <c r="H192" i="2" s="1"/>
  <c r="H193" i="2" s="1"/>
  <c r="H196" i="2" s="1"/>
  <c r="H197" i="2" s="1"/>
  <c r="H200" i="2" s="1"/>
  <c r="H201" i="2" s="1"/>
  <c r="H204" i="2" s="1"/>
  <c r="H208" i="2" s="1"/>
  <c r="H210" i="2" s="1"/>
  <c r="H211" i="2" s="1"/>
  <c r="H214" i="2" s="1"/>
  <c r="H215" i="2" s="1"/>
  <c r="H218" i="2" s="1"/>
  <c r="H219" i="2" s="1"/>
  <c r="H222" i="2" s="1"/>
  <c r="H226" i="2" s="1"/>
  <c r="H227" i="2" s="1"/>
  <c r="H230" i="2" s="1"/>
  <c r="H232" i="2" s="1"/>
  <c r="H234" i="2" s="1"/>
  <c r="H235" i="2" s="1"/>
  <c r="H238" i="2" s="1"/>
  <c r="H239" i="2" s="1"/>
  <c r="H240" i="2" s="1"/>
  <c r="H243" i="2" s="1"/>
  <c r="H244" i="2" s="1"/>
  <c r="H247" i="2" s="1"/>
  <c r="H253" i="2" s="1"/>
  <c r="H254" i="2" s="1"/>
  <c r="H84" i="2"/>
  <c r="H86" i="2" s="1"/>
  <c r="H87" i="2" l="1"/>
  <c r="H90" i="2" s="1"/>
  <c r="H91" i="2" s="1"/>
  <c r="H93" i="2" s="1"/>
  <c r="H94" i="2" s="1"/>
  <c r="H97" i="2" s="1"/>
  <c r="H98" i="2" s="1"/>
  <c r="H100" i="2" s="1"/>
  <c r="H103" i="2" s="1"/>
  <c r="H104" i="2" s="1"/>
  <c r="H106" i="2" s="1"/>
  <c r="H123" i="2" l="1"/>
  <c r="H125" i="2" s="1"/>
  <c r="H126" i="2" s="1"/>
  <c r="H129" i="2" s="1"/>
  <c r="H131" i="2" s="1"/>
  <c r="H132" i="2" s="1"/>
  <c r="H135" i="2" s="1"/>
  <c r="H136" i="2" s="1"/>
  <c r="H138" i="2" s="1"/>
  <c r="H139" i="2" s="1"/>
  <c r="H141" i="2" l="1"/>
  <c r="H142" i="2" s="1"/>
  <c r="H145" i="2" s="1"/>
  <c r="H146" i="2" s="1"/>
  <c r="H148" i="2" s="1"/>
  <c r="H150" i="2" s="1"/>
  <c r="H151" i="2" s="1"/>
  <c r="H154" i="2" s="1"/>
  <c r="H155" i="2" s="1"/>
  <c r="H159" i="2" s="1"/>
  <c r="H160" i="2" s="1"/>
  <c r="H163" i="2" s="1"/>
  <c r="H164" i="2" s="1"/>
  <c r="H166" i="2" s="1"/>
  <c r="H169" i="2" s="1"/>
  <c r="H170" i="2" s="1"/>
  <c r="H172" i="2" s="1"/>
  <c r="H173" i="2" s="1"/>
  <c r="H176" i="2" s="1"/>
  <c r="H177" i="2" s="1"/>
  <c r="H180" i="2" s="1"/>
  <c r="H183" i="2" s="1"/>
  <c r="H184" i="2" s="1"/>
  <c r="H186" i="2" s="1"/>
  <c r="H187" i="2" s="1"/>
  <c r="H189" i="2" s="1"/>
  <c r="H190" i="2" s="1"/>
  <c r="H191" i="2" s="1"/>
  <c r="H194" i="2" s="1"/>
  <c r="H195" i="2" s="1"/>
  <c r="H199" i="2" s="1"/>
  <c r="H202" i="2" s="1"/>
  <c r="H203" i="2" s="1"/>
  <c r="H205" i="2" s="1"/>
  <c r="H206" i="2" s="1"/>
  <c r="H209" i="2" s="1"/>
  <c r="H212" i="2" s="1"/>
  <c r="H213" i="2" s="1"/>
  <c r="H216" i="2" s="1"/>
  <c r="H217" i="2" s="1"/>
  <c r="H220" i="2" s="1"/>
  <c r="H221" i="2" s="1"/>
  <c r="H223" i="2" s="1"/>
  <c r="H255" i="2"/>
  <c r="H256" i="2" s="1"/>
  <c r="H257" i="2" s="1"/>
  <c r="H258" i="2" s="1"/>
  <c r="H259" i="2" s="1"/>
  <c r="H262" i="2" s="1"/>
  <c r="H265" i="2" s="1"/>
  <c r="H412" i="2"/>
  <c r="H424" i="2" s="1"/>
</calcChain>
</file>

<file path=xl/comments1.xml><?xml version="1.0" encoding="utf-8"?>
<comments xmlns="http://schemas.openxmlformats.org/spreadsheetml/2006/main">
  <authors>
    <author>賴妍蓁</author>
  </authors>
  <commentList>
    <comment ref="L59" authorId="0" guid="{4B65A1AA-DD57-41FB-B067-6AB2D8B5C3CD}" shapeId="0">
      <text>
        <r>
          <rPr>
            <b/>
            <sz val="9"/>
            <color indexed="81"/>
            <rFont val="細明體"/>
            <family val="3"/>
            <charset val="136"/>
          </rPr>
          <t>賴妍蓁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ESXM602-20260119001</t>
        </r>
      </text>
    </comment>
    <comment ref="L149" authorId="0" guid="{83A719FB-74C5-47EA-BB76-D12BDD436B30}" shapeId="0">
      <text>
        <r>
          <rPr>
            <b/>
            <sz val="9"/>
            <color indexed="81"/>
            <rFont val="細明體"/>
            <family val="3"/>
            <charset val="136"/>
          </rPr>
          <t>賴妍蓁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ESXM602-20260215001</t>
        </r>
      </text>
    </comment>
    <comment ref="L189" authorId="0" guid="{F33CBC5D-1DB7-4097-85BE-556CB3957510}" shapeId="0">
      <text>
        <r>
          <rPr>
            <b/>
            <sz val="9"/>
            <color indexed="81"/>
            <rFont val="細明體"/>
            <family val="3"/>
            <charset val="136"/>
          </rPr>
          <t>賴妍蓁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ESXM602-20260226001</t>
        </r>
      </text>
    </comment>
    <comment ref="L204" authorId="0" guid="{44DA2F52-7021-425F-B134-20928FE19234}" shapeId="0">
      <text>
        <r>
          <rPr>
            <b/>
            <sz val="9"/>
            <color indexed="81"/>
            <rFont val="細明體"/>
            <family val="3"/>
            <charset val="136"/>
          </rPr>
          <t>賴妍蓁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ESXM602-20260303001</t>
        </r>
      </text>
    </comment>
    <comment ref="L502" authorId="0" guid="{A49A00B5-52C6-4F8C-83FD-3E108171822A}" shapeId="0">
      <text>
        <r>
          <rPr>
            <b/>
            <sz val="9"/>
            <color indexed="81"/>
            <rFont val="細明體"/>
            <family val="3"/>
            <charset val="136"/>
          </rPr>
          <t>賴妍蓁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</t>
        </r>
        <r>
          <rPr>
            <sz val="9"/>
            <color indexed="81"/>
            <rFont val="Tahoma"/>
            <family val="2"/>
          </rPr>
          <t>T100</t>
        </r>
        <r>
          <rPr>
            <sz val="9"/>
            <color indexed="81"/>
            <rFont val="細明體"/>
            <family val="3"/>
            <charset val="136"/>
          </rPr>
          <t>壞掉，補登自有地磅</t>
        </r>
      </text>
    </comment>
  </commentList>
</comments>
</file>

<file path=xl/comments2.xml><?xml version="1.0" encoding="utf-8"?>
<comments xmlns="http://schemas.openxmlformats.org/spreadsheetml/2006/main">
  <authors>
    <author>賴妍蓁</author>
    <author>C600-PC</author>
    <author>C776-PC</author>
  </authors>
  <commentList>
    <comment ref="L116" authorId="0" guid="{8B9D0616-6B03-44C6-9991-7E709D4EFF11}" shapeId="0">
      <text>
        <r>
          <rPr>
            <b/>
            <sz val="9"/>
            <color indexed="81"/>
            <rFont val="細明體"/>
            <family val="3"/>
            <charset val="136"/>
          </rPr>
          <t>賴妍蓁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因</t>
        </r>
        <r>
          <rPr>
            <sz val="9"/>
            <color indexed="81"/>
            <rFont val="Tahoma"/>
            <family val="2"/>
          </rPr>
          <t>T100</t>
        </r>
        <r>
          <rPr>
            <sz val="9"/>
            <color indexed="81"/>
            <rFont val="細明體"/>
            <family val="3"/>
            <charset val="136"/>
          </rPr>
          <t>壞掉，補登自有地磅</t>
        </r>
      </text>
    </comment>
    <comment ref="L160" authorId="1" guid="{899DA093-E20A-4611-A562-4803B53BA4DC}" shapeId="0">
      <text>
        <r>
          <rPr>
            <b/>
            <sz val="9"/>
            <color indexed="81"/>
            <rFont val="Tahoma"/>
            <family val="2"/>
          </rPr>
          <t>C600-PC: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 xml:space="preserve">崙尾料
</t>
        </r>
        <r>
          <rPr>
            <b/>
            <sz val="9"/>
            <color indexed="81"/>
            <rFont val="細明體"/>
            <family val="3"/>
            <charset val="136"/>
          </rPr>
          <t>C776-PC:</t>
        </r>
        <r>
          <rPr>
            <sz val="9"/>
            <color indexed="81"/>
            <rFont val="細明體"/>
            <family val="3"/>
            <charset val="136"/>
          </rPr>
          <t xml:space="preserve">
出IPAUPS
L1 Pi run
</t>
        </r>
      </text>
    </comment>
    <comment ref="L168" authorId="2" guid="{00747768-6102-45E7-94B6-CE429F939A4A}" shapeId="0">
      <text>
        <r>
          <rPr>
            <b/>
            <sz val="9"/>
            <color indexed="81"/>
            <rFont val="Tahoma"/>
            <family val="2"/>
          </rPr>
          <t>C776-PC: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出</t>
        </r>
        <r>
          <rPr>
            <sz val="9"/>
            <color indexed="81"/>
            <rFont val="Tahoma"/>
            <family val="2"/>
          </rPr>
          <t xml:space="preserve">TK-605 IPAUPS
</t>
        </r>
      </text>
    </comment>
  </commentList>
</comments>
</file>

<file path=xl/sharedStrings.xml><?xml version="1.0" encoding="utf-8"?>
<sst xmlns="http://schemas.openxmlformats.org/spreadsheetml/2006/main" count="4093" uniqueCount="2434">
  <si>
    <t>IPAHQ( ISO TANK)</t>
    <phoneticPr fontId="3" type="noConversion"/>
  </si>
  <si>
    <t>比重:0.786</t>
    <phoneticPr fontId="3" type="noConversion"/>
  </si>
  <si>
    <t>ES料號:2113021</t>
    <phoneticPr fontId="3" type="noConversion"/>
  </si>
  <si>
    <t>出貨</t>
    <phoneticPr fontId="3" type="noConversion"/>
  </si>
  <si>
    <t>到貨</t>
    <phoneticPr fontId="3" type="noConversion"/>
  </si>
  <si>
    <r>
      <rPr>
        <b/>
        <sz val="10"/>
        <color theme="1"/>
        <rFont val="新細明體"/>
        <family val="1"/>
        <charset val="136"/>
      </rPr>
      <t>批號</t>
    </r>
    <phoneticPr fontId="3" type="noConversion"/>
  </si>
  <si>
    <t>槽號</t>
    <phoneticPr fontId="3" type="noConversion"/>
  </si>
  <si>
    <r>
      <rPr>
        <b/>
        <sz val="10"/>
        <color theme="1"/>
        <rFont val="新細明體"/>
        <family val="1"/>
        <charset val="136"/>
      </rPr>
      <t>到貨地點</t>
    </r>
    <phoneticPr fontId="3" type="noConversion"/>
  </si>
  <si>
    <r>
      <rPr>
        <b/>
        <sz val="10"/>
        <color theme="1"/>
        <rFont val="新細明體"/>
        <family val="1"/>
        <charset val="136"/>
      </rPr>
      <t>採購單號</t>
    </r>
    <phoneticPr fontId="3" type="noConversion"/>
  </si>
  <si>
    <t>PO餘量(L)</t>
    <phoneticPr fontId="3" type="noConversion"/>
  </si>
  <si>
    <t>出貨量(KG)</t>
    <phoneticPr fontId="3" type="noConversion"/>
  </si>
  <si>
    <t>簽收量(KG)</t>
    <phoneticPr fontId="3" type="noConversion"/>
  </si>
  <si>
    <t>簽收量(L)</t>
    <phoneticPr fontId="3" type="noConversion"/>
  </si>
  <si>
    <t>備註</t>
    <phoneticPr fontId="3" type="noConversion"/>
  </si>
  <si>
    <t>製造日期</t>
    <phoneticPr fontId="3" type="noConversion"/>
  </si>
  <si>
    <t>批號到期日</t>
    <phoneticPr fontId="3" type="noConversion"/>
  </si>
  <si>
    <t>單價</t>
    <phoneticPr fontId="3" type="noConversion"/>
  </si>
  <si>
    <t>技服</t>
    <phoneticPr fontId="3" type="noConversion"/>
  </si>
  <si>
    <t>對勝一數量(L)FREE</t>
    <phoneticPr fontId="3" type="noConversion"/>
  </si>
  <si>
    <t>FAB7</t>
    <phoneticPr fontId="3" type="noConversion"/>
  </si>
  <si>
    <t>12P3</t>
    <phoneticPr fontId="3" type="noConversion"/>
  </si>
  <si>
    <t>E304</t>
    <phoneticPr fontId="3" type="noConversion"/>
  </si>
  <si>
    <t>15P6</t>
    <phoneticPr fontId="3" type="noConversion"/>
  </si>
  <si>
    <t xml:space="preserve">TSMC IPA料號:L1435316 </t>
    <phoneticPr fontId="3" type="noConversion"/>
  </si>
  <si>
    <t>15P6</t>
    <phoneticPr fontId="3" type="noConversion"/>
  </si>
  <si>
    <t>15P5</t>
    <phoneticPr fontId="3" type="noConversion"/>
  </si>
  <si>
    <t>4800320360/100</t>
    <phoneticPr fontId="3" type="noConversion"/>
  </si>
  <si>
    <t>18P6B</t>
    <phoneticPr fontId="3" type="noConversion"/>
  </si>
  <si>
    <t>4800347829/100</t>
    <phoneticPr fontId="3" type="noConversion"/>
  </si>
  <si>
    <t>4800351086/100</t>
    <phoneticPr fontId="3" type="noConversion"/>
  </si>
  <si>
    <t>4800360060/100</t>
    <phoneticPr fontId="3" type="noConversion"/>
  </si>
  <si>
    <t>4800360060/100</t>
    <phoneticPr fontId="3" type="noConversion"/>
  </si>
  <si>
    <t>4800360060/100</t>
    <phoneticPr fontId="3" type="noConversion"/>
  </si>
  <si>
    <t>4800320360/100</t>
    <phoneticPr fontId="3" type="noConversion"/>
  </si>
  <si>
    <t>4506563175/100</t>
    <phoneticPr fontId="3" type="noConversion"/>
  </si>
  <si>
    <t>E29</t>
    <phoneticPr fontId="3" type="noConversion"/>
  </si>
  <si>
    <t>E309</t>
    <phoneticPr fontId="3" type="noConversion"/>
  </si>
  <si>
    <t>25C30E29J1</t>
    <phoneticPr fontId="3" type="noConversion"/>
  </si>
  <si>
    <t>E307</t>
    <phoneticPr fontId="3" type="noConversion"/>
  </si>
  <si>
    <t>25C30E3091</t>
    <phoneticPr fontId="3" type="noConversion"/>
  </si>
  <si>
    <t>4800360060/100</t>
    <phoneticPr fontId="3" type="noConversion"/>
  </si>
  <si>
    <t>25C30E3071</t>
    <phoneticPr fontId="3" type="noConversion"/>
  </si>
  <si>
    <t>18P6B</t>
    <phoneticPr fontId="3" type="noConversion"/>
  </si>
  <si>
    <t>18P5A</t>
    <phoneticPr fontId="3" type="noConversion"/>
  </si>
  <si>
    <t>18P2B</t>
    <phoneticPr fontId="3" type="noConversion"/>
  </si>
  <si>
    <t>E318</t>
    <phoneticPr fontId="3" type="noConversion"/>
  </si>
  <si>
    <t>4800347829/100</t>
    <phoneticPr fontId="3" type="noConversion"/>
  </si>
  <si>
    <t>25C30E3181</t>
    <phoneticPr fontId="3" type="noConversion"/>
  </si>
  <si>
    <t>4800365619/300</t>
    <phoneticPr fontId="3" type="noConversion"/>
  </si>
  <si>
    <t>4800338603/200</t>
    <phoneticPr fontId="3" type="noConversion"/>
  </si>
  <si>
    <t>4800365619/200</t>
    <phoneticPr fontId="3" type="noConversion"/>
  </si>
  <si>
    <t>E303</t>
    <phoneticPr fontId="3" type="noConversion"/>
  </si>
  <si>
    <t>E308</t>
    <phoneticPr fontId="3" type="noConversion"/>
  </si>
  <si>
    <t>E302</t>
    <phoneticPr fontId="3" type="noConversion"/>
  </si>
  <si>
    <t>25C31E3081</t>
    <phoneticPr fontId="3" type="noConversion"/>
  </si>
  <si>
    <t>25C31E3021</t>
    <phoneticPr fontId="3" type="noConversion"/>
  </si>
  <si>
    <t>25C31E3031</t>
    <phoneticPr fontId="3" type="noConversion"/>
  </si>
  <si>
    <t>2610180X91</t>
    <phoneticPr fontId="3" type="noConversion"/>
  </si>
  <si>
    <t>80X9</t>
    <phoneticPr fontId="3" type="noConversion"/>
  </si>
  <si>
    <t>E319</t>
    <phoneticPr fontId="3" type="noConversion"/>
  </si>
  <si>
    <t>81X9</t>
    <phoneticPr fontId="3" type="noConversion"/>
  </si>
  <si>
    <t>26101E3191</t>
    <phoneticPr fontId="3" type="noConversion"/>
  </si>
  <si>
    <t>E317</t>
    <phoneticPr fontId="3" type="noConversion"/>
  </si>
  <si>
    <t>26101E3171</t>
    <phoneticPr fontId="3" type="noConversion"/>
  </si>
  <si>
    <t>4800360060/100</t>
    <phoneticPr fontId="3" type="noConversion"/>
  </si>
  <si>
    <t>4800361335/100</t>
    <phoneticPr fontId="3" type="noConversion"/>
  </si>
  <si>
    <t>15P6</t>
    <phoneticPr fontId="3" type="noConversion"/>
  </si>
  <si>
    <t>26101E3051</t>
    <phoneticPr fontId="3" type="noConversion"/>
  </si>
  <si>
    <t>E305</t>
    <phoneticPr fontId="3" type="noConversion"/>
  </si>
  <si>
    <t>4800320360/100</t>
    <phoneticPr fontId="3" type="noConversion"/>
  </si>
  <si>
    <t>26101E3061</t>
    <phoneticPr fontId="3" type="noConversion"/>
  </si>
  <si>
    <t>E306</t>
    <phoneticPr fontId="3" type="noConversion"/>
  </si>
  <si>
    <t>4800360060/100</t>
    <phoneticPr fontId="3" type="noConversion"/>
  </si>
  <si>
    <t>E318</t>
    <phoneticPr fontId="3" type="noConversion"/>
  </si>
  <si>
    <t>E309</t>
    <phoneticPr fontId="3" type="noConversion"/>
  </si>
  <si>
    <t>4800365619/300</t>
    <phoneticPr fontId="3" type="noConversion"/>
  </si>
  <si>
    <t>26102E3091</t>
    <phoneticPr fontId="3" type="noConversion"/>
  </si>
  <si>
    <t>80X9</t>
    <phoneticPr fontId="3" type="noConversion"/>
  </si>
  <si>
    <t>4800338603/200</t>
    <phoneticPr fontId="3" type="noConversion"/>
  </si>
  <si>
    <t>2610280X91</t>
    <phoneticPr fontId="3" type="noConversion"/>
  </si>
  <si>
    <t>E44</t>
    <phoneticPr fontId="3" type="noConversion"/>
  </si>
  <si>
    <t>E29</t>
    <phoneticPr fontId="3" type="noConversion"/>
  </si>
  <si>
    <t>HAC1039</t>
    <phoneticPr fontId="3" type="noConversion"/>
  </si>
  <si>
    <t>26102E29J1</t>
    <phoneticPr fontId="3" type="noConversion"/>
  </si>
  <si>
    <t>26102HAC1039</t>
    <phoneticPr fontId="3" type="noConversion"/>
  </si>
  <si>
    <t>26102E44J1</t>
    <phoneticPr fontId="3" type="noConversion"/>
  </si>
  <si>
    <t>E307</t>
    <phoneticPr fontId="3" type="noConversion"/>
  </si>
  <si>
    <t>26103E3071</t>
    <phoneticPr fontId="3" type="noConversion"/>
  </si>
  <si>
    <t>E303</t>
    <phoneticPr fontId="3" type="noConversion"/>
  </si>
  <si>
    <t>81X9</t>
    <phoneticPr fontId="3" type="noConversion"/>
  </si>
  <si>
    <t>4800338603/200</t>
    <phoneticPr fontId="3" type="noConversion"/>
  </si>
  <si>
    <t>E319</t>
    <phoneticPr fontId="3" type="noConversion"/>
  </si>
  <si>
    <t>4800365619/300</t>
    <phoneticPr fontId="3" type="noConversion"/>
  </si>
  <si>
    <t>E308</t>
    <phoneticPr fontId="3" type="noConversion"/>
  </si>
  <si>
    <t>4800320360/100</t>
    <phoneticPr fontId="3" type="noConversion"/>
  </si>
  <si>
    <t>26103E3031</t>
    <phoneticPr fontId="3" type="noConversion"/>
  </si>
  <si>
    <t>26103E3081</t>
    <phoneticPr fontId="3" type="noConversion"/>
  </si>
  <si>
    <t>2610381X91</t>
    <phoneticPr fontId="3" type="noConversion"/>
  </si>
  <si>
    <t>26103E3191</t>
    <phoneticPr fontId="3" type="noConversion"/>
  </si>
  <si>
    <t>E305</t>
    <phoneticPr fontId="3" type="noConversion"/>
  </si>
  <si>
    <t>E317</t>
    <phoneticPr fontId="3" type="noConversion"/>
  </si>
  <si>
    <t>4800361335/100</t>
    <phoneticPr fontId="3" type="noConversion"/>
  </si>
  <si>
    <t>E306</t>
    <phoneticPr fontId="3" type="noConversion"/>
  </si>
  <si>
    <t>26104E3061</t>
    <phoneticPr fontId="3" type="noConversion"/>
  </si>
  <si>
    <t>E302</t>
    <phoneticPr fontId="3" type="noConversion"/>
  </si>
  <si>
    <t>26103E3021</t>
    <phoneticPr fontId="3" type="noConversion"/>
  </si>
  <si>
    <t>80X9</t>
    <phoneticPr fontId="3" type="noConversion"/>
  </si>
  <si>
    <t>2610480X91</t>
    <phoneticPr fontId="3" type="noConversion"/>
  </si>
  <si>
    <t>26104E3051</t>
    <phoneticPr fontId="3" type="noConversion"/>
  </si>
  <si>
    <t>26104E3171</t>
    <phoneticPr fontId="3" type="noConversion"/>
  </si>
  <si>
    <t>2610181X91</t>
    <phoneticPr fontId="3" type="noConversion"/>
  </si>
  <si>
    <t>26102E3181</t>
    <phoneticPr fontId="3" type="noConversion"/>
  </si>
  <si>
    <t>E309</t>
    <phoneticPr fontId="3" type="noConversion"/>
  </si>
  <si>
    <t>E318</t>
    <phoneticPr fontId="3" type="noConversion"/>
  </si>
  <si>
    <t>26105E3181</t>
    <phoneticPr fontId="3" type="noConversion"/>
  </si>
  <si>
    <t>E44</t>
    <phoneticPr fontId="3" type="noConversion"/>
  </si>
  <si>
    <t>26105E44J1</t>
    <phoneticPr fontId="3" type="noConversion"/>
  </si>
  <si>
    <t>26105E3091</t>
    <phoneticPr fontId="3" type="noConversion"/>
  </si>
  <si>
    <t>追蹤</t>
    <phoneticPr fontId="3" type="noConversion"/>
  </si>
  <si>
    <t>81X9</t>
    <phoneticPr fontId="3" type="noConversion"/>
  </si>
  <si>
    <t>2610681X91</t>
    <phoneticPr fontId="3" type="noConversion"/>
  </si>
  <si>
    <t>E29</t>
    <phoneticPr fontId="3" type="noConversion"/>
  </si>
  <si>
    <t>26105E29J1</t>
    <phoneticPr fontId="3" type="noConversion"/>
  </si>
  <si>
    <t>4800320360/100</t>
    <phoneticPr fontId="3" type="noConversion"/>
  </si>
  <si>
    <t>E319</t>
    <phoneticPr fontId="3" type="noConversion"/>
  </si>
  <si>
    <t>E307</t>
    <phoneticPr fontId="3" type="noConversion"/>
  </si>
  <si>
    <t>26106E3191</t>
    <phoneticPr fontId="3" type="noConversion"/>
  </si>
  <si>
    <t>26106E3071</t>
    <phoneticPr fontId="3" type="noConversion"/>
  </si>
  <si>
    <t>4800366349/100</t>
    <phoneticPr fontId="3" type="noConversion"/>
  </si>
  <si>
    <t>4800365619/300</t>
    <phoneticPr fontId="3" type="noConversion"/>
  </si>
  <si>
    <t>E305</t>
    <phoneticPr fontId="3" type="noConversion"/>
  </si>
  <si>
    <t>E302</t>
    <phoneticPr fontId="3" type="noConversion"/>
  </si>
  <si>
    <t>26106E3051</t>
    <phoneticPr fontId="3" type="noConversion"/>
  </si>
  <si>
    <t>4800320360/100</t>
    <phoneticPr fontId="3" type="noConversion"/>
  </si>
  <si>
    <t>E306</t>
    <phoneticPr fontId="3" type="noConversion"/>
  </si>
  <si>
    <t>4800361335/100</t>
    <phoneticPr fontId="3" type="noConversion"/>
  </si>
  <si>
    <t>E317</t>
    <phoneticPr fontId="3" type="noConversion"/>
  </si>
  <si>
    <t>26107E3021</t>
    <phoneticPr fontId="3" type="noConversion"/>
  </si>
  <si>
    <t>26107E3061</t>
    <phoneticPr fontId="3" type="noConversion"/>
  </si>
  <si>
    <t>26107E3171</t>
    <phoneticPr fontId="3" type="noConversion"/>
  </si>
  <si>
    <t>E308</t>
    <phoneticPr fontId="3" type="noConversion"/>
  </si>
  <si>
    <t>E303</t>
    <phoneticPr fontId="3" type="noConversion"/>
  </si>
  <si>
    <t>26107E3081</t>
    <phoneticPr fontId="3" type="noConversion"/>
  </si>
  <si>
    <t>26108E3031</t>
    <phoneticPr fontId="3" type="noConversion"/>
  </si>
  <si>
    <t>4800361335/100</t>
    <phoneticPr fontId="3" type="noConversion"/>
  </si>
  <si>
    <t>E309</t>
    <phoneticPr fontId="3" type="noConversion"/>
  </si>
  <si>
    <t>26108E3091</t>
    <phoneticPr fontId="3" type="noConversion"/>
  </si>
  <si>
    <t>E44</t>
    <phoneticPr fontId="3" type="noConversion"/>
  </si>
  <si>
    <t>26108E44J1</t>
    <phoneticPr fontId="3" type="noConversion"/>
  </si>
  <si>
    <t>E318</t>
    <phoneticPr fontId="3" type="noConversion"/>
  </si>
  <si>
    <t>E29</t>
    <phoneticPr fontId="3" type="noConversion"/>
  </si>
  <si>
    <t>26109E29J1</t>
    <phoneticPr fontId="3" type="noConversion"/>
  </si>
  <si>
    <t>4800361335/100</t>
    <phoneticPr fontId="3" type="noConversion"/>
  </si>
  <si>
    <t>E305</t>
    <phoneticPr fontId="3" type="noConversion"/>
  </si>
  <si>
    <t>26108E3181</t>
    <phoneticPr fontId="3" type="noConversion"/>
  </si>
  <si>
    <t>26109E3051</t>
    <phoneticPr fontId="3" type="noConversion"/>
  </si>
  <si>
    <t>E319</t>
    <phoneticPr fontId="3" type="noConversion"/>
  </si>
  <si>
    <t>4800320360/100</t>
    <phoneticPr fontId="3" type="noConversion"/>
  </si>
  <si>
    <t>E306</t>
    <phoneticPr fontId="3" type="noConversion"/>
  </si>
  <si>
    <t>E317</t>
    <phoneticPr fontId="3" type="noConversion"/>
  </si>
  <si>
    <t>4800361335/100</t>
    <phoneticPr fontId="3" type="noConversion"/>
  </si>
  <si>
    <t>E308</t>
    <phoneticPr fontId="3" type="noConversion"/>
  </si>
  <si>
    <t>E302</t>
    <phoneticPr fontId="3" type="noConversion"/>
  </si>
  <si>
    <t>4800366349/100</t>
    <phoneticPr fontId="3" type="noConversion"/>
  </si>
  <si>
    <t>26109E3191</t>
    <phoneticPr fontId="3" type="noConversion"/>
  </si>
  <si>
    <t>26110E3081</t>
    <phoneticPr fontId="3" type="noConversion"/>
  </si>
  <si>
    <t>26110E3061</t>
    <phoneticPr fontId="3" type="noConversion"/>
  </si>
  <si>
    <t>26110E3171</t>
    <phoneticPr fontId="3" type="noConversion"/>
  </si>
  <si>
    <t>26110E3021</t>
    <phoneticPr fontId="3" type="noConversion"/>
  </si>
  <si>
    <t>E309</t>
    <phoneticPr fontId="3" type="noConversion"/>
  </si>
  <si>
    <t>26111E3091</t>
    <phoneticPr fontId="3" type="noConversion"/>
  </si>
  <si>
    <t>E44</t>
    <phoneticPr fontId="3" type="noConversion"/>
  </si>
  <si>
    <t>26111E44J1</t>
    <phoneticPr fontId="3" type="noConversion"/>
  </si>
  <si>
    <t>E303</t>
    <phoneticPr fontId="3" type="noConversion"/>
  </si>
  <si>
    <t>26111E3031</t>
    <phoneticPr fontId="3" type="noConversion"/>
  </si>
  <si>
    <t>E318</t>
    <phoneticPr fontId="3" type="noConversion"/>
  </si>
  <si>
    <t>26112E3181</t>
    <phoneticPr fontId="3" type="noConversion"/>
  </si>
  <si>
    <t>E305</t>
    <phoneticPr fontId="3" type="noConversion"/>
  </si>
  <si>
    <t>26112E3051</t>
    <phoneticPr fontId="3" type="noConversion"/>
  </si>
  <si>
    <t>4800361335/100</t>
    <phoneticPr fontId="3" type="noConversion"/>
  </si>
  <si>
    <t>E319</t>
    <phoneticPr fontId="3" type="noConversion"/>
  </si>
  <si>
    <t>E302</t>
    <phoneticPr fontId="3" type="noConversion"/>
  </si>
  <si>
    <t>26112E3191</t>
    <phoneticPr fontId="3" type="noConversion"/>
  </si>
  <si>
    <t>4800361335/100</t>
    <phoneticPr fontId="3" type="noConversion"/>
  </si>
  <si>
    <t>E29</t>
    <phoneticPr fontId="3" type="noConversion"/>
  </si>
  <si>
    <t>26112E3021</t>
    <phoneticPr fontId="3" type="noConversion"/>
  </si>
  <si>
    <t>26112E29J1</t>
    <phoneticPr fontId="3" type="noConversion"/>
  </si>
  <si>
    <t>E306</t>
    <phoneticPr fontId="3" type="noConversion"/>
  </si>
  <si>
    <t>26113E3061</t>
    <phoneticPr fontId="3" type="noConversion"/>
  </si>
  <si>
    <t>E308</t>
    <phoneticPr fontId="3" type="noConversion"/>
  </si>
  <si>
    <t>E317</t>
    <phoneticPr fontId="3" type="noConversion"/>
  </si>
  <si>
    <t>26113E3081</t>
    <phoneticPr fontId="3" type="noConversion"/>
  </si>
  <si>
    <t>4800361335/100</t>
    <phoneticPr fontId="3" type="noConversion"/>
  </si>
  <si>
    <t>26113E3171</t>
    <phoneticPr fontId="3" type="noConversion"/>
  </si>
  <si>
    <t>4800361335/100</t>
    <phoneticPr fontId="3" type="noConversion"/>
  </si>
  <si>
    <t>E309</t>
    <phoneticPr fontId="3" type="noConversion"/>
  </si>
  <si>
    <t>E44</t>
    <phoneticPr fontId="3" type="noConversion"/>
  </si>
  <si>
    <t>26113E3091</t>
    <phoneticPr fontId="3" type="noConversion"/>
  </si>
  <si>
    <t>26114E44J1</t>
    <phoneticPr fontId="3" type="noConversion"/>
  </si>
  <si>
    <t>26113E3041</t>
    <phoneticPr fontId="3" type="noConversion"/>
  </si>
  <si>
    <t>E303</t>
    <phoneticPr fontId="3" type="noConversion"/>
  </si>
  <si>
    <t>26114E3031</t>
    <phoneticPr fontId="3" type="noConversion"/>
  </si>
  <si>
    <t>E305</t>
    <phoneticPr fontId="3" type="noConversion"/>
  </si>
  <si>
    <t>4800361335/100</t>
    <phoneticPr fontId="3" type="noConversion"/>
  </si>
  <si>
    <t>E318</t>
    <phoneticPr fontId="3" type="noConversion"/>
  </si>
  <si>
    <t>26114E3051</t>
    <phoneticPr fontId="3" type="noConversion"/>
  </si>
  <si>
    <t>26114E3181</t>
    <phoneticPr fontId="3" type="noConversion"/>
  </si>
  <si>
    <t>E29</t>
    <phoneticPr fontId="3" type="noConversion"/>
  </si>
  <si>
    <t>26115E29J1</t>
    <phoneticPr fontId="3" type="noConversion"/>
  </si>
  <si>
    <t>E319</t>
    <phoneticPr fontId="3" type="noConversion"/>
  </si>
  <si>
    <t>E306</t>
    <phoneticPr fontId="3" type="noConversion"/>
  </si>
  <si>
    <t>26115E3061</t>
    <phoneticPr fontId="3" type="noConversion"/>
  </si>
  <si>
    <t>26115E3191</t>
    <phoneticPr fontId="3" type="noConversion"/>
  </si>
  <si>
    <t>E302</t>
    <phoneticPr fontId="3" type="noConversion"/>
  </si>
  <si>
    <t>26115E3021</t>
    <phoneticPr fontId="3" type="noConversion"/>
  </si>
  <si>
    <t>E309</t>
    <phoneticPr fontId="3" type="noConversion"/>
  </si>
  <si>
    <t>E308</t>
    <phoneticPr fontId="3" type="noConversion"/>
  </si>
  <si>
    <t>4800361335/100</t>
    <phoneticPr fontId="3" type="noConversion"/>
  </si>
  <si>
    <t>E317</t>
    <phoneticPr fontId="3" type="noConversion"/>
  </si>
  <si>
    <t>E44</t>
    <phoneticPr fontId="3" type="noConversion"/>
  </si>
  <si>
    <t>26116E3171</t>
    <phoneticPr fontId="3" type="noConversion"/>
  </si>
  <si>
    <t>26116E44J1</t>
    <phoneticPr fontId="3" type="noConversion"/>
  </si>
  <si>
    <t>26115E3091</t>
    <phoneticPr fontId="3" type="noConversion"/>
  </si>
  <si>
    <t>26116E3081</t>
    <phoneticPr fontId="3" type="noConversion"/>
  </si>
  <si>
    <t>E305</t>
    <phoneticPr fontId="3" type="noConversion"/>
  </si>
  <si>
    <t>4800366349/100</t>
    <phoneticPr fontId="3" type="noConversion"/>
  </si>
  <si>
    <t>26117E3051</t>
    <phoneticPr fontId="3" type="noConversion"/>
  </si>
  <si>
    <t>E307</t>
    <phoneticPr fontId="3" type="noConversion"/>
  </si>
  <si>
    <t>E303</t>
    <phoneticPr fontId="3" type="noConversion"/>
  </si>
  <si>
    <t>26117E3071</t>
    <phoneticPr fontId="3" type="noConversion"/>
  </si>
  <si>
    <t>4800361335/100</t>
    <phoneticPr fontId="3" type="noConversion"/>
  </si>
  <si>
    <t>26117E3031</t>
    <phoneticPr fontId="3" type="noConversion"/>
  </si>
  <si>
    <t>4800361335/100</t>
    <phoneticPr fontId="3" type="noConversion"/>
  </si>
  <si>
    <t>E318</t>
    <phoneticPr fontId="3" type="noConversion"/>
  </si>
  <si>
    <t>26117E3181</t>
    <phoneticPr fontId="3" type="noConversion"/>
  </si>
  <si>
    <t>E319</t>
    <phoneticPr fontId="3" type="noConversion"/>
  </si>
  <si>
    <t>E29</t>
    <phoneticPr fontId="3" type="noConversion"/>
  </si>
  <si>
    <t>26117E3191</t>
    <phoneticPr fontId="3" type="noConversion"/>
  </si>
  <si>
    <t>4800320360/100</t>
    <phoneticPr fontId="3" type="noConversion"/>
  </si>
  <si>
    <t>E302</t>
    <phoneticPr fontId="3" type="noConversion"/>
  </si>
  <si>
    <t>4800361335/100</t>
    <phoneticPr fontId="3" type="noConversion"/>
  </si>
  <si>
    <t>26118E3021</t>
    <phoneticPr fontId="3" type="noConversion"/>
  </si>
  <si>
    <t>26118E29J1</t>
    <phoneticPr fontId="3" type="noConversion"/>
  </si>
  <si>
    <t>E306</t>
    <phoneticPr fontId="3" type="noConversion"/>
  </si>
  <si>
    <t>26118E3061</t>
    <phoneticPr fontId="3" type="noConversion"/>
  </si>
  <si>
    <t>E317</t>
    <phoneticPr fontId="3" type="noConversion"/>
  </si>
  <si>
    <t>E305</t>
    <phoneticPr fontId="3" type="noConversion"/>
  </si>
  <si>
    <t>26118E3171</t>
    <phoneticPr fontId="3" type="noConversion"/>
  </si>
  <si>
    <t>E44</t>
    <phoneticPr fontId="3" type="noConversion"/>
  </si>
  <si>
    <t>E308</t>
    <phoneticPr fontId="3" type="noConversion"/>
  </si>
  <si>
    <t>26119E3081</t>
    <phoneticPr fontId="3" type="noConversion"/>
  </si>
  <si>
    <t>4800366349/100</t>
    <phoneticPr fontId="3" type="noConversion"/>
  </si>
  <si>
    <t>26119E3051</t>
    <phoneticPr fontId="3" type="noConversion"/>
  </si>
  <si>
    <t>26119E44J1</t>
    <phoneticPr fontId="3" type="noConversion"/>
  </si>
  <si>
    <t>26105HAC1039</t>
    <phoneticPr fontId="3" type="noConversion"/>
  </si>
  <si>
    <t xml:space="preserve"> </t>
    <phoneticPr fontId="3" type="noConversion"/>
  </si>
  <si>
    <t>E318</t>
    <phoneticPr fontId="3" type="noConversion"/>
  </si>
  <si>
    <t>26120E3181</t>
    <phoneticPr fontId="3" type="noConversion"/>
  </si>
  <si>
    <t>E307</t>
    <phoneticPr fontId="3" type="noConversion"/>
  </si>
  <si>
    <t>26120E3071</t>
    <phoneticPr fontId="3" type="noConversion"/>
  </si>
  <si>
    <t>E319</t>
    <phoneticPr fontId="3" type="noConversion"/>
  </si>
  <si>
    <t>26120E3191</t>
    <phoneticPr fontId="3" type="noConversion"/>
  </si>
  <si>
    <t>原車退回</t>
    <phoneticPr fontId="3" type="noConversion"/>
  </si>
  <si>
    <t>重考不收費</t>
    <phoneticPr fontId="3" type="noConversion"/>
  </si>
  <si>
    <t>4800361335/100</t>
    <phoneticPr fontId="3" type="noConversion"/>
  </si>
  <si>
    <t>4800320360/100</t>
    <phoneticPr fontId="3" type="noConversion"/>
  </si>
  <si>
    <t>E303</t>
    <phoneticPr fontId="3" type="noConversion"/>
  </si>
  <si>
    <t>4800366349/100</t>
    <phoneticPr fontId="3" type="noConversion"/>
  </si>
  <si>
    <t>26120E3031</t>
    <phoneticPr fontId="3" type="noConversion"/>
  </si>
  <si>
    <t>E306</t>
    <phoneticPr fontId="3" type="noConversion"/>
  </si>
  <si>
    <t>E302</t>
    <phoneticPr fontId="3" type="noConversion"/>
  </si>
  <si>
    <t>26121E3061</t>
    <phoneticPr fontId="3" type="noConversion"/>
  </si>
  <si>
    <t>26121E3021</t>
    <phoneticPr fontId="3" type="noConversion"/>
  </si>
  <si>
    <t>4800320360/100</t>
    <phoneticPr fontId="3" type="noConversion"/>
  </si>
  <si>
    <t>E29</t>
    <phoneticPr fontId="3" type="noConversion"/>
  </si>
  <si>
    <t>E317</t>
    <phoneticPr fontId="3" type="noConversion"/>
  </si>
  <si>
    <t>26121E29J1</t>
    <phoneticPr fontId="3" type="noConversion"/>
  </si>
  <si>
    <t>26121E3171</t>
    <phoneticPr fontId="3" type="noConversion"/>
  </si>
  <si>
    <t>4800361335/100</t>
    <phoneticPr fontId="3" type="noConversion"/>
  </si>
  <si>
    <t>E309</t>
    <phoneticPr fontId="3" type="noConversion"/>
  </si>
  <si>
    <t>26122E3091</t>
    <phoneticPr fontId="3" type="noConversion"/>
  </si>
  <si>
    <t>E305</t>
    <phoneticPr fontId="3" type="noConversion"/>
  </si>
  <si>
    <t>26122E3051</t>
    <phoneticPr fontId="3" type="noConversion"/>
  </si>
  <si>
    <t>E44</t>
    <phoneticPr fontId="3" type="noConversion"/>
  </si>
  <si>
    <t>26122E44J1</t>
    <phoneticPr fontId="3" type="noConversion"/>
  </si>
  <si>
    <t>E308</t>
    <phoneticPr fontId="3" type="noConversion"/>
  </si>
  <si>
    <t>26122E3081</t>
    <phoneticPr fontId="3" type="noConversion"/>
  </si>
  <si>
    <t>4800361335/100</t>
    <phoneticPr fontId="3" type="noConversion"/>
  </si>
  <si>
    <t>E319</t>
    <phoneticPr fontId="3" type="noConversion"/>
  </si>
  <si>
    <t>26123E3191</t>
    <phoneticPr fontId="3" type="noConversion"/>
  </si>
  <si>
    <t>E29</t>
    <phoneticPr fontId="3" type="noConversion"/>
  </si>
  <si>
    <t>E318</t>
    <phoneticPr fontId="3" type="noConversion"/>
  </si>
  <si>
    <t>4800361335/100</t>
    <phoneticPr fontId="3" type="noConversion"/>
  </si>
  <si>
    <t>E303</t>
    <phoneticPr fontId="3" type="noConversion"/>
  </si>
  <si>
    <t>4800320360/100</t>
    <phoneticPr fontId="3" type="noConversion"/>
  </si>
  <si>
    <t>E307</t>
    <phoneticPr fontId="3" type="noConversion"/>
  </si>
  <si>
    <t>4800366349/100</t>
    <phoneticPr fontId="3" type="noConversion"/>
  </si>
  <si>
    <t>26123E3071</t>
    <phoneticPr fontId="3" type="noConversion"/>
  </si>
  <si>
    <t>26123E29J1</t>
    <phoneticPr fontId="3" type="noConversion"/>
  </si>
  <si>
    <t>26123E3181</t>
    <phoneticPr fontId="3" type="noConversion"/>
  </si>
  <si>
    <t>E317</t>
    <phoneticPr fontId="3" type="noConversion"/>
  </si>
  <si>
    <t>26123E3031</t>
    <phoneticPr fontId="3" type="noConversion"/>
  </si>
  <si>
    <t>4800320360/100</t>
    <phoneticPr fontId="3" type="noConversion"/>
  </si>
  <si>
    <t>26124E3171</t>
    <phoneticPr fontId="3" type="noConversion"/>
  </si>
  <si>
    <t>E306</t>
    <phoneticPr fontId="3" type="noConversion"/>
  </si>
  <si>
    <t>E309</t>
    <phoneticPr fontId="3" type="noConversion"/>
  </si>
  <si>
    <t>4800361335/100</t>
    <phoneticPr fontId="3" type="noConversion"/>
  </si>
  <si>
    <t>4800361335/100</t>
    <phoneticPr fontId="3" type="noConversion"/>
  </si>
  <si>
    <t>E302</t>
    <phoneticPr fontId="3" type="noConversion"/>
  </si>
  <si>
    <t>E44</t>
    <phoneticPr fontId="3" type="noConversion"/>
  </si>
  <si>
    <t>4800366349/100</t>
    <phoneticPr fontId="3" type="noConversion"/>
  </si>
  <si>
    <t>26124E3021</t>
    <phoneticPr fontId="3" type="noConversion"/>
  </si>
  <si>
    <t>26124E3061</t>
    <phoneticPr fontId="3" type="noConversion"/>
  </si>
  <si>
    <t>26124E3091</t>
    <phoneticPr fontId="3" type="noConversion"/>
  </si>
  <si>
    <t>26124E44J1</t>
    <phoneticPr fontId="3" type="noConversion"/>
  </si>
  <si>
    <t>E319</t>
    <phoneticPr fontId="3" type="noConversion"/>
  </si>
  <si>
    <t>E29</t>
    <phoneticPr fontId="3" type="noConversion"/>
  </si>
  <si>
    <t>E305</t>
    <phoneticPr fontId="3" type="noConversion"/>
  </si>
  <si>
    <t>E308</t>
    <phoneticPr fontId="3" type="noConversion"/>
  </si>
  <si>
    <t>26125E3081</t>
    <phoneticPr fontId="3" type="noConversion"/>
  </si>
  <si>
    <t>26125E29J1</t>
    <phoneticPr fontId="3" type="noConversion"/>
  </si>
  <si>
    <t>26125E3051</t>
    <phoneticPr fontId="3" type="noConversion"/>
  </si>
  <si>
    <t>26125E3191</t>
    <phoneticPr fontId="3" type="noConversion"/>
  </si>
  <si>
    <t>E307</t>
    <phoneticPr fontId="3" type="noConversion"/>
  </si>
  <si>
    <t>26126E3071</t>
    <phoneticPr fontId="3" type="noConversion"/>
  </si>
  <si>
    <t>E303</t>
    <phoneticPr fontId="3" type="noConversion"/>
  </si>
  <si>
    <t>E318</t>
    <phoneticPr fontId="3" type="noConversion"/>
  </si>
  <si>
    <t>26126E3031</t>
    <phoneticPr fontId="3" type="noConversion"/>
  </si>
  <si>
    <t>26126E3181</t>
    <phoneticPr fontId="3" type="noConversion"/>
  </si>
  <si>
    <t>E317</t>
    <phoneticPr fontId="3" type="noConversion"/>
  </si>
  <si>
    <t>26126E3171</t>
    <phoneticPr fontId="3" type="noConversion"/>
  </si>
  <si>
    <t>4800320360/100</t>
    <phoneticPr fontId="3" type="noConversion"/>
  </si>
  <si>
    <t>E306</t>
    <phoneticPr fontId="3" type="noConversion"/>
  </si>
  <si>
    <t>4800366349/100</t>
    <phoneticPr fontId="3" type="noConversion"/>
  </si>
  <si>
    <t>26126E3061</t>
    <phoneticPr fontId="3" type="noConversion"/>
  </si>
  <si>
    <t>4800351086/100</t>
    <phoneticPr fontId="3" type="noConversion"/>
  </si>
  <si>
    <t>26127E3041</t>
    <phoneticPr fontId="3" type="noConversion"/>
  </si>
  <si>
    <t>E302</t>
    <phoneticPr fontId="3" type="noConversion"/>
  </si>
  <si>
    <t>4800361335/100</t>
    <phoneticPr fontId="3" type="noConversion"/>
  </si>
  <si>
    <t>26127E44J1</t>
    <phoneticPr fontId="3" type="noConversion"/>
  </si>
  <si>
    <t>E44</t>
    <phoneticPr fontId="3" type="noConversion"/>
  </si>
  <si>
    <t>E309</t>
    <phoneticPr fontId="3" type="noConversion"/>
  </si>
  <si>
    <t>4800320360/100</t>
    <phoneticPr fontId="3" type="noConversion"/>
  </si>
  <si>
    <t>26127E3021</t>
    <phoneticPr fontId="3" type="noConversion"/>
  </si>
  <si>
    <t>26127E3091</t>
    <phoneticPr fontId="3" type="noConversion"/>
  </si>
  <si>
    <t>E305</t>
    <phoneticPr fontId="3" type="noConversion"/>
  </si>
  <si>
    <t>26128E3051</t>
    <phoneticPr fontId="3" type="noConversion"/>
  </si>
  <si>
    <t>E319</t>
    <phoneticPr fontId="3" type="noConversion"/>
  </si>
  <si>
    <t>26127E3191</t>
    <phoneticPr fontId="3" type="noConversion"/>
  </si>
  <si>
    <t>E308</t>
    <phoneticPr fontId="3" type="noConversion"/>
  </si>
  <si>
    <t>26128E3081</t>
    <phoneticPr fontId="3" type="noConversion"/>
  </si>
  <si>
    <t>E307</t>
    <phoneticPr fontId="3" type="noConversion"/>
  </si>
  <si>
    <t>26128E3071</t>
    <phoneticPr fontId="3" type="noConversion"/>
  </si>
  <si>
    <t>E29</t>
    <phoneticPr fontId="3" type="noConversion"/>
  </si>
  <si>
    <t>E303</t>
    <phoneticPr fontId="3" type="noConversion"/>
  </si>
  <si>
    <t>26128E29J1</t>
    <phoneticPr fontId="3" type="noConversion"/>
  </si>
  <si>
    <t>26128E3031</t>
    <phoneticPr fontId="3" type="noConversion"/>
  </si>
  <si>
    <t>E317</t>
    <phoneticPr fontId="3" type="noConversion"/>
  </si>
  <si>
    <t>E318</t>
    <phoneticPr fontId="3" type="noConversion"/>
  </si>
  <si>
    <t>26129E3181</t>
    <phoneticPr fontId="3" type="noConversion"/>
  </si>
  <si>
    <t>4800361335/100</t>
    <phoneticPr fontId="3" type="noConversion"/>
  </si>
  <si>
    <t>26129E3171</t>
    <phoneticPr fontId="3" type="noConversion"/>
  </si>
  <si>
    <t>4800363911/100</t>
    <phoneticPr fontId="3" type="noConversion"/>
  </si>
  <si>
    <t>E44</t>
    <phoneticPr fontId="3" type="noConversion"/>
  </si>
  <si>
    <t>4800366349/100</t>
    <phoneticPr fontId="3" type="noConversion"/>
  </si>
  <si>
    <t>26130E44J1</t>
    <phoneticPr fontId="3" type="noConversion"/>
  </si>
  <si>
    <t>E309</t>
    <phoneticPr fontId="3" type="noConversion"/>
  </si>
  <si>
    <t>26130E3091</t>
    <phoneticPr fontId="3" type="noConversion"/>
  </si>
  <si>
    <t>E302</t>
    <phoneticPr fontId="3" type="noConversion"/>
  </si>
  <si>
    <t>E305</t>
    <phoneticPr fontId="3" type="noConversion"/>
  </si>
  <si>
    <t>26130E3021</t>
    <phoneticPr fontId="3" type="noConversion"/>
  </si>
  <si>
    <t>4800363911/100</t>
    <phoneticPr fontId="3" type="noConversion"/>
  </si>
  <si>
    <t>E306</t>
    <phoneticPr fontId="3" type="noConversion"/>
  </si>
  <si>
    <t>26130E3051</t>
    <phoneticPr fontId="3" type="noConversion"/>
  </si>
  <si>
    <t>26130E3061</t>
    <phoneticPr fontId="3" type="noConversion"/>
  </si>
  <si>
    <t>E308</t>
    <phoneticPr fontId="3" type="noConversion"/>
  </si>
  <si>
    <t>26131E3081</t>
    <phoneticPr fontId="3" type="noConversion"/>
  </si>
  <si>
    <t>4800366349/100</t>
    <phoneticPr fontId="3" type="noConversion"/>
  </si>
  <si>
    <t>E307</t>
    <phoneticPr fontId="3" type="noConversion"/>
  </si>
  <si>
    <t>E317</t>
    <phoneticPr fontId="3" type="noConversion"/>
  </si>
  <si>
    <t>4800363911/100</t>
    <phoneticPr fontId="3" type="noConversion"/>
  </si>
  <si>
    <t>E319</t>
    <phoneticPr fontId="3" type="noConversion"/>
  </si>
  <si>
    <t>26131E3191</t>
    <phoneticPr fontId="3" type="noConversion"/>
  </si>
  <si>
    <t>26131E3071</t>
    <phoneticPr fontId="3" type="noConversion"/>
  </si>
  <si>
    <t>26131E3171</t>
    <phoneticPr fontId="3" type="noConversion"/>
  </si>
  <si>
    <t>E44</t>
    <phoneticPr fontId="3" type="noConversion"/>
  </si>
  <si>
    <t>E309</t>
    <phoneticPr fontId="3" type="noConversion"/>
  </si>
  <si>
    <t>4800363911/100</t>
    <phoneticPr fontId="3" type="noConversion"/>
  </si>
  <si>
    <t>26201E44J1</t>
    <phoneticPr fontId="3" type="noConversion"/>
  </si>
  <si>
    <t>26201E3091</t>
    <phoneticPr fontId="3" type="noConversion"/>
  </si>
  <si>
    <t>E29</t>
    <phoneticPr fontId="3" type="noConversion"/>
  </si>
  <si>
    <t>26201E29J1</t>
    <phoneticPr fontId="3" type="noConversion"/>
  </si>
  <si>
    <t>E318</t>
    <phoneticPr fontId="3" type="noConversion"/>
  </si>
  <si>
    <t>E303</t>
    <phoneticPr fontId="3" type="noConversion"/>
  </si>
  <si>
    <t>26201E3181</t>
    <phoneticPr fontId="3" type="noConversion"/>
  </si>
  <si>
    <t>26201E3031</t>
    <phoneticPr fontId="3" type="noConversion"/>
  </si>
  <si>
    <t>E306</t>
    <phoneticPr fontId="3" type="noConversion"/>
  </si>
  <si>
    <t>4800363911/100</t>
    <phoneticPr fontId="3" type="noConversion"/>
  </si>
  <si>
    <t>E302</t>
    <phoneticPr fontId="3" type="noConversion"/>
  </si>
  <si>
    <t>26202E3021</t>
    <phoneticPr fontId="3" type="noConversion"/>
  </si>
  <si>
    <t>E307</t>
    <phoneticPr fontId="3" type="noConversion"/>
  </si>
  <si>
    <t>26202E3061</t>
    <phoneticPr fontId="3" type="noConversion"/>
  </si>
  <si>
    <t>E305</t>
    <phoneticPr fontId="3" type="noConversion"/>
  </si>
  <si>
    <t>4800366349/100</t>
    <phoneticPr fontId="3" type="noConversion"/>
  </si>
  <si>
    <t>26202E3051</t>
    <phoneticPr fontId="3" type="noConversion"/>
  </si>
  <si>
    <t>26203E3071</t>
    <phoneticPr fontId="3" type="noConversion"/>
  </si>
  <si>
    <t>26203E3081</t>
    <phoneticPr fontId="3" type="noConversion"/>
  </si>
  <si>
    <t>E308</t>
    <phoneticPr fontId="3" type="noConversion"/>
  </si>
  <si>
    <t>E319</t>
    <phoneticPr fontId="3" type="noConversion"/>
  </si>
  <si>
    <t>E317</t>
    <phoneticPr fontId="3" type="noConversion"/>
  </si>
  <si>
    <t>4800361335/100</t>
    <phoneticPr fontId="3" type="noConversion"/>
  </si>
  <si>
    <t>26203E3191</t>
    <phoneticPr fontId="3" type="noConversion"/>
  </si>
  <si>
    <t>E303</t>
    <phoneticPr fontId="3" type="noConversion"/>
  </si>
  <si>
    <t>26204E3031</t>
    <phoneticPr fontId="3" type="noConversion"/>
  </si>
  <si>
    <t>E318</t>
    <phoneticPr fontId="3" type="noConversion"/>
  </si>
  <si>
    <t>E44</t>
    <phoneticPr fontId="3" type="noConversion"/>
  </si>
  <si>
    <t>26204E3181</t>
    <phoneticPr fontId="3" type="noConversion"/>
  </si>
  <si>
    <t>26203E3171</t>
    <phoneticPr fontId="3" type="noConversion"/>
  </si>
  <si>
    <t>26204E44J1</t>
    <phoneticPr fontId="3" type="noConversion"/>
  </si>
  <si>
    <t>E302</t>
    <phoneticPr fontId="3" type="noConversion"/>
  </si>
  <si>
    <t>26204E3021</t>
    <phoneticPr fontId="3" type="noConversion"/>
  </si>
  <si>
    <t>E307</t>
    <phoneticPr fontId="3" type="noConversion"/>
  </si>
  <si>
    <t>E309</t>
    <phoneticPr fontId="3" type="noConversion"/>
  </si>
  <si>
    <t>26205E3071</t>
    <phoneticPr fontId="3" type="noConversion"/>
  </si>
  <si>
    <t>26205E3091</t>
    <phoneticPr fontId="3" type="noConversion"/>
  </si>
  <si>
    <t>E29</t>
    <phoneticPr fontId="3" type="noConversion"/>
  </si>
  <si>
    <t>26204E29J1</t>
    <phoneticPr fontId="3" type="noConversion"/>
  </si>
  <si>
    <t>4800320360/100</t>
    <phoneticPr fontId="3" type="noConversion"/>
  </si>
  <si>
    <t>E306</t>
    <phoneticPr fontId="3" type="noConversion"/>
  </si>
  <si>
    <t>26205E3061</t>
    <phoneticPr fontId="3" type="noConversion"/>
  </si>
  <si>
    <t>E308</t>
    <phoneticPr fontId="3" type="noConversion"/>
  </si>
  <si>
    <t>26206E3191</t>
    <phoneticPr fontId="3" type="noConversion"/>
  </si>
  <si>
    <t>E303</t>
    <phoneticPr fontId="3" type="noConversion"/>
  </si>
  <si>
    <t>26206E3031</t>
    <phoneticPr fontId="3" type="noConversion"/>
  </si>
  <si>
    <t>26205E3081</t>
    <phoneticPr fontId="3" type="noConversion"/>
  </si>
  <si>
    <t>E317</t>
    <phoneticPr fontId="3" type="noConversion"/>
  </si>
  <si>
    <t>E302</t>
    <phoneticPr fontId="3" type="noConversion"/>
  </si>
  <si>
    <t>4800363911/100</t>
    <phoneticPr fontId="3" type="noConversion"/>
  </si>
  <si>
    <t>E318</t>
    <phoneticPr fontId="3" type="noConversion"/>
  </si>
  <si>
    <t>E306</t>
    <phoneticPr fontId="3" type="noConversion"/>
  </si>
  <si>
    <t>26207E3061</t>
    <phoneticPr fontId="3" type="noConversion"/>
  </si>
  <si>
    <t>4800366349/100</t>
    <phoneticPr fontId="3" type="noConversion"/>
  </si>
  <si>
    <t>26207E3171</t>
    <phoneticPr fontId="3" type="noConversion"/>
  </si>
  <si>
    <t>26207E3021</t>
    <phoneticPr fontId="3" type="noConversion"/>
  </si>
  <si>
    <t>26206E3181</t>
    <phoneticPr fontId="3" type="noConversion"/>
  </si>
  <si>
    <t>4800320360/100</t>
    <phoneticPr fontId="3" type="noConversion"/>
  </si>
  <si>
    <t>26205E3051</t>
    <phoneticPr fontId="3" type="noConversion"/>
  </si>
  <si>
    <t>E44</t>
    <phoneticPr fontId="3" type="noConversion"/>
  </si>
  <si>
    <t>E29</t>
    <phoneticPr fontId="3" type="noConversion"/>
  </si>
  <si>
    <t>E307</t>
    <phoneticPr fontId="3" type="noConversion"/>
  </si>
  <si>
    <t>E308</t>
    <phoneticPr fontId="3" type="noConversion"/>
  </si>
  <si>
    <t>26208E3081</t>
    <phoneticPr fontId="3" type="noConversion"/>
  </si>
  <si>
    <t>26208E3071</t>
    <phoneticPr fontId="3" type="noConversion"/>
  </si>
  <si>
    <t>26207E44J1</t>
    <phoneticPr fontId="3" type="noConversion"/>
  </si>
  <si>
    <t>26208E29J1</t>
    <phoneticPr fontId="3" type="noConversion"/>
  </si>
  <si>
    <t>E309</t>
    <phoneticPr fontId="3" type="noConversion"/>
  </si>
  <si>
    <t>E319</t>
    <phoneticPr fontId="3" type="noConversion"/>
  </si>
  <si>
    <t>E303</t>
    <phoneticPr fontId="3" type="noConversion"/>
  </si>
  <si>
    <t>E305</t>
    <phoneticPr fontId="3" type="noConversion"/>
  </si>
  <si>
    <t>26209E3051</t>
    <phoneticPr fontId="3" type="noConversion"/>
  </si>
  <si>
    <t>26208E3091</t>
    <phoneticPr fontId="3" type="noConversion"/>
  </si>
  <si>
    <t>4800363911/100</t>
    <phoneticPr fontId="3" type="noConversion"/>
  </si>
  <si>
    <t>26209E3191</t>
    <phoneticPr fontId="3" type="noConversion"/>
  </si>
  <si>
    <t>4800320360/100</t>
    <phoneticPr fontId="3" type="noConversion"/>
  </si>
  <si>
    <t>26209E3031</t>
    <phoneticPr fontId="3" type="noConversion"/>
  </si>
  <si>
    <t>E317</t>
    <phoneticPr fontId="3" type="noConversion"/>
  </si>
  <si>
    <t>E318</t>
    <phoneticPr fontId="3" type="noConversion"/>
  </si>
  <si>
    <t>26209E3171</t>
    <phoneticPr fontId="3" type="noConversion"/>
  </si>
  <si>
    <t>26210E3181</t>
    <phoneticPr fontId="3" type="noConversion"/>
  </si>
  <si>
    <t>E306</t>
    <phoneticPr fontId="3" type="noConversion"/>
  </si>
  <si>
    <t>26210E3061</t>
    <phoneticPr fontId="3" type="noConversion"/>
  </si>
  <si>
    <t>E302</t>
    <phoneticPr fontId="3" type="noConversion"/>
  </si>
  <si>
    <t>26210E3021</t>
    <phoneticPr fontId="3" type="noConversion"/>
  </si>
  <si>
    <t>追蹤</t>
    <phoneticPr fontId="3" type="noConversion"/>
  </si>
  <si>
    <t>E308</t>
    <phoneticPr fontId="3" type="noConversion"/>
  </si>
  <si>
    <t>E29</t>
    <phoneticPr fontId="3" type="noConversion"/>
  </si>
  <si>
    <t>4800363911/100</t>
    <phoneticPr fontId="3" type="noConversion"/>
  </si>
  <si>
    <t>26211E29J1</t>
    <phoneticPr fontId="3" type="noConversion"/>
  </si>
  <si>
    <t>E307</t>
    <phoneticPr fontId="3" type="noConversion"/>
  </si>
  <si>
    <t>E44</t>
    <phoneticPr fontId="3" type="noConversion"/>
  </si>
  <si>
    <t>4800320360/100</t>
    <phoneticPr fontId="3" type="noConversion"/>
  </si>
  <si>
    <t>E305</t>
    <phoneticPr fontId="3" type="noConversion"/>
  </si>
  <si>
    <t>4800366349/100</t>
    <phoneticPr fontId="3" type="noConversion"/>
  </si>
  <si>
    <t>26211E3051</t>
    <phoneticPr fontId="3" type="noConversion"/>
  </si>
  <si>
    <t>26210E3071</t>
    <phoneticPr fontId="3" type="noConversion"/>
  </si>
  <si>
    <t>26211E44J1</t>
    <phoneticPr fontId="3" type="noConversion"/>
  </si>
  <si>
    <t>26211E3081</t>
    <phoneticPr fontId="3" type="noConversion"/>
  </si>
  <si>
    <t>E303</t>
    <phoneticPr fontId="3" type="noConversion"/>
  </si>
  <si>
    <t>26212E3031</t>
    <phoneticPr fontId="3" type="noConversion"/>
  </si>
  <si>
    <t>E309</t>
    <phoneticPr fontId="3" type="noConversion"/>
  </si>
  <si>
    <t>26212E3091</t>
    <phoneticPr fontId="3" type="noConversion"/>
  </si>
  <si>
    <t>E302</t>
    <phoneticPr fontId="3" type="noConversion"/>
  </si>
  <si>
    <t>E319</t>
    <phoneticPr fontId="3" type="noConversion"/>
  </si>
  <si>
    <t>4800363911/100</t>
    <phoneticPr fontId="3" type="noConversion"/>
  </si>
  <si>
    <t>E318</t>
    <phoneticPr fontId="3" type="noConversion"/>
  </si>
  <si>
    <t>26213E3181</t>
    <phoneticPr fontId="3" type="noConversion"/>
  </si>
  <si>
    <t>E317</t>
    <phoneticPr fontId="3" type="noConversion"/>
  </si>
  <si>
    <t>4800366349/100</t>
    <phoneticPr fontId="3" type="noConversion"/>
  </si>
  <si>
    <t>26213E3171</t>
    <phoneticPr fontId="3" type="noConversion"/>
  </si>
  <si>
    <t>26212E3021</t>
    <phoneticPr fontId="3" type="noConversion"/>
  </si>
  <si>
    <t>26212E3191</t>
    <phoneticPr fontId="3" type="noConversion"/>
  </si>
  <si>
    <t>E306</t>
    <phoneticPr fontId="3" type="noConversion"/>
  </si>
  <si>
    <t>4800320360/100</t>
    <phoneticPr fontId="3" type="noConversion"/>
  </si>
  <si>
    <t>E308</t>
    <phoneticPr fontId="3" type="noConversion"/>
  </si>
  <si>
    <t>E307</t>
    <phoneticPr fontId="3" type="noConversion"/>
  </si>
  <si>
    <t>4800363911/100</t>
    <phoneticPr fontId="3" type="noConversion"/>
  </si>
  <si>
    <t>E305</t>
    <phoneticPr fontId="3" type="noConversion"/>
  </si>
  <si>
    <t>E29</t>
    <phoneticPr fontId="3" type="noConversion"/>
  </si>
  <si>
    <t>4800366349/100</t>
    <phoneticPr fontId="3" type="noConversion"/>
  </si>
  <si>
    <t>26213E3061</t>
    <phoneticPr fontId="3" type="noConversion"/>
  </si>
  <si>
    <t>26214E3051</t>
    <phoneticPr fontId="3" type="noConversion"/>
  </si>
  <si>
    <t>26214E3081</t>
    <phoneticPr fontId="3" type="noConversion"/>
  </si>
  <si>
    <t>26214E3071</t>
    <phoneticPr fontId="3" type="noConversion"/>
  </si>
  <si>
    <t>26214E29J1</t>
    <phoneticPr fontId="3" type="noConversion"/>
  </si>
  <si>
    <t>E44</t>
    <phoneticPr fontId="3" type="noConversion"/>
  </si>
  <si>
    <t>26214E44J1</t>
    <phoneticPr fontId="3" type="noConversion"/>
  </si>
  <si>
    <t>15P7</t>
    <phoneticPr fontId="3" type="noConversion"/>
  </si>
  <si>
    <t>E303</t>
    <phoneticPr fontId="3" type="noConversion"/>
  </si>
  <si>
    <t>E317</t>
    <phoneticPr fontId="3" type="noConversion"/>
  </si>
  <si>
    <t>4800320360/100</t>
    <phoneticPr fontId="3" type="noConversion"/>
  </si>
  <si>
    <t>26215E3171</t>
    <phoneticPr fontId="3" type="noConversion"/>
  </si>
  <si>
    <t>E319</t>
    <phoneticPr fontId="3" type="noConversion"/>
  </si>
  <si>
    <t>26215E3031</t>
    <phoneticPr fontId="3" type="noConversion"/>
  </si>
  <si>
    <t>26216E3191</t>
    <phoneticPr fontId="3" type="noConversion"/>
  </si>
  <si>
    <t>4800363911/100</t>
    <phoneticPr fontId="3" type="noConversion"/>
  </si>
  <si>
    <t>E309</t>
    <phoneticPr fontId="3" type="noConversion"/>
  </si>
  <si>
    <t>E302</t>
    <phoneticPr fontId="3" type="noConversion"/>
  </si>
  <si>
    <t>26215E3091</t>
    <phoneticPr fontId="3" type="noConversion"/>
  </si>
  <si>
    <t>26215E3021</t>
    <phoneticPr fontId="3" type="noConversion"/>
  </si>
  <si>
    <t>E306</t>
    <phoneticPr fontId="3" type="noConversion"/>
  </si>
  <si>
    <t>E44</t>
    <phoneticPr fontId="3" type="noConversion"/>
  </si>
  <si>
    <t>26216E3061</t>
    <phoneticPr fontId="3" type="noConversion"/>
  </si>
  <si>
    <t>4800320360/100</t>
    <phoneticPr fontId="3" type="noConversion"/>
  </si>
  <si>
    <t>E318</t>
    <phoneticPr fontId="3" type="noConversion"/>
  </si>
  <si>
    <t>E29</t>
    <phoneticPr fontId="3" type="noConversion"/>
  </si>
  <si>
    <t>E308</t>
    <phoneticPr fontId="3" type="noConversion"/>
  </si>
  <si>
    <t>26216E44J1</t>
    <phoneticPr fontId="3" type="noConversion"/>
  </si>
  <si>
    <t>26217E3181</t>
    <phoneticPr fontId="3" type="noConversion"/>
  </si>
  <si>
    <t>26217E29J1</t>
    <phoneticPr fontId="3" type="noConversion"/>
  </si>
  <si>
    <t>26217E3081</t>
    <phoneticPr fontId="3" type="noConversion"/>
  </si>
  <si>
    <t>4800363911/100</t>
    <phoneticPr fontId="3" type="noConversion"/>
  </si>
  <si>
    <t>E305</t>
    <phoneticPr fontId="3" type="noConversion"/>
  </si>
  <si>
    <t>E307</t>
    <phoneticPr fontId="3" type="noConversion"/>
  </si>
  <si>
    <t>26217E3051</t>
    <phoneticPr fontId="3" type="noConversion"/>
  </si>
  <si>
    <t>4800363911/100</t>
    <phoneticPr fontId="3" type="noConversion"/>
  </si>
  <si>
    <t>26217E3041</t>
    <phoneticPr fontId="3" type="noConversion"/>
  </si>
  <si>
    <t>4800351086/100</t>
    <phoneticPr fontId="3" type="noConversion"/>
  </si>
  <si>
    <t>4800361959/100</t>
    <phoneticPr fontId="3" type="noConversion"/>
  </si>
  <si>
    <t>26217E3071</t>
    <phoneticPr fontId="3" type="noConversion"/>
  </si>
  <si>
    <t>4800324698/100</t>
    <phoneticPr fontId="3" type="noConversion"/>
  </si>
  <si>
    <t>E317</t>
    <phoneticPr fontId="3" type="noConversion"/>
  </si>
  <si>
    <t>E319</t>
    <phoneticPr fontId="3" type="noConversion"/>
  </si>
  <si>
    <t>E302</t>
    <phoneticPr fontId="3" type="noConversion"/>
  </si>
  <si>
    <t>E303</t>
    <phoneticPr fontId="3" type="noConversion"/>
  </si>
  <si>
    <t>4800320360/100</t>
    <phoneticPr fontId="3" type="noConversion"/>
  </si>
  <si>
    <t>26218E3021</t>
    <phoneticPr fontId="3" type="noConversion"/>
  </si>
  <si>
    <t>26218E3031</t>
    <phoneticPr fontId="3" type="noConversion"/>
  </si>
  <si>
    <t>E309</t>
    <phoneticPr fontId="3" type="noConversion"/>
  </si>
  <si>
    <t>26218E3091</t>
    <phoneticPr fontId="3" type="noConversion"/>
  </si>
  <si>
    <t>26218E3171</t>
    <phoneticPr fontId="3" type="noConversion"/>
  </si>
  <si>
    <t>26218E3191</t>
    <phoneticPr fontId="3" type="noConversion"/>
  </si>
  <si>
    <t>E44</t>
    <phoneticPr fontId="3" type="noConversion"/>
  </si>
  <si>
    <t>E318</t>
    <phoneticPr fontId="3" type="noConversion"/>
  </si>
  <si>
    <t>E306</t>
    <phoneticPr fontId="3" type="noConversion"/>
  </si>
  <si>
    <t>4800320360/100</t>
    <phoneticPr fontId="3" type="noConversion"/>
  </si>
  <si>
    <t>E29</t>
    <phoneticPr fontId="3" type="noConversion"/>
  </si>
  <si>
    <t>4800366349/100</t>
    <phoneticPr fontId="3" type="noConversion"/>
  </si>
  <si>
    <t>26219E29J1</t>
    <phoneticPr fontId="3" type="noConversion"/>
  </si>
  <si>
    <t>26219E3061</t>
    <phoneticPr fontId="3" type="noConversion"/>
  </si>
  <si>
    <t>26219E44J1</t>
    <phoneticPr fontId="3" type="noConversion"/>
  </si>
  <si>
    <t>26219E3181</t>
    <phoneticPr fontId="3" type="noConversion"/>
  </si>
  <si>
    <t>E308</t>
    <phoneticPr fontId="3" type="noConversion"/>
  </si>
  <si>
    <t>E305</t>
    <phoneticPr fontId="3" type="noConversion"/>
  </si>
  <si>
    <t>E302</t>
    <phoneticPr fontId="3" type="noConversion"/>
  </si>
  <si>
    <t>E307</t>
    <phoneticPr fontId="3" type="noConversion"/>
  </si>
  <si>
    <t>26220E3071</t>
    <phoneticPr fontId="3" type="noConversion"/>
  </si>
  <si>
    <t>4800320360/100</t>
    <phoneticPr fontId="3" type="noConversion"/>
  </si>
  <si>
    <t>4800363911/100</t>
    <phoneticPr fontId="3" type="noConversion"/>
  </si>
  <si>
    <t>26220E3051</t>
    <phoneticPr fontId="3" type="noConversion"/>
  </si>
  <si>
    <t>26220E3081</t>
    <phoneticPr fontId="3" type="noConversion"/>
  </si>
  <si>
    <t>26220E3021</t>
    <phoneticPr fontId="3" type="noConversion"/>
  </si>
  <si>
    <t>E303</t>
    <phoneticPr fontId="3" type="noConversion"/>
  </si>
  <si>
    <t>26221E3031</t>
    <phoneticPr fontId="3" type="noConversion"/>
  </si>
  <si>
    <t>E309</t>
    <phoneticPr fontId="3" type="noConversion"/>
  </si>
  <si>
    <t>E319</t>
    <phoneticPr fontId="3" type="noConversion"/>
  </si>
  <si>
    <t>4800366349/100</t>
    <phoneticPr fontId="3" type="noConversion"/>
  </si>
  <si>
    <t>E317</t>
    <phoneticPr fontId="3" type="noConversion"/>
  </si>
  <si>
    <t>26221E3091</t>
    <phoneticPr fontId="3" type="noConversion"/>
  </si>
  <si>
    <t>4800363911/100</t>
    <phoneticPr fontId="3" type="noConversion"/>
  </si>
  <si>
    <t>E44</t>
    <phoneticPr fontId="3" type="noConversion"/>
  </si>
  <si>
    <t>26221E3191</t>
    <phoneticPr fontId="3" type="noConversion"/>
  </si>
  <si>
    <t>26221E3171</t>
    <phoneticPr fontId="3" type="noConversion"/>
  </si>
  <si>
    <t>26222E44J1</t>
    <phoneticPr fontId="3" type="noConversion"/>
  </si>
  <si>
    <t>E308</t>
    <phoneticPr fontId="3" type="noConversion"/>
  </si>
  <si>
    <t>E318</t>
    <phoneticPr fontId="3" type="noConversion"/>
  </si>
  <si>
    <t>26222E3181</t>
    <phoneticPr fontId="3" type="noConversion"/>
  </si>
  <si>
    <t>4800363911/100</t>
    <phoneticPr fontId="3" type="noConversion"/>
  </si>
  <si>
    <t>E29</t>
    <phoneticPr fontId="3" type="noConversion"/>
  </si>
  <si>
    <t>E306</t>
    <phoneticPr fontId="3" type="noConversion"/>
  </si>
  <si>
    <t>26222E29J1</t>
    <phoneticPr fontId="3" type="noConversion"/>
  </si>
  <si>
    <t>原車退回</t>
    <phoneticPr fontId="3" type="noConversion"/>
  </si>
  <si>
    <t>26222E3061</t>
    <phoneticPr fontId="3" type="noConversion"/>
  </si>
  <si>
    <t>26222E3081</t>
    <phoneticPr fontId="3" type="noConversion"/>
  </si>
  <si>
    <t>E302</t>
    <phoneticPr fontId="3" type="noConversion"/>
  </si>
  <si>
    <t>E305</t>
    <phoneticPr fontId="3" type="noConversion"/>
  </si>
  <si>
    <t>26223E3021</t>
    <phoneticPr fontId="3" type="noConversion"/>
  </si>
  <si>
    <t>4800363911/100</t>
    <phoneticPr fontId="3" type="noConversion"/>
  </si>
  <si>
    <t>26223E3051</t>
    <phoneticPr fontId="3" type="noConversion"/>
  </si>
  <si>
    <t>E307</t>
    <phoneticPr fontId="3" type="noConversion"/>
  </si>
  <si>
    <t>26223E3071</t>
    <phoneticPr fontId="3" type="noConversion"/>
  </si>
  <si>
    <t>E303</t>
    <phoneticPr fontId="3" type="noConversion"/>
  </si>
  <si>
    <t>26223E3031</t>
    <phoneticPr fontId="3" type="noConversion"/>
  </si>
  <si>
    <t>E317</t>
    <phoneticPr fontId="3" type="noConversion"/>
  </si>
  <si>
    <t>E308</t>
    <phoneticPr fontId="3" type="noConversion"/>
  </si>
  <si>
    <t>E309</t>
    <phoneticPr fontId="3" type="noConversion"/>
  </si>
  <si>
    <t>26223E3171</t>
    <phoneticPr fontId="3" type="noConversion"/>
  </si>
  <si>
    <t>26224E3091</t>
    <phoneticPr fontId="3" type="noConversion"/>
  </si>
  <si>
    <t>E318</t>
    <phoneticPr fontId="3" type="noConversion"/>
  </si>
  <si>
    <t>E303</t>
    <phoneticPr fontId="3" type="noConversion"/>
  </si>
  <si>
    <t>E29</t>
    <phoneticPr fontId="3" type="noConversion"/>
  </si>
  <si>
    <t>4800320360/100</t>
    <phoneticPr fontId="3" type="noConversion"/>
  </si>
  <si>
    <t>E302</t>
    <phoneticPr fontId="3" type="noConversion"/>
  </si>
  <si>
    <t>26225E29J1</t>
    <phoneticPr fontId="3" type="noConversion"/>
  </si>
  <si>
    <t>26225E3021</t>
    <phoneticPr fontId="3" type="noConversion"/>
  </si>
  <si>
    <t>26225E3181</t>
    <phoneticPr fontId="3" type="noConversion"/>
  </si>
  <si>
    <t>26225E3031</t>
    <phoneticPr fontId="3" type="noConversion"/>
  </si>
  <si>
    <t>E319</t>
    <phoneticPr fontId="3" type="noConversion"/>
  </si>
  <si>
    <t>E306</t>
    <phoneticPr fontId="3" type="noConversion"/>
  </si>
  <si>
    <t>26225E3061</t>
    <phoneticPr fontId="3" type="noConversion"/>
  </si>
  <si>
    <t>4800320360/100</t>
    <phoneticPr fontId="3" type="noConversion"/>
  </si>
  <si>
    <t>E319</t>
    <phoneticPr fontId="3" type="noConversion"/>
  </si>
  <si>
    <t>E307</t>
    <phoneticPr fontId="3" type="noConversion"/>
  </si>
  <si>
    <t>E305</t>
    <phoneticPr fontId="3" type="noConversion"/>
  </si>
  <si>
    <t>26226E3071</t>
    <phoneticPr fontId="3" type="noConversion"/>
  </si>
  <si>
    <t>4800320360/100</t>
    <phoneticPr fontId="3" type="noConversion"/>
  </si>
  <si>
    <t>26226E3051</t>
    <phoneticPr fontId="3" type="noConversion"/>
  </si>
  <si>
    <t>E308</t>
    <phoneticPr fontId="3" type="noConversion"/>
  </si>
  <si>
    <t>26226E3191</t>
    <phoneticPr fontId="3" type="noConversion"/>
  </si>
  <si>
    <t>26227E3081</t>
    <phoneticPr fontId="3" type="noConversion"/>
  </si>
  <si>
    <t>E44</t>
    <phoneticPr fontId="3" type="noConversion"/>
  </si>
  <si>
    <t>E29</t>
    <phoneticPr fontId="3" type="noConversion"/>
  </si>
  <si>
    <t>15P7</t>
    <phoneticPr fontId="3" type="noConversion"/>
  </si>
  <si>
    <t>原車退回</t>
    <phoneticPr fontId="3" type="noConversion"/>
  </si>
  <si>
    <t>E309</t>
    <phoneticPr fontId="3" type="noConversion"/>
  </si>
  <si>
    <t>4800366349/100</t>
    <phoneticPr fontId="3" type="noConversion"/>
  </si>
  <si>
    <t>26227E3091</t>
    <phoneticPr fontId="3" type="noConversion"/>
  </si>
  <si>
    <t>4800366349/100</t>
    <phoneticPr fontId="3" type="noConversion"/>
  </si>
  <si>
    <t>4800324698/100</t>
    <phoneticPr fontId="3" type="noConversion"/>
  </si>
  <si>
    <t>E318</t>
    <phoneticPr fontId="3" type="noConversion"/>
  </si>
  <si>
    <t>E302</t>
    <phoneticPr fontId="3" type="noConversion"/>
  </si>
  <si>
    <t>26227E29J1</t>
    <phoneticPr fontId="3" type="noConversion"/>
  </si>
  <si>
    <t>26227E44J1</t>
    <phoneticPr fontId="3" type="noConversion"/>
  </si>
  <si>
    <t>26228E3181</t>
    <phoneticPr fontId="3" type="noConversion"/>
  </si>
  <si>
    <t>26228E3021</t>
    <phoneticPr fontId="3" type="noConversion"/>
  </si>
  <si>
    <t>E303</t>
    <phoneticPr fontId="3" type="noConversion"/>
  </si>
  <si>
    <t>E307</t>
    <phoneticPr fontId="3" type="noConversion"/>
  </si>
  <si>
    <t>4800320360/100</t>
    <phoneticPr fontId="3" type="noConversion"/>
  </si>
  <si>
    <t>E306</t>
    <phoneticPr fontId="3" type="noConversion"/>
  </si>
  <si>
    <t>26228E3071</t>
    <phoneticPr fontId="3" type="noConversion"/>
  </si>
  <si>
    <t>26228E3031</t>
    <phoneticPr fontId="3" type="noConversion"/>
  </si>
  <si>
    <t>E319</t>
    <phoneticPr fontId="3" type="noConversion"/>
  </si>
  <si>
    <t>26301E3191</t>
    <phoneticPr fontId="3" type="noConversion"/>
  </si>
  <si>
    <t>26228E3061</t>
    <phoneticPr fontId="3" type="noConversion"/>
  </si>
  <si>
    <t>26224E3191</t>
    <phoneticPr fontId="3" type="noConversion"/>
  </si>
  <si>
    <t>26224E44J1</t>
    <phoneticPr fontId="3" type="noConversion"/>
  </si>
  <si>
    <t>26224E3081</t>
    <phoneticPr fontId="3" type="noConversion"/>
  </si>
  <si>
    <t>E305</t>
    <phoneticPr fontId="3" type="noConversion"/>
  </si>
  <si>
    <t>E308</t>
    <phoneticPr fontId="3" type="noConversion"/>
  </si>
  <si>
    <t>26301E3081</t>
    <phoneticPr fontId="3" type="noConversion"/>
  </si>
  <si>
    <t>4800363911/100</t>
    <phoneticPr fontId="3" type="noConversion"/>
  </si>
  <si>
    <t>E309</t>
    <phoneticPr fontId="3" type="noConversion"/>
  </si>
  <si>
    <t>E44</t>
    <phoneticPr fontId="3" type="noConversion"/>
  </si>
  <si>
    <t>26301E3091</t>
    <phoneticPr fontId="3" type="noConversion"/>
  </si>
  <si>
    <t>26301E3051</t>
    <phoneticPr fontId="3" type="noConversion"/>
  </si>
  <si>
    <t>26302E44J1</t>
    <phoneticPr fontId="3" type="noConversion"/>
  </si>
  <si>
    <t>15P5</t>
    <phoneticPr fontId="3" type="noConversion"/>
  </si>
  <si>
    <t>E302</t>
    <phoneticPr fontId="3" type="noConversion"/>
  </si>
  <si>
    <t>E318</t>
    <phoneticPr fontId="3" type="noConversion"/>
  </si>
  <si>
    <t>E317</t>
    <phoneticPr fontId="3" type="noConversion"/>
  </si>
  <si>
    <t>E306</t>
    <phoneticPr fontId="3" type="noConversion"/>
  </si>
  <si>
    <t>26302E3021</t>
    <phoneticPr fontId="3" type="noConversion"/>
  </si>
  <si>
    <t>26302E3181</t>
    <phoneticPr fontId="3" type="noConversion"/>
  </si>
  <si>
    <t>26303E3171</t>
    <phoneticPr fontId="3" type="noConversion"/>
  </si>
  <si>
    <t>E307</t>
    <phoneticPr fontId="3" type="noConversion"/>
  </si>
  <si>
    <t>26303E3061</t>
    <phoneticPr fontId="3" type="noConversion"/>
  </si>
  <si>
    <t>4800320360/100</t>
    <phoneticPr fontId="3" type="noConversion"/>
  </si>
  <si>
    <t>E29</t>
    <phoneticPr fontId="3" type="noConversion"/>
  </si>
  <si>
    <t>26302E29J1</t>
    <phoneticPr fontId="3" type="noConversion"/>
  </si>
  <si>
    <t>4800320360/100</t>
    <phoneticPr fontId="3" type="noConversion"/>
  </si>
  <si>
    <t>26303E3071</t>
    <phoneticPr fontId="3" type="noConversion"/>
  </si>
  <si>
    <t>E305</t>
    <phoneticPr fontId="3" type="noConversion"/>
  </si>
  <si>
    <t>E319</t>
    <phoneticPr fontId="3" type="noConversion"/>
  </si>
  <si>
    <t>26303E3051</t>
    <phoneticPr fontId="3" type="noConversion"/>
  </si>
  <si>
    <t>26303E3191</t>
    <phoneticPr fontId="3" type="noConversion"/>
  </si>
  <si>
    <t>15P6</t>
    <phoneticPr fontId="3" type="noConversion"/>
  </si>
  <si>
    <t>4800367015/100</t>
    <phoneticPr fontId="3" type="noConversion"/>
  </si>
  <si>
    <t>E309</t>
    <phoneticPr fontId="3" type="noConversion"/>
  </si>
  <si>
    <t>26304E3091</t>
    <phoneticPr fontId="3" type="noConversion"/>
  </si>
  <si>
    <t>E308</t>
    <phoneticPr fontId="3" type="noConversion"/>
  </si>
  <si>
    <t>26304E3081</t>
    <phoneticPr fontId="3" type="noConversion"/>
  </si>
  <si>
    <t>E44</t>
    <phoneticPr fontId="3" type="noConversion"/>
  </si>
  <si>
    <t>E29</t>
    <phoneticPr fontId="3" type="noConversion"/>
  </si>
  <si>
    <t>26304E29J1</t>
    <phoneticPr fontId="3" type="noConversion"/>
  </si>
  <si>
    <t>4800363911/100</t>
    <phoneticPr fontId="3" type="noConversion"/>
  </si>
  <si>
    <t>26304E44J1</t>
    <phoneticPr fontId="3" type="noConversion"/>
  </si>
  <si>
    <t>E318</t>
    <phoneticPr fontId="3" type="noConversion"/>
  </si>
  <si>
    <t>26305E3181</t>
    <phoneticPr fontId="3" type="noConversion"/>
  </si>
  <si>
    <t>E302</t>
    <phoneticPr fontId="3" type="noConversion"/>
  </si>
  <si>
    <t>26305E3021</t>
    <phoneticPr fontId="3" type="noConversion"/>
  </si>
  <si>
    <t>E317</t>
    <phoneticPr fontId="3" type="noConversion"/>
  </si>
  <si>
    <t>E305</t>
    <phoneticPr fontId="3" type="noConversion"/>
  </si>
  <si>
    <t>26305E3171</t>
    <phoneticPr fontId="3" type="noConversion"/>
  </si>
  <si>
    <t>26305E3061</t>
    <phoneticPr fontId="3" type="noConversion"/>
  </si>
  <si>
    <t>E306</t>
    <phoneticPr fontId="3" type="noConversion"/>
  </si>
  <si>
    <t>26305E3041</t>
    <phoneticPr fontId="3" type="noConversion"/>
  </si>
  <si>
    <t>E307</t>
    <phoneticPr fontId="3" type="noConversion"/>
  </si>
  <si>
    <t>26305E3071</t>
    <phoneticPr fontId="3" type="noConversion"/>
  </si>
  <si>
    <t>26306E3051</t>
    <phoneticPr fontId="3" type="noConversion"/>
  </si>
  <si>
    <t>4800320360/100</t>
    <phoneticPr fontId="3" type="noConversion"/>
  </si>
  <si>
    <t>4800367015/100</t>
    <phoneticPr fontId="3" type="noConversion"/>
  </si>
  <si>
    <t>E308</t>
    <phoneticPr fontId="3" type="noConversion"/>
  </si>
  <si>
    <t>E44</t>
    <phoneticPr fontId="3" type="noConversion"/>
  </si>
  <si>
    <t>E319</t>
    <phoneticPr fontId="3" type="noConversion"/>
  </si>
  <si>
    <t>E29</t>
    <phoneticPr fontId="3" type="noConversion"/>
  </si>
  <si>
    <t>4800320360/100</t>
    <phoneticPr fontId="3" type="noConversion"/>
  </si>
  <si>
    <t>4800367015/100</t>
    <phoneticPr fontId="3" type="noConversion"/>
  </si>
  <si>
    <t>26306E3081</t>
    <phoneticPr fontId="3" type="noConversion"/>
  </si>
  <si>
    <t>26306E3191</t>
    <phoneticPr fontId="3" type="noConversion"/>
  </si>
  <si>
    <t>4800320360/100</t>
    <phoneticPr fontId="3" type="noConversion"/>
  </si>
  <si>
    <t>26307E44J1</t>
    <phoneticPr fontId="3" type="noConversion"/>
  </si>
  <si>
    <t>26307E29J1</t>
    <phoneticPr fontId="3" type="noConversion"/>
  </si>
  <si>
    <t>4800367015/100</t>
    <phoneticPr fontId="3" type="noConversion"/>
  </si>
  <si>
    <t>E309</t>
    <phoneticPr fontId="3" type="noConversion"/>
  </si>
  <si>
    <t>E318</t>
    <phoneticPr fontId="3" type="noConversion"/>
  </si>
  <si>
    <t>E302</t>
    <phoneticPr fontId="3" type="noConversion"/>
  </si>
  <si>
    <t>4800366349/100</t>
    <phoneticPr fontId="3" type="noConversion"/>
  </si>
  <si>
    <t>26306E3091</t>
    <phoneticPr fontId="3" type="noConversion"/>
  </si>
  <si>
    <t>4800367015/100</t>
    <phoneticPr fontId="3" type="noConversion"/>
  </si>
  <si>
    <t>26307E3181</t>
    <phoneticPr fontId="3" type="noConversion"/>
  </si>
  <si>
    <t>4800320360/100</t>
    <phoneticPr fontId="3" type="noConversion"/>
  </si>
  <si>
    <t>26307E3021</t>
    <phoneticPr fontId="3" type="noConversion"/>
  </si>
  <si>
    <t>E317</t>
    <phoneticPr fontId="3" type="noConversion"/>
  </si>
  <si>
    <t>E305</t>
    <phoneticPr fontId="3" type="noConversion"/>
  </si>
  <si>
    <t>26308E3051</t>
    <phoneticPr fontId="3" type="noConversion"/>
  </si>
  <si>
    <t>E306</t>
    <phoneticPr fontId="3" type="noConversion"/>
  </si>
  <si>
    <t>26308E3171</t>
    <phoneticPr fontId="3" type="noConversion"/>
  </si>
  <si>
    <t>26308E3061</t>
    <phoneticPr fontId="3" type="noConversion"/>
  </si>
  <si>
    <t>E307</t>
    <phoneticPr fontId="3" type="noConversion"/>
  </si>
  <si>
    <t>E308</t>
    <phoneticPr fontId="3" type="noConversion"/>
  </si>
  <si>
    <t>E29</t>
    <phoneticPr fontId="3" type="noConversion"/>
  </si>
  <si>
    <t>E44</t>
    <phoneticPr fontId="3" type="noConversion"/>
  </si>
  <si>
    <t>26309E3081</t>
    <phoneticPr fontId="3" type="noConversion"/>
  </si>
  <si>
    <t>E309</t>
    <phoneticPr fontId="3" type="noConversion"/>
  </si>
  <si>
    <t>4800320360/100</t>
    <phoneticPr fontId="3" type="noConversion"/>
  </si>
  <si>
    <t>4800367015/100</t>
    <phoneticPr fontId="3" type="noConversion"/>
  </si>
  <si>
    <t>4800320360/100</t>
    <phoneticPr fontId="3" type="noConversion"/>
  </si>
  <si>
    <t>26308E3071</t>
    <phoneticPr fontId="3" type="noConversion"/>
  </si>
  <si>
    <t>4800320360/100</t>
    <phoneticPr fontId="3" type="noConversion"/>
  </si>
  <si>
    <t>4800367015/100</t>
    <phoneticPr fontId="3" type="noConversion"/>
  </si>
  <si>
    <t>26309E3091</t>
    <phoneticPr fontId="3" type="noConversion"/>
  </si>
  <si>
    <t>26309E29J1</t>
    <phoneticPr fontId="3" type="noConversion"/>
  </si>
  <si>
    <t>26309E44J1</t>
    <phoneticPr fontId="3" type="noConversion"/>
  </si>
  <si>
    <t>E318</t>
    <phoneticPr fontId="3" type="noConversion"/>
  </si>
  <si>
    <t>E305</t>
    <phoneticPr fontId="3" type="noConversion"/>
  </si>
  <si>
    <t>4800320360/100</t>
    <phoneticPr fontId="3" type="noConversion"/>
  </si>
  <si>
    <t>26310E3051</t>
    <phoneticPr fontId="3" type="noConversion"/>
  </si>
  <si>
    <t>E302</t>
    <phoneticPr fontId="3" type="noConversion"/>
  </si>
  <si>
    <t>26310E3021</t>
    <phoneticPr fontId="3" type="noConversion"/>
  </si>
  <si>
    <t>26310E3181</t>
    <phoneticPr fontId="3" type="noConversion"/>
  </si>
  <si>
    <t>E317</t>
    <phoneticPr fontId="3" type="noConversion"/>
  </si>
  <si>
    <t>26311E3171</t>
    <phoneticPr fontId="3" type="noConversion"/>
  </si>
  <si>
    <t>E319</t>
    <phoneticPr fontId="3" type="noConversion"/>
  </si>
  <si>
    <t>E306</t>
    <phoneticPr fontId="3" type="noConversion"/>
  </si>
  <si>
    <t>4800367015/100</t>
    <phoneticPr fontId="3" type="noConversion"/>
  </si>
  <si>
    <t>26311E3191</t>
    <phoneticPr fontId="3" type="noConversion"/>
  </si>
  <si>
    <t>26311E3061</t>
    <phoneticPr fontId="3" type="noConversion"/>
  </si>
  <si>
    <t>E308</t>
    <phoneticPr fontId="3" type="noConversion"/>
  </si>
  <si>
    <t>E44</t>
    <phoneticPr fontId="3" type="noConversion"/>
  </si>
  <si>
    <t>26312E3081</t>
    <phoneticPr fontId="3" type="noConversion"/>
  </si>
  <si>
    <t>4800367015/100</t>
    <phoneticPr fontId="3" type="noConversion"/>
  </si>
  <si>
    <t>26312E44J1</t>
    <phoneticPr fontId="3" type="noConversion"/>
  </si>
  <si>
    <t>E307</t>
    <phoneticPr fontId="3" type="noConversion"/>
  </si>
  <si>
    <t>E29</t>
    <phoneticPr fontId="3" type="noConversion"/>
  </si>
  <si>
    <t>26311E3071</t>
    <phoneticPr fontId="3" type="noConversion"/>
  </si>
  <si>
    <t>4800320360/100</t>
    <phoneticPr fontId="3" type="noConversion"/>
  </si>
  <si>
    <t>26312E29J1</t>
    <phoneticPr fontId="3" type="noConversion"/>
  </si>
  <si>
    <t>26312E3091</t>
  </si>
  <si>
    <t>E309</t>
    <phoneticPr fontId="3" type="noConversion"/>
  </si>
  <si>
    <t>原車退回</t>
    <phoneticPr fontId="3" type="noConversion"/>
  </si>
  <si>
    <t>E318</t>
    <phoneticPr fontId="3" type="noConversion"/>
  </si>
  <si>
    <t>E305</t>
    <phoneticPr fontId="3" type="noConversion"/>
  </si>
  <si>
    <t>26313E3181</t>
    <phoneticPr fontId="3" type="noConversion"/>
  </si>
  <si>
    <t>4800367015/100</t>
    <phoneticPr fontId="3" type="noConversion"/>
  </si>
  <si>
    <t>26313E3051</t>
    <phoneticPr fontId="3" type="noConversion"/>
  </si>
  <si>
    <t>E302</t>
    <phoneticPr fontId="3" type="noConversion"/>
  </si>
  <si>
    <t>E317</t>
    <phoneticPr fontId="3" type="noConversion"/>
  </si>
  <si>
    <t>26313E3021</t>
    <phoneticPr fontId="3" type="noConversion"/>
  </si>
  <si>
    <t>4800320360/100</t>
    <phoneticPr fontId="3" type="noConversion"/>
  </si>
  <si>
    <t>26313E3171</t>
    <phoneticPr fontId="3" type="noConversion"/>
  </si>
  <si>
    <t>26325E3041</t>
    <phoneticPr fontId="3" type="noConversion"/>
  </si>
  <si>
    <t>26416E3041</t>
    <phoneticPr fontId="3" type="noConversion"/>
  </si>
  <si>
    <t>18P4B</t>
    <phoneticPr fontId="3" type="noConversion"/>
  </si>
  <si>
    <t>E317</t>
    <phoneticPr fontId="3" type="noConversion"/>
  </si>
  <si>
    <t>26422E3171</t>
    <phoneticPr fontId="3" type="noConversion"/>
  </si>
  <si>
    <t>18P6A</t>
    <phoneticPr fontId="3" type="noConversion"/>
  </si>
  <si>
    <t>4800376978/200</t>
    <phoneticPr fontId="3" type="noConversion"/>
  </si>
  <si>
    <t>E44</t>
    <phoneticPr fontId="3" type="noConversion"/>
  </si>
  <si>
    <t>18P1A</t>
    <phoneticPr fontId="3" type="noConversion"/>
  </si>
  <si>
    <t>4800377405/100</t>
    <phoneticPr fontId="3" type="noConversion"/>
  </si>
  <si>
    <t>26426E44J1</t>
    <phoneticPr fontId="3" type="noConversion"/>
  </si>
  <si>
    <t>15P6</t>
    <phoneticPr fontId="3" type="noConversion"/>
  </si>
  <si>
    <t>E317</t>
    <phoneticPr fontId="3" type="noConversion"/>
  </si>
  <si>
    <t>26428E3171</t>
    <phoneticPr fontId="3" type="noConversion"/>
  </si>
  <si>
    <t>4800367015/100</t>
    <phoneticPr fontId="3" type="noConversion"/>
  </si>
  <si>
    <t xml:space="preserve">TSMC IPA料號:L1435306 </t>
    <phoneticPr fontId="3" type="noConversion"/>
  </si>
  <si>
    <t>26428E3041</t>
    <phoneticPr fontId="3" type="noConversion"/>
  </si>
  <si>
    <t>18P3B</t>
    <phoneticPr fontId="3" type="noConversion"/>
  </si>
  <si>
    <t>E317</t>
    <phoneticPr fontId="3" type="noConversion"/>
  </si>
  <si>
    <t>26501E3171</t>
    <phoneticPr fontId="3" type="noConversion"/>
  </si>
  <si>
    <t>4800367015/100</t>
    <phoneticPr fontId="3" type="noConversion"/>
  </si>
  <si>
    <t>E44</t>
    <phoneticPr fontId="3" type="noConversion"/>
  </si>
  <si>
    <t>26501E44J1</t>
    <phoneticPr fontId="3" type="noConversion"/>
  </si>
  <si>
    <t>15P5</t>
    <phoneticPr fontId="3" type="noConversion"/>
  </si>
  <si>
    <t>E305</t>
    <phoneticPr fontId="3" type="noConversion"/>
  </si>
  <si>
    <t>E306</t>
    <phoneticPr fontId="3" type="noConversion"/>
  </si>
  <si>
    <t>26503E3051</t>
    <phoneticPr fontId="3" type="noConversion"/>
  </si>
  <si>
    <t>26503E3061</t>
    <phoneticPr fontId="3" type="noConversion"/>
  </si>
  <si>
    <t>E307</t>
    <phoneticPr fontId="3" type="noConversion"/>
  </si>
  <si>
    <t>4800377570/100</t>
    <phoneticPr fontId="3" type="noConversion"/>
  </si>
  <si>
    <t>26503E3071</t>
    <phoneticPr fontId="3" type="noConversion"/>
  </si>
  <si>
    <t>E308</t>
    <phoneticPr fontId="3" type="noConversion"/>
  </si>
  <si>
    <t>26504E3081</t>
    <phoneticPr fontId="3" type="noConversion"/>
  </si>
  <si>
    <t>E317</t>
    <phoneticPr fontId="3" type="noConversion"/>
  </si>
  <si>
    <t>E318</t>
    <phoneticPr fontId="3" type="noConversion"/>
  </si>
  <si>
    <t>26504E3171</t>
    <phoneticPr fontId="3" type="noConversion"/>
  </si>
  <si>
    <t>26505E3181</t>
    <phoneticPr fontId="3" type="noConversion"/>
  </si>
  <si>
    <t>4800320661/100</t>
    <phoneticPr fontId="3" type="noConversion"/>
  </si>
  <si>
    <t>E319</t>
    <phoneticPr fontId="3" type="noConversion"/>
  </si>
  <si>
    <t>E44</t>
    <phoneticPr fontId="3" type="noConversion"/>
  </si>
  <si>
    <t>26505E3191</t>
    <phoneticPr fontId="3" type="noConversion"/>
  </si>
  <si>
    <t>26505E44J1</t>
    <phoneticPr fontId="3" type="noConversion"/>
  </si>
  <si>
    <t>E305</t>
    <phoneticPr fontId="3" type="noConversion"/>
  </si>
  <si>
    <t>E307</t>
    <phoneticPr fontId="3" type="noConversion"/>
  </si>
  <si>
    <t>26506E3051</t>
    <phoneticPr fontId="3" type="noConversion"/>
  </si>
  <si>
    <t>26506E3071</t>
    <phoneticPr fontId="3" type="noConversion"/>
  </si>
  <si>
    <t>E309</t>
    <phoneticPr fontId="3" type="noConversion"/>
  </si>
  <si>
    <t>E306</t>
    <phoneticPr fontId="3" type="noConversion"/>
  </si>
  <si>
    <t>E308</t>
    <phoneticPr fontId="3" type="noConversion"/>
  </si>
  <si>
    <t>26507E3091</t>
    <phoneticPr fontId="3" type="noConversion"/>
  </si>
  <si>
    <t>26506E3061</t>
    <phoneticPr fontId="3" type="noConversion"/>
  </si>
  <si>
    <t>26507E3081</t>
    <phoneticPr fontId="3" type="noConversion"/>
  </si>
  <si>
    <t>E29</t>
    <phoneticPr fontId="3" type="noConversion"/>
  </si>
  <si>
    <t>E305</t>
    <phoneticPr fontId="3" type="noConversion"/>
  </si>
  <si>
    <t>E318</t>
    <phoneticPr fontId="3" type="noConversion"/>
  </si>
  <si>
    <t>4800367015/100</t>
    <phoneticPr fontId="3" type="noConversion"/>
  </si>
  <si>
    <t>26508E29J1</t>
    <phoneticPr fontId="3" type="noConversion"/>
  </si>
  <si>
    <t>4800320360/100</t>
    <phoneticPr fontId="3" type="noConversion"/>
  </si>
  <si>
    <t>4800367015/100</t>
    <phoneticPr fontId="3" type="noConversion"/>
  </si>
  <si>
    <t>26508E3051</t>
    <phoneticPr fontId="3" type="noConversion"/>
  </si>
  <si>
    <t>26507E3171</t>
    <phoneticPr fontId="3" type="noConversion"/>
  </si>
  <si>
    <t>26508E3181</t>
    <phoneticPr fontId="3" type="noConversion"/>
  </si>
  <si>
    <t>E44</t>
    <phoneticPr fontId="3" type="noConversion"/>
  </si>
  <si>
    <t>E319</t>
    <phoneticPr fontId="3" type="noConversion"/>
  </si>
  <si>
    <t>E307</t>
    <phoneticPr fontId="3" type="noConversion"/>
  </si>
  <si>
    <t>26509E44J1</t>
    <phoneticPr fontId="3" type="noConversion"/>
  </si>
  <si>
    <t>26509E3071</t>
    <phoneticPr fontId="3" type="noConversion"/>
  </si>
  <si>
    <t>4800367015/100</t>
    <phoneticPr fontId="3" type="noConversion"/>
  </si>
  <si>
    <t>4800367015/100</t>
    <phoneticPr fontId="3" type="noConversion"/>
  </si>
  <si>
    <t>26508E3191</t>
    <phoneticPr fontId="3" type="noConversion"/>
  </si>
  <si>
    <t>E306</t>
    <phoneticPr fontId="3" type="noConversion"/>
  </si>
  <si>
    <t>E309</t>
    <phoneticPr fontId="3" type="noConversion"/>
  </si>
  <si>
    <t>E308</t>
    <phoneticPr fontId="3" type="noConversion"/>
  </si>
  <si>
    <t>E29</t>
    <phoneticPr fontId="3" type="noConversion"/>
  </si>
  <si>
    <t>26509E3061</t>
    <phoneticPr fontId="3" type="noConversion"/>
  </si>
  <si>
    <t>4800320661/100</t>
    <phoneticPr fontId="3" type="noConversion"/>
  </si>
  <si>
    <t>26510E3091</t>
    <phoneticPr fontId="3" type="noConversion"/>
  </si>
  <si>
    <t>4800367015/100</t>
    <phoneticPr fontId="3" type="noConversion"/>
  </si>
  <si>
    <t>26510E3081</t>
    <phoneticPr fontId="3" type="noConversion"/>
  </si>
  <si>
    <t>26510E29J1</t>
    <phoneticPr fontId="3" type="noConversion"/>
  </si>
  <si>
    <t>26510E3171</t>
  </si>
  <si>
    <t>E305</t>
    <phoneticPr fontId="3" type="noConversion"/>
  </si>
  <si>
    <t>E317</t>
    <phoneticPr fontId="3" type="noConversion"/>
  </si>
  <si>
    <t>E44</t>
    <phoneticPr fontId="3" type="noConversion"/>
  </si>
  <si>
    <t>26511E3191</t>
    <phoneticPr fontId="3" type="noConversion"/>
  </si>
  <si>
    <t>4800320661/100</t>
    <phoneticPr fontId="3" type="noConversion"/>
  </si>
  <si>
    <t>26511E3051</t>
    <phoneticPr fontId="3" type="noConversion"/>
  </si>
  <si>
    <t>4800367015/100</t>
    <phoneticPr fontId="3" type="noConversion"/>
  </si>
  <si>
    <t>4800378543/100</t>
    <phoneticPr fontId="3" type="noConversion"/>
  </si>
  <si>
    <t>4800320661/100</t>
    <phoneticPr fontId="3" type="noConversion"/>
  </si>
  <si>
    <t>26512E44J1</t>
    <phoneticPr fontId="3" type="noConversion"/>
  </si>
  <si>
    <t>26512E3061</t>
    <phoneticPr fontId="3" type="noConversion"/>
  </si>
  <si>
    <t>E318</t>
    <phoneticPr fontId="3" type="noConversion"/>
  </si>
  <si>
    <t>E29</t>
    <phoneticPr fontId="3" type="noConversion"/>
  </si>
  <si>
    <t>E308</t>
    <phoneticPr fontId="3" type="noConversion"/>
  </si>
  <si>
    <t>E309</t>
    <phoneticPr fontId="3" type="noConversion"/>
  </si>
  <si>
    <t>26512E3181</t>
    <phoneticPr fontId="3" type="noConversion"/>
  </si>
  <si>
    <t>26513E29J1</t>
    <phoneticPr fontId="3" type="noConversion"/>
  </si>
  <si>
    <t>26513E3081</t>
    <phoneticPr fontId="3" type="noConversion"/>
  </si>
  <si>
    <t>26513E3091</t>
    <phoneticPr fontId="3" type="noConversion"/>
  </si>
  <si>
    <t>E319</t>
    <phoneticPr fontId="3" type="noConversion"/>
  </si>
  <si>
    <t>E305</t>
    <phoneticPr fontId="3" type="noConversion"/>
  </si>
  <si>
    <t>E307</t>
    <phoneticPr fontId="3" type="noConversion"/>
  </si>
  <si>
    <t>E317</t>
    <phoneticPr fontId="3" type="noConversion"/>
  </si>
  <si>
    <t>26514E3191</t>
    <phoneticPr fontId="3" type="noConversion"/>
  </si>
  <si>
    <t>26513E3071</t>
    <phoneticPr fontId="3" type="noConversion"/>
  </si>
  <si>
    <t>26514E3171</t>
    <phoneticPr fontId="3" type="noConversion"/>
  </si>
  <si>
    <t>26514E3051</t>
    <phoneticPr fontId="3" type="noConversion"/>
  </si>
  <si>
    <t>4800367015/100</t>
    <phoneticPr fontId="3" type="noConversion"/>
  </si>
  <si>
    <t>4800320661/100</t>
    <phoneticPr fontId="3" type="noConversion"/>
  </si>
  <si>
    <t>E44</t>
    <phoneticPr fontId="3" type="noConversion"/>
  </si>
  <si>
    <t>E29</t>
    <phoneticPr fontId="3" type="noConversion"/>
  </si>
  <si>
    <t>E306</t>
    <phoneticPr fontId="3" type="noConversion"/>
  </si>
  <si>
    <t>E318</t>
    <phoneticPr fontId="3" type="noConversion"/>
  </si>
  <si>
    <t>26514E44J1</t>
    <phoneticPr fontId="3" type="noConversion"/>
  </si>
  <si>
    <t>26515E3061</t>
    <phoneticPr fontId="3" type="noConversion"/>
  </si>
  <si>
    <t>26515E3181</t>
    <phoneticPr fontId="3" type="noConversion"/>
  </si>
  <si>
    <t>4800367015/100</t>
    <phoneticPr fontId="3" type="noConversion"/>
  </si>
  <si>
    <t>26515E29J1</t>
    <phoneticPr fontId="3" type="noConversion"/>
  </si>
  <si>
    <t>E309</t>
    <phoneticPr fontId="3" type="noConversion"/>
  </si>
  <si>
    <t>4800367015/100</t>
    <phoneticPr fontId="3" type="noConversion"/>
  </si>
  <si>
    <t>4800320661/100</t>
    <phoneticPr fontId="3" type="noConversion"/>
  </si>
  <si>
    <t>E308</t>
    <phoneticPr fontId="3" type="noConversion"/>
  </si>
  <si>
    <t>E307</t>
    <phoneticPr fontId="3" type="noConversion"/>
  </si>
  <si>
    <t>E319</t>
    <phoneticPr fontId="3" type="noConversion"/>
  </si>
  <si>
    <t>E317</t>
    <phoneticPr fontId="3" type="noConversion"/>
  </si>
  <si>
    <t>26515E3081</t>
    <phoneticPr fontId="3" type="noConversion"/>
  </si>
  <si>
    <t>26515E3091</t>
    <phoneticPr fontId="3" type="noConversion"/>
  </si>
  <si>
    <t>26516E3071</t>
    <phoneticPr fontId="3" type="noConversion"/>
  </si>
  <si>
    <t>26516E3171</t>
    <phoneticPr fontId="3" type="noConversion"/>
  </si>
  <si>
    <t>26516E3191</t>
    <phoneticPr fontId="3" type="noConversion"/>
  </si>
  <si>
    <t>4800367015/100</t>
    <phoneticPr fontId="3" type="noConversion"/>
  </si>
  <si>
    <t>E305</t>
    <phoneticPr fontId="3" type="noConversion"/>
  </si>
  <si>
    <t>E306</t>
    <phoneticPr fontId="3" type="noConversion"/>
  </si>
  <si>
    <t>26516E3061</t>
    <phoneticPr fontId="3" type="noConversion"/>
  </si>
  <si>
    <t>E44</t>
    <phoneticPr fontId="3" type="noConversion"/>
  </si>
  <si>
    <t>E29</t>
    <phoneticPr fontId="3" type="noConversion"/>
  </si>
  <si>
    <t>26516E3051</t>
    <phoneticPr fontId="3" type="noConversion"/>
  </si>
  <si>
    <t>26517E44J1</t>
    <phoneticPr fontId="3" type="noConversion"/>
  </si>
  <si>
    <t>4800367015/100</t>
    <phoneticPr fontId="3" type="noConversion"/>
  </si>
  <si>
    <t>4800320661/100</t>
    <phoneticPr fontId="3" type="noConversion"/>
  </si>
  <si>
    <t>26517E29J1</t>
    <phoneticPr fontId="3" type="noConversion"/>
  </si>
  <si>
    <t>4800361959/100</t>
    <phoneticPr fontId="3" type="noConversion"/>
  </si>
  <si>
    <t>26517E3041</t>
    <phoneticPr fontId="3" type="noConversion"/>
  </si>
  <si>
    <t>E308</t>
    <phoneticPr fontId="3" type="noConversion"/>
  </si>
  <si>
    <t>4800367015/100</t>
    <phoneticPr fontId="3" type="noConversion"/>
  </si>
  <si>
    <t>26517E3081</t>
    <phoneticPr fontId="3" type="noConversion"/>
  </si>
  <si>
    <t>E318</t>
    <phoneticPr fontId="3" type="noConversion"/>
  </si>
  <si>
    <t>26517E3181</t>
    <phoneticPr fontId="3" type="noConversion"/>
  </si>
  <si>
    <t>E309</t>
    <phoneticPr fontId="3" type="noConversion"/>
  </si>
  <si>
    <t>4800378543/100</t>
    <phoneticPr fontId="3" type="noConversion"/>
  </si>
  <si>
    <t>4800371070/100</t>
    <phoneticPr fontId="3" type="noConversion"/>
  </si>
  <si>
    <t>E317</t>
    <phoneticPr fontId="3" type="noConversion"/>
  </si>
  <si>
    <t>26518E3171</t>
    <phoneticPr fontId="3" type="noConversion"/>
  </si>
  <si>
    <t>26517E3091</t>
    <phoneticPr fontId="3" type="noConversion"/>
  </si>
  <si>
    <t>4800377570/100</t>
    <phoneticPr fontId="3" type="noConversion"/>
  </si>
  <si>
    <t>26518E3071</t>
    <phoneticPr fontId="3" type="noConversion"/>
  </si>
  <si>
    <t>E303</t>
    <phoneticPr fontId="3" type="noConversion"/>
  </si>
  <si>
    <t>E305</t>
    <phoneticPr fontId="3" type="noConversion"/>
  </si>
  <si>
    <t>26518E3051</t>
    <phoneticPr fontId="3" type="noConversion"/>
  </si>
  <si>
    <t>E306</t>
    <phoneticPr fontId="3" type="noConversion"/>
  </si>
  <si>
    <t>E308</t>
    <phoneticPr fontId="3" type="noConversion"/>
  </si>
  <si>
    <t>26518E3031</t>
    <phoneticPr fontId="3" type="noConversion"/>
  </si>
  <si>
    <t>追蹤</t>
    <phoneticPr fontId="3" type="noConversion"/>
  </si>
  <si>
    <t>26519E3061</t>
    <phoneticPr fontId="3" type="noConversion"/>
  </si>
  <si>
    <t>26518E3191</t>
    <phoneticPr fontId="3" type="noConversion"/>
  </si>
  <si>
    <t>26519E3081</t>
    <phoneticPr fontId="3" type="noConversion"/>
  </si>
  <si>
    <t>E29</t>
    <phoneticPr fontId="3" type="noConversion"/>
  </si>
  <si>
    <t>E44</t>
    <phoneticPr fontId="3" type="noConversion"/>
  </si>
  <si>
    <t>26519E29J1</t>
    <phoneticPr fontId="3" type="noConversion"/>
  </si>
  <si>
    <t>26519E44J1</t>
    <phoneticPr fontId="3" type="noConversion"/>
  </si>
  <si>
    <t>E317</t>
    <phoneticPr fontId="3" type="noConversion"/>
  </si>
  <si>
    <t>E307</t>
    <phoneticPr fontId="3" type="noConversion"/>
  </si>
  <si>
    <t>26519E3021</t>
    <phoneticPr fontId="3" type="noConversion"/>
  </si>
  <si>
    <t>26520E3071</t>
    <phoneticPr fontId="3" type="noConversion"/>
  </si>
  <si>
    <t>26520E3171</t>
    <phoneticPr fontId="3" type="noConversion"/>
  </si>
  <si>
    <t>E318</t>
    <phoneticPr fontId="3" type="noConversion"/>
  </si>
  <si>
    <t>26520E3181</t>
    <phoneticPr fontId="3" type="noConversion"/>
  </si>
  <si>
    <t>4800378543/100</t>
    <phoneticPr fontId="3" type="noConversion"/>
  </si>
  <si>
    <t>4800378543/100</t>
    <phoneticPr fontId="3" type="noConversion"/>
  </si>
  <si>
    <t>E309</t>
    <phoneticPr fontId="3" type="noConversion"/>
  </si>
  <si>
    <t>26520E3091</t>
    <phoneticPr fontId="3" type="noConversion"/>
  </si>
  <si>
    <t>E305</t>
    <phoneticPr fontId="3" type="noConversion"/>
  </si>
  <si>
    <t>E319</t>
    <phoneticPr fontId="3" type="noConversion"/>
  </si>
  <si>
    <t>26520E3051</t>
    <phoneticPr fontId="3" type="noConversion"/>
  </si>
  <si>
    <t>26521E3191</t>
    <phoneticPr fontId="3" type="noConversion"/>
  </si>
  <si>
    <t>E306</t>
    <phoneticPr fontId="3" type="noConversion"/>
  </si>
  <si>
    <t>E308</t>
    <phoneticPr fontId="3" type="noConversion"/>
  </si>
  <si>
    <t>26521E3061</t>
    <phoneticPr fontId="3" type="noConversion"/>
  </si>
  <si>
    <t>4800320661/100</t>
    <phoneticPr fontId="3" type="noConversion"/>
  </si>
  <si>
    <t>E44</t>
    <phoneticPr fontId="3" type="noConversion"/>
  </si>
  <si>
    <t>E29</t>
    <phoneticPr fontId="3" type="noConversion"/>
  </si>
  <si>
    <t>26521E3081</t>
    <phoneticPr fontId="3" type="noConversion"/>
  </si>
  <si>
    <t>26522E29J1</t>
    <phoneticPr fontId="3" type="noConversion"/>
  </si>
  <si>
    <t>4800378543/100</t>
    <phoneticPr fontId="3" type="noConversion"/>
  </si>
  <si>
    <t>26522E44J1</t>
    <phoneticPr fontId="3" type="noConversion"/>
  </si>
  <si>
    <t>E318</t>
    <phoneticPr fontId="3" type="noConversion"/>
  </si>
  <si>
    <t>26522E3071</t>
    <phoneticPr fontId="3" type="noConversion"/>
  </si>
  <si>
    <t>4800320661/100</t>
    <phoneticPr fontId="3" type="noConversion"/>
  </si>
  <si>
    <t>E317</t>
    <phoneticPr fontId="3" type="noConversion"/>
  </si>
  <si>
    <t>26522E3171</t>
    <phoneticPr fontId="3" type="noConversion"/>
  </si>
  <si>
    <t>26522E3181</t>
    <phoneticPr fontId="3" type="noConversion"/>
  </si>
  <si>
    <t>E307</t>
    <phoneticPr fontId="3" type="noConversion"/>
  </si>
  <si>
    <t>E309</t>
    <phoneticPr fontId="3" type="noConversion"/>
  </si>
  <si>
    <t>26523E3091</t>
    <phoneticPr fontId="3" type="noConversion"/>
  </si>
  <si>
    <t>E305</t>
    <phoneticPr fontId="3" type="noConversion"/>
  </si>
  <si>
    <t>E319</t>
    <phoneticPr fontId="3" type="noConversion"/>
  </si>
  <si>
    <t>4800378543/100</t>
    <phoneticPr fontId="3" type="noConversion"/>
  </si>
  <si>
    <t>26523E3191</t>
    <phoneticPr fontId="3" type="noConversion"/>
  </si>
  <si>
    <t>26523E3051</t>
    <phoneticPr fontId="3" type="noConversion"/>
  </si>
  <si>
    <t>E44</t>
    <phoneticPr fontId="3" type="noConversion"/>
  </si>
  <si>
    <t>E306</t>
    <phoneticPr fontId="3" type="noConversion"/>
  </si>
  <si>
    <t>E308</t>
    <phoneticPr fontId="3" type="noConversion"/>
  </si>
  <si>
    <t>26524E44J1</t>
    <phoneticPr fontId="3" type="noConversion"/>
  </si>
  <si>
    <t>26524E3061</t>
    <phoneticPr fontId="3" type="noConversion"/>
  </si>
  <si>
    <t>E318</t>
    <phoneticPr fontId="3" type="noConversion"/>
  </si>
  <si>
    <t>E29</t>
    <phoneticPr fontId="3" type="noConversion"/>
  </si>
  <si>
    <t>E317</t>
    <phoneticPr fontId="3" type="noConversion"/>
  </si>
  <si>
    <t>E307</t>
    <phoneticPr fontId="3" type="noConversion"/>
  </si>
  <si>
    <t>26524E3171</t>
    <phoneticPr fontId="3" type="noConversion"/>
  </si>
  <si>
    <t>4800371070/100</t>
    <phoneticPr fontId="3" type="noConversion"/>
  </si>
  <si>
    <t>26524E29J1</t>
    <phoneticPr fontId="3" type="noConversion"/>
  </si>
  <si>
    <t>26525E3071</t>
    <phoneticPr fontId="3" type="noConversion"/>
  </si>
  <si>
    <t>4800378543/100</t>
    <phoneticPr fontId="3" type="noConversion"/>
  </si>
  <si>
    <t>26525E3181</t>
    <phoneticPr fontId="3" type="noConversion"/>
  </si>
  <si>
    <t>E309</t>
    <phoneticPr fontId="3" type="noConversion"/>
  </si>
  <si>
    <t>E306</t>
    <phoneticPr fontId="3" type="noConversion"/>
  </si>
  <si>
    <t>E305</t>
    <phoneticPr fontId="3" type="noConversion"/>
  </si>
  <si>
    <t>E319</t>
    <phoneticPr fontId="3" type="noConversion"/>
  </si>
  <si>
    <t>26525E3191</t>
    <phoneticPr fontId="3" type="noConversion"/>
  </si>
  <si>
    <t>26525E3091</t>
    <phoneticPr fontId="3" type="noConversion"/>
  </si>
  <si>
    <t>4800371070/100</t>
    <phoneticPr fontId="3" type="noConversion"/>
  </si>
  <si>
    <t>4800371070/100</t>
    <phoneticPr fontId="3" type="noConversion"/>
  </si>
  <si>
    <t>26525E3051</t>
    <phoneticPr fontId="3" type="noConversion"/>
  </si>
  <si>
    <t>E302</t>
    <phoneticPr fontId="3" type="noConversion"/>
  </si>
  <si>
    <t>15P4</t>
    <phoneticPr fontId="3" type="noConversion"/>
  </si>
  <si>
    <t>E44</t>
    <phoneticPr fontId="3" type="noConversion"/>
  </si>
  <si>
    <t>E29</t>
    <phoneticPr fontId="3" type="noConversion"/>
  </si>
  <si>
    <t>E317</t>
    <phoneticPr fontId="3" type="noConversion"/>
  </si>
  <si>
    <t>4800320661/100</t>
    <phoneticPr fontId="3" type="noConversion"/>
  </si>
  <si>
    <t>26526E3061</t>
    <phoneticPr fontId="3" type="noConversion"/>
  </si>
  <si>
    <t>26526E44J1</t>
    <phoneticPr fontId="3" type="noConversion"/>
  </si>
  <si>
    <t>26526E3021</t>
    <phoneticPr fontId="3" type="noConversion"/>
  </si>
  <si>
    <t>26524E3081</t>
    <phoneticPr fontId="3" type="noConversion"/>
  </si>
  <si>
    <t>4800378543/100</t>
    <phoneticPr fontId="3" type="noConversion"/>
  </si>
  <si>
    <t>26526E3171</t>
    <phoneticPr fontId="3" type="noConversion"/>
  </si>
  <si>
    <t>4800371070/100</t>
    <phoneticPr fontId="3" type="noConversion"/>
  </si>
  <si>
    <t>E303</t>
    <phoneticPr fontId="3" type="noConversion"/>
  </si>
  <si>
    <t>E308</t>
    <phoneticPr fontId="3" type="noConversion"/>
  </si>
  <si>
    <t>4800320661/100</t>
    <phoneticPr fontId="3" type="noConversion"/>
  </si>
  <si>
    <t>26526E3081</t>
    <phoneticPr fontId="3" type="noConversion"/>
  </si>
  <si>
    <t>26527E3031</t>
    <phoneticPr fontId="3" type="noConversion"/>
  </si>
  <si>
    <t>E319</t>
    <phoneticPr fontId="3" type="noConversion"/>
  </si>
  <si>
    <t>E304</t>
    <phoneticPr fontId="3" type="noConversion"/>
  </si>
  <si>
    <t>E302</t>
    <phoneticPr fontId="3" type="noConversion"/>
  </si>
  <si>
    <t>E318</t>
    <phoneticPr fontId="3" type="noConversion"/>
  </si>
  <si>
    <t>E307</t>
    <phoneticPr fontId="3" type="noConversion"/>
  </si>
  <si>
    <t>E305</t>
    <phoneticPr fontId="3" type="noConversion"/>
  </si>
  <si>
    <t>E309</t>
    <phoneticPr fontId="3" type="noConversion"/>
  </si>
  <si>
    <t>26527E3071</t>
    <phoneticPr fontId="3" type="noConversion"/>
  </si>
  <si>
    <t>26527E3091</t>
    <phoneticPr fontId="3" type="noConversion"/>
  </si>
  <si>
    <t>26528E3191</t>
    <phoneticPr fontId="3" type="noConversion"/>
  </si>
  <si>
    <t>26527E29J1</t>
    <phoneticPr fontId="3" type="noConversion"/>
  </si>
  <si>
    <t>4800320661/100</t>
    <phoneticPr fontId="3" type="noConversion"/>
  </si>
  <si>
    <t>FREE SAMPLE</t>
    <phoneticPr fontId="3" type="noConversion"/>
  </si>
  <si>
    <t>26527E3051</t>
    <phoneticPr fontId="3" type="noConversion"/>
  </si>
  <si>
    <t>26527E3181</t>
    <phoneticPr fontId="3" type="noConversion"/>
  </si>
  <si>
    <t>4800380026/100</t>
    <phoneticPr fontId="3" type="noConversion"/>
  </si>
  <si>
    <t>26528E3041</t>
    <phoneticPr fontId="3" type="noConversion"/>
  </si>
  <si>
    <t>E306</t>
    <phoneticPr fontId="3" type="noConversion"/>
  </si>
  <si>
    <t>E44</t>
    <phoneticPr fontId="3" type="noConversion"/>
  </si>
  <si>
    <t>E303</t>
    <phoneticPr fontId="3" type="noConversion"/>
  </si>
  <si>
    <t>26528E3021</t>
    <phoneticPr fontId="3" type="noConversion"/>
  </si>
  <si>
    <t>4800371070/100</t>
    <phoneticPr fontId="3" type="noConversion"/>
  </si>
  <si>
    <t>26528E3061</t>
    <phoneticPr fontId="3" type="noConversion"/>
  </si>
  <si>
    <t>26528E44J1</t>
    <phoneticPr fontId="3" type="noConversion"/>
  </si>
  <si>
    <t>26529E3031</t>
    <phoneticPr fontId="3" type="noConversion"/>
  </si>
  <si>
    <t>4507596868/100</t>
    <phoneticPr fontId="3" type="noConversion"/>
  </si>
  <si>
    <t>E304</t>
    <phoneticPr fontId="3" type="noConversion"/>
  </si>
  <si>
    <t>E302</t>
    <phoneticPr fontId="3" type="noConversion"/>
  </si>
  <si>
    <t>26529E3041</t>
    <phoneticPr fontId="3" type="noConversion"/>
  </si>
  <si>
    <t>E29</t>
    <phoneticPr fontId="3" type="noConversion"/>
  </si>
  <si>
    <t>E308</t>
    <phoneticPr fontId="3" type="noConversion"/>
  </si>
  <si>
    <t>4800320661/100</t>
    <phoneticPr fontId="3" type="noConversion"/>
  </si>
  <si>
    <t>4800371070/100</t>
    <phoneticPr fontId="3" type="noConversion"/>
  </si>
  <si>
    <t>E305</t>
    <phoneticPr fontId="3" type="noConversion"/>
  </si>
  <si>
    <t>E317</t>
    <phoneticPr fontId="3" type="noConversion"/>
  </si>
  <si>
    <t>26530E3021</t>
    <phoneticPr fontId="3" type="noConversion"/>
  </si>
  <si>
    <t>4800380026/100</t>
    <phoneticPr fontId="3" type="noConversion"/>
  </si>
  <si>
    <t>E318</t>
    <phoneticPr fontId="3" type="noConversion"/>
  </si>
  <si>
    <t>E304</t>
    <phoneticPr fontId="3" type="noConversion"/>
  </si>
  <si>
    <t>26529E3081</t>
    <phoneticPr fontId="3" type="noConversion"/>
  </si>
  <si>
    <t>26529E29J1</t>
    <phoneticPr fontId="3" type="noConversion"/>
  </si>
  <si>
    <t>26530E3181</t>
    <phoneticPr fontId="3" type="noConversion"/>
  </si>
  <si>
    <t>26529E3171</t>
    <phoneticPr fontId="3" type="noConversion"/>
  </si>
  <si>
    <t>26530E3041</t>
    <phoneticPr fontId="3" type="noConversion"/>
  </si>
  <si>
    <t>4800320661/100</t>
    <phoneticPr fontId="3" type="noConversion"/>
  </si>
  <si>
    <t>26529E3051</t>
    <phoneticPr fontId="3" type="noConversion"/>
  </si>
  <si>
    <t>E309</t>
    <phoneticPr fontId="3" type="noConversion"/>
  </si>
  <si>
    <t>E307</t>
    <phoneticPr fontId="3" type="noConversion"/>
  </si>
  <si>
    <t>E319</t>
    <phoneticPr fontId="3" type="noConversion"/>
  </si>
  <si>
    <t>E302</t>
    <phoneticPr fontId="3" type="noConversion"/>
  </si>
  <si>
    <t>E44</t>
    <phoneticPr fontId="3" type="noConversion"/>
  </si>
  <si>
    <t>E304</t>
    <phoneticPr fontId="3" type="noConversion"/>
  </si>
  <si>
    <t>26531E3021</t>
    <phoneticPr fontId="3" type="noConversion"/>
  </si>
  <si>
    <t>26531E3041</t>
    <phoneticPr fontId="3" type="noConversion"/>
  </si>
  <si>
    <t>26530E3191</t>
    <phoneticPr fontId="3" type="noConversion"/>
  </si>
  <si>
    <t>26530E3071</t>
    <phoneticPr fontId="3" type="noConversion"/>
  </si>
  <si>
    <t>26530E3091</t>
    <phoneticPr fontId="3" type="noConversion"/>
  </si>
  <si>
    <t>4800378543/100</t>
    <phoneticPr fontId="3" type="noConversion"/>
  </si>
  <si>
    <t>26531E44J1</t>
    <phoneticPr fontId="3" type="noConversion"/>
  </si>
  <si>
    <t>E306</t>
    <phoneticPr fontId="3" type="noConversion"/>
  </si>
  <si>
    <t>4800378543/100</t>
    <phoneticPr fontId="3" type="noConversion"/>
  </si>
  <si>
    <t>E303</t>
    <phoneticPr fontId="3" type="noConversion"/>
  </si>
  <si>
    <t>E308</t>
    <phoneticPr fontId="3" type="noConversion"/>
  </si>
  <si>
    <t>26531E3061</t>
    <phoneticPr fontId="3" type="noConversion"/>
  </si>
  <si>
    <t>E29</t>
    <phoneticPr fontId="3" type="noConversion"/>
  </si>
  <si>
    <t>E317</t>
    <phoneticPr fontId="3" type="noConversion"/>
  </si>
  <si>
    <t>26531E3031</t>
    <phoneticPr fontId="3" type="noConversion"/>
  </si>
  <si>
    <t>26601E3171</t>
    <phoneticPr fontId="3" type="noConversion"/>
  </si>
  <si>
    <t>26531E3081</t>
    <phoneticPr fontId="3" type="noConversion"/>
  </si>
  <si>
    <t>26601E29J1</t>
    <phoneticPr fontId="3" type="noConversion"/>
  </si>
  <si>
    <t>E302</t>
    <phoneticPr fontId="3" type="noConversion"/>
  </si>
  <si>
    <t>26601E3021</t>
    <phoneticPr fontId="3" type="noConversion"/>
  </si>
  <si>
    <t>E304</t>
    <phoneticPr fontId="3" type="noConversion"/>
  </si>
  <si>
    <t>4800378543/100</t>
    <phoneticPr fontId="3" type="noConversion"/>
  </si>
  <si>
    <t>E305</t>
    <phoneticPr fontId="3" type="noConversion"/>
  </si>
  <si>
    <t>E318</t>
    <phoneticPr fontId="3" type="noConversion"/>
  </si>
  <si>
    <t>26601E3051</t>
    <phoneticPr fontId="3" type="noConversion"/>
  </si>
  <si>
    <t>26601E3181</t>
    <phoneticPr fontId="3" type="noConversion"/>
  </si>
  <si>
    <t>E307</t>
    <phoneticPr fontId="3" type="noConversion"/>
  </si>
  <si>
    <t>26601E3071</t>
    <phoneticPr fontId="3" type="noConversion"/>
  </si>
  <si>
    <t>E319</t>
    <phoneticPr fontId="3" type="noConversion"/>
  </si>
  <si>
    <t>26602E3191</t>
    <phoneticPr fontId="3" type="noConversion"/>
  </si>
  <si>
    <t>26602E3041</t>
    <phoneticPr fontId="3" type="noConversion"/>
  </si>
  <si>
    <t>E309</t>
    <phoneticPr fontId="3" type="noConversion"/>
  </si>
  <si>
    <t>4800320661/100</t>
    <phoneticPr fontId="3" type="noConversion"/>
  </si>
  <si>
    <t>E303</t>
    <phoneticPr fontId="3" type="noConversion"/>
  </si>
  <si>
    <t>E308</t>
    <phoneticPr fontId="3" type="noConversion"/>
  </si>
  <si>
    <t>26602E3081</t>
    <phoneticPr fontId="3" type="noConversion"/>
  </si>
  <si>
    <t>E44</t>
    <phoneticPr fontId="3" type="noConversion"/>
  </si>
  <si>
    <t>26602E44J1</t>
    <phoneticPr fontId="3" type="noConversion"/>
  </si>
  <si>
    <t>E29</t>
    <phoneticPr fontId="3" type="noConversion"/>
  </si>
  <si>
    <t>E306</t>
    <phoneticPr fontId="3" type="noConversion"/>
  </si>
  <si>
    <t>26603E3061</t>
    <phoneticPr fontId="3" type="noConversion"/>
  </si>
  <si>
    <t>26602E3091</t>
    <phoneticPr fontId="3" type="noConversion"/>
  </si>
  <si>
    <t>26603E29J1</t>
    <phoneticPr fontId="3" type="noConversion"/>
  </si>
  <si>
    <t>26602E3031</t>
    <phoneticPr fontId="3" type="noConversion"/>
  </si>
  <si>
    <t>E317</t>
    <phoneticPr fontId="3" type="noConversion"/>
  </si>
  <si>
    <t>E318</t>
    <phoneticPr fontId="3" type="noConversion"/>
  </si>
  <si>
    <t>26603E3171</t>
    <phoneticPr fontId="3" type="noConversion"/>
  </si>
  <si>
    <t>4800371070/100</t>
    <phoneticPr fontId="3" type="noConversion"/>
  </si>
  <si>
    <t>26603E3181</t>
    <phoneticPr fontId="3" type="noConversion"/>
  </si>
  <si>
    <t>E307</t>
    <phoneticPr fontId="3" type="noConversion"/>
  </si>
  <si>
    <t>E305</t>
    <phoneticPr fontId="3" type="noConversion"/>
  </si>
  <si>
    <t>26604E3051</t>
    <phoneticPr fontId="3" type="noConversion"/>
  </si>
  <si>
    <t>26603E3071</t>
    <phoneticPr fontId="3" type="noConversion"/>
  </si>
  <si>
    <t>26604E3041</t>
    <phoneticPr fontId="3" type="noConversion"/>
  </si>
  <si>
    <t>E319</t>
    <phoneticPr fontId="3" type="noConversion"/>
  </si>
  <si>
    <t>E309</t>
    <phoneticPr fontId="3" type="noConversion"/>
  </si>
  <si>
    <t>26604E3191</t>
    <phoneticPr fontId="3" type="noConversion"/>
  </si>
  <si>
    <t>E44</t>
    <phoneticPr fontId="3" type="noConversion"/>
  </si>
  <si>
    <t>E308</t>
    <phoneticPr fontId="3" type="noConversion"/>
  </si>
  <si>
    <t>26604E3091</t>
    <phoneticPr fontId="3" type="noConversion"/>
  </si>
  <si>
    <t>26604E44J1</t>
    <phoneticPr fontId="3" type="noConversion"/>
  </si>
  <si>
    <t>26604E3081</t>
    <phoneticPr fontId="3" type="noConversion"/>
  </si>
  <si>
    <t>E302</t>
    <phoneticPr fontId="3" type="noConversion"/>
  </si>
  <si>
    <t>E318</t>
    <phoneticPr fontId="3" type="noConversion"/>
  </si>
  <si>
    <t>E303</t>
    <phoneticPr fontId="3" type="noConversion"/>
  </si>
  <si>
    <t>E306</t>
    <phoneticPr fontId="3" type="noConversion"/>
  </si>
  <si>
    <t>E29</t>
    <phoneticPr fontId="3" type="noConversion"/>
  </si>
  <si>
    <t>4800320661/100</t>
    <phoneticPr fontId="3" type="noConversion"/>
  </si>
  <si>
    <t>26605E3031</t>
    <phoneticPr fontId="3" type="noConversion"/>
  </si>
  <si>
    <t>4800371070/100</t>
    <phoneticPr fontId="3" type="noConversion"/>
  </si>
  <si>
    <t>26605E3061</t>
    <phoneticPr fontId="3" type="noConversion"/>
  </si>
  <si>
    <t>26605E29J1</t>
    <phoneticPr fontId="3" type="noConversion"/>
  </si>
  <si>
    <t>26605E3181</t>
    <phoneticPr fontId="3" type="noConversion"/>
  </si>
  <si>
    <t>E317</t>
    <phoneticPr fontId="3" type="noConversion"/>
  </si>
  <si>
    <t>E307</t>
    <phoneticPr fontId="3" type="noConversion"/>
  </si>
  <si>
    <t>E305</t>
    <phoneticPr fontId="3" type="noConversion"/>
  </si>
  <si>
    <t>E309</t>
    <phoneticPr fontId="3" type="noConversion"/>
  </si>
  <si>
    <t>E319</t>
    <phoneticPr fontId="3" type="noConversion"/>
  </si>
  <si>
    <t>26606E3051</t>
    <phoneticPr fontId="3" type="noConversion"/>
  </si>
  <si>
    <t>4800320661/100</t>
    <phoneticPr fontId="3" type="noConversion"/>
  </si>
  <si>
    <t>4800378543/100</t>
    <phoneticPr fontId="3" type="noConversion"/>
  </si>
  <si>
    <t>26606E3171</t>
    <phoneticPr fontId="3" type="noConversion"/>
  </si>
  <si>
    <t>26607E3091</t>
    <phoneticPr fontId="3" type="noConversion"/>
  </si>
  <si>
    <t>26606E3071</t>
    <phoneticPr fontId="3" type="noConversion"/>
  </si>
  <si>
    <t>26606E3191</t>
    <phoneticPr fontId="3" type="noConversion"/>
  </si>
  <si>
    <t>E44</t>
    <phoneticPr fontId="3" type="noConversion"/>
  </si>
  <si>
    <t>E308</t>
    <phoneticPr fontId="3" type="noConversion"/>
  </si>
  <si>
    <t>26607E3081</t>
    <phoneticPr fontId="3" type="noConversion"/>
  </si>
  <si>
    <t>26607E3021</t>
    <phoneticPr fontId="3" type="noConversion"/>
  </si>
  <si>
    <t>E318</t>
    <phoneticPr fontId="3" type="noConversion"/>
  </si>
  <si>
    <t>E306</t>
    <phoneticPr fontId="3" type="noConversion"/>
  </si>
  <si>
    <t>26607E44J1</t>
    <phoneticPr fontId="3" type="noConversion"/>
  </si>
  <si>
    <t>26608E3061</t>
    <phoneticPr fontId="3" type="noConversion"/>
  </si>
  <si>
    <t>E304</t>
    <phoneticPr fontId="3" type="noConversion"/>
  </si>
  <si>
    <t>26608E3041</t>
    <phoneticPr fontId="3" type="noConversion"/>
  </si>
  <si>
    <t>4800380872/100</t>
    <phoneticPr fontId="3" type="noConversion"/>
  </si>
  <si>
    <t>4800361959/100</t>
    <phoneticPr fontId="3" type="noConversion"/>
  </si>
  <si>
    <t>26608E3181</t>
    <phoneticPr fontId="3" type="noConversion"/>
  </si>
  <si>
    <t>4800380026/100</t>
    <phoneticPr fontId="3" type="noConversion"/>
  </si>
  <si>
    <t>E305</t>
    <phoneticPr fontId="3" type="noConversion"/>
  </si>
  <si>
    <t>E303</t>
    <phoneticPr fontId="3" type="noConversion"/>
  </si>
  <si>
    <t>E29</t>
    <phoneticPr fontId="3" type="noConversion"/>
  </si>
  <si>
    <t>E317</t>
    <phoneticPr fontId="3" type="noConversion"/>
  </si>
  <si>
    <t>26608E3031</t>
    <phoneticPr fontId="3" type="noConversion"/>
  </si>
  <si>
    <t>26608E29J1</t>
    <phoneticPr fontId="3" type="noConversion"/>
  </si>
  <si>
    <t>4800371070/100</t>
    <phoneticPr fontId="3" type="noConversion"/>
  </si>
  <si>
    <t>4800320661/100</t>
    <phoneticPr fontId="3" type="noConversion"/>
  </si>
  <si>
    <t>26608E3171</t>
    <phoneticPr fontId="3" type="noConversion"/>
  </si>
  <si>
    <t>26608E3051</t>
    <phoneticPr fontId="3" type="noConversion"/>
  </si>
  <si>
    <t>E308</t>
    <phoneticPr fontId="3" type="noConversion"/>
  </si>
  <si>
    <t>E307</t>
    <phoneticPr fontId="3" type="noConversion"/>
  </si>
  <si>
    <t>E309</t>
    <phoneticPr fontId="3" type="noConversion"/>
  </si>
  <si>
    <t>E319</t>
    <phoneticPr fontId="3" type="noConversion"/>
  </si>
  <si>
    <t>E44</t>
    <phoneticPr fontId="3" type="noConversion"/>
  </si>
  <si>
    <t>26609E3091</t>
    <phoneticPr fontId="3" type="noConversion"/>
  </si>
  <si>
    <t>4800371070/100</t>
    <phoneticPr fontId="3" type="noConversion"/>
  </si>
  <si>
    <t>26609E3071</t>
    <phoneticPr fontId="3" type="noConversion"/>
  </si>
  <si>
    <t>26609E3191</t>
    <phoneticPr fontId="3" type="noConversion"/>
  </si>
  <si>
    <t>26609E44J1</t>
    <phoneticPr fontId="3" type="noConversion"/>
  </si>
  <si>
    <t>26610E3061</t>
    <phoneticPr fontId="3" type="noConversion"/>
  </si>
  <si>
    <t>E306</t>
    <phoneticPr fontId="3" type="noConversion"/>
  </si>
  <si>
    <t>E318</t>
    <phoneticPr fontId="3" type="noConversion"/>
  </si>
  <si>
    <t>26610E3051</t>
    <phoneticPr fontId="3" type="noConversion"/>
  </si>
  <si>
    <t>26610E29J1</t>
    <phoneticPr fontId="3" type="noConversion"/>
  </si>
  <si>
    <t>E29</t>
    <phoneticPr fontId="3" type="noConversion"/>
  </si>
  <si>
    <t>E305</t>
    <phoneticPr fontId="3" type="noConversion"/>
  </si>
  <si>
    <t>E303</t>
    <phoneticPr fontId="3" type="noConversion"/>
  </si>
  <si>
    <t>4800378543/100</t>
    <phoneticPr fontId="3" type="noConversion"/>
  </si>
  <si>
    <t>4800320661/100</t>
    <phoneticPr fontId="3" type="noConversion"/>
  </si>
  <si>
    <t>26610E3181</t>
    <phoneticPr fontId="3" type="noConversion"/>
  </si>
  <si>
    <t>26611E3031</t>
    <phoneticPr fontId="3" type="noConversion"/>
  </si>
  <si>
    <t>E317</t>
    <phoneticPr fontId="3" type="noConversion"/>
  </si>
  <si>
    <t>E307</t>
    <phoneticPr fontId="3" type="noConversion"/>
  </si>
  <si>
    <t>E319</t>
    <phoneticPr fontId="3" type="noConversion"/>
  </si>
  <si>
    <t>4800320661/100</t>
    <phoneticPr fontId="3" type="noConversion"/>
  </si>
  <si>
    <t>26611E3171</t>
    <phoneticPr fontId="3" type="noConversion"/>
  </si>
  <si>
    <t>26611E3071</t>
    <phoneticPr fontId="3" type="noConversion"/>
  </si>
  <si>
    <t>E308</t>
    <phoneticPr fontId="3" type="noConversion"/>
  </si>
  <si>
    <t>E309</t>
    <phoneticPr fontId="3" type="noConversion"/>
  </si>
  <si>
    <t>26612E3191</t>
    <phoneticPr fontId="3" type="noConversion"/>
  </si>
  <si>
    <t>4800320661/100</t>
    <phoneticPr fontId="3" type="noConversion"/>
  </si>
  <si>
    <t>4800371070/100</t>
    <phoneticPr fontId="3" type="noConversion"/>
  </si>
  <si>
    <t>26609E3081</t>
    <phoneticPr fontId="3" type="noConversion"/>
  </si>
  <si>
    <t>26612E3081</t>
    <phoneticPr fontId="3" type="noConversion"/>
  </si>
  <si>
    <t>26612E3091</t>
    <phoneticPr fontId="3" type="noConversion"/>
  </si>
  <si>
    <t>26613E3051</t>
    <phoneticPr fontId="3" type="noConversion"/>
  </si>
  <si>
    <t>E305</t>
    <phoneticPr fontId="3" type="noConversion"/>
  </si>
  <si>
    <t>4800378543/100</t>
    <phoneticPr fontId="3" type="noConversion"/>
  </si>
  <si>
    <t>E29</t>
    <phoneticPr fontId="3" type="noConversion"/>
  </si>
  <si>
    <t>E303</t>
    <phoneticPr fontId="3" type="noConversion"/>
  </si>
  <si>
    <t>E318</t>
    <phoneticPr fontId="3" type="noConversion"/>
  </si>
  <si>
    <t>26613E3031</t>
    <phoneticPr fontId="3" type="noConversion"/>
  </si>
  <si>
    <t>4800320661/100</t>
    <phoneticPr fontId="3" type="noConversion"/>
  </si>
  <si>
    <t>26613E29J1</t>
    <phoneticPr fontId="3" type="noConversion"/>
  </si>
  <si>
    <t>E317</t>
    <phoneticPr fontId="3" type="noConversion"/>
  </si>
  <si>
    <t>E319</t>
    <phoneticPr fontId="3" type="noConversion"/>
  </si>
  <si>
    <t>E307</t>
    <phoneticPr fontId="3" type="noConversion"/>
  </si>
  <si>
    <t>26613E3181</t>
    <phoneticPr fontId="3" type="noConversion"/>
  </si>
  <si>
    <t>26614E3071</t>
    <phoneticPr fontId="3" type="noConversion"/>
  </si>
  <si>
    <t>26614E3191</t>
    <phoneticPr fontId="3" type="noConversion"/>
  </si>
  <si>
    <t>26614E3171</t>
    <phoneticPr fontId="3" type="noConversion"/>
  </si>
  <si>
    <t>E304</t>
    <phoneticPr fontId="3" type="noConversion"/>
  </si>
  <si>
    <t>E306</t>
    <phoneticPr fontId="3" type="noConversion"/>
  </si>
  <si>
    <t>E305</t>
    <phoneticPr fontId="3" type="noConversion"/>
  </si>
  <si>
    <t>E308</t>
    <phoneticPr fontId="3" type="noConversion"/>
  </si>
  <si>
    <t>E309</t>
    <phoneticPr fontId="3" type="noConversion"/>
  </si>
  <si>
    <t>4800380026/100</t>
    <phoneticPr fontId="3" type="noConversion"/>
  </si>
  <si>
    <t>4800320661/100</t>
    <phoneticPr fontId="3" type="noConversion"/>
  </si>
  <si>
    <t>26615E3091</t>
    <phoneticPr fontId="3" type="noConversion"/>
  </si>
  <si>
    <t>26614E3061</t>
    <phoneticPr fontId="3" type="noConversion"/>
  </si>
  <si>
    <t>26614E3041</t>
    <phoneticPr fontId="3" type="noConversion"/>
  </si>
  <si>
    <t>26615E3051</t>
    <phoneticPr fontId="3" type="noConversion"/>
  </si>
  <si>
    <t>26614E3081</t>
    <phoneticPr fontId="3" type="noConversion"/>
  </si>
  <si>
    <t>E29</t>
    <phoneticPr fontId="3" type="noConversion"/>
  </si>
  <si>
    <t>E303</t>
    <phoneticPr fontId="3" type="noConversion"/>
  </si>
  <si>
    <t>26615E3031</t>
    <phoneticPr fontId="3" type="noConversion"/>
  </si>
  <si>
    <t>26615E29J1</t>
    <phoneticPr fontId="3" type="noConversion"/>
  </si>
  <si>
    <t>E318</t>
    <phoneticPr fontId="3" type="noConversion"/>
  </si>
  <si>
    <t>E317</t>
    <phoneticPr fontId="3" type="noConversion"/>
  </si>
  <si>
    <t>E307</t>
    <phoneticPr fontId="3" type="noConversion"/>
  </si>
  <si>
    <t>26616E3171</t>
    <phoneticPr fontId="3" type="noConversion"/>
  </si>
  <si>
    <t>26616E3181</t>
    <phoneticPr fontId="3" type="noConversion"/>
  </si>
  <si>
    <t>E319</t>
    <phoneticPr fontId="3" type="noConversion"/>
  </si>
  <si>
    <t>E306</t>
    <phoneticPr fontId="3" type="noConversion"/>
  </si>
  <si>
    <t>26616E3071</t>
    <phoneticPr fontId="3" type="noConversion"/>
  </si>
  <si>
    <t>26616E3061</t>
    <phoneticPr fontId="3" type="noConversion"/>
  </si>
  <si>
    <t>4800320661/100</t>
    <phoneticPr fontId="3" type="noConversion"/>
  </si>
  <si>
    <t>4800320661/100</t>
    <phoneticPr fontId="3" type="noConversion"/>
  </si>
  <si>
    <t>26616E3191</t>
    <phoneticPr fontId="3" type="noConversion"/>
  </si>
  <si>
    <t>E44</t>
    <phoneticPr fontId="3" type="noConversion"/>
  </si>
  <si>
    <t>26617E3041</t>
    <phoneticPr fontId="3" type="noConversion"/>
  </si>
  <si>
    <t>E302</t>
    <phoneticPr fontId="3" type="noConversion"/>
  </si>
  <si>
    <t>E308</t>
    <phoneticPr fontId="3" type="noConversion"/>
  </si>
  <si>
    <t>E29</t>
    <phoneticPr fontId="3" type="noConversion"/>
  </si>
  <si>
    <t>E305</t>
    <phoneticPr fontId="3" type="noConversion"/>
  </si>
  <si>
    <t>E309</t>
    <phoneticPr fontId="3" type="noConversion"/>
  </si>
  <si>
    <t>E303</t>
    <phoneticPr fontId="3" type="noConversion"/>
  </si>
  <si>
    <t>26618E3021</t>
    <phoneticPr fontId="3" type="noConversion"/>
  </si>
  <si>
    <t>26617E3081</t>
    <phoneticPr fontId="3" type="noConversion"/>
  </si>
  <si>
    <t>26617E3051</t>
    <phoneticPr fontId="3" type="noConversion"/>
  </si>
  <si>
    <t>4800371070/100</t>
    <phoneticPr fontId="3" type="noConversion"/>
  </si>
  <si>
    <t>26618E29J1</t>
    <phoneticPr fontId="3" type="noConversion"/>
  </si>
  <si>
    <t>26617E3091</t>
    <phoneticPr fontId="3" type="noConversion"/>
  </si>
  <si>
    <t>26617E3031</t>
    <phoneticPr fontId="3" type="noConversion"/>
  </si>
  <si>
    <t>26612E44J1</t>
    <phoneticPr fontId="3" type="noConversion"/>
  </si>
  <si>
    <t>4800320661/100</t>
    <phoneticPr fontId="3" type="noConversion"/>
  </si>
  <si>
    <t>E317</t>
    <phoneticPr fontId="3" type="noConversion"/>
  </si>
  <si>
    <t>E44</t>
    <phoneticPr fontId="3" type="noConversion"/>
  </si>
  <si>
    <t>4800371070/100</t>
    <phoneticPr fontId="3" type="noConversion"/>
  </si>
  <si>
    <t>26618E3171</t>
    <phoneticPr fontId="3" type="noConversion"/>
  </si>
  <si>
    <t>E318</t>
    <phoneticPr fontId="3" type="noConversion"/>
  </si>
  <si>
    <t>4800320661/100</t>
    <phoneticPr fontId="3" type="noConversion"/>
  </si>
  <si>
    <t>E307</t>
    <phoneticPr fontId="3" type="noConversion"/>
  </si>
  <si>
    <t>26618E3071</t>
    <phoneticPr fontId="3" type="noConversion"/>
  </si>
  <si>
    <t>26618E44J1</t>
    <phoneticPr fontId="3" type="noConversion"/>
  </si>
  <si>
    <t>26618E3181</t>
    <phoneticPr fontId="3" type="noConversion"/>
  </si>
  <si>
    <t>E319</t>
    <phoneticPr fontId="3" type="noConversion"/>
  </si>
  <si>
    <t>E305</t>
    <phoneticPr fontId="3" type="noConversion"/>
  </si>
  <si>
    <t>4800371070/100</t>
    <phoneticPr fontId="3" type="noConversion"/>
  </si>
  <si>
    <t>E306</t>
    <phoneticPr fontId="3" type="noConversion"/>
  </si>
  <si>
    <t>26619E3051</t>
    <phoneticPr fontId="3" type="noConversion"/>
  </si>
  <si>
    <t>E303</t>
    <phoneticPr fontId="3" type="noConversion"/>
  </si>
  <si>
    <t>E308</t>
    <phoneticPr fontId="3" type="noConversion"/>
  </si>
  <si>
    <t>26620E3031</t>
    <phoneticPr fontId="3" type="noConversion"/>
  </si>
  <si>
    <t>26619E3061</t>
    <phoneticPr fontId="3" type="noConversion"/>
  </si>
  <si>
    <t>26619E3191</t>
    <phoneticPr fontId="3" type="noConversion"/>
  </si>
  <si>
    <t>4800378543/100</t>
    <phoneticPr fontId="3" type="noConversion"/>
  </si>
  <si>
    <t>26620E3081</t>
    <phoneticPr fontId="3" type="noConversion"/>
  </si>
  <si>
    <t>E309</t>
    <phoneticPr fontId="3" type="noConversion"/>
  </si>
  <si>
    <t>E29</t>
    <phoneticPr fontId="3" type="noConversion"/>
  </si>
  <si>
    <t>4800371070/100</t>
    <phoneticPr fontId="3" type="noConversion"/>
  </si>
  <si>
    <t>E317</t>
    <phoneticPr fontId="3" type="noConversion"/>
  </si>
  <si>
    <t>4800320661/100</t>
    <phoneticPr fontId="3" type="noConversion"/>
  </si>
  <si>
    <t>26620E3171</t>
    <phoneticPr fontId="3" type="noConversion"/>
  </si>
  <si>
    <t>26620E3091</t>
    <phoneticPr fontId="3" type="noConversion"/>
  </si>
  <si>
    <t>26620E29J1</t>
    <phoneticPr fontId="3" type="noConversion"/>
  </si>
  <si>
    <t>E318</t>
    <phoneticPr fontId="3" type="noConversion"/>
  </si>
  <si>
    <t>E305</t>
    <phoneticPr fontId="3" type="noConversion"/>
  </si>
  <si>
    <t>E44</t>
    <phoneticPr fontId="3" type="noConversion"/>
  </si>
  <si>
    <t>E319</t>
    <phoneticPr fontId="3" type="noConversion"/>
  </si>
  <si>
    <t>26621E44J1</t>
    <phoneticPr fontId="3" type="noConversion"/>
  </si>
  <si>
    <t>E307</t>
    <phoneticPr fontId="3" type="noConversion"/>
  </si>
  <si>
    <t>26621E3071</t>
    <phoneticPr fontId="3" type="noConversion"/>
  </si>
  <si>
    <t>4800378543/100</t>
    <phoneticPr fontId="3" type="noConversion"/>
  </si>
  <si>
    <t>26621E3191</t>
    <phoneticPr fontId="3" type="noConversion"/>
  </si>
  <si>
    <t>26621E3181</t>
    <phoneticPr fontId="3" type="noConversion"/>
  </si>
  <si>
    <t>4800380026/200</t>
    <phoneticPr fontId="3" type="noConversion"/>
  </si>
  <si>
    <t>E308</t>
    <phoneticPr fontId="3" type="noConversion"/>
  </si>
  <si>
    <t>E303</t>
    <phoneticPr fontId="3" type="noConversion"/>
  </si>
  <si>
    <t>E317</t>
    <phoneticPr fontId="3" type="noConversion"/>
  </si>
  <si>
    <t>E309</t>
    <phoneticPr fontId="3" type="noConversion"/>
  </si>
  <si>
    <t>26622E3031</t>
    <phoneticPr fontId="3" type="noConversion"/>
  </si>
  <si>
    <t>26622E3051</t>
    <phoneticPr fontId="3" type="noConversion"/>
  </si>
  <si>
    <t>4800378543/100</t>
    <phoneticPr fontId="3" type="noConversion"/>
  </si>
  <si>
    <t>4800320661/100</t>
    <phoneticPr fontId="3" type="noConversion"/>
  </si>
  <si>
    <t>26623E3171</t>
    <phoneticPr fontId="3" type="noConversion"/>
  </si>
  <si>
    <t>26622E3091</t>
    <phoneticPr fontId="3" type="noConversion"/>
  </si>
  <si>
    <t>26622E3081</t>
    <phoneticPr fontId="3" type="noConversion"/>
  </si>
  <si>
    <t>E302</t>
    <phoneticPr fontId="3" type="noConversion"/>
  </si>
  <si>
    <t>26620E3021</t>
  </si>
  <si>
    <t>E306</t>
    <phoneticPr fontId="3" type="noConversion"/>
  </si>
  <si>
    <t>E29</t>
    <phoneticPr fontId="3" type="noConversion"/>
  </si>
  <si>
    <t>E318</t>
    <phoneticPr fontId="3" type="noConversion"/>
  </si>
  <si>
    <t>E307</t>
    <phoneticPr fontId="3" type="noConversion"/>
  </si>
  <si>
    <t>26623E3061</t>
    <phoneticPr fontId="3" type="noConversion"/>
  </si>
  <si>
    <t>26623E3071</t>
    <phoneticPr fontId="3" type="noConversion"/>
  </si>
  <si>
    <t>4800371070/100</t>
    <phoneticPr fontId="3" type="noConversion"/>
  </si>
  <si>
    <t>4800320661/100</t>
    <phoneticPr fontId="3" type="noConversion"/>
  </si>
  <si>
    <t>26623E29J1</t>
    <phoneticPr fontId="3" type="noConversion"/>
  </si>
  <si>
    <t>26623E3181</t>
    <phoneticPr fontId="3" type="noConversion"/>
  </si>
  <si>
    <t>E319</t>
    <phoneticPr fontId="3" type="noConversion"/>
  </si>
  <si>
    <t>4800378543/100</t>
    <phoneticPr fontId="3" type="noConversion"/>
  </si>
  <si>
    <t>26624E3191</t>
    <phoneticPr fontId="3" type="noConversion"/>
  </si>
  <si>
    <t>E44</t>
    <phoneticPr fontId="3" type="noConversion"/>
  </si>
  <si>
    <t>E305</t>
    <phoneticPr fontId="3" type="noConversion"/>
  </si>
  <si>
    <t>E302</t>
    <phoneticPr fontId="3" type="noConversion"/>
  </si>
  <si>
    <t>E303</t>
    <phoneticPr fontId="3" type="noConversion"/>
  </si>
  <si>
    <t>26624E44J1</t>
    <phoneticPr fontId="3" type="noConversion"/>
  </si>
  <si>
    <t>26624E3051</t>
    <phoneticPr fontId="3" type="noConversion"/>
  </si>
  <si>
    <t>4800380026/200</t>
    <phoneticPr fontId="3" type="noConversion"/>
  </si>
  <si>
    <t>26624E3031</t>
    <phoneticPr fontId="3" type="noConversion"/>
  </si>
  <si>
    <t>26624E3021</t>
    <phoneticPr fontId="3" type="noConversion"/>
  </si>
  <si>
    <t>E306</t>
    <phoneticPr fontId="3" type="noConversion"/>
  </si>
  <si>
    <t>E308</t>
    <phoneticPr fontId="3" type="noConversion"/>
  </si>
  <si>
    <t>E309</t>
    <phoneticPr fontId="3" type="noConversion"/>
  </si>
  <si>
    <t>E317</t>
    <phoneticPr fontId="3" type="noConversion"/>
  </si>
  <si>
    <t>26625E3081</t>
    <phoneticPr fontId="3" type="noConversion"/>
  </si>
  <si>
    <t>26625E3091</t>
    <phoneticPr fontId="3" type="noConversion"/>
  </si>
  <si>
    <t>26625E3171</t>
    <phoneticPr fontId="3" type="noConversion"/>
  </si>
  <si>
    <t>4800380026/200</t>
    <phoneticPr fontId="3" type="noConversion"/>
  </si>
  <si>
    <t>26625E3061</t>
    <phoneticPr fontId="3" type="noConversion"/>
  </si>
  <si>
    <t>4800320661/100</t>
    <phoneticPr fontId="3" type="noConversion"/>
  </si>
  <si>
    <t>E318</t>
    <phoneticPr fontId="3" type="noConversion"/>
  </si>
  <si>
    <t>26625E3181</t>
    <phoneticPr fontId="3" type="noConversion"/>
  </si>
  <si>
    <t>4800320661/100</t>
    <phoneticPr fontId="3" type="noConversion"/>
  </si>
  <si>
    <t>E307</t>
    <phoneticPr fontId="3" type="noConversion"/>
  </si>
  <si>
    <t>E319</t>
    <phoneticPr fontId="3" type="noConversion"/>
  </si>
  <si>
    <t>26626E3071</t>
    <phoneticPr fontId="3" type="noConversion"/>
  </si>
  <si>
    <t>4800380026/200</t>
    <phoneticPr fontId="3" type="noConversion"/>
  </si>
  <si>
    <t>26626E3191</t>
    <phoneticPr fontId="3" type="noConversion"/>
  </si>
  <si>
    <t>E29</t>
    <phoneticPr fontId="3" type="noConversion"/>
  </si>
  <si>
    <t>26626E29J1</t>
    <phoneticPr fontId="3" type="noConversion"/>
  </si>
  <si>
    <t>E44</t>
    <phoneticPr fontId="3" type="noConversion"/>
  </si>
  <si>
    <t>26626E44J1</t>
    <phoneticPr fontId="3" type="noConversion"/>
  </si>
  <si>
    <t>4800378543/100</t>
    <phoneticPr fontId="3" type="noConversion"/>
  </si>
  <si>
    <t>E302</t>
    <phoneticPr fontId="3" type="noConversion"/>
  </si>
  <si>
    <t>E305</t>
    <phoneticPr fontId="3" type="noConversion"/>
  </si>
  <si>
    <t>4800380026/200</t>
    <phoneticPr fontId="3" type="noConversion"/>
  </si>
  <si>
    <t>E303</t>
    <phoneticPr fontId="3" type="noConversion"/>
  </si>
  <si>
    <t>E308</t>
    <phoneticPr fontId="3" type="noConversion"/>
  </si>
  <si>
    <t>4800320661/100</t>
    <phoneticPr fontId="3" type="noConversion"/>
  </si>
  <si>
    <t>26627E3031</t>
    <phoneticPr fontId="3" type="noConversion"/>
  </si>
  <si>
    <t>26628E3081</t>
    <phoneticPr fontId="3" type="noConversion"/>
  </si>
  <si>
    <t>26627E3021</t>
    <phoneticPr fontId="3" type="noConversion"/>
  </si>
  <si>
    <t>26627E3051</t>
    <phoneticPr fontId="3" type="noConversion"/>
  </si>
  <si>
    <t>E306</t>
    <phoneticPr fontId="3" type="noConversion"/>
  </si>
  <si>
    <t>E317</t>
    <phoneticPr fontId="3" type="noConversion"/>
  </si>
  <si>
    <t>26628E3061</t>
    <phoneticPr fontId="3" type="noConversion"/>
  </si>
  <si>
    <t>26628E3171</t>
    <phoneticPr fontId="3" type="noConversion"/>
  </si>
  <si>
    <t>E309</t>
    <phoneticPr fontId="3" type="noConversion"/>
  </si>
  <si>
    <t>26628E3091</t>
    <phoneticPr fontId="3" type="noConversion"/>
  </si>
  <si>
    <t>E318</t>
    <phoneticPr fontId="3" type="noConversion"/>
  </si>
  <si>
    <t>E307</t>
    <phoneticPr fontId="3" type="noConversion"/>
  </si>
  <si>
    <t>4800378543/100</t>
    <phoneticPr fontId="3" type="noConversion"/>
  </si>
  <si>
    <t>26629E3071</t>
    <phoneticPr fontId="3" type="noConversion"/>
  </si>
  <si>
    <t>26628E3181</t>
    <phoneticPr fontId="3" type="noConversion"/>
  </si>
  <si>
    <t>E29</t>
    <phoneticPr fontId="3" type="noConversion"/>
  </si>
  <si>
    <t>E319</t>
    <phoneticPr fontId="3" type="noConversion"/>
  </si>
  <si>
    <t>26629E29J1</t>
    <phoneticPr fontId="3" type="noConversion"/>
  </si>
  <si>
    <t>26629E3191</t>
    <phoneticPr fontId="3" type="noConversion"/>
  </si>
  <si>
    <t>E44</t>
    <phoneticPr fontId="3" type="noConversion"/>
  </si>
  <si>
    <t>26629E44J1</t>
    <phoneticPr fontId="3" type="noConversion"/>
  </si>
  <si>
    <t>4800378543/100</t>
    <phoneticPr fontId="3" type="noConversion"/>
  </si>
  <si>
    <t>E303</t>
    <phoneticPr fontId="3" type="noConversion"/>
  </si>
  <si>
    <t>26630E3051</t>
    <phoneticPr fontId="3" type="noConversion"/>
  </si>
  <si>
    <t>26630E3031</t>
    <phoneticPr fontId="3" type="noConversion"/>
  </si>
  <si>
    <t>E302</t>
    <phoneticPr fontId="3" type="noConversion"/>
  </si>
  <si>
    <t>E308</t>
    <phoneticPr fontId="3" type="noConversion"/>
  </si>
  <si>
    <t>26630E3021</t>
    <phoneticPr fontId="3" type="noConversion"/>
  </si>
  <si>
    <t>E307</t>
    <phoneticPr fontId="3" type="noConversion"/>
  </si>
  <si>
    <t>E318</t>
    <phoneticPr fontId="3" type="noConversion"/>
  </si>
  <si>
    <t>26630E3071</t>
    <phoneticPr fontId="3" type="noConversion"/>
  </si>
  <si>
    <t>26630E3081</t>
    <phoneticPr fontId="3" type="noConversion"/>
  </si>
  <si>
    <t>26701E3181</t>
    <phoneticPr fontId="3" type="noConversion"/>
  </si>
  <si>
    <t>E306</t>
    <phoneticPr fontId="3" type="noConversion"/>
  </si>
  <si>
    <t>26701E3061</t>
    <phoneticPr fontId="3" type="noConversion"/>
  </si>
  <si>
    <t>E309</t>
    <phoneticPr fontId="3" type="noConversion"/>
  </si>
  <si>
    <t>E317</t>
    <phoneticPr fontId="3" type="noConversion"/>
  </si>
  <si>
    <t>26701E3091</t>
    <phoneticPr fontId="3" type="noConversion"/>
  </si>
  <si>
    <t>26701E3171</t>
    <phoneticPr fontId="3" type="noConversion"/>
  </si>
  <si>
    <t>E29</t>
    <phoneticPr fontId="3" type="noConversion"/>
  </si>
  <si>
    <t>E44</t>
    <phoneticPr fontId="3" type="noConversion"/>
  </si>
  <si>
    <t>26702E29J1</t>
    <phoneticPr fontId="3" type="noConversion"/>
  </si>
  <si>
    <t>E319</t>
    <phoneticPr fontId="3" type="noConversion"/>
  </si>
  <si>
    <t>4800380872/100</t>
    <phoneticPr fontId="3" type="noConversion"/>
  </si>
  <si>
    <t>26702E3191</t>
    <phoneticPr fontId="3" type="noConversion"/>
  </si>
  <si>
    <t>E302</t>
    <phoneticPr fontId="3" type="noConversion"/>
  </si>
  <si>
    <t>E303</t>
    <phoneticPr fontId="3" type="noConversion"/>
  </si>
  <si>
    <t>E308</t>
    <phoneticPr fontId="3" type="noConversion"/>
  </si>
  <si>
    <t>E305</t>
    <phoneticPr fontId="3" type="noConversion"/>
  </si>
  <si>
    <t>26702E3031</t>
    <phoneticPr fontId="3" type="noConversion"/>
  </si>
  <si>
    <t>26702E44J1</t>
    <phoneticPr fontId="3" type="noConversion"/>
  </si>
  <si>
    <t>26702E3051</t>
    <phoneticPr fontId="3" type="noConversion"/>
  </si>
  <si>
    <t>4800320661/100</t>
    <phoneticPr fontId="3" type="noConversion"/>
  </si>
  <si>
    <t>26703E3021</t>
    <phoneticPr fontId="3" type="noConversion"/>
  </si>
  <si>
    <t>E318</t>
    <phoneticPr fontId="3" type="noConversion"/>
  </si>
  <si>
    <t>E307</t>
    <phoneticPr fontId="3" type="noConversion"/>
  </si>
  <si>
    <t>E317</t>
    <phoneticPr fontId="3" type="noConversion"/>
  </si>
  <si>
    <t>E309</t>
    <phoneticPr fontId="3" type="noConversion"/>
  </si>
  <si>
    <t>E319</t>
    <phoneticPr fontId="3" type="noConversion"/>
  </si>
  <si>
    <t>26703E3081</t>
    <phoneticPr fontId="3" type="noConversion"/>
  </si>
  <si>
    <t>4800380026/200</t>
    <phoneticPr fontId="3" type="noConversion"/>
  </si>
  <si>
    <t>4800320661/100</t>
    <phoneticPr fontId="3" type="noConversion"/>
  </si>
  <si>
    <t>26703E3181</t>
    <phoneticPr fontId="3" type="noConversion"/>
  </si>
  <si>
    <t>26703E3071</t>
    <phoneticPr fontId="3" type="noConversion"/>
  </si>
  <si>
    <t>26704E3091</t>
    <phoneticPr fontId="3" type="noConversion"/>
  </si>
  <si>
    <t>4800380026/200</t>
    <phoneticPr fontId="3" type="noConversion"/>
  </si>
  <si>
    <t>E44</t>
    <phoneticPr fontId="3" type="noConversion"/>
  </si>
  <si>
    <t>E305</t>
    <phoneticPr fontId="3" type="noConversion"/>
  </si>
  <si>
    <t>E29</t>
    <phoneticPr fontId="3" type="noConversion"/>
  </si>
  <si>
    <t>4800378543/100</t>
    <phoneticPr fontId="3" type="noConversion"/>
  </si>
  <si>
    <t>26704E3191</t>
    <phoneticPr fontId="3" type="noConversion"/>
  </si>
  <si>
    <t>26704E3171</t>
    <phoneticPr fontId="3" type="noConversion"/>
  </si>
  <si>
    <t>4800320661/100</t>
    <phoneticPr fontId="3" type="noConversion"/>
  </si>
  <si>
    <t>4800380026/200</t>
    <phoneticPr fontId="3" type="noConversion"/>
  </si>
  <si>
    <t>26704E29J1</t>
    <phoneticPr fontId="3" type="noConversion"/>
  </si>
  <si>
    <t>26704E44J1</t>
    <phoneticPr fontId="3" type="noConversion"/>
  </si>
  <si>
    <t>26705E3051</t>
    <phoneticPr fontId="3" type="noConversion"/>
  </si>
  <si>
    <t>4800380026/200</t>
    <phoneticPr fontId="3" type="noConversion"/>
  </si>
  <si>
    <t>E306</t>
    <phoneticPr fontId="3" type="noConversion"/>
  </si>
  <si>
    <t>4800380872/100</t>
    <phoneticPr fontId="3" type="noConversion"/>
  </si>
  <si>
    <t>E307</t>
    <phoneticPr fontId="3" type="noConversion"/>
  </si>
  <si>
    <t>E308</t>
    <phoneticPr fontId="3" type="noConversion"/>
  </si>
  <si>
    <t>26703E3061</t>
    <phoneticPr fontId="3" type="noConversion"/>
  </si>
  <si>
    <t>E303</t>
    <phoneticPr fontId="3" type="noConversion"/>
  </si>
  <si>
    <t>E309</t>
    <phoneticPr fontId="3" type="noConversion"/>
  </si>
  <si>
    <t>E317</t>
    <phoneticPr fontId="3" type="noConversion"/>
  </si>
  <si>
    <t>26705E3031</t>
    <phoneticPr fontId="3" type="noConversion"/>
  </si>
  <si>
    <t>26705E3071</t>
    <phoneticPr fontId="3" type="noConversion"/>
  </si>
  <si>
    <t>26705E3081</t>
    <phoneticPr fontId="3" type="noConversion"/>
  </si>
  <si>
    <t>4800380026/200</t>
    <phoneticPr fontId="3" type="noConversion"/>
  </si>
  <si>
    <t>4800380026/200</t>
    <phoneticPr fontId="3" type="noConversion"/>
  </si>
  <si>
    <t>26706E3091</t>
    <phoneticPr fontId="3" type="noConversion"/>
  </si>
  <si>
    <t>E302</t>
    <phoneticPr fontId="3" type="noConversion"/>
  </si>
  <si>
    <t>E319</t>
    <phoneticPr fontId="3" type="noConversion"/>
  </si>
  <si>
    <t>26705E3021</t>
    <phoneticPr fontId="3" type="noConversion"/>
  </si>
  <si>
    <t>26706E3191</t>
    <phoneticPr fontId="3" type="noConversion"/>
  </si>
  <si>
    <t>26706E3171</t>
    <phoneticPr fontId="3" type="noConversion"/>
  </si>
  <si>
    <t>4800380872/100</t>
    <phoneticPr fontId="3" type="noConversion"/>
  </si>
  <si>
    <t>4800320661/100</t>
    <phoneticPr fontId="3" type="noConversion"/>
  </si>
  <si>
    <t>4800380026/200</t>
    <phoneticPr fontId="3" type="noConversion"/>
  </si>
  <si>
    <t>4800378543/100</t>
    <phoneticPr fontId="3" type="noConversion"/>
  </si>
  <si>
    <t>E318</t>
    <phoneticPr fontId="3" type="noConversion"/>
  </si>
  <si>
    <t>E29</t>
    <phoneticPr fontId="3" type="noConversion"/>
  </si>
  <si>
    <t>E308</t>
    <phoneticPr fontId="3" type="noConversion"/>
  </si>
  <si>
    <t>E44</t>
    <phoneticPr fontId="3" type="noConversion"/>
  </si>
  <si>
    <t>4800380872/100</t>
    <phoneticPr fontId="3" type="noConversion"/>
  </si>
  <si>
    <t>26706E3181</t>
    <phoneticPr fontId="3" type="noConversion"/>
  </si>
  <si>
    <t>26705E3041</t>
    <phoneticPr fontId="3" type="noConversion"/>
  </si>
  <si>
    <t>26706E29J1</t>
    <phoneticPr fontId="3" type="noConversion"/>
  </si>
  <si>
    <t>26707E44J1</t>
    <phoneticPr fontId="3" type="noConversion"/>
  </si>
  <si>
    <t>E305</t>
    <phoneticPr fontId="3" type="noConversion"/>
  </si>
  <si>
    <t>26707E3051</t>
    <phoneticPr fontId="3" type="noConversion"/>
  </si>
  <si>
    <t>E306</t>
    <phoneticPr fontId="3" type="noConversion"/>
  </si>
  <si>
    <t>E303</t>
    <phoneticPr fontId="3" type="noConversion"/>
  </si>
  <si>
    <t>E307</t>
    <phoneticPr fontId="3" type="noConversion"/>
  </si>
  <si>
    <t>E319</t>
    <phoneticPr fontId="3" type="noConversion"/>
  </si>
  <si>
    <t>26707E3071</t>
    <phoneticPr fontId="3" type="noConversion"/>
  </si>
  <si>
    <t>26707E3061</t>
    <phoneticPr fontId="3" type="noConversion"/>
  </si>
  <si>
    <t>26707E3081</t>
    <phoneticPr fontId="3" type="noConversion"/>
  </si>
  <si>
    <t>4800320661/100</t>
    <phoneticPr fontId="3" type="noConversion"/>
  </si>
  <si>
    <t>4800380872/100</t>
    <phoneticPr fontId="3" type="noConversion"/>
  </si>
  <si>
    <t>4800380026/200</t>
    <phoneticPr fontId="3" type="noConversion"/>
  </si>
  <si>
    <t>15P7</t>
    <phoneticPr fontId="3" type="noConversion"/>
  </si>
  <si>
    <t>26708E3031</t>
    <phoneticPr fontId="3" type="noConversion"/>
  </si>
  <si>
    <t>26708E3191</t>
    <phoneticPr fontId="3" type="noConversion"/>
  </si>
  <si>
    <t>E317</t>
    <phoneticPr fontId="3" type="noConversion"/>
  </si>
  <si>
    <t>E318</t>
    <phoneticPr fontId="3" type="noConversion"/>
  </si>
  <si>
    <t>E302</t>
    <phoneticPr fontId="3" type="noConversion"/>
  </si>
  <si>
    <t>E309</t>
    <phoneticPr fontId="3" type="noConversion"/>
  </si>
  <si>
    <t>E44</t>
    <phoneticPr fontId="3" type="noConversion"/>
  </si>
  <si>
    <t>E29</t>
    <phoneticPr fontId="3" type="noConversion"/>
  </si>
  <si>
    <t>26708E3171</t>
    <phoneticPr fontId="3" type="noConversion"/>
  </si>
  <si>
    <t>26708E29J1</t>
    <phoneticPr fontId="3" type="noConversion"/>
  </si>
  <si>
    <t>4800380026/200</t>
    <phoneticPr fontId="3" type="noConversion"/>
  </si>
  <si>
    <t>26708E3091</t>
    <phoneticPr fontId="3" type="noConversion"/>
  </si>
  <si>
    <t>26708E3181</t>
    <phoneticPr fontId="3" type="noConversion"/>
  </si>
  <si>
    <t>26709E44J1</t>
    <phoneticPr fontId="3" type="noConversion"/>
  </si>
  <si>
    <t>追蹤</t>
    <phoneticPr fontId="3" type="noConversion"/>
  </si>
  <si>
    <t>26709E3021</t>
    <phoneticPr fontId="3" type="noConversion"/>
  </si>
  <si>
    <t>4800320661/100</t>
    <phoneticPr fontId="3" type="noConversion"/>
  </si>
  <si>
    <t>4800380026/200</t>
    <phoneticPr fontId="3" type="noConversion"/>
  </si>
  <si>
    <t>E308</t>
    <phoneticPr fontId="3" type="noConversion"/>
  </si>
  <si>
    <t>E307</t>
    <phoneticPr fontId="3" type="noConversion"/>
  </si>
  <si>
    <t>E305</t>
    <phoneticPr fontId="3" type="noConversion"/>
  </si>
  <si>
    <t>E319</t>
    <phoneticPr fontId="3" type="noConversion"/>
  </si>
  <si>
    <t>26709E3071</t>
    <phoneticPr fontId="3" type="noConversion"/>
  </si>
  <si>
    <t>26709E3051</t>
    <phoneticPr fontId="3" type="noConversion"/>
  </si>
  <si>
    <t>4800378543/100</t>
    <phoneticPr fontId="3" type="noConversion"/>
  </si>
  <si>
    <t>4800380026/200</t>
    <phoneticPr fontId="3" type="noConversion"/>
  </si>
  <si>
    <t>4800320661/100</t>
    <phoneticPr fontId="3" type="noConversion"/>
  </si>
  <si>
    <t>26709E3081</t>
    <phoneticPr fontId="3" type="noConversion"/>
  </si>
  <si>
    <t>26710E3191</t>
    <phoneticPr fontId="3" type="noConversion"/>
  </si>
  <si>
    <t>4800380026/200</t>
    <phoneticPr fontId="3" type="noConversion"/>
  </si>
  <si>
    <t>E304</t>
    <phoneticPr fontId="3" type="noConversion"/>
  </si>
  <si>
    <t>E303</t>
    <phoneticPr fontId="3" type="noConversion"/>
  </si>
  <si>
    <t>E317</t>
    <phoneticPr fontId="3" type="noConversion"/>
  </si>
  <si>
    <t>4800320661/100</t>
    <phoneticPr fontId="3" type="noConversion"/>
  </si>
  <si>
    <t>E318</t>
    <phoneticPr fontId="3" type="noConversion"/>
  </si>
  <si>
    <t>E309</t>
    <phoneticPr fontId="3" type="noConversion"/>
  </si>
  <si>
    <t>E29</t>
    <phoneticPr fontId="3" type="noConversion"/>
  </si>
  <si>
    <t>4800378543/100</t>
    <phoneticPr fontId="3" type="noConversion"/>
  </si>
  <si>
    <t>26709E3041</t>
    <phoneticPr fontId="3" type="noConversion"/>
  </si>
  <si>
    <t>26710E3031</t>
    <phoneticPr fontId="3" type="noConversion"/>
  </si>
  <si>
    <t>26711E3181</t>
    <phoneticPr fontId="3" type="noConversion"/>
  </si>
  <si>
    <t>26710E3171</t>
    <phoneticPr fontId="3" type="noConversion"/>
  </si>
  <si>
    <t>26710E29J1</t>
    <phoneticPr fontId="3" type="noConversion"/>
  </si>
  <si>
    <t>26711E3091</t>
    <phoneticPr fontId="3" type="noConversion"/>
  </si>
  <si>
    <t>E44</t>
    <phoneticPr fontId="3" type="noConversion"/>
  </si>
  <si>
    <t>E302</t>
    <phoneticPr fontId="3" type="noConversion"/>
  </si>
  <si>
    <t>4800380026/200</t>
    <phoneticPr fontId="3" type="noConversion"/>
  </si>
  <si>
    <t>E307</t>
    <phoneticPr fontId="3" type="noConversion"/>
  </si>
  <si>
    <t>26711E44J1</t>
    <phoneticPr fontId="3" type="noConversion"/>
  </si>
  <si>
    <t>26711E3021</t>
    <phoneticPr fontId="3" type="noConversion"/>
  </si>
  <si>
    <t>26712E3071</t>
    <phoneticPr fontId="3" type="noConversion"/>
  </si>
  <si>
    <t>4800380026/200</t>
    <phoneticPr fontId="3" type="noConversion"/>
  </si>
  <si>
    <t>E306</t>
    <phoneticPr fontId="3" type="noConversion"/>
  </si>
  <si>
    <t>E308</t>
    <phoneticPr fontId="3" type="noConversion"/>
  </si>
  <si>
    <t>26712E3081</t>
    <phoneticPr fontId="3" type="noConversion"/>
  </si>
  <si>
    <t>E319</t>
    <phoneticPr fontId="3" type="noConversion"/>
  </si>
  <si>
    <t>E305</t>
    <phoneticPr fontId="3" type="noConversion"/>
  </si>
  <si>
    <t>26712E3191</t>
    <phoneticPr fontId="3" type="noConversion"/>
  </si>
  <si>
    <t>E303</t>
    <phoneticPr fontId="3" type="noConversion"/>
  </si>
  <si>
    <t>26712E3031</t>
    <phoneticPr fontId="3" type="noConversion"/>
  </si>
  <si>
    <t>4800378543/100</t>
    <phoneticPr fontId="3" type="noConversion"/>
  </si>
  <si>
    <t>26710E3061</t>
    <phoneticPr fontId="3" type="noConversion"/>
  </si>
  <si>
    <t>26712E3051</t>
    <phoneticPr fontId="3" type="noConversion"/>
  </si>
  <si>
    <t>E317</t>
    <phoneticPr fontId="3" type="noConversion"/>
  </si>
  <si>
    <t>26713E3171</t>
    <phoneticPr fontId="3" type="noConversion"/>
  </si>
  <si>
    <t>E29</t>
    <phoneticPr fontId="3" type="noConversion"/>
  </si>
  <si>
    <t>26713E29J1</t>
    <phoneticPr fontId="3" type="noConversion"/>
  </si>
  <si>
    <t>4800320661/100</t>
    <phoneticPr fontId="3" type="noConversion"/>
  </si>
  <si>
    <t>E309</t>
    <phoneticPr fontId="3" type="noConversion"/>
  </si>
  <si>
    <t>26713E3091</t>
    <phoneticPr fontId="3" type="noConversion"/>
  </si>
  <si>
    <t>4800378543/100</t>
    <phoneticPr fontId="3" type="noConversion"/>
  </si>
  <si>
    <t>E302</t>
    <phoneticPr fontId="3" type="noConversion"/>
  </si>
  <si>
    <t>E44</t>
    <phoneticPr fontId="3" type="noConversion"/>
  </si>
  <si>
    <t>E307</t>
    <phoneticPr fontId="3" type="noConversion"/>
  </si>
  <si>
    <t>26714E44J1</t>
    <phoneticPr fontId="3" type="noConversion"/>
  </si>
  <si>
    <t>26714E3021</t>
    <phoneticPr fontId="3" type="noConversion"/>
  </si>
  <si>
    <t>4800380026/200</t>
    <phoneticPr fontId="3" type="noConversion"/>
  </si>
  <si>
    <t>26714E3071</t>
    <phoneticPr fontId="3" type="noConversion"/>
  </si>
  <si>
    <t>E305</t>
    <phoneticPr fontId="3" type="noConversion"/>
  </si>
  <si>
    <t>26714E3051</t>
    <phoneticPr fontId="3" type="noConversion"/>
  </si>
  <si>
    <t>E303</t>
    <phoneticPr fontId="3" type="noConversion"/>
  </si>
  <si>
    <t>E308</t>
    <phoneticPr fontId="3" type="noConversion"/>
  </si>
  <si>
    <t>E306</t>
    <phoneticPr fontId="3" type="noConversion"/>
  </si>
  <si>
    <t>26715E3031</t>
    <phoneticPr fontId="3" type="noConversion"/>
  </si>
  <si>
    <t>26715E3081</t>
    <phoneticPr fontId="3" type="noConversion"/>
  </si>
  <si>
    <t>26715E3061</t>
    <phoneticPr fontId="3" type="noConversion"/>
  </si>
  <si>
    <t xml:space="preserve"> </t>
    <phoneticPr fontId="3" type="noConversion"/>
  </si>
  <si>
    <t>E319</t>
    <phoneticPr fontId="3" type="noConversion"/>
  </si>
  <si>
    <t>E317</t>
    <phoneticPr fontId="3" type="noConversion"/>
  </si>
  <si>
    <t>26715E3191</t>
    <phoneticPr fontId="3" type="noConversion"/>
  </si>
  <si>
    <t>26715E3171</t>
    <phoneticPr fontId="3" type="noConversion"/>
  </si>
  <si>
    <t>E304</t>
    <phoneticPr fontId="3" type="noConversion"/>
  </si>
  <si>
    <t>26713E3041</t>
    <phoneticPr fontId="3" type="noConversion"/>
  </si>
  <si>
    <t>E29</t>
    <phoneticPr fontId="3" type="noConversion"/>
  </si>
  <si>
    <t>E309</t>
    <phoneticPr fontId="3" type="noConversion"/>
  </si>
  <si>
    <t>E302</t>
    <phoneticPr fontId="3" type="noConversion"/>
  </si>
  <si>
    <t>26716E3021</t>
    <phoneticPr fontId="3" type="noConversion"/>
  </si>
  <si>
    <t>26716E3091</t>
    <phoneticPr fontId="3" type="noConversion"/>
  </si>
  <si>
    <t>26715E29J1</t>
    <phoneticPr fontId="3" type="noConversion"/>
  </si>
  <si>
    <t>4800320661/100</t>
    <phoneticPr fontId="3" type="noConversion"/>
  </si>
  <si>
    <t>E307</t>
    <phoneticPr fontId="3" type="noConversion"/>
  </si>
  <si>
    <t>E305</t>
    <phoneticPr fontId="3" type="noConversion"/>
  </si>
  <si>
    <t>26716E3071</t>
    <phoneticPr fontId="3" type="noConversion"/>
  </si>
  <si>
    <t>26716E3051</t>
    <phoneticPr fontId="3" type="noConversion"/>
  </si>
  <si>
    <t>E44</t>
    <phoneticPr fontId="3" type="noConversion"/>
  </si>
  <si>
    <t>26716E44J1</t>
    <phoneticPr fontId="3" type="noConversion"/>
  </si>
  <si>
    <t>E303</t>
    <phoneticPr fontId="3" type="noConversion"/>
  </si>
  <si>
    <t>E306</t>
    <phoneticPr fontId="3" type="noConversion"/>
  </si>
  <si>
    <t>E319</t>
    <phoneticPr fontId="3" type="noConversion"/>
  </si>
  <si>
    <t>E309</t>
    <phoneticPr fontId="3" type="noConversion"/>
  </si>
  <si>
    <t>E317</t>
    <phoneticPr fontId="3" type="noConversion"/>
  </si>
  <si>
    <t>26717E3191</t>
    <phoneticPr fontId="3" type="noConversion"/>
  </si>
  <si>
    <t>26717E3031</t>
    <phoneticPr fontId="3" type="noConversion"/>
  </si>
  <si>
    <t>4800320661/100</t>
    <phoneticPr fontId="3" type="noConversion"/>
  </si>
  <si>
    <t>4800378543/100</t>
    <phoneticPr fontId="3" type="noConversion"/>
  </si>
  <si>
    <t>26717E3061</t>
    <phoneticPr fontId="3" type="noConversion"/>
  </si>
  <si>
    <t>26717E3171</t>
    <phoneticPr fontId="3" type="noConversion"/>
  </si>
  <si>
    <t>26718E3091</t>
    <phoneticPr fontId="3" type="noConversion"/>
  </si>
  <si>
    <t>4800380026/200</t>
    <phoneticPr fontId="3" type="noConversion"/>
  </si>
  <si>
    <t>E318</t>
    <phoneticPr fontId="3" type="noConversion"/>
  </si>
  <si>
    <t>E302</t>
    <phoneticPr fontId="3" type="noConversion"/>
  </si>
  <si>
    <t>E29</t>
    <phoneticPr fontId="3" type="noConversion"/>
  </si>
  <si>
    <t>E305</t>
    <phoneticPr fontId="3" type="noConversion"/>
  </si>
  <si>
    <t>E44</t>
    <phoneticPr fontId="3" type="noConversion"/>
  </si>
  <si>
    <t>4800378543/100</t>
    <phoneticPr fontId="3" type="noConversion"/>
  </si>
  <si>
    <t>26718E29J1</t>
    <phoneticPr fontId="3" type="noConversion"/>
  </si>
  <si>
    <t>26718E3181</t>
    <phoneticPr fontId="3" type="noConversion"/>
  </si>
  <si>
    <t>26719E3051</t>
    <phoneticPr fontId="3" type="noConversion"/>
  </si>
  <si>
    <t>26718E3021</t>
    <phoneticPr fontId="3" type="noConversion"/>
  </si>
  <si>
    <t>26719E44J1</t>
    <phoneticPr fontId="3" type="noConversion"/>
  </si>
  <si>
    <t>E308</t>
    <phoneticPr fontId="3" type="noConversion"/>
  </si>
  <si>
    <t>E307</t>
    <phoneticPr fontId="3" type="noConversion"/>
  </si>
  <si>
    <t>E303</t>
    <phoneticPr fontId="3" type="noConversion"/>
  </si>
  <si>
    <t>E319</t>
    <phoneticPr fontId="3" type="noConversion"/>
  </si>
  <si>
    <t>4800320661/100</t>
    <phoneticPr fontId="3" type="noConversion"/>
  </si>
  <si>
    <t>26718E3071</t>
    <phoneticPr fontId="3" type="noConversion"/>
  </si>
  <si>
    <t>26719E3031</t>
    <phoneticPr fontId="3" type="noConversion"/>
  </si>
  <si>
    <t>26719E3191</t>
    <phoneticPr fontId="3" type="noConversion"/>
  </si>
  <si>
    <t>26719E3081</t>
    <phoneticPr fontId="3" type="noConversion"/>
  </si>
  <si>
    <t>追蹤</t>
  </si>
  <si>
    <t>追蹤</t>
    <phoneticPr fontId="3" type="noConversion"/>
  </si>
  <si>
    <t>E317</t>
    <phoneticPr fontId="3" type="noConversion"/>
  </si>
  <si>
    <t>26719E3171</t>
    <phoneticPr fontId="3" type="noConversion"/>
  </si>
  <si>
    <t>E306</t>
    <phoneticPr fontId="3" type="noConversion"/>
  </si>
  <si>
    <t>E309</t>
    <phoneticPr fontId="3" type="noConversion"/>
  </si>
  <si>
    <t>E302</t>
    <phoneticPr fontId="3" type="noConversion"/>
  </si>
  <si>
    <t>E29</t>
    <phoneticPr fontId="3" type="noConversion"/>
  </si>
  <si>
    <t>26720E29J1</t>
    <phoneticPr fontId="3" type="noConversion"/>
  </si>
  <si>
    <t>4800380026/200</t>
    <phoneticPr fontId="3" type="noConversion"/>
  </si>
  <si>
    <t>4800320661/100</t>
    <phoneticPr fontId="3" type="noConversion"/>
  </si>
  <si>
    <t>4800380026/200</t>
    <phoneticPr fontId="3" type="noConversion"/>
  </si>
  <si>
    <t>26720E3061</t>
    <phoneticPr fontId="3" type="noConversion"/>
  </si>
  <si>
    <t>26720E3091</t>
    <phoneticPr fontId="3" type="noConversion"/>
  </si>
  <si>
    <t>26720E3021</t>
    <phoneticPr fontId="3" type="noConversion"/>
  </si>
  <si>
    <t>E307</t>
    <phoneticPr fontId="3" type="noConversion"/>
  </si>
  <si>
    <t>E318</t>
    <phoneticPr fontId="3" type="noConversion"/>
  </si>
  <si>
    <t>E305</t>
    <phoneticPr fontId="3" type="noConversion"/>
  </si>
  <si>
    <t>26721E3181</t>
    <phoneticPr fontId="3" type="noConversion"/>
  </si>
  <si>
    <t>4800378543/100</t>
    <phoneticPr fontId="3" type="noConversion"/>
  </si>
  <si>
    <t>4800380026/200</t>
    <phoneticPr fontId="3" type="noConversion"/>
  </si>
  <si>
    <t>26721E3071</t>
    <phoneticPr fontId="3" type="noConversion"/>
  </si>
  <si>
    <t>26721E3051</t>
    <phoneticPr fontId="3" type="noConversion"/>
  </si>
  <si>
    <t>26722E3081</t>
    <phoneticPr fontId="3" type="noConversion"/>
  </si>
  <si>
    <t>E308</t>
    <phoneticPr fontId="3" type="noConversion"/>
  </si>
  <si>
    <t>E44</t>
    <phoneticPr fontId="3" type="noConversion"/>
  </si>
  <si>
    <t>26721E44J1</t>
    <phoneticPr fontId="3" type="noConversion"/>
  </si>
  <si>
    <t>4800380872/100</t>
    <phoneticPr fontId="3" type="noConversion"/>
  </si>
  <si>
    <t>E303</t>
    <phoneticPr fontId="3" type="noConversion"/>
  </si>
  <si>
    <t>E319</t>
    <phoneticPr fontId="3" type="noConversion"/>
  </si>
  <si>
    <t>E306</t>
    <phoneticPr fontId="3" type="noConversion"/>
  </si>
  <si>
    <t>E317</t>
    <phoneticPr fontId="3" type="noConversion"/>
  </si>
  <si>
    <t>26722E3031</t>
    <phoneticPr fontId="3" type="noConversion"/>
  </si>
  <si>
    <t>26722E3061</t>
    <phoneticPr fontId="3" type="noConversion"/>
  </si>
  <si>
    <t>26722E3191</t>
    <phoneticPr fontId="3" type="noConversion"/>
  </si>
  <si>
    <t>26722E3171</t>
    <phoneticPr fontId="3" type="noConversion"/>
  </si>
  <si>
    <t>4800320661/100</t>
    <phoneticPr fontId="3" type="noConversion"/>
  </si>
  <si>
    <t>E304</t>
    <phoneticPr fontId="3" type="noConversion"/>
  </si>
  <si>
    <t>26721E3041</t>
    <phoneticPr fontId="3" type="noConversion"/>
  </si>
  <si>
    <t>E302</t>
    <phoneticPr fontId="3" type="noConversion"/>
  </si>
  <si>
    <t>E309</t>
    <phoneticPr fontId="3" type="noConversion"/>
  </si>
  <si>
    <t>E307</t>
    <phoneticPr fontId="3" type="noConversion"/>
  </si>
  <si>
    <t>E29</t>
    <phoneticPr fontId="3" type="noConversion"/>
  </si>
  <si>
    <t>26723E3091</t>
    <phoneticPr fontId="3" type="noConversion"/>
  </si>
  <si>
    <t>26723E3071</t>
    <phoneticPr fontId="3" type="noConversion"/>
  </si>
  <si>
    <t>26723E3021</t>
    <phoneticPr fontId="3" type="noConversion"/>
  </si>
  <si>
    <t>4800380026/200</t>
    <phoneticPr fontId="3" type="noConversion"/>
  </si>
  <si>
    <t>4800380026/200</t>
    <phoneticPr fontId="3" type="noConversion"/>
  </si>
  <si>
    <t>26723E29J1</t>
    <phoneticPr fontId="3" type="noConversion"/>
  </si>
  <si>
    <t>E44</t>
    <phoneticPr fontId="3" type="noConversion"/>
  </si>
  <si>
    <t>E308</t>
    <phoneticPr fontId="3" type="noConversion"/>
  </si>
  <si>
    <t>26724E3081</t>
    <phoneticPr fontId="3" type="noConversion"/>
  </si>
  <si>
    <t>E318</t>
    <phoneticPr fontId="3" type="noConversion"/>
  </si>
  <si>
    <t>E305</t>
    <phoneticPr fontId="3" type="noConversion"/>
  </si>
  <si>
    <t>26724E3181</t>
    <phoneticPr fontId="3" type="noConversion"/>
  </si>
  <si>
    <t>4800320661/100</t>
    <phoneticPr fontId="3" type="noConversion"/>
  </si>
  <si>
    <t>26724E3051</t>
    <phoneticPr fontId="3" type="noConversion"/>
  </si>
  <si>
    <t>4800378543/100</t>
    <phoneticPr fontId="3" type="noConversion"/>
  </si>
  <si>
    <t>26724E44J1</t>
    <phoneticPr fontId="3" type="noConversion"/>
  </si>
  <si>
    <t>E319</t>
    <phoneticPr fontId="3" type="noConversion"/>
  </si>
  <si>
    <t>E303</t>
    <phoneticPr fontId="3" type="noConversion"/>
  </si>
  <si>
    <t>E306</t>
    <phoneticPr fontId="3" type="noConversion"/>
  </si>
  <si>
    <t>E302</t>
    <phoneticPr fontId="3" type="noConversion"/>
  </si>
  <si>
    <t>E317</t>
    <phoneticPr fontId="3" type="noConversion"/>
  </si>
  <si>
    <t>4800380026/200</t>
    <phoneticPr fontId="3" type="noConversion"/>
  </si>
  <si>
    <t>26725E3171</t>
    <phoneticPr fontId="3" type="noConversion"/>
  </si>
  <si>
    <t>26725E3061</t>
    <phoneticPr fontId="3" type="noConversion"/>
  </si>
  <si>
    <t>26726E3021</t>
    <phoneticPr fontId="3" type="noConversion"/>
  </si>
  <si>
    <t>26724E3191</t>
    <phoneticPr fontId="3" type="noConversion"/>
  </si>
  <si>
    <t>26725E3031</t>
    <phoneticPr fontId="3" type="noConversion"/>
  </si>
  <si>
    <t>E307</t>
    <phoneticPr fontId="3" type="noConversion"/>
  </si>
  <si>
    <t>E309</t>
    <phoneticPr fontId="3" type="noConversion"/>
  </si>
  <si>
    <t>26726E3091</t>
    <phoneticPr fontId="3" type="noConversion"/>
  </si>
  <si>
    <t>E29</t>
    <phoneticPr fontId="3" type="noConversion"/>
  </si>
  <si>
    <t>26726E29J1</t>
    <phoneticPr fontId="3" type="noConversion"/>
  </si>
  <si>
    <t>E44</t>
    <phoneticPr fontId="3" type="noConversion"/>
  </si>
  <si>
    <t>26725E3071</t>
    <phoneticPr fontId="3" type="noConversion"/>
  </si>
  <si>
    <t>26726E44J1</t>
    <phoneticPr fontId="3" type="noConversion"/>
  </si>
  <si>
    <t>E318</t>
    <phoneticPr fontId="3" type="noConversion"/>
  </si>
  <si>
    <t>E308</t>
    <phoneticPr fontId="3" type="noConversion"/>
  </si>
  <si>
    <t>26727E3181</t>
    <phoneticPr fontId="3" type="noConversion"/>
  </si>
  <si>
    <t>4800380026/200</t>
    <phoneticPr fontId="3" type="noConversion"/>
  </si>
  <si>
    <t>26727E3081</t>
    <phoneticPr fontId="3" type="noConversion"/>
  </si>
  <si>
    <t>E305</t>
    <phoneticPr fontId="3" type="noConversion"/>
  </si>
  <si>
    <t>E319</t>
    <phoneticPr fontId="3" type="noConversion"/>
  </si>
  <si>
    <t>26727E3191</t>
    <phoneticPr fontId="3" type="noConversion"/>
  </si>
  <si>
    <t>26727E3051</t>
    <phoneticPr fontId="3" type="noConversion"/>
  </si>
  <si>
    <t>E306</t>
    <phoneticPr fontId="3" type="noConversion"/>
  </si>
  <si>
    <t>E304</t>
    <phoneticPr fontId="3" type="noConversion"/>
  </si>
  <si>
    <t>26728E3061</t>
    <phoneticPr fontId="3" type="noConversion"/>
  </si>
  <si>
    <t>26727E3041</t>
    <phoneticPr fontId="3" type="noConversion"/>
  </si>
  <si>
    <t>E317</t>
    <phoneticPr fontId="3" type="noConversion"/>
  </si>
  <si>
    <t>E303</t>
    <phoneticPr fontId="3" type="noConversion"/>
  </si>
  <si>
    <t>E307</t>
    <phoneticPr fontId="3" type="noConversion"/>
  </si>
  <si>
    <t>E302</t>
    <phoneticPr fontId="3" type="noConversion"/>
  </si>
  <si>
    <t>4800320661/100</t>
    <phoneticPr fontId="3" type="noConversion"/>
  </si>
  <si>
    <t>26728E3021</t>
    <phoneticPr fontId="3" type="noConversion"/>
  </si>
  <si>
    <t>26728E3071</t>
    <phoneticPr fontId="3" type="noConversion"/>
  </si>
  <si>
    <t>26728E3171</t>
    <phoneticPr fontId="3" type="noConversion"/>
  </si>
  <si>
    <t>26728E3031</t>
    <phoneticPr fontId="3" type="noConversion"/>
  </si>
  <si>
    <t>E44</t>
    <phoneticPr fontId="3" type="noConversion"/>
  </si>
  <si>
    <t>26729E44J1</t>
    <phoneticPr fontId="3" type="noConversion"/>
  </si>
  <si>
    <t>E29</t>
    <phoneticPr fontId="3" type="noConversion"/>
  </si>
  <si>
    <t>E318</t>
    <phoneticPr fontId="3" type="noConversion"/>
  </si>
  <si>
    <t>E309</t>
    <phoneticPr fontId="3" type="noConversion"/>
  </si>
  <si>
    <t>26729E3091</t>
    <phoneticPr fontId="3" type="noConversion"/>
  </si>
  <si>
    <t>26729E3181</t>
    <phoneticPr fontId="3" type="noConversion"/>
  </si>
  <si>
    <t>26729E29J1</t>
    <phoneticPr fontId="3" type="noConversion"/>
  </si>
  <si>
    <t>E319</t>
    <phoneticPr fontId="3" type="noConversion"/>
  </si>
  <si>
    <t>E308</t>
    <phoneticPr fontId="3" type="noConversion"/>
  </si>
  <si>
    <t>26730E3081</t>
    <phoneticPr fontId="3" type="noConversion"/>
  </si>
  <si>
    <t>E305</t>
    <phoneticPr fontId="3" type="noConversion"/>
  </si>
  <si>
    <t>E304</t>
    <phoneticPr fontId="3" type="noConversion"/>
  </si>
  <si>
    <t>E306</t>
    <phoneticPr fontId="3" type="noConversion"/>
  </si>
  <si>
    <t>26730E3191</t>
    <phoneticPr fontId="3" type="noConversion"/>
  </si>
  <si>
    <t>26729E3051</t>
    <phoneticPr fontId="3" type="noConversion"/>
  </si>
  <si>
    <t>26730E3041</t>
    <phoneticPr fontId="3" type="noConversion"/>
  </si>
  <si>
    <t>26730E3061</t>
    <phoneticPr fontId="3" type="noConversion"/>
  </si>
  <si>
    <t>E317</t>
    <phoneticPr fontId="3" type="noConversion"/>
  </si>
  <si>
    <t>E303</t>
    <phoneticPr fontId="3" type="noConversion"/>
  </si>
  <si>
    <t>E307</t>
    <phoneticPr fontId="3" type="noConversion"/>
  </si>
  <si>
    <t>26731E3031</t>
    <phoneticPr fontId="3" type="noConversion"/>
  </si>
  <si>
    <t>4800380026/200</t>
    <phoneticPr fontId="3" type="noConversion"/>
  </si>
  <si>
    <t>4800380026/200</t>
    <phoneticPr fontId="3" type="noConversion"/>
  </si>
  <si>
    <t>26730E3171</t>
    <phoneticPr fontId="3" type="noConversion"/>
  </si>
  <si>
    <t>26731E3071</t>
    <phoneticPr fontId="3" type="noConversion"/>
  </si>
  <si>
    <t>E29</t>
    <phoneticPr fontId="3" type="noConversion"/>
  </si>
  <si>
    <t>E44</t>
    <phoneticPr fontId="3" type="noConversion"/>
  </si>
  <si>
    <t>E302</t>
    <phoneticPr fontId="3" type="noConversion"/>
  </si>
  <si>
    <t>E305</t>
    <phoneticPr fontId="3" type="noConversion"/>
  </si>
  <si>
    <t>26801E3181</t>
    <phoneticPr fontId="3" type="noConversion"/>
  </si>
  <si>
    <t>E318</t>
    <phoneticPr fontId="3" type="noConversion"/>
  </si>
  <si>
    <t>26731E29J1</t>
    <phoneticPr fontId="3" type="noConversion"/>
  </si>
  <si>
    <t>4800380026/200</t>
    <phoneticPr fontId="3" type="noConversion"/>
  </si>
  <si>
    <t>4800378543/100</t>
    <phoneticPr fontId="3" type="noConversion"/>
  </si>
  <si>
    <t>26731E44J1</t>
    <phoneticPr fontId="3" type="noConversion"/>
  </si>
  <si>
    <t>26801E3051</t>
    <phoneticPr fontId="3" type="noConversion"/>
  </si>
  <si>
    <t>26731E3021</t>
    <phoneticPr fontId="3" type="noConversion"/>
  </si>
  <si>
    <t>E303</t>
    <phoneticPr fontId="3" type="noConversion"/>
  </si>
  <si>
    <t>E304</t>
    <phoneticPr fontId="3" type="noConversion"/>
  </si>
  <si>
    <t>E319</t>
    <phoneticPr fontId="3" type="noConversion"/>
  </si>
  <si>
    <t>E308</t>
    <phoneticPr fontId="3" type="noConversion"/>
  </si>
  <si>
    <t>E306</t>
    <phoneticPr fontId="3" type="noConversion"/>
  </si>
  <si>
    <t>E309</t>
    <phoneticPr fontId="3" type="noConversion"/>
  </si>
  <si>
    <t>26802E3061</t>
    <phoneticPr fontId="3" type="noConversion"/>
  </si>
  <si>
    <t>26802E3091</t>
    <phoneticPr fontId="3" type="noConversion"/>
  </si>
  <si>
    <t>26802E3031</t>
    <phoneticPr fontId="3" type="noConversion"/>
  </si>
  <si>
    <t>4800320661/100</t>
    <phoneticPr fontId="3" type="noConversion"/>
  </si>
  <si>
    <t>26802E3041</t>
    <phoneticPr fontId="3" type="noConversion"/>
  </si>
  <si>
    <t>4800378543/100</t>
    <phoneticPr fontId="3" type="noConversion"/>
  </si>
  <si>
    <t>26803E3191</t>
    <phoneticPr fontId="3" type="noConversion"/>
  </si>
  <si>
    <t>26802E3081</t>
    <phoneticPr fontId="3" type="noConversion"/>
  </si>
  <si>
    <t>4800384805/200</t>
    <phoneticPr fontId="3" type="noConversion"/>
  </si>
  <si>
    <t>4800384805/400</t>
    <phoneticPr fontId="3" type="noConversion"/>
  </si>
  <si>
    <t>4800384805/300</t>
    <phoneticPr fontId="3" type="noConversion"/>
  </si>
  <si>
    <t>15P6</t>
    <phoneticPr fontId="3" type="noConversion"/>
  </si>
  <si>
    <t>26803E3071</t>
    <phoneticPr fontId="3" type="noConversion"/>
  </si>
  <si>
    <t>4800384805/400</t>
    <phoneticPr fontId="3" type="noConversion"/>
  </si>
  <si>
    <t>26803E3171</t>
    <phoneticPr fontId="3" type="noConversion"/>
  </si>
  <si>
    <t>26803E29J1</t>
    <phoneticPr fontId="3" type="noConversion"/>
  </si>
  <si>
    <t>E305</t>
    <phoneticPr fontId="3" type="noConversion"/>
  </si>
  <si>
    <t>E44</t>
    <phoneticPr fontId="3" type="noConversion"/>
  </si>
  <si>
    <t>E302</t>
    <phoneticPr fontId="3" type="noConversion"/>
  </si>
  <si>
    <t>E318</t>
    <phoneticPr fontId="3" type="noConversion"/>
  </si>
  <si>
    <t>E303</t>
    <phoneticPr fontId="3" type="noConversion"/>
  </si>
  <si>
    <t>26804E3051</t>
    <phoneticPr fontId="3" type="noConversion"/>
  </si>
  <si>
    <t>26804E3031</t>
    <phoneticPr fontId="3" type="noConversion"/>
  </si>
  <si>
    <t>4800384805/300</t>
    <phoneticPr fontId="3" type="noConversion"/>
  </si>
  <si>
    <t>4800384805/300</t>
    <phoneticPr fontId="3" type="noConversion"/>
  </si>
  <si>
    <t>26804E44J1</t>
    <phoneticPr fontId="3" type="noConversion"/>
  </si>
  <si>
    <t>26804E3021</t>
    <phoneticPr fontId="3" type="noConversion"/>
  </si>
  <si>
    <t>26804E3181</t>
    <phoneticPr fontId="3" type="noConversion"/>
  </si>
  <si>
    <t>E304</t>
    <phoneticPr fontId="3" type="noConversion"/>
  </si>
  <si>
    <t>E306</t>
    <phoneticPr fontId="3" type="noConversion"/>
  </si>
  <si>
    <t>E309</t>
    <phoneticPr fontId="3" type="noConversion"/>
  </si>
  <si>
    <t>26805E3041</t>
    <phoneticPr fontId="3" type="noConversion"/>
  </si>
  <si>
    <t>26805E3061</t>
    <phoneticPr fontId="3" type="noConversion"/>
  </si>
  <si>
    <t>26805E3091</t>
    <phoneticPr fontId="3" type="noConversion"/>
  </si>
  <si>
    <t>4800384805/400</t>
    <phoneticPr fontId="3" type="noConversion"/>
  </si>
  <si>
    <t>E302</t>
    <phoneticPr fontId="3" type="noConversion"/>
  </si>
  <si>
    <t>E317</t>
    <phoneticPr fontId="3" type="noConversion"/>
  </si>
  <si>
    <t>E319</t>
    <phoneticPr fontId="3" type="noConversion"/>
  </si>
  <si>
    <t>E29</t>
    <phoneticPr fontId="3" type="noConversion"/>
  </si>
  <si>
    <t>E307</t>
    <phoneticPr fontId="3" type="noConversion"/>
  </si>
  <si>
    <t>26805E3171</t>
    <phoneticPr fontId="3" type="noConversion"/>
  </si>
  <si>
    <t>26806E3021</t>
    <phoneticPr fontId="3" type="noConversion"/>
  </si>
  <si>
    <t>26805E3191</t>
    <phoneticPr fontId="3" type="noConversion"/>
  </si>
  <si>
    <t>4800384805/400</t>
    <phoneticPr fontId="3" type="noConversion"/>
  </si>
  <si>
    <t>26806E3071</t>
    <phoneticPr fontId="3" type="noConversion"/>
  </si>
  <si>
    <t>26806E29J1</t>
    <phoneticPr fontId="3" type="noConversion"/>
  </si>
  <si>
    <t>4800384805/300</t>
    <phoneticPr fontId="3" type="noConversion"/>
  </si>
  <si>
    <t>E303</t>
    <phoneticPr fontId="3" type="noConversion"/>
  </si>
  <si>
    <t>E318</t>
    <phoneticPr fontId="3" type="noConversion"/>
  </si>
  <si>
    <t>E44</t>
    <phoneticPr fontId="3" type="noConversion"/>
  </si>
  <si>
    <t>4800384805/300</t>
    <phoneticPr fontId="3" type="noConversion"/>
  </si>
  <si>
    <t>E305</t>
    <phoneticPr fontId="3" type="noConversion"/>
  </si>
  <si>
    <t>26807E44J1</t>
    <phoneticPr fontId="3" type="noConversion"/>
  </si>
  <si>
    <t>E308</t>
    <phoneticPr fontId="3" type="noConversion"/>
  </si>
  <si>
    <t>26807E3051</t>
    <phoneticPr fontId="3" type="noConversion"/>
  </si>
  <si>
    <t>26807E3031</t>
    <phoneticPr fontId="3" type="noConversion"/>
  </si>
  <si>
    <t>26807E3181</t>
    <phoneticPr fontId="3" type="noConversion"/>
  </si>
  <si>
    <t>26804E3081</t>
    <phoneticPr fontId="3" type="noConversion"/>
  </si>
  <si>
    <t>E302</t>
    <phoneticPr fontId="3" type="noConversion"/>
  </si>
  <si>
    <t>E317</t>
    <phoneticPr fontId="3" type="noConversion"/>
  </si>
  <si>
    <t>26808E3021</t>
    <phoneticPr fontId="3" type="noConversion"/>
  </si>
  <si>
    <t>4800384805/300</t>
    <phoneticPr fontId="3" type="noConversion"/>
  </si>
  <si>
    <t>E306</t>
    <phoneticPr fontId="3" type="noConversion"/>
  </si>
  <si>
    <t>E309</t>
    <phoneticPr fontId="3" type="noConversion"/>
  </si>
  <si>
    <t>26807E3061</t>
    <phoneticPr fontId="3" type="noConversion"/>
  </si>
  <si>
    <t>4800384805/400</t>
    <phoneticPr fontId="3" type="noConversion"/>
  </si>
  <si>
    <t>26808E3041</t>
    <phoneticPr fontId="3" type="noConversion"/>
  </si>
  <si>
    <t>26808E3091</t>
    <phoneticPr fontId="3" type="noConversion"/>
  </si>
  <si>
    <t>26808E3171</t>
    <phoneticPr fontId="3" type="noConversion"/>
  </si>
  <si>
    <t>E29</t>
    <phoneticPr fontId="3" type="noConversion"/>
  </si>
  <si>
    <t>E319</t>
    <phoneticPr fontId="3" type="noConversion"/>
  </si>
  <si>
    <t>26809E29J1</t>
    <phoneticPr fontId="3" type="noConversion"/>
  </si>
  <si>
    <t>E308</t>
    <phoneticPr fontId="3" type="noConversion"/>
  </si>
  <si>
    <t>E307</t>
    <phoneticPr fontId="3" type="noConversion"/>
  </si>
  <si>
    <t>26809E3071</t>
    <phoneticPr fontId="3" type="noConversion"/>
  </si>
  <si>
    <t>4800378543/100</t>
    <phoneticPr fontId="3" type="noConversion"/>
  </si>
  <si>
    <t>26810E3081</t>
    <phoneticPr fontId="3" type="noConversion"/>
  </si>
  <si>
    <t>26809E3191</t>
    <phoneticPr fontId="3" type="noConversion"/>
  </si>
  <si>
    <t>E303</t>
    <phoneticPr fontId="3" type="noConversion"/>
  </si>
  <si>
    <t>E305</t>
    <phoneticPr fontId="3" type="noConversion"/>
  </si>
  <si>
    <t>26809E3031</t>
    <phoneticPr fontId="3" type="noConversion"/>
  </si>
  <si>
    <t>26810E3051</t>
    <phoneticPr fontId="3" type="noConversion"/>
  </si>
  <si>
    <t>E318</t>
    <phoneticPr fontId="3" type="noConversion"/>
  </si>
  <si>
    <t>E44</t>
    <phoneticPr fontId="3" type="noConversion"/>
  </si>
  <si>
    <t>26810E3181</t>
    <phoneticPr fontId="3" type="noConversion"/>
  </si>
  <si>
    <t>4800384805/300</t>
    <phoneticPr fontId="3" type="noConversion"/>
  </si>
  <si>
    <t>26810E44J1</t>
    <phoneticPr fontId="3" type="noConversion"/>
  </si>
  <si>
    <t>E302</t>
    <phoneticPr fontId="3" type="noConversion"/>
  </si>
  <si>
    <t>26810E3021</t>
    <phoneticPr fontId="3" type="noConversion"/>
  </si>
  <si>
    <t>E306</t>
    <phoneticPr fontId="3" type="noConversion"/>
  </si>
  <si>
    <t>26810E3061</t>
    <phoneticPr fontId="3" type="noConversion"/>
  </si>
  <si>
    <t>E317</t>
    <phoneticPr fontId="3" type="noConversion"/>
  </si>
  <si>
    <t>E304</t>
    <phoneticPr fontId="3" type="noConversion"/>
  </si>
  <si>
    <t>26811E3171</t>
    <phoneticPr fontId="3" type="noConversion"/>
  </si>
  <si>
    <t>26811E3041</t>
    <phoneticPr fontId="3" type="noConversion"/>
  </si>
  <si>
    <t>E309</t>
    <phoneticPr fontId="3" type="noConversion"/>
  </si>
  <si>
    <t>26811E3091</t>
    <phoneticPr fontId="3" type="noConversion"/>
  </si>
  <si>
    <t>E319</t>
    <phoneticPr fontId="3" type="noConversion"/>
  </si>
  <si>
    <t>E307</t>
    <phoneticPr fontId="3" type="noConversion"/>
  </si>
  <si>
    <t>E29</t>
    <phoneticPr fontId="3" type="noConversion"/>
  </si>
  <si>
    <t>E308</t>
    <phoneticPr fontId="3" type="noConversion"/>
  </si>
  <si>
    <t>26811E3071</t>
    <phoneticPr fontId="3" type="noConversion"/>
  </si>
  <si>
    <t>26812E3081</t>
    <phoneticPr fontId="3" type="noConversion"/>
  </si>
  <si>
    <t>26811E3191</t>
    <phoneticPr fontId="3" type="noConversion"/>
  </si>
  <si>
    <t>4800384805/400</t>
    <phoneticPr fontId="3" type="noConversion"/>
  </si>
  <si>
    <t>4800384805/300</t>
    <phoneticPr fontId="3" type="noConversion"/>
  </si>
  <si>
    <t>26812E29J1</t>
    <phoneticPr fontId="3" type="noConversion"/>
  </si>
  <si>
    <t>E303</t>
    <phoneticPr fontId="3" type="noConversion"/>
  </si>
  <si>
    <t>26812E3031</t>
    <phoneticPr fontId="3" type="noConversion"/>
  </si>
  <si>
    <t>E318</t>
    <phoneticPr fontId="3" type="noConversion"/>
  </si>
  <si>
    <t>E44</t>
    <phoneticPr fontId="3" type="noConversion"/>
  </si>
  <si>
    <t>E305</t>
    <phoneticPr fontId="3" type="noConversion"/>
  </si>
  <si>
    <t>E302</t>
    <phoneticPr fontId="3" type="noConversion"/>
  </si>
  <si>
    <t>E317</t>
    <phoneticPr fontId="3" type="noConversion"/>
  </si>
  <si>
    <t>26813E44J1</t>
    <phoneticPr fontId="3" type="noConversion"/>
  </si>
  <si>
    <t>4800384805/400</t>
    <phoneticPr fontId="3" type="noConversion"/>
  </si>
  <si>
    <t>4800384805/300</t>
    <phoneticPr fontId="3" type="noConversion"/>
  </si>
  <si>
    <t>4800384805/300</t>
    <phoneticPr fontId="3" type="noConversion"/>
  </si>
  <si>
    <t>26813E3171</t>
    <phoneticPr fontId="3" type="noConversion"/>
  </si>
  <si>
    <t>26812E3181</t>
    <phoneticPr fontId="3" type="noConversion"/>
  </si>
  <si>
    <t>26813E3051</t>
    <phoneticPr fontId="3" type="noConversion"/>
  </si>
  <si>
    <t>26813E3021</t>
    <phoneticPr fontId="3" type="noConversion"/>
  </si>
  <si>
    <t>E304</t>
    <phoneticPr fontId="3" type="noConversion"/>
  </si>
  <si>
    <t>E306</t>
    <phoneticPr fontId="3" type="noConversion"/>
  </si>
  <si>
    <t>E309</t>
    <phoneticPr fontId="3" type="noConversion"/>
  </si>
  <si>
    <t>E29</t>
    <phoneticPr fontId="3" type="noConversion"/>
  </si>
  <si>
    <t>E319</t>
    <phoneticPr fontId="3" type="noConversion"/>
  </si>
  <si>
    <t>26814E3091</t>
    <phoneticPr fontId="3" type="noConversion"/>
  </si>
  <si>
    <t>26814E3061</t>
    <phoneticPr fontId="3" type="noConversion"/>
  </si>
  <si>
    <t>26814E3191</t>
    <phoneticPr fontId="3" type="noConversion"/>
  </si>
  <si>
    <t>4800384805/400</t>
    <phoneticPr fontId="3" type="noConversion"/>
  </si>
  <si>
    <t>4800384805/300</t>
    <phoneticPr fontId="3" type="noConversion"/>
  </si>
  <si>
    <t>26814E3041</t>
    <phoneticPr fontId="3" type="noConversion"/>
  </si>
  <si>
    <t>26814E29J1</t>
    <phoneticPr fontId="3" type="noConversion"/>
  </si>
  <si>
    <t>E307</t>
    <phoneticPr fontId="3" type="noConversion"/>
  </si>
  <si>
    <t>E308</t>
    <phoneticPr fontId="3" type="noConversion"/>
  </si>
  <si>
    <t>E305</t>
    <phoneticPr fontId="3" type="noConversion"/>
  </si>
  <si>
    <t>E317</t>
    <phoneticPr fontId="3" type="noConversion"/>
  </si>
  <si>
    <t>26815E3051</t>
    <phoneticPr fontId="3" type="noConversion"/>
  </si>
  <si>
    <t>4800384805/400</t>
    <phoneticPr fontId="3" type="noConversion"/>
  </si>
  <si>
    <t>4800384805/300</t>
    <phoneticPr fontId="3" type="noConversion"/>
  </si>
  <si>
    <t>4800384805/300</t>
    <phoneticPr fontId="3" type="noConversion"/>
  </si>
  <si>
    <t>26815E3071</t>
    <phoneticPr fontId="3" type="noConversion"/>
  </si>
  <si>
    <t>26815E3081</t>
    <phoneticPr fontId="3" type="noConversion"/>
  </si>
  <si>
    <t>26815E3171</t>
    <phoneticPr fontId="3" type="noConversion"/>
  </si>
  <si>
    <t>E318</t>
    <phoneticPr fontId="3" type="noConversion"/>
  </si>
  <si>
    <t>E302</t>
    <phoneticPr fontId="3" type="noConversion"/>
  </si>
  <si>
    <t>E44</t>
    <phoneticPr fontId="3" type="noConversion"/>
  </si>
  <si>
    <t>E309</t>
    <phoneticPr fontId="3" type="noConversion"/>
  </si>
  <si>
    <t>E304</t>
    <phoneticPr fontId="3" type="noConversion"/>
  </si>
  <si>
    <t>26816E3181</t>
    <phoneticPr fontId="3" type="noConversion"/>
  </si>
  <si>
    <t>26816E3021</t>
    <phoneticPr fontId="3" type="noConversion"/>
  </si>
  <si>
    <t>4800378543/100</t>
    <phoneticPr fontId="3" type="noConversion"/>
  </si>
  <si>
    <t>4800384805/300</t>
    <phoneticPr fontId="3" type="noConversion"/>
  </si>
  <si>
    <t>4800384805/300</t>
    <phoneticPr fontId="3" type="noConversion"/>
  </si>
  <si>
    <t>26817E3041</t>
    <phoneticPr fontId="3" type="noConversion"/>
  </si>
  <si>
    <t>26816E44J1</t>
    <phoneticPr fontId="3" type="noConversion"/>
  </si>
  <si>
    <t>26816E3091</t>
    <phoneticPr fontId="3" type="noConversion"/>
  </si>
  <si>
    <t>E303</t>
    <phoneticPr fontId="3" type="noConversion"/>
  </si>
  <si>
    <t>E306</t>
    <phoneticPr fontId="3" type="noConversion"/>
  </si>
  <si>
    <t>E319</t>
    <phoneticPr fontId="3" type="noConversion"/>
  </si>
  <si>
    <t>E29</t>
    <phoneticPr fontId="3" type="noConversion"/>
  </si>
  <si>
    <t>E305</t>
    <phoneticPr fontId="3" type="noConversion"/>
  </si>
  <si>
    <t>26816E3031</t>
    <phoneticPr fontId="3" type="noConversion"/>
  </si>
  <si>
    <t>26817E3061</t>
    <phoneticPr fontId="3" type="noConversion"/>
  </si>
  <si>
    <t>26817E3051</t>
    <phoneticPr fontId="3" type="noConversion"/>
  </si>
  <si>
    <t>4800378543/100</t>
    <phoneticPr fontId="3" type="noConversion"/>
  </si>
  <si>
    <t>26817E3191</t>
    <phoneticPr fontId="3" type="noConversion"/>
  </si>
  <si>
    <t>26817E29J1</t>
    <phoneticPr fontId="3" type="noConversion"/>
  </si>
  <si>
    <t>E307</t>
    <phoneticPr fontId="3" type="noConversion"/>
  </si>
  <si>
    <t>E309</t>
    <phoneticPr fontId="3" type="noConversion"/>
  </si>
  <si>
    <t>E308</t>
    <phoneticPr fontId="3" type="noConversion"/>
  </si>
  <si>
    <t>E317</t>
    <phoneticPr fontId="3" type="noConversion"/>
  </si>
  <si>
    <t>E302</t>
    <phoneticPr fontId="3" type="noConversion"/>
  </si>
  <si>
    <t>4800384805/100</t>
    <phoneticPr fontId="3" type="noConversion"/>
  </si>
  <si>
    <t>26818E3081</t>
    <phoneticPr fontId="3" type="noConversion"/>
  </si>
  <si>
    <t>26818E3171</t>
    <phoneticPr fontId="3" type="noConversion"/>
  </si>
  <si>
    <t>26818E3071</t>
    <phoneticPr fontId="3" type="noConversion"/>
  </si>
  <si>
    <t>26818E3021</t>
    <phoneticPr fontId="3" type="noConversion"/>
  </si>
  <si>
    <t>4800384805/400</t>
    <phoneticPr fontId="3" type="noConversion"/>
  </si>
  <si>
    <t>4800384805/300</t>
    <phoneticPr fontId="3" type="noConversion"/>
  </si>
  <si>
    <t>4800384805/300</t>
    <phoneticPr fontId="3" type="noConversion"/>
  </si>
  <si>
    <t>4800376978/100</t>
    <phoneticPr fontId="3" type="noConversion"/>
  </si>
  <si>
    <t>26819E3091</t>
    <phoneticPr fontId="3" type="noConversion"/>
  </si>
  <si>
    <t>E318</t>
    <phoneticPr fontId="3" type="noConversion"/>
  </si>
  <si>
    <t>E44</t>
    <phoneticPr fontId="3" type="noConversion"/>
  </si>
  <si>
    <t>E304</t>
    <phoneticPr fontId="3" type="noConversion"/>
  </si>
  <si>
    <t>E319</t>
    <phoneticPr fontId="3" type="noConversion"/>
  </si>
  <si>
    <t>E306</t>
    <phoneticPr fontId="3" type="noConversion"/>
  </si>
  <si>
    <t>26819E3181</t>
    <phoneticPr fontId="3" type="noConversion"/>
  </si>
  <si>
    <t>26819E44J1</t>
    <phoneticPr fontId="3" type="noConversion"/>
  </si>
  <si>
    <t>26819E3191</t>
    <phoneticPr fontId="3" type="noConversion"/>
  </si>
  <si>
    <t>4800384805/400</t>
    <phoneticPr fontId="3" type="noConversion"/>
  </si>
  <si>
    <t>26819E3041</t>
    <phoneticPr fontId="3" type="noConversion"/>
  </si>
  <si>
    <t>26820E3061</t>
    <phoneticPr fontId="3" type="noConversion"/>
  </si>
  <si>
    <t>4800384805/300</t>
    <phoneticPr fontId="3" type="noConversion"/>
  </si>
  <si>
    <t>E305</t>
    <phoneticPr fontId="3" type="noConversion"/>
  </si>
  <si>
    <t>E29</t>
    <phoneticPr fontId="3" type="noConversion"/>
  </si>
  <si>
    <t>E308</t>
    <phoneticPr fontId="3" type="noConversion"/>
  </si>
  <si>
    <t>26820E3051</t>
    <phoneticPr fontId="3" type="noConversion"/>
  </si>
  <si>
    <t>26820E3081</t>
    <phoneticPr fontId="3" type="noConversion"/>
  </si>
  <si>
    <t>E307</t>
    <phoneticPr fontId="3" type="noConversion"/>
  </si>
  <si>
    <t>4800384640/100</t>
    <phoneticPr fontId="3" type="noConversion"/>
  </si>
  <si>
    <t>26820E3071</t>
    <phoneticPr fontId="3" type="noConversion"/>
  </si>
  <si>
    <t>26820E29J1</t>
    <phoneticPr fontId="3" type="noConversion"/>
  </si>
  <si>
    <t>E303</t>
    <phoneticPr fontId="3" type="noConversion"/>
  </si>
  <si>
    <t>E317</t>
    <phoneticPr fontId="3" type="noConversion"/>
  </si>
  <si>
    <t>E309</t>
    <phoneticPr fontId="3" type="noConversion"/>
  </si>
  <si>
    <t>E302</t>
    <phoneticPr fontId="3" type="noConversion"/>
  </si>
  <si>
    <t>4800384805/400</t>
    <phoneticPr fontId="3" type="noConversion"/>
  </si>
  <si>
    <t>4800384805/300</t>
    <phoneticPr fontId="3" type="noConversion"/>
  </si>
  <si>
    <t>E318</t>
    <phoneticPr fontId="3" type="noConversion"/>
  </si>
  <si>
    <t>26821E3181</t>
    <phoneticPr fontId="3" type="noConversion"/>
  </si>
  <si>
    <t>26821E3031</t>
    <phoneticPr fontId="3" type="noConversion"/>
  </si>
  <si>
    <t>26821E3171</t>
    <phoneticPr fontId="3" type="noConversion"/>
  </si>
  <si>
    <t>26821E3091</t>
    <phoneticPr fontId="3" type="noConversion"/>
  </si>
  <si>
    <t>26821E3021</t>
    <phoneticPr fontId="3" type="noConversion"/>
  </si>
  <si>
    <t>E44</t>
    <phoneticPr fontId="3" type="noConversion"/>
  </si>
  <si>
    <t>E319</t>
    <phoneticPr fontId="3" type="noConversion"/>
  </si>
  <si>
    <t>E307</t>
    <phoneticPr fontId="3" type="noConversion"/>
  </si>
  <si>
    <t>E306</t>
    <phoneticPr fontId="3" type="noConversion"/>
  </si>
  <si>
    <t>26822E3071</t>
    <phoneticPr fontId="3" type="noConversion"/>
  </si>
  <si>
    <t>26822E44J1</t>
    <phoneticPr fontId="3" type="noConversion"/>
  </si>
  <si>
    <t>26822E3191</t>
    <phoneticPr fontId="3" type="noConversion"/>
  </si>
  <si>
    <t>4800384805/300</t>
    <phoneticPr fontId="3" type="noConversion"/>
  </si>
  <si>
    <t>4800384805/300</t>
    <phoneticPr fontId="3" type="noConversion"/>
  </si>
  <si>
    <t>26822E3061</t>
    <phoneticPr fontId="3" type="noConversion"/>
  </si>
  <si>
    <t>E29</t>
    <phoneticPr fontId="3" type="noConversion"/>
  </si>
  <si>
    <t>E305</t>
    <phoneticPr fontId="3" type="noConversion"/>
  </si>
  <si>
    <t>26823E29J1</t>
    <phoneticPr fontId="3" type="noConversion"/>
  </si>
  <si>
    <t>26823E3051</t>
    <phoneticPr fontId="3" type="noConversion"/>
  </si>
  <si>
    <t>4800384805/300</t>
    <phoneticPr fontId="3" type="noConversion"/>
  </si>
  <si>
    <t>4800384805/400</t>
    <phoneticPr fontId="3" type="noConversion"/>
  </si>
  <si>
    <t>E308</t>
    <phoneticPr fontId="3" type="noConversion"/>
  </si>
  <si>
    <t>4800384805/200</t>
    <phoneticPr fontId="3" type="noConversion"/>
  </si>
  <si>
    <t>26823E3081</t>
    <phoneticPr fontId="3" type="noConversion"/>
  </si>
  <si>
    <t>E303</t>
    <phoneticPr fontId="3" type="noConversion"/>
  </si>
  <si>
    <t>E309</t>
    <phoneticPr fontId="3" type="noConversion"/>
  </si>
  <si>
    <t>E302</t>
    <phoneticPr fontId="3" type="noConversion"/>
  </si>
  <si>
    <t>26824E3021</t>
    <phoneticPr fontId="3" type="noConversion"/>
  </si>
  <si>
    <t>26824E3091</t>
    <phoneticPr fontId="3" type="noConversion"/>
  </si>
  <si>
    <t>26822E3041</t>
    <phoneticPr fontId="3" type="noConversion"/>
  </si>
  <si>
    <t>4800384640/100</t>
    <phoneticPr fontId="3" type="noConversion"/>
  </si>
  <si>
    <t>26824E3031</t>
    <phoneticPr fontId="3" type="noConversion"/>
  </si>
  <si>
    <t>E317</t>
    <phoneticPr fontId="3" type="noConversion"/>
  </si>
  <si>
    <t>E319</t>
    <phoneticPr fontId="3" type="noConversion"/>
  </si>
  <si>
    <t>E44</t>
    <phoneticPr fontId="3" type="noConversion"/>
  </si>
  <si>
    <t>26825E44J1</t>
    <phoneticPr fontId="3" type="noConversion"/>
  </si>
  <si>
    <t>26825E3191</t>
    <phoneticPr fontId="3" type="noConversion"/>
  </si>
  <si>
    <t>26824E3171</t>
    <phoneticPr fontId="3" type="noConversion"/>
  </si>
  <si>
    <t>E306</t>
    <phoneticPr fontId="3" type="noConversion"/>
  </si>
  <si>
    <t>26825E3061</t>
    <phoneticPr fontId="3" type="noConversion"/>
  </si>
  <si>
    <t>4800378543/100</t>
    <phoneticPr fontId="3" type="noConversion"/>
  </si>
  <si>
    <t>E307</t>
    <phoneticPr fontId="3" type="noConversion"/>
  </si>
  <si>
    <t>E29</t>
    <phoneticPr fontId="3" type="noConversion"/>
  </si>
  <si>
    <t>26825E3071</t>
    <phoneticPr fontId="3" type="noConversion"/>
  </si>
  <si>
    <t>26826E29J1</t>
    <phoneticPr fontId="3" type="noConversion"/>
  </si>
  <si>
    <t>E318</t>
    <phoneticPr fontId="3" type="noConversion"/>
  </si>
  <si>
    <t>E302</t>
    <phoneticPr fontId="3" type="noConversion"/>
  </si>
  <si>
    <t>4800384805/400</t>
    <phoneticPr fontId="3" type="noConversion"/>
  </si>
  <si>
    <t>26826E3021</t>
    <phoneticPr fontId="3" type="noConversion"/>
  </si>
  <si>
    <t>4800384805/300</t>
    <phoneticPr fontId="3" type="noConversion"/>
  </si>
  <si>
    <t>26826E3181</t>
    <phoneticPr fontId="3" type="noConversion"/>
  </si>
  <si>
    <t>26826E3081</t>
    <phoneticPr fontId="3" type="noConversion"/>
  </si>
  <si>
    <t>26826E3091</t>
    <phoneticPr fontId="3" type="noConversion"/>
  </si>
  <si>
    <t>26826E3051</t>
    <phoneticPr fontId="3" type="noConversion"/>
  </si>
  <si>
    <t>FAB7</t>
    <phoneticPr fontId="3" type="noConversion"/>
  </si>
  <si>
    <t>26827E44J1</t>
    <phoneticPr fontId="3" type="noConversion"/>
  </si>
  <si>
    <t>26827E3061</t>
    <phoneticPr fontId="3" type="noConversion"/>
  </si>
  <si>
    <t>4800384805/300</t>
    <phoneticPr fontId="3" type="noConversion"/>
  </si>
  <si>
    <t>26827E3031</t>
    <phoneticPr fontId="3" type="noConversion"/>
  </si>
  <si>
    <t>4800384805/300</t>
    <phoneticPr fontId="3" type="noConversion"/>
  </si>
  <si>
    <t>26827E3171</t>
    <phoneticPr fontId="3" type="noConversion"/>
  </si>
  <si>
    <t>4800384640/100</t>
    <phoneticPr fontId="3" type="noConversion"/>
  </si>
  <si>
    <t>26827E3191</t>
    <phoneticPr fontId="3" type="noConversion"/>
  </si>
  <si>
    <t>26825E3041</t>
    <phoneticPr fontId="3" type="noConversion"/>
  </si>
  <si>
    <t>26828E3091</t>
    <phoneticPr fontId="3" type="noConversion"/>
  </si>
  <si>
    <t>26828E3181</t>
    <phoneticPr fontId="3" type="noConversion"/>
  </si>
  <si>
    <t>26828E3071</t>
    <phoneticPr fontId="3" type="noConversion"/>
  </si>
  <si>
    <t>26828E3081</t>
    <phoneticPr fontId="3" type="noConversion"/>
  </si>
  <si>
    <t>26828E29J1</t>
    <phoneticPr fontId="3" type="noConversion"/>
  </si>
  <si>
    <t>4800384805/400</t>
    <phoneticPr fontId="3" type="noConversion"/>
  </si>
  <si>
    <t>4800384640/100</t>
    <phoneticPr fontId="3" type="noConversion"/>
  </si>
  <si>
    <t>26829E3021</t>
    <phoneticPr fontId="3" type="noConversion"/>
  </si>
  <si>
    <t>26829E44J1</t>
    <phoneticPr fontId="3" type="noConversion"/>
  </si>
  <si>
    <t>26829E3031</t>
    <phoneticPr fontId="3" type="noConversion"/>
  </si>
  <si>
    <t>26829E3051</t>
    <phoneticPr fontId="3" type="noConversion"/>
  </si>
  <si>
    <t>4800384805/300</t>
    <phoneticPr fontId="3" type="noConversion"/>
  </si>
  <si>
    <t>26830E3061</t>
    <phoneticPr fontId="3" type="noConversion"/>
  </si>
  <si>
    <t>26830E3171</t>
    <phoneticPr fontId="3" type="noConversion"/>
  </si>
  <si>
    <t>26830E3191</t>
    <phoneticPr fontId="3" type="noConversion"/>
  </si>
  <si>
    <t>26831E3091</t>
    <phoneticPr fontId="3" type="noConversion"/>
  </si>
  <si>
    <t>26831E29J1</t>
    <phoneticPr fontId="3" type="noConversion"/>
  </si>
  <si>
    <t>4800384805/400</t>
    <phoneticPr fontId="3" type="noConversion"/>
  </si>
  <si>
    <r>
      <t>TSMC IPA料號:L12C53161/</t>
    </r>
    <r>
      <rPr>
        <sz val="10"/>
        <color rgb="FFFF0000"/>
        <rFont val="微軟正黑體"/>
        <family val="2"/>
        <charset val="136"/>
      </rPr>
      <t>L1崙尾: L12C53162</t>
    </r>
    <phoneticPr fontId="3" type="noConversion"/>
  </si>
  <si>
    <t>26831E3071</t>
    <phoneticPr fontId="3" type="noConversion"/>
  </si>
  <si>
    <t>26831E3081</t>
    <phoneticPr fontId="3" type="noConversion"/>
  </si>
  <si>
    <t>4800384805/400</t>
    <phoneticPr fontId="3" type="noConversion"/>
  </si>
  <si>
    <t>4800384805/300</t>
    <phoneticPr fontId="3" type="noConversion"/>
  </si>
  <si>
    <t>26901E3031</t>
    <phoneticPr fontId="3" type="noConversion"/>
  </si>
  <si>
    <t>26831E3181</t>
    <phoneticPr fontId="3" type="noConversion"/>
  </si>
  <si>
    <t>18P3A</t>
    <phoneticPr fontId="3" type="noConversion"/>
  </si>
  <si>
    <t>26901E3021</t>
    <phoneticPr fontId="3" type="noConversion"/>
  </si>
  <si>
    <t>26901E3051</t>
    <phoneticPr fontId="3" type="noConversion"/>
  </si>
  <si>
    <t>4800384805/400</t>
    <phoneticPr fontId="3" type="noConversion"/>
  </si>
  <si>
    <t>4800384805/300</t>
    <phoneticPr fontId="3" type="noConversion"/>
  </si>
  <si>
    <t>4800388490/100</t>
    <phoneticPr fontId="3" type="noConversion"/>
  </si>
  <si>
    <t>26901E3171</t>
    <phoneticPr fontId="3" type="noConversion"/>
  </si>
  <si>
    <t>4507912167/100</t>
    <phoneticPr fontId="3" type="noConversion"/>
  </si>
  <si>
    <t>26901E44J1</t>
    <phoneticPr fontId="3" type="noConversion"/>
  </si>
  <si>
    <t>4800384805/200</t>
    <phoneticPr fontId="3" type="noConversion"/>
  </si>
  <si>
    <t>26902E3041</t>
    <phoneticPr fontId="3" type="noConversion"/>
  </si>
  <si>
    <t>26902E3061</t>
    <phoneticPr fontId="3" type="noConversion"/>
  </si>
  <si>
    <t>4800384805/300</t>
    <phoneticPr fontId="3" type="noConversion"/>
  </si>
  <si>
    <t>26902E29J1</t>
    <phoneticPr fontId="3" type="noConversion"/>
  </si>
  <si>
    <t>4800388490/100</t>
    <phoneticPr fontId="3" type="noConversion"/>
  </si>
  <si>
    <t>4800384805/300</t>
    <phoneticPr fontId="3" type="noConversion"/>
  </si>
  <si>
    <t>26902E3191</t>
    <phoneticPr fontId="3" type="noConversion"/>
  </si>
  <si>
    <t>26902E3091</t>
    <phoneticPr fontId="3" type="noConversion"/>
  </si>
  <si>
    <t>26902E3071</t>
    <phoneticPr fontId="3" type="noConversion"/>
  </si>
  <si>
    <t>到廠時間</t>
  </si>
  <si>
    <t>26903E3081</t>
    <phoneticPr fontId="3" type="noConversion"/>
  </si>
  <si>
    <t>4800384805/400</t>
    <phoneticPr fontId="3" type="noConversion"/>
  </si>
  <si>
    <t>剩餘量</t>
  </si>
  <si>
    <t>4800384444/100</t>
    <phoneticPr fontId="3" type="noConversion"/>
  </si>
  <si>
    <t>15P5</t>
  </si>
  <si>
    <t>26903E3031</t>
    <phoneticPr fontId="3" type="noConversion"/>
  </si>
  <si>
    <t>26903E3021</t>
    <phoneticPr fontId="3" type="noConversion"/>
  </si>
  <si>
    <t>26903E3181</t>
    <phoneticPr fontId="3" type="noConversion"/>
  </si>
  <si>
    <t>單號</t>
  </si>
  <si>
    <t>20260108002-1</t>
  </si>
  <si>
    <t>20260122003-1</t>
  </si>
  <si>
    <t>20260210003-1</t>
  </si>
  <si>
    <t>20260210003-2</t>
  </si>
  <si>
    <t>20260304001-1</t>
  </si>
  <si>
    <t>20260407001-1</t>
  </si>
  <si>
    <t>20260427002-1</t>
  </si>
  <si>
    <t>20260515006-1</t>
  </si>
  <si>
    <t>20260807001-2</t>
  </si>
  <si>
    <t>20251230009-1</t>
  </si>
  <si>
    <t>20251230005-1</t>
  </si>
  <si>
    <t>20251230006-2</t>
  </si>
  <si>
    <t>20251230010-1</t>
  </si>
  <si>
    <t>20260102015-1</t>
  </si>
  <si>
    <t>20260102004-1</t>
  </si>
  <si>
    <t>20260102005-1</t>
  </si>
  <si>
    <t>20260102006-1</t>
  </si>
  <si>
    <t>20260102007-1</t>
  </si>
  <si>
    <t>20260102008-2</t>
  </si>
  <si>
    <t>20260126002-1</t>
  </si>
  <si>
    <t>20260126003-1</t>
  </si>
  <si>
    <t>20260126004-1</t>
  </si>
  <si>
    <t>20260126005-1</t>
  </si>
  <si>
    <t>20260130032-1</t>
  </si>
  <si>
    <t>20260206007-2</t>
  </si>
  <si>
    <t>20260206009-1</t>
  </si>
  <si>
    <t>20260206010-2</t>
  </si>
  <si>
    <t>20260206011-1</t>
  </si>
  <si>
    <t>20260210005-1</t>
  </si>
  <si>
    <t>20260210006-1</t>
  </si>
  <si>
    <t>20260219002-1</t>
  </si>
  <si>
    <t>20260226019-1</t>
  </si>
  <si>
    <t>20260225004-1</t>
  </si>
  <si>
    <t>20260225005-1</t>
  </si>
  <si>
    <t>20260225006-1</t>
  </si>
  <si>
    <t>20260225007-1</t>
  </si>
  <si>
    <t>20260225011-1</t>
  </si>
  <si>
    <t>20260305004-1</t>
  </si>
  <si>
    <t>20260305015-1</t>
  </si>
  <si>
    <t>20260305005-1</t>
  </si>
  <si>
    <t>20260305006-1</t>
  </si>
  <si>
    <t>20260305007-2</t>
  </si>
  <si>
    <t>20260305008-1</t>
  </si>
  <si>
    <t>20260313007-1</t>
  </si>
  <si>
    <t>20260313003-1</t>
  </si>
  <si>
    <t>20260313004-1</t>
  </si>
  <si>
    <t>20260430005-1</t>
  </si>
  <si>
    <t>20260430006-2</t>
  </si>
  <si>
    <t>20260504006-1</t>
  </si>
  <si>
    <t>20260504007-1</t>
  </si>
  <si>
    <t>20260504008-2</t>
  </si>
  <si>
    <t>20260506004-1</t>
  </si>
  <si>
    <t>20260506005-1</t>
  </si>
  <si>
    <t>20260506006-1</t>
  </si>
  <si>
    <t>20260506007-1</t>
  </si>
  <si>
    <t>20260506008-1</t>
  </si>
  <si>
    <t>20260506009-1</t>
  </si>
  <si>
    <t>20260506010-1</t>
  </si>
  <si>
    <t>20260511003-1</t>
  </si>
  <si>
    <t>20260511004-1</t>
  </si>
  <si>
    <t>20260511006-1</t>
  </si>
  <si>
    <t>20260511007-2</t>
  </si>
  <si>
    <t>20260511008-1</t>
  </si>
  <si>
    <t>20260511009-1</t>
  </si>
  <si>
    <t>20260511010-1</t>
  </si>
  <si>
    <t>20260518001-1</t>
  </si>
  <si>
    <t>20260518002-1</t>
  </si>
  <si>
    <t>20260518003-1</t>
  </si>
  <si>
    <t>20260518004-1</t>
  </si>
  <si>
    <t>20260518005-1</t>
  </si>
  <si>
    <t>20260518006-1</t>
  </si>
  <si>
    <t>20260521030-1</t>
  </si>
  <si>
    <t>20260528003-1</t>
  </si>
  <si>
    <t>20260529006-1</t>
  </si>
  <si>
    <t>20260529007-2</t>
  </si>
  <si>
    <t>20260528004-2</t>
  </si>
  <si>
    <t>20260528005-1</t>
  </si>
  <si>
    <t>20260528006-1</t>
  </si>
  <si>
    <t>20260525005-2</t>
  </si>
  <si>
    <t>20260529008-1</t>
  </si>
  <si>
    <t>20260601002-1</t>
  </si>
  <si>
    <t>20260601008-1</t>
  </si>
  <si>
    <t>20260525014-1</t>
  </si>
  <si>
    <t>20260601007-1</t>
  </si>
  <si>
    <t>20260601009-1</t>
  </si>
  <si>
    <t>20260601010-1</t>
  </si>
  <si>
    <t>20260601011-1</t>
  </si>
  <si>
    <t>20260605007-1</t>
  </si>
  <si>
    <t>20260608001-1</t>
  </si>
  <si>
    <t>20260608002-1</t>
  </si>
  <si>
    <t>20260608003-1</t>
  </si>
  <si>
    <t>20260608004-1</t>
  </si>
  <si>
    <t>20260608005-1</t>
  </si>
  <si>
    <t>20260608007-1</t>
  </si>
  <si>
    <t>20260605008-1</t>
  </si>
  <si>
    <t>20260615006-1</t>
  </si>
  <si>
    <t>20260605009-1</t>
  </si>
  <si>
    <t>20260605009-2</t>
  </si>
  <si>
    <t>20260615015-1</t>
  </si>
  <si>
    <t>20260618002-2</t>
  </si>
  <si>
    <t>20260622007-1</t>
  </si>
  <si>
    <t>20260622008-1</t>
  </si>
  <si>
    <t>20260615035-1</t>
  </si>
  <si>
    <t>20260622009-1</t>
  </si>
  <si>
    <t>20260622014-1</t>
  </si>
  <si>
    <t>20260618003-3</t>
  </si>
  <si>
    <t>20260629003-1</t>
  </si>
  <si>
    <t>20260629004-1</t>
  </si>
  <si>
    <t>20260701001-1</t>
  </si>
  <si>
    <t>20260701002-1</t>
  </si>
  <si>
    <t>20260701003-1</t>
  </si>
  <si>
    <t>20260701005-1</t>
  </si>
  <si>
    <t>20260701004-2</t>
  </si>
  <si>
    <t>20260709003-1</t>
  </si>
  <si>
    <t>20260714001-2</t>
  </si>
  <si>
    <t>20260714002-1</t>
  </si>
  <si>
    <t>20260714010-1</t>
  </si>
  <si>
    <t>20260720008-1</t>
  </si>
  <si>
    <t>20260720016-1</t>
  </si>
  <si>
    <t>20260720005-1</t>
  </si>
  <si>
    <t>20260728001-1</t>
  </si>
  <si>
    <t>20260728002-1</t>
  </si>
  <si>
    <t>20260728003-1</t>
  </si>
  <si>
    <t>20260728004-1</t>
  </si>
  <si>
    <t>20260730003-1</t>
  </si>
  <si>
    <t>20260730004-1</t>
  </si>
  <si>
    <t>20260730005-1</t>
  </si>
  <si>
    <t>20260730006-1</t>
  </si>
  <si>
    <t>20260730007-1</t>
  </si>
  <si>
    <t>20260804003-1</t>
  </si>
  <si>
    <t>20260804004-1</t>
  </si>
  <si>
    <t>20260804005-1</t>
  </si>
  <si>
    <t>20260804001-2</t>
  </si>
  <si>
    <t>20260817005-2</t>
  </si>
  <si>
    <t>20260817006-1</t>
  </si>
  <si>
    <t>20260824001-1</t>
  </si>
  <si>
    <t>20260824002-1</t>
  </si>
  <si>
    <t>20260824003-1</t>
  </si>
  <si>
    <t>20260824004-1</t>
  </si>
  <si>
    <t>20260824005-1</t>
  </si>
  <si>
    <t>20260831004-1</t>
  </si>
  <si>
    <t>20260831005-1</t>
  </si>
  <si>
    <t>20260515005-1</t>
  </si>
  <si>
    <t>20251231005-1</t>
  </si>
  <si>
    <t>20251231007-2</t>
  </si>
  <si>
    <t>20251231006-1</t>
  </si>
  <si>
    <t>20251231006-2</t>
  </si>
  <si>
    <t>20260105010-1</t>
  </si>
  <si>
    <t>20260106003-1</t>
  </si>
  <si>
    <t>20260108004-1</t>
  </si>
  <si>
    <t>20260108005-1</t>
  </si>
  <si>
    <t>20260108006-1</t>
  </si>
  <si>
    <t>20260108007-1</t>
  </si>
  <si>
    <t>20260122008-1</t>
  </si>
  <si>
    <t>20260205002-1</t>
  </si>
  <si>
    <t>20260205003-1</t>
  </si>
  <si>
    <t>20260205004-1</t>
  </si>
  <si>
    <t>20260205005-1</t>
  </si>
  <si>
    <t>20260304003-1</t>
  </si>
  <si>
    <t>20260304005-1</t>
  </si>
  <si>
    <t>20260304006-1</t>
  </si>
  <si>
    <t>20260304007-1</t>
  </si>
  <si>
    <t>20260312003-1</t>
  </si>
  <si>
    <t>20260313001-1</t>
  </si>
  <si>
    <t>20260422003-1</t>
  </si>
  <si>
    <t>20260427001-1</t>
  </si>
  <si>
    <t>20260430002-1</t>
  </si>
  <si>
    <t>20260512001-1</t>
  </si>
  <si>
    <t>20260513001-1</t>
  </si>
  <si>
    <t>20260513002-1</t>
  </si>
  <si>
    <t>20260513003-1</t>
  </si>
  <si>
    <t>20260513004-1</t>
  </si>
  <si>
    <t>20260525033-1</t>
  </si>
  <si>
    <t>20260525035-1</t>
  </si>
  <si>
    <t>20260601038-1</t>
  </si>
  <si>
    <t>20260615036-1</t>
  </si>
  <si>
    <t>20260821003-2</t>
  </si>
  <si>
    <t>20260821003-1</t>
  </si>
  <si>
    <t>20260821004-1</t>
  </si>
  <si>
    <t>20260821005-2</t>
  </si>
  <si>
    <t>20260821006-2</t>
  </si>
  <si>
    <t>20260821007-1</t>
  </si>
  <si>
    <t>4800384805/400</t>
    <phoneticPr fontId="3" type="noConversion"/>
  </si>
  <si>
    <t>4800384805/300</t>
    <phoneticPr fontId="3" type="noConversion"/>
  </si>
  <si>
    <t>26903E3051</t>
    <phoneticPr fontId="3" type="noConversion"/>
  </si>
  <si>
    <t>20260831006-1</t>
    <phoneticPr fontId="3" type="noConversion"/>
  </si>
  <si>
    <t>26904E3171</t>
    <phoneticPr fontId="3" type="noConversion"/>
  </si>
  <si>
    <t>4800384805/300</t>
    <phoneticPr fontId="3" type="noConversion"/>
  </si>
  <si>
    <t>4800384805/300</t>
    <phoneticPr fontId="3" type="noConversion"/>
  </si>
  <si>
    <t>26904E3061</t>
    <phoneticPr fontId="3" type="noConversion"/>
  </si>
  <si>
    <t>26904E44J1</t>
    <phoneticPr fontId="3" type="noConversion"/>
  </si>
  <si>
    <t>26904E3191</t>
    <phoneticPr fontId="3" type="noConversion"/>
  </si>
  <si>
    <t>26905E3041</t>
    <phoneticPr fontId="3" type="noConversion"/>
  </si>
  <si>
    <t>4800384805/400</t>
    <phoneticPr fontId="3" type="noConversion"/>
  </si>
  <si>
    <t>4800384805/300</t>
    <phoneticPr fontId="3" type="noConversion"/>
  </si>
  <si>
    <t>26906E3051</t>
    <phoneticPr fontId="3" type="noConversion"/>
  </si>
  <si>
    <t>26905E29J1</t>
    <phoneticPr fontId="3" type="noConversion"/>
  </si>
  <si>
    <t>26905E3071</t>
    <phoneticPr fontId="3" type="noConversion"/>
  </si>
  <si>
    <t>26905E3091</t>
    <phoneticPr fontId="3" type="noConversion"/>
  </si>
  <si>
    <t>26905E3081</t>
    <phoneticPr fontId="3" type="noConversion"/>
  </si>
  <si>
    <t xml:space="preserve">TSMC IPA料號:L12C53161 </t>
  </si>
  <si>
    <t>26906E3031</t>
    <phoneticPr fontId="3" type="noConversion"/>
  </si>
  <si>
    <t>26906E3181</t>
    <phoneticPr fontId="3" type="noConversion"/>
  </si>
  <si>
    <t>26906E3021</t>
    <phoneticPr fontId="3" type="noConversion"/>
  </si>
  <si>
    <t>26907E3171</t>
    <phoneticPr fontId="3" type="noConversion"/>
  </si>
  <si>
    <t>26907E3061</t>
    <phoneticPr fontId="3" type="noConversion"/>
  </si>
  <si>
    <t>26907E3071</t>
    <phoneticPr fontId="3" type="noConversion"/>
  </si>
  <si>
    <t>4800388490/100</t>
    <phoneticPr fontId="3" type="noConversion"/>
  </si>
  <si>
    <t>4800384805/400</t>
    <phoneticPr fontId="3" type="noConversion"/>
  </si>
  <si>
    <t>20260907006-1</t>
    <phoneticPr fontId="3" type="noConversion"/>
  </si>
  <si>
    <t>4800384805/300</t>
    <phoneticPr fontId="3" type="noConversion"/>
  </si>
  <si>
    <t>20260907005-1</t>
    <phoneticPr fontId="3" type="noConversion"/>
  </si>
  <si>
    <t>18P8A</t>
    <phoneticPr fontId="3" type="noConversion"/>
  </si>
  <si>
    <t>FREE SAMPLE</t>
    <phoneticPr fontId="3" type="noConversion"/>
  </si>
  <si>
    <t>L1 FREE SAMPLE</t>
    <phoneticPr fontId="3" type="noConversion"/>
  </si>
  <si>
    <t>26907E3191</t>
    <phoneticPr fontId="3" type="noConversion"/>
  </si>
  <si>
    <t>26907E44J1</t>
    <phoneticPr fontId="3" type="noConversion"/>
  </si>
  <si>
    <t>新槽車pi-run</t>
    <phoneticPr fontId="3" type="noConversion"/>
  </si>
  <si>
    <t>4800388739/200</t>
    <phoneticPr fontId="3" type="noConversion"/>
  </si>
  <si>
    <t>26906E3111</t>
    <phoneticPr fontId="3" type="noConversion"/>
  </si>
  <si>
    <t>20260904003-1</t>
    <phoneticPr fontId="3" type="noConversion"/>
  </si>
  <si>
    <t>4800361959/100</t>
    <phoneticPr fontId="3" type="noConversion"/>
  </si>
  <si>
    <t>進位問題</t>
    <phoneticPr fontId="3" type="noConversion"/>
  </si>
  <si>
    <t>20260904003-2</t>
    <phoneticPr fontId="3" type="noConversion"/>
  </si>
  <si>
    <t>4800388490/100</t>
    <phoneticPr fontId="3" type="noConversion"/>
  </si>
  <si>
    <t>20260903004-1</t>
    <phoneticPr fontId="3" type="noConversion"/>
  </si>
  <si>
    <t>26908E29J1</t>
    <phoneticPr fontId="3" type="noConversion"/>
  </si>
  <si>
    <t>4800384805/200</t>
    <phoneticPr fontId="3" type="noConversion"/>
  </si>
  <si>
    <t>26908E3081</t>
    <phoneticPr fontId="3" type="noConversion"/>
  </si>
  <si>
    <t>20260907003-1</t>
    <phoneticPr fontId="3" type="noConversion"/>
  </si>
  <si>
    <t>4800384805/400</t>
    <phoneticPr fontId="3" type="noConversion"/>
  </si>
  <si>
    <t>4800384805/400</t>
    <phoneticPr fontId="3" type="noConversion"/>
  </si>
  <si>
    <t>4800384805/300</t>
    <phoneticPr fontId="3" type="noConversion"/>
  </si>
  <si>
    <t>26908E3031</t>
    <phoneticPr fontId="3" type="noConversion"/>
  </si>
  <si>
    <t>26908E3051</t>
    <phoneticPr fontId="3" type="noConversion"/>
  </si>
  <si>
    <t>26907E3091</t>
    <phoneticPr fontId="3" type="noConversion"/>
  </si>
  <si>
    <t>26909E3021</t>
    <phoneticPr fontId="3" type="noConversion"/>
  </si>
  <si>
    <t>26909E3181</t>
    <phoneticPr fontId="3" type="noConversion"/>
  </si>
  <si>
    <t>26909E3041</t>
    <phoneticPr fontId="3" type="noConversion"/>
  </si>
  <si>
    <t>26909E3171</t>
    <phoneticPr fontId="3" type="noConversion"/>
  </si>
  <si>
    <t>4800388490/100</t>
    <phoneticPr fontId="3" type="noConversion"/>
  </si>
  <si>
    <t>4800384805/400</t>
    <phoneticPr fontId="3" type="noConversion"/>
  </si>
  <si>
    <t>26910E3081</t>
    <phoneticPr fontId="3" type="noConversion"/>
  </si>
  <si>
    <t>26909E3071</t>
    <phoneticPr fontId="3" type="noConversion"/>
  </si>
  <si>
    <t>26910E3051</t>
    <phoneticPr fontId="3" type="noConversion"/>
  </si>
  <si>
    <t>26910E3191</t>
    <phoneticPr fontId="3" type="noConversion"/>
  </si>
  <si>
    <t>4800384805/300</t>
    <phoneticPr fontId="3" type="noConversion"/>
  </si>
  <si>
    <t>4800388490/100</t>
    <phoneticPr fontId="3" type="noConversion"/>
  </si>
  <si>
    <t>26910E44J1</t>
    <phoneticPr fontId="3" type="noConversion"/>
  </si>
  <si>
    <t>4800384805/400</t>
    <phoneticPr fontId="3" type="noConversion"/>
  </si>
  <si>
    <t>4800384805/300</t>
    <phoneticPr fontId="3" type="noConversion"/>
  </si>
  <si>
    <t>26912E3181</t>
    <phoneticPr fontId="3" type="noConversion"/>
  </si>
  <si>
    <t>26912E3171</t>
    <phoneticPr fontId="3" type="noConversion"/>
  </si>
  <si>
    <t>26911E3031</t>
    <phoneticPr fontId="3" type="noConversion"/>
  </si>
  <si>
    <t>26911E3021</t>
    <phoneticPr fontId="3" type="noConversion"/>
  </si>
  <si>
    <t>26913E3051</t>
    <phoneticPr fontId="3" type="noConversion"/>
  </si>
  <si>
    <t>26913E3191</t>
    <phoneticPr fontId="3" type="noConversion"/>
  </si>
  <si>
    <t>4800384805/300</t>
    <phoneticPr fontId="3" type="noConversion"/>
  </si>
  <si>
    <t>26912E3071</t>
    <phoneticPr fontId="3" type="noConversion"/>
  </si>
  <si>
    <t>26912E3081</t>
    <phoneticPr fontId="3" type="noConversion"/>
  </si>
  <si>
    <t>4800384805/400</t>
    <phoneticPr fontId="3" type="noConversion"/>
  </si>
  <si>
    <t>4800388739/200</t>
    <phoneticPr fontId="3" type="noConversion"/>
  </si>
  <si>
    <t>26914E44J1</t>
    <phoneticPr fontId="3" type="noConversion"/>
  </si>
  <si>
    <t>26914E3201</t>
    <phoneticPr fontId="3" type="noConversion"/>
  </si>
  <si>
    <t xml:space="preserve"> </t>
    <phoneticPr fontId="3" type="noConversion"/>
  </si>
  <si>
    <t>26914E3031</t>
    <phoneticPr fontId="3" type="noConversion"/>
  </si>
  <si>
    <t>26914E3061</t>
    <phoneticPr fontId="3" type="noConversion"/>
  </si>
  <si>
    <t>4800384805/400</t>
    <phoneticPr fontId="3" type="noConversion"/>
  </si>
  <si>
    <t>26914E29J1</t>
    <phoneticPr fontId="3" type="noConversion"/>
  </si>
  <si>
    <t>20260907004-1</t>
    <phoneticPr fontId="3" type="noConversion"/>
  </si>
  <si>
    <t>26915E3171</t>
    <phoneticPr fontId="3" type="noConversion"/>
  </si>
  <si>
    <t>4800384805/400</t>
    <phoneticPr fontId="3" type="noConversion"/>
  </si>
  <si>
    <t>26915E3071</t>
    <phoneticPr fontId="3" type="noConversion"/>
  </si>
  <si>
    <t>26915E3081</t>
    <phoneticPr fontId="3" type="noConversion"/>
  </si>
  <si>
    <t>26915E3091</t>
    <phoneticPr fontId="3" type="noConversion"/>
  </si>
  <si>
    <t>26915E3021</t>
    <phoneticPr fontId="3" type="noConversion"/>
  </si>
  <si>
    <t>26916E3051</t>
    <phoneticPr fontId="3" type="noConversion"/>
  </si>
  <si>
    <t>26916E3181</t>
    <phoneticPr fontId="3" type="noConversion"/>
  </si>
  <si>
    <t>26916E3031</t>
    <phoneticPr fontId="3" type="noConversion"/>
  </si>
  <si>
    <t>4800384805/400</t>
    <phoneticPr fontId="3" type="noConversion"/>
  </si>
  <si>
    <t>4800384805/300</t>
    <phoneticPr fontId="3" type="noConversion"/>
  </si>
  <si>
    <t>4800384805/300</t>
    <phoneticPr fontId="3" type="noConversion"/>
  </si>
  <si>
    <t>26916E44J1</t>
    <phoneticPr fontId="3" type="noConversion"/>
  </si>
  <si>
    <t>26916E3191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</si>
</sst>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76" formatCode="m/d;@"/>
    <numFmt numFmtId="177" formatCode="m/d/yyyy"/>
    <numFmt numFmtId="178" formatCode="_-* #,##0_-;\-* #,##0_-;_-* &quot;-&quot;??_-;_-@_-"/>
    <numFmt numFmtId="179" formatCode="0_);[Red]\(0\)"/>
    <numFmt numFmtId="180" formatCode="_-* #,##0_-;\-* #,##0_-;_-* &quot;-&quot;???_-;_-@_-"/>
    <numFmt numFmtId="181" formatCode="h:mm;@"/>
  </numFmts>
  <fonts count="27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0"/>
      <color rgb="FF0000FF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10"/>
      <color rgb="FF0000FF"/>
      <name val="微軟正黑體"/>
      <family val="2"/>
      <charset val="136"/>
    </font>
    <font>
      <sz val="10"/>
      <color theme="1"/>
      <name val="新細明體"/>
      <family val="2"/>
      <scheme val="minor"/>
    </font>
    <font>
      <sz val="10"/>
      <name val="新細明體"/>
      <family val="1"/>
      <charset val="136"/>
      <scheme val="minor"/>
    </font>
    <font>
      <sz val="10"/>
      <color theme="1"/>
      <name val="細明體"/>
      <family val="3"/>
      <charset val="136"/>
    </font>
    <font>
      <sz val="10"/>
      <color theme="1"/>
      <name val="Arial"/>
      <family val="2"/>
    </font>
    <font>
      <b/>
      <sz val="10"/>
      <color theme="1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theme="1"/>
      <name val="Arial"/>
      <family val="2"/>
    </font>
    <font>
      <b/>
      <sz val="10"/>
      <color rgb="FF0000FF"/>
      <name val="新細明體"/>
      <family val="1"/>
      <charset val="136"/>
    </font>
    <font>
      <b/>
      <sz val="10"/>
      <color rgb="FFFF0000"/>
      <name val="新細明體"/>
      <family val="1"/>
      <charset val="136"/>
    </font>
    <font>
      <b/>
      <sz val="10"/>
      <color theme="1"/>
      <name val="細明體"/>
      <family val="3"/>
      <charset val="136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0"/>
      <color rgb="FFFF0000"/>
      <name val="細明體"/>
      <family val="3"/>
      <charset val="136"/>
    </font>
    <font>
      <sz val="10"/>
      <color theme="1"/>
      <name val="新細明體"/>
      <family val="1"/>
      <charset val="136"/>
    </font>
    <font>
      <sz val="10"/>
      <color rgb="FFFF0000"/>
      <name val="新細明體"/>
      <family val="1"/>
      <charset val="136"/>
    </font>
    <font>
      <sz val="9"/>
      <color indexed="81"/>
      <name val="細明體"/>
      <family val="3"/>
      <charset val="136"/>
    </font>
    <font>
      <sz val="10"/>
      <color rgb="FFFF0000"/>
      <name val="微軟正黑體"/>
      <family val="2"/>
      <charset val="136"/>
    </font>
    <font>
      <strike/>
      <sz val="10"/>
      <color theme="1"/>
      <name val="Arial"/>
      <family val="2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15" fillId="0" borderId="0"/>
    <xf numFmtId="0" fontId="15" fillId="0" borderId="0"/>
  </cellStyleXfs>
  <cellXfs count="131">
    <xf numFmtId="0" fontId="0" fillId="0" borderId="0" xfId="0"/>
    <xf numFmtId="176" fontId="2" fillId="2" borderId="1" xfId="0" applyNumberFormat="1" applyFont="1" applyFill="1" applyBorder="1" applyAlignment="1">
      <alignment vertical="center" shrinkToFit="1"/>
    </xf>
    <xf numFmtId="176" fontId="4" fillId="2" borderId="2" xfId="0" applyNumberFormat="1" applyFont="1" applyFill="1" applyBorder="1" applyAlignment="1">
      <alignment vertical="center"/>
    </xf>
    <xf numFmtId="176" fontId="4" fillId="2" borderId="2" xfId="0" applyNumberFormat="1" applyFont="1" applyFill="1" applyBorder="1" applyAlignment="1">
      <alignment vertical="center" shrinkToFit="1"/>
    </xf>
    <xf numFmtId="176" fontId="2" fillId="2" borderId="2" xfId="0" applyNumberFormat="1" applyFont="1" applyFill="1" applyBorder="1" applyAlignment="1">
      <alignment vertical="center" shrinkToFit="1"/>
    </xf>
    <xf numFmtId="176" fontId="2" fillId="2" borderId="2" xfId="0" applyNumberFormat="1" applyFont="1" applyFill="1" applyBorder="1" applyAlignment="1">
      <alignment horizontal="center" vertical="center" shrinkToFit="1"/>
    </xf>
    <xf numFmtId="176" fontId="5" fillId="3" borderId="3" xfId="0" applyNumberFormat="1" applyFont="1" applyFill="1" applyBorder="1" applyAlignment="1">
      <alignment horizontal="center" vertical="center"/>
    </xf>
    <xf numFmtId="177" fontId="6" fillId="3" borderId="4" xfId="0" applyNumberFormat="1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8" fontId="7" fillId="0" borderId="0" xfId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176" fontId="9" fillId="2" borderId="3" xfId="0" applyNumberFormat="1" applyFont="1" applyFill="1" applyBorder="1" applyAlignment="1">
      <alignment horizontal="center" vertical="center" shrinkToFit="1"/>
    </xf>
    <xf numFmtId="176" fontId="10" fillId="2" borderId="3" xfId="0" applyNumberFormat="1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179" fontId="9" fillId="2" borderId="3" xfId="0" applyNumberFormat="1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13" fillId="2" borderId="3" xfId="0" applyFont="1" applyFill="1" applyBorder="1" applyAlignment="1">
      <alignment horizontal="center" vertical="center" shrinkToFit="1"/>
    </xf>
    <xf numFmtId="177" fontId="6" fillId="3" borderId="5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Fill="1" applyBorder="1" applyAlignment="1">
      <alignment horizontal="center"/>
    </xf>
    <xf numFmtId="176" fontId="8" fillId="4" borderId="3" xfId="0" applyNumberFormat="1" applyFont="1" applyFill="1" applyBorder="1" applyAlignment="1">
      <alignment horizontal="center" shrinkToFit="1"/>
    </xf>
    <xf numFmtId="0" fontId="8" fillId="4" borderId="3" xfId="0" applyFont="1" applyFill="1" applyBorder="1" applyAlignment="1">
      <alignment horizontal="center" shrinkToFit="1"/>
    </xf>
    <xf numFmtId="178" fontId="8" fillId="4" borderId="3" xfId="1" applyNumberFormat="1" applyFont="1" applyFill="1" applyBorder="1" applyAlignment="1">
      <alignment horizontal="center" shrinkToFit="1"/>
    </xf>
    <xf numFmtId="177" fontId="15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8" fillId="5" borderId="3" xfId="0" applyNumberFormat="1" applyFont="1" applyFill="1" applyBorder="1" applyAlignment="1">
      <alignment horizontal="center" shrinkToFit="1"/>
    </xf>
    <xf numFmtId="0" fontId="8" fillId="5" borderId="3" xfId="0" applyFont="1" applyFill="1" applyBorder="1" applyAlignment="1">
      <alignment horizontal="center" shrinkToFit="1"/>
    </xf>
    <xf numFmtId="178" fontId="8" fillId="5" borderId="3" xfId="1" applyNumberFormat="1" applyFont="1" applyFill="1" applyBorder="1" applyAlignment="1">
      <alignment horizontal="center" shrinkToFit="1"/>
    </xf>
    <xf numFmtId="176" fontId="8" fillId="0" borderId="3" xfId="0" applyNumberFormat="1" applyFont="1" applyBorder="1" applyAlignment="1">
      <alignment horizontal="center" shrinkToFit="1"/>
    </xf>
    <xf numFmtId="176" fontId="8" fillId="6" borderId="3" xfId="0" applyNumberFormat="1" applyFont="1" applyFill="1" applyBorder="1" applyAlignment="1">
      <alignment horizontal="center" shrinkToFit="1"/>
    </xf>
    <xf numFmtId="0" fontId="8" fillId="6" borderId="3" xfId="0" applyFont="1" applyFill="1" applyBorder="1" applyAlignment="1">
      <alignment horizontal="center" shrinkToFit="1"/>
    </xf>
    <xf numFmtId="178" fontId="8" fillId="6" borderId="3" xfId="1" applyNumberFormat="1" applyFont="1" applyFill="1" applyBorder="1" applyAlignment="1">
      <alignment horizontal="center" shrinkToFit="1"/>
    </xf>
    <xf numFmtId="179" fontId="8" fillId="4" borderId="3" xfId="0" applyNumberFormat="1" applyFont="1" applyFill="1" applyBorder="1" applyAlignment="1">
      <alignment horizontal="center" shrinkToFit="1"/>
    </xf>
    <xf numFmtId="178" fontId="15" fillId="4" borderId="3" xfId="1" applyNumberFormat="1" applyFont="1" applyFill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179" fontId="8" fillId="0" borderId="3" xfId="0" applyNumberFormat="1" applyFont="1" applyBorder="1" applyAlignment="1">
      <alignment horizontal="center" shrinkToFit="1"/>
    </xf>
    <xf numFmtId="178" fontId="15" fillId="5" borderId="3" xfId="1" applyNumberFormat="1" applyFont="1" applyFill="1" applyBorder="1" applyAlignment="1">
      <alignment horizontal="center" shrinkToFit="1"/>
    </xf>
    <xf numFmtId="179" fontId="8" fillId="5" borderId="3" xfId="0" applyNumberFormat="1" applyFont="1" applyFill="1" applyBorder="1" applyAlignment="1">
      <alignment horizontal="center" shrinkToFit="1"/>
    </xf>
    <xf numFmtId="178" fontId="15" fillId="6" borderId="3" xfId="1" applyNumberFormat="1" applyFont="1" applyFill="1" applyBorder="1" applyAlignment="1">
      <alignment horizontal="center" shrinkToFit="1"/>
    </xf>
    <xf numFmtId="179" fontId="8" fillId="6" borderId="3" xfId="0" applyNumberFormat="1" applyFont="1" applyFill="1" applyBorder="1" applyAlignment="1">
      <alignment horizontal="center" shrinkToFit="1"/>
    </xf>
    <xf numFmtId="176" fontId="8" fillId="7" borderId="3" xfId="0" applyNumberFormat="1" applyFont="1" applyFill="1" applyBorder="1" applyAlignment="1">
      <alignment horizontal="center" shrinkToFit="1"/>
    </xf>
    <xf numFmtId="0" fontId="8" fillId="7" borderId="3" xfId="0" applyFont="1" applyFill="1" applyBorder="1" applyAlignment="1">
      <alignment horizontal="center" shrinkToFit="1"/>
    </xf>
    <xf numFmtId="0" fontId="15" fillId="7" borderId="3" xfId="0" applyFont="1" applyFill="1" applyBorder="1" applyAlignment="1">
      <alignment horizontal="center" shrinkToFit="1"/>
    </xf>
    <xf numFmtId="178" fontId="15" fillId="7" borderId="3" xfId="1" applyNumberFormat="1" applyFont="1" applyFill="1" applyBorder="1" applyAlignment="1">
      <alignment horizontal="center" shrinkToFit="1"/>
    </xf>
    <xf numFmtId="179" fontId="8" fillId="7" borderId="3" xfId="0" applyNumberFormat="1" applyFont="1" applyFill="1" applyBorder="1" applyAlignment="1">
      <alignment horizontal="center" shrinkToFit="1"/>
    </xf>
    <xf numFmtId="178" fontId="8" fillId="7" borderId="3" xfId="1" applyNumberFormat="1" applyFont="1" applyFill="1" applyBorder="1" applyAlignment="1">
      <alignment horizontal="center" shrinkToFit="1"/>
    </xf>
    <xf numFmtId="179" fontId="7" fillId="5" borderId="3" xfId="0" applyNumberFormat="1" applyFont="1" applyFill="1" applyBorder="1" applyAlignment="1">
      <alignment horizontal="center" shrinkToFit="1"/>
    </xf>
    <xf numFmtId="0" fontId="15" fillId="4" borderId="3" xfId="0" applyFont="1" applyFill="1" applyBorder="1" applyAlignment="1">
      <alignment horizontal="center" shrinkToFit="1"/>
    </xf>
    <xf numFmtId="176" fontId="15" fillId="4" borderId="3" xfId="0" applyNumberFormat="1" applyFont="1" applyFill="1" applyBorder="1" applyAlignment="1">
      <alignment horizontal="center" shrinkToFit="1"/>
    </xf>
    <xf numFmtId="179" fontId="15" fillId="4" borderId="3" xfId="0" applyNumberFormat="1" applyFont="1" applyFill="1" applyBorder="1" applyAlignment="1">
      <alignment horizontal="center" shrinkToFit="1"/>
    </xf>
    <xf numFmtId="179" fontId="7" fillId="4" borderId="3" xfId="0" applyNumberFormat="1" applyFont="1" applyFill="1" applyBorder="1" applyAlignment="1">
      <alignment horizontal="center" shrinkToFit="1"/>
    </xf>
    <xf numFmtId="179" fontId="7" fillId="7" borderId="3" xfId="0" applyNumberFormat="1" applyFont="1" applyFill="1" applyBorder="1" applyAlignment="1">
      <alignment horizontal="center" shrinkToFit="1"/>
    </xf>
    <xf numFmtId="176" fontId="15" fillId="7" borderId="3" xfId="0" applyNumberFormat="1" applyFont="1" applyFill="1" applyBorder="1" applyAlignment="1">
      <alignment horizontal="center" shrinkToFit="1"/>
    </xf>
    <xf numFmtId="179" fontId="15" fillId="7" borderId="3" xfId="0" applyNumberFormat="1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79" fontId="7" fillId="6" borderId="3" xfId="0" applyNumberFormat="1" applyFont="1" applyFill="1" applyBorder="1" applyAlignment="1">
      <alignment horizontal="center" shrinkToFit="1"/>
    </xf>
    <xf numFmtId="0" fontId="8" fillId="8" borderId="3" xfId="0" applyFont="1" applyFill="1" applyBorder="1" applyAlignment="1">
      <alignment horizontal="center" shrinkToFit="1"/>
    </xf>
    <xf numFmtId="176" fontId="8" fillId="8" borderId="3" xfId="0" applyNumberFormat="1" applyFont="1" applyFill="1" applyBorder="1" applyAlignment="1">
      <alignment horizontal="center" shrinkToFit="1"/>
    </xf>
    <xf numFmtId="0" fontId="15" fillId="8" borderId="3" xfId="0" applyFont="1" applyFill="1" applyBorder="1" applyAlignment="1">
      <alignment horizontal="center" shrinkToFit="1"/>
    </xf>
    <xf numFmtId="178" fontId="15" fillId="8" borderId="3" xfId="1" applyNumberFormat="1" applyFont="1" applyFill="1" applyBorder="1" applyAlignment="1">
      <alignment horizontal="center" shrinkToFit="1"/>
    </xf>
    <xf numFmtId="179" fontId="8" fillId="8" borderId="3" xfId="0" applyNumberFormat="1" applyFont="1" applyFill="1" applyBorder="1" applyAlignment="1">
      <alignment horizontal="center" shrinkToFit="1"/>
    </xf>
    <xf numFmtId="0" fontId="16" fillId="6" borderId="3" xfId="0" applyFont="1" applyFill="1" applyBorder="1" applyAlignment="1">
      <alignment horizontal="center" shrinkToFit="1"/>
    </xf>
    <xf numFmtId="179" fontId="20" fillId="7" borderId="3" xfId="0" applyNumberFormat="1" applyFont="1" applyFill="1" applyBorder="1" applyAlignment="1">
      <alignment horizontal="center" shrinkToFit="1"/>
    </xf>
    <xf numFmtId="180" fontId="8" fillId="4" borderId="3" xfId="0" applyNumberFormat="1" applyFont="1" applyFill="1" applyBorder="1" applyAlignment="1">
      <alignment horizontal="center" shrinkToFit="1"/>
    </xf>
    <xf numFmtId="176" fontId="8" fillId="9" borderId="3" xfId="0" applyNumberFormat="1" applyFont="1" applyFill="1" applyBorder="1" applyAlignment="1">
      <alignment horizontal="center" shrinkToFit="1"/>
    </xf>
    <xf numFmtId="0" fontId="8" fillId="9" borderId="3" xfId="0" applyFont="1" applyFill="1" applyBorder="1" applyAlignment="1">
      <alignment horizontal="center" shrinkToFit="1"/>
    </xf>
    <xf numFmtId="178" fontId="15" fillId="9" borderId="3" xfId="1" applyNumberFormat="1" applyFont="1" applyFill="1" applyBorder="1" applyAlignment="1">
      <alignment horizontal="center" shrinkToFit="1"/>
    </xf>
    <xf numFmtId="179" fontId="8" fillId="9" borderId="3" xfId="0" applyNumberFormat="1" applyFont="1" applyFill="1" applyBorder="1" applyAlignment="1">
      <alignment horizontal="center" shrinkToFit="1"/>
    </xf>
    <xf numFmtId="179" fontId="16" fillId="9" borderId="3" xfId="0" applyNumberFormat="1" applyFont="1" applyFill="1" applyBorder="1" applyAlignment="1">
      <alignment horizontal="center" shrinkToFit="1"/>
    </xf>
    <xf numFmtId="0" fontId="16" fillId="9" borderId="3" xfId="0" applyFont="1" applyFill="1" applyBorder="1" applyAlignment="1">
      <alignment horizontal="center" shrinkToFit="1"/>
    </xf>
    <xf numFmtId="176" fontId="21" fillId="0" borderId="3" xfId="0" applyNumberFormat="1" applyFont="1" applyBorder="1" applyAlignment="1">
      <alignment horizontal="center" shrinkToFit="1"/>
    </xf>
    <xf numFmtId="0" fontId="21" fillId="9" borderId="3" xfId="0" applyFont="1" applyFill="1" applyBorder="1" applyAlignment="1">
      <alignment horizontal="center" shrinkToFit="1"/>
    </xf>
    <xf numFmtId="179" fontId="22" fillId="9" borderId="3" xfId="0" applyNumberFormat="1" applyFont="1" applyFill="1" applyBorder="1" applyAlignment="1">
      <alignment horizontal="center" shrinkToFit="1"/>
    </xf>
    <xf numFmtId="0" fontId="21" fillId="0" borderId="0" xfId="0" applyFont="1" applyAlignment="1">
      <alignment horizontal="center"/>
    </xf>
    <xf numFmtId="0" fontId="21" fillId="0" borderId="0" xfId="0" applyFont="1" applyFill="1" applyBorder="1" applyAlignment="1">
      <alignment horizontal="center"/>
    </xf>
    <xf numFmtId="179" fontId="20" fillId="9" borderId="3" xfId="0" applyNumberFormat="1" applyFont="1" applyFill="1" applyBorder="1" applyAlignment="1">
      <alignment horizontal="center" shrinkToFit="1"/>
    </xf>
    <xf numFmtId="0" fontId="16" fillId="7" borderId="3" xfId="0" applyFont="1" applyFill="1" applyBorder="1" applyAlignment="1">
      <alignment horizontal="center" shrinkToFit="1"/>
    </xf>
    <xf numFmtId="179" fontId="7" fillId="8" borderId="3" xfId="0" applyNumberFormat="1" applyFont="1" applyFill="1" applyBorder="1" applyAlignment="1">
      <alignment horizontal="center" shrinkToFit="1"/>
    </xf>
    <xf numFmtId="0" fontId="15" fillId="5" borderId="3" xfId="0" applyFont="1" applyFill="1" applyBorder="1" applyAlignment="1">
      <alignment horizontal="center" shrinkToFit="1"/>
    </xf>
    <xf numFmtId="0" fontId="8" fillId="7" borderId="3" xfId="0" applyNumberFormat="1" applyFont="1" applyFill="1" applyBorder="1" applyAlignment="1">
      <alignment horizontal="center" shrinkToFit="1"/>
    </xf>
    <xf numFmtId="0" fontId="8" fillId="4" borderId="3" xfId="0" applyNumberFormat="1" applyFont="1" applyFill="1" applyBorder="1" applyAlignment="1">
      <alignment horizontal="center" shrinkToFit="1"/>
    </xf>
    <xf numFmtId="0" fontId="8" fillId="0" borderId="3" xfId="0" applyNumberFormat="1" applyFont="1" applyBorder="1" applyAlignment="1">
      <alignment horizontal="center" shrinkToFit="1"/>
    </xf>
    <xf numFmtId="0" fontId="2" fillId="2" borderId="2" xfId="0" applyNumberFormat="1" applyFont="1" applyFill="1" applyBorder="1" applyAlignment="1">
      <alignment vertical="center" shrinkToFit="1"/>
    </xf>
    <xf numFmtId="0" fontId="9" fillId="2" borderId="3" xfId="0" applyNumberFormat="1" applyFont="1" applyFill="1" applyBorder="1" applyAlignment="1">
      <alignment horizontal="center" vertical="center" shrinkToFit="1"/>
    </xf>
    <xf numFmtId="0" fontId="8" fillId="5" borderId="3" xfId="0" applyNumberFormat="1" applyFont="1" applyFill="1" applyBorder="1" applyAlignment="1">
      <alignment horizontal="center" shrinkToFit="1"/>
    </xf>
    <xf numFmtId="0" fontId="15" fillId="4" borderId="3" xfId="0" applyNumberFormat="1" applyFont="1" applyFill="1" applyBorder="1" applyAlignment="1">
      <alignment horizontal="center" shrinkToFit="1"/>
    </xf>
    <xf numFmtId="0" fontId="15" fillId="7" borderId="3" xfId="0" applyNumberFormat="1" applyFont="1" applyFill="1" applyBorder="1" applyAlignment="1">
      <alignment horizontal="center" shrinkToFit="1"/>
    </xf>
    <xf numFmtId="0" fontId="8" fillId="6" borderId="3" xfId="0" applyNumberFormat="1" applyFont="1" applyFill="1" applyBorder="1" applyAlignment="1">
      <alignment horizontal="center" shrinkToFit="1"/>
    </xf>
    <xf numFmtId="0" fontId="8" fillId="8" borderId="3" xfId="0" applyNumberFormat="1" applyFont="1" applyFill="1" applyBorder="1" applyAlignment="1">
      <alignment horizontal="center" shrinkToFit="1"/>
    </xf>
    <xf numFmtId="0" fontId="16" fillId="7" borderId="3" xfId="0" applyNumberFormat="1" applyFont="1" applyFill="1" applyBorder="1" applyAlignment="1">
      <alignment horizontal="center" shrinkToFit="1"/>
    </xf>
    <xf numFmtId="0" fontId="16" fillId="9" borderId="3" xfId="0" applyNumberFormat="1" applyFont="1" applyFill="1" applyBorder="1" applyAlignment="1">
      <alignment horizontal="center" shrinkToFit="1"/>
    </xf>
    <xf numFmtId="0" fontId="8" fillId="9" borderId="3" xfId="0" applyNumberFormat="1" applyFont="1" applyFill="1" applyBorder="1" applyAlignment="1">
      <alignment horizontal="center" shrinkToFit="1"/>
    </xf>
    <xf numFmtId="0" fontId="22" fillId="9" borderId="3" xfId="0" applyNumberFormat="1" applyFont="1" applyFill="1" applyBorder="1" applyAlignment="1">
      <alignment horizontal="center" shrinkToFit="1"/>
    </xf>
    <xf numFmtId="181" fontId="8" fillId="5" borderId="3" xfId="0" applyNumberFormat="1" applyFont="1" applyFill="1" applyBorder="1" applyAlignment="1">
      <alignment horizontal="center" shrinkToFit="1"/>
    </xf>
    <xf numFmtId="181" fontId="8" fillId="6" borderId="3" xfId="0" applyNumberFormat="1" applyFont="1" applyFill="1" applyBorder="1" applyAlignment="1">
      <alignment horizontal="center" shrinkToFit="1"/>
    </xf>
    <xf numFmtId="20" fontId="8" fillId="7" borderId="3" xfId="0" applyNumberFormat="1" applyFont="1" applyFill="1" applyBorder="1" applyAlignment="1">
      <alignment horizontal="center" shrinkToFit="1"/>
    </xf>
    <xf numFmtId="176" fontId="8" fillId="10" borderId="3" xfId="0" applyNumberFormat="1" applyFont="1" applyFill="1" applyBorder="1" applyAlignment="1">
      <alignment horizontal="center" shrinkToFit="1"/>
    </xf>
    <xf numFmtId="0" fontId="8" fillId="10" borderId="3" xfId="0" applyFont="1" applyFill="1" applyBorder="1" applyAlignment="1">
      <alignment horizontal="center" shrinkToFit="1"/>
    </xf>
    <xf numFmtId="179" fontId="8" fillId="10" borderId="3" xfId="0" applyNumberFormat="1" applyFont="1" applyFill="1" applyBorder="1" applyAlignment="1">
      <alignment horizontal="center" shrinkToFit="1"/>
    </xf>
    <xf numFmtId="0" fontId="8" fillId="10" borderId="3" xfId="0" applyNumberFormat="1" applyFont="1" applyFill="1" applyBorder="1" applyAlignment="1">
      <alignment horizontal="center" shrinkToFit="1"/>
    </xf>
    <xf numFmtId="178" fontId="15" fillId="10" borderId="3" xfId="1" applyNumberFormat="1" applyFont="1" applyFill="1" applyBorder="1" applyAlignment="1">
      <alignment horizontal="center" shrinkToFit="1"/>
    </xf>
    <xf numFmtId="20" fontId="8" fillId="5" borderId="3" xfId="0" applyNumberFormat="1" applyFont="1" applyFill="1" applyBorder="1" applyAlignment="1">
      <alignment horizontal="center" shrinkToFit="1"/>
    </xf>
    <xf numFmtId="20" fontId="8" fillId="6" borderId="3" xfId="0" applyNumberFormat="1" applyFont="1" applyFill="1" applyBorder="1" applyAlignment="1">
      <alignment horizontal="center" shrinkToFit="1"/>
    </xf>
    <xf numFmtId="20" fontId="8" fillId="4" borderId="3" xfId="0" applyNumberFormat="1" applyFont="1" applyFill="1" applyBorder="1" applyAlignment="1">
      <alignment horizontal="center" shrinkToFit="1"/>
    </xf>
    <xf numFmtId="20" fontId="8" fillId="8" borderId="3" xfId="0" applyNumberFormat="1" applyFont="1" applyFill="1" applyBorder="1" applyAlignment="1">
      <alignment horizontal="center" shrinkToFit="1"/>
    </xf>
    <xf numFmtId="176" fontId="15" fillId="5" borderId="3" xfId="0" applyNumberFormat="1" applyFont="1" applyFill="1" applyBorder="1" applyAlignment="1">
      <alignment horizontal="center" shrinkToFit="1"/>
    </xf>
    <xf numFmtId="176" fontId="8" fillId="11" borderId="3" xfId="0" applyNumberFormat="1" applyFont="1" applyFill="1" applyBorder="1" applyAlignment="1">
      <alignment horizontal="center" shrinkToFit="1"/>
    </xf>
    <xf numFmtId="0" fontId="8" fillId="11" borderId="3" xfId="0" applyFont="1" applyFill="1" applyBorder="1" applyAlignment="1">
      <alignment horizontal="center" shrinkToFit="1"/>
    </xf>
    <xf numFmtId="178" fontId="15" fillId="11" borderId="3" xfId="1" applyNumberFormat="1" applyFont="1" applyFill="1" applyBorder="1" applyAlignment="1">
      <alignment horizontal="center" shrinkToFit="1"/>
    </xf>
    <xf numFmtId="0" fontId="8" fillId="11" borderId="3" xfId="0" applyNumberFormat="1" applyFont="1" applyFill="1" applyBorder="1" applyAlignment="1">
      <alignment horizontal="center" shrinkToFit="1"/>
    </xf>
    <xf numFmtId="20" fontId="8" fillId="11" borderId="3" xfId="0" applyNumberFormat="1" applyFont="1" applyFill="1" applyBorder="1" applyAlignment="1">
      <alignment horizontal="center" shrinkToFit="1"/>
    </xf>
    <xf numFmtId="0" fontId="20" fillId="11" borderId="3" xfId="0" applyFont="1" applyFill="1" applyBorder="1" applyAlignment="1">
      <alignment horizontal="center" shrinkToFit="1"/>
    </xf>
    <xf numFmtId="20" fontId="8" fillId="7" borderId="3" xfId="0" applyNumberFormat="1" applyFont="1" applyFill="1" applyBorder="1" applyAlignment="1">
      <alignment horizontal="center" shrinkToFit="1"/>
    </xf>
    <xf numFmtId="20" fontId="8" fillId="0" borderId="3" xfId="0" applyNumberFormat="1" applyFont="1" applyBorder="1" applyAlignment="1">
      <alignment horizontal="center" shrinkToFit="1"/>
    </xf>
    <xf numFmtId="20" fontId="8" fillId="4" borderId="3" xfId="0" applyNumberFormat="1" applyFont="1" applyFill="1" applyBorder="1" applyAlignment="1">
      <alignment horizontal="center" shrinkToFit="1"/>
    </xf>
    <xf numFmtId="20" fontId="8" fillId="8" borderId="3" xfId="0" applyNumberFormat="1" applyFont="1" applyFill="1" applyBorder="1" applyAlignment="1">
      <alignment horizontal="center" shrinkToFit="1"/>
    </xf>
    <xf numFmtId="20" fontId="8" fillId="5" borderId="3" xfId="0" applyNumberFormat="1" applyFont="1" applyFill="1" applyBorder="1" applyAlignment="1">
      <alignment horizontal="center" shrinkToFit="1"/>
    </xf>
    <xf numFmtId="20" fontId="8" fillId="6" borderId="3" xfId="0" applyNumberFormat="1" applyFont="1" applyFill="1" applyBorder="1" applyAlignment="1">
      <alignment horizontal="center" shrinkToFit="1"/>
    </xf>
    <xf numFmtId="20" fontId="8" fillId="10" borderId="3" xfId="0" applyNumberFormat="1" applyFont="1" applyFill="1" applyBorder="1" applyAlignment="1">
      <alignment horizontal="center" shrinkToFit="1"/>
    </xf>
    <xf numFmtId="0" fontId="8" fillId="9" borderId="3" xfId="0" applyFont="1" applyFill="1" applyBorder="1" applyAlignment="1">
      <alignment horizontal="right" shrinkToFit="1"/>
    </xf>
    <xf numFmtId="0" fontId="8" fillId="7" borderId="3" xfId="0" applyFont="1" applyFill="1" applyBorder="1" applyAlignment="1">
      <alignment horizontal="right" shrinkToFit="1"/>
    </xf>
    <xf numFmtId="0" fontId="8" fillId="11" borderId="3" xfId="0" applyFont="1" applyFill="1" applyBorder="1" applyAlignment="1">
      <alignment horizontal="right" shrinkToFit="1"/>
    </xf>
    <xf numFmtId="20" fontId="25" fillId="6" borderId="3" xfId="0" applyNumberFormat="1" applyFont="1" applyFill="1" applyBorder="1" applyAlignment="1">
      <alignment horizontal="center" shrinkToFit="1"/>
    </xf>
    <xf numFmtId="179" fontId="26" fillId="6" borderId="3" xfId="0" applyNumberFormat="1" applyFont="1" applyFill="1" applyBorder="1" applyAlignment="1">
      <alignment horizontal="center" shrinkToFit="1"/>
    </xf>
    <xf numFmtId="176" fontId="2" fillId="2" borderId="2" xfId="0" applyNumberFormat="1" applyFont="1" applyFill="1" applyBorder="1" applyAlignment="1">
      <alignment horizontal="left" vertical="center" shrinkToFit="1"/>
    </xf>
    <xf numFmtId="176" fontId="2" fillId="2" borderId="2" xfId="0" applyNumberFormat="1" applyFont="1" applyFill="1" applyBorder="1" applyAlignment="1">
      <alignment horizontal="center" vertical="center" shrinkToFit="1"/>
    </xf>
  </cellXfs>
  <cellStyles count="4">
    <cellStyle name="一般" xfId="0" builtinId="0"/>
    <cellStyle name="一般 2" xfId="2"/>
    <cellStyle name="一般 3" xfId="3"/>
    <cellStyle name="千分位" xfId="1" builtinId="3"/>
  </cellStyles>
  <dxfs count="0"/>
  <tableStyles count="0" defaultTableStyle="TableStyleMedium2" defaultPivotStyle="PivotStyleLight16"/>
  <colors>
    <mruColors>
      <color rgb="FF0000FF"/>
      <color rgb="FFFFFFCC"/>
      <color rgb="FF99FFCC"/>
      <color rgb="FF3399FF"/>
      <color rgb="FFFF99CC"/>
      <color rgb="FFFF6699"/>
      <color rgb="FFFF66CC"/>
      <color rgb="FFFFFF66"/>
      <color rgb="FFFF99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revisionHeaders" Target="revisions/revisionHeaders.xml"/></Relationships>
</file>

<file path=xl/revisions/_rels/revisionHeaders.xml.rels><?xml version="1.0" encoding="UTF-8" standalone="yes"?>
<Relationships xmlns="http://schemas.openxmlformats.org/package/2006/relationships"><Relationship Id="rId26" Type="http://schemas.openxmlformats.org/officeDocument/2006/relationships/revisionLog" Target="revisionLog26.xml"/><Relationship Id="rId117" Type="http://schemas.openxmlformats.org/officeDocument/2006/relationships/revisionLog" Target="revisionLog117.xml"/><Relationship Id="rId21" Type="http://schemas.openxmlformats.org/officeDocument/2006/relationships/revisionLog" Target="revisionLog21.xml"/><Relationship Id="rId42" Type="http://schemas.openxmlformats.org/officeDocument/2006/relationships/revisionLog" Target="revisionLog42.xml"/><Relationship Id="rId47" Type="http://schemas.openxmlformats.org/officeDocument/2006/relationships/revisionLog" Target="revisionLog47.xml"/><Relationship Id="rId63" Type="http://schemas.openxmlformats.org/officeDocument/2006/relationships/revisionLog" Target="revisionLog63.xml"/><Relationship Id="rId68" Type="http://schemas.openxmlformats.org/officeDocument/2006/relationships/revisionLog" Target="revisionLog68.xml"/><Relationship Id="rId84" Type="http://schemas.openxmlformats.org/officeDocument/2006/relationships/revisionLog" Target="revisionLog84.xml"/><Relationship Id="rId89" Type="http://schemas.openxmlformats.org/officeDocument/2006/relationships/revisionLog" Target="revisionLog89.xml"/><Relationship Id="rId112" Type="http://schemas.openxmlformats.org/officeDocument/2006/relationships/revisionLog" Target="revisionLog112.xml"/><Relationship Id="rId133" Type="http://schemas.openxmlformats.org/officeDocument/2006/relationships/revisionLog" Target="revisionLog133.xml"/><Relationship Id="rId138" Type="http://schemas.openxmlformats.org/officeDocument/2006/relationships/revisionLog" Target="revisionLog138.xml"/><Relationship Id="rId154" Type="http://schemas.openxmlformats.org/officeDocument/2006/relationships/revisionLog" Target="revisionLog154.xml"/><Relationship Id="rId159" Type="http://schemas.openxmlformats.org/officeDocument/2006/relationships/revisionLog" Target="revisionLog159.xml"/><Relationship Id="rId16" Type="http://schemas.openxmlformats.org/officeDocument/2006/relationships/revisionLog" Target="revisionLog16.xml"/><Relationship Id="rId107" Type="http://schemas.openxmlformats.org/officeDocument/2006/relationships/revisionLog" Target="revisionLog107.xml"/><Relationship Id="rId11" Type="http://schemas.openxmlformats.org/officeDocument/2006/relationships/revisionLog" Target="revisionLog11.xml"/><Relationship Id="rId32" Type="http://schemas.openxmlformats.org/officeDocument/2006/relationships/revisionLog" Target="revisionLog32.xml"/><Relationship Id="rId37" Type="http://schemas.openxmlformats.org/officeDocument/2006/relationships/revisionLog" Target="revisionLog37.xml"/><Relationship Id="rId53" Type="http://schemas.openxmlformats.org/officeDocument/2006/relationships/revisionLog" Target="revisionLog53.xml"/><Relationship Id="rId58" Type="http://schemas.openxmlformats.org/officeDocument/2006/relationships/revisionLog" Target="revisionLog58.xml"/><Relationship Id="rId74" Type="http://schemas.openxmlformats.org/officeDocument/2006/relationships/revisionLog" Target="revisionLog74.xml"/><Relationship Id="rId79" Type="http://schemas.openxmlformats.org/officeDocument/2006/relationships/revisionLog" Target="revisionLog79.xml"/><Relationship Id="rId102" Type="http://schemas.openxmlformats.org/officeDocument/2006/relationships/revisionLog" Target="revisionLog102.xml"/><Relationship Id="rId123" Type="http://schemas.openxmlformats.org/officeDocument/2006/relationships/revisionLog" Target="revisionLog123.xml"/><Relationship Id="rId128" Type="http://schemas.openxmlformats.org/officeDocument/2006/relationships/revisionLog" Target="revisionLog128.xml"/><Relationship Id="rId144" Type="http://schemas.openxmlformats.org/officeDocument/2006/relationships/revisionLog" Target="revisionLog144.xml"/><Relationship Id="rId149" Type="http://schemas.openxmlformats.org/officeDocument/2006/relationships/revisionLog" Target="revisionLog149.xml"/><Relationship Id="rId5" Type="http://schemas.openxmlformats.org/officeDocument/2006/relationships/revisionLog" Target="revisionLog5.xml"/><Relationship Id="rId90" Type="http://schemas.openxmlformats.org/officeDocument/2006/relationships/revisionLog" Target="revisionLog90.xml"/><Relationship Id="rId95" Type="http://schemas.openxmlformats.org/officeDocument/2006/relationships/revisionLog" Target="revisionLog95.xml"/><Relationship Id="rId160" Type="http://schemas.openxmlformats.org/officeDocument/2006/relationships/revisionLog" Target="revisionLog160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Relationship Id="rId43" Type="http://schemas.openxmlformats.org/officeDocument/2006/relationships/revisionLog" Target="revisionLog43.xml"/><Relationship Id="rId48" Type="http://schemas.openxmlformats.org/officeDocument/2006/relationships/revisionLog" Target="revisionLog48.xml"/><Relationship Id="rId64" Type="http://schemas.openxmlformats.org/officeDocument/2006/relationships/revisionLog" Target="revisionLog64.xml"/><Relationship Id="rId69" Type="http://schemas.openxmlformats.org/officeDocument/2006/relationships/revisionLog" Target="revisionLog69.xml"/><Relationship Id="rId113" Type="http://schemas.openxmlformats.org/officeDocument/2006/relationships/revisionLog" Target="revisionLog113.xml"/><Relationship Id="rId118" Type="http://schemas.openxmlformats.org/officeDocument/2006/relationships/revisionLog" Target="revisionLog118.xml"/><Relationship Id="rId134" Type="http://schemas.openxmlformats.org/officeDocument/2006/relationships/revisionLog" Target="revisionLog134.xml"/><Relationship Id="rId139" Type="http://schemas.openxmlformats.org/officeDocument/2006/relationships/revisionLog" Target="revisionLog139.xml"/><Relationship Id="rId80" Type="http://schemas.openxmlformats.org/officeDocument/2006/relationships/revisionLog" Target="revisionLog80.xml"/><Relationship Id="rId85" Type="http://schemas.openxmlformats.org/officeDocument/2006/relationships/revisionLog" Target="revisionLog85.xml"/><Relationship Id="rId150" Type="http://schemas.openxmlformats.org/officeDocument/2006/relationships/revisionLog" Target="revisionLog150.xml"/><Relationship Id="rId155" Type="http://schemas.openxmlformats.org/officeDocument/2006/relationships/revisionLog" Target="revisionLog155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33" Type="http://schemas.openxmlformats.org/officeDocument/2006/relationships/revisionLog" Target="revisionLog33.xml"/><Relationship Id="rId38" Type="http://schemas.openxmlformats.org/officeDocument/2006/relationships/revisionLog" Target="revisionLog38.xml"/><Relationship Id="rId59" Type="http://schemas.openxmlformats.org/officeDocument/2006/relationships/revisionLog" Target="revisionLog59.xml"/><Relationship Id="rId103" Type="http://schemas.openxmlformats.org/officeDocument/2006/relationships/revisionLog" Target="revisionLog103.xml"/><Relationship Id="rId108" Type="http://schemas.openxmlformats.org/officeDocument/2006/relationships/revisionLog" Target="revisionLog108.xml"/><Relationship Id="rId124" Type="http://schemas.openxmlformats.org/officeDocument/2006/relationships/revisionLog" Target="revisionLog124.xml"/><Relationship Id="rId129" Type="http://schemas.openxmlformats.org/officeDocument/2006/relationships/revisionLog" Target="revisionLog129.xml"/><Relationship Id="rId54" Type="http://schemas.openxmlformats.org/officeDocument/2006/relationships/revisionLog" Target="revisionLog54.xml"/><Relationship Id="rId70" Type="http://schemas.openxmlformats.org/officeDocument/2006/relationships/revisionLog" Target="revisionLog70.xml"/><Relationship Id="rId75" Type="http://schemas.openxmlformats.org/officeDocument/2006/relationships/revisionLog" Target="revisionLog75.xml"/><Relationship Id="rId91" Type="http://schemas.openxmlformats.org/officeDocument/2006/relationships/revisionLog" Target="revisionLog91.xml"/><Relationship Id="rId96" Type="http://schemas.openxmlformats.org/officeDocument/2006/relationships/revisionLog" Target="revisionLog96.xml"/><Relationship Id="rId20" Type="http://schemas.openxmlformats.org/officeDocument/2006/relationships/revisionLog" Target="revisionLog20.xml"/><Relationship Id="rId41" Type="http://schemas.openxmlformats.org/officeDocument/2006/relationships/revisionLog" Target="revisionLog41.xml"/><Relationship Id="rId62" Type="http://schemas.openxmlformats.org/officeDocument/2006/relationships/revisionLog" Target="revisionLog62.xml"/><Relationship Id="rId83" Type="http://schemas.openxmlformats.org/officeDocument/2006/relationships/revisionLog" Target="revisionLog83.xml"/><Relationship Id="rId88" Type="http://schemas.openxmlformats.org/officeDocument/2006/relationships/revisionLog" Target="revisionLog88.xml"/><Relationship Id="rId111" Type="http://schemas.openxmlformats.org/officeDocument/2006/relationships/revisionLog" Target="revisionLog111.xml"/><Relationship Id="rId132" Type="http://schemas.openxmlformats.org/officeDocument/2006/relationships/revisionLog" Target="revisionLog132.xml"/><Relationship Id="rId140" Type="http://schemas.openxmlformats.org/officeDocument/2006/relationships/revisionLog" Target="revisionLog140.xml"/><Relationship Id="rId145" Type="http://schemas.openxmlformats.org/officeDocument/2006/relationships/revisionLog" Target="revisionLog145.xml"/><Relationship Id="rId153" Type="http://schemas.openxmlformats.org/officeDocument/2006/relationships/revisionLog" Target="revisionLog153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49" Type="http://schemas.openxmlformats.org/officeDocument/2006/relationships/revisionLog" Target="revisionLog49.xml"/><Relationship Id="rId114" Type="http://schemas.openxmlformats.org/officeDocument/2006/relationships/revisionLog" Target="revisionLog114.xml"/><Relationship Id="rId15" Type="http://schemas.openxmlformats.org/officeDocument/2006/relationships/revisionLog" Target="revisionLog15.xml"/><Relationship Id="rId36" Type="http://schemas.openxmlformats.org/officeDocument/2006/relationships/revisionLog" Target="revisionLog36.xml"/><Relationship Id="rId57" Type="http://schemas.openxmlformats.org/officeDocument/2006/relationships/revisionLog" Target="revisionLog57.xml"/><Relationship Id="rId106" Type="http://schemas.openxmlformats.org/officeDocument/2006/relationships/revisionLog" Target="revisionLog106.xml"/><Relationship Id="rId119" Type="http://schemas.openxmlformats.org/officeDocument/2006/relationships/revisionLog" Target="revisionLog119.xml"/><Relationship Id="rId127" Type="http://schemas.openxmlformats.org/officeDocument/2006/relationships/revisionLog" Target="revisionLog127.xml"/><Relationship Id="rId10" Type="http://schemas.openxmlformats.org/officeDocument/2006/relationships/revisionLog" Target="revisionLog10.xml"/><Relationship Id="rId31" Type="http://schemas.openxmlformats.org/officeDocument/2006/relationships/revisionLog" Target="revisionLog31.xml"/><Relationship Id="rId44" Type="http://schemas.openxmlformats.org/officeDocument/2006/relationships/revisionLog" Target="revisionLog44.xml"/><Relationship Id="rId52" Type="http://schemas.openxmlformats.org/officeDocument/2006/relationships/revisionLog" Target="revisionLog52.xml"/><Relationship Id="rId60" Type="http://schemas.openxmlformats.org/officeDocument/2006/relationships/revisionLog" Target="revisionLog60.xml"/><Relationship Id="rId65" Type="http://schemas.openxmlformats.org/officeDocument/2006/relationships/revisionLog" Target="revisionLog65.xml"/><Relationship Id="rId73" Type="http://schemas.openxmlformats.org/officeDocument/2006/relationships/revisionLog" Target="revisionLog73.xml"/><Relationship Id="rId78" Type="http://schemas.openxmlformats.org/officeDocument/2006/relationships/revisionLog" Target="revisionLog78.xml"/><Relationship Id="rId81" Type="http://schemas.openxmlformats.org/officeDocument/2006/relationships/revisionLog" Target="revisionLog81.xml"/><Relationship Id="rId86" Type="http://schemas.openxmlformats.org/officeDocument/2006/relationships/revisionLog" Target="revisionLog86.xml"/><Relationship Id="rId94" Type="http://schemas.openxmlformats.org/officeDocument/2006/relationships/revisionLog" Target="revisionLog94.xml"/><Relationship Id="rId99" Type="http://schemas.openxmlformats.org/officeDocument/2006/relationships/revisionLog" Target="revisionLog99.xml"/><Relationship Id="rId101" Type="http://schemas.openxmlformats.org/officeDocument/2006/relationships/revisionLog" Target="revisionLog101.xml"/><Relationship Id="rId122" Type="http://schemas.openxmlformats.org/officeDocument/2006/relationships/revisionLog" Target="revisionLog122.xml"/><Relationship Id="rId130" Type="http://schemas.openxmlformats.org/officeDocument/2006/relationships/revisionLog" Target="revisionLog130.xml"/><Relationship Id="rId135" Type="http://schemas.openxmlformats.org/officeDocument/2006/relationships/revisionLog" Target="revisionLog135.xml"/><Relationship Id="rId143" Type="http://schemas.openxmlformats.org/officeDocument/2006/relationships/revisionLog" Target="revisionLog143.xml"/><Relationship Id="rId148" Type="http://schemas.openxmlformats.org/officeDocument/2006/relationships/revisionLog" Target="revisionLog148.xml"/><Relationship Id="rId151" Type="http://schemas.openxmlformats.org/officeDocument/2006/relationships/revisionLog" Target="revisionLog151.xml"/><Relationship Id="rId156" Type="http://schemas.openxmlformats.org/officeDocument/2006/relationships/revisionLog" Target="revisionLog156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39" Type="http://schemas.openxmlformats.org/officeDocument/2006/relationships/revisionLog" Target="revisionLog39.xml"/><Relationship Id="rId109" Type="http://schemas.openxmlformats.org/officeDocument/2006/relationships/revisionLog" Target="revisionLog109.xml"/><Relationship Id="rId34" Type="http://schemas.openxmlformats.org/officeDocument/2006/relationships/revisionLog" Target="revisionLog34.xml"/><Relationship Id="rId50" Type="http://schemas.openxmlformats.org/officeDocument/2006/relationships/revisionLog" Target="revisionLog50.xml"/><Relationship Id="rId55" Type="http://schemas.openxmlformats.org/officeDocument/2006/relationships/revisionLog" Target="revisionLog55.xml"/><Relationship Id="rId76" Type="http://schemas.openxmlformats.org/officeDocument/2006/relationships/revisionLog" Target="revisionLog76.xml"/><Relationship Id="rId97" Type="http://schemas.openxmlformats.org/officeDocument/2006/relationships/revisionLog" Target="revisionLog97.xml"/><Relationship Id="rId104" Type="http://schemas.openxmlformats.org/officeDocument/2006/relationships/revisionLog" Target="revisionLog104.xml"/><Relationship Id="rId120" Type="http://schemas.openxmlformats.org/officeDocument/2006/relationships/revisionLog" Target="revisionLog120.xml"/><Relationship Id="rId125" Type="http://schemas.openxmlformats.org/officeDocument/2006/relationships/revisionLog" Target="revisionLog125.xml"/><Relationship Id="rId141" Type="http://schemas.openxmlformats.org/officeDocument/2006/relationships/revisionLog" Target="revisionLog141.xml"/><Relationship Id="rId146" Type="http://schemas.openxmlformats.org/officeDocument/2006/relationships/revisionLog" Target="revisionLog146.xml"/><Relationship Id="rId7" Type="http://schemas.openxmlformats.org/officeDocument/2006/relationships/revisionLog" Target="revisionLog7.xml"/><Relationship Id="rId71" Type="http://schemas.openxmlformats.org/officeDocument/2006/relationships/revisionLog" Target="revisionLog71.xml"/><Relationship Id="rId92" Type="http://schemas.openxmlformats.org/officeDocument/2006/relationships/revisionLog" Target="revisionLog92.xml"/><Relationship Id="rId2" Type="http://schemas.openxmlformats.org/officeDocument/2006/relationships/revisionLog" Target="revisionLog2.xml"/><Relationship Id="rId29" Type="http://schemas.openxmlformats.org/officeDocument/2006/relationships/revisionLog" Target="revisionLog29.xml"/><Relationship Id="rId24" Type="http://schemas.openxmlformats.org/officeDocument/2006/relationships/revisionLog" Target="revisionLog24.xml"/><Relationship Id="rId40" Type="http://schemas.openxmlformats.org/officeDocument/2006/relationships/revisionLog" Target="revisionLog40.xml"/><Relationship Id="rId45" Type="http://schemas.openxmlformats.org/officeDocument/2006/relationships/revisionLog" Target="revisionLog45.xml"/><Relationship Id="rId66" Type="http://schemas.openxmlformats.org/officeDocument/2006/relationships/revisionLog" Target="revisionLog66.xml"/><Relationship Id="rId87" Type="http://schemas.openxmlformats.org/officeDocument/2006/relationships/revisionLog" Target="revisionLog87.xml"/><Relationship Id="rId110" Type="http://schemas.openxmlformats.org/officeDocument/2006/relationships/revisionLog" Target="revisionLog110.xml"/><Relationship Id="rId115" Type="http://schemas.openxmlformats.org/officeDocument/2006/relationships/revisionLog" Target="revisionLog115.xml"/><Relationship Id="rId131" Type="http://schemas.openxmlformats.org/officeDocument/2006/relationships/revisionLog" Target="revisionLog131.xml"/><Relationship Id="rId136" Type="http://schemas.openxmlformats.org/officeDocument/2006/relationships/revisionLog" Target="revisionLog136.xml"/><Relationship Id="rId157" Type="http://schemas.openxmlformats.org/officeDocument/2006/relationships/revisionLog" Target="revisionLog157.xml"/><Relationship Id="rId61" Type="http://schemas.openxmlformats.org/officeDocument/2006/relationships/revisionLog" Target="revisionLog61.xml"/><Relationship Id="rId82" Type="http://schemas.openxmlformats.org/officeDocument/2006/relationships/revisionLog" Target="revisionLog82.xml"/><Relationship Id="rId152" Type="http://schemas.openxmlformats.org/officeDocument/2006/relationships/revisionLog" Target="revisionLog152.xml"/><Relationship Id="rId19" Type="http://schemas.openxmlformats.org/officeDocument/2006/relationships/revisionLog" Target="revisionLog19.xml"/><Relationship Id="rId14" Type="http://schemas.openxmlformats.org/officeDocument/2006/relationships/revisionLog" Target="revisionLog14.xml"/><Relationship Id="rId30" Type="http://schemas.openxmlformats.org/officeDocument/2006/relationships/revisionLog" Target="revisionLog30.xml"/><Relationship Id="rId35" Type="http://schemas.openxmlformats.org/officeDocument/2006/relationships/revisionLog" Target="revisionLog35.xml"/><Relationship Id="rId56" Type="http://schemas.openxmlformats.org/officeDocument/2006/relationships/revisionLog" Target="revisionLog56.xml"/><Relationship Id="rId77" Type="http://schemas.openxmlformats.org/officeDocument/2006/relationships/revisionLog" Target="revisionLog77.xml"/><Relationship Id="rId100" Type="http://schemas.openxmlformats.org/officeDocument/2006/relationships/revisionLog" Target="revisionLog100.xml"/><Relationship Id="rId105" Type="http://schemas.openxmlformats.org/officeDocument/2006/relationships/revisionLog" Target="revisionLog105.xml"/><Relationship Id="rId126" Type="http://schemas.openxmlformats.org/officeDocument/2006/relationships/revisionLog" Target="revisionLog126.xml"/><Relationship Id="rId147" Type="http://schemas.openxmlformats.org/officeDocument/2006/relationships/revisionLog" Target="revisionLog147.xml"/><Relationship Id="rId8" Type="http://schemas.openxmlformats.org/officeDocument/2006/relationships/revisionLog" Target="revisionLog8.xml"/><Relationship Id="rId51" Type="http://schemas.openxmlformats.org/officeDocument/2006/relationships/revisionLog" Target="revisionLog51.xml"/><Relationship Id="rId72" Type="http://schemas.openxmlformats.org/officeDocument/2006/relationships/revisionLog" Target="revisionLog72.xml"/><Relationship Id="rId93" Type="http://schemas.openxmlformats.org/officeDocument/2006/relationships/revisionLog" Target="revisionLog93.xml"/><Relationship Id="rId98" Type="http://schemas.openxmlformats.org/officeDocument/2006/relationships/revisionLog" Target="revisionLog98.xml"/><Relationship Id="rId121" Type="http://schemas.openxmlformats.org/officeDocument/2006/relationships/revisionLog" Target="revisionLog121.xml"/><Relationship Id="rId142" Type="http://schemas.openxmlformats.org/officeDocument/2006/relationships/revisionLog" Target="revisionLog142.xml"/><Relationship Id="rId3" Type="http://schemas.openxmlformats.org/officeDocument/2006/relationships/revisionLog" Target="revisionLog3.xml"/><Relationship Id="rId25" Type="http://schemas.openxmlformats.org/officeDocument/2006/relationships/revisionLog" Target="revisionLog25.xml"/><Relationship Id="rId46" Type="http://schemas.openxmlformats.org/officeDocument/2006/relationships/revisionLog" Target="revisionLog46.xml"/><Relationship Id="rId67" Type="http://schemas.openxmlformats.org/officeDocument/2006/relationships/revisionLog" Target="revisionLog67.xml"/><Relationship Id="rId116" Type="http://schemas.openxmlformats.org/officeDocument/2006/relationships/revisionLog" Target="revisionLog116.xml"/><Relationship Id="rId137" Type="http://schemas.openxmlformats.org/officeDocument/2006/relationships/revisionLog" Target="revisionLog137.xml"/><Relationship Id="rId158" Type="http://schemas.openxmlformats.org/officeDocument/2006/relationships/revisionLog" Target="revisionLog15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BC3B476D-64C6-49A6-A181-23F49ADAFE0F}" diskRevisions="1" revisionId="2863" version="160">
  <header guid="{C5676981-DFBA-47F7-966A-BA7BA52B4BA6}" dateTime="2026-09-02T09:35:01" maxSheetId="5" userName="C600-PC" r:id="rId1">
    <sheetIdMap count="4">
      <sheetId val="1"/>
      <sheetId val="2"/>
      <sheetId val="3"/>
      <sheetId val="4"/>
    </sheetIdMap>
  </header>
  <header guid="{E809AC10-E259-4F37-BA30-075A8F1FC268}" dateTime="2026-09-02T09:36:22" maxSheetId="5" userName="C600-PC" r:id="rId2" minRId="1" maxRId="2">
    <sheetIdMap count="4">
      <sheetId val="1"/>
      <sheetId val="2"/>
      <sheetId val="3"/>
      <sheetId val="4"/>
    </sheetIdMap>
  </header>
  <header guid="{F0D16619-4214-4931-B61D-C67FD23107B2}" dateTime="2026-09-02T10:00:25" maxSheetId="5" userName="C776-PC" r:id="rId3" minRId="3">
    <sheetIdMap count="4">
      <sheetId val="1"/>
      <sheetId val="2"/>
      <sheetId val="3"/>
      <sheetId val="4"/>
    </sheetIdMap>
  </header>
  <header guid="{FAFEC6EB-F1CE-45AC-825C-E3A5057AA930}" dateTime="2026-09-02T10:30:42" maxSheetId="5" userName="C776-PC" r:id="rId4" minRId="16" maxRId="21">
    <sheetIdMap count="4">
      <sheetId val="1"/>
      <sheetId val="2"/>
      <sheetId val="3"/>
      <sheetId val="4"/>
    </sheetIdMap>
  </header>
  <header guid="{C21AE446-4248-4D2E-BD22-D49B0040ED01}" dateTime="2026-09-02T10:43:07" maxSheetId="5" userName="C776-PC" r:id="rId5" minRId="22" maxRId="30">
    <sheetIdMap count="4">
      <sheetId val="1"/>
      <sheetId val="2"/>
      <sheetId val="3"/>
      <sheetId val="4"/>
    </sheetIdMap>
  </header>
  <header guid="{B1D555CF-DB1D-4959-A643-F9B33C4EC031}" dateTime="2026-09-02T11:05:56" maxSheetId="5" userName="C600-PC" r:id="rId6">
    <sheetIdMap count="4">
      <sheetId val="1"/>
      <sheetId val="2"/>
      <sheetId val="3"/>
      <sheetId val="4"/>
    </sheetIdMap>
  </header>
  <header guid="{9CF987FC-9B77-4C94-A800-EB3A58DA8BD3}" dateTime="2026-09-02T11:54:37" maxSheetId="5" userName="C600-PC" r:id="rId7">
    <sheetIdMap count="4">
      <sheetId val="1"/>
      <sheetId val="2"/>
      <sheetId val="3"/>
      <sheetId val="4"/>
    </sheetIdMap>
  </header>
  <header guid="{91255690-4147-40B2-8F1E-E1A5F77884B5}" dateTime="2026-09-02T14:28:57" maxSheetId="5" userName="C776-PC" r:id="rId8" minRId="55" maxRId="64">
    <sheetIdMap count="4">
      <sheetId val="1"/>
      <sheetId val="2"/>
      <sheetId val="3"/>
      <sheetId val="4"/>
    </sheetIdMap>
  </header>
  <header guid="{41A0C49A-02AF-450B-8F27-28D2B5EF2A2C}" dateTime="2026-09-02T14:29:24" maxSheetId="5" userName="C776-PC" r:id="rId9">
    <sheetIdMap count="4">
      <sheetId val="1"/>
      <sheetId val="2"/>
      <sheetId val="3"/>
      <sheetId val="4"/>
    </sheetIdMap>
  </header>
  <header guid="{4935EAA1-D441-4222-8AE5-8A15DCCFA44C}" dateTime="2026-09-02T14:30:46" maxSheetId="5" userName="C776-PC" r:id="rId10" minRId="65" maxRId="75">
    <sheetIdMap count="4">
      <sheetId val="1"/>
      <sheetId val="2"/>
      <sheetId val="3"/>
      <sheetId val="4"/>
    </sheetIdMap>
  </header>
  <header guid="{3390FBE5-5C1F-4F8B-85FE-031D3C3E08BF}" dateTime="2026-09-02T15:27:44" maxSheetId="5" userName="C776-PC" r:id="rId11">
    <sheetIdMap count="4">
      <sheetId val="1"/>
      <sheetId val="2"/>
      <sheetId val="3"/>
      <sheetId val="4"/>
    </sheetIdMap>
  </header>
  <header guid="{17D5EC62-FE5E-4A8D-B9CB-EE7013D23B6C}" dateTime="2026-09-03T09:44:03" maxSheetId="5" userName="C776-PC" r:id="rId12" minRId="88" maxRId="114">
    <sheetIdMap count="4">
      <sheetId val="1"/>
      <sheetId val="2"/>
      <sheetId val="3"/>
      <sheetId val="4"/>
    </sheetIdMap>
  </header>
  <header guid="{EEEC3B93-AB36-4586-B643-22F3C07EA76B}" dateTime="2026-09-03T09:51:34" maxSheetId="5" userName="C776-PC" r:id="rId13" minRId="115" maxRId="118">
    <sheetIdMap count="4">
      <sheetId val="1"/>
      <sheetId val="2"/>
      <sheetId val="3"/>
      <sheetId val="4"/>
    </sheetIdMap>
  </header>
  <header guid="{ADAE5550-32EF-4C88-8C08-B00DE7B3338C}" dateTime="2026-09-03T10:23:10" maxSheetId="5" userName="C776-PC" r:id="rId14" minRId="119" maxRId="124">
    <sheetIdMap count="4">
      <sheetId val="1"/>
      <sheetId val="2"/>
      <sheetId val="3"/>
      <sheetId val="4"/>
    </sheetIdMap>
  </header>
  <header guid="{1BA821A8-7C9C-4040-BD58-A2DEA4D0484C}" dateTime="2026-09-03T11:18:23" maxSheetId="5" userName="C600-PC" r:id="rId15" minRId="125" maxRId="131">
    <sheetIdMap count="4">
      <sheetId val="1"/>
      <sheetId val="2"/>
      <sheetId val="3"/>
      <sheetId val="4"/>
    </sheetIdMap>
  </header>
  <header guid="{F4C925E0-9E2A-460F-91A1-22A5F20A37D4}" dateTime="2026-09-03T11:41:28" maxSheetId="5" userName="C776-PC" r:id="rId16" minRId="132" maxRId="137">
    <sheetIdMap count="4">
      <sheetId val="1"/>
      <sheetId val="2"/>
      <sheetId val="3"/>
      <sheetId val="4"/>
    </sheetIdMap>
  </header>
  <header guid="{0C93A49C-8187-4944-A335-D44698C98DD2}" dateTime="2026-09-03T13:24:58" maxSheetId="5" userName="C776-PC" r:id="rId17" minRId="138" maxRId="154">
    <sheetIdMap count="4">
      <sheetId val="1"/>
      <sheetId val="2"/>
      <sheetId val="3"/>
      <sheetId val="4"/>
    </sheetIdMap>
  </header>
  <header guid="{9BD7D96D-080D-4228-9160-3C47D9B5BD2C}" dateTime="2026-09-03T15:59:51" maxSheetId="5" userName="C776-PC" r:id="rId18" minRId="167" maxRId="168">
    <sheetIdMap count="4">
      <sheetId val="1"/>
      <sheetId val="2"/>
      <sheetId val="3"/>
      <sheetId val="4"/>
    </sheetIdMap>
  </header>
  <header guid="{5B656F5E-C3BF-45B3-8F62-FA6025555341}" dateTime="2026-09-03T16:47:28" maxSheetId="5" userName="C600-PC" r:id="rId19" minRId="169" maxRId="187">
    <sheetIdMap count="4">
      <sheetId val="1"/>
      <sheetId val="2"/>
      <sheetId val="3"/>
      <sheetId val="4"/>
    </sheetIdMap>
  </header>
  <header guid="{FDD55D99-72B7-486E-A92E-79B2E1D5C352}" dateTime="2026-09-04T09:31:17" maxSheetId="5" userName="C600-PC" r:id="rId20">
    <sheetIdMap count="4">
      <sheetId val="1"/>
      <sheetId val="2"/>
      <sheetId val="3"/>
      <sheetId val="4"/>
    </sheetIdMap>
  </header>
  <header guid="{6FF9ECF2-EF08-4D33-B0CE-A7D1BF3E1706}" dateTime="2026-09-04T09:43:32" maxSheetId="5" userName="C600-PC" r:id="rId21" minRId="212" maxRId="233">
    <sheetIdMap count="4">
      <sheetId val="1"/>
      <sheetId val="2"/>
      <sheetId val="3"/>
      <sheetId val="4"/>
    </sheetIdMap>
  </header>
  <header guid="{CE67832A-2921-4AFC-A187-5AF261443793}" dateTime="2026-09-04T09:46:22" maxSheetId="5" userName="C776-PC" r:id="rId22" minRId="234" maxRId="240">
    <sheetIdMap count="4">
      <sheetId val="1"/>
      <sheetId val="2"/>
      <sheetId val="3"/>
      <sheetId val="4"/>
    </sheetIdMap>
  </header>
  <header guid="{81050E79-3A31-41EA-8373-E28BE78BA11A}" dateTime="2026-09-04T09:48:21" maxSheetId="5" userName="C776-PC" r:id="rId23">
    <sheetIdMap count="4">
      <sheetId val="1"/>
      <sheetId val="2"/>
      <sheetId val="3"/>
      <sheetId val="4"/>
    </sheetIdMap>
  </header>
  <header guid="{C7FFC80A-AED6-477B-90A9-8AE7F1FB4B71}" dateTime="2026-09-04T10:06:18" maxSheetId="5" userName="C600-PC" r:id="rId24" minRId="265" maxRId="1195">
    <sheetIdMap count="4">
      <sheetId val="1"/>
      <sheetId val="2"/>
      <sheetId val="3"/>
      <sheetId val="4"/>
    </sheetIdMap>
  </header>
  <header guid="{638C9EE5-3271-4B00-9CB8-12EB5E924DFA}" dateTime="2026-09-04T10:08:53" maxSheetId="5" userName="C600-PC" r:id="rId25">
    <sheetIdMap count="4">
      <sheetId val="1"/>
      <sheetId val="2"/>
      <sheetId val="3"/>
      <sheetId val="4"/>
    </sheetIdMap>
  </header>
  <header guid="{ECB085BD-5402-4EAE-9101-C937FE2BF6E0}" dateTime="2026-09-04T10:11:42" maxSheetId="5" userName="C600-PC" r:id="rId26">
    <sheetIdMap count="4">
      <sheetId val="1"/>
      <sheetId val="2"/>
      <sheetId val="3"/>
      <sheetId val="4"/>
    </sheetIdMap>
  </header>
  <header guid="{408CE4D3-510F-4863-8387-4B3FED69BCC1}" dateTime="2026-09-04T10:18:54" maxSheetId="5" userName="C776-PC" r:id="rId27" minRId="1232" maxRId="1235">
    <sheetIdMap count="4">
      <sheetId val="1"/>
      <sheetId val="2"/>
      <sheetId val="3"/>
      <sheetId val="4"/>
    </sheetIdMap>
  </header>
  <header guid="{CCC2699E-3936-4C19-A025-4712348160E6}" dateTime="2026-09-04T13:22:31" maxSheetId="5" userName="C776-PC" r:id="rId28" minRId="1236" maxRId="1239">
    <sheetIdMap count="4">
      <sheetId val="1"/>
      <sheetId val="2"/>
      <sheetId val="3"/>
      <sheetId val="4"/>
    </sheetIdMap>
  </header>
  <header guid="{AF0A4EFD-6729-4BB9-BAAC-AB321A9FD739}" dateTime="2026-09-04T13:23:01" maxSheetId="5" userName="C776-PC" r:id="rId29">
    <sheetIdMap count="4">
      <sheetId val="1"/>
      <sheetId val="2"/>
      <sheetId val="3"/>
      <sheetId val="4"/>
    </sheetIdMap>
  </header>
  <header guid="{9AE2DA97-B577-4F80-AA8B-68D4C763C24B}" dateTime="2026-09-04T13:26:07" maxSheetId="5" userName="C776-PC" r:id="rId30" minRId="1264" maxRId="1274">
    <sheetIdMap count="4">
      <sheetId val="1"/>
      <sheetId val="2"/>
      <sheetId val="3"/>
      <sheetId val="4"/>
    </sheetIdMap>
  </header>
  <header guid="{73C8B2BA-9037-4A83-9587-D88694FD97AF}" dateTime="2026-09-04T14:13:20" maxSheetId="5" userName="C776-PC" r:id="rId31" minRId="1275">
    <sheetIdMap count="4">
      <sheetId val="1"/>
      <sheetId val="2"/>
      <sheetId val="3"/>
      <sheetId val="4"/>
    </sheetIdMap>
  </header>
  <header guid="{4CD2E26F-C89E-4BC2-ABDE-EC6D7326A89C}" dateTime="2026-09-04T15:57:02" maxSheetId="5" userName="C600-PC" r:id="rId32" minRId="1276" maxRId="1286">
    <sheetIdMap count="4">
      <sheetId val="1"/>
      <sheetId val="2"/>
      <sheetId val="3"/>
      <sheetId val="4"/>
    </sheetIdMap>
  </header>
  <header guid="{02FFEDB7-7C1D-4BDF-BF63-43878F15D7A9}" dateTime="2026-09-04T15:59:42" maxSheetId="5" userName="C600-PC" r:id="rId33" minRId="1299">
    <sheetIdMap count="4">
      <sheetId val="1"/>
      <sheetId val="2"/>
      <sheetId val="3"/>
      <sheetId val="4"/>
    </sheetIdMap>
  </header>
  <header guid="{0BAA73D8-4ED0-47FF-94E4-B6284E3EC438}" dateTime="2026-09-05T11:48:16" maxSheetId="5" userName="C600-PC" r:id="rId34" minRId="1312" maxRId="1324">
    <sheetIdMap count="4">
      <sheetId val="1"/>
      <sheetId val="2"/>
      <sheetId val="3"/>
      <sheetId val="4"/>
    </sheetIdMap>
  </header>
  <header guid="{11583D10-9E42-433F-BED5-2F98A79A0852}" dateTime="2026-09-05T11:48:46" maxSheetId="5" userName="C600-PC" r:id="rId35" minRId="1337" maxRId="1340">
    <sheetIdMap count="4">
      <sheetId val="1"/>
      <sheetId val="2"/>
      <sheetId val="3"/>
      <sheetId val="4"/>
    </sheetIdMap>
  </header>
  <header guid="{3D917F37-DA5B-4B8C-92B3-E25F490FBD80}" dateTime="2026-09-05T12:27:37" maxSheetId="5" userName="C600-PC" r:id="rId36" minRId="1341" maxRId="1344">
    <sheetIdMap count="4">
      <sheetId val="1"/>
      <sheetId val="2"/>
      <sheetId val="3"/>
      <sheetId val="4"/>
    </sheetIdMap>
  </header>
  <header guid="{968115A3-2247-490B-BE15-5B6843A37E1A}" dateTime="2026-09-05T12:53:07" maxSheetId="5" userName="C600-PC" r:id="rId37">
    <sheetIdMap count="4">
      <sheetId val="1"/>
      <sheetId val="2"/>
      <sheetId val="3"/>
      <sheetId val="4"/>
    </sheetIdMap>
  </header>
  <header guid="{F7E55063-6C2A-49A0-99BD-F5E8F55441F1}" dateTime="2026-09-06T09:30:07" maxSheetId="5" userName="C600-PC" r:id="rId38" minRId="1357" maxRId="1360">
    <sheetIdMap count="4">
      <sheetId val="1"/>
      <sheetId val="2"/>
      <sheetId val="3"/>
      <sheetId val="4"/>
    </sheetIdMap>
  </header>
  <header guid="{F33D1032-FEA1-4407-8194-2226545BE445}" dateTime="2026-09-06T09:36:24" maxSheetId="5" userName="C600-PC" r:id="rId39" minRId="1361" maxRId="1380">
    <sheetIdMap count="4">
      <sheetId val="1"/>
      <sheetId val="2"/>
      <sheetId val="3"/>
      <sheetId val="4"/>
    </sheetIdMap>
  </header>
  <header guid="{DBBF4BFC-05D0-4FD6-BA1E-271F85537F12}" dateTime="2026-09-06T09:37:53" maxSheetId="5" userName="C600-PC" r:id="rId40" minRId="1381" maxRId="1384">
    <sheetIdMap count="4">
      <sheetId val="1"/>
      <sheetId val="2"/>
      <sheetId val="3"/>
      <sheetId val="4"/>
    </sheetIdMap>
  </header>
  <header guid="{D03C90FB-1B2F-4D37-BB89-1BFED85A57E4}" dateTime="2026-09-06T10:03:37" maxSheetId="5" userName="C600-PC" r:id="rId41" minRId="1385" maxRId="1387">
    <sheetIdMap count="4">
      <sheetId val="1"/>
      <sheetId val="2"/>
      <sheetId val="3"/>
      <sheetId val="4"/>
    </sheetIdMap>
  </header>
  <header guid="{A2B16A43-FE2F-4918-BDDE-A85641424377}" dateTime="2026-09-06T10:41:14" maxSheetId="5" userName="C600-PC" r:id="rId42" minRId="1388" maxRId="1391">
    <sheetIdMap count="4">
      <sheetId val="1"/>
      <sheetId val="2"/>
      <sheetId val="3"/>
      <sheetId val="4"/>
    </sheetIdMap>
  </header>
  <header guid="{B30E6AE7-7062-4485-B159-68249744F3D7}" dateTime="2026-09-06T11:36:44" maxSheetId="5" userName="C600-PC" r:id="rId43" minRId="1392" maxRId="1394">
    <sheetIdMap count="4">
      <sheetId val="1"/>
      <sheetId val="2"/>
      <sheetId val="3"/>
      <sheetId val="4"/>
    </sheetIdMap>
  </header>
  <header guid="{FB110EFD-4859-473F-91C6-2E0CB3A1CE3A}" dateTime="2026-09-06T11:50:00" maxSheetId="5" userName="C600-PC" r:id="rId44" minRId="1395" maxRId="1397">
    <sheetIdMap count="4">
      <sheetId val="1"/>
      <sheetId val="2"/>
      <sheetId val="3"/>
      <sheetId val="4"/>
    </sheetIdMap>
  </header>
  <header guid="{50FB154D-FF3A-4B7E-9BBD-FF281B5781C8}" dateTime="2026-09-06T12:00:12" maxSheetId="5" userName="C600-PC" r:id="rId45" minRId="1410" maxRId="1414">
    <sheetIdMap count="4">
      <sheetId val="1"/>
      <sheetId val="2"/>
      <sheetId val="3"/>
      <sheetId val="4"/>
    </sheetIdMap>
  </header>
  <header guid="{9D1903A4-7914-43FB-BEB8-F6B4C2FFD48F}" dateTime="2026-09-07T08:54:38" maxSheetId="5" userName="C600-PC" r:id="rId46" minRId="1427" maxRId="1442">
    <sheetIdMap count="4">
      <sheetId val="1"/>
      <sheetId val="2"/>
      <sheetId val="3"/>
      <sheetId val="4"/>
    </sheetIdMap>
  </header>
  <header guid="{32753754-4B91-468F-ABBF-67C8575D20C0}" dateTime="2026-09-07T08:54:47" maxSheetId="5" userName="C600-PC" r:id="rId47">
    <sheetIdMap count="4">
      <sheetId val="1"/>
      <sheetId val="2"/>
      <sheetId val="3"/>
      <sheetId val="4"/>
    </sheetIdMap>
  </header>
  <header guid="{9D747249-B347-4291-978E-0B4C281832C3}" dateTime="2026-09-07T09:13:36" maxSheetId="5" userName="C600-PC" r:id="rId48" minRId="1455" maxRId="1456">
    <sheetIdMap count="4">
      <sheetId val="1"/>
      <sheetId val="2"/>
      <sheetId val="3"/>
      <sheetId val="4"/>
    </sheetIdMap>
  </header>
  <header guid="{39344B92-32BF-447F-9EC2-85EF2889A484}" dateTime="2026-09-07T09:25:11" maxSheetId="5" userName="C776-PC" r:id="rId49" minRId="1457" maxRId="1460">
    <sheetIdMap count="4">
      <sheetId val="1"/>
      <sheetId val="2"/>
      <sheetId val="3"/>
      <sheetId val="4"/>
    </sheetIdMap>
  </header>
  <header guid="{1148B17E-6CC3-43FE-8075-70782E15FFA6}" dateTime="2026-09-07T11:11:15" maxSheetId="5" userName="C776-PC" r:id="rId50" minRId="1461" maxRId="1467">
    <sheetIdMap count="4">
      <sheetId val="1"/>
      <sheetId val="2"/>
      <sheetId val="3"/>
      <sheetId val="4"/>
    </sheetIdMap>
  </header>
  <header guid="{34DE4DC8-1A80-4F05-9EC1-80230B8595A4}" dateTime="2026-09-07T11:11:23" maxSheetId="5" userName="C776-PC" r:id="rId51" minRId="1468">
    <sheetIdMap count="4">
      <sheetId val="1"/>
      <sheetId val="2"/>
      <sheetId val="3"/>
      <sheetId val="4"/>
    </sheetIdMap>
  </header>
  <header guid="{781995FE-4294-438E-9207-2A8B50AAFA4D}" dateTime="2026-09-07T11:23:20" maxSheetId="5" userName="C776-PC" r:id="rId52" minRId="1469" maxRId="1471">
    <sheetIdMap count="4">
      <sheetId val="1"/>
      <sheetId val="2"/>
      <sheetId val="3"/>
      <sheetId val="4"/>
    </sheetIdMap>
  </header>
  <header guid="{B5317847-F60C-4A99-8CC0-EFC466709A5A}" dateTime="2026-09-07T13:41:55" maxSheetId="5" userName="C776-PC" r:id="rId53" minRId="1472" maxRId="1494">
    <sheetIdMap count="4">
      <sheetId val="1"/>
      <sheetId val="2"/>
      <sheetId val="3"/>
      <sheetId val="4"/>
    </sheetIdMap>
  </header>
  <header guid="{5934753C-57FA-4AF3-AE79-F7EA7F85848B}" dateTime="2026-09-07T13:59:47" maxSheetId="5" userName="C776-PC" r:id="rId54" minRId="1495" maxRId="1664">
    <sheetIdMap count="4">
      <sheetId val="1"/>
      <sheetId val="2"/>
      <sheetId val="3"/>
      <sheetId val="4"/>
    </sheetIdMap>
  </header>
  <header guid="{80545A70-D588-4FA9-8F2A-A5DE5EA8C972}" dateTime="2026-09-07T15:26:38" maxSheetId="5" userName="C776-PC" r:id="rId55" minRId="1665" maxRId="1679">
    <sheetIdMap count="4">
      <sheetId val="1"/>
      <sheetId val="2"/>
      <sheetId val="3"/>
      <sheetId val="4"/>
    </sheetIdMap>
  </header>
  <header guid="{901A7F6B-025C-4ED6-BD45-51864C07015A}" dateTime="2026-09-07T15:26:58" maxSheetId="5" userName="C776-PC" r:id="rId56" minRId="1680" maxRId="1695">
    <sheetIdMap count="4">
      <sheetId val="1"/>
      <sheetId val="2"/>
      <sheetId val="3"/>
      <sheetId val="4"/>
    </sheetIdMap>
  </header>
  <header guid="{4CEC34F1-AB7C-4F6A-995D-2B397EF16645}" dateTime="2026-09-07T15:38:38" maxSheetId="5" userName="C776-PC" r:id="rId57" minRId="1696" maxRId="1737">
    <sheetIdMap count="4">
      <sheetId val="1"/>
      <sheetId val="2"/>
      <sheetId val="3"/>
      <sheetId val="4"/>
    </sheetIdMap>
  </header>
  <header guid="{1B8960D1-F077-4831-A975-53F03D0FDA0D}" dateTime="2026-09-07T16:05:57" maxSheetId="5" userName="C776-PC" r:id="rId58">
    <sheetIdMap count="4">
      <sheetId val="1"/>
      <sheetId val="2"/>
      <sheetId val="3"/>
      <sheetId val="4"/>
    </sheetIdMap>
  </header>
  <header guid="{A4155FA7-B820-4E99-861D-39A96463F695}" dateTime="2026-09-08T07:49:23" maxSheetId="5" userName="C776-PC" r:id="rId59" minRId="1750" maxRId="1755">
    <sheetIdMap count="4">
      <sheetId val="1"/>
      <sheetId val="2"/>
      <sheetId val="3"/>
      <sheetId val="4"/>
    </sheetIdMap>
  </header>
  <header guid="{52CFB3B3-D017-43B6-9414-3F85C76C2B86}" dateTime="2026-09-08T08:56:51" maxSheetId="5" userName="C776-PC" r:id="rId60" minRId="1768" maxRId="1788">
    <sheetIdMap count="4">
      <sheetId val="1"/>
      <sheetId val="2"/>
      <sheetId val="3"/>
      <sheetId val="4"/>
    </sheetIdMap>
  </header>
  <header guid="{346EA4F6-6BEB-4E19-80AE-3F03585A6505}" dateTime="2026-09-08T10:05:58" maxSheetId="5" userName="C776-PC" r:id="rId61" minRId="1789" maxRId="1796">
    <sheetIdMap count="4">
      <sheetId val="1"/>
      <sheetId val="2"/>
      <sheetId val="3"/>
      <sheetId val="4"/>
    </sheetIdMap>
  </header>
  <header guid="{3DB6933B-175B-4529-8900-4719929FE584}" dateTime="2026-09-08T10:07:19" maxSheetId="5" userName="C776-PC" r:id="rId62" minRId="1797" maxRId="1798">
    <sheetIdMap count="4">
      <sheetId val="1"/>
      <sheetId val="2"/>
      <sheetId val="3"/>
      <sheetId val="4"/>
    </sheetIdMap>
  </header>
  <header guid="{E98866D1-D067-48D5-9152-9FEAD84081B2}" dateTime="2026-09-08T10:10:55" maxSheetId="5" userName="C776-PC" r:id="rId63" minRId="1799" maxRId="1805">
    <sheetIdMap count="4">
      <sheetId val="1"/>
      <sheetId val="2"/>
      <sheetId val="3"/>
      <sheetId val="4"/>
    </sheetIdMap>
  </header>
  <header guid="{F2011483-7B7C-40B3-95F0-FEE2EE79E1B7}" dateTime="2026-09-08T10:13:03" maxSheetId="5" userName="C776-PC" r:id="rId64" minRId="1806" maxRId="1807">
    <sheetIdMap count="4">
      <sheetId val="1"/>
      <sheetId val="2"/>
      <sheetId val="3"/>
      <sheetId val="4"/>
    </sheetIdMap>
  </header>
  <header guid="{90A50055-5FED-4050-B503-350AFBEC3F80}" dateTime="2026-09-08T10:55:19" maxSheetId="5" userName="C776-PC" r:id="rId65" minRId="1808" maxRId="1819">
    <sheetIdMap count="4">
      <sheetId val="1"/>
      <sheetId val="2"/>
      <sheetId val="3"/>
      <sheetId val="4"/>
    </sheetIdMap>
  </header>
  <header guid="{8C9082BC-3841-4F88-B10D-A436E0A89D01}" dateTime="2026-09-08T11:22:18" maxSheetId="5" userName="C776-PC" r:id="rId66" minRId="1820" maxRId="1821">
    <sheetIdMap count="4">
      <sheetId val="1"/>
      <sheetId val="2"/>
      <sheetId val="3"/>
      <sheetId val="4"/>
    </sheetIdMap>
  </header>
  <header guid="{CD950A6D-EDBC-4908-9385-2A84A4FF74A2}" dateTime="2026-09-08T11:22:23" maxSheetId="5" userName="C776-PC" r:id="rId67">
    <sheetIdMap count="4">
      <sheetId val="1"/>
      <sheetId val="2"/>
      <sheetId val="3"/>
      <sheetId val="4"/>
    </sheetIdMap>
  </header>
  <header guid="{2AD0427A-F36C-45C7-BF23-C282D851D4A6}" dateTime="2026-09-08T11:45:11" maxSheetId="5" userName="C600-PC" r:id="rId68">
    <sheetIdMap count="4">
      <sheetId val="1"/>
      <sheetId val="2"/>
      <sheetId val="3"/>
      <sheetId val="4"/>
    </sheetIdMap>
  </header>
  <header guid="{741528A7-CDCC-4B6F-8889-724C497CAE02}" dateTime="2026-09-08T11:49:52" maxSheetId="5" userName="C600-PC" r:id="rId69">
    <sheetIdMap count="4">
      <sheetId val="1"/>
      <sheetId val="2"/>
      <sheetId val="3"/>
      <sheetId val="4"/>
    </sheetIdMap>
  </header>
  <header guid="{D35E3E39-7D79-4B1F-8893-5B3031EA5A04}" dateTime="2026-09-08T11:56:24" maxSheetId="5" userName="C776-PC" r:id="rId70" minRId="1834" maxRId="1835">
    <sheetIdMap count="4">
      <sheetId val="1"/>
      <sheetId val="2"/>
      <sheetId val="3"/>
      <sheetId val="4"/>
    </sheetIdMap>
  </header>
  <header guid="{92BF3D49-E4EA-4325-8DBE-860A6AC928D8}" dateTime="2026-09-08T14:01:36" maxSheetId="5" userName="C776-PC" r:id="rId71" minRId="1836" maxRId="1851">
    <sheetIdMap count="4">
      <sheetId val="1"/>
      <sheetId val="2"/>
      <sheetId val="3"/>
      <sheetId val="4"/>
    </sheetIdMap>
  </header>
  <header guid="{F5C2CBCB-DEBD-4812-80B2-32C727F200E3}" dateTime="2026-09-08T14:03:26" maxSheetId="5" userName="C776-PC" r:id="rId72" minRId="1864">
    <sheetIdMap count="4">
      <sheetId val="1"/>
      <sheetId val="2"/>
      <sheetId val="3"/>
      <sheetId val="4"/>
    </sheetIdMap>
  </header>
  <header guid="{27656BFB-7ECC-4274-89B8-F312F1A54E85}" dateTime="2026-09-08T14:04:07" maxSheetId="5" userName="C776-PC" r:id="rId73" minRId="1865">
    <sheetIdMap count="4">
      <sheetId val="1"/>
      <sheetId val="2"/>
      <sheetId val="3"/>
      <sheetId val="4"/>
    </sheetIdMap>
  </header>
  <header guid="{5DA0714D-5157-4A2F-B829-F416BAB8C4D9}" dateTime="2026-09-08T14:31:19" maxSheetId="5" userName="C776-PC" r:id="rId74" minRId="1866">
    <sheetIdMap count="4">
      <sheetId val="1"/>
      <sheetId val="2"/>
      <sheetId val="3"/>
      <sheetId val="4"/>
    </sheetIdMap>
  </header>
  <header guid="{F897DF68-5185-409F-9FB2-C5CBC9D523FA}" dateTime="2026-09-08T15:11:53" maxSheetId="5" userName="C776-PC" r:id="rId75" minRId="1879" maxRId="1918">
    <sheetIdMap count="4">
      <sheetId val="1"/>
      <sheetId val="2"/>
      <sheetId val="3"/>
      <sheetId val="4"/>
    </sheetIdMap>
  </header>
  <header guid="{768A2820-9064-4E80-961D-5D65C6F04FC3}" dateTime="2026-09-08T15:22:42" maxSheetId="5" userName="C776-PC" r:id="rId76" minRId="1919" maxRId="1920">
    <sheetIdMap count="4">
      <sheetId val="1"/>
      <sheetId val="2"/>
      <sheetId val="3"/>
      <sheetId val="4"/>
    </sheetIdMap>
  </header>
  <header guid="{28C9580B-978A-4DD8-84A8-9511F431E544}" dateTime="2026-09-09T09:28:50" maxSheetId="5" userName="C776-PC" r:id="rId77" minRId="1921" maxRId="1926">
    <sheetIdMap count="4">
      <sheetId val="1"/>
      <sheetId val="2"/>
      <sheetId val="3"/>
      <sheetId val="4"/>
    </sheetIdMap>
  </header>
  <header guid="{35ACFD91-A433-43ED-BC78-8F5B94170CF2}" dateTime="2026-09-09T09:30:23" maxSheetId="5" userName="C776-PC" r:id="rId78" minRId="1939" maxRId="1981">
    <sheetIdMap count="4">
      <sheetId val="1"/>
      <sheetId val="2"/>
      <sheetId val="3"/>
      <sheetId val="4"/>
    </sheetIdMap>
  </header>
  <header guid="{2B8EE64B-4EB0-4BE1-BCFC-BDD0AB0C7714}" dateTime="2026-09-09T10:05:37" maxSheetId="5" userName="C776-PC" r:id="rId79" minRId="1982" maxRId="1983">
    <sheetIdMap count="4">
      <sheetId val="1"/>
      <sheetId val="2"/>
      <sheetId val="3"/>
      <sheetId val="4"/>
    </sheetIdMap>
  </header>
  <header guid="{7D4C1F72-C058-488B-A68F-CD13F86503AB}" dateTime="2026-09-09T10:21:20" maxSheetId="5" userName="C776-PC" r:id="rId80" minRId="1984" maxRId="1985">
    <sheetIdMap count="4">
      <sheetId val="1"/>
      <sheetId val="2"/>
      <sheetId val="3"/>
      <sheetId val="4"/>
    </sheetIdMap>
  </header>
  <header guid="{D97F83CC-F7F7-4D19-824A-F3D1C12121B3}" dateTime="2026-09-09T10:32:43" maxSheetId="5" userName="C776-PC" r:id="rId81" minRId="1986" maxRId="1989">
    <sheetIdMap count="4">
      <sheetId val="1"/>
      <sheetId val="2"/>
      <sheetId val="3"/>
      <sheetId val="4"/>
    </sheetIdMap>
  </header>
  <header guid="{F9370D12-BA37-402E-B6D7-6DA571A261EA}" dateTime="2026-09-09T11:19:10" maxSheetId="5" userName="C776-PC" r:id="rId82" minRId="1990" maxRId="2001">
    <sheetIdMap count="4">
      <sheetId val="1"/>
      <sheetId val="2"/>
      <sheetId val="3"/>
      <sheetId val="4"/>
    </sheetIdMap>
  </header>
  <header guid="{CB9AB5CF-5B20-4189-9D43-AD8CF7D08645}" dateTime="2026-09-10T09:31:30" maxSheetId="5" userName="C776-PC" r:id="rId83" minRId="2002" maxRId="2009">
    <sheetIdMap count="4">
      <sheetId val="1"/>
      <sheetId val="2"/>
      <sheetId val="3"/>
      <sheetId val="4"/>
    </sheetIdMap>
  </header>
  <header guid="{404D01A7-E1DA-4DF8-959E-2CDD66B0E71D}" dateTime="2026-09-10T09:31:50" maxSheetId="5" userName="C776-PC" r:id="rId84" minRId="2022" maxRId="2024">
    <sheetIdMap count="4">
      <sheetId val="1"/>
      <sheetId val="2"/>
      <sheetId val="3"/>
      <sheetId val="4"/>
    </sheetIdMap>
  </header>
  <header guid="{781A4C7B-DD0C-40CD-B649-1EB6CDC6F4D6}" dateTime="2026-09-10T09:54:46" maxSheetId="5" userName="C776-PC" r:id="rId85" minRId="2025" maxRId="2027">
    <sheetIdMap count="4">
      <sheetId val="1"/>
      <sheetId val="2"/>
      <sheetId val="3"/>
      <sheetId val="4"/>
    </sheetIdMap>
  </header>
  <header guid="{C3FE2C94-92C9-4196-A485-933CC81194E6}" dateTime="2026-09-10T10:09:50" maxSheetId="5" userName="C600-PC" r:id="rId86">
    <sheetIdMap count="4">
      <sheetId val="1"/>
      <sheetId val="2"/>
      <sheetId val="3"/>
      <sheetId val="4"/>
    </sheetIdMap>
  </header>
  <header guid="{071ECF2A-81EE-4A55-8911-93CBBA510A2C}" dateTime="2026-09-10T10:37:31" maxSheetId="5" userName="C600-PC" r:id="rId87" minRId="2040">
    <sheetIdMap count="4">
      <sheetId val="1"/>
      <sheetId val="2"/>
      <sheetId val="3"/>
      <sheetId val="4"/>
    </sheetIdMap>
  </header>
  <header guid="{CFFD6FEC-217B-4C2B-BFDD-93E671DDE98D}" dateTime="2026-09-10T11:25:16" maxSheetId="5" userName="C776-PC" r:id="rId88" minRId="2041" maxRId="2043">
    <sheetIdMap count="4">
      <sheetId val="1"/>
      <sheetId val="2"/>
      <sheetId val="3"/>
      <sheetId val="4"/>
    </sheetIdMap>
  </header>
  <header guid="{74187E3E-76D7-41D5-8370-016A492AFFE7}" dateTime="2026-09-10T11:27:37" maxSheetId="5" userName="C776-PC" r:id="rId89" minRId="2044" maxRId="2056">
    <sheetIdMap count="4">
      <sheetId val="1"/>
      <sheetId val="2"/>
      <sheetId val="3"/>
      <sheetId val="4"/>
    </sheetIdMap>
  </header>
  <header guid="{E03267FF-8D4A-4831-B6CD-E8E68A1FF1A5}" dateTime="2026-09-10T11:32:47" maxSheetId="5" userName="C776-PC" r:id="rId90">
    <sheetIdMap count="4">
      <sheetId val="1"/>
      <sheetId val="2"/>
      <sheetId val="3"/>
      <sheetId val="4"/>
    </sheetIdMap>
  </header>
  <header guid="{B6E9084E-3FEF-4D1C-9F8E-0A37DCD6BFBA}" dateTime="2026-09-10T13:18:35" maxSheetId="5" userName="C776-PC" r:id="rId91" minRId="2057" maxRId="2058">
    <sheetIdMap count="4">
      <sheetId val="1"/>
      <sheetId val="2"/>
      <sheetId val="3"/>
      <sheetId val="4"/>
    </sheetIdMap>
  </header>
  <header guid="{E8AC2BB4-3995-46A2-A77D-4D4F7DABF6BD}" dateTime="2026-09-10T13:18:52" maxSheetId="5" userName="C776-PC" r:id="rId92" minRId="2059" maxRId="2060">
    <sheetIdMap count="4">
      <sheetId val="1"/>
      <sheetId val="2"/>
      <sheetId val="3"/>
      <sheetId val="4"/>
    </sheetIdMap>
  </header>
  <header guid="{181492C8-9CC4-42C1-8140-1B663F326875}" dateTime="2026-09-11T08:46:38" maxSheetId="5" userName="C776-PC" r:id="rId93">
    <sheetIdMap count="4">
      <sheetId val="1"/>
      <sheetId val="2"/>
      <sheetId val="3"/>
      <sheetId val="4"/>
    </sheetIdMap>
  </header>
  <header guid="{65FC5EFC-F5C3-4E62-91CA-919D4B356C25}" dateTime="2026-09-11T08:53:21" maxSheetId="5" userName="C776-PC" r:id="rId94" minRId="2073" maxRId="2080">
    <sheetIdMap count="4">
      <sheetId val="1"/>
      <sheetId val="2"/>
      <sheetId val="3"/>
      <sheetId val="4"/>
    </sheetIdMap>
  </header>
  <header guid="{D2CF6E04-93B4-470F-9FB9-21A807D10B3D}" dateTime="2026-09-11T08:53:39" maxSheetId="5" userName="C776-PC" r:id="rId95" minRId="2081" maxRId="2094">
    <sheetIdMap count="4">
      <sheetId val="1"/>
      <sheetId val="2"/>
      <sheetId val="3"/>
      <sheetId val="4"/>
    </sheetIdMap>
  </header>
  <header guid="{8B60F10B-52A1-4B38-BF29-E099416CD4ED}" dateTime="2026-09-11T08:54:03" maxSheetId="5" userName="C776-PC" r:id="rId96" minRId="2095">
    <sheetIdMap count="4">
      <sheetId val="1"/>
      <sheetId val="2"/>
      <sheetId val="3"/>
      <sheetId val="4"/>
    </sheetIdMap>
  </header>
  <header guid="{DE9BD929-7671-4F6B-B85E-011A08EA9BBA}" dateTime="2026-09-11T09:53:55" maxSheetId="5" userName="C776-PC" r:id="rId97" minRId="2096" maxRId="2105">
    <sheetIdMap count="4">
      <sheetId val="1"/>
      <sheetId val="2"/>
      <sheetId val="3"/>
      <sheetId val="4"/>
    </sheetIdMap>
  </header>
  <header guid="{8D77FF55-DEE2-4048-B581-825F55733E9B}" dateTime="2026-09-11T10:00:46" maxSheetId="5" userName="C776-PC" r:id="rId98" minRId="2118" maxRId="2138">
    <sheetIdMap count="4">
      <sheetId val="1"/>
      <sheetId val="2"/>
      <sheetId val="3"/>
      <sheetId val="4"/>
    </sheetIdMap>
  </header>
  <header guid="{BD741CF8-3F08-46BF-BCC7-A38947697592}" dateTime="2026-09-11T10:04:13" maxSheetId="5" userName="C776-PC" r:id="rId99" minRId="2139" maxRId="2143">
    <sheetIdMap count="4">
      <sheetId val="1"/>
      <sheetId val="2"/>
      <sheetId val="3"/>
      <sheetId val="4"/>
    </sheetIdMap>
  </header>
  <header guid="{C07CBD2E-9F72-4843-B909-E9C429CD922A}" dateTime="2026-09-11T13:17:56" maxSheetId="5" userName="C776-PC" r:id="rId100" minRId="2144" maxRId="2146">
    <sheetIdMap count="4">
      <sheetId val="1"/>
      <sheetId val="2"/>
      <sheetId val="3"/>
      <sheetId val="4"/>
    </sheetIdMap>
  </header>
  <header guid="{0184D183-CAAD-46D7-8FDD-E5CC84106ED2}" dateTime="2026-09-11T14:18:24" maxSheetId="5" userName="C776-PC" r:id="rId101" minRId="2159" maxRId="2160">
    <sheetIdMap count="4">
      <sheetId val="1"/>
      <sheetId val="2"/>
      <sheetId val="3"/>
      <sheetId val="4"/>
    </sheetIdMap>
  </header>
  <header guid="{0E948482-C272-4F2C-B0EE-52C07C7C5D34}" dateTime="2026-09-11T14:21:41" maxSheetId="5" userName="C776-PC" r:id="rId102" minRId="2161">
    <sheetIdMap count="4">
      <sheetId val="1"/>
      <sheetId val="2"/>
      <sheetId val="3"/>
      <sheetId val="4"/>
    </sheetIdMap>
  </header>
  <header guid="{94CA967C-AD7F-4DE4-91F8-693A3CD9CB9B}" dateTime="2026-09-11T15:12:36" maxSheetId="5" userName="C776-PC" r:id="rId103" minRId="2162" maxRId="2163">
    <sheetIdMap count="4">
      <sheetId val="1"/>
      <sheetId val="2"/>
      <sheetId val="3"/>
      <sheetId val="4"/>
    </sheetIdMap>
  </header>
  <header guid="{828463AD-AE9A-41D9-B425-88E75D6C5985}" dateTime="2026-09-11T15:19:35" maxSheetId="5" userName="C776-PC" r:id="rId104" minRId="2164" maxRId="2169">
    <sheetIdMap count="4">
      <sheetId val="1"/>
      <sheetId val="2"/>
      <sheetId val="3"/>
      <sheetId val="4"/>
    </sheetIdMap>
  </header>
  <header guid="{DE355DEA-E1F7-4BE1-BF9D-05065EBAF220}" dateTime="2026-09-11T15:21:22" maxSheetId="5" userName="C600-PC" r:id="rId105" minRId="2170" maxRId="2198">
    <sheetIdMap count="4">
      <sheetId val="1"/>
      <sheetId val="2"/>
      <sheetId val="3"/>
      <sheetId val="4"/>
    </sheetIdMap>
  </header>
  <header guid="{FF917CFD-EA19-4CA4-B2BD-7AE481332E00}" dateTime="2026-09-12T07:29:03" maxSheetId="5" userName="USER" r:id="rId106" minRId="2211" maxRId="2212">
    <sheetIdMap count="4">
      <sheetId val="1"/>
      <sheetId val="2"/>
      <sheetId val="3"/>
      <sheetId val="4"/>
    </sheetIdMap>
  </header>
  <header guid="{A5E09138-7589-4E9A-9B9E-3049459A1518}" dateTime="2026-09-12T10:57:44" maxSheetId="5" userName="USER" r:id="rId107" minRId="2225" maxRId="2233">
    <sheetIdMap count="4">
      <sheetId val="1"/>
      <sheetId val="2"/>
      <sheetId val="3"/>
      <sheetId val="4"/>
    </sheetIdMap>
  </header>
  <header guid="{CB9BF17A-3381-43DC-A456-5B0B7B55BBA0}" dateTime="2026-09-12T11:02:46" maxSheetId="5" userName="USER" r:id="rId108" minRId="2247" maxRId="2250">
    <sheetIdMap count="4">
      <sheetId val="1"/>
      <sheetId val="2"/>
      <sheetId val="3"/>
      <sheetId val="4"/>
    </sheetIdMap>
  </header>
  <header guid="{B59EB326-B30C-457C-8959-F92F569D4B83}" dateTime="2026-09-12T11:06:05" maxSheetId="5" userName="USER" r:id="rId109" minRId="2264" maxRId="2267">
    <sheetIdMap count="4">
      <sheetId val="1"/>
      <sheetId val="2"/>
      <sheetId val="3"/>
      <sheetId val="4"/>
    </sheetIdMap>
  </header>
  <header guid="{C40B5E7A-473E-48BD-A3FF-43A6156CBEF3}" dateTime="2026-09-12T11:19:32" maxSheetId="5" userName="USER" r:id="rId110" minRId="2268" maxRId="2270">
    <sheetIdMap count="4">
      <sheetId val="1"/>
      <sheetId val="2"/>
      <sheetId val="3"/>
      <sheetId val="4"/>
    </sheetIdMap>
  </header>
  <header guid="{4631D3CC-08D2-46BC-A83D-04CD0455F933}" dateTime="2026-09-12T11:35:06" maxSheetId="5" userName="USER" r:id="rId111" minRId="2271" maxRId="2274">
    <sheetIdMap count="4">
      <sheetId val="1"/>
      <sheetId val="2"/>
      <sheetId val="3"/>
      <sheetId val="4"/>
    </sheetIdMap>
  </header>
  <header guid="{51F3FA04-E454-49F0-9995-F3818D4FF899}" dateTime="2026-09-12T12:25:04" maxSheetId="5" userName="USER" r:id="rId112">
    <sheetIdMap count="4">
      <sheetId val="1"/>
      <sheetId val="2"/>
      <sheetId val="3"/>
      <sheetId val="4"/>
    </sheetIdMap>
  </header>
  <header guid="{96BA162F-DD6B-4185-A507-B099DD8D13CC}" dateTime="2026-09-13T10:13:48" maxSheetId="5" userName="USER" r:id="rId113" minRId="2301" maxRId="2304">
    <sheetIdMap count="4">
      <sheetId val="1"/>
      <sheetId val="2"/>
      <sheetId val="3"/>
      <sheetId val="4"/>
    </sheetIdMap>
  </header>
  <header guid="{F39DC9DF-4DB9-4CFB-AE8F-04D1E2B02374}" dateTime="2026-09-13T10:16:02" maxSheetId="5" userName="USER" r:id="rId114" minRId="2317" maxRId="2320">
    <sheetIdMap count="4">
      <sheetId val="1"/>
      <sheetId val="2"/>
      <sheetId val="3"/>
      <sheetId val="4"/>
    </sheetIdMap>
  </header>
  <header guid="{B59A5BD0-578F-45F1-AB32-390AE1D7CB55}" dateTime="2026-09-13T10:17:04" maxSheetId="5" userName="USER" r:id="rId115" minRId="2321" maxRId="2324">
    <sheetIdMap count="4">
      <sheetId val="1"/>
      <sheetId val="2"/>
      <sheetId val="3"/>
      <sheetId val="4"/>
    </sheetIdMap>
  </header>
  <header guid="{21EA8A36-5F99-4CC4-A162-280C3CADBC1D}" dateTime="2026-09-13T10:50:19" maxSheetId="5" userName="USER" r:id="rId116" minRId="2325" maxRId="2327">
    <sheetIdMap count="4">
      <sheetId val="1"/>
      <sheetId val="2"/>
      <sheetId val="3"/>
      <sheetId val="4"/>
    </sheetIdMap>
  </header>
  <header guid="{99E89AA7-C62C-4C7D-94F2-AF6D5694B882}" dateTime="2026-09-13T11:10:41" maxSheetId="5" userName="USER" r:id="rId117" minRId="2340" maxRId="2344">
    <sheetIdMap count="4">
      <sheetId val="1"/>
      <sheetId val="2"/>
      <sheetId val="3"/>
      <sheetId val="4"/>
    </sheetIdMap>
  </header>
  <header guid="{99EE636E-88DF-467A-9242-B2FBA4C2EB14}" dateTime="2026-09-14T08:16:11" maxSheetId="5" userName="C776-PC" r:id="rId118" minRId="2345" maxRId="2346">
    <sheetIdMap count="4">
      <sheetId val="1"/>
      <sheetId val="2"/>
      <sheetId val="3"/>
      <sheetId val="4"/>
    </sheetIdMap>
  </header>
  <header guid="{4C0A1525-1489-41AA-8141-82E27D2C9FAA}" dateTime="2026-09-14T08:17:15" maxSheetId="5" userName="C776-PC" r:id="rId119" minRId="2359" maxRId="2361">
    <sheetIdMap count="4">
      <sheetId val="1"/>
      <sheetId val="2"/>
      <sheetId val="3"/>
      <sheetId val="4"/>
    </sheetIdMap>
  </header>
  <header guid="{4DB57041-623A-4FE1-837A-D499F34F6A5F}" dateTime="2026-09-14T09:18:35" maxSheetId="5" userName="C776-PC" r:id="rId120" minRId="2374" maxRId="2379">
    <sheetIdMap count="4">
      <sheetId val="1"/>
      <sheetId val="2"/>
      <sheetId val="3"/>
      <sheetId val="4"/>
    </sheetIdMap>
  </header>
  <header guid="{44A2C31A-480E-44CE-8EFD-1F7D06918DC8}" dateTime="2026-09-14T09:40:38" maxSheetId="5" userName="C776-PC" r:id="rId121" minRId="2392" maxRId="2394">
    <sheetIdMap count="4">
      <sheetId val="1"/>
      <sheetId val="2"/>
      <sheetId val="3"/>
      <sheetId val="4"/>
    </sheetIdMap>
  </header>
  <header guid="{0E813E20-2392-458F-A88B-20A2A93C9DE2}" dateTime="2026-09-14T09:49:39" maxSheetId="5" userName="C776-PC" r:id="rId122" minRId="2395" maxRId="2399">
    <sheetIdMap count="4">
      <sheetId val="1"/>
      <sheetId val="2"/>
      <sheetId val="3"/>
      <sheetId val="4"/>
    </sheetIdMap>
  </header>
  <header guid="{43ED5E42-417B-4C09-8790-50C0CCC61A1D}" dateTime="2026-09-14T10:06:38" maxSheetId="5" userName="C776-PC" r:id="rId123">
    <sheetIdMap count="4">
      <sheetId val="1"/>
      <sheetId val="2"/>
      <sheetId val="3"/>
      <sheetId val="4"/>
    </sheetIdMap>
  </header>
  <header guid="{75381736-EE0C-4A28-99A6-41430B2C65E0}" dateTime="2026-09-14T10:06:54" maxSheetId="5" userName="C776-PC" r:id="rId124">
    <sheetIdMap count="4">
      <sheetId val="1"/>
      <sheetId val="2"/>
      <sheetId val="3"/>
      <sheetId val="4"/>
    </sheetIdMap>
  </header>
  <header guid="{F6CF55A0-7ACC-4AF1-8FDB-200145E2354B}" dateTime="2026-09-14T10:59:40" maxSheetId="5" userName="C776-PC" r:id="rId125" minRId="2400" maxRId="2403">
    <sheetIdMap count="4">
      <sheetId val="1"/>
      <sheetId val="2"/>
      <sheetId val="3"/>
      <sheetId val="4"/>
    </sheetIdMap>
  </header>
  <header guid="{5DC2BE19-5E76-4F74-99E1-D375B0ACA13B}" dateTime="2026-09-14T11:21:59" maxSheetId="5" userName="C776-PC" r:id="rId126" minRId="2404" maxRId="2408">
    <sheetIdMap count="4">
      <sheetId val="1"/>
      <sheetId val="2"/>
      <sheetId val="3"/>
      <sheetId val="4"/>
    </sheetIdMap>
  </header>
  <header guid="{135F7714-9A3F-4F83-A161-2511D790E454}" dateTime="2026-09-14T11:22:54" maxSheetId="5" userName="C776-PC" r:id="rId127" minRId="2409" maxRId="2413">
    <sheetIdMap count="4">
      <sheetId val="1"/>
      <sheetId val="2"/>
      <sheetId val="3"/>
      <sheetId val="4"/>
    </sheetIdMap>
  </header>
  <header guid="{8C1399D8-DC67-45EF-9D5D-AEA04AEF34FE}" dateTime="2026-09-14T11:27:11" maxSheetId="5" userName="C776-PC" r:id="rId128" minRId="2414" maxRId="2419">
    <sheetIdMap count="4">
      <sheetId val="1"/>
      <sheetId val="2"/>
      <sheetId val="3"/>
      <sheetId val="4"/>
    </sheetIdMap>
  </header>
  <header guid="{A67D2A64-E515-4D5E-84C2-E4B79CCCCE67}" dateTime="2026-09-14T13:26:29" maxSheetId="5" userName="C776-PC" r:id="rId129" minRId="2420">
    <sheetIdMap count="4">
      <sheetId val="1"/>
      <sheetId val="2"/>
      <sheetId val="3"/>
      <sheetId val="4"/>
    </sheetIdMap>
  </header>
  <header guid="{1824A6FB-6748-4E77-BC67-CC80C70AE34E}" dateTime="2026-09-14T13:56:00" maxSheetId="5" userName="C776-PC" r:id="rId130">
    <sheetIdMap count="4">
      <sheetId val="1"/>
      <sheetId val="2"/>
      <sheetId val="3"/>
      <sheetId val="4"/>
    </sheetIdMap>
  </header>
  <header guid="{3A19B965-D35A-49E4-B1B1-FFFC43952803}" dateTime="2026-09-14T15:37:13" maxSheetId="5" userName="C776-PC" r:id="rId131" minRId="2421" maxRId="2433">
    <sheetIdMap count="4">
      <sheetId val="1"/>
      <sheetId val="2"/>
      <sheetId val="3"/>
      <sheetId val="4"/>
    </sheetIdMap>
  </header>
  <header guid="{56957456-E36B-4862-9EF7-4BD1E1B165AC}" dateTime="2026-09-14T15:43:17" maxSheetId="5" userName="C776-PC" r:id="rId132" minRId="2434">
    <sheetIdMap count="4">
      <sheetId val="1"/>
      <sheetId val="2"/>
      <sheetId val="3"/>
      <sheetId val="4"/>
    </sheetIdMap>
  </header>
  <header guid="{D105059A-F8F9-41B8-9916-72F3450D15BE}" dateTime="2026-09-14T16:09:11" maxSheetId="5" userName="C776-PC" r:id="rId133" minRId="2435" maxRId="2438">
    <sheetIdMap count="4">
      <sheetId val="1"/>
      <sheetId val="2"/>
      <sheetId val="3"/>
      <sheetId val="4"/>
    </sheetIdMap>
  </header>
  <header guid="{E4CEBD93-FBF4-47E7-9FC6-A2CCBB230BC7}" dateTime="2026-09-14T17:38:00" maxSheetId="5" userName="C776-PC" r:id="rId134">
    <sheetIdMap count="4">
      <sheetId val="1"/>
      <sheetId val="2"/>
      <sheetId val="3"/>
      <sheetId val="4"/>
    </sheetIdMap>
  </header>
  <header guid="{89DC29E4-3CB3-4E6F-A256-BF4E46DDFFB2}" dateTime="2026-09-15T09:12:58" maxSheetId="5" userName="C776-PC" r:id="rId135" minRId="2451" maxRId="2453">
    <sheetIdMap count="4">
      <sheetId val="1"/>
      <sheetId val="2"/>
      <sheetId val="3"/>
      <sheetId val="4"/>
    </sheetIdMap>
  </header>
  <header guid="{9D3189B3-7502-4311-A686-08218ACC6A27}" dateTime="2026-09-15T09:30:33" maxSheetId="5" userName="C776-PC" r:id="rId136" minRId="2466">
    <sheetIdMap count="4">
      <sheetId val="1"/>
      <sheetId val="2"/>
      <sheetId val="3"/>
      <sheetId val="4"/>
    </sheetIdMap>
  </header>
  <header guid="{D5A86ADD-0ADA-4D0C-8BC6-DBC18ED6841D}" dateTime="2026-09-15T11:02:10" maxSheetId="5" userName="C776-PC" r:id="rId137" minRId="2467" maxRId="2619">
    <sheetIdMap count="4">
      <sheetId val="1"/>
      <sheetId val="2"/>
      <sheetId val="3"/>
      <sheetId val="4"/>
    </sheetIdMap>
  </header>
  <header guid="{EBAD7C11-6739-42CC-979B-1F71118F1BC3}" dateTime="2026-09-15T11:42:40" maxSheetId="5" userName="C776-PC" r:id="rId138" minRId="2620" maxRId="2648">
    <sheetIdMap count="4">
      <sheetId val="1"/>
      <sheetId val="2"/>
      <sheetId val="3"/>
      <sheetId val="4"/>
    </sheetIdMap>
  </header>
  <header guid="{C45874EF-2BE2-4BDF-91DB-D4C7DCAECBD8}" dateTime="2026-09-15T12:00:02" maxSheetId="5" userName="C776-PC" r:id="rId139" minRId="2649" maxRId="2686">
    <sheetIdMap count="4">
      <sheetId val="1"/>
      <sheetId val="2"/>
      <sheetId val="3"/>
      <sheetId val="4"/>
    </sheetIdMap>
  </header>
  <header guid="{E45DACCD-1BBB-4A2D-B327-7A89B10E541F}" dateTime="2026-09-15T12:00:38" maxSheetId="5" userName="C776-PC" r:id="rId140" minRId="2699">
    <sheetIdMap count="4">
      <sheetId val="1"/>
      <sheetId val="2"/>
      <sheetId val="3"/>
      <sheetId val="4"/>
    </sheetIdMap>
  </header>
  <header guid="{416FC542-151C-4061-85F4-0D154246EE3B}" dateTime="2026-09-15T13:25:34" maxSheetId="5" userName="C776-PC" r:id="rId141" minRId="2700" maxRId="2701">
    <sheetIdMap count="4">
      <sheetId val="1"/>
      <sheetId val="2"/>
      <sheetId val="3"/>
      <sheetId val="4"/>
    </sheetIdMap>
  </header>
  <header guid="{D4D830AA-749D-4DFD-BAFD-9D346388C25C}" dateTime="2026-09-15T13:28:38" maxSheetId="5" userName="C776-PC" r:id="rId142" minRId="2702" maxRId="2708">
    <sheetIdMap count="4">
      <sheetId val="1"/>
      <sheetId val="2"/>
      <sheetId val="3"/>
      <sheetId val="4"/>
    </sheetIdMap>
  </header>
  <header guid="{0E35D472-A597-410E-A1F0-115BDAD0EAA2}" dateTime="2026-09-15T13:33:05" maxSheetId="5" userName="C776-PC" r:id="rId143" minRId="2709" maxRId="2728">
    <sheetIdMap count="4">
      <sheetId val="1"/>
      <sheetId val="2"/>
      <sheetId val="3"/>
      <sheetId val="4"/>
    </sheetIdMap>
  </header>
  <header guid="{7974B222-FC40-4250-AB2C-1D858232521C}" dateTime="2026-09-15T14:14:17" maxSheetId="5" userName="C776-PC" r:id="rId144" minRId="2729">
    <sheetIdMap count="4">
      <sheetId val="1"/>
      <sheetId val="2"/>
      <sheetId val="3"/>
      <sheetId val="4"/>
    </sheetIdMap>
  </header>
  <header guid="{639DD8F1-4791-4C1C-B418-A75F0D42CBB2}" dateTime="2026-09-15T16:07:03" maxSheetId="5" userName="C776-PC" r:id="rId145" minRId="2730" maxRId="2731">
    <sheetIdMap count="4">
      <sheetId val="1"/>
      <sheetId val="2"/>
      <sheetId val="3"/>
      <sheetId val="4"/>
    </sheetIdMap>
  </header>
  <header guid="{38F76A47-9085-479E-A1CF-81ABF5792095}" dateTime="2026-09-15T16:15:54" maxSheetId="5" userName="C776-PC" r:id="rId146">
    <sheetIdMap count="4">
      <sheetId val="1"/>
      <sheetId val="2"/>
      <sheetId val="3"/>
      <sheetId val="4"/>
    </sheetIdMap>
  </header>
  <header guid="{B2BEFCA3-C723-452E-9017-1D016C4EFEFE}" dateTime="2026-09-16T08:27:06" maxSheetId="5" userName="C776-PC" r:id="rId147" minRId="2744">
    <sheetIdMap count="4">
      <sheetId val="1"/>
      <sheetId val="2"/>
      <sheetId val="3"/>
      <sheetId val="4"/>
    </sheetIdMap>
  </header>
  <header guid="{279DC114-921C-4027-8BCB-1005742FD03D}" dateTime="2026-09-16T09:03:43" maxSheetId="5" userName="C776-PC" r:id="rId148" minRId="2745" maxRId="2749">
    <sheetIdMap count="4">
      <sheetId val="1"/>
      <sheetId val="2"/>
      <sheetId val="3"/>
      <sheetId val="4"/>
    </sheetIdMap>
  </header>
  <header guid="{C1DDCD55-1EFA-44AD-90C1-79800AC79DD3}" dateTime="2026-09-16T09:17:27" maxSheetId="5" userName="C776-PC" r:id="rId149" minRId="2750" maxRId="2752">
    <sheetIdMap count="4">
      <sheetId val="1"/>
      <sheetId val="2"/>
      <sheetId val="3"/>
      <sheetId val="4"/>
    </sheetIdMap>
  </header>
  <header guid="{32FCECC9-BBC4-4060-8D75-D89D1D252091}" dateTime="2026-09-16T09:18:00" maxSheetId="5" userName="C776-PC" r:id="rId150" minRId="2753" maxRId="2777">
    <sheetIdMap count="4">
      <sheetId val="1"/>
      <sheetId val="2"/>
      <sheetId val="3"/>
      <sheetId val="4"/>
    </sheetIdMap>
  </header>
  <header guid="{28ADEEC4-50AC-4B73-8522-50B0F317ACF5}" dateTime="2026-09-16T09:18:18" maxSheetId="5" userName="C776-PC" r:id="rId151" minRId="2778" maxRId="2779">
    <sheetIdMap count="4">
      <sheetId val="1"/>
      <sheetId val="2"/>
      <sheetId val="3"/>
      <sheetId val="4"/>
    </sheetIdMap>
  </header>
  <header guid="{8F9E200D-8B1F-46B7-BFD0-EC35577E8989}" dateTime="2026-09-16T09:28:40" maxSheetId="5" userName="C776-PC" r:id="rId152" minRId="2780" maxRId="2794">
    <sheetIdMap count="4">
      <sheetId val="1"/>
      <sheetId val="2"/>
      <sheetId val="3"/>
      <sheetId val="4"/>
    </sheetIdMap>
  </header>
  <header guid="{C6DA7CED-DE17-4CED-A483-46B85EF1B9AC}" dateTime="2026-09-16T10:57:45" maxSheetId="5" userName="C776-PC" r:id="rId153" minRId="2795" maxRId="2799">
    <sheetIdMap count="4">
      <sheetId val="1"/>
      <sheetId val="2"/>
      <sheetId val="3"/>
      <sheetId val="4"/>
    </sheetIdMap>
  </header>
  <header guid="{E5374466-A230-443B-BA58-CD24A5519A4C}" dateTime="2026-09-16T11:24:15" maxSheetId="5" userName="C776-PC" r:id="rId154" minRId="2812" maxRId="2821">
    <sheetIdMap count="4">
      <sheetId val="1"/>
      <sheetId val="2"/>
      <sheetId val="3"/>
      <sheetId val="4"/>
    </sheetIdMap>
  </header>
  <header guid="{42742622-AC90-4A1F-86C5-C7D79FDD726E}" dateTime="2026-09-16T13:17:17" maxSheetId="5" userName="C776-PC" r:id="rId155" minRId="2822" maxRId="2824">
    <sheetIdMap count="4">
      <sheetId val="1"/>
      <sheetId val="2"/>
      <sheetId val="3"/>
      <sheetId val="4"/>
    </sheetIdMap>
  </header>
  <header guid="{92FB11A9-A3E5-462F-8D21-4D0FCB621DAF}" dateTime="2026-09-16T16:05:10" maxSheetId="5" userName="C776-PC" r:id="rId156" minRId="2837">
    <sheetIdMap count="4">
      <sheetId val="1"/>
      <sheetId val="2"/>
      <sheetId val="3"/>
      <sheetId val="4"/>
    </sheetIdMap>
  </header>
  <header guid="{2D98FC18-6E7F-4964-A3FF-497BF68F4C5F}" dateTime="2026-09-16T16:49:19" maxSheetId="5" userName="C776-PC" r:id="rId157" minRId="2850">
    <sheetIdMap count="4">
      <sheetId val="1"/>
      <sheetId val="2"/>
      <sheetId val="3"/>
      <sheetId val="4"/>
    </sheetIdMap>
  </header>
  <header guid="{9AAB7609-7AA5-40E0-8EFA-84007AEA7A6C}" dateTime="2026-09-17T09:06:29" maxSheetId="5" userName="C776-PC" r:id="rId158" minRId="2851" maxRId="2854">
    <sheetIdMap count="4">
      <sheetId val="1"/>
      <sheetId val="2"/>
      <sheetId val="3"/>
      <sheetId val="4"/>
    </sheetIdMap>
  </header>
  <header guid="{156491A7-9D09-45B3-B468-0D01F0A6243E}" dateTime="2026-09-17T09:08:28" maxSheetId="5" userName="C776-PC" r:id="rId159" minRId="2855" maxRId="2858">
    <sheetIdMap count="4">
      <sheetId val="1"/>
      <sheetId val="2"/>
      <sheetId val="3"/>
      <sheetId val="4"/>
    </sheetIdMap>
  </header>
  <header guid="{BC3B476D-64C6-49A6-A181-23F49ADAFE0F}" dateTime="2026-09-17T10:10:33" maxSheetId="5" userName="C776-PC" r:id="rId160" minRId="2859" maxRId="2863">
    <sheetIdMap count="4">
      <sheetId val="1"/>
      <sheetId val="2"/>
      <sheetId val="3"/>
      <sheetId val="4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4">
    <nc r="F161" t="inlineStr">
      <is>
        <t>4800388490/100</t>
        <phoneticPr fontId="0" type="noConversion"/>
      </is>
    </nc>
  </rcc>
  <rcc rId="2" sId="4" numFmtId="34">
    <nc r="G161">
      <v>100000</v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2" numFmtId="19">
    <oc r="B726">
      <v>46269</v>
    </oc>
    <nc r="B726">
      <v>46268</v>
    </nc>
  </rcc>
  <rdn rId="0" localSheetId="1" customView="1" name="Z_8578D927_8BDE_4C99_A2DB_3E44DFA36FF2_.wvu.PrintArea" hidden="1" oldHidden="1">
    <formula>'IPAHQ(TANK)-竹科'!$A$1:$P$2</formula>
  </rdn>
  <rdn rId="0" localSheetId="1" customView="1" name="Z_8578D927_8BDE_4C99_A2DB_3E44DFA36FF2_.wvu.Cols" hidden="1" oldHidden="1">
    <formula>'IPAHQ(TANK)-竹科'!$A:$A</formula>
  </rdn>
  <rdn rId="0" localSheetId="1" customView="1" name="Z_8578D927_8BDE_4C99_A2DB_3E44DFA36FF2_.wvu.FilterData" hidden="1" oldHidden="1">
    <formula>'IPAHQ(TANK)-竹科'!$A$2:$S$2</formula>
  </rdn>
  <rdn rId="0" localSheetId="2" customView="1" name="Z_8578D927_8BDE_4C99_A2DB_3E44DFA36FF2_.wvu.PrintArea" hidden="1" oldHidden="1">
    <formula>'IPAHQ(TANK)-中科'!$A$1:$P$2</formula>
  </rdn>
  <rdn rId="0" localSheetId="2" customView="1" name="Z_8578D927_8BDE_4C99_A2DB_3E44DFA36FF2_.wvu.Cols" hidden="1" oldHidden="1">
    <formula>'IPAHQ(TANK)-中科'!$A:$A</formula>
  </rdn>
  <rdn rId="0" localSheetId="2" customView="1" name="Z_8578D927_8BDE_4C99_A2DB_3E44DFA36FF2_.wvu.FilterData" hidden="1" oldHidden="1">
    <formula>'IPAHQ(TANK)-中科'!$A$2:$S$742</formula>
  </rdn>
  <rdn rId="0" localSheetId="3" customView="1" name="Z_8578D927_8BDE_4C99_A2DB_3E44DFA36FF2_.wvu.PrintArea" hidden="1" oldHidden="1">
    <formula>'IPAHQ(TANK)-12P3'!$A$1:$P$2</formula>
  </rdn>
  <rdn rId="0" localSheetId="3" customView="1" name="Z_8578D927_8BDE_4C99_A2DB_3E44DFA36FF2_.wvu.Cols" hidden="1" oldHidden="1">
    <formula>'IPAHQ(TANK)-12P3'!$A:$A</formula>
  </rdn>
  <rdn rId="0" localSheetId="3" customView="1" name="Z_8578D927_8BDE_4C99_A2DB_3E44DFA36FF2_.wvu.FilterData" hidden="1" oldHidden="1">
    <formula>'IPAHQ(TANK)-12P3'!$A$2:$S$2</formula>
  </rdn>
  <rdn rId="0" localSheetId="4" customView="1" name="Z_8578D927_8BDE_4C99_A2DB_3E44DFA36FF2_.wvu.PrintArea" hidden="1" oldHidden="1">
    <formula>'IPAHQ(TANK)-南科'!$A$1:$P$2</formula>
  </rdn>
  <rdn rId="0" localSheetId="4" customView="1" name="Z_8578D927_8BDE_4C99_A2DB_3E44DFA36FF2_.wvu.Cols" hidden="1" oldHidden="1">
    <formula>'IPAHQ(TANK)-南科'!$A:$A</formula>
  </rdn>
  <rdn rId="0" localSheetId="4" customView="1" name="Z_8578D927_8BDE_4C99_A2DB_3E44DFA36FF2_.wvu.FilterData" hidden="1" oldHidden="1">
    <formula>'IPAHQ(TANK)-南科'!$A$2:$S$196</formula>
  </rdn>
  <rcv guid="{8578D927-8BDE-4C99-A2DB-3E44DFA36FF2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" sId="4" ref="A162:XFD162" action="deleteRow">
    <undo index="0" exp="ref" v="1" dr="G162" r="G163" sId="4"/>
    <undo index="0" exp="area" ref3D="1" dr="$A$1:$A$1048576" dn="Z_8578D927_8BDE_4C99_A2DB_3E44DFA36FF2_.wvu.Cols" sId="4"/>
    <undo index="0" exp="area" ref3D="1" dr="$A$1:$A$1048576" dn="Z_F261CC3E_BBAF_4421_92E0_E43167440BFB_.wvu.Cols" sId="4"/>
    <undo index="0" exp="area" ref3D="1" dr="$A$1:$A$1048576" dn="Z_5AFECFD9_E8A5_469F_BA7F_E625784BB00E_.wvu.Cols" sId="4"/>
    <undo index="0" exp="area" ref3D="1" dr="$A$1:$A$1048576" dn="Z_F607B316_DD6D_4909_B40C_8E7F3D6FB597_.wvu.Cols" sId="4"/>
    <rfmt sheetId="4" xfDxf="1" sqref="A162:XFD162" start="0" length="0">
      <dxf>
        <font>
          <sz val="10"/>
          <name val="Arial"/>
          <scheme val="none"/>
        </font>
        <alignment horizontal="center" readingOrder="0"/>
      </dxf>
    </rfmt>
    <rcc rId="0" sId="4" dxf="1" numFmtId="19">
      <nc r="B162">
        <v>46268</v>
      </nc>
      <n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C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D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E162" t="inlineStr">
        <is>
          <t>18P3B</t>
          <phoneticPr fontId="5603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F162" t="inlineStr">
        <is>
          <t>4800384640/100</t>
          <phoneticPr fontId="5603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s="1" dxf="1">
      <nc r="G162">
        <f>G159-K162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H162">
        <v>20260831035</v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I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J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s="1" dxf="1">
      <nc r="K162">
        <f>J162/0.786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L162" t="inlineStr">
        <is>
          <t>待取消</t>
          <phoneticPr fontId="5603" type="noConversion"/>
        </is>
      </nc>
      <ndxf>
        <font>
          <sz val="10"/>
          <name val="細明體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M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N162">
        <f>IF($C162="","",DATE(2000+LEFT($C162,2), HEX2DEC(MID($C162,3,1)), MID($C162,4,2)))</f>
      </nc>
      <ndxf>
        <numFmt numFmtId="176" formatCode="m/d;@"/>
      </ndxf>
    </rcc>
    <rcc rId="0" sId="4" dxf="1">
      <nc r="O162">
        <f>DATE(YEAR(N162)+1,MONTH(N162),DAY(N162))-1</f>
      </nc>
      <ndxf>
        <font>
          <sz val="10"/>
          <color auto="1"/>
          <name val="Arial"/>
          <scheme val="none"/>
        </font>
        <numFmt numFmtId="177" formatCode="m/d/yyyy"/>
      </ndxf>
    </rcc>
  </rrc>
  <rrc rId="17" sId="4" ref="A162:XFD162" action="deleteRow">
    <undo index="0" exp="ref" v="1" dr="G162" r="G163" sId="4"/>
    <undo index="0" exp="area" ref3D="1" dr="$A$1:$A$1048576" dn="Z_8578D927_8BDE_4C99_A2DB_3E44DFA36FF2_.wvu.Cols" sId="4"/>
    <undo index="0" exp="area" ref3D="1" dr="$A$1:$A$1048576" dn="Z_F261CC3E_BBAF_4421_92E0_E43167440BFB_.wvu.Cols" sId="4"/>
    <undo index="0" exp="area" ref3D="1" dr="$A$1:$A$1048576" dn="Z_5AFECFD9_E8A5_469F_BA7F_E625784BB00E_.wvu.Cols" sId="4"/>
    <undo index="0" exp="area" ref3D="1" dr="$A$1:$A$1048576" dn="Z_F607B316_DD6D_4909_B40C_8E7F3D6FB597_.wvu.Cols" sId="4"/>
    <rfmt sheetId="4" xfDxf="1" sqref="A162:XFD162" start="0" length="0">
      <dxf>
        <font>
          <sz val="10"/>
          <name val="Arial"/>
          <scheme val="none"/>
        </font>
        <alignment horizontal="center" readingOrder="0"/>
      </dxf>
    </rfmt>
    <rfmt sheetId="4" sqref="A16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 numFmtId="19">
      <nc r="B162">
        <v>46269</v>
      </nc>
      <n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C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D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E162" t="inlineStr">
        <is>
          <t>18P3B</t>
          <phoneticPr fontId="7405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F162" t="inlineStr">
        <is>
          <t>4800384640/100</t>
          <phoneticPr fontId="7405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s="1" dxf="1">
      <nc r="G162">
        <f>#REF!-K162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H162">
        <v>20260831036</v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I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J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s="1" dxf="1">
      <nc r="K162">
        <f>J162/0.786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L162" t="inlineStr">
        <is>
          <t>待取消</t>
          <phoneticPr fontId="7405" type="noConversion"/>
        </is>
      </nc>
      <ndxf>
        <font>
          <sz val="10"/>
          <name val="細明體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M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N162">
        <f>IF($C162="","",DATE(2000+LEFT($C162,2), HEX2DEC(MID($C162,3,1)), MID($C162,4,2)))</f>
      </nc>
      <ndxf>
        <numFmt numFmtId="176" formatCode="m/d;@"/>
      </ndxf>
    </rcc>
    <rcc rId="0" sId="4" dxf="1">
      <nc r="O162">
        <f>DATE(YEAR(N162)+1,MONTH(N162),DAY(N162))-1</f>
      </nc>
      <ndxf>
        <font>
          <sz val="10"/>
          <color auto="1"/>
          <name val="Arial"/>
          <scheme val="none"/>
        </font>
        <numFmt numFmtId="177" formatCode="m/d/yyyy"/>
      </ndxf>
    </rcc>
    <rfmt sheetId="4" sqref="T162" start="0" length="0">
      <dxf/>
    </rfmt>
    <rfmt sheetId="4" sqref="U162" start="0" length="0">
      <dxf/>
    </rfmt>
    <rfmt sheetId="4" sqref="V162" start="0" length="0">
      <dxf/>
    </rfmt>
    <rfmt sheetId="4" sqref="W162" start="0" length="0">
      <dxf/>
    </rfmt>
    <rfmt sheetId="4" sqref="X162" start="0" length="0">
      <dxf/>
    </rfmt>
    <rfmt sheetId="4" sqref="Y162" start="0" length="0">
      <dxf/>
    </rfmt>
    <rfmt sheetId="4" sqref="Z162" start="0" length="0">
      <dxf/>
    </rfmt>
    <rfmt sheetId="4" sqref="AA162" start="0" length="0">
      <dxf/>
    </rfmt>
    <rfmt sheetId="4" sqref="AB162" start="0" length="0">
      <dxf/>
    </rfmt>
    <rfmt sheetId="4" sqref="AC162" start="0" length="0">
      <dxf/>
    </rfmt>
    <rfmt sheetId="4" sqref="AD162" start="0" length="0">
      <dxf/>
    </rfmt>
    <rfmt sheetId="4" sqref="AE162" start="0" length="0">
      <dxf/>
    </rfmt>
    <rfmt sheetId="4" sqref="AF162" start="0" length="0">
      <dxf/>
    </rfmt>
    <rfmt sheetId="4" sqref="AG162" start="0" length="0">
      <dxf/>
    </rfmt>
    <rfmt sheetId="4" sqref="AH162" start="0" length="0">
      <dxf/>
    </rfmt>
    <rfmt sheetId="4" sqref="AI162" start="0" length="0">
      <dxf/>
    </rfmt>
    <rfmt sheetId="4" sqref="AJ162" start="0" length="0">
      <dxf/>
    </rfmt>
    <rfmt sheetId="4" sqref="AK162" start="0" length="0">
      <dxf/>
    </rfmt>
    <rfmt sheetId="4" sqref="AL162" start="0" length="0">
      <dxf/>
    </rfmt>
    <rfmt sheetId="4" sqref="AM162" start="0" length="0">
      <dxf/>
    </rfmt>
    <rfmt sheetId="4" sqref="AN162" start="0" length="0">
      <dxf/>
    </rfmt>
    <rfmt sheetId="4" sqref="AO162" start="0" length="0">
      <dxf/>
    </rfmt>
    <rfmt sheetId="4" sqref="AP162" start="0" length="0">
      <dxf/>
    </rfmt>
    <rfmt sheetId="4" sqref="AQ162" start="0" length="0">
      <dxf/>
    </rfmt>
    <rfmt sheetId="4" sqref="AR162" start="0" length="0">
      <dxf/>
    </rfmt>
    <rfmt sheetId="4" sqref="AS162" start="0" length="0">
      <dxf/>
    </rfmt>
    <rfmt sheetId="4" sqref="AT162" start="0" length="0">
      <dxf/>
    </rfmt>
    <rfmt sheetId="4" sqref="AU162" start="0" length="0">
      <dxf/>
    </rfmt>
    <rfmt sheetId="4" sqref="AV162" start="0" length="0">
      <dxf/>
    </rfmt>
    <rfmt sheetId="4" sqref="AW162" start="0" length="0">
      <dxf/>
    </rfmt>
    <rfmt sheetId="4" sqref="AX162" start="0" length="0">
      <dxf/>
    </rfmt>
    <rfmt sheetId="4" sqref="AY162" start="0" length="0">
      <dxf/>
    </rfmt>
    <rfmt sheetId="4" sqref="AZ162" start="0" length="0">
      <dxf/>
    </rfmt>
    <rfmt sheetId="4" sqref="BA162" start="0" length="0">
      <dxf/>
    </rfmt>
    <rfmt sheetId="4" sqref="BB162" start="0" length="0">
      <dxf/>
    </rfmt>
    <rfmt sheetId="4" sqref="BC162" start="0" length="0">
      <dxf/>
    </rfmt>
    <rfmt sheetId="4" sqref="BD162" start="0" length="0">
      <dxf/>
    </rfmt>
    <rfmt sheetId="4" sqref="BE162" start="0" length="0">
      <dxf/>
    </rfmt>
    <rfmt sheetId="4" sqref="BF162" start="0" length="0">
      <dxf/>
    </rfmt>
    <rfmt sheetId="4" sqref="BG162" start="0" length="0">
      <dxf/>
    </rfmt>
    <rfmt sheetId="4" sqref="BH162" start="0" length="0">
      <dxf/>
    </rfmt>
    <rfmt sheetId="4" sqref="BI162" start="0" length="0">
      <dxf/>
    </rfmt>
    <rfmt sheetId="4" sqref="BJ162" start="0" length="0">
      <dxf/>
    </rfmt>
    <rfmt sheetId="4" sqref="BK162" start="0" length="0">
      <dxf/>
    </rfmt>
    <rfmt sheetId="4" sqref="BL162" start="0" length="0">
      <dxf/>
    </rfmt>
    <rfmt sheetId="4" sqref="BM162" start="0" length="0">
      <dxf/>
    </rfmt>
    <rfmt sheetId="4" sqref="BN162" start="0" length="0">
      <dxf/>
    </rfmt>
    <rfmt sheetId="4" sqref="BO162" start="0" length="0">
      <dxf/>
    </rfmt>
    <rfmt sheetId="4" sqref="BP162" start="0" length="0">
      <dxf/>
    </rfmt>
    <rfmt sheetId="4" sqref="BQ162" start="0" length="0">
      <dxf/>
    </rfmt>
    <rfmt sheetId="4" sqref="BR162" start="0" length="0">
      <dxf/>
    </rfmt>
    <rfmt sheetId="4" sqref="BS162" start="0" length="0">
      <dxf/>
    </rfmt>
    <rfmt sheetId="4" sqref="BT162" start="0" length="0">
      <dxf/>
    </rfmt>
    <rfmt sheetId="4" sqref="BU162" start="0" length="0">
      <dxf/>
    </rfmt>
    <rfmt sheetId="4" sqref="BV162" start="0" length="0">
      <dxf/>
    </rfmt>
    <rfmt sheetId="4" sqref="BW162" start="0" length="0">
      <dxf/>
    </rfmt>
    <rfmt sheetId="4" sqref="BX162" start="0" length="0">
      <dxf/>
    </rfmt>
    <rfmt sheetId="4" sqref="BY162" start="0" length="0">
      <dxf/>
    </rfmt>
    <rfmt sheetId="4" sqref="BZ162" start="0" length="0">
      <dxf/>
    </rfmt>
    <rfmt sheetId="4" sqref="CA162" start="0" length="0">
      <dxf/>
    </rfmt>
    <rfmt sheetId="4" sqref="CB162" start="0" length="0">
      <dxf/>
    </rfmt>
    <rfmt sheetId="4" sqref="CC162" start="0" length="0">
      <dxf/>
    </rfmt>
    <rfmt sheetId="4" sqref="CD162" start="0" length="0">
      <dxf/>
    </rfmt>
    <rfmt sheetId="4" sqref="CE162" start="0" length="0">
      <dxf/>
    </rfmt>
    <rfmt sheetId="4" sqref="CF162" start="0" length="0">
      <dxf/>
    </rfmt>
    <rfmt sheetId="4" sqref="CG162" start="0" length="0">
      <dxf/>
    </rfmt>
    <rfmt sheetId="4" sqref="CH162" start="0" length="0">
      <dxf/>
    </rfmt>
    <rfmt sheetId="4" sqref="CI162" start="0" length="0">
      <dxf/>
    </rfmt>
    <rfmt sheetId="4" sqref="CJ162" start="0" length="0">
      <dxf/>
    </rfmt>
    <rfmt sheetId="4" sqref="CK162" start="0" length="0">
      <dxf/>
    </rfmt>
    <rfmt sheetId="4" sqref="CL162" start="0" length="0">
      <dxf/>
    </rfmt>
    <rfmt sheetId="4" sqref="CM162" start="0" length="0">
      <dxf/>
    </rfmt>
    <rfmt sheetId="4" sqref="CN162" start="0" length="0">
      <dxf/>
    </rfmt>
    <rfmt sheetId="4" sqref="CO162" start="0" length="0">
      <dxf/>
    </rfmt>
    <rfmt sheetId="4" sqref="CP162" start="0" length="0">
      <dxf/>
    </rfmt>
    <rfmt sheetId="4" sqref="CQ162" start="0" length="0">
      <dxf/>
    </rfmt>
    <rfmt sheetId="4" sqref="CR162" start="0" length="0">
      <dxf/>
    </rfmt>
    <rfmt sheetId="4" sqref="CS162" start="0" length="0">
      <dxf/>
    </rfmt>
    <rfmt sheetId="4" sqref="CT162" start="0" length="0">
      <dxf/>
    </rfmt>
    <rfmt sheetId="4" sqref="CU162" start="0" length="0">
      <dxf/>
    </rfmt>
    <rfmt sheetId="4" sqref="CV162" start="0" length="0">
      <dxf/>
    </rfmt>
    <rfmt sheetId="4" sqref="CW162" start="0" length="0">
      <dxf/>
    </rfmt>
    <rfmt sheetId="4" sqref="CX162" start="0" length="0">
      <dxf/>
    </rfmt>
    <rfmt sheetId="4" sqref="CY162" start="0" length="0">
      <dxf/>
    </rfmt>
    <rfmt sheetId="4" sqref="CZ162" start="0" length="0">
      <dxf/>
    </rfmt>
    <rfmt sheetId="4" sqref="DA162" start="0" length="0">
      <dxf/>
    </rfmt>
    <rfmt sheetId="4" sqref="DB162" start="0" length="0">
      <dxf/>
    </rfmt>
    <rfmt sheetId="4" sqref="DC162" start="0" length="0">
      <dxf/>
    </rfmt>
    <rfmt sheetId="4" sqref="DD162" start="0" length="0">
      <dxf/>
    </rfmt>
    <rfmt sheetId="4" sqref="DE162" start="0" length="0">
      <dxf/>
    </rfmt>
    <rfmt sheetId="4" sqref="DF162" start="0" length="0">
      <dxf/>
    </rfmt>
    <rfmt sheetId="4" sqref="DG162" start="0" length="0">
      <dxf/>
    </rfmt>
    <rfmt sheetId="4" sqref="DH162" start="0" length="0">
      <dxf/>
    </rfmt>
    <rfmt sheetId="4" sqref="DI162" start="0" length="0">
      <dxf/>
    </rfmt>
    <rfmt sheetId="4" sqref="DJ162" start="0" length="0">
      <dxf/>
    </rfmt>
    <rfmt sheetId="4" sqref="DK162" start="0" length="0">
      <dxf/>
    </rfmt>
    <rfmt sheetId="4" sqref="DL162" start="0" length="0">
      <dxf/>
    </rfmt>
    <rfmt sheetId="4" sqref="DM162" start="0" length="0">
      <dxf/>
    </rfmt>
    <rfmt sheetId="4" sqref="DN162" start="0" length="0">
      <dxf/>
    </rfmt>
    <rfmt sheetId="4" sqref="DO162" start="0" length="0">
      <dxf/>
    </rfmt>
    <rfmt sheetId="4" sqref="DP162" start="0" length="0">
      <dxf/>
    </rfmt>
    <rfmt sheetId="4" sqref="DQ162" start="0" length="0">
      <dxf/>
    </rfmt>
    <rfmt sheetId="4" sqref="DR162" start="0" length="0">
      <dxf/>
    </rfmt>
    <rfmt sheetId="4" sqref="DS162" start="0" length="0">
      <dxf/>
    </rfmt>
    <rfmt sheetId="4" sqref="DT162" start="0" length="0">
      <dxf/>
    </rfmt>
    <rfmt sheetId="4" sqref="DU162" start="0" length="0">
      <dxf/>
    </rfmt>
    <rfmt sheetId="4" sqref="DV162" start="0" length="0">
      <dxf/>
    </rfmt>
    <rfmt sheetId="4" sqref="DW162" start="0" length="0">
      <dxf/>
    </rfmt>
    <rfmt sheetId="4" sqref="DX162" start="0" length="0">
      <dxf/>
    </rfmt>
    <rfmt sheetId="4" sqref="DY162" start="0" length="0">
      <dxf/>
    </rfmt>
    <rfmt sheetId="4" sqref="DZ162" start="0" length="0">
      <dxf/>
    </rfmt>
    <rfmt sheetId="4" sqref="EA162" start="0" length="0">
      <dxf/>
    </rfmt>
    <rfmt sheetId="4" sqref="EB162" start="0" length="0">
      <dxf/>
    </rfmt>
    <rfmt sheetId="4" sqref="EC162" start="0" length="0">
      <dxf/>
    </rfmt>
    <rfmt sheetId="4" sqref="ED162" start="0" length="0">
      <dxf/>
    </rfmt>
    <rfmt sheetId="4" sqref="EE162" start="0" length="0">
      <dxf/>
    </rfmt>
    <rfmt sheetId="4" sqref="EF162" start="0" length="0">
      <dxf/>
    </rfmt>
    <rfmt sheetId="4" sqref="EG162" start="0" length="0">
      <dxf/>
    </rfmt>
    <rfmt sheetId="4" sqref="EH162" start="0" length="0">
      <dxf/>
    </rfmt>
    <rfmt sheetId="4" sqref="EI162" start="0" length="0">
      <dxf/>
    </rfmt>
    <rfmt sheetId="4" sqref="EJ162" start="0" length="0">
      <dxf/>
    </rfmt>
    <rfmt sheetId="4" sqref="EK162" start="0" length="0">
      <dxf/>
    </rfmt>
    <rfmt sheetId="4" sqref="EL162" start="0" length="0">
      <dxf/>
    </rfmt>
    <rfmt sheetId="4" sqref="EM162" start="0" length="0">
      <dxf/>
    </rfmt>
    <rfmt sheetId="4" sqref="EN162" start="0" length="0">
      <dxf/>
    </rfmt>
    <rfmt sheetId="4" sqref="EO162" start="0" length="0">
      <dxf/>
    </rfmt>
    <rfmt sheetId="4" sqref="EP162" start="0" length="0">
      <dxf/>
    </rfmt>
    <rfmt sheetId="4" sqref="EQ162" start="0" length="0">
      <dxf/>
    </rfmt>
    <rfmt sheetId="4" sqref="ER162" start="0" length="0">
      <dxf/>
    </rfmt>
    <rfmt sheetId="4" sqref="ES162" start="0" length="0">
      <dxf/>
    </rfmt>
    <rfmt sheetId="4" sqref="ET162" start="0" length="0">
      <dxf/>
    </rfmt>
    <rfmt sheetId="4" sqref="EU162" start="0" length="0">
      <dxf/>
    </rfmt>
    <rfmt sheetId="4" sqref="EV162" start="0" length="0">
      <dxf/>
    </rfmt>
    <rfmt sheetId="4" sqref="EW162" start="0" length="0">
      <dxf/>
    </rfmt>
    <rfmt sheetId="4" sqref="EX162" start="0" length="0">
      <dxf/>
    </rfmt>
    <rfmt sheetId="4" sqref="EY162" start="0" length="0">
      <dxf/>
    </rfmt>
    <rfmt sheetId="4" sqref="EZ162" start="0" length="0">
      <dxf/>
    </rfmt>
    <rfmt sheetId="4" sqref="FA162" start="0" length="0">
      <dxf/>
    </rfmt>
    <rfmt sheetId="4" sqref="FB162" start="0" length="0">
      <dxf/>
    </rfmt>
    <rfmt sheetId="4" sqref="FC162" start="0" length="0">
      <dxf/>
    </rfmt>
    <rfmt sheetId="4" sqref="FD162" start="0" length="0">
      <dxf/>
    </rfmt>
    <rfmt sheetId="4" sqref="FE162" start="0" length="0">
      <dxf/>
    </rfmt>
    <rfmt sheetId="4" sqref="FF162" start="0" length="0">
      <dxf/>
    </rfmt>
    <rfmt sheetId="4" sqref="FG162" start="0" length="0">
      <dxf/>
    </rfmt>
    <rfmt sheetId="4" sqref="FH162" start="0" length="0">
      <dxf/>
    </rfmt>
    <rfmt sheetId="4" sqref="FI162" start="0" length="0">
      <dxf/>
    </rfmt>
    <rfmt sheetId="4" sqref="FJ162" start="0" length="0">
      <dxf/>
    </rfmt>
    <rfmt sheetId="4" sqref="FK162" start="0" length="0">
      <dxf/>
    </rfmt>
    <rfmt sheetId="4" sqref="FL162" start="0" length="0">
      <dxf/>
    </rfmt>
    <rfmt sheetId="4" sqref="FM162" start="0" length="0">
      <dxf/>
    </rfmt>
    <rfmt sheetId="4" sqref="FN162" start="0" length="0">
      <dxf/>
    </rfmt>
    <rfmt sheetId="4" sqref="FO162" start="0" length="0">
      <dxf/>
    </rfmt>
    <rfmt sheetId="4" sqref="FP162" start="0" length="0">
      <dxf/>
    </rfmt>
    <rfmt sheetId="4" sqref="FQ162" start="0" length="0">
      <dxf/>
    </rfmt>
    <rfmt sheetId="4" sqref="FR162" start="0" length="0">
      <dxf/>
    </rfmt>
    <rfmt sheetId="4" sqref="FS162" start="0" length="0">
      <dxf/>
    </rfmt>
    <rfmt sheetId="4" sqref="FT162" start="0" length="0">
      <dxf/>
    </rfmt>
    <rfmt sheetId="4" sqref="FU162" start="0" length="0">
      <dxf/>
    </rfmt>
    <rfmt sheetId="4" sqref="FV162" start="0" length="0">
      <dxf/>
    </rfmt>
    <rfmt sheetId="4" sqref="FW162" start="0" length="0">
      <dxf/>
    </rfmt>
    <rfmt sheetId="4" sqref="FX162" start="0" length="0">
      <dxf/>
    </rfmt>
    <rfmt sheetId="4" sqref="FY162" start="0" length="0">
      <dxf/>
    </rfmt>
    <rfmt sheetId="4" sqref="FZ162" start="0" length="0">
      <dxf/>
    </rfmt>
    <rfmt sheetId="4" sqref="GA162" start="0" length="0">
      <dxf/>
    </rfmt>
    <rfmt sheetId="4" sqref="GB162" start="0" length="0">
      <dxf/>
    </rfmt>
    <rfmt sheetId="4" sqref="GC162" start="0" length="0">
      <dxf/>
    </rfmt>
    <rfmt sheetId="4" sqref="GD162" start="0" length="0">
      <dxf/>
    </rfmt>
    <rfmt sheetId="4" sqref="GE162" start="0" length="0">
      <dxf/>
    </rfmt>
    <rfmt sheetId="4" sqref="GF162" start="0" length="0">
      <dxf/>
    </rfmt>
    <rfmt sheetId="4" sqref="GG162" start="0" length="0">
      <dxf/>
    </rfmt>
    <rfmt sheetId="4" sqref="GH162" start="0" length="0">
      <dxf/>
    </rfmt>
    <rfmt sheetId="4" sqref="GI162" start="0" length="0">
      <dxf/>
    </rfmt>
    <rfmt sheetId="4" sqref="GJ162" start="0" length="0">
      <dxf/>
    </rfmt>
    <rfmt sheetId="4" sqref="GK162" start="0" length="0">
      <dxf/>
    </rfmt>
    <rfmt sheetId="4" sqref="GL162" start="0" length="0">
      <dxf/>
    </rfmt>
    <rfmt sheetId="4" sqref="GM162" start="0" length="0">
      <dxf/>
    </rfmt>
    <rfmt sheetId="4" sqref="GN162" start="0" length="0">
      <dxf/>
    </rfmt>
    <rfmt sheetId="4" sqref="GO162" start="0" length="0">
      <dxf/>
    </rfmt>
    <rfmt sheetId="4" sqref="GP162" start="0" length="0">
      <dxf/>
    </rfmt>
    <rfmt sheetId="4" sqref="GQ162" start="0" length="0">
      <dxf/>
    </rfmt>
    <rfmt sheetId="4" sqref="GR162" start="0" length="0">
      <dxf/>
    </rfmt>
    <rfmt sheetId="4" sqref="GS162" start="0" length="0">
      <dxf/>
    </rfmt>
    <rfmt sheetId="4" sqref="GT162" start="0" length="0">
      <dxf/>
    </rfmt>
    <rfmt sheetId="4" sqref="GU162" start="0" length="0">
      <dxf/>
    </rfmt>
    <rfmt sheetId="4" sqref="GV162" start="0" length="0">
      <dxf/>
    </rfmt>
    <rfmt sheetId="4" sqref="GW162" start="0" length="0">
      <dxf/>
    </rfmt>
    <rfmt sheetId="4" sqref="GX162" start="0" length="0">
      <dxf/>
    </rfmt>
    <rfmt sheetId="4" sqref="GY162" start="0" length="0">
      <dxf/>
    </rfmt>
    <rfmt sheetId="4" sqref="GZ162" start="0" length="0">
      <dxf/>
    </rfmt>
    <rfmt sheetId="4" sqref="HA162" start="0" length="0">
      <dxf/>
    </rfmt>
    <rfmt sheetId="4" sqref="HB162" start="0" length="0">
      <dxf/>
    </rfmt>
    <rfmt sheetId="4" sqref="HC162" start="0" length="0">
      <dxf/>
    </rfmt>
    <rfmt sheetId="4" sqref="HD162" start="0" length="0">
      <dxf/>
    </rfmt>
    <rfmt sheetId="4" sqref="HE162" start="0" length="0">
      <dxf/>
    </rfmt>
    <rfmt sheetId="4" sqref="HF162" start="0" length="0">
      <dxf/>
    </rfmt>
    <rfmt sheetId="4" sqref="HG162" start="0" length="0">
      <dxf/>
    </rfmt>
    <rfmt sheetId="4" sqref="HH162" start="0" length="0">
      <dxf/>
    </rfmt>
    <rfmt sheetId="4" sqref="HI162" start="0" length="0">
      <dxf/>
    </rfmt>
    <rfmt sheetId="4" sqref="HJ162" start="0" length="0">
      <dxf/>
    </rfmt>
    <rfmt sheetId="4" sqref="HK162" start="0" length="0">
      <dxf/>
    </rfmt>
    <rfmt sheetId="4" sqref="HL162" start="0" length="0">
      <dxf/>
    </rfmt>
    <rfmt sheetId="4" sqref="HM162" start="0" length="0">
      <dxf/>
    </rfmt>
    <rfmt sheetId="4" sqref="HN162" start="0" length="0">
      <dxf/>
    </rfmt>
    <rfmt sheetId="4" sqref="HO162" start="0" length="0">
      <dxf/>
    </rfmt>
    <rfmt sheetId="4" sqref="HP162" start="0" length="0">
      <dxf/>
    </rfmt>
    <rfmt sheetId="4" sqref="HQ162" start="0" length="0">
      <dxf/>
    </rfmt>
    <rfmt sheetId="4" sqref="HR162" start="0" length="0">
      <dxf/>
    </rfmt>
    <rfmt sheetId="4" sqref="HS162" start="0" length="0">
      <dxf/>
    </rfmt>
    <rfmt sheetId="4" sqref="HT162" start="0" length="0">
      <dxf/>
    </rfmt>
    <rfmt sheetId="4" sqref="HU162" start="0" length="0">
      <dxf/>
    </rfmt>
    <rfmt sheetId="4" sqref="HV162" start="0" length="0">
      <dxf/>
    </rfmt>
    <rfmt sheetId="4" sqref="HW162" start="0" length="0">
      <dxf/>
    </rfmt>
    <rfmt sheetId="4" sqref="HX162" start="0" length="0">
      <dxf/>
    </rfmt>
    <rfmt sheetId="4" sqref="HY162" start="0" length="0">
      <dxf/>
    </rfmt>
    <rfmt sheetId="4" sqref="HZ162" start="0" length="0">
      <dxf/>
    </rfmt>
    <rfmt sheetId="4" sqref="IA162" start="0" length="0">
      <dxf/>
    </rfmt>
    <rfmt sheetId="4" sqref="IB162" start="0" length="0">
      <dxf/>
    </rfmt>
    <rfmt sheetId="4" sqref="IC162" start="0" length="0">
      <dxf/>
    </rfmt>
    <rfmt sheetId="4" sqref="ID162" start="0" length="0">
      <dxf/>
    </rfmt>
    <rfmt sheetId="4" sqref="IE162" start="0" length="0">
      <dxf/>
    </rfmt>
    <rfmt sheetId="4" sqref="IF162" start="0" length="0">
      <dxf/>
    </rfmt>
    <rfmt sheetId="4" sqref="IG162" start="0" length="0">
      <dxf/>
    </rfmt>
    <rfmt sheetId="4" sqref="IH162" start="0" length="0">
      <dxf/>
    </rfmt>
    <rfmt sheetId="4" sqref="II162" start="0" length="0">
      <dxf/>
    </rfmt>
    <rfmt sheetId="4" sqref="IJ162" start="0" length="0">
      <dxf/>
    </rfmt>
    <rfmt sheetId="4" sqref="IK162" start="0" length="0">
      <dxf/>
    </rfmt>
    <rfmt sheetId="4" sqref="IL162" start="0" length="0">
      <dxf/>
    </rfmt>
    <rfmt sheetId="4" sqref="IM162" start="0" length="0">
      <dxf/>
    </rfmt>
    <rfmt sheetId="4" sqref="IN162" start="0" length="0">
      <dxf/>
    </rfmt>
    <rfmt sheetId="4" sqref="IO162" start="0" length="0">
      <dxf/>
    </rfmt>
    <rfmt sheetId="4" sqref="IP162" start="0" length="0">
      <dxf/>
    </rfmt>
    <rfmt sheetId="4" sqref="IQ162" start="0" length="0">
      <dxf/>
    </rfmt>
    <rfmt sheetId="4" sqref="IR162" start="0" length="0">
      <dxf/>
    </rfmt>
    <rfmt sheetId="4" sqref="IS162" start="0" length="0">
      <dxf/>
    </rfmt>
    <rfmt sheetId="4" sqref="IT162" start="0" length="0">
      <dxf/>
    </rfmt>
    <rfmt sheetId="4" sqref="IU162" start="0" length="0">
      <dxf/>
    </rfmt>
    <rfmt sheetId="4" sqref="IV162" start="0" length="0">
      <dxf/>
    </rfmt>
    <rfmt sheetId="4" sqref="IW162" start="0" length="0">
      <dxf/>
    </rfmt>
    <rfmt sheetId="4" sqref="IX162" start="0" length="0">
      <dxf/>
    </rfmt>
    <rfmt sheetId="4" sqref="IY162" start="0" length="0">
      <dxf/>
    </rfmt>
    <rfmt sheetId="4" sqref="IZ162" start="0" length="0">
      <dxf/>
    </rfmt>
    <rfmt sheetId="4" sqref="JA162" start="0" length="0">
      <dxf/>
    </rfmt>
    <rfmt sheetId="4" sqref="JB162" start="0" length="0">
      <dxf/>
    </rfmt>
    <rfmt sheetId="4" sqref="JC162" start="0" length="0">
      <dxf/>
    </rfmt>
    <rfmt sheetId="4" sqref="JD162" start="0" length="0">
      <dxf/>
    </rfmt>
    <rfmt sheetId="4" sqref="JE162" start="0" length="0">
      <dxf/>
    </rfmt>
    <rfmt sheetId="4" sqref="JF162" start="0" length="0">
      <dxf/>
    </rfmt>
    <rfmt sheetId="4" sqref="JG162" start="0" length="0">
      <dxf/>
    </rfmt>
    <rfmt sheetId="4" sqref="JH162" start="0" length="0">
      <dxf/>
    </rfmt>
    <rfmt sheetId="4" sqref="JI162" start="0" length="0">
      <dxf/>
    </rfmt>
    <rfmt sheetId="4" sqref="JJ162" start="0" length="0">
      <dxf/>
    </rfmt>
    <rfmt sheetId="4" sqref="JK162" start="0" length="0">
      <dxf/>
    </rfmt>
    <rfmt sheetId="4" sqref="JL162" start="0" length="0">
      <dxf/>
    </rfmt>
    <rfmt sheetId="4" sqref="JM162" start="0" length="0">
      <dxf/>
    </rfmt>
    <rfmt sheetId="4" sqref="JN162" start="0" length="0">
      <dxf/>
    </rfmt>
    <rfmt sheetId="4" sqref="JO162" start="0" length="0">
      <dxf/>
    </rfmt>
    <rfmt sheetId="4" sqref="JP162" start="0" length="0">
      <dxf/>
    </rfmt>
    <rfmt sheetId="4" sqref="JQ162" start="0" length="0">
      <dxf/>
    </rfmt>
    <rfmt sheetId="4" sqref="JR162" start="0" length="0">
      <dxf/>
    </rfmt>
    <rfmt sheetId="4" sqref="JS162" start="0" length="0">
      <dxf/>
    </rfmt>
    <rfmt sheetId="4" sqref="JT162" start="0" length="0">
      <dxf/>
    </rfmt>
    <rfmt sheetId="4" sqref="JU162" start="0" length="0">
      <dxf/>
    </rfmt>
    <rfmt sheetId="4" sqref="JV162" start="0" length="0">
      <dxf/>
    </rfmt>
    <rfmt sheetId="4" sqref="JW162" start="0" length="0">
      <dxf/>
    </rfmt>
    <rfmt sheetId="4" sqref="JX162" start="0" length="0">
      <dxf/>
    </rfmt>
    <rfmt sheetId="4" sqref="JY162" start="0" length="0">
      <dxf/>
    </rfmt>
    <rfmt sheetId="4" sqref="JZ162" start="0" length="0">
      <dxf/>
    </rfmt>
    <rfmt sheetId="4" sqref="KA162" start="0" length="0">
      <dxf/>
    </rfmt>
    <rfmt sheetId="4" sqref="KB162" start="0" length="0">
      <dxf/>
    </rfmt>
    <rfmt sheetId="4" sqref="KC162" start="0" length="0">
      <dxf/>
    </rfmt>
    <rfmt sheetId="4" sqref="KD162" start="0" length="0">
      <dxf/>
    </rfmt>
    <rfmt sheetId="4" sqref="KE162" start="0" length="0">
      <dxf/>
    </rfmt>
    <rfmt sheetId="4" sqref="KF162" start="0" length="0">
      <dxf/>
    </rfmt>
    <rfmt sheetId="4" sqref="KG162" start="0" length="0">
      <dxf/>
    </rfmt>
    <rfmt sheetId="4" sqref="KH162" start="0" length="0">
      <dxf/>
    </rfmt>
    <rfmt sheetId="4" sqref="KI162" start="0" length="0">
      <dxf/>
    </rfmt>
    <rfmt sheetId="4" sqref="KJ162" start="0" length="0">
      <dxf/>
    </rfmt>
    <rfmt sheetId="4" sqref="KK162" start="0" length="0">
      <dxf/>
    </rfmt>
    <rfmt sheetId="4" sqref="KL162" start="0" length="0">
      <dxf/>
    </rfmt>
    <rfmt sheetId="4" sqref="KM162" start="0" length="0">
      <dxf/>
    </rfmt>
    <rfmt sheetId="4" sqref="KN162" start="0" length="0">
      <dxf/>
    </rfmt>
    <rfmt sheetId="4" sqref="KO162" start="0" length="0">
      <dxf/>
    </rfmt>
    <rfmt sheetId="4" sqref="KP162" start="0" length="0">
      <dxf/>
    </rfmt>
    <rfmt sheetId="4" sqref="KQ162" start="0" length="0">
      <dxf/>
    </rfmt>
    <rfmt sheetId="4" sqref="KR162" start="0" length="0">
      <dxf/>
    </rfmt>
    <rfmt sheetId="4" sqref="KS162" start="0" length="0">
      <dxf/>
    </rfmt>
    <rfmt sheetId="4" sqref="KT162" start="0" length="0">
      <dxf/>
    </rfmt>
    <rfmt sheetId="4" sqref="KU162" start="0" length="0">
      <dxf/>
    </rfmt>
    <rfmt sheetId="4" sqref="KV162" start="0" length="0">
      <dxf/>
    </rfmt>
    <rfmt sheetId="4" sqref="KW162" start="0" length="0">
      <dxf/>
    </rfmt>
    <rfmt sheetId="4" sqref="KX162" start="0" length="0">
      <dxf/>
    </rfmt>
    <rfmt sheetId="4" sqref="KY162" start="0" length="0">
      <dxf/>
    </rfmt>
    <rfmt sheetId="4" sqref="KZ162" start="0" length="0">
      <dxf/>
    </rfmt>
    <rfmt sheetId="4" sqref="LA162" start="0" length="0">
      <dxf/>
    </rfmt>
    <rfmt sheetId="4" sqref="LB162" start="0" length="0">
      <dxf/>
    </rfmt>
    <rfmt sheetId="4" sqref="LC162" start="0" length="0">
      <dxf/>
    </rfmt>
    <rfmt sheetId="4" sqref="LD162" start="0" length="0">
      <dxf/>
    </rfmt>
    <rfmt sheetId="4" sqref="LE162" start="0" length="0">
      <dxf/>
    </rfmt>
    <rfmt sheetId="4" sqref="LF162" start="0" length="0">
      <dxf/>
    </rfmt>
    <rfmt sheetId="4" sqref="LG162" start="0" length="0">
      <dxf/>
    </rfmt>
    <rfmt sheetId="4" sqref="LH162" start="0" length="0">
      <dxf/>
    </rfmt>
    <rfmt sheetId="4" sqref="LI162" start="0" length="0">
      <dxf/>
    </rfmt>
    <rfmt sheetId="4" sqref="LJ162" start="0" length="0">
      <dxf/>
    </rfmt>
    <rfmt sheetId="4" sqref="LK162" start="0" length="0">
      <dxf/>
    </rfmt>
    <rfmt sheetId="4" sqref="LL162" start="0" length="0">
      <dxf/>
    </rfmt>
    <rfmt sheetId="4" sqref="LM162" start="0" length="0">
      <dxf/>
    </rfmt>
    <rfmt sheetId="4" sqref="LN162" start="0" length="0">
      <dxf/>
    </rfmt>
    <rfmt sheetId="4" sqref="LO162" start="0" length="0">
      <dxf/>
    </rfmt>
    <rfmt sheetId="4" sqref="LP162" start="0" length="0">
      <dxf/>
    </rfmt>
    <rfmt sheetId="4" sqref="LQ162" start="0" length="0">
      <dxf/>
    </rfmt>
    <rfmt sheetId="4" sqref="LR162" start="0" length="0">
      <dxf/>
    </rfmt>
    <rfmt sheetId="4" sqref="LS162" start="0" length="0">
      <dxf/>
    </rfmt>
    <rfmt sheetId="4" sqref="LT162" start="0" length="0">
      <dxf/>
    </rfmt>
    <rfmt sheetId="4" sqref="LU162" start="0" length="0">
      <dxf/>
    </rfmt>
    <rfmt sheetId="4" sqref="LV162" start="0" length="0">
      <dxf/>
    </rfmt>
    <rfmt sheetId="4" sqref="LW162" start="0" length="0">
      <dxf/>
    </rfmt>
    <rfmt sheetId="4" sqref="LX162" start="0" length="0">
      <dxf/>
    </rfmt>
    <rfmt sheetId="4" sqref="LY162" start="0" length="0">
      <dxf/>
    </rfmt>
    <rfmt sheetId="4" sqref="LZ162" start="0" length="0">
      <dxf/>
    </rfmt>
    <rfmt sheetId="4" sqref="MA162" start="0" length="0">
      <dxf/>
    </rfmt>
    <rfmt sheetId="4" sqref="MB162" start="0" length="0">
      <dxf/>
    </rfmt>
  </rrc>
  <rrc rId="18" sId="4" ref="A162:XFD162" action="deleteRow">
    <undo index="0" exp="ref" v="1" dr="G162" r="G163" sId="4"/>
    <undo index="0" exp="area" ref3D="1" dr="$A$1:$A$1048576" dn="Z_8578D927_8BDE_4C99_A2DB_3E44DFA36FF2_.wvu.Cols" sId="4"/>
    <undo index="0" exp="area" ref3D="1" dr="$A$1:$A$1048576" dn="Z_F261CC3E_BBAF_4421_92E0_E43167440BFB_.wvu.Cols" sId="4"/>
    <undo index="0" exp="area" ref3D="1" dr="$A$1:$A$1048576" dn="Z_5AFECFD9_E8A5_469F_BA7F_E625784BB00E_.wvu.Cols" sId="4"/>
    <undo index="0" exp="area" ref3D="1" dr="$A$1:$A$1048576" dn="Z_F607B316_DD6D_4909_B40C_8E7F3D6FB597_.wvu.Cols" sId="4"/>
    <rfmt sheetId="4" xfDxf="1" sqref="A162:XFD162" start="0" length="0">
      <dxf>
        <font>
          <sz val="10"/>
          <name val="Arial"/>
          <scheme val="none"/>
        </font>
        <alignment horizontal="center" readingOrder="0"/>
      </dxf>
    </rfmt>
    <rfmt sheetId="4" sqref="A16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 numFmtId="19">
      <nc r="B162">
        <v>46270</v>
      </nc>
      <n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C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D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E162" t="inlineStr">
        <is>
          <t>18P3B</t>
          <phoneticPr fontId="156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F162" t="inlineStr">
        <is>
          <t>4800384640/100</t>
          <phoneticPr fontId="156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s="1" dxf="1">
      <nc r="G162">
        <f>#REF!-K162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H162">
        <v>20260831037</v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I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J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s="1" dxf="1">
      <nc r="K162">
        <f>J162/0.786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L162" t="inlineStr">
        <is>
          <t>待取消</t>
          <phoneticPr fontId="156" type="noConversion"/>
        </is>
      </nc>
      <ndxf>
        <font>
          <sz val="10"/>
          <name val="細明體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M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N162">
        <f>IF($C162="","",DATE(2000+LEFT($C162,2), HEX2DEC(MID($C162,3,1)), MID($C162,4,2)))</f>
      </nc>
      <ndxf>
        <numFmt numFmtId="176" formatCode="m/d;@"/>
      </ndxf>
    </rcc>
    <rcc rId="0" sId="4" dxf="1">
      <nc r="O162">
        <f>DATE(YEAR(N162)+1,MONTH(N162),DAY(N162))-1</f>
      </nc>
      <ndxf>
        <font>
          <sz val="10"/>
          <color auto="1"/>
          <name val="Arial"/>
          <scheme val="none"/>
        </font>
        <numFmt numFmtId="177" formatCode="m/d/yyyy"/>
      </ndxf>
    </rcc>
    <rfmt sheetId="4" sqref="T162" start="0" length="0">
      <dxf/>
    </rfmt>
    <rfmt sheetId="4" sqref="U162" start="0" length="0">
      <dxf/>
    </rfmt>
    <rfmt sheetId="4" sqref="V162" start="0" length="0">
      <dxf/>
    </rfmt>
    <rfmt sheetId="4" sqref="W162" start="0" length="0">
      <dxf/>
    </rfmt>
    <rfmt sheetId="4" sqref="X162" start="0" length="0">
      <dxf/>
    </rfmt>
    <rfmt sheetId="4" sqref="Y162" start="0" length="0">
      <dxf/>
    </rfmt>
    <rfmt sheetId="4" sqref="Z162" start="0" length="0">
      <dxf/>
    </rfmt>
    <rfmt sheetId="4" sqref="AA162" start="0" length="0">
      <dxf/>
    </rfmt>
    <rfmt sheetId="4" sqref="AB162" start="0" length="0">
      <dxf/>
    </rfmt>
    <rfmt sheetId="4" sqref="AC162" start="0" length="0">
      <dxf/>
    </rfmt>
    <rfmt sheetId="4" sqref="AD162" start="0" length="0">
      <dxf/>
    </rfmt>
    <rfmt sheetId="4" sqref="AE162" start="0" length="0">
      <dxf/>
    </rfmt>
    <rfmt sheetId="4" sqref="AF162" start="0" length="0">
      <dxf/>
    </rfmt>
    <rfmt sheetId="4" sqref="AG162" start="0" length="0">
      <dxf/>
    </rfmt>
    <rfmt sheetId="4" sqref="AH162" start="0" length="0">
      <dxf/>
    </rfmt>
    <rfmt sheetId="4" sqref="AI162" start="0" length="0">
      <dxf/>
    </rfmt>
    <rfmt sheetId="4" sqref="AJ162" start="0" length="0">
      <dxf/>
    </rfmt>
    <rfmt sheetId="4" sqref="AK162" start="0" length="0">
      <dxf/>
    </rfmt>
    <rfmt sheetId="4" sqref="AL162" start="0" length="0">
      <dxf/>
    </rfmt>
    <rfmt sheetId="4" sqref="AM162" start="0" length="0">
      <dxf/>
    </rfmt>
    <rfmt sheetId="4" sqref="AN162" start="0" length="0">
      <dxf/>
    </rfmt>
    <rfmt sheetId="4" sqref="AO162" start="0" length="0">
      <dxf/>
    </rfmt>
    <rfmt sheetId="4" sqref="AP162" start="0" length="0">
      <dxf/>
    </rfmt>
    <rfmt sheetId="4" sqref="AQ162" start="0" length="0">
      <dxf/>
    </rfmt>
    <rfmt sheetId="4" sqref="AR162" start="0" length="0">
      <dxf/>
    </rfmt>
    <rfmt sheetId="4" sqref="AS162" start="0" length="0">
      <dxf/>
    </rfmt>
    <rfmt sheetId="4" sqref="AT162" start="0" length="0">
      <dxf/>
    </rfmt>
    <rfmt sheetId="4" sqref="AU162" start="0" length="0">
      <dxf/>
    </rfmt>
    <rfmt sheetId="4" sqref="AV162" start="0" length="0">
      <dxf/>
    </rfmt>
    <rfmt sheetId="4" sqref="AW162" start="0" length="0">
      <dxf/>
    </rfmt>
    <rfmt sheetId="4" sqref="AX162" start="0" length="0">
      <dxf/>
    </rfmt>
    <rfmt sheetId="4" sqref="AY162" start="0" length="0">
      <dxf/>
    </rfmt>
    <rfmt sheetId="4" sqref="AZ162" start="0" length="0">
      <dxf/>
    </rfmt>
    <rfmt sheetId="4" sqref="BA162" start="0" length="0">
      <dxf/>
    </rfmt>
    <rfmt sheetId="4" sqref="BB162" start="0" length="0">
      <dxf/>
    </rfmt>
    <rfmt sheetId="4" sqref="BC162" start="0" length="0">
      <dxf/>
    </rfmt>
    <rfmt sheetId="4" sqref="BD162" start="0" length="0">
      <dxf/>
    </rfmt>
    <rfmt sheetId="4" sqref="BE162" start="0" length="0">
      <dxf/>
    </rfmt>
    <rfmt sheetId="4" sqref="BF162" start="0" length="0">
      <dxf/>
    </rfmt>
    <rfmt sheetId="4" sqref="BG162" start="0" length="0">
      <dxf/>
    </rfmt>
    <rfmt sheetId="4" sqref="BH162" start="0" length="0">
      <dxf/>
    </rfmt>
    <rfmt sheetId="4" sqref="BI162" start="0" length="0">
      <dxf/>
    </rfmt>
    <rfmt sheetId="4" sqref="BJ162" start="0" length="0">
      <dxf/>
    </rfmt>
    <rfmt sheetId="4" sqref="BK162" start="0" length="0">
      <dxf/>
    </rfmt>
    <rfmt sheetId="4" sqref="BL162" start="0" length="0">
      <dxf/>
    </rfmt>
    <rfmt sheetId="4" sqref="BM162" start="0" length="0">
      <dxf/>
    </rfmt>
    <rfmt sheetId="4" sqref="BN162" start="0" length="0">
      <dxf/>
    </rfmt>
    <rfmt sheetId="4" sqref="BO162" start="0" length="0">
      <dxf/>
    </rfmt>
    <rfmt sheetId="4" sqref="BP162" start="0" length="0">
      <dxf/>
    </rfmt>
    <rfmt sheetId="4" sqref="BQ162" start="0" length="0">
      <dxf/>
    </rfmt>
    <rfmt sheetId="4" sqref="BR162" start="0" length="0">
      <dxf/>
    </rfmt>
    <rfmt sheetId="4" sqref="BS162" start="0" length="0">
      <dxf/>
    </rfmt>
    <rfmt sheetId="4" sqref="BT162" start="0" length="0">
      <dxf/>
    </rfmt>
    <rfmt sheetId="4" sqref="BU162" start="0" length="0">
      <dxf/>
    </rfmt>
    <rfmt sheetId="4" sqref="BV162" start="0" length="0">
      <dxf/>
    </rfmt>
    <rfmt sheetId="4" sqref="BW162" start="0" length="0">
      <dxf/>
    </rfmt>
    <rfmt sheetId="4" sqref="BX162" start="0" length="0">
      <dxf/>
    </rfmt>
    <rfmt sheetId="4" sqref="BY162" start="0" length="0">
      <dxf/>
    </rfmt>
    <rfmt sheetId="4" sqref="BZ162" start="0" length="0">
      <dxf/>
    </rfmt>
    <rfmt sheetId="4" sqref="CA162" start="0" length="0">
      <dxf/>
    </rfmt>
    <rfmt sheetId="4" sqref="CB162" start="0" length="0">
      <dxf/>
    </rfmt>
    <rfmt sheetId="4" sqref="CC162" start="0" length="0">
      <dxf/>
    </rfmt>
    <rfmt sheetId="4" sqref="CD162" start="0" length="0">
      <dxf/>
    </rfmt>
    <rfmt sheetId="4" sqref="CE162" start="0" length="0">
      <dxf/>
    </rfmt>
    <rfmt sheetId="4" sqref="CF162" start="0" length="0">
      <dxf/>
    </rfmt>
    <rfmt sheetId="4" sqref="CG162" start="0" length="0">
      <dxf/>
    </rfmt>
    <rfmt sheetId="4" sqref="CH162" start="0" length="0">
      <dxf/>
    </rfmt>
    <rfmt sheetId="4" sqref="CI162" start="0" length="0">
      <dxf/>
    </rfmt>
    <rfmt sheetId="4" sqref="CJ162" start="0" length="0">
      <dxf/>
    </rfmt>
    <rfmt sheetId="4" sqref="CK162" start="0" length="0">
      <dxf/>
    </rfmt>
    <rfmt sheetId="4" sqref="CL162" start="0" length="0">
      <dxf/>
    </rfmt>
    <rfmt sheetId="4" sqref="CM162" start="0" length="0">
      <dxf/>
    </rfmt>
    <rfmt sheetId="4" sqref="CN162" start="0" length="0">
      <dxf/>
    </rfmt>
    <rfmt sheetId="4" sqref="CO162" start="0" length="0">
      <dxf/>
    </rfmt>
    <rfmt sheetId="4" sqref="CP162" start="0" length="0">
      <dxf/>
    </rfmt>
    <rfmt sheetId="4" sqref="CQ162" start="0" length="0">
      <dxf/>
    </rfmt>
    <rfmt sheetId="4" sqref="CR162" start="0" length="0">
      <dxf/>
    </rfmt>
    <rfmt sheetId="4" sqref="CS162" start="0" length="0">
      <dxf/>
    </rfmt>
    <rfmt sheetId="4" sqref="CT162" start="0" length="0">
      <dxf/>
    </rfmt>
    <rfmt sheetId="4" sqref="CU162" start="0" length="0">
      <dxf/>
    </rfmt>
    <rfmt sheetId="4" sqref="CV162" start="0" length="0">
      <dxf/>
    </rfmt>
    <rfmt sheetId="4" sqref="CW162" start="0" length="0">
      <dxf/>
    </rfmt>
    <rfmt sheetId="4" sqref="CX162" start="0" length="0">
      <dxf/>
    </rfmt>
    <rfmt sheetId="4" sqref="CY162" start="0" length="0">
      <dxf/>
    </rfmt>
    <rfmt sheetId="4" sqref="CZ162" start="0" length="0">
      <dxf/>
    </rfmt>
    <rfmt sheetId="4" sqref="DA162" start="0" length="0">
      <dxf/>
    </rfmt>
    <rfmt sheetId="4" sqref="DB162" start="0" length="0">
      <dxf/>
    </rfmt>
    <rfmt sheetId="4" sqref="DC162" start="0" length="0">
      <dxf/>
    </rfmt>
    <rfmt sheetId="4" sqref="DD162" start="0" length="0">
      <dxf/>
    </rfmt>
    <rfmt sheetId="4" sqref="DE162" start="0" length="0">
      <dxf/>
    </rfmt>
    <rfmt sheetId="4" sqref="DF162" start="0" length="0">
      <dxf/>
    </rfmt>
    <rfmt sheetId="4" sqref="DG162" start="0" length="0">
      <dxf/>
    </rfmt>
    <rfmt sheetId="4" sqref="DH162" start="0" length="0">
      <dxf/>
    </rfmt>
    <rfmt sheetId="4" sqref="DI162" start="0" length="0">
      <dxf/>
    </rfmt>
    <rfmt sheetId="4" sqref="DJ162" start="0" length="0">
      <dxf/>
    </rfmt>
    <rfmt sheetId="4" sqref="DK162" start="0" length="0">
      <dxf/>
    </rfmt>
    <rfmt sheetId="4" sqref="DL162" start="0" length="0">
      <dxf/>
    </rfmt>
    <rfmt sheetId="4" sqref="DM162" start="0" length="0">
      <dxf/>
    </rfmt>
    <rfmt sheetId="4" sqref="DN162" start="0" length="0">
      <dxf/>
    </rfmt>
    <rfmt sheetId="4" sqref="DO162" start="0" length="0">
      <dxf/>
    </rfmt>
    <rfmt sheetId="4" sqref="DP162" start="0" length="0">
      <dxf/>
    </rfmt>
    <rfmt sheetId="4" sqref="DQ162" start="0" length="0">
      <dxf/>
    </rfmt>
    <rfmt sheetId="4" sqref="DR162" start="0" length="0">
      <dxf/>
    </rfmt>
    <rfmt sheetId="4" sqref="DS162" start="0" length="0">
      <dxf/>
    </rfmt>
    <rfmt sheetId="4" sqref="DT162" start="0" length="0">
      <dxf/>
    </rfmt>
    <rfmt sheetId="4" sqref="DU162" start="0" length="0">
      <dxf/>
    </rfmt>
    <rfmt sheetId="4" sqref="DV162" start="0" length="0">
      <dxf/>
    </rfmt>
    <rfmt sheetId="4" sqref="DW162" start="0" length="0">
      <dxf/>
    </rfmt>
    <rfmt sheetId="4" sqref="DX162" start="0" length="0">
      <dxf/>
    </rfmt>
    <rfmt sheetId="4" sqref="DY162" start="0" length="0">
      <dxf/>
    </rfmt>
    <rfmt sheetId="4" sqref="DZ162" start="0" length="0">
      <dxf/>
    </rfmt>
    <rfmt sheetId="4" sqref="EA162" start="0" length="0">
      <dxf/>
    </rfmt>
    <rfmt sheetId="4" sqref="EB162" start="0" length="0">
      <dxf/>
    </rfmt>
    <rfmt sheetId="4" sqref="EC162" start="0" length="0">
      <dxf/>
    </rfmt>
    <rfmt sheetId="4" sqref="ED162" start="0" length="0">
      <dxf/>
    </rfmt>
    <rfmt sheetId="4" sqref="EE162" start="0" length="0">
      <dxf/>
    </rfmt>
    <rfmt sheetId="4" sqref="EF162" start="0" length="0">
      <dxf/>
    </rfmt>
    <rfmt sheetId="4" sqref="EG162" start="0" length="0">
      <dxf/>
    </rfmt>
    <rfmt sheetId="4" sqref="EH162" start="0" length="0">
      <dxf/>
    </rfmt>
    <rfmt sheetId="4" sqref="EI162" start="0" length="0">
      <dxf/>
    </rfmt>
    <rfmt sheetId="4" sqref="EJ162" start="0" length="0">
      <dxf/>
    </rfmt>
    <rfmt sheetId="4" sqref="EK162" start="0" length="0">
      <dxf/>
    </rfmt>
    <rfmt sheetId="4" sqref="EL162" start="0" length="0">
      <dxf/>
    </rfmt>
    <rfmt sheetId="4" sqref="EM162" start="0" length="0">
      <dxf/>
    </rfmt>
    <rfmt sheetId="4" sqref="EN162" start="0" length="0">
      <dxf/>
    </rfmt>
    <rfmt sheetId="4" sqref="EO162" start="0" length="0">
      <dxf/>
    </rfmt>
    <rfmt sheetId="4" sqref="EP162" start="0" length="0">
      <dxf/>
    </rfmt>
    <rfmt sheetId="4" sqref="EQ162" start="0" length="0">
      <dxf/>
    </rfmt>
    <rfmt sheetId="4" sqref="ER162" start="0" length="0">
      <dxf/>
    </rfmt>
    <rfmt sheetId="4" sqref="ES162" start="0" length="0">
      <dxf/>
    </rfmt>
    <rfmt sheetId="4" sqref="ET162" start="0" length="0">
      <dxf/>
    </rfmt>
    <rfmt sheetId="4" sqref="EU162" start="0" length="0">
      <dxf/>
    </rfmt>
    <rfmt sheetId="4" sqref="EV162" start="0" length="0">
      <dxf/>
    </rfmt>
    <rfmt sheetId="4" sqref="EW162" start="0" length="0">
      <dxf/>
    </rfmt>
    <rfmt sheetId="4" sqref="EX162" start="0" length="0">
      <dxf/>
    </rfmt>
    <rfmt sheetId="4" sqref="EY162" start="0" length="0">
      <dxf/>
    </rfmt>
    <rfmt sheetId="4" sqref="EZ162" start="0" length="0">
      <dxf/>
    </rfmt>
    <rfmt sheetId="4" sqref="FA162" start="0" length="0">
      <dxf/>
    </rfmt>
    <rfmt sheetId="4" sqref="FB162" start="0" length="0">
      <dxf/>
    </rfmt>
    <rfmt sheetId="4" sqref="FC162" start="0" length="0">
      <dxf/>
    </rfmt>
    <rfmt sheetId="4" sqref="FD162" start="0" length="0">
      <dxf/>
    </rfmt>
    <rfmt sheetId="4" sqref="FE162" start="0" length="0">
      <dxf/>
    </rfmt>
    <rfmt sheetId="4" sqref="FF162" start="0" length="0">
      <dxf/>
    </rfmt>
    <rfmt sheetId="4" sqref="FG162" start="0" length="0">
      <dxf/>
    </rfmt>
    <rfmt sheetId="4" sqref="FH162" start="0" length="0">
      <dxf/>
    </rfmt>
    <rfmt sheetId="4" sqref="FI162" start="0" length="0">
      <dxf/>
    </rfmt>
    <rfmt sheetId="4" sqref="FJ162" start="0" length="0">
      <dxf/>
    </rfmt>
    <rfmt sheetId="4" sqref="FK162" start="0" length="0">
      <dxf/>
    </rfmt>
    <rfmt sheetId="4" sqref="FL162" start="0" length="0">
      <dxf/>
    </rfmt>
    <rfmt sheetId="4" sqref="FM162" start="0" length="0">
      <dxf/>
    </rfmt>
    <rfmt sheetId="4" sqref="FN162" start="0" length="0">
      <dxf/>
    </rfmt>
    <rfmt sheetId="4" sqref="FO162" start="0" length="0">
      <dxf/>
    </rfmt>
    <rfmt sheetId="4" sqref="FP162" start="0" length="0">
      <dxf/>
    </rfmt>
    <rfmt sheetId="4" sqref="FQ162" start="0" length="0">
      <dxf/>
    </rfmt>
    <rfmt sheetId="4" sqref="FR162" start="0" length="0">
      <dxf/>
    </rfmt>
    <rfmt sheetId="4" sqref="FS162" start="0" length="0">
      <dxf/>
    </rfmt>
    <rfmt sheetId="4" sqref="FT162" start="0" length="0">
      <dxf/>
    </rfmt>
    <rfmt sheetId="4" sqref="FU162" start="0" length="0">
      <dxf/>
    </rfmt>
    <rfmt sheetId="4" sqref="FV162" start="0" length="0">
      <dxf/>
    </rfmt>
    <rfmt sheetId="4" sqref="FW162" start="0" length="0">
      <dxf/>
    </rfmt>
    <rfmt sheetId="4" sqref="FX162" start="0" length="0">
      <dxf/>
    </rfmt>
    <rfmt sheetId="4" sqref="FY162" start="0" length="0">
      <dxf/>
    </rfmt>
    <rfmt sheetId="4" sqref="FZ162" start="0" length="0">
      <dxf/>
    </rfmt>
    <rfmt sheetId="4" sqref="GA162" start="0" length="0">
      <dxf/>
    </rfmt>
    <rfmt sheetId="4" sqref="GB162" start="0" length="0">
      <dxf/>
    </rfmt>
    <rfmt sheetId="4" sqref="GC162" start="0" length="0">
      <dxf/>
    </rfmt>
    <rfmt sheetId="4" sqref="GD162" start="0" length="0">
      <dxf/>
    </rfmt>
    <rfmt sheetId="4" sqref="GE162" start="0" length="0">
      <dxf/>
    </rfmt>
    <rfmt sheetId="4" sqref="GF162" start="0" length="0">
      <dxf/>
    </rfmt>
    <rfmt sheetId="4" sqref="GG162" start="0" length="0">
      <dxf/>
    </rfmt>
    <rfmt sheetId="4" sqref="GH162" start="0" length="0">
      <dxf/>
    </rfmt>
    <rfmt sheetId="4" sqref="GI162" start="0" length="0">
      <dxf/>
    </rfmt>
    <rfmt sheetId="4" sqref="GJ162" start="0" length="0">
      <dxf/>
    </rfmt>
    <rfmt sheetId="4" sqref="GK162" start="0" length="0">
      <dxf/>
    </rfmt>
    <rfmt sheetId="4" sqref="GL162" start="0" length="0">
      <dxf/>
    </rfmt>
    <rfmt sheetId="4" sqref="GM162" start="0" length="0">
      <dxf/>
    </rfmt>
    <rfmt sheetId="4" sqref="GN162" start="0" length="0">
      <dxf/>
    </rfmt>
    <rfmt sheetId="4" sqref="GO162" start="0" length="0">
      <dxf/>
    </rfmt>
    <rfmt sheetId="4" sqref="GP162" start="0" length="0">
      <dxf/>
    </rfmt>
    <rfmt sheetId="4" sqref="GQ162" start="0" length="0">
      <dxf/>
    </rfmt>
    <rfmt sheetId="4" sqref="GR162" start="0" length="0">
      <dxf/>
    </rfmt>
    <rfmt sheetId="4" sqref="GS162" start="0" length="0">
      <dxf/>
    </rfmt>
    <rfmt sheetId="4" sqref="GT162" start="0" length="0">
      <dxf/>
    </rfmt>
    <rfmt sheetId="4" sqref="GU162" start="0" length="0">
      <dxf/>
    </rfmt>
    <rfmt sheetId="4" sqref="GV162" start="0" length="0">
      <dxf/>
    </rfmt>
    <rfmt sheetId="4" sqref="GW162" start="0" length="0">
      <dxf/>
    </rfmt>
    <rfmt sheetId="4" sqref="GX162" start="0" length="0">
      <dxf/>
    </rfmt>
    <rfmt sheetId="4" sqref="GY162" start="0" length="0">
      <dxf/>
    </rfmt>
    <rfmt sheetId="4" sqref="GZ162" start="0" length="0">
      <dxf/>
    </rfmt>
    <rfmt sheetId="4" sqref="HA162" start="0" length="0">
      <dxf/>
    </rfmt>
    <rfmt sheetId="4" sqref="HB162" start="0" length="0">
      <dxf/>
    </rfmt>
    <rfmt sheetId="4" sqref="HC162" start="0" length="0">
      <dxf/>
    </rfmt>
    <rfmt sheetId="4" sqref="HD162" start="0" length="0">
      <dxf/>
    </rfmt>
    <rfmt sheetId="4" sqref="HE162" start="0" length="0">
      <dxf/>
    </rfmt>
    <rfmt sheetId="4" sqref="HF162" start="0" length="0">
      <dxf/>
    </rfmt>
    <rfmt sheetId="4" sqref="HG162" start="0" length="0">
      <dxf/>
    </rfmt>
    <rfmt sheetId="4" sqref="HH162" start="0" length="0">
      <dxf/>
    </rfmt>
    <rfmt sheetId="4" sqref="HI162" start="0" length="0">
      <dxf/>
    </rfmt>
    <rfmt sheetId="4" sqref="HJ162" start="0" length="0">
      <dxf/>
    </rfmt>
    <rfmt sheetId="4" sqref="HK162" start="0" length="0">
      <dxf/>
    </rfmt>
    <rfmt sheetId="4" sqref="HL162" start="0" length="0">
      <dxf/>
    </rfmt>
    <rfmt sheetId="4" sqref="HM162" start="0" length="0">
      <dxf/>
    </rfmt>
    <rfmt sheetId="4" sqref="HN162" start="0" length="0">
      <dxf/>
    </rfmt>
    <rfmt sheetId="4" sqref="HO162" start="0" length="0">
      <dxf/>
    </rfmt>
    <rfmt sheetId="4" sqref="HP162" start="0" length="0">
      <dxf/>
    </rfmt>
    <rfmt sheetId="4" sqref="HQ162" start="0" length="0">
      <dxf/>
    </rfmt>
    <rfmt sheetId="4" sqref="HR162" start="0" length="0">
      <dxf/>
    </rfmt>
    <rfmt sheetId="4" sqref="HS162" start="0" length="0">
      <dxf/>
    </rfmt>
    <rfmt sheetId="4" sqref="HT162" start="0" length="0">
      <dxf/>
    </rfmt>
    <rfmt sheetId="4" sqref="HU162" start="0" length="0">
      <dxf/>
    </rfmt>
    <rfmt sheetId="4" sqref="HV162" start="0" length="0">
      <dxf/>
    </rfmt>
    <rfmt sheetId="4" sqref="HW162" start="0" length="0">
      <dxf/>
    </rfmt>
    <rfmt sheetId="4" sqref="HX162" start="0" length="0">
      <dxf/>
    </rfmt>
    <rfmt sheetId="4" sqref="HY162" start="0" length="0">
      <dxf/>
    </rfmt>
    <rfmt sheetId="4" sqref="HZ162" start="0" length="0">
      <dxf/>
    </rfmt>
    <rfmt sheetId="4" sqref="IA162" start="0" length="0">
      <dxf/>
    </rfmt>
    <rfmt sheetId="4" sqref="IB162" start="0" length="0">
      <dxf/>
    </rfmt>
    <rfmt sheetId="4" sqref="IC162" start="0" length="0">
      <dxf/>
    </rfmt>
    <rfmt sheetId="4" sqref="ID162" start="0" length="0">
      <dxf/>
    </rfmt>
    <rfmt sheetId="4" sqref="IE162" start="0" length="0">
      <dxf/>
    </rfmt>
    <rfmt sheetId="4" sqref="IF162" start="0" length="0">
      <dxf/>
    </rfmt>
    <rfmt sheetId="4" sqref="IG162" start="0" length="0">
      <dxf/>
    </rfmt>
    <rfmt sheetId="4" sqref="IH162" start="0" length="0">
      <dxf/>
    </rfmt>
    <rfmt sheetId="4" sqref="II162" start="0" length="0">
      <dxf/>
    </rfmt>
    <rfmt sheetId="4" sqref="IJ162" start="0" length="0">
      <dxf/>
    </rfmt>
    <rfmt sheetId="4" sqref="IK162" start="0" length="0">
      <dxf/>
    </rfmt>
    <rfmt sheetId="4" sqref="IL162" start="0" length="0">
      <dxf/>
    </rfmt>
    <rfmt sheetId="4" sqref="IM162" start="0" length="0">
      <dxf/>
    </rfmt>
    <rfmt sheetId="4" sqref="IN162" start="0" length="0">
      <dxf/>
    </rfmt>
    <rfmt sheetId="4" sqref="IO162" start="0" length="0">
      <dxf/>
    </rfmt>
    <rfmt sheetId="4" sqref="IP162" start="0" length="0">
      <dxf/>
    </rfmt>
    <rfmt sheetId="4" sqref="IQ162" start="0" length="0">
      <dxf/>
    </rfmt>
    <rfmt sheetId="4" sqref="IR162" start="0" length="0">
      <dxf/>
    </rfmt>
    <rfmt sheetId="4" sqref="IS162" start="0" length="0">
      <dxf/>
    </rfmt>
    <rfmt sheetId="4" sqref="IT162" start="0" length="0">
      <dxf/>
    </rfmt>
    <rfmt sheetId="4" sqref="IU162" start="0" length="0">
      <dxf/>
    </rfmt>
    <rfmt sheetId="4" sqref="IV162" start="0" length="0">
      <dxf/>
    </rfmt>
    <rfmt sheetId="4" sqref="IW162" start="0" length="0">
      <dxf/>
    </rfmt>
    <rfmt sheetId="4" sqref="IX162" start="0" length="0">
      <dxf/>
    </rfmt>
    <rfmt sheetId="4" sqref="IY162" start="0" length="0">
      <dxf/>
    </rfmt>
    <rfmt sheetId="4" sqref="IZ162" start="0" length="0">
      <dxf/>
    </rfmt>
    <rfmt sheetId="4" sqref="JA162" start="0" length="0">
      <dxf/>
    </rfmt>
    <rfmt sheetId="4" sqref="JB162" start="0" length="0">
      <dxf/>
    </rfmt>
    <rfmt sheetId="4" sqref="JC162" start="0" length="0">
      <dxf/>
    </rfmt>
    <rfmt sheetId="4" sqref="JD162" start="0" length="0">
      <dxf/>
    </rfmt>
    <rfmt sheetId="4" sqref="JE162" start="0" length="0">
      <dxf/>
    </rfmt>
    <rfmt sheetId="4" sqref="JF162" start="0" length="0">
      <dxf/>
    </rfmt>
    <rfmt sheetId="4" sqref="JG162" start="0" length="0">
      <dxf/>
    </rfmt>
    <rfmt sheetId="4" sqref="JH162" start="0" length="0">
      <dxf/>
    </rfmt>
    <rfmt sheetId="4" sqref="JI162" start="0" length="0">
      <dxf/>
    </rfmt>
    <rfmt sheetId="4" sqref="JJ162" start="0" length="0">
      <dxf/>
    </rfmt>
    <rfmt sheetId="4" sqref="JK162" start="0" length="0">
      <dxf/>
    </rfmt>
    <rfmt sheetId="4" sqref="JL162" start="0" length="0">
      <dxf/>
    </rfmt>
    <rfmt sheetId="4" sqref="JM162" start="0" length="0">
      <dxf/>
    </rfmt>
    <rfmt sheetId="4" sqref="JN162" start="0" length="0">
      <dxf/>
    </rfmt>
    <rfmt sheetId="4" sqref="JO162" start="0" length="0">
      <dxf/>
    </rfmt>
    <rfmt sheetId="4" sqref="JP162" start="0" length="0">
      <dxf/>
    </rfmt>
    <rfmt sheetId="4" sqref="JQ162" start="0" length="0">
      <dxf/>
    </rfmt>
    <rfmt sheetId="4" sqref="JR162" start="0" length="0">
      <dxf/>
    </rfmt>
    <rfmt sheetId="4" sqref="JS162" start="0" length="0">
      <dxf/>
    </rfmt>
    <rfmt sheetId="4" sqref="JT162" start="0" length="0">
      <dxf/>
    </rfmt>
    <rfmt sheetId="4" sqref="JU162" start="0" length="0">
      <dxf/>
    </rfmt>
    <rfmt sheetId="4" sqref="JV162" start="0" length="0">
      <dxf/>
    </rfmt>
    <rfmt sheetId="4" sqref="JW162" start="0" length="0">
      <dxf/>
    </rfmt>
    <rfmt sheetId="4" sqref="JX162" start="0" length="0">
      <dxf/>
    </rfmt>
    <rfmt sheetId="4" sqref="JY162" start="0" length="0">
      <dxf/>
    </rfmt>
    <rfmt sheetId="4" sqref="JZ162" start="0" length="0">
      <dxf/>
    </rfmt>
    <rfmt sheetId="4" sqref="KA162" start="0" length="0">
      <dxf/>
    </rfmt>
    <rfmt sheetId="4" sqref="KB162" start="0" length="0">
      <dxf/>
    </rfmt>
    <rfmt sheetId="4" sqref="KC162" start="0" length="0">
      <dxf/>
    </rfmt>
    <rfmt sheetId="4" sqref="KD162" start="0" length="0">
      <dxf/>
    </rfmt>
    <rfmt sheetId="4" sqref="KE162" start="0" length="0">
      <dxf/>
    </rfmt>
    <rfmt sheetId="4" sqref="KF162" start="0" length="0">
      <dxf/>
    </rfmt>
    <rfmt sheetId="4" sqref="KG162" start="0" length="0">
      <dxf/>
    </rfmt>
    <rfmt sheetId="4" sqref="KH162" start="0" length="0">
      <dxf/>
    </rfmt>
    <rfmt sheetId="4" sqref="KI162" start="0" length="0">
      <dxf/>
    </rfmt>
    <rfmt sheetId="4" sqref="KJ162" start="0" length="0">
      <dxf/>
    </rfmt>
    <rfmt sheetId="4" sqref="KK162" start="0" length="0">
      <dxf/>
    </rfmt>
    <rfmt sheetId="4" sqref="KL162" start="0" length="0">
      <dxf/>
    </rfmt>
    <rfmt sheetId="4" sqref="KM162" start="0" length="0">
      <dxf/>
    </rfmt>
    <rfmt sheetId="4" sqref="KN162" start="0" length="0">
      <dxf/>
    </rfmt>
    <rfmt sheetId="4" sqref="KO162" start="0" length="0">
      <dxf/>
    </rfmt>
    <rfmt sheetId="4" sqref="KP162" start="0" length="0">
      <dxf/>
    </rfmt>
    <rfmt sheetId="4" sqref="KQ162" start="0" length="0">
      <dxf/>
    </rfmt>
    <rfmt sheetId="4" sqref="KR162" start="0" length="0">
      <dxf/>
    </rfmt>
    <rfmt sheetId="4" sqref="KS162" start="0" length="0">
      <dxf/>
    </rfmt>
    <rfmt sheetId="4" sqref="KT162" start="0" length="0">
      <dxf/>
    </rfmt>
    <rfmt sheetId="4" sqref="KU162" start="0" length="0">
      <dxf/>
    </rfmt>
    <rfmt sheetId="4" sqref="KV162" start="0" length="0">
      <dxf/>
    </rfmt>
    <rfmt sheetId="4" sqref="KW162" start="0" length="0">
      <dxf/>
    </rfmt>
    <rfmt sheetId="4" sqref="KX162" start="0" length="0">
      <dxf/>
    </rfmt>
    <rfmt sheetId="4" sqref="KY162" start="0" length="0">
      <dxf/>
    </rfmt>
    <rfmt sheetId="4" sqref="KZ162" start="0" length="0">
      <dxf/>
    </rfmt>
    <rfmt sheetId="4" sqref="LA162" start="0" length="0">
      <dxf/>
    </rfmt>
    <rfmt sheetId="4" sqref="LB162" start="0" length="0">
      <dxf/>
    </rfmt>
    <rfmt sheetId="4" sqref="LC162" start="0" length="0">
      <dxf/>
    </rfmt>
    <rfmt sheetId="4" sqref="LD162" start="0" length="0">
      <dxf/>
    </rfmt>
    <rfmt sheetId="4" sqref="LE162" start="0" length="0">
      <dxf/>
    </rfmt>
    <rfmt sheetId="4" sqref="LF162" start="0" length="0">
      <dxf/>
    </rfmt>
    <rfmt sheetId="4" sqref="LG162" start="0" length="0">
      <dxf/>
    </rfmt>
    <rfmt sheetId="4" sqref="LH162" start="0" length="0">
      <dxf/>
    </rfmt>
    <rfmt sheetId="4" sqref="LI162" start="0" length="0">
      <dxf/>
    </rfmt>
    <rfmt sheetId="4" sqref="LJ162" start="0" length="0">
      <dxf/>
    </rfmt>
    <rfmt sheetId="4" sqref="LK162" start="0" length="0">
      <dxf/>
    </rfmt>
    <rfmt sheetId="4" sqref="LL162" start="0" length="0">
      <dxf/>
    </rfmt>
    <rfmt sheetId="4" sqref="LM162" start="0" length="0">
      <dxf/>
    </rfmt>
    <rfmt sheetId="4" sqref="LN162" start="0" length="0">
      <dxf/>
    </rfmt>
    <rfmt sheetId="4" sqref="LO162" start="0" length="0">
      <dxf/>
    </rfmt>
    <rfmt sheetId="4" sqref="LP162" start="0" length="0">
      <dxf/>
    </rfmt>
    <rfmt sheetId="4" sqref="LQ162" start="0" length="0">
      <dxf/>
    </rfmt>
    <rfmt sheetId="4" sqref="LR162" start="0" length="0">
      <dxf/>
    </rfmt>
    <rfmt sheetId="4" sqref="LS162" start="0" length="0">
      <dxf/>
    </rfmt>
    <rfmt sheetId="4" sqref="LT162" start="0" length="0">
      <dxf/>
    </rfmt>
    <rfmt sheetId="4" sqref="LU162" start="0" length="0">
      <dxf/>
    </rfmt>
    <rfmt sheetId="4" sqref="LV162" start="0" length="0">
      <dxf/>
    </rfmt>
    <rfmt sheetId="4" sqref="LW162" start="0" length="0">
      <dxf/>
    </rfmt>
    <rfmt sheetId="4" sqref="LX162" start="0" length="0">
      <dxf/>
    </rfmt>
    <rfmt sheetId="4" sqref="LY162" start="0" length="0">
      <dxf/>
    </rfmt>
    <rfmt sheetId="4" sqref="LZ162" start="0" length="0">
      <dxf/>
    </rfmt>
    <rfmt sheetId="4" sqref="MA162" start="0" length="0">
      <dxf/>
    </rfmt>
    <rfmt sheetId="4" sqref="MB162" start="0" length="0">
      <dxf/>
    </rfmt>
  </rrc>
  <rrc rId="19" sId="4" ref="A162:XFD162" action="deleteRow">
    <undo index="0" exp="ref" v="1" dr="G162" r="G163" sId="4"/>
    <undo index="0" exp="area" ref3D="1" dr="$A$1:$A$1048576" dn="Z_8578D927_8BDE_4C99_A2DB_3E44DFA36FF2_.wvu.Cols" sId="4"/>
    <undo index="0" exp="area" ref3D="1" dr="$A$1:$A$1048576" dn="Z_F261CC3E_BBAF_4421_92E0_E43167440BFB_.wvu.Cols" sId="4"/>
    <undo index="0" exp="area" ref3D="1" dr="$A$1:$A$1048576" dn="Z_5AFECFD9_E8A5_469F_BA7F_E625784BB00E_.wvu.Cols" sId="4"/>
    <undo index="0" exp="area" ref3D="1" dr="$A$1:$A$1048576" dn="Z_F607B316_DD6D_4909_B40C_8E7F3D6FB597_.wvu.Cols" sId="4"/>
    <rfmt sheetId="4" xfDxf="1" sqref="A162:XFD162" start="0" length="0">
      <dxf>
        <font>
          <sz val="10"/>
          <name val="Arial"/>
          <scheme val="none"/>
        </font>
        <alignment horizontal="center" readingOrder="0"/>
      </dxf>
    </rfmt>
    <rfmt sheetId="4" sqref="A16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 numFmtId="19">
      <nc r="B162">
        <v>46271</v>
      </nc>
      <n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C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D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E162" t="inlineStr">
        <is>
          <t>18P3B</t>
          <phoneticPr fontId="156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F162" t="inlineStr">
        <is>
          <t>4800384640/100</t>
          <phoneticPr fontId="156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s="1" dxf="1">
      <nc r="G162">
        <f>#REF!-K162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H162">
        <v>20260831038</v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I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J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s="1" dxf="1">
      <nc r="K162">
        <f>J162/0.786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L162" t="inlineStr">
        <is>
          <t>待取消</t>
          <phoneticPr fontId="156" type="noConversion"/>
        </is>
      </nc>
      <ndxf>
        <font>
          <sz val="10"/>
          <name val="細明體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M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N162">
        <f>IF($C162="","",DATE(2000+LEFT($C162,2), HEX2DEC(MID($C162,3,1)), MID($C162,4,2)))</f>
      </nc>
      <ndxf>
        <numFmt numFmtId="176" formatCode="m/d;@"/>
      </ndxf>
    </rcc>
    <rcc rId="0" sId="4" dxf="1">
      <nc r="O162">
        <f>DATE(YEAR(N162)+1,MONTH(N162),DAY(N162))-1</f>
      </nc>
      <ndxf>
        <font>
          <sz val="10"/>
          <color auto="1"/>
          <name val="Arial"/>
          <scheme val="none"/>
        </font>
        <numFmt numFmtId="177" formatCode="m/d/yyyy"/>
      </ndxf>
    </rcc>
    <rfmt sheetId="4" sqref="T162" start="0" length="0">
      <dxf/>
    </rfmt>
    <rfmt sheetId="4" sqref="U162" start="0" length="0">
      <dxf/>
    </rfmt>
    <rfmt sheetId="4" sqref="V162" start="0" length="0">
      <dxf/>
    </rfmt>
    <rfmt sheetId="4" sqref="W162" start="0" length="0">
      <dxf/>
    </rfmt>
    <rfmt sheetId="4" sqref="X162" start="0" length="0">
      <dxf/>
    </rfmt>
    <rfmt sheetId="4" sqref="Y162" start="0" length="0">
      <dxf/>
    </rfmt>
    <rfmt sheetId="4" sqref="Z162" start="0" length="0">
      <dxf/>
    </rfmt>
    <rfmt sheetId="4" sqref="AA162" start="0" length="0">
      <dxf/>
    </rfmt>
    <rfmt sheetId="4" sqref="AB162" start="0" length="0">
      <dxf/>
    </rfmt>
    <rfmt sheetId="4" sqref="AC162" start="0" length="0">
      <dxf/>
    </rfmt>
    <rfmt sheetId="4" sqref="AD162" start="0" length="0">
      <dxf/>
    </rfmt>
    <rfmt sheetId="4" sqref="AE162" start="0" length="0">
      <dxf/>
    </rfmt>
    <rfmt sheetId="4" sqref="AF162" start="0" length="0">
      <dxf/>
    </rfmt>
    <rfmt sheetId="4" sqref="AG162" start="0" length="0">
      <dxf/>
    </rfmt>
    <rfmt sheetId="4" sqref="AH162" start="0" length="0">
      <dxf/>
    </rfmt>
    <rfmt sheetId="4" sqref="AI162" start="0" length="0">
      <dxf/>
    </rfmt>
    <rfmt sheetId="4" sqref="AJ162" start="0" length="0">
      <dxf/>
    </rfmt>
    <rfmt sheetId="4" sqref="AK162" start="0" length="0">
      <dxf/>
    </rfmt>
    <rfmt sheetId="4" sqref="AL162" start="0" length="0">
      <dxf/>
    </rfmt>
    <rfmt sheetId="4" sqref="AM162" start="0" length="0">
      <dxf/>
    </rfmt>
    <rfmt sheetId="4" sqref="AN162" start="0" length="0">
      <dxf/>
    </rfmt>
    <rfmt sheetId="4" sqref="AO162" start="0" length="0">
      <dxf/>
    </rfmt>
    <rfmt sheetId="4" sqref="AP162" start="0" length="0">
      <dxf/>
    </rfmt>
    <rfmt sheetId="4" sqref="AQ162" start="0" length="0">
      <dxf/>
    </rfmt>
    <rfmt sheetId="4" sqref="AR162" start="0" length="0">
      <dxf/>
    </rfmt>
    <rfmt sheetId="4" sqref="AS162" start="0" length="0">
      <dxf/>
    </rfmt>
    <rfmt sheetId="4" sqref="AT162" start="0" length="0">
      <dxf/>
    </rfmt>
    <rfmt sheetId="4" sqref="AU162" start="0" length="0">
      <dxf/>
    </rfmt>
    <rfmt sheetId="4" sqref="AV162" start="0" length="0">
      <dxf/>
    </rfmt>
    <rfmt sheetId="4" sqref="AW162" start="0" length="0">
      <dxf/>
    </rfmt>
    <rfmt sheetId="4" sqref="AX162" start="0" length="0">
      <dxf/>
    </rfmt>
    <rfmt sheetId="4" sqref="AY162" start="0" length="0">
      <dxf/>
    </rfmt>
    <rfmt sheetId="4" sqref="AZ162" start="0" length="0">
      <dxf/>
    </rfmt>
    <rfmt sheetId="4" sqref="BA162" start="0" length="0">
      <dxf/>
    </rfmt>
    <rfmt sheetId="4" sqref="BB162" start="0" length="0">
      <dxf/>
    </rfmt>
    <rfmt sheetId="4" sqref="BC162" start="0" length="0">
      <dxf/>
    </rfmt>
    <rfmt sheetId="4" sqref="BD162" start="0" length="0">
      <dxf/>
    </rfmt>
    <rfmt sheetId="4" sqref="BE162" start="0" length="0">
      <dxf/>
    </rfmt>
    <rfmt sheetId="4" sqref="BF162" start="0" length="0">
      <dxf/>
    </rfmt>
    <rfmt sheetId="4" sqref="BG162" start="0" length="0">
      <dxf/>
    </rfmt>
    <rfmt sheetId="4" sqref="BH162" start="0" length="0">
      <dxf/>
    </rfmt>
    <rfmt sheetId="4" sqref="BI162" start="0" length="0">
      <dxf/>
    </rfmt>
    <rfmt sheetId="4" sqref="BJ162" start="0" length="0">
      <dxf/>
    </rfmt>
    <rfmt sheetId="4" sqref="BK162" start="0" length="0">
      <dxf/>
    </rfmt>
    <rfmt sheetId="4" sqref="BL162" start="0" length="0">
      <dxf/>
    </rfmt>
    <rfmt sheetId="4" sqref="BM162" start="0" length="0">
      <dxf/>
    </rfmt>
    <rfmt sheetId="4" sqref="BN162" start="0" length="0">
      <dxf/>
    </rfmt>
    <rfmt sheetId="4" sqref="BO162" start="0" length="0">
      <dxf/>
    </rfmt>
    <rfmt sheetId="4" sqref="BP162" start="0" length="0">
      <dxf/>
    </rfmt>
    <rfmt sheetId="4" sqref="BQ162" start="0" length="0">
      <dxf/>
    </rfmt>
    <rfmt sheetId="4" sqref="BR162" start="0" length="0">
      <dxf/>
    </rfmt>
    <rfmt sheetId="4" sqref="BS162" start="0" length="0">
      <dxf/>
    </rfmt>
    <rfmt sheetId="4" sqref="BT162" start="0" length="0">
      <dxf/>
    </rfmt>
    <rfmt sheetId="4" sqref="BU162" start="0" length="0">
      <dxf/>
    </rfmt>
    <rfmt sheetId="4" sqref="BV162" start="0" length="0">
      <dxf/>
    </rfmt>
    <rfmt sheetId="4" sqref="BW162" start="0" length="0">
      <dxf/>
    </rfmt>
    <rfmt sheetId="4" sqref="BX162" start="0" length="0">
      <dxf/>
    </rfmt>
    <rfmt sheetId="4" sqref="BY162" start="0" length="0">
      <dxf/>
    </rfmt>
    <rfmt sheetId="4" sqref="BZ162" start="0" length="0">
      <dxf/>
    </rfmt>
    <rfmt sheetId="4" sqref="CA162" start="0" length="0">
      <dxf/>
    </rfmt>
    <rfmt sheetId="4" sqref="CB162" start="0" length="0">
      <dxf/>
    </rfmt>
    <rfmt sheetId="4" sqref="CC162" start="0" length="0">
      <dxf/>
    </rfmt>
    <rfmt sheetId="4" sqref="CD162" start="0" length="0">
      <dxf/>
    </rfmt>
    <rfmt sheetId="4" sqref="CE162" start="0" length="0">
      <dxf/>
    </rfmt>
    <rfmt sheetId="4" sqref="CF162" start="0" length="0">
      <dxf/>
    </rfmt>
    <rfmt sheetId="4" sqref="CG162" start="0" length="0">
      <dxf/>
    </rfmt>
    <rfmt sheetId="4" sqref="CH162" start="0" length="0">
      <dxf/>
    </rfmt>
    <rfmt sheetId="4" sqref="CI162" start="0" length="0">
      <dxf/>
    </rfmt>
    <rfmt sheetId="4" sqref="CJ162" start="0" length="0">
      <dxf/>
    </rfmt>
    <rfmt sheetId="4" sqref="CK162" start="0" length="0">
      <dxf/>
    </rfmt>
    <rfmt sheetId="4" sqref="CL162" start="0" length="0">
      <dxf/>
    </rfmt>
    <rfmt sheetId="4" sqref="CM162" start="0" length="0">
      <dxf/>
    </rfmt>
    <rfmt sheetId="4" sqref="CN162" start="0" length="0">
      <dxf/>
    </rfmt>
    <rfmt sheetId="4" sqref="CO162" start="0" length="0">
      <dxf/>
    </rfmt>
    <rfmt sheetId="4" sqref="CP162" start="0" length="0">
      <dxf/>
    </rfmt>
    <rfmt sheetId="4" sqref="CQ162" start="0" length="0">
      <dxf/>
    </rfmt>
    <rfmt sheetId="4" sqref="CR162" start="0" length="0">
      <dxf/>
    </rfmt>
    <rfmt sheetId="4" sqref="CS162" start="0" length="0">
      <dxf/>
    </rfmt>
    <rfmt sheetId="4" sqref="CT162" start="0" length="0">
      <dxf/>
    </rfmt>
    <rfmt sheetId="4" sqref="CU162" start="0" length="0">
      <dxf/>
    </rfmt>
    <rfmt sheetId="4" sqref="CV162" start="0" length="0">
      <dxf/>
    </rfmt>
    <rfmt sheetId="4" sqref="CW162" start="0" length="0">
      <dxf/>
    </rfmt>
    <rfmt sheetId="4" sqref="CX162" start="0" length="0">
      <dxf/>
    </rfmt>
    <rfmt sheetId="4" sqref="CY162" start="0" length="0">
      <dxf/>
    </rfmt>
    <rfmt sheetId="4" sqref="CZ162" start="0" length="0">
      <dxf/>
    </rfmt>
    <rfmt sheetId="4" sqref="DA162" start="0" length="0">
      <dxf/>
    </rfmt>
    <rfmt sheetId="4" sqref="DB162" start="0" length="0">
      <dxf/>
    </rfmt>
    <rfmt sheetId="4" sqref="DC162" start="0" length="0">
      <dxf/>
    </rfmt>
    <rfmt sheetId="4" sqref="DD162" start="0" length="0">
      <dxf/>
    </rfmt>
    <rfmt sheetId="4" sqref="DE162" start="0" length="0">
      <dxf/>
    </rfmt>
    <rfmt sheetId="4" sqref="DF162" start="0" length="0">
      <dxf/>
    </rfmt>
    <rfmt sheetId="4" sqref="DG162" start="0" length="0">
      <dxf/>
    </rfmt>
    <rfmt sheetId="4" sqref="DH162" start="0" length="0">
      <dxf/>
    </rfmt>
    <rfmt sheetId="4" sqref="DI162" start="0" length="0">
      <dxf/>
    </rfmt>
    <rfmt sheetId="4" sqref="DJ162" start="0" length="0">
      <dxf/>
    </rfmt>
    <rfmt sheetId="4" sqref="DK162" start="0" length="0">
      <dxf/>
    </rfmt>
    <rfmt sheetId="4" sqref="DL162" start="0" length="0">
      <dxf/>
    </rfmt>
    <rfmt sheetId="4" sqref="DM162" start="0" length="0">
      <dxf/>
    </rfmt>
    <rfmt sheetId="4" sqref="DN162" start="0" length="0">
      <dxf/>
    </rfmt>
    <rfmt sheetId="4" sqref="DO162" start="0" length="0">
      <dxf/>
    </rfmt>
    <rfmt sheetId="4" sqref="DP162" start="0" length="0">
      <dxf/>
    </rfmt>
    <rfmt sheetId="4" sqref="DQ162" start="0" length="0">
      <dxf/>
    </rfmt>
    <rfmt sheetId="4" sqref="DR162" start="0" length="0">
      <dxf/>
    </rfmt>
    <rfmt sheetId="4" sqref="DS162" start="0" length="0">
      <dxf/>
    </rfmt>
    <rfmt sheetId="4" sqref="DT162" start="0" length="0">
      <dxf/>
    </rfmt>
    <rfmt sheetId="4" sqref="DU162" start="0" length="0">
      <dxf/>
    </rfmt>
    <rfmt sheetId="4" sqref="DV162" start="0" length="0">
      <dxf/>
    </rfmt>
    <rfmt sheetId="4" sqref="DW162" start="0" length="0">
      <dxf/>
    </rfmt>
    <rfmt sheetId="4" sqref="DX162" start="0" length="0">
      <dxf/>
    </rfmt>
    <rfmt sheetId="4" sqref="DY162" start="0" length="0">
      <dxf/>
    </rfmt>
    <rfmt sheetId="4" sqref="DZ162" start="0" length="0">
      <dxf/>
    </rfmt>
    <rfmt sheetId="4" sqref="EA162" start="0" length="0">
      <dxf/>
    </rfmt>
    <rfmt sheetId="4" sqref="EB162" start="0" length="0">
      <dxf/>
    </rfmt>
    <rfmt sheetId="4" sqref="EC162" start="0" length="0">
      <dxf/>
    </rfmt>
    <rfmt sheetId="4" sqref="ED162" start="0" length="0">
      <dxf/>
    </rfmt>
    <rfmt sheetId="4" sqref="EE162" start="0" length="0">
      <dxf/>
    </rfmt>
    <rfmt sheetId="4" sqref="EF162" start="0" length="0">
      <dxf/>
    </rfmt>
    <rfmt sheetId="4" sqref="EG162" start="0" length="0">
      <dxf/>
    </rfmt>
    <rfmt sheetId="4" sqref="EH162" start="0" length="0">
      <dxf/>
    </rfmt>
    <rfmt sheetId="4" sqref="EI162" start="0" length="0">
      <dxf/>
    </rfmt>
    <rfmt sheetId="4" sqref="EJ162" start="0" length="0">
      <dxf/>
    </rfmt>
    <rfmt sheetId="4" sqref="EK162" start="0" length="0">
      <dxf/>
    </rfmt>
    <rfmt sheetId="4" sqref="EL162" start="0" length="0">
      <dxf/>
    </rfmt>
    <rfmt sheetId="4" sqref="EM162" start="0" length="0">
      <dxf/>
    </rfmt>
    <rfmt sheetId="4" sqref="EN162" start="0" length="0">
      <dxf/>
    </rfmt>
    <rfmt sheetId="4" sqref="EO162" start="0" length="0">
      <dxf/>
    </rfmt>
    <rfmt sheetId="4" sqref="EP162" start="0" length="0">
      <dxf/>
    </rfmt>
    <rfmt sheetId="4" sqref="EQ162" start="0" length="0">
      <dxf/>
    </rfmt>
    <rfmt sheetId="4" sqref="ER162" start="0" length="0">
      <dxf/>
    </rfmt>
    <rfmt sheetId="4" sqref="ES162" start="0" length="0">
      <dxf/>
    </rfmt>
    <rfmt sheetId="4" sqref="ET162" start="0" length="0">
      <dxf/>
    </rfmt>
    <rfmt sheetId="4" sqref="EU162" start="0" length="0">
      <dxf/>
    </rfmt>
    <rfmt sheetId="4" sqref="EV162" start="0" length="0">
      <dxf/>
    </rfmt>
    <rfmt sheetId="4" sqref="EW162" start="0" length="0">
      <dxf/>
    </rfmt>
    <rfmt sheetId="4" sqref="EX162" start="0" length="0">
      <dxf/>
    </rfmt>
    <rfmt sheetId="4" sqref="EY162" start="0" length="0">
      <dxf/>
    </rfmt>
    <rfmt sheetId="4" sqref="EZ162" start="0" length="0">
      <dxf/>
    </rfmt>
    <rfmt sheetId="4" sqref="FA162" start="0" length="0">
      <dxf/>
    </rfmt>
    <rfmt sheetId="4" sqref="FB162" start="0" length="0">
      <dxf/>
    </rfmt>
    <rfmt sheetId="4" sqref="FC162" start="0" length="0">
      <dxf/>
    </rfmt>
    <rfmt sheetId="4" sqref="FD162" start="0" length="0">
      <dxf/>
    </rfmt>
    <rfmt sheetId="4" sqref="FE162" start="0" length="0">
      <dxf/>
    </rfmt>
    <rfmt sheetId="4" sqref="FF162" start="0" length="0">
      <dxf/>
    </rfmt>
    <rfmt sheetId="4" sqref="FG162" start="0" length="0">
      <dxf/>
    </rfmt>
    <rfmt sheetId="4" sqref="FH162" start="0" length="0">
      <dxf/>
    </rfmt>
    <rfmt sheetId="4" sqref="FI162" start="0" length="0">
      <dxf/>
    </rfmt>
    <rfmt sheetId="4" sqref="FJ162" start="0" length="0">
      <dxf/>
    </rfmt>
    <rfmt sheetId="4" sqref="FK162" start="0" length="0">
      <dxf/>
    </rfmt>
    <rfmt sheetId="4" sqref="FL162" start="0" length="0">
      <dxf/>
    </rfmt>
    <rfmt sheetId="4" sqref="FM162" start="0" length="0">
      <dxf/>
    </rfmt>
    <rfmt sheetId="4" sqref="FN162" start="0" length="0">
      <dxf/>
    </rfmt>
    <rfmt sheetId="4" sqref="FO162" start="0" length="0">
      <dxf/>
    </rfmt>
    <rfmt sheetId="4" sqref="FP162" start="0" length="0">
      <dxf/>
    </rfmt>
    <rfmt sheetId="4" sqref="FQ162" start="0" length="0">
      <dxf/>
    </rfmt>
    <rfmt sheetId="4" sqref="FR162" start="0" length="0">
      <dxf/>
    </rfmt>
    <rfmt sheetId="4" sqref="FS162" start="0" length="0">
      <dxf/>
    </rfmt>
    <rfmt sheetId="4" sqref="FT162" start="0" length="0">
      <dxf/>
    </rfmt>
    <rfmt sheetId="4" sqref="FU162" start="0" length="0">
      <dxf/>
    </rfmt>
    <rfmt sheetId="4" sqref="FV162" start="0" length="0">
      <dxf/>
    </rfmt>
    <rfmt sheetId="4" sqref="FW162" start="0" length="0">
      <dxf/>
    </rfmt>
    <rfmt sheetId="4" sqref="FX162" start="0" length="0">
      <dxf/>
    </rfmt>
    <rfmt sheetId="4" sqref="FY162" start="0" length="0">
      <dxf/>
    </rfmt>
    <rfmt sheetId="4" sqref="FZ162" start="0" length="0">
      <dxf/>
    </rfmt>
    <rfmt sheetId="4" sqref="GA162" start="0" length="0">
      <dxf/>
    </rfmt>
    <rfmt sheetId="4" sqref="GB162" start="0" length="0">
      <dxf/>
    </rfmt>
    <rfmt sheetId="4" sqref="GC162" start="0" length="0">
      <dxf/>
    </rfmt>
    <rfmt sheetId="4" sqref="GD162" start="0" length="0">
      <dxf/>
    </rfmt>
    <rfmt sheetId="4" sqref="GE162" start="0" length="0">
      <dxf/>
    </rfmt>
    <rfmt sheetId="4" sqref="GF162" start="0" length="0">
      <dxf/>
    </rfmt>
    <rfmt sheetId="4" sqref="GG162" start="0" length="0">
      <dxf/>
    </rfmt>
    <rfmt sheetId="4" sqref="GH162" start="0" length="0">
      <dxf/>
    </rfmt>
    <rfmt sheetId="4" sqref="GI162" start="0" length="0">
      <dxf/>
    </rfmt>
    <rfmt sheetId="4" sqref="GJ162" start="0" length="0">
      <dxf/>
    </rfmt>
    <rfmt sheetId="4" sqref="GK162" start="0" length="0">
      <dxf/>
    </rfmt>
    <rfmt sheetId="4" sqref="GL162" start="0" length="0">
      <dxf/>
    </rfmt>
    <rfmt sheetId="4" sqref="GM162" start="0" length="0">
      <dxf/>
    </rfmt>
    <rfmt sheetId="4" sqref="GN162" start="0" length="0">
      <dxf/>
    </rfmt>
    <rfmt sheetId="4" sqref="GO162" start="0" length="0">
      <dxf/>
    </rfmt>
    <rfmt sheetId="4" sqref="GP162" start="0" length="0">
      <dxf/>
    </rfmt>
    <rfmt sheetId="4" sqref="GQ162" start="0" length="0">
      <dxf/>
    </rfmt>
    <rfmt sheetId="4" sqref="GR162" start="0" length="0">
      <dxf/>
    </rfmt>
    <rfmt sheetId="4" sqref="GS162" start="0" length="0">
      <dxf/>
    </rfmt>
    <rfmt sheetId="4" sqref="GT162" start="0" length="0">
      <dxf/>
    </rfmt>
    <rfmt sheetId="4" sqref="GU162" start="0" length="0">
      <dxf/>
    </rfmt>
    <rfmt sheetId="4" sqref="GV162" start="0" length="0">
      <dxf/>
    </rfmt>
    <rfmt sheetId="4" sqref="GW162" start="0" length="0">
      <dxf/>
    </rfmt>
    <rfmt sheetId="4" sqref="GX162" start="0" length="0">
      <dxf/>
    </rfmt>
    <rfmt sheetId="4" sqref="GY162" start="0" length="0">
      <dxf/>
    </rfmt>
    <rfmt sheetId="4" sqref="GZ162" start="0" length="0">
      <dxf/>
    </rfmt>
    <rfmt sheetId="4" sqref="HA162" start="0" length="0">
      <dxf/>
    </rfmt>
    <rfmt sheetId="4" sqref="HB162" start="0" length="0">
      <dxf/>
    </rfmt>
    <rfmt sheetId="4" sqref="HC162" start="0" length="0">
      <dxf/>
    </rfmt>
    <rfmt sheetId="4" sqref="HD162" start="0" length="0">
      <dxf/>
    </rfmt>
    <rfmt sheetId="4" sqref="HE162" start="0" length="0">
      <dxf/>
    </rfmt>
    <rfmt sheetId="4" sqref="HF162" start="0" length="0">
      <dxf/>
    </rfmt>
    <rfmt sheetId="4" sqref="HG162" start="0" length="0">
      <dxf/>
    </rfmt>
    <rfmt sheetId="4" sqref="HH162" start="0" length="0">
      <dxf/>
    </rfmt>
    <rfmt sheetId="4" sqref="HI162" start="0" length="0">
      <dxf/>
    </rfmt>
    <rfmt sheetId="4" sqref="HJ162" start="0" length="0">
      <dxf/>
    </rfmt>
    <rfmt sheetId="4" sqref="HK162" start="0" length="0">
      <dxf/>
    </rfmt>
    <rfmt sheetId="4" sqref="HL162" start="0" length="0">
      <dxf/>
    </rfmt>
    <rfmt sheetId="4" sqref="HM162" start="0" length="0">
      <dxf/>
    </rfmt>
    <rfmt sheetId="4" sqref="HN162" start="0" length="0">
      <dxf/>
    </rfmt>
    <rfmt sheetId="4" sqref="HO162" start="0" length="0">
      <dxf/>
    </rfmt>
    <rfmt sheetId="4" sqref="HP162" start="0" length="0">
      <dxf/>
    </rfmt>
    <rfmt sheetId="4" sqref="HQ162" start="0" length="0">
      <dxf/>
    </rfmt>
    <rfmt sheetId="4" sqref="HR162" start="0" length="0">
      <dxf/>
    </rfmt>
    <rfmt sheetId="4" sqref="HS162" start="0" length="0">
      <dxf/>
    </rfmt>
    <rfmt sheetId="4" sqref="HT162" start="0" length="0">
      <dxf/>
    </rfmt>
    <rfmt sheetId="4" sqref="HU162" start="0" length="0">
      <dxf/>
    </rfmt>
    <rfmt sheetId="4" sqref="HV162" start="0" length="0">
      <dxf/>
    </rfmt>
    <rfmt sheetId="4" sqref="HW162" start="0" length="0">
      <dxf/>
    </rfmt>
    <rfmt sheetId="4" sqref="HX162" start="0" length="0">
      <dxf/>
    </rfmt>
    <rfmt sheetId="4" sqref="HY162" start="0" length="0">
      <dxf/>
    </rfmt>
    <rfmt sheetId="4" sqref="HZ162" start="0" length="0">
      <dxf/>
    </rfmt>
    <rfmt sheetId="4" sqref="IA162" start="0" length="0">
      <dxf/>
    </rfmt>
    <rfmt sheetId="4" sqref="IB162" start="0" length="0">
      <dxf/>
    </rfmt>
    <rfmt sheetId="4" sqref="IC162" start="0" length="0">
      <dxf/>
    </rfmt>
    <rfmt sheetId="4" sqref="ID162" start="0" length="0">
      <dxf/>
    </rfmt>
    <rfmt sheetId="4" sqref="IE162" start="0" length="0">
      <dxf/>
    </rfmt>
    <rfmt sheetId="4" sqref="IF162" start="0" length="0">
      <dxf/>
    </rfmt>
    <rfmt sheetId="4" sqref="IG162" start="0" length="0">
      <dxf/>
    </rfmt>
    <rfmt sheetId="4" sqref="IH162" start="0" length="0">
      <dxf/>
    </rfmt>
    <rfmt sheetId="4" sqref="II162" start="0" length="0">
      <dxf/>
    </rfmt>
    <rfmt sheetId="4" sqref="IJ162" start="0" length="0">
      <dxf/>
    </rfmt>
    <rfmt sheetId="4" sqref="IK162" start="0" length="0">
      <dxf/>
    </rfmt>
    <rfmt sheetId="4" sqref="IL162" start="0" length="0">
      <dxf/>
    </rfmt>
    <rfmt sheetId="4" sqref="IM162" start="0" length="0">
      <dxf/>
    </rfmt>
    <rfmt sheetId="4" sqref="IN162" start="0" length="0">
      <dxf/>
    </rfmt>
    <rfmt sheetId="4" sqref="IO162" start="0" length="0">
      <dxf/>
    </rfmt>
    <rfmt sheetId="4" sqref="IP162" start="0" length="0">
      <dxf/>
    </rfmt>
    <rfmt sheetId="4" sqref="IQ162" start="0" length="0">
      <dxf/>
    </rfmt>
    <rfmt sheetId="4" sqref="IR162" start="0" length="0">
      <dxf/>
    </rfmt>
    <rfmt sheetId="4" sqref="IS162" start="0" length="0">
      <dxf/>
    </rfmt>
    <rfmt sheetId="4" sqref="IT162" start="0" length="0">
      <dxf/>
    </rfmt>
    <rfmt sheetId="4" sqref="IU162" start="0" length="0">
      <dxf/>
    </rfmt>
    <rfmt sheetId="4" sqref="IV162" start="0" length="0">
      <dxf/>
    </rfmt>
    <rfmt sheetId="4" sqref="IW162" start="0" length="0">
      <dxf/>
    </rfmt>
    <rfmt sheetId="4" sqref="IX162" start="0" length="0">
      <dxf/>
    </rfmt>
    <rfmt sheetId="4" sqref="IY162" start="0" length="0">
      <dxf/>
    </rfmt>
    <rfmt sheetId="4" sqref="IZ162" start="0" length="0">
      <dxf/>
    </rfmt>
    <rfmt sheetId="4" sqref="JA162" start="0" length="0">
      <dxf/>
    </rfmt>
    <rfmt sheetId="4" sqref="JB162" start="0" length="0">
      <dxf/>
    </rfmt>
    <rfmt sheetId="4" sqref="JC162" start="0" length="0">
      <dxf/>
    </rfmt>
    <rfmt sheetId="4" sqref="JD162" start="0" length="0">
      <dxf/>
    </rfmt>
    <rfmt sheetId="4" sqref="JE162" start="0" length="0">
      <dxf/>
    </rfmt>
    <rfmt sheetId="4" sqref="JF162" start="0" length="0">
      <dxf/>
    </rfmt>
    <rfmt sheetId="4" sqref="JG162" start="0" length="0">
      <dxf/>
    </rfmt>
    <rfmt sheetId="4" sqref="JH162" start="0" length="0">
      <dxf/>
    </rfmt>
    <rfmt sheetId="4" sqref="JI162" start="0" length="0">
      <dxf/>
    </rfmt>
    <rfmt sheetId="4" sqref="JJ162" start="0" length="0">
      <dxf/>
    </rfmt>
    <rfmt sheetId="4" sqref="JK162" start="0" length="0">
      <dxf/>
    </rfmt>
    <rfmt sheetId="4" sqref="JL162" start="0" length="0">
      <dxf/>
    </rfmt>
    <rfmt sheetId="4" sqref="JM162" start="0" length="0">
      <dxf/>
    </rfmt>
    <rfmt sheetId="4" sqref="JN162" start="0" length="0">
      <dxf/>
    </rfmt>
    <rfmt sheetId="4" sqref="JO162" start="0" length="0">
      <dxf/>
    </rfmt>
    <rfmt sheetId="4" sqref="JP162" start="0" length="0">
      <dxf/>
    </rfmt>
    <rfmt sheetId="4" sqref="JQ162" start="0" length="0">
      <dxf/>
    </rfmt>
    <rfmt sheetId="4" sqref="JR162" start="0" length="0">
      <dxf/>
    </rfmt>
    <rfmt sheetId="4" sqref="JS162" start="0" length="0">
      <dxf/>
    </rfmt>
    <rfmt sheetId="4" sqref="JT162" start="0" length="0">
      <dxf/>
    </rfmt>
    <rfmt sheetId="4" sqref="JU162" start="0" length="0">
      <dxf/>
    </rfmt>
    <rfmt sheetId="4" sqref="JV162" start="0" length="0">
      <dxf/>
    </rfmt>
    <rfmt sheetId="4" sqref="JW162" start="0" length="0">
      <dxf/>
    </rfmt>
    <rfmt sheetId="4" sqref="JX162" start="0" length="0">
      <dxf/>
    </rfmt>
    <rfmt sheetId="4" sqref="JY162" start="0" length="0">
      <dxf/>
    </rfmt>
    <rfmt sheetId="4" sqref="JZ162" start="0" length="0">
      <dxf/>
    </rfmt>
    <rfmt sheetId="4" sqref="KA162" start="0" length="0">
      <dxf/>
    </rfmt>
    <rfmt sheetId="4" sqref="KB162" start="0" length="0">
      <dxf/>
    </rfmt>
    <rfmt sheetId="4" sqref="KC162" start="0" length="0">
      <dxf/>
    </rfmt>
    <rfmt sheetId="4" sqref="KD162" start="0" length="0">
      <dxf/>
    </rfmt>
    <rfmt sheetId="4" sqref="KE162" start="0" length="0">
      <dxf/>
    </rfmt>
    <rfmt sheetId="4" sqref="KF162" start="0" length="0">
      <dxf/>
    </rfmt>
    <rfmt sheetId="4" sqref="KG162" start="0" length="0">
      <dxf/>
    </rfmt>
    <rfmt sheetId="4" sqref="KH162" start="0" length="0">
      <dxf/>
    </rfmt>
    <rfmt sheetId="4" sqref="KI162" start="0" length="0">
      <dxf/>
    </rfmt>
    <rfmt sheetId="4" sqref="KJ162" start="0" length="0">
      <dxf/>
    </rfmt>
    <rfmt sheetId="4" sqref="KK162" start="0" length="0">
      <dxf/>
    </rfmt>
    <rfmt sheetId="4" sqref="KL162" start="0" length="0">
      <dxf/>
    </rfmt>
    <rfmt sheetId="4" sqref="KM162" start="0" length="0">
      <dxf/>
    </rfmt>
    <rfmt sheetId="4" sqref="KN162" start="0" length="0">
      <dxf/>
    </rfmt>
    <rfmt sheetId="4" sqref="KO162" start="0" length="0">
      <dxf/>
    </rfmt>
    <rfmt sheetId="4" sqref="KP162" start="0" length="0">
      <dxf/>
    </rfmt>
    <rfmt sheetId="4" sqref="KQ162" start="0" length="0">
      <dxf/>
    </rfmt>
    <rfmt sheetId="4" sqref="KR162" start="0" length="0">
      <dxf/>
    </rfmt>
    <rfmt sheetId="4" sqref="KS162" start="0" length="0">
      <dxf/>
    </rfmt>
    <rfmt sheetId="4" sqref="KT162" start="0" length="0">
      <dxf/>
    </rfmt>
    <rfmt sheetId="4" sqref="KU162" start="0" length="0">
      <dxf/>
    </rfmt>
    <rfmt sheetId="4" sqref="KV162" start="0" length="0">
      <dxf/>
    </rfmt>
    <rfmt sheetId="4" sqref="KW162" start="0" length="0">
      <dxf/>
    </rfmt>
    <rfmt sheetId="4" sqref="KX162" start="0" length="0">
      <dxf/>
    </rfmt>
    <rfmt sheetId="4" sqref="KY162" start="0" length="0">
      <dxf/>
    </rfmt>
    <rfmt sheetId="4" sqref="KZ162" start="0" length="0">
      <dxf/>
    </rfmt>
    <rfmt sheetId="4" sqref="LA162" start="0" length="0">
      <dxf/>
    </rfmt>
    <rfmt sheetId="4" sqref="LB162" start="0" length="0">
      <dxf/>
    </rfmt>
    <rfmt sheetId="4" sqref="LC162" start="0" length="0">
      <dxf/>
    </rfmt>
    <rfmt sheetId="4" sqref="LD162" start="0" length="0">
      <dxf/>
    </rfmt>
    <rfmt sheetId="4" sqref="LE162" start="0" length="0">
      <dxf/>
    </rfmt>
    <rfmt sheetId="4" sqref="LF162" start="0" length="0">
      <dxf/>
    </rfmt>
    <rfmt sheetId="4" sqref="LG162" start="0" length="0">
      <dxf/>
    </rfmt>
    <rfmt sheetId="4" sqref="LH162" start="0" length="0">
      <dxf/>
    </rfmt>
    <rfmt sheetId="4" sqref="LI162" start="0" length="0">
      <dxf/>
    </rfmt>
    <rfmt sheetId="4" sqref="LJ162" start="0" length="0">
      <dxf/>
    </rfmt>
    <rfmt sheetId="4" sqref="LK162" start="0" length="0">
      <dxf/>
    </rfmt>
    <rfmt sheetId="4" sqref="LL162" start="0" length="0">
      <dxf/>
    </rfmt>
    <rfmt sheetId="4" sqref="LM162" start="0" length="0">
      <dxf/>
    </rfmt>
    <rfmt sheetId="4" sqref="LN162" start="0" length="0">
      <dxf/>
    </rfmt>
    <rfmt sheetId="4" sqref="LO162" start="0" length="0">
      <dxf/>
    </rfmt>
    <rfmt sheetId="4" sqref="LP162" start="0" length="0">
      <dxf/>
    </rfmt>
    <rfmt sheetId="4" sqref="LQ162" start="0" length="0">
      <dxf/>
    </rfmt>
    <rfmt sheetId="4" sqref="LR162" start="0" length="0">
      <dxf/>
    </rfmt>
    <rfmt sheetId="4" sqref="LS162" start="0" length="0">
      <dxf/>
    </rfmt>
    <rfmt sheetId="4" sqref="LT162" start="0" length="0">
      <dxf/>
    </rfmt>
    <rfmt sheetId="4" sqref="LU162" start="0" length="0">
      <dxf/>
    </rfmt>
    <rfmt sheetId="4" sqref="LV162" start="0" length="0">
      <dxf/>
    </rfmt>
    <rfmt sheetId="4" sqref="LW162" start="0" length="0">
      <dxf/>
    </rfmt>
    <rfmt sheetId="4" sqref="LX162" start="0" length="0">
      <dxf/>
    </rfmt>
    <rfmt sheetId="4" sqref="LY162" start="0" length="0">
      <dxf/>
    </rfmt>
    <rfmt sheetId="4" sqref="LZ162" start="0" length="0">
      <dxf/>
    </rfmt>
    <rfmt sheetId="4" sqref="MA162" start="0" length="0">
      <dxf/>
    </rfmt>
    <rfmt sheetId="4" sqref="MB162" start="0" length="0">
      <dxf/>
    </rfmt>
  </rrc>
  <rrc rId="20" sId="4" ref="A162:XFD162" action="deleteRow">
    <undo index="0" exp="ref" v="1" dr="G162" r="G163" sId="4"/>
    <undo index="0" exp="area" ref3D="1" dr="$A$1:$A$1048576" dn="Z_8578D927_8BDE_4C99_A2DB_3E44DFA36FF2_.wvu.Cols" sId="4"/>
    <undo index="0" exp="area" ref3D="1" dr="$A$1:$A$1048576" dn="Z_F261CC3E_BBAF_4421_92E0_E43167440BFB_.wvu.Cols" sId="4"/>
    <undo index="0" exp="area" ref3D="1" dr="$A$1:$A$1048576" dn="Z_5AFECFD9_E8A5_469F_BA7F_E625784BB00E_.wvu.Cols" sId="4"/>
    <undo index="0" exp="area" ref3D="1" dr="$A$1:$A$1048576" dn="Z_F607B316_DD6D_4909_B40C_8E7F3D6FB597_.wvu.Cols" sId="4"/>
    <rfmt sheetId="4" xfDxf="1" sqref="A162:XFD162" start="0" length="0">
      <dxf>
        <font>
          <sz val="10"/>
          <name val="Arial"/>
          <scheme val="none"/>
        </font>
        <alignment horizontal="center" readingOrder="0"/>
      </dxf>
    </rfmt>
    <rfmt sheetId="4" sqref="A16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 numFmtId="19">
      <nc r="B162">
        <v>46272</v>
      </nc>
      <n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C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D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E162" t="inlineStr">
        <is>
          <t>18P3B</t>
          <phoneticPr fontId="7405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F162" t="inlineStr">
        <is>
          <t>4800384640/100</t>
          <phoneticPr fontId="7405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s="1" dxf="1">
      <nc r="G162">
        <f>#REF!-K162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H162">
        <v>20260831039</v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I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J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s="1" dxf="1">
      <nc r="K162">
        <f>J162/0.786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L162" t="inlineStr">
        <is>
          <t>待取消</t>
          <phoneticPr fontId="7405" type="noConversion"/>
        </is>
      </nc>
      <ndxf>
        <font>
          <sz val="10"/>
          <name val="細明體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M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N162">
        <f>IF($C162="","",DATE(2000+LEFT($C162,2), HEX2DEC(MID($C162,3,1)), MID($C162,4,2)))</f>
      </nc>
      <ndxf>
        <numFmt numFmtId="176" formatCode="m/d;@"/>
      </ndxf>
    </rcc>
    <rcc rId="0" sId="4" dxf="1">
      <nc r="O162">
        <f>DATE(YEAR(N162)+1,MONTH(N162),DAY(N162))-1</f>
      </nc>
      <ndxf>
        <font>
          <sz val="10"/>
          <color auto="1"/>
          <name val="Arial"/>
          <scheme val="none"/>
        </font>
        <numFmt numFmtId="177" formatCode="m/d/yyyy"/>
      </ndxf>
    </rcc>
    <rfmt sheetId="4" sqref="T162" start="0" length="0">
      <dxf/>
    </rfmt>
    <rfmt sheetId="4" sqref="U162" start="0" length="0">
      <dxf/>
    </rfmt>
    <rfmt sheetId="4" sqref="V162" start="0" length="0">
      <dxf/>
    </rfmt>
    <rfmt sheetId="4" sqref="W162" start="0" length="0">
      <dxf/>
    </rfmt>
    <rfmt sheetId="4" sqref="X162" start="0" length="0">
      <dxf/>
    </rfmt>
    <rfmt sheetId="4" sqref="Y162" start="0" length="0">
      <dxf/>
    </rfmt>
    <rfmt sheetId="4" sqref="Z162" start="0" length="0">
      <dxf/>
    </rfmt>
    <rfmt sheetId="4" sqref="AA162" start="0" length="0">
      <dxf/>
    </rfmt>
    <rfmt sheetId="4" sqref="AB162" start="0" length="0">
      <dxf/>
    </rfmt>
    <rfmt sheetId="4" sqref="AC162" start="0" length="0">
      <dxf/>
    </rfmt>
    <rfmt sheetId="4" sqref="AD162" start="0" length="0">
      <dxf/>
    </rfmt>
    <rfmt sheetId="4" sqref="AE162" start="0" length="0">
      <dxf/>
    </rfmt>
    <rfmt sheetId="4" sqref="AF162" start="0" length="0">
      <dxf/>
    </rfmt>
    <rfmt sheetId="4" sqref="AG162" start="0" length="0">
      <dxf/>
    </rfmt>
    <rfmt sheetId="4" sqref="AH162" start="0" length="0">
      <dxf/>
    </rfmt>
    <rfmt sheetId="4" sqref="AI162" start="0" length="0">
      <dxf/>
    </rfmt>
    <rfmt sheetId="4" sqref="AJ162" start="0" length="0">
      <dxf/>
    </rfmt>
    <rfmt sheetId="4" sqref="AK162" start="0" length="0">
      <dxf/>
    </rfmt>
    <rfmt sheetId="4" sqref="AL162" start="0" length="0">
      <dxf/>
    </rfmt>
    <rfmt sheetId="4" sqref="AM162" start="0" length="0">
      <dxf/>
    </rfmt>
    <rfmt sheetId="4" sqref="AN162" start="0" length="0">
      <dxf/>
    </rfmt>
    <rfmt sheetId="4" sqref="AO162" start="0" length="0">
      <dxf/>
    </rfmt>
    <rfmt sheetId="4" sqref="AP162" start="0" length="0">
      <dxf/>
    </rfmt>
    <rfmt sheetId="4" sqref="AQ162" start="0" length="0">
      <dxf/>
    </rfmt>
    <rfmt sheetId="4" sqref="AR162" start="0" length="0">
      <dxf/>
    </rfmt>
    <rfmt sheetId="4" sqref="AS162" start="0" length="0">
      <dxf/>
    </rfmt>
    <rfmt sheetId="4" sqref="AT162" start="0" length="0">
      <dxf/>
    </rfmt>
    <rfmt sheetId="4" sqref="AU162" start="0" length="0">
      <dxf/>
    </rfmt>
    <rfmt sheetId="4" sqref="AV162" start="0" length="0">
      <dxf/>
    </rfmt>
    <rfmt sheetId="4" sqref="AW162" start="0" length="0">
      <dxf/>
    </rfmt>
    <rfmt sheetId="4" sqref="AX162" start="0" length="0">
      <dxf/>
    </rfmt>
    <rfmt sheetId="4" sqref="AY162" start="0" length="0">
      <dxf/>
    </rfmt>
    <rfmt sheetId="4" sqref="AZ162" start="0" length="0">
      <dxf/>
    </rfmt>
    <rfmt sheetId="4" sqref="BA162" start="0" length="0">
      <dxf/>
    </rfmt>
    <rfmt sheetId="4" sqref="BB162" start="0" length="0">
      <dxf/>
    </rfmt>
    <rfmt sheetId="4" sqref="BC162" start="0" length="0">
      <dxf/>
    </rfmt>
    <rfmt sheetId="4" sqref="BD162" start="0" length="0">
      <dxf/>
    </rfmt>
    <rfmt sheetId="4" sqref="BE162" start="0" length="0">
      <dxf/>
    </rfmt>
    <rfmt sheetId="4" sqref="BF162" start="0" length="0">
      <dxf/>
    </rfmt>
    <rfmt sheetId="4" sqref="BG162" start="0" length="0">
      <dxf/>
    </rfmt>
    <rfmt sheetId="4" sqref="BH162" start="0" length="0">
      <dxf/>
    </rfmt>
    <rfmt sheetId="4" sqref="BI162" start="0" length="0">
      <dxf/>
    </rfmt>
    <rfmt sheetId="4" sqref="BJ162" start="0" length="0">
      <dxf/>
    </rfmt>
    <rfmt sheetId="4" sqref="BK162" start="0" length="0">
      <dxf/>
    </rfmt>
    <rfmt sheetId="4" sqref="BL162" start="0" length="0">
      <dxf/>
    </rfmt>
    <rfmt sheetId="4" sqref="BM162" start="0" length="0">
      <dxf/>
    </rfmt>
    <rfmt sheetId="4" sqref="BN162" start="0" length="0">
      <dxf/>
    </rfmt>
    <rfmt sheetId="4" sqref="BO162" start="0" length="0">
      <dxf/>
    </rfmt>
    <rfmt sheetId="4" sqref="BP162" start="0" length="0">
      <dxf/>
    </rfmt>
    <rfmt sheetId="4" sqref="BQ162" start="0" length="0">
      <dxf/>
    </rfmt>
    <rfmt sheetId="4" sqref="BR162" start="0" length="0">
      <dxf/>
    </rfmt>
    <rfmt sheetId="4" sqref="BS162" start="0" length="0">
      <dxf/>
    </rfmt>
    <rfmt sheetId="4" sqref="BT162" start="0" length="0">
      <dxf/>
    </rfmt>
    <rfmt sheetId="4" sqref="BU162" start="0" length="0">
      <dxf/>
    </rfmt>
    <rfmt sheetId="4" sqref="BV162" start="0" length="0">
      <dxf/>
    </rfmt>
    <rfmt sheetId="4" sqref="BW162" start="0" length="0">
      <dxf/>
    </rfmt>
    <rfmt sheetId="4" sqref="BX162" start="0" length="0">
      <dxf/>
    </rfmt>
    <rfmt sheetId="4" sqref="BY162" start="0" length="0">
      <dxf/>
    </rfmt>
    <rfmt sheetId="4" sqref="BZ162" start="0" length="0">
      <dxf/>
    </rfmt>
    <rfmt sheetId="4" sqref="CA162" start="0" length="0">
      <dxf/>
    </rfmt>
    <rfmt sheetId="4" sqref="CB162" start="0" length="0">
      <dxf/>
    </rfmt>
    <rfmt sheetId="4" sqref="CC162" start="0" length="0">
      <dxf/>
    </rfmt>
    <rfmt sheetId="4" sqref="CD162" start="0" length="0">
      <dxf/>
    </rfmt>
    <rfmt sheetId="4" sqref="CE162" start="0" length="0">
      <dxf/>
    </rfmt>
    <rfmt sheetId="4" sqref="CF162" start="0" length="0">
      <dxf/>
    </rfmt>
    <rfmt sheetId="4" sqref="CG162" start="0" length="0">
      <dxf/>
    </rfmt>
    <rfmt sheetId="4" sqref="CH162" start="0" length="0">
      <dxf/>
    </rfmt>
    <rfmt sheetId="4" sqref="CI162" start="0" length="0">
      <dxf/>
    </rfmt>
    <rfmt sheetId="4" sqref="CJ162" start="0" length="0">
      <dxf/>
    </rfmt>
    <rfmt sheetId="4" sqref="CK162" start="0" length="0">
      <dxf/>
    </rfmt>
    <rfmt sheetId="4" sqref="CL162" start="0" length="0">
      <dxf/>
    </rfmt>
    <rfmt sheetId="4" sqref="CM162" start="0" length="0">
      <dxf/>
    </rfmt>
    <rfmt sheetId="4" sqref="CN162" start="0" length="0">
      <dxf/>
    </rfmt>
    <rfmt sheetId="4" sqref="CO162" start="0" length="0">
      <dxf/>
    </rfmt>
    <rfmt sheetId="4" sqref="CP162" start="0" length="0">
      <dxf/>
    </rfmt>
    <rfmt sheetId="4" sqref="CQ162" start="0" length="0">
      <dxf/>
    </rfmt>
    <rfmt sheetId="4" sqref="CR162" start="0" length="0">
      <dxf/>
    </rfmt>
    <rfmt sheetId="4" sqref="CS162" start="0" length="0">
      <dxf/>
    </rfmt>
    <rfmt sheetId="4" sqref="CT162" start="0" length="0">
      <dxf/>
    </rfmt>
    <rfmt sheetId="4" sqref="CU162" start="0" length="0">
      <dxf/>
    </rfmt>
    <rfmt sheetId="4" sqref="CV162" start="0" length="0">
      <dxf/>
    </rfmt>
    <rfmt sheetId="4" sqref="CW162" start="0" length="0">
      <dxf/>
    </rfmt>
    <rfmt sheetId="4" sqref="CX162" start="0" length="0">
      <dxf/>
    </rfmt>
    <rfmt sheetId="4" sqref="CY162" start="0" length="0">
      <dxf/>
    </rfmt>
    <rfmt sheetId="4" sqref="CZ162" start="0" length="0">
      <dxf/>
    </rfmt>
    <rfmt sheetId="4" sqref="DA162" start="0" length="0">
      <dxf/>
    </rfmt>
    <rfmt sheetId="4" sqref="DB162" start="0" length="0">
      <dxf/>
    </rfmt>
    <rfmt sheetId="4" sqref="DC162" start="0" length="0">
      <dxf/>
    </rfmt>
    <rfmt sheetId="4" sqref="DD162" start="0" length="0">
      <dxf/>
    </rfmt>
    <rfmt sheetId="4" sqref="DE162" start="0" length="0">
      <dxf/>
    </rfmt>
    <rfmt sheetId="4" sqref="DF162" start="0" length="0">
      <dxf/>
    </rfmt>
    <rfmt sheetId="4" sqref="DG162" start="0" length="0">
      <dxf/>
    </rfmt>
    <rfmt sheetId="4" sqref="DH162" start="0" length="0">
      <dxf/>
    </rfmt>
    <rfmt sheetId="4" sqref="DI162" start="0" length="0">
      <dxf/>
    </rfmt>
    <rfmt sheetId="4" sqref="DJ162" start="0" length="0">
      <dxf/>
    </rfmt>
    <rfmt sheetId="4" sqref="DK162" start="0" length="0">
      <dxf/>
    </rfmt>
    <rfmt sheetId="4" sqref="DL162" start="0" length="0">
      <dxf/>
    </rfmt>
    <rfmt sheetId="4" sqref="DM162" start="0" length="0">
      <dxf/>
    </rfmt>
    <rfmt sheetId="4" sqref="DN162" start="0" length="0">
      <dxf/>
    </rfmt>
    <rfmt sheetId="4" sqref="DO162" start="0" length="0">
      <dxf/>
    </rfmt>
    <rfmt sheetId="4" sqref="DP162" start="0" length="0">
      <dxf/>
    </rfmt>
    <rfmt sheetId="4" sqref="DQ162" start="0" length="0">
      <dxf/>
    </rfmt>
    <rfmt sheetId="4" sqref="DR162" start="0" length="0">
      <dxf/>
    </rfmt>
    <rfmt sheetId="4" sqref="DS162" start="0" length="0">
      <dxf/>
    </rfmt>
    <rfmt sheetId="4" sqref="DT162" start="0" length="0">
      <dxf/>
    </rfmt>
    <rfmt sheetId="4" sqref="DU162" start="0" length="0">
      <dxf/>
    </rfmt>
    <rfmt sheetId="4" sqref="DV162" start="0" length="0">
      <dxf/>
    </rfmt>
    <rfmt sheetId="4" sqref="DW162" start="0" length="0">
      <dxf/>
    </rfmt>
    <rfmt sheetId="4" sqref="DX162" start="0" length="0">
      <dxf/>
    </rfmt>
    <rfmt sheetId="4" sqref="DY162" start="0" length="0">
      <dxf/>
    </rfmt>
    <rfmt sheetId="4" sqref="DZ162" start="0" length="0">
      <dxf/>
    </rfmt>
    <rfmt sheetId="4" sqref="EA162" start="0" length="0">
      <dxf/>
    </rfmt>
    <rfmt sheetId="4" sqref="EB162" start="0" length="0">
      <dxf/>
    </rfmt>
    <rfmt sheetId="4" sqref="EC162" start="0" length="0">
      <dxf/>
    </rfmt>
    <rfmt sheetId="4" sqref="ED162" start="0" length="0">
      <dxf/>
    </rfmt>
    <rfmt sheetId="4" sqref="EE162" start="0" length="0">
      <dxf/>
    </rfmt>
    <rfmt sheetId="4" sqref="EF162" start="0" length="0">
      <dxf/>
    </rfmt>
    <rfmt sheetId="4" sqref="EG162" start="0" length="0">
      <dxf/>
    </rfmt>
    <rfmt sheetId="4" sqref="EH162" start="0" length="0">
      <dxf/>
    </rfmt>
    <rfmt sheetId="4" sqref="EI162" start="0" length="0">
      <dxf/>
    </rfmt>
    <rfmt sheetId="4" sqref="EJ162" start="0" length="0">
      <dxf/>
    </rfmt>
    <rfmt sheetId="4" sqref="EK162" start="0" length="0">
      <dxf/>
    </rfmt>
    <rfmt sheetId="4" sqref="EL162" start="0" length="0">
      <dxf/>
    </rfmt>
    <rfmt sheetId="4" sqref="EM162" start="0" length="0">
      <dxf/>
    </rfmt>
    <rfmt sheetId="4" sqref="EN162" start="0" length="0">
      <dxf/>
    </rfmt>
    <rfmt sheetId="4" sqref="EO162" start="0" length="0">
      <dxf/>
    </rfmt>
    <rfmt sheetId="4" sqref="EP162" start="0" length="0">
      <dxf/>
    </rfmt>
    <rfmt sheetId="4" sqref="EQ162" start="0" length="0">
      <dxf/>
    </rfmt>
    <rfmt sheetId="4" sqref="ER162" start="0" length="0">
      <dxf/>
    </rfmt>
    <rfmt sheetId="4" sqref="ES162" start="0" length="0">
      <dxf/>
    </rfmt>
    <rfmt sheetId="4" sqref="ET162" start="0" length="0">
      <dxf/>
    </rfmt>
    <rfmt sheetId="4" sqref="EU162" start="0" length="0">
      <dxf/>
    </rfmt>
    <rfmt sheetId="4" sqref="EV162" start="0" length="0">
      <dxf/>
    </rfmt>
    <rfmt sheetId="4" sqref="EW162" start="0" length="0">
      <dxf/>
    </rfmt>
    <rfmt sheetId="4" sqref="EX162" start="0" length="0">
      <dxf/>
    </rfmt>
    <rfmt sheetId="4" sqref="EY162" start="0" length="0">
      <dxf/>
    </rfmt>
    <rfmt sheetId="4" sqref="EZ162" start="0" length="0">
      <dxf/>
    </rfmt>
    <rfmt sheetId="4" sqref="FA162" start="0" length="0">
      <dxf/>
    </rfmt>
    <rfmt sheetId="4" sqref="FB162" start="0" length="0">
      <dxf/>
    </rfmt>
    <rfmt sheetId="4" sqref="FC162" start="0" length="0">
      <dxf/>
    </rfmt>
    <rfmt sheetId="4" sqref="FD162" start="0" length="0">
      <dxf/>
    </rfmt>
    <rfmt sheetId="4" sqref="FE162" start="0" length="0">
      <dxf/>
    </rfmt>
    <rfmt sheetId="4" sqref="FF162" start="0" length="0">
      <dxf/>
    </rfmt>
    <rfmt sheetId="4" sqref="FG162" start="0" length="0">
      <dxf/>
    </rfmt>
    <rfmt sheetId="4" sqref="FH162" start="0" length="0">
      <dxf/>
    </rfmt>
    <rfmt sheetId="4" sqref="FI162" start="0" length="0">
      <dxf/>
    </rfmt>
    <rfmt sheetId="4" sqref="FJ162" start="0" length="0">
      <dxf/>
    </rfmt>
    <rfmt sheetId="4" sqref="FK162" start="0" length="0">
      <dxf/>
    </rfmt>
    <rfmt sheetId="4" sqref="FL162" start="0" length="0">
      <dxf/>
    </rfmt>
    <rfmt sheetId="4" sqref="FM162" start="0" length="0">
      <dxf/>
    </rfmt>
    <rfmt sheetId="4" sqref="FN162" start="0" length="0">
      <dxf/>
    </rfmt>
    <rfmt sheetId="4" sqref="FO162" start="0" length="0">
      <dxf/>
    </rfmt>
    <rfmt sheetId="4" sqref="FP162" start="0" length="0">
      <dxf/>
    </rfmt>
    <rfmt sheetId="4" sqref="FQ162" start="0" length="0">
      <dxf/>
    </rfmt>
    <rfmt sheetId="4" sqref="FR162" start="0" length="0">
      <dxf/>
    </rfmt>
    <rfmt sheetId="4" sqref="FS162" start="0" length="0">
      <dxf/>
    </rfmt>
    <rfmt sheetId="4" sqref="FT162" start="0" length="0">
      <dxf/>
    </rfmt>
    <rfmt sheetId="4" sqref="FU162" start="0" length="0">
      <dxf/>
    </rfmt>
    <rfmt sheetId="4" sqref="FV162" start="0" length="0">
      <dxf/>
    </rfmt>
    <rfmt sheetId="4" sqref="FW162" start="0" length="0">
      <dxf/>
    </rfmt>
    <rfmt sheetId="4" sqref="FX162" start="0" length="0">
      <dxf/>
    </rfmt>
    <rfmt sheetId="4" sqref="FY162" start="0" length="0">
      <dxf/>
    </rfmt>
    <rfmt sheetId="4" sqref="FZ162" start="0" length="0">
      <dxf/>
    </rfmt>
    <rfmt sheetId="4" sqref="GA162" start="0" length="0">
      <dxf/>
    </rfmt>
    <rfmt sheetId="4" sqref="GB162" start="0" length="0">
      <dxf/>
    </rfmt>
    <rfmt sheetId="4" sqref="GC162" start="0" length="0">
      <dxf/>
    </rfmt>
    <rfmt sheetId="4" sqref="GD162" start="0" length="0">
      <dxf/>
    </rfmt>
    <rfmt sheetId="4" sqref="GE162" start="0" length="0">
      <dxf/>
    </rfmt>
    <rfmt sheetId="4" sqref="GF162" start="0" length="0">
      <dxf/>
    </rfmt>
    <rfmt sheetId="4" sqref="GG162" start="0" length="0">
      <dxf/>
    </rfmt>
    <rfmt sheetId="4" sqref="GH162" start="0" length="0">
      <dxf/>
    </rfmt>
    <rfmt sheetId="4" sqref="GI162" start="0" length="0">
      <dxf/>
    </rfmt>
    <rfmt sheetId="4" sqref="GJ162" start="0" length="0">
      <dxf/>
    </rfmt>
    <rfmt sheetId="4" sqref="GK162" start="0" length="0">
      <dxf/>
    </rfmt>
    <rfmt sheetId="4" sqref="GL162" start="0" length="0">
      <dxf/>
    </rfmt>
    <rfmt sheetId="4" sqref="GM162" start="0" length="0">
      <dxf/>
    </rfmt>
    <rfmt sheetId="4" sqref="GN162" start="0" length="0">
      <dxf/>
    </rfmt>
    <rfmt sheetId="4" sqref="GO162" start="0" length="0">
      <dxf/>
    </rfmt>
    <rfmt sheetId="4" sqref="GP162" start="0" length="0">
      <dxf/>
    </rfmt>
    <rfmt sheetId="4" sqref="GQ162" start="0" length="0">
      <dxf/>
    </rfmt>
    <rfmt sheetId="4" sqref="GR162" start="0" length="0">
      <dxf/>
    </rfmt>
    <rfmt sheetId="4" sqref="GS162" start="0" length="0">
      <dxf/>
    </rfmt>
    <rfmt sheetId="4" sqref="GT162" start="0" length="0">
      <dxf/>
    </rfmt>
    <rfmt sheetId="4" sqref="GU162" start="0" length="0">
      <dxf/>
    </rfmt>
    <rfmt sheetId="4" sqref="GV162" start="0" length="0">
      <dxf/>
    </rfmt>
    <rfmt sheetId="4" sqref="GW162" start="0" length="0">
      <dxf/>
    </rfmt>
    <rfmt sheetId="4" sqref="GX162" start="0" length="0">
      <dxf/>
    </rfmt>
    <rfmt sheetId="4" sqref="GY162" start="0" length="0">
      <dxf/>
    </rfmt>
    <rfmt sheetId="4" sqref="GZ162" start="0" length="0">
      <dxf/>
    </rfmt>
    <rfmt sheetId="4" sqref="HA162" start="0" length="0">
      <dxf/>
    </rfmt>
    <rfmt sheetId="4" sqref="HB162" start="0" length="0">
      <dxf/>
    </rfmt>
    <rfmt sheetId="4" sqref="HC162" start="0" length="0">
      <dxf/>
    </rfmt>
    <rfmt sheetId="4" sqref="HD162" start="0" length="0">
      <dxf/>
    </rfmt>
    <rfmt sheetId="4" sqref="HE162" start="0" length="0">
      <dxf/>
    </rfmt>
    <rfmt sheetId="4" sqref="HF162" start="0" length="0">
      <dxf/>
    </rfmt>
    <rfmt sheetId="4" sqref="HG162" start="0" length="0">
      <dxf/>
    </rfmt>
    <rfmt sheetId="4" sqref="HH162" start="0" length="0">
      <dxf/>
    </rfmt>
    <rfmt sheetId="4" sqref="HI162" start="0" length="0">
      <dxf/>
    </rfmt>
    <rfmt sheetId="4" sqref="HJ162" start="0" length="0">
      <dxf/>
    </rfmt>
    <rfmt sheetId="4" sqref="HK162" start="0" length="0">
      <dxf/>
    </rfmt>
    <rfmt sheetId="4" sqref="HL162" start="0" length="0">
      <dxf/>
    </rfmt>
    <rfmt sheetId="4" sqref="HM162" start="0" length="0">
      <dxf/>
    </rfmt>
    <rfmt sheetId="4" sqref="HN162" start="0" length="0">
      <dxf/>
    </rfmt>
    <rfmt sheetId="4" sqref="HO162" start="0" length="0">
      <dxf/>
    </rfmt>
    <rfmt sheetId="4" sqref="HP162" start="0" length="0">
      <dxf/>
    </rfmt>
    <rfmt sheetId="4" sqref="HQ162" start="0" length="0">
      <dxf/>
    </rfmt>
    <rfmt sheetId="4" sqref="HR162" start="0" length="0">
      <dxf/>
    </rfmt>
    <rfmt sheetId="4" sqref="HS162" start="0" length="0">
      <dxf/>
    </rfmt>
    <rfmt sheetId="4" sqref="HT162" start="0" length="0">
      <dxf/>
    </rfmt>
    <rfmt sheetId="4" sqref="HU162" start="0" length="0">
      <dxf/>
    </rfmt>
    <rfmt sheetId="4" sqref="HV162" start="0" length="0">
      <dxf/>
    </rfmt>
    <rfmt sheetId="4" sqref="HW162" start="0" length="0">
      <dxf/>
    </rfmt>
    <rfmt sheetId="4" sqref="HX162" start="0" length="0">
      <dxf/>
    </rfmt>
    <rfmt sheetId="4" sqref="HY162" start="0" length="0">
      <dxf/>
    </rfmt>
    <rfmt sheetId="4" sqref="HZ162" start="0" length="0">
      <dxf/>
    </rfmt>
    <rfmt sheetId="4" sqref="IA162" start="0" length="0">
      <dxf/>
    </rfmt>
    <rfmt sheetId="4" sqref="IB162" start="0" length="0">
      <dxf/>
    </rfmt>
    <rfmt sheetId="4" sqref="IC162" start="0" length="0">
      <dxf/>
    </rfmt>
    <rfmt sheetId="4" sqref="ID162" start="0" length="0">
      <dxf/>
    </rfmt>
    <rfmt sheetId="4" sqref="IE162" start="0" length="0">
      <dxf/>
    </rfmt>
    <rfmt sheetId="4" sqref="IF162" start="0" length="0">
      <dxf/>
    </rfmt>
    <rfmt sheetId="4" sqref="IG162" start="0" length="0">
      <dxf/>
    </rfmt>
    <rfmt sheetId="4" sqref="IH162" start="0" length="0">
      <dxf/>
    </rfmt>
    <rfmt sheetId="4" sqref="II162" start="0" length="0">
      <dxf/>
    </rfmt>
    <rfmt sheetId="4" sqref="IJ162" start="0" length="0">
      <dxf/>
    </rfmt>
    <rfmt sheetId="4" sqref="IK162" start="0" length="0">
      <dxf/>
    </rfmt>
    <rfmt sheetId="4" sqref="IL162" start="0" length="0">
      <dxf/>
    </rfmt>
    <rfmt sheetId="4" sqref="IM162" start="0" length="0">
      <dxf/>
    </rfmt>
    <rfmt sheetId="4" sqref="IN162" start="0" length="0">
      <dxf/>
    </rfmt>
    <rfmt sheetId="4" sqref="IO162" start="0" length="0">
      <dxf/>
    </rfmt>
    <rfmt sheetId="4" sqref="IP162" start="0" length="0">
      <dxf/>
    </rfmt>
    <rfmt sheetId="4" sqref="IQ162" start="0" length="0">
      <dxf/>
    </rfmt>
    <rfmt sheetId="4" sqref="IR162" start="0" length="0">
      <dxf/>
    </rfmt>
    <rfmt sheetId="4" sqref="IS162" start="0" length="0">
      <dxf/>
    </rfmt>
    <rfmt sheetId="4" sqref="IT162" start="0" length="0">
      <dxf/>
    </rfmt>
    <rfmt sheetId="4" sqref="IU162" start="0" length="0">
      <dxf/>
    </rfmt>
    <rfmt sheetId="4" sqref="IV162" start="0" length="0">
      <dxf/>
    </rfmt>
    <rfmt sheetId="4" sqref="IW162" start="0" length="0">
      <dxf/>
    </rfmt>
    <rfmt sheetId="4" sqref="IX162" start="0" length="0">
      <dxf/>
    </rfmt>
    <rfmt sheetId="4" sqref="IY162" start="0" length="0">
      <dxf/>
    </rfmt>
    <rfmt sheetId="4" sqref="IZ162" start="0" length="0">
      <dxf/>
    </rfmt>
    <rfmt sheetId="4" sqref="JA162" start="0" length="0">
      <dxf/>
    </rfmt>
    <rfmt sheetId="4" sqref="JB162" start="0" length="0">
      <dxf/>
    </rfmt>
    <rfmt sheetId="4" sqref="JC162" start="0" length="0">
      <dxf/>
    </rfmt>
    <rfmt sheetId="4" sqref="JD162" start="0" length="0">
      <dxf/>
    </rfmt>
    <rfmt sheetId="4" sqref="JE162" start="0" length="0">
      <dxf/>
    </rfmt>
    <rfmt sheetId="4" sqref="JF162" start="0" length="0">
      <dxf/>
    </rfmt>
    <rfmt sheetId="4" sqref="JG162" start="0" length="0">
      <dxf/>
    </rfmt>
    <rfmt sheetId="4" sqref="JH162" start="0" length="0">
      <dxf/>
    </rfmt>
    <rfmt sheetId="4" sqref="JI162" start="0" length="0">
      <dxf/>
    </rfmt>
    <rfmt sheetId="4" sqref="JJ162" start="0" length="0">
      <dxf/>
    </rfmt>
    <rfmt sheetId="4" sqref="JK162" start="0" length="0">
      <dxf/>
    </rfmt>
    <rfmt sheetId="4" sqref="JL162" start="0" length="0">
      <dxf/>
    </rfmt>
    <rfmt sheetId="4" sqref="JM162" start="0" length="0">
      <dxf/>
    </rfmt>
    <rfmt sheetId="4" sqref="JN162" start="0" length="0">
      <dxf/>
    </rfmt>
    <rfmt sheetId="4" sqref="JO162" start="0" length="0">
      <dxf/>
    </rfmt>
    <rfmt sheetId="4" sqref="JP162" start="0" length="0">
      <dxf/>
    </rfmt>
    <rfmt sheetId="4" sqref="JQ162" start="0" length="0">
      <dxf/>
    </rfmt>
    <rfmt sheetId="4" sqref="JR162" start="0" length="0">
      <dxf/>
    </rfmt>
    <rfmt sheetId="4" sqref="JS162" start="0" length="0">
      <dxf/>
    </rfmt>
    <rfmt sheetId="4" sqref="JT162" start="0" length="0">
      <dxf/>
    </rfmt>
    <rfmt sheetId="4" sqref="JU162" start="0" length="0">
      <dxf/>
    </rfmt>
    <rfmt sheetId="4" sqref="JV162" start="0" length="0">
      <dxf/>
    </rfmt>
    <rfmt sheetId="4" sqref="JW162" start="0" length="0">
      <dxf/>
    </rfmt>
    <rfmt sheetId="4" sqref="JX162" start="0" length="0">
      <dxf/>
    </rfmt>
    <rfmt sheetId="4" sqref="JY162" start="0" length="0">
      <dxf/>
    </rfmt>
    <rfmt sheetId="4" sqref="JZ162" start="0" length="0">
      <dxf/>
    </rfmt>
    <rfmt sheetId="4" sqref="KA162" start="0" length="0">
      <dxf/>
    </rfmt>
    <rfmt sheetId="4" sqref="KB162" start="0" length="0">
      <dxf/>
    </rfmt>
    <rfmt sheetId="4" sqref="KC162" start="0" length="0">
      <dxf/>
    </rfmt>
    <rfmt sheetId="4" sqref="KD162" start="0" length="0">
      <dxf/>
    </rfmt>
    <rfmt sheetId="4" sqref="KE162" start="0" length="0">
      <dxf/>
    </rfmt>
    <rfmt sheetId="4" sqref="KF162" start="0" length="0">
      <dxf/>
    </rfmt>
    <rfmt sheetId="4" sqref="KG162" start="0" length="0">
      <dxf/>
    </rfmt>
    <rfmt sheetId="4" sqref="KH162" start="0" length="0">
      <dxf/>
    </rfmt>
    <rfmt sheetId="4" sqref="KI162" start="0" length="0">
      <dxf/>
    </rfmt>
    <rfmt sheetId="4" sqref="KJ162" start="0" length="0">
      <dxf/>
    </rfmt>
    <rfmt sheetId="4" sqref="KK162" start="0" length="0">
      <dxf/>
    </rfmt>
    <rfmt sheetId="4" sqref="KL162" start="0" length="0">
      <dxf/>
    </rfmt>
    <rfmt sheetId="4" sqref="KM162" start="0" length="0">
      <dxf/>
    </rfmt>
    <rfmt sheetId="4" sqref="KN162" start="0" length="0">
      <dxf/>
    </rfmt>
    <rfmt sheetId="4" sqref="KO162" start="0" length="0">
      <dxf/>
    </rfmt>
    <rfmt sheetId="4" sqref="KP162" start="0" length="0">
      <dxf/>
    </rfmt>
    <rfmt sheetId="4" sqref="KQ162" start="0" length="0">
      <dxf/>
    </rfmt>
    <rfmt sheetId="4" sqref="KR162" start="0" length="0">
      <dxf/>
    </rfmt>
    <rfmt sheetId="4" sqref="KS162" start="0" length="0">
      <dxf/>
    </rfmt>
    <rfmt sheetId="4" sqref="KT162" start="0" length="0">
      <dxf/>
    </rfmt>
    <rfmt sheetId="4" sqref="KU162" start="0" length="0">
      <dxf/>
    </rfmt>
    <rfmt sheetId="4" sqref="KV162" start="0" length="0">
      <dxf/>
    </rfmt>
    <rfmt sheetId="4" sqref="KW162" start="0" length="0">
      <dxf/>
    </rfmt>
    <rfmt sheetId="4" sqref="KX162" start="0" length="0">
      <dxf/>
    </rfmt>
    <rfmt sheetId="4" sqref="KY162" start="0" length="0">
      <dxf/>
    </rfmt>
    <rfmt sheetId="4" sqref="KZ162" start="0" length="0">
      <dxf/>
    </rfmt>
    <rfmt sheetId="4" sqref="LA162" start="0" length="0">
      <dxf/>
    </rfmt>
    <rfmt sheetId="4" sqref="LB162" start="0" length="0">
      <dxf/>
    </rfmt>
    <rfmt sheetId="4" sqref="LC162" start="0" length="0">
      <dxf/>
    </rfmt>
    <rfmt sheetId="4" sqref="LD162" start="0" length="0">
      <dxf/>
    </rfmt>
    <rfmt sheetId="4" sqref="LE162" start="0" length="0">
      <dxf/>
    </rfmt>
    <rfmt sheetId="4" sqref="LF162" start="0" length="0">
      <dxf/>
    </rfmt>
    <rfmt sheetId="4" sqref="LG162" start="0" length="0">
      <dxf/>
    </rfmt>
    <rfmt sheetId="4" sqref="LH162" start="0" length="0">
      <dxf/>
    </rfmt>
    <rfmt sheetId="4" sqref="LI162" start="0" length="0">
      <dxf/>
    </rfmt>
    <rfmt sheetId="4" sqref="LJ162" start="0" length="0">
      <dxf/>
    </rfmt>
    <rfmt sheetId="4" sqref="LK162" start="0" length="0">
      <dxf/>
    </rfmt>
    <rfmt sheetId="4" sqref="LL162" start="0" length="0">
      <dxf/>
    </rfmt>
    <rfmt sheetId="4" sqref="LM162" start="0" length="0">
      <dxf/>
    </rfmt>
    <rfmt sheetId="4" sqref="LN162" start="0" length="0">
      <dxf/>
    </rfmt>
    <rfmt sheetId="4" sqref="LO162" start="0" length="0">
      <dxf/>
    </rfmt>
    <rfmt sheetId="4" sqref="LP162" start="0" length="0">
      <dxf/>
    </rfmt>
    <rfmt sheetId="4" sqref="LQ162" start="0" length="0">
      <dxf/>
    </rfmt>
    <rfmt sheetId="4" sqref="LR162" start="0" length="0">
      <dxf/>
    </rfmt>
    <rfmt sheetId="4" sqref="LS162" start="0" length="0">
      <dxf/>
    </rfmt>
    <rfmt sheetId="4" sqref="LT162" start="0" length="0">
      <dxf/>
    </rfmt>
    <rfmt sheetId="4" sqref="LU162" start="0" length="0">
      <dxf/>
    </rfmt>
    <rfmt sheetId="4" sqref="LV162" start="0" length="0">
      <dxf/>
    </rfmt>
    <rfmt sheetId="4" sqref="LW162" start="0" length="0">
      <dxf/>
    </rfmt>
    <rfmt sheetId="4" sqref="LX162" start="0" length="0">
      <dxf/>
    </rfmt>
    <rfmt sheetId="4" sqref="LY162" start="0" length="0">
      <dxf/>
    </rfmt>
    <rfmt sheetId="4" sqref="LZ162" start="0" length="0">
      <dxf/>
    </rfmt>
    <rfmt sheetId="4" sqref="MA162" start="0" length="0">
      <dxf/>
    </rfmt>
    <rfmt sheetId="4" sqref="MB162" start="0" length="0">
      <dxf/>
    </rfmt>
  </rrc>
  <rrc rId="21" sId="4" ref="A162:XFD162" action="deleteRow">
    <undo index="0" exp="area" ref3D="1" dr="$A$1:$A$1048576" dn="Z_8578D927_8BDE_4C99_A2DB_3E44DFA36FF2_.wvu.Cols" sId="4"/>
    <undo index="0" exp="area" ref3D="1" dr="$A$1:$A$1048576" dn="Z_F261CC3E_BBAF_4421_92E0_E43167440BFB_.wvu.Cols" sId="4"/>
    <undo index="0" exp="area" ref3D="1" dr="$A$1:$A$1048576" dn="Z_5AFECFD9_E8A5_469F_BA7F_E625784BB00E_.wvu.Cols" sId="4"/>
    <undo index="0" exp="area" ref3D="1" dr="$A$1:$A$1048576" dn="Z_F607B316_DD6D_4909_B40C_8E7F3D6FB597_.wvu.Cols" sId="4"/>
    <rfmt sheetId="4" xfDxf="1" sqref="A162:XFD162" start="0" length="0">
      <dxf>
        <font>
          <sz val="10"/>
          <name val="Arial"/>
          <scheme val="none"/>
        </font>
        <alignment horizontal="center" readingOrder="0"/>
      </dxf>
    </rfmt>
    <rfmt sheetId="4" sqref="A16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 numFmtId="19">
      <nc r="B162">
        <v>46274</v>
      </nc>
      <n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C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D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E162" t="inlineStr">
        <is>
          <t>18P3B</t>
          <phoneticPr fontId="156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F162" t="inlineStr">
        <is>
          <t>4800384640/100</t>
          <phoneticPr fontId="156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s="1" dxf="1">
      <nc r="G162">
        <f>#REF!-K162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H162">
        <v>20260831040</v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I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J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s="1" dxf="1">
      <nc r="K162">
        <f>J162/0.786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>
      <nc r="L162" t="inlineStr">
        <is>
          <t>待取消</t>
          <phoneticPr fontId="156" type="noConversion"/>
        </is>
      </nc>
      <ndxf>
        <font>
          <sz val="10"/>
          <name val="細明體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4" sqref="M1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N162">
        <f>IF($C162="","",DATE(2000+LEFT($C162,2), HEX2DEC(MID($C162,3,1)), MID($C162,4,2)))</f>
      </nc>
      <ndxf>
        <numFmt numFmtId="176" formatCode="m/d;@"/>
      </ndxf>
    </rcc>
    <rcc rId="0" sId="4" dxf="1">
      <nc r="O162">
        <f>DATE(YEAR(N162)+1,MONTH(N162),DAY(N162))-1</f>
      </nc>
      <ndxf>
        <font>
          <sz val="10"/>
          <color auto="1"/>
          <name val="Arial"/>
          <scheme val="none"/>
        </font>
        <numFmt numFmtId="177" formatCode="m/d/yyyy"/>
      </ndxf>
    </rcc>
    <rfmt sheetId="4" sqref="T162" start="0" length="0">
      <dxf/>
    </rfmt>
    <rfmt sheetId="4" sqref="U162" start="0" length="0">
      <dxf/>
    </rfmt>
    <rfmt sheetId="4" sqref="V162" start="0" length="0">
      <dxf/>
    </rfmt>
    <rfmt sheetId="4" sqref="W162" start="0" length="0">
      <dxf/>
    </rfmt>
    <rfmt sheetId="4" sqref="X162" start="0" length="0">
      <dxf/>
    </rfmt>
    <rfmt sheetId="4" sqref="Y162" start="0" length="0">
      <dxf/>
    </rfmt>
    <rfmt sheetId="4" sqref="Z162" start="0" length="0">
      <dxf/>
    </rfmt>
    <rfmt sheetId="4" sqref="AA162" start="0" length="0">
      <dxf/>
    </rfmt>
    <rfmt sheetId="4" sqref="AB162" start="0" length="0">
      <dxf/>
    </rfmt>
    <rfmt sheetId="4" sqref="AC162" start="0" length="0">
      <dxf/>
    </rfmt>
    <rfmt sheetId="4" sqref="AD162" start="0" length="0">
      <dxf/>
    </rfmt>
    <rfmt sheetId="4" sqref="AE162" start="0" length="0">
      <dxf/>
    </rfmt>
    <rfmt sheetId="4" sqref="AF162" start="0" length="0">
      <dxf/>
    </rfmt>
    <rfmt sheetId="4" sqref="AG162" start="0" length="0">
      <dxf/>
    </rfmt>
    <rfmt sheetId="4" sqref="AH162" start="0" length="0">
      <dxf/>
    </rfmt>
    <rfmt sheetId="4" sqref="AI162" start="0" length="0">
      <dxf/>
    </rfmt>
    <rfmt sheetId="4" sqref="AJ162" start="0" length="0">
      <dxf/>
    </rfmt>
    <rfmt sheetId="4" sqref="AK162" start="0" length="0">
      <dxf/>
    </rfmt>
    <rfmt sheetId="4" sqref="AL162" start="0" length="0">
      <dxf/>
    </rfmt>
    <rfmt sheetId="4" sqref="AM162" start="0" length="0">
      <dxf/>
    </rfmt>
    <rfmt sheetId="4" sqref="AN162" start="0" length="0">
      <dxf/>
    </rfmt>
    <rfmt sheetId="4" sqref="AO162" start="0" length="0">
      <dxf/>
    </rfmt>
    <rfmt sheetId="4" sqref="AP162" start="0" length="0">
      <dxf/>
    </rfmt>
    <rfmt sheetId="4" sqref="AQ162" start="0" length="0">
      <dxf/>
    </rfmt>
    <rfmt sheetId="4" sqref="AR162" start="0" length="0">
      <dxf/>
    </rfmt>
    <rfmt sheetId="4" sqref="AS162" start="0" length="0">
      <dxf/>
    </rfmt>
    <rfmt sheetId="4" sqref="AT162" start="0" length="0">
      <dxf/>
    </rfmt>
    <rfmt sheetId="4" sqref="AU162" start="0" length="0">
      <dxf/>
    </rfmt>
    <rfmt sheetId="4" sqref="AV162" start="0" length="0">
      <dxf/>
    </rfmt>
    <rfmt sheetId="4" sqref="AW162" start="0" length="0">
      <dxf/>
    </rfmt>
    <rfmt sheetId="4" sqref="AX162" start="0" length="0">
      <dxf/>
    </rfmt>
    <rfmt sheetId="4" sqref="AY162" start="0" length="0">
      <dxf/>
    </rfmt>
    <rfmt sheetId="4" sqref="AZ162" start="0" length="0">
      <dxf/>
    </rfmt>
    <rfmt sheetId="4" sqref="BA162" start="0" length="0">
      <dxf/>
    </rfmt>
    <rfmt sheetId="4" sqref="BB162" start="0" length="0">
      <dxf/>
    </rfmt>
    <rfmt sheetId="4" sqref="BC162" start="0" length="0">
      <dxf/>
    </rfmt>
    <rfmt sheetId="4" sqref="BD162" start="0" length="0">
      <dxf/>
    </rfmt>
    <rfmt sheetId="4" sqref="BE162" start="0" length="0">
      <dxf/>
    </rfmt>
    <rfmt sheetId="4" sqref="BF162" start="0" length="0">
      <dxf/>
    </rfmt>
    <rfmt sheetId="4" sqref="BG162" start="0" length="0">
      <dxf/>
    </rfmt>
    <rfmt sheetId="4" sqref="BH162" start="0" length="0">
      <dxf/>
    </rfmt>
    <rfmt sheetId="4" sqref="BI162" start="0" length="0">
      <dxf/>
    </rfmt>
    <rfmt sheetId="4" sqref="BJ162" start="0" length="0">
      <dxf/>
    </rfmt>
    <rfmt sheetId="4" sqref="BK162" start="0" length="0">
      <dxf/>
    </rfmt>
    <rfmt sheetId="4" sqref="BL162" start="0" length="0">
      <dxf/>
    </rfmt>
    <rfmt sheetId="4" sqref="BM162" start="0" length="0">
      <dxf/>
    </rfmt>
    <rfmt sheetId="4" sqref="BN162" start="0" length="0">
      <dxf/>
    </rfmt>
    <rfmt sheetId="4" sqref="BO162" start="0" length="0">
      <dxf/>
    </rfmt>
    <rfmt sheetId="4" sqref="BP162" start="0" length="0">
      <dxf/>
    </rfmt>
    <rfmt sheetId="4" sqref="BQ162" start="0" length="0">
      <dxf/>
    </rfmt>
    <rfmt sheetId="4" sqref="BR162" start="0" length="0">
      <dxf/>
    </rfmt>
    <rfmt sheetId="4" sqref="BS162" start="0" length="0">
      <dxf/>
    </rfmt>
    <rfmt sheetId="4" sqref="BT162" start="0" length="0">
      <dxf/>
    </rfmt>
    <rfmt sheetId="4" sqref="BU162" start="0" length="0">
      <dxf/>
    </rfmt>
    <rfmt sheetId="4" sqref="BV162" start="0" length="0">
      <dxf/>
    </rfmt>
    <rfmt sheetId="4" sqref="BW162" start="0" length="0">
      <dxf/>
    </rfmt>
    <rfmt sheetId="4" sqref="BX162" start="0" length="0">
      <dxf/>
    </rfmt>
    <rfmt sheetId="4" sqref="BY162" start="0" length="0">
      <dxf/>
    </rfmt>
    <rfmt sheetId="4" sqref="BZ162" start="0" length="0">
      <dxf/>
    </rfmt>
    <rfmt sheetId="4" sqref="CA162" start="0" length="0">
      <dxf/>
    </rfmt>
    <rfmt sheetId="4" sqref="CB162" start="0" length="0">
      <dxf/>
    </rfmt>
    <rfmt sheetId="4" sqref="CC162" start="0" length="0">
      <dxf/>
    </rfmt>
    <rfmt sheetId="4" sqref="CD162" start="0" length="0">
      <dxf/>
    </rfmt>
    <rfmt sheetId="4" sqref="CE162" start="0" length="0">
      <dxf/>
    </rfmt>
    <rfmt sheetId="4" sqref="CF162" start="0" length="0">
      <dxf/>
    </rfmt>
    <rfmt sheetId="4" sqref="CG162" start="0" length="0">
      <dxf/>
    </rfmt>
    <rfmt sheetId="4" sqref="CH162" start="0" length="0">
      <dxf/>
    </rfmt>
    <rfmt sheetId="4" sqref="CI162" start="0" length="0">
      <dxf/>
    </rfmt>
    <rfmt sheetId="4" sqref="CJ162" start="0" length="0">
      <dxf/>
    </rfmt>
    <rfmt sheetId="4" sqref="CK162" start="0" length="0">
      <dxf/>
    </rfmt>
    <rfmt sheetId="4" sqref="CL162" start="0" length="0">
      <dxf/>
    </rfmt>
    <rfmt sheetId="4" sqref="CM162" start="0" length="0">
      <dxf/>
    </rfmt>
    <rfmt sheetId="4" sqref="CN162" start="0" length="0">
      <dxf/>
    </rfmt>
    <rfmt sheetId="4" sqref="CO162" start="0" length="0">
      <dxf/>
    </rfmt>
    <rfmt sheetId="4" sqref="CP162" start="0" length="0">
      <dxf/>
    </rfmt>
    <rfmt sheetId="4" sqref="CQ162" start="0" length="0">
      <dxf/>
    </rfmt>
    <rfmt sheetId="4" sqref="CR162" start="0" length="0">
      <dxf/>
    </rfmt>
    <rfmt sheetId="4" sqref="CS162" start="0" length="0">
      <dxf/>
    </rfmt>
    <rfmt sheetId="4" sqref="CT162" start="0" length="0">
      <dxf/>
    </rfmt>
    <rfmt sheetId="4" sqref="CU162" start="0" length="0">
      <dxf/>
    </rfmt>
    <rfmt sheetId="4" sqref="CV162" start="0" length="0">
      <dxf/>
    </rfmt>
    <rfmt sheetId="4" sqref="CW162" start="0" length="0">
      <dxf/>
    </rfmt>
    <rfmt sheetId="4" sqref="CX162" start="0" length="0">
      <dxf/>
    </rfmt>
    <rfmt sheetId="4" sqref="CY162" start="0" length="0">
      <dxf/>
    </rfmt>
    <rfmt sheetId="4" sqref="CZ162" start="0" length="0">
      <dxf/>
    </rfmt>
    <rfmt sheetId="4" sqref="DA162" start="0" length="0">
      <dxf/>
    </rfmt>
    <rfmt sheetId="4" sqref="DB162" start="0" length="0">
      <dxf/>
    </rfmt>
    <rfmt sheetId="4" sqref="DC162" start="0" length="0">
      <dxf/>
    </rfmt>
    <rfmt sheetId="4" sqref="DD162" start="0" length="0">
      <dxf/>
    </rfmt>
    <rfmt sheetId="4" sqref="DE162" start="0" length="0">
      <dxf/>
    </rfmt>
    <rfmt sheetId="4" sqref="DF162" start="0" length="0">
      <dxf/>
    </rfmt>
    <rfmt sheetId="4" sqref="DG162" start="0" length="0">
      <dxf/>
    </rfmt>
    <rfmt sheetId="4" sqref="DH162" start="0" length="0">
      <dxf/>
    </rfmt>
    <rfmt sheetId="4" sqref="DI162" start="0" length="0">
      <dxf/>
    </rfmt>
    <rfmt sheetId="4" sqref="DJ162" start="0" length="0">
      <dxf/>
    </rfmt>
    <rfmt sheetId="4" sqref="DK162" start="0" length="0">
      <dxf/>
    </rfmt>
    <rfmt sheetId="4" sqref="DL162" start="0" length="0">
      <dxf/>
    </rfmt>
    <rfmt sheetId="4" sqref="DM162" start="0" length="0">
      <dxf/>
    </rfmt>
    <rfmt sheetId="4" sqref="DN162" start="0" length="0">
      <dxf/>
    </rfmt>
    <rfmt sheetId="4" sqref="DO162" start="0" length="0">
      <dxf/>
    </rfmt>
    <rfmt sheetId="4" sqref="DP162" start="0" length="0">
      <dxf/>
    </rfmt>
    <rfmt sheetId="4" sqref="DQ162" start="0" length="0">
      <dxf/>
    </rfmt>
    <rfmt sheetId="4" sqref="DR162" start="0" length="0">
      <dxf/>
    </rfmt>
    <rfmt sheetId="4" sqref="DS162" start="0" length="0">
      <dxf/>
    </rfmt>
    <rfmt sheetId="4" sqref="DT162" start="0" length="0">
      <dxf/>
    </rfmt>
    <rfmt sheetId="4" sqref="DU162" start="0" length="0">
      <dxf/>
    </rfmt>
    <rfmt sheetId="4" sqref="DV162" start="0" length="0">
      <dxf/>
    </rfmt>
    <rfmt sheetId="4" sqref="DW162" start="0" length="0">
      <dxf/>
    </rfmt>
    <rfmt sheetId="4" sqref="DX162" start="0" length="0">
      <dxf/>
    </rfmt>
    <rfmt sheetId="4" sqref="DY162" start="0" length="0">
      <dxf/>
    </rfmt>
    <rfmt sheetId="4" sqref="DZ162" start="0" length="0">
      <dxf/>
    </rfmt>
    <rfmt sheetId="4" sqref="EA162" start="0" length="0">
      <dxf/>
    </rfmt>
    <rfmt sheetId="4" sqref="EB162" start="0" length="0">
      <dxf/>
    </rfmt>
    <rfmt sheetId="4" sqref="EC162" start="0" length="0">
      <dxf/>
    </rfmt>
    <rfmt sheetId="4" sqref="ED162" start="0" length="0">
      <dxf/>
    </rfmt>
    <rfmt sheetId="4" sqref="EE162" start="0" length="0">
      <dxf/>
    </rfmt>
    <rfmt sheetId="4" sqref="EF162" start="0" length="0">
      <dxf/>
    </rfmt>
    <rfmt sheetId="4" sqref="EG162" start="0" length="0">
      <dxf/>
    </rfmt>
    <rfmt sheetId="4" sqref="EH162" start="0" length="0">
      <dxf/>
    </rfmt>
    <rfmt sheetId="4" sqref="EI162" start="0" length="0">
      <dxf/>
    </rfmt>
    <rfmt sheetId="4" sqref="EJ162" start="0" length="0">
      <dxf/>
    </rfmt>
    <rfmt sheetId="4" sqref="EK162" start="0" length="0">
      <dxf/>
    </rfmt>
    <rfmt sheetId="4" sqref="EL162" start="0" length="0">
      <dxf/>
    </rfmt>
    <rfmt sheetId="4" sqref="EM162" start="0" length="0">
      <dxf/>
    </rfmt>
    <rfmt sheetId="4" sqref="EN162" start="0" length="0">
      <dxf/>
    </rfmt>
    <rfmt sheetId="4" sqref="EO162" start="0" length="0">
      <dxf/>
    </rfmt>
    <rfmt sheetId="4" sqref="EP162" start="0" length="0">
      <dxf/>
    </rfmt>
    <rfmt sheetId="4" sqref="EQ162" start="0" length="0">
      <dxf/>
    </rfmt>
    <rfmt sheetId="4" sqref="ER162" start="0" length="0">
      <dxf/>
    </rfmt>
    <rfmt sheetId="4" sqref="ES162" start="0" length="0">
      <dxf/>
    </rfmt>
    <rfmt sheetId="4" sqref="ET162" start="0" length="0">
      <dxf/>
    </rfmt>
    <rfmt sheetId="4" sqref="EU162" start="0" length="0">
      <dxf/>
    </rfmt>
    <rfmt sheetId="4" sqref="EV162" start="0" length="0">
      <dxf/>
    </rfmt>
    <rfmt sheetId="4" sqref="EW162" start="0" length="0">
      <dxf/>
    </rfmt>
    <rfmt sheetId="4" sqref="EX162" start="0" length="0">
      <dxf/>
    </rfmt>
    <rfmt sheetId="4" sqref="EY162" start="0" length="0">
      <dxf/>
    </rfmt>
    <rfmt sheetId="4" sqref="EZ162" start="0" length="0">
      <dxf/>
    </rfmt>
    <rfmt sheetId="4" sqref="FA162" start="0" length="0">
      <dxf/>
    </rfmt>
    <rfmt sheetId="4" sqref="FB162" start="0" length="0">
      <dxf/>
    </rfmt>
    <rfmt sheetId="4" sqref="FC162" start="0" length="0">
      <dxf/>
    </rfmt>
    <rfmt sheetId="4" sqref="FD162" start="0" length="0">
      <dxf/>
    </rfmt>
    <rfmt sheetId="4" sqref="FE162" start="0" length="0">
      <dxf/>
    </rfmt>
    <rfmt sheetId="4" sqref="FF162" start="0" length="0">
      <dxf/>
    </rfmt>
    <rfmt sheetId="4" sqref="FG162" start="0" length="0">
      <dxf/>
    </rfmt>
    <rfmt sheetId="4" sqref="FH162" start="0" length="0">
      <dxf/>
    </rfmt>
    <rfmt sheetId="4" sqref="FI162" start="0" length="0">
      <dxf/>
    </rfmt>
    <rfmt sheetId="4" sqref="FJ162" start="0" length="0">
      <dxf/>
    </rfmt>
    <rfmt sheetId="4" sqref="FK162" start="0" length="0">
      <dxf/>
    </rfmt>
    <rfmt sheetId="4" sqref="FL162" start="0" length="0">
      <dxf/>
    </rfmt>
    <rfmt sheetId="4" sqref="FM162" start="0" length="0">
      <dxf/>
    </rfmt>
    <rfmt sheetId="4" sqref="FN162" start="0" length="0">
      <dxf/>
    </rfmt>
    <rfmt sheetId="4" sqref="FO162" start="0" length="0">
      <dxf/>
    </rfmt>
    <rfmt sheetId="4" sqref="FP162" start="0" length="0">
      <dxf/>
    </rfmt>
    <rfmt sheetId="4" sqref="FQ162" start="0" length="0">
      <dxf/>
    </rfmt>
    <rfmt sheetId="4" sqref="FR162" start="0" length="0">
      <dxf/>
    </rfmt>
    <rfmt sheetId="4" sqref="FS162" start="0" length="0">
      <dxf/>
    </rfmt>
    <rfmt sheetId="4" sqref="FT162" start="0" length="0">
      <dxf/>
    </rfmt>
    <rfmt sheetId="4" sqref="FU162" start="0" length="0">
      <dxf/>
    </rfmt>
    <rfmt sheetId="4" sqref="FV162" start="0" length="0">
      <dxf/>
    </rfmt>
    <rfmt sheetId="4" sqref="FW162" start="0" length="0">
      <dxf/>
    </rfmt>
    <rfmt sheetId="4" sqref="FX162" start="0" length="0">
      <dxf/>
    </rfmt>
    <rfmt sheetId="4" sqref="FY162" start="0" length="0">
      <dxf/>
    </rfmt>
    <rfmt sheetId="4" sqref="FZ162" start="0" length="0">
      <dxf/>
    </rfmt>
    <rfmt sheetId="4" sqref="GA162" start="0" length="0">
      <dxf/>
    </rfmt>
    <rfmt sheetId="4" sqref="GB162" start="0" length="0">
      <dxf/>
    </rfmt>
    <rfmt sheetId="4" sqref="GC162" start="0" length="0">
      <dxf/>
    </rfmt>
    <rfmt sheetId="4" sqref="GD162" start="0" length="0">
      <dxf/>
    </rfmt>
    <rfmt sheetId="4" sqref="GE162" start="0" length="0">
      <dxf/>
    </rfmt>
    <rfmt sheetId="4" sqref="GF162" start="0" length="0">
      <dxf/>
    </rfmt>
    <rfmt sheetId="4" sqref="GG162" start="0" length="0">
      <dxf/>
    </rfmt>
    <rfmt sheetId="4" sqref="GH162" start="0" length="0">
      <dxf/>
    </rfmt>
    <rfmt sheetId="4" sqref="GI162" start="0" length="0">
      <dxf/>
    </rfmt>
    <rfmt sheetId="4" sqref="GJ162" start="0" length="0">
      <dxf/>
    </rfmt>
    <rfmt sheetId="4" sqref="GK162" start="0" length="0">
      <dxf/>
    </rfmt>
    <rfmt sheetId="4" sqref="GL162" start="0" length="0">
      <dxf/>
    </rfmt>
    <rfmt sheetId="4" sqref="GM162" start="0" length="0">
      <dxf/>
    </rfmt>
    <rfmt sheetId="4" sqref="GN162" start="0" length="0">
      <dxf/>
    </rfmt>
    <rfmt sheetId="4" sqref="GO162" start="0" length="0">
      <dxf/>
    </rfmt>
    <rfmt sheetId="4" sqref="GP162" start="0" length="0">
      <dxf/>
    </rfmt>
    <rfmt sheetId="4" sqref="GQ162" start="0" length="0">
      <dxf/>
    </rfmt>
    <rfmt sheetId="4" sqref="GR162" start="0" length="0">
      <dxf/>
    </rfmt>
    <rfmt sheetId="4" sqref="GS162" start="0" length="0">
      <dxf/>
    </rfmt>
    <rfmt sheetId="4" sqref="GT162" start="0" length="0">
      <dxf/>
    </rfmt>
    <rfmt sheetId="4" sqref="GU162" start="0" length="0">
      <dxf/>
    </rfmt>
    <rfmt sheetId="4" sqref="GV162" start="0" length="0">
      <dxf/>
    </rfmt>
    <rfmt sheetId="4" sqref="GW162" start="0" length="0">
      <dxf/>
    </rfmt>
    <rfmt sheetId="4" sqref="GX162" start="0" length="0">
      <dxf/>
    </rfmt>
    <rfmt sheetId="4" sqref="GY162" start="0" length="0">
      <dxf/>
    </rfmt>
    <rfmt sheetId="4" sqref="GZ162" start="0" length="0">
      <dxf/>
    </rfmt>
    <rfmt sheetId="4" sqref="HA162" start="0" length="0">
      <dxf/>
    </rfmt>
    <rfmt sheetId="4" sqref="HB162" start="0" length="0">
      <dxf/>
    </rfmt>
    <rfmt sheetId="4" sqref="HC162" start="0" length="0">
      <dxf/>
    </rfmt>
    <rfmt sheetId="4" sqref="HD162" start="0" length="0">
      <dxf/>
    </rfmt>
    <rfmt sheetId="4" sqref="HE162" start="0" length="0">
      <dxf/>
    </rfmt>
    <rfmt sheetId="4" sqref="HF162" start="0" length="0">
      <dxf/>
    </rfmt>
    <rfmt sheetId="4" sqref="HG162" start="0" length="0">
      <dxf/>
    </rfmt>
    <rfmt sheetId="4" sqref="HH162" start="0" length="0">
      <dxf/>
    </rfmt>
    <rfmt sheetId="4" sqref="HI162" start="0" length="0">
      <dxf/>
    </rfmt>
    <rfmt sheetId="4" sqref="HJ162" start="0" length="0">
      <dxf/>
    </rfmt>
    <rfmt sheetId="4" sqref="HK162" start="0" length="0">
      <dxf/>
    </rfmt>
    <rfmt sheetId="4" sqref="HL162" start="0" length="0">
      <dxf/>
    </rfmt>
    <rfmt sheetId="4" sqref="HM162" start="0" length="0">
      <dxf/>
    </rfmt>
    <rfmt sheetId="4" sqref="HN162" start="0" length="0">
      <dxf/>
    </rfmt>
    <rfmt sheetId="4" sqref="HO162" start="0" length="0">
      <dxf/>
    </rfmt>
    <rfmt sheetId="4" sqref="HP162" start="0" length="0">
      <dxf/>
    </rfmt>
    <rfmt sheetId="4" sqref="HQ162" start="0" length="0">
      <dxf/>
    </rfmt>
    <rfmt sheetId="4" sqref="HR162" start="0" length="0">
      <dxf/>
    </rfmt>
    <rfmt sheetId="4" sqref="HS162" start="0" length="0">
      <dxf/>
    </rfmt>
    <rfmt sheetId="4" sqref="HT162" start="0" length="0">
      <dxf/>
    </rfmt>
    <rfmt sheetId="4" sqref="HU162" start="0" length="0">
      <dxf/>
    </rfmt>
    <rfmt sheetId="4" sqref="HV162" start="0" length="0">
      <dxf/>
    </rfmt>
    <rfmt sheetId="4" sqref="HW162" start="0" length="0">
      <dxf/>
    </rfmt>
    <rfmt sheetId="4" sqref="HX162" start="0" length="0">
      <dxf/>
    </rfmt>
    <rfmt sheetId="4" sqref="HY162" start="0" length="0">
      <dxf/>
    </rfmt>
    <rfmt sheetId="4" sqref="HZ162" start="0" length="0">
      <dxf/>
    </rfmt>
    <rfmt sheetId="4" sqref="IA162" start="0" length="0">
      <dxf/>
    </rfmt>
    <rfmt sheetId="4" sqref="IB162" start="0" length="0">
      <dxf/>
    </rfmt>
    <rfmt sheetId="4" sqref="IC162" start="0" length="0">
      <dxf/>
    </rfmt>
    <rfmt sheetId="4" sqref="ID162" start="0" length="0">
      <dxf/>
    </rfmt>
    <rfmt sheetId="4" sqref="IE162" start="0" length="0">
      <dxf/>
    </rfmt>
    <rfmt sheetId="4" sqref="IF162" start="0" length="0">
      <dxf/>
    </rfmt>
    <rfmt sheetId="4" sqref="IG162" start="0" length="0">
      <dxf/>
    </rfmt>
    <rfmt sheetId="4" sqref="IH162" start="0" length="0">
      <dxf/>
    </rfmt>
    <rfmt sheetId="4" sqref="II162" start="0" length="0">
      <dxf/>
    </rfmt>
    <rfmt sheetId="4" sqref="IJ162" start="0" length="0">
      <dxf/>
    </rfmt>
    <rfmt sheetId="4" sqref="IK162" start="0" length="0">
      <dxf/>
    </rfmt>
    <rfmt sheetId="4" sqref="IL162" start="0" length="0">
      <dxf/>
    </rfmt>
    <rfmt sheetId="4" sqref="IM162" start="0" length="0">
      <dxf/>
    </rfmt>
    <rfmt sheetId="4" sqref="IN162" start="0" length="0">
      <dxf/>
    </rfmt>
    <rfmt sheetId="4" sqref="IO162" start="0" length="0">
      <dxf/>
    </rfmt>
    <rfmt sheetId="4" sqref="IP162" start="0" length="0">
      <dxf/>
    </rfmt>
    <rfmt sheetId="4" sqref="IQ162" start="0" length="0">
      <dxf/>
    </rfmt>
    <rfmt sheetId="4" sqref="IR162" start="0" length="0">
      <dxf/>
    </rfmt>
    <rfmt sheetId="4" sqref="IS162" start="0" length="0">
      <dxf/>
    </rfmt>
    <rfmt sheetId="4" sqref="IT162" start="0" length="0">
      <dxf/>
    </rfmt>
    <rfmt sheetId="4" sqref="IU162" start="0" length="0">
      <dxf/>
    </rfmt>
    <rfmt sheetId="4" sqref="IV162" start="0" length="0">
      <dxf/>
    </rfmt>
    <rfmt sheetId="4" sqref="IW162" start="0" length="0">
      <dxf/>
    </rfmt>
    <rfmt sheetId="4" sqref="IX162" start="0" length="0">
      <dxf/>
    </rfmt>
    <rfmt sheetId="4" sqref="IY162" start="0" length="0">
      <dxf/>
    </rfmt>
    <rfmt sheetId="4" sqref="IZ162" start="0" length="0">
      <dxf/>
    </rfmt>
    <rfmt sheetId="4" sqref="JA162" start="0" length="0">
      <dxf/>
    </rfmt>
    <rfmt sheetId="4" sqref="JB162" start="0" length="0">
      <dxf/>
    </rfmt>
    <rfmt sheetId="4" sqref="JC162" start="0" length="0">
      <dxf/>
    </rfmt>
    <rfmt sheetId="4" sqref="JD162" start="0" length="0">
      <dxf/>
    </rfmt>
    <rfmt sheetId="4" sqref="JE162" start="0" length="0">
      <dxf/>
    </rfmt>
    <rfmt sheetId="4" sqref="JF162" start="0" length="0">
      <dxf/>
    </rfmt>
    <rfmt sheetId="4" sqref="JG162" start="0" length="0">
      <dxf/>
    </rfmt>
    <rfmt sheetId="4" sqref="JH162" start="0" length="0">
      <dxf/>
    </rfmt>
    <rfmt sheetId="4" sqref="JI162" start="0" length="0">
      <dxf/>
    </rfmt>
    <rfmt sheetId="4" sqref="JJ162" start="0" length="0">
      <dxf/>
    </rfmt>
    <rfmt sheetId="4" sqref="JK162" start="0" length="0">
      <dxf/>
    </rfmt>
    <rfmt sheetId="4" sqref="JL162" start="0" length="0">
      <dxf/>
    </rfmt>
    <rfmt sheetId="4" sqref="JM162" start="0" length="0">
      <dxf/>
    </rfmt>
    <rfmt sheetId="4" sqref="JN162" start="0" length="0">
      <dxf/>
    </rfmt>
    <rfmt sheetId="4" sqref="JO162" start="0" length="0">
      <dxf/>
    </rfmt>
    <rfmt sheetId="4" sqref="JP162" start="0" length="0">
      <dxf/>
    </rfmt>
    <rfmt sheetId="4" sqref="JQ162" start="0" length="0">
      <dxf/>
    </rfmt>
    <rfmt sheetId="4" sqref="JR162" start="0" length="0">
      <dxf/>
    </rfmt>
    <rfmt sheetId="4" sqref="JS162" start="0" length="0">
      <dxf/>
    </rfmt>
    <rfmt sheetId="4" sqref="JT162" start="0" length="0">
      <dxf/>
    </rfmt>
    <rfmt sheetId="4" sqref="JU162" start="0" length="0">
      <dxf/>
    </rfmt>
    <rfmt sheetId="4" sqref="JV162" start="0" length="0">
      <dxf/>
    </rfmt>
    <rfmt sheetId="4" sqref="JW162" start="0" length="0">
      <dxf/>
    </rfmt>
    <rfmt sheetId="4" sqref="JX162" start="0" length="0">
      <dxf/>
    </rfmt>
    <rfmt sheetId="4" sqref="JY162" start="0" length="0">
      <dxf/>
    </rfmt>
    <rfmt sheetId="4" sqref="JZ162" start="0" length="0">
      <dxf/>
    </rfmt>
    <rfmt sheetId="4" sqref="KA162" start="0" length="0">
      <dxf/>
    </rfmt>
    <rfmt sheetId="4" sqref="KB162" start="0" length="0">
      <dxf/>
    </rfmt>
    <rfmt sheetId="4" sqref="KC162" start="0" length="0">
      <dxf/>
    </rfmt>
    <rfmt sheetId="4" sqref="KD162" start="0" length="0">
      <dxf/>
    </rfmt>
    <rfmt sheetId="4" sqref="KE162" start="0" length="0">
      <dxf/>
    </rfmt>
    <rfmt sheetId="4" sqref="KF162" start="0" length="0">
      <dxf/>
    </rfmt>
    <rfmt sheetId="4" sqref="KG162" start="0" length="0">
      <dxf/>
    </rfmt>
    <rfmt sheetId="4" sqref="KH162" start="0" length="0">
      <dxf/>
    </rfmt>
    <rfmt sheetId="4" sqref="KI162" start="0" length="0">
      <dxf/>
    </rfmt>
    <rfmt sheetId="4" sqref="KJ162" start="0" length="0">
      <dxf/>
    </rfmt>
    <rfmt sheetId="4" sqref="KK162" start="0" length="0">
      <dxf/>
    </rfmt>
    <rfmt sheetId="4" sqref="KL162" start="0" length="0">
      <dxf/>
    </rfmt>
    <rfmt sheetId="4" sqref="KM162" start="0" length="0">
      <dxf/>
    </rfmt>
    <rfmt sheetId="4" sqref="KN162" start="0" length="0">
      <dxf/>
    </rfmt>
    <rfmt sheetId="4" sqref="KO162" start="0" length="0">
      <dxf/>
    </rfmt>
    <rfmt sheetId="4" sqref="KP162" start="0" length="0">
      <dxf/>
    </rfmt>
    <rfmt sheetId="4" sqref="KQ162" start="0" length="0">
      <dxf/>
    </rfmt>
    <rfmt sheetId="4" sqref="KR162" start="0" length="0">
      <dxf/>
    </rfmt>
    <rfmt sheetId="4" sqref="KS162" start="0" length="0">
      <dxf/>
    </rfmt>
    <rfmt sheetId="4" sqref="KT162" start="0" length="0">
      <dxf/>
    </rfmt>
    <rfmt sheetId="4" sqref="KU162" start="0" length="0">
      <dxf/>
    </rfmt>
    <rfmt sheetId="4" sqref="KV162" start="0" length="0">
      <dxf/>
    </rfmt>
    <rfmt sheetId="4" sqref="KW162" start="0" length="0">
      <dxf/>
    </rfmt>
    <rfmt sheetId="4" sqref="KX162" start="0" length="0">
      <dxf/>
    </rfmt>
    <rfmt sheetId="4" sqref="KY162" start="0" length="0">
      <dxf/>
    </rfmt>
    <rfmt sheetId="4" sqref="KZ162" start="0" length="0">
      <dxf/>
    </rfmt>
    <rfmt sheetId="4" sqref="LA162" start="0" length="0">
      <dxf/>
    </rfmt>
    <rfmt sheetId="4" sqref="LB162" start="0" length="0">
      <dxf/>
    </rfmt>
    <rfmt sheetId="4" sqref="LC162" start="0" length="0">
      <dxf/>
    </rfmt>
    <rfmt sheetId="4" sqref="LD162" start="0" length="0">
      <dxf/>
    </rfmt>
    <rfmt sheetId="4" sqref="LE162" start="0" length="0">
      <dxf/>
    </rfmt>
    <rfmt sheetId="4" sqref="LF162" start="0" length="0">
      <dxf/>
    </rfmt>
    <rfmt sheetId="4" sqref="LG162" start="0" length="0">
      <dxf/>
    </rfmt>
    <rfmt sheetId="4" sqref="LH162" start="0" length="0">
      <dxf/>
    </rfmt>
    <rfmt sheetId="4" sqref="LI162" start="0" length="0">
      <dxf/>
    </rfmt>
    <rfmt sheetId="4" sqref="LJ162" start="0" length="0">
      <dxf/>
    </rfmt>
    <rfmt sheetId="4" sqref="LK162" start="0" length="0">
      <dxf/>
    </rfmt>
    <rfmt sheetId="4" sqref="LL162" start="0" length="0">
      <dxf/>
    </rfmt>
    <rfmt sheetId="4" sqref="LM162" start="0" length="0">
      <dxf/>
    </rfmt>
    <rfmt sheetId="4" sqref="LN162" start="0" length="0">
      <dxf/>
    </rfmt>
    <rfmt sheetId="4" sqref="LO162" start="0" length="0">
      <dxf/>
    </rfmt>
    <rfmt sheetId="4" sqref="LP162" start="0" length="0">
      <dxf/>
    </rfmt>
    <rfmt sheetId="4" sqref="LQ162" start="0" length="0">
      <dxf/>
    </rfmt>
    <rfmt sheetId="4" sqref="LR162" start="0" length="0">
      <dxf/>
    </rfmt>
    <rfmt sheetId="4" sqref="LS162" start="0" length="0">
      <dxf/>
    </rfmt>
    <rfmt sheetId="4" sqref="LT162" start="0" length="0">
      <dxf/>
    </rfmt>
    <rfmt sheetId="4" sqref="LU162" start="0" length="0">
      <dxf/>
    </rfmt>
    <rfmt sheetId="4" sqref="LV162" start="0" length="0">
      <dxf/>
    </rfmt>
    <rfmt sheetId="4" sqref="LW162" start="0" length="0">
      <dxf/>
    </rfmt>
    <rfmt sheetId="4" sqref="LX162" start="0" length="0">
      <dxf/>
    </rfmt>
    <rfmt sheetId="4" sqref="LY162" start="0" length="0">
      <dxf/>
    </rfmt>
    <rfmt sheetId="4" sqref="LZ162" start="0" length="0">
      <dxf/>
    </rfmt>
    <rfmt sheetId="4" sqref="MA162" start="0" length="0">
      <dxf/>
    </rfmt>
    <rfmt sheetId="4" sqref="MB162" start="0" length="0">
      <dxf/>
    </rfmt>
  </rr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" sId="4">
    <oc r="K161">
      <f>J161/0.786</f>
    </oc>
    <nc r="K161">
      <f>J161/0.786</f>
    </nc>
  </rcc>
  <rcc rId="23" sId="2" numFmtId="19">
    <oc r="B726">
      <v>46268</v>
    </oc>
    <nc r="B726">
      <v>46267</v>
    </nc>
  </rcc>
  <rrc rId="24" sId="2" ref="A719:XFD719" action="insertRow">
    <undo index="0" exp="area" ref3D="1" dr="$A$1:$A$1048576" dn="Z_8578D927_8BDE_4C99_A2DB_3E44DFA36FF2_.wvu.Cols" sId="2"/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</rrc>
  <rm rId="25" sheetId="2" source="A727:XFD727" destination="A719:XFD719" sourceSheetId="2">
    <rfmt sheetId="2" xfDxf="1" sqref="A719:XFD719" start="0" length="0">
      <dxf>
        <font>
          <sz val="10"/>
          <name val="Arial"/>
          <scheme val="none"/>
        </font>
        <alignment horizontal="center" readingOrder="0"/>
      </dxf>
    </rfmt>
    <rfmt sheetId="2" sqref="A71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19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1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1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1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1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G71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1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1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1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1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19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1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19" start="0" length="0">
      <dxf>
        <numFmt numFmtId="176" formatCode="m/d;@"/>
      </dxf>
    </rfmt>
    <rfmt sheetId="2" sqref="O71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19" start="0" length="0">
      <dxf/>
    </rfmt>
    <rfmt sheetId="2" sqref="U719" start="0" length="0">
      <dxf/>
    </rfmt>
    <rfmt sheetId="2" sqref="V719" start="0" length="0">
      <dxf/>
    </rfmt>
    <rfmt sheetId="2" sqref="W719" start="0" length="0">
      <dxf/>
    </rfmt>
    <rfmt sheetId="2" sqref="X719" start="0" length="0">
      <dxf/>
    </rfmt>
    <rfmt sheetId="2" sqref="Y719" start="0" length="0">
      <dxf/>
    </rfmt>
    <rfmt sheetId="2" sqref="Z719" start="0" length="0">
      <dxf/>
    </rfmt>
    <rfmt sheetId="2" sqref="AA719" start="0" length="0">
      <dxf/>
    </rfmt>
    <rfmt sheetId="2" sqref="AB719" start="0" length="0">
      <dxf/>
    </rfmt>
    <rfmt sheetId="2" sqref="AC719" start="0" length="0">
      <dxf/>
    </rfmt>
    <rfmt sheetId="2" sqref="AD719" start="0" length="0">
      <dxf/>
    </rfmt>
    <rfmt sheetId="2" sqref="AE719" start="0" length="0">
      <dxf/>
    </rfmt>
    <rfmt sheetId="2" sqref="AF719" start="0" length="0">
      <dxf/>
    </rfmt>
    <rfmt sheetId="2" sqref="AG719" start="0" length="0">
      <dxf/>
    </rfmt>
    <rfmt sheetId="2" sqref="AH719" start="0" length="0">
      <dxf/>
    </rfmt>
    <rfmt sheetId="2" sqref="AI719" start="0" length="0">
      <dxf/>
    </rfmt>
    <rfmt sheetId="2" sqref="AJ719" start="0" length="0">
      <dxf/>
    </rfmt>
    <rfmt sheetId="2" sqref="AK719" start="0" length="0">
      <dxf/>
    </rfmt>
    <rfmt sheetId="2" sqref="AL719" start="0" length="0">
      <dxf/>
    </rfmt>
    <rfmt sheetId="2" sqref="AM719" start="0" length="0">
      <dxf/>
    </rfmt>
    <rfmt sheetId="2" sqref="AN719" start="0" length="0">
      <dxf/>
    </rfmt>
    <rfmt sheetId="2" sqref="AO719" start="0" length="0">
      <dxf/>
    </rfmt>
    <rfmt sheetId="2" sqref="AP719" start="0" length="0">
      <dxf/>
    </rfmt>
    <rfmt sheetId="2" sqref="AQ719" start="0" length="0">
      <dxf/>
    </rfmt>
    <rfmt sheetId="2" sqref="AR719" start="0" length="0">
      <dxf/>
    </rfmt>
    <rfmt sheetId="2" sqref="AS719" start="0" length="0">
      <dxf/>
    </rfmt>
    <rfmt sheetId="2" sqref="AT719" start="0" length="0">
      <dxf/>
    </rfmt>
    <rfmt sheetId="2" sqref="AU719" start="0" length="0">
      <dxf/>
    </rfmt>
    <rfmt sheetId="2" sqref="AV719" start="0" length="0">
      <dxf/>
    </rfmt>
    <rfmt sheetId="2" sqref="AW719" start="0" length="0">
      <dxf/>
    </rfmt>
    <rfmt sheetId="2" sqref="AX719" start="0" length="0">
      <dxf/>
    </rfmt>
    <rfmt sheetId="2" sqref="AY719" start="0" length="0">
      <dxf/>
    </rfmt>
    <rfmt sheetId="2" sqref="AZ719" start="0" length="0">
      <dxf/>
    </rfmt>
    <rfmt sheetId="2" sqref="BA719" start="0" length="0">
      <dxf/>
    </rfmt>
    <rfmt sheetId="2" sqref="BB719" start="0" length="0">
      <dxf/>
    </rfmt>
    <rfmt sheetId="2" sqref="BC719" start="0" length="0">
      <dxf/>
    </rfmt>
    <rfmt sheetId="2" sqref="BD719" start="0" length="0">
      <dxf/>
    </rfmt>
    <rfmt sheetId="2" sqref="BE719" start="0" length="0">
      <dxf/>
    </rfmt>
    <rfmt sheetId="2" sqref="BF719" start="0" length="0">
      <dxf/>
    </rfmt>
    <rfmt sheetId="2" sqref="BG719" start="0" length="0">
      <dxf/>
    </rfmt>
    <rfmt sheetId="2" sqref="BH719" start="0" length="0">
      <dxf/>
    </rfmt>
    <rfmt sheetId="2" sqref="BI719" start="0" length="0">
      <dxf/>
    </rfmt>
    <rfmt sheetId="2" sqref="BJ719" start="0" length="0">
      <dxf/>
    </rfmt>
    <rfmt sheetId="2" sqref="BK719" start="0" length="0">
      <dxf/>
    </rfmt>
    <rfmt sheetId="2" sqref="BL719" start="0" length="0">
      <dxf/>
    </rfmt>
    <rfmt sheetId="2" sqref="BM719" start="0" length="0">
      <dxf/>
    </rfmt>
    <rfmt sheetId="2" sqref="BN719" start="0" length="0">
      <dxf/>
    </rfmt>
    <rfmt sheetId="2" sqref="BO719" start="0" length="0">
      <dxf/>
    </rfmt>
    <rfmt sheetId="2" sqref="BP719" start="0" length="0">
      <dxf/>
    </rfmt>
    <rfmt sheetId="2" sqref="BQ719" start="0" length="0">
      <dxf/>
    </rfmt>
    <rfmt sheetId="2" sqref="BR719" start="0" length="0">
      <dxf/>
    </rfmt>
    <rfmt sheetId="2" sqref="BS719" start="0" length="0">
      <dxf/>
    </rfmt>
    <rfmt sheetId="2" sqref="BT719" start="0" length="0">
      <dxf/>
    </rfmt>
    <rfmt sheetId="2" sqref="BU719" start="0" length="0">
      <dxf/>
    </rfmt>
    <rfmt sheetId="2" sqref="BV719" start="0" length="0">
      <dxf/>
    </rfmt>
    <rfmt sheetId="2" sqref="BW719" start="0" length="0">
      <dxf/>
    </rfmt>
    <rfmt sheetId="2" sqref="BX719" start="0" length="0">
      <dxf/>
    </rfmt>
    <rfmt sheetId="2" sqref="BY719" start="0" length="0">
      <dxf/>
    </rfmt>
    <rfmt sheetId="2" sqref="BZ719" start="0" length="0">
      <dxf/>
    </rfmt>
    <rfmt sheetId="2" sqref="CA719" start="0" length="0">
      <dxf/>
    </rfmt>
    <rfmt sheetId="2" sqref="CB719" start="0" length="0">
      <dxf/>
    </rfmt>
    <rfmt sheetId="2" sqref="CC719" start="0" length="0">
      <dxf/>
    </rfmt>
    <rfmt sheetId="2" sqref="CD719" start="0" length="0">
      <dxf/>
    </rfmt>
    <rfmt sheetId="2" sqref="CE719" start="0" length="0">
      <dxf/>
    </rfmt>
    <rfmt sheetId="2" sqref="CF719" start="0" length="0">
      <dxf/>
    </rfmt>
    <rfmt sheetId="2" sqref="CG719" start="0" length="0">
      <dxf/>
    </rfmt>
    <rfmt sheetId="2" sqref="CH719" start="0" length="0">
      <dxf/>
    </rfmt>
    <rfmt sheetId="2" sqref="CI719" start="0" length="0">
      <dxf/>
    </rfmt>
    <rfmt sheetId="2" sqref="CJ719" start="0" length="0">
      <dxf/>
    </rfmt>
    <rfmt sheetId="2" sqref="CK719" start="0" length="0">
      <dxf/>
    </rfmt>
    <rfmt sheetId="2" sqref="CL719" start="0" length="0">
      <dxf/>
    </rfmt>
    <rfmt sheetId="2" sqref="CM719" start="0" length="0">
      <dxf/>
    </rfmt>
    <rfmt sheetId="2" sqref="CN719" start="0" length="0">
      <dxf/>
    </rfmt>
    <rfmt sheetId="2" sqref="CO719" start="0" length="0">
      <dxf/>
    </rfmt>
    <rfmt sheetId="2" sqref="CP719" start="0" length="0">
      <dxf/>
    </rfmt>
    <rfmt sheetId="2" sqref="CQ719" start="0" length="0">
      <dxf/>
    </rfmt>
    <rfmt sheetId="2" sqref="CR719" start="0" length="0">
      <dxf/>
    </rfmt>
    <rfmt sheetId="2" sqref="CS719" start="0" length="0">
      <dxf/>
    </rfmt>
    <rfmt sheetId="2" sqref="CT719" start="0" length="0">
      <dxf/>
    </rfmt>
    <rfmt sheetId="2" sqref="CU719" start="0" length="0">
      <dxf/>
    </rfmt>
    <rfmt sheetId="2" sqref="CV719" start="0" length="0">
      <dxf/>
    </rfmt>
    <rfmt sheetId="2" sqref="CW719" start="0" length="0">
      <dxf/>
    </rfmt>
    <rfmt sheetId="2" sqref="CX719" start="0" length="0">
      <dxf/>
    </rfmt>
    <rfmt sheetId="2" sqref="CY719" start="0" length="0">
      <dxf/>
    </rfmt>
    <rfmt sheetId="2" sqref="CZ719" start="0" length="0">
      <dxf/>
    </rfmt>
    <rfmt sheetId="2" sqref="DA719" start="0" length="0">
      <dxf/>
    </rfmt>
    <rfmt sheetId="2" sqref="DB719" start="0" length="0">
      <dxf/>
    </rfmt>
    <rfmt sheetId="2" sqref="DC719" start="0" length="0">
      <dxf/>
    </rfmt>
    <rfmt sheetId="2" sqref="DD719" start="0" length="0">
      <dxf/>
    </rfmt>
    <rfmt sheetId="2" sqref="DE719" start="0" length="0">
      <dxf/>
    </rfmt>
    <rfmt sheetId="2" sqref="DF719" start="0" length="0">
      <dxf/>
    </rfmt>
    <rfmt sheetId="2" sqref="DG719" start="0" length="0">
      <dxf/>
    </rfmt>
    <rfmt sheetId="2" sqref="DH719" start="0" length="0">
      <dxf/>
    </rfmt>
    <rfmt sheetId="2" sqref="DI719" start="0" length="0">
      <dxf/>
    </rfmt>
    <rfmt sheetId="2" sqref="DJ719" start="0" length="0">
      <dxf/>
    </rfmt>
    <rfmt sheetId="2" sqref="DK719" start="0" length="0">
      <dxf/>
    </rfmt>
    <rfmt sheetId="2" sqref="DL719" start="0" length="0">
      <dxf/>
    </rfmt>
    <rfmt sheetId="2" sqref="DM719" start="0" length="0">
      <dxf/>
    </rfmt>
    <rfmt sheetId="2" sqref="DN719" start="0" length="0">
      <dxf/>
    </rfmt>
    <rfmt sheetId="2" sqref="DO719" start="0" length="0">
      <dxf/>
    </rfmt>
    <rfmt sheetId="2" sqref="DP719" start="0" length="0">
      <dxf/>
    </rfmt>
    <rfmt sheetId="2" sqref="DQ719" start="0" length="0">
      <dxf/>
    </rfmt>
    <rfmt sheetId="2" sqref="DR719" start="0" length="0">
      <dxf/>
    </rfmt>
    <rfmt sheetId="2" sqref="DS719" start="0" length="0">
      <dxf/>
    </rfmt>
    <rfmt sheetId="2" sqref="DT719" start="0" length="0">
      <dxf/>
    </rfmt>
    <rfmt sheetId="2" sqref="DU719" start="0" length="0">
      <dxf/>
    </rfmt>
    <rfmt sheetId="2" sqref="DV719" start="0" length="0">
      <dxf/>
    </rfmt>
    <rfmt sheetId="2" sqref="DW719" start="0" length="0">
      <dxf/>
    </rfmt>
    <rfmt sheetId="2" sqref="DX719" start="0" length="0">
      <dxf/>
    </rfmt>
    <rfmt sheetId="2" sqref="DY719" start="0" length="0">
      <dxf/>
    </rfmt>
    <rfmt sheetId="2" sqref="DZ719" start="0" length="0">
      <dxf/>
    </rfmt>
    <rfmt sheetId="2" sqref="EA719" start="0" length="0">
      <dxf/>
    </rfmt>
    <rfmt sheetId="2" sqref="EB719" start="0" length="0">
      <dxf/>
    </rfmt>
    <rfmt sheetId="2" sqref="EC719" start="0" length="0">
      <dxf/>
    </rfmt>
    <rfmt sheetId="2" sqref="ED719" start="0" length="0">
      <dxf/>
    </rfmt>
    <rfmt sheetId="2" sqref="EE719" start="0" length="0">
      <dxf/>
    </rfmt>
    <rfmt sheetId="2" sqref="EF719" start="0" length="0">
      <dxf/>
    </rfmt>
    <rfmt sheetId="2" sqref="EG719" start="0" length="0">
      <dxf/>
    </rfmt>
    <rfmt sheetId="2" sqref="EH719" start="0" length="0">
      <dxf/>
    </rfmt>
    <rfmt sheetId="2" sqref="EI719" start="0" length="0">
      <dxf/>
    </rfmt>
    <rfmt sheetId="2" sqref="EJ719" start="0" length="0">
      <dxf/>
    </rfmt>
    <rfmt sheetId="2" sqref="EK719" start="0" length="0">
      <dxf/>
    </rfmt>
    <rfmt sheetId="2" sqref="EL719" start="0" length="0">
      <dxf/>
    </rfmt>
    <rfmt sheetId="2" sqref="EM719" start="0" length="0">
      <dxf/>
    </rfmt>
    <rfmt sheetId="2" sqref="EN719" start="0" length="0">
      <dxf/>
    </rfmt>
    <rfmt sheetId="2" sqref="EO719" start="0" length="0">
      <dxf/>
    </rfmt>
    <rfmt sheetId="2" sqref="EP719" start="0" length="0">
      <dxf/>
    </rfmt>
    <rfmt sheetId="2" sqref="EQ719" start="0" length="0">
      <dxf/>
    </rfmt>
    <rfmt sheetId="2" sqref="ER719" start="0" length="0">
      <dxf/>
    </rfmt>
    <rfmt sheetId="2" sqref="ES719" start="0" length="0">
      <dxf/>
    </rfmt>
    <rfmt sheetId="2" sqref="ET719" start="0" length="0">
      <dxf/>
    </rfmt>
    <rfmt sheetId="2" sqref="EU719" start="0" length="0">
      <dxf/>
    </rfmt>
    <rfmt sheetId="2" sqref="EV719" start="0" length="0">
      <dxf/>
    </rfmt>
    <rfmt sheetId="2" sqref="EW719" start="0" length="0">
      <dxf/>
    </rfmt>
    <rfmt sheetId="2" sqref="EX719" start="0" length="0">
      <dxf/>
    </rfmt>
    <rfmt sheetId="2" sqref="EY719" start="0" length="0">
      <dxf/>
    </rfmt>
    <rfmt sheetId="2" sqref="EZ719" start="0" length="0">
      <dxf/>
    </rfmt>
    <rfmt sheetId="2" sqref="FA719" start="0" length="0">
      <dxf/>
    </rfmt>
    <rfmt sheetId="2" sqref="FB719" start="0" length="0">
      <dxf/>
    </rfmt>
    <rfmt sheetId="2" sqref="FC719" start="0" length="0">
      <dxf/>
    </rfmt>
    <rfmt sheetId="2" sqref="FD719" start="0" length="0">
      <dxf/>
    </rfmt>
    <rfmt sheetId="2" sqref="FE719" start="0" length="0">
      <dxf/>
    </rfmt>
    <rfmt sheetId="2" sqref="FF719" start="0" length="0">
      <dxf/>
    </rfmt>
    <rfmt sheetId="2" sqref="FG719" start="0" length="0">
      <dxf/>
    </rfmt>
    <rfmt sheetId="2" sqref="FH719" start="0" length="0">
      <dxf/>
    </rfmt>
    <rfmt sheetId="2" sqref="FI719" start="0" length="0">
      <dxf/>
    </rfmt>
    <rfmt sheetId="2" sqref="FJ719" start="0" length="0">
      <dxf/>
    </rfmt>
    <rfmt sheetId="2" sqref="FK719" start="0" length="0">
      <dxf/>
    </rfmt>
    <rfmt sheetId="2" sqref="FL719" start="0" length="0">
      <dxf/>
    </rfmt>
    <rfmt sheetId="2" sqref="FM719" start="0" length="0">
      <dxf/>
    </rfmt>
    <rfmt sheetId="2" sqref="FN719" start="0" length="0">
      <dxf/>
    </rfmt>
    <rfmt sheetId="2" sqref="FO719" start="0" length="0">
      <dxf/>
    </rfmt>
    <rfmt sheetId="2" sqref="FP719" start="0" length="0">
      <dxf/>
    </rfmt>
    <rfmt sheetId="2" sqref="FQ719" start="0" length="0">
      <dxf/>
    </rfmt>
    <rfmt sheetId="2" sqref="FR719" start="0" length="0">
      <dxf/>
    </rfmt>
    <rfmt sheetId="2" sqref="FS719" start="0" length="0">
      <dxf/>
    </rfmt>
    <rfmt sheetId="2" sqref="FT719" start="0" length="0">
      <dxf/>
    </rfmt>
    <rfmt sheetId="2" sqref="FU719" start="0" length="0">
      <dxf/>
    </rfmt>
    <rfmt sheetId="2" sqref="FV719" start="0" length="0">
      <dxf/>
    </rfmt>
    <rfmt sheetId="2" sqref="FW719" start="0" length="0">
      <dxf/>
    </rfmt>
    <rfmt sheetId="2" sqref="FX719" start="0" length="0">
      <dxf/>
    </rfmt>
    <rfmt sheetId="2" sqref="FY719" start="0" length="0">
      <dxf/>
    </rfmt>
    <rfmt sheetId="2" sqref="FZ719" start="0" length="0">
      <dxf/>
    </rfmt>
    <rfmt sheetId="2" sqref="GA719" start="0" length="0">
      <dxf/>
    </rfmt>
    <rfmt sheetId="2" sqref="GB719" start="0" length="0">
      <dxf/>
    </rfmt>
    <rfmt sheetId="2" sqref="GC719" start="0" length="0">
      <dxf/>
    </rfmt>
    <rfmt sheetId="2" sqref="GD719" start="0" length="0">
      <dxf/>
    </rfmt>
    <rfmt sheetId="2" sqref="GE719" start="0" length="0">
      <dxf/>
    </rfmt>
    <rfmt sheetId="2" sqref="GF719" start="0" length="0">
      <dxf/>
    </rfmt>
    <rfmt sheetId="2" sqref="GG719" start="0" length="0">
      <dxf/>
    </rfmt>
    <rfmt sheetId="2" sqref="GH719" start="0" length="0">
      <dxf/>
    </rfmt>
    <rfmt sheetId="2" sqref="GI719" start="0" length="0">
      <dxf/>
    </rfmt>
    <rfmt sheetId="2" sqref="GJ719" start="0" length="0">
      <dxf/>
    </rfmt>
    <rfmt sheetId="2" sqref="GK719" start="0" length="0">
      <dxf/>
    </rfmt>
    <rfmt sheetId="2" sqref="GL719" start="0" length="0">
      <dxf/>
    </rfmt>
    <rfmt sheetId="2" sqref="GM719" start="0" length="0">
      <dxf/>
    </rfmt>
    <rfmt sheetId="2" sqref="GN719" start="0" length="0">
      <dxf/>
    </rfmt>
    <rfmt sheetId="2" sqref="GO719" start="0" length="0">
      <dxf/>
    </rfmt>
    <rfmt sheetId="2" sqref="GP719" start="0" length="0">
      <dxf/>
    </rfmt>
    <rfmt sheetId="2" sqref="GQ719" start="0" length="0">
      <dxf/>
    </rfmt>
    <rfmt sheetId="2" sqref="GR719" start="0" length="0">
      <dxf/>
    </rfmt>
    <rfmt sheetId="2" sqref="GS719" start="0" length="0">
      <dxf/>
    </rfmt>
    <rfmt sheetId="2" sqref="GT719" start="0" length="0">
      <dxf/>
    </rfmt>
    <rfmt sheetId="2" sqref="GU719" start="0" length="0">
      <dxf/>
    </rfmt>
    <rfmt sheetId="2" sqref="GV719" start="0" length="0">
      <dxf/>
    </rfmt>
    <rfmt sheetId="2" sqref="GW719" start="0" length="0">
      <dxf/>
    </rfmt>
    <rfmt sheetId="2" sqref="GX719" start="0" length="0">
      <dxf/>
    </rfmt>
    <rfmt sheetId="2" sqref="GY719" start="0" length="0">
      <dxf/>
    </rfmt>
    <rfmt sheetId="2" sqref="GZ719" start="0" length="0">
      <dxf/>
    </rfmt>
    <rfmt sheetId="2" sqref="HA719" start="0" length="0">
      <dxf/>
    </rfmt>
    <rfmt sheetId="2" sqref="HB719" start="0" length="0">
      <dxf/>
    </rfmt>
    <rfmt sheetId="2" sqref="HC719" start="0" length="0">
      <dxf/>
    </rfmt>
    <rfmt sheetId="2" sqref="HD719" start="0" length="0">
      <dxf/>
    </rfmt>
    <rfmt sheetId="2" sqref="HE719" start="0" length="0">
      <dxf/>
    </rfmt>
    <rfmt sheetId="2" sqref="HF719" start="0" length="0">
      <dxf/>
    </rfmt>
    <rfmt sheetId="2" sqref="HG719" start="0" length="0">
      <dxf/>
    </rfmt>
    <rfmt sheetId="2" sqref="HH719" start="0" length="0">
      <dxf/>
    </rfmt>
    <rfmt sheetId="2" sqref="HI719" start="0" length="0">
      <dxf/>
    </rfmt>
    <rfmt sheetId="2" sqref="HJ719" start="0" length="0">
      <dxf/>
    </rfmt>
    <rfmt sheetId="2" sqref="HK719" start="0" length="0">
      <dxf/>
    </rfmt>
    <rfmt sheetId="2" sqref="HL719" start="0" length="0">
      <dxf/>
    </rfmt>
    <rfmt sheetId="2" sqref="HM719" start="0" length="0">
      <dxf/>
    </rfmt>
    <rfmt sheetId="2" sqref="HN719" start="0" length="0">
      <dxf/>
    </rfmt>
    <rfmt sheetId="2" sqref="HO719" start="0" length="0">
      <dxf/>
    </rfmt>
    <rfmt sheetId="2" sqref="HP719" start="0" length="0">
      <dxf/>
    </rfmt>
    <rfmt sheetId="2" sqref="HQ719" start="0" length="0">
      <dxf/>
    </rfmt>
    <rfmt sheetId="2" sqref="HR719" start="0" length="0">
      <dxf/>
    </rfmt>
    <rfmt sheetId="2" sqref="HS719" start="0" length="0">
      <dxf/>
    </rfmt>
    <rfmt sheetId="2" sqref="HT719" start="0" length="0">
      <dxf/>
    </rfmt>
    <rfmt sheetId="2" sqref="HU719" start="0" length="0">
      <dxf/>
    </rfmt>
    <rfmt sheetId="2" sqref="HV719" start="0" length="0">
      <dxf/>
    </rfmt>
    <rfmt sheetId="2" sqref="HW719" start="0" length="0">
      <dxf/>
    </rfmt>
    <rfmt sheetId="2" sqref="HX719" start="0" length="0">
      <dxf/>
    </rfmt>
    <rfmt sheetId="2" sqref="HY719" start="0" length="0">
      <dxf/>
    </rfmt>
    <rfmt sheetId="2" sqref="HZ719" start="0" length="0">
      <dxf/>
    </rfmt>
    <rfmt sheetId="2" sqref="IA719" start="0" length="0">
      <dxf/>
    </rfmt>
    <rfmt sheetId="2" sqref="IB719" start="0" length="0">
      <dxf/>
    </rfmt>
    <rfmt sheetId="2" sqref="IC719" start="0" length="0">
      <dxf/>
    </rfmt>
    <rfmt sheetId="2" sqref="ID719" start="0" length="0">
      <dxf/>
    </rfmt>
    <rfmt sheetId="2" sqref="IE719" start="0" length="0">
      <dxf/>
    </rfmt>
    <rfmt sheetId="2" sqref="IF719" start="0" length="0">
      <dxf/>
    </rfmt>
    <rfmt sheetId="2" sqref="IG719" start="0" length="0">
      <dxf/>
    </rfmt>
    <rfmt sheetId="2" sqref="IH719" start="0" length="0">
      <dxf/>
    </rfmt>
    <rfmt sheetId="2" sqref="II719" start="0" length="0">
      <dxf/>
    </rfmt>
    <rfmt sheetId="2" sqref="IJ719" start="0" length="0">
      <dxf/>
    </rfmt>
    <rfmt sheetId="2" sqref="IK719" start="0" length="0">
      <dxf/>
    </rfmt>
    <rfmt sheetId="2" sqref="IL719" start="0" length="0">
      <dxf/>
    </rfmt>
    <rfmt sheetId="2" sqref="IM719" start="0" length="0">
      <dxf/>
    </rfmt>
    <rfmt sheetId="2" sqref="IN719" start="0" length="0">
      <dxf/>
    </rfmt>
    <rfmt sheetId="2" sqref="IO719" start="0" length="0">
      <dxf/>
    </rfmt>
    <rfmt sheetId="2" sqref="IP719" start="0" length="0">
      <dxf/>
    </rfmt>
    <rfmt sheetId="2" sqref="IQ719" start="0" length="0">
      <dxf/>
    </rfmt>
    <rfmt sheetId="2" sqref="IR719" start="0" length="0">
      <dxf/>
    </rfmt>
    <rfmt sheetId="2" sqref="IS719" start="0" length="0">
      <dxf/>
    </rfmt>
    <rfmt sheetId="2" sqref="IT719" start="0" length="0">
      <dxf/>
    </rfmt>
    <rfmt sheetId="2" sqref="IU719" start="0" length="0">
      <dxf/>
    </rfmt>
    <rfmt sheetId="2" sqref="IV719" start="0" length="0">
      <dxf/>
    </rfmt>
    <rfmt sheetId="2" sqref="IW719" start="0" length="0">
      <dxf/>
    </rfmt>
    <rfmt sheetId="2" sqref="IX719" start="0" length="0">
      <dxf/>
    </rfmt>
    <rfmt sheetId="2" sqref="IY719" start="0" length="0">
      <dxf/>
    </rfmt>
    <rfmt sheetId="2" sqref="IZ719" start="0" length="0">
      <dxf/>
    </rfmt>
    <rfmt sheetId="2" sqref="JA719" start="0" length="0">
      <dxf/>
    </rfmt>
    <rfmt sheetId="2" sqref="JB719" start="0" length="0">
      <dxf/>
    </rfmt>
    <rfmt sheetId="2" sqref="JC719" start="0" length="0">
      <dxf/>
    </rfmt>
    <rfmt sheetId="2" sqref="JD719" start="0" length="0">
      <dxf/>
    </rfmt>
    <rfmt sheetId="2" sqref="JE719" start="0" length="0">
      <dxf/>
    </rfmt>
    <rfmt sheetId="2" sqref="JF719" start="0" length="0">
      <dxf/>
    </rfmt>
    <rfmt sheetId="2" sqref="JG719" start="0" length="0">
      <dxf/>
    </rfmt>
    <rfmt sheetId="2" sqref="JH719" start="0" length="0">
      <dxf/>
    </rfmt>
    <rfmt sheetId="2" sqref="JI719" start="0" length="0">
      <dxf/>
    </rfmt>
    <rfmt sheetId="2" sqref="JJ719" start="0" length="0">
      <dxf/>
    </rfmt>
    <rfmt sheetId="2" sqref="JK719" start="0" length="0">
      <dxf/>
    </rfmt>
    <rfmt sheetId="2" sqref="JL719" start="0" length="0">
      <dxf/>
    </rfmt>
    <rfmt sheetId="2" sqref="JM719" start="0" length="0">
      <dxf/>
    </rfmt>
    <rfmt sheetId="2" sqref="JN719" start="0" length="0">
      <dxf/>
    </rfmt>
    <rfmt sheetId="2" sqref="JO719" start="0" length="0">
      <dxf/>
    </rfmt>
    <rfmt sheetId="2" sqref="JP719" start="0" length="0">
      <dxf/>
    </rfmt>
    <rfmt sheetId="2" sqref="JQ719" start="0" length="0">
      <dxf/>
    </rfmt>
    <rfmt sheetId="2" sqref="JR719" start="0" length="0">
      <dxf/>
    </rfmt>
    <rfmt sheetId="2" sqref="JS719" start="0" length="0">
      <dxf/>
    </rfmt>
    <rfmt sheetId="2" sqref="JT719" start="0" length="0">
      <dxf/>
    </rfmt>
    <rfmt sheetId="2" sqref="JU719" start="0" length="0">
      <dxf/>
    </rfmt>
    <rfmt sheetId="2" sqref="JV719" start="0" length="0">
      <dxf/>
    </rfmt>
    <rfmt sheetId="2" sqref="JW719" start="0" length="0">
      <dxf/>
    </rfmt>
    <rfmt sheetId="2" sqref="JX719" start="0" length="0">
      <dxf/>
    </rfmt>
    <rfmt sheetId="2" sqref="JY719" start="0" length="0">
      <dxf/>
    </rfmt>
    <rfmt sheetId="2" sqref="JZ719" start="0" length="0">
      <dxf/>
    </rfmt>
    <rfmt sheetId="2" sqref="KA719" start="0" length="0">
      <dxf/>
    </rfmt>
    <rfmt sheetId="2" sqref="KB719" start="0" length="0">
      <dxf/>
    </rfmt>
    <rfmt sheetId="2" sqref="KC719" start="0" length="0">
      <dxf/>
    </rfmt>
    <rfmt sheetId="2" sqref="KD719" start="0" length="0">
      <dxf/>
    </rfmt>
    <rfmt sheetId="2" sqref="KE719" start="0" length="0">
      <dxf/>
    </rfmt>
    <rfmt sheetId="2" sqref="KF719" start="0" length="0">
      <dxf/>
    </rfmt>
    <rfmt sheetId="2" sqref="KG719" start="0" length="0">
      <dxf/>
    </rfmt>
    <rfmt sheetId="2" sqref="KH719" start="0" length="0">
      <dxf/>
    </rfmt>
    <rfmt sheetId="2" sqref="KI719" start="0" length="0">
      <dxf/>
    </rfmt>
    <rfmt sheetId="2" sqref="KJ719" start="0" length="0">
      <dxf/>
    </rfmt>
    <rfmt sheetId="2" sqref="KK719" start="0" length="0">
      <dxf/>
    </rfmt>
    <rfmt sheetId="2" sqref="KL719" start="0" length="0">
      <dxf/>
    </rfmt>
    <rfmt sheetId="2" sqref="KM719" start="0" length="0">
      <dxf/>
    </rfmt>
    <rfmt sheetId="2" sqref="KN719" start="0" length="0">
      <dxf/>
    </rfmt>
    <rfmt sheetId="2" sqref="KO719" start="0" length="0">
      <dxf/>
    </rfmt>
    <rfmt sheetId="2" sqref="KP719" start="0" length="0">
      <dxf/>
    </rfmt>
    <rfmt sheetId="2" sqref="KQ719" start="0" length="0">
      <dxf/>
    </rfmt>
    <rfmt sheetId="2" sqref="KR719" start="0" length="0">
      <dxf/>
    </rfmt>
    <rfmt sheetId="2" sqref="KS719" start="0" length="0">
      <dxf/>
    </rfmt>
    <rfmt sheetId="2" sqref="KT719" start="0" length="0">
      <dxf/>
    </rfmt>
    <rfmt sheetId="2" sqref="KU719" start="0" length="0">
      <dxf/>
    </rfmt>
    <rfmt sheetId="2" sqref="KV719" start="0" length="0">
      <dxf/>
    </rfmt>
    <rfmt sheetId="2" sqref="KW719" start="0" length="0">
      <dxf/>
    </rfmt>
    <rfmt sheetId="2" sqref="KX719" start="0" length="0">
      <dxf/>
    </rfmt>
    <rfmt sheetId="2" sqref="KY719" start="0" length="0">
      <dxf/>
    </rfmt>
    <rfmt sheetId="2" sqref="KZ719" start="0" length="0">
      <dxf/>
    </rfmt>
    <rfmt sheetId="2" sqref="LA719" start="0" length="0">
      <dxf/>
    </rfmt>
    <rfmt sheetId="2" sqref="LB719" start="0" length="0">
      <dxf/>
    </rfmt>
    <rfmt sheetId="2" sqref="LC719" start="0" length="0">
      <dxf/>
    </rfmt>
    <rfmt sheetId="2" sqref="LD719" start="0" length="0">
      <dxf/>
    </rfmt>
    <rfmt sheetId="2" sqref="LE719" start="0" length="0">
      <dxf/>
    </rfmt>
    <rfmt sheetId="2" sqref="LF719" start="0" length="0">
      <dxf/>
    </rfmt>
    <rfmt sheetId="2" sqref="LG719" start="0" length="0">
      <dxf/>
    </rfmt>
    <rfmt sheetId="2" sqref="LH719" start="0" length="0">
      <dxf/>
    </rfmt>
    <rfmt sheetId="2" sqref="LI719" start="0" length="0">
      <dxf/>
    </rfmt>
    <rfmt sheetId="2" sqref="LJ719" start="0" length="0">
      <dxf/>
    </rfmt>
    <rfmt sheetId="2" sqref="LK719" start="0" length="0">
      <dxf/>
    </rfmt>
    <rfmt sheetId="2" sqref="LL719" start="0" length="0">
      <dxf/>
    </rfmt>
    <rfmt sheetId="2" sqref="LM719" start="0" length="0">
      <dxf/>
    </rfmt>
    <rfmt sheetId="2" sqref="LN719" start="0" length="0">
      <dxf/>
    </rfmt>
    <rfmt sheetId="2" sqref="LO719" start="0" length="0">
      <dxf/>
    </rfmt>
    <rfmt sheetId="2" sqref="LP719" start="0" length="0">
      <dxf/>
    </rfmt>
    <rfmt sheetId="2" sqref="LQ719" start="0" length="0">
      <dxf/>
    </rfmt>
    <rfmt sheetId="2" sqref="LR719" start="0" length="0">
      <dxf/>
    </rfmt>
    <rfmt sheetId="2" sqref="LS719" start="0" length="0">
      <dxf/>
    </rfmt>
    <rfmt sheetId="2" sqref="LT719" start="0" length="0">
      <dxf/>
    </rfmt>
    <rfmt sheetId="2" sqref="LU719" start="0" length="0">
      <dxf/>
    </rfmt>
    <rfmt sheetId="2" sqref="LV719" start="0" length="0">
      <dxf/>
    </rfmt>
    <rfmt sheetId="2" sqref="LW719" start="0" length="0">
      <dxf/>
    </rfmt>
    <rfmt sheetId="2" sqref="LX719" start="0" length="0">
      <dxf/>
    </rfmt>
    <rfmt sheetId="2" sqref="LY719" start="0" length="0">
      <dxf/>
    </rfmt>
    <rfmt sheetId="2" sqref="LZ719" start="0" length="0">
      <dxf/>
    </rfmt>
    <rfmt sheetId="2" sqref="MA719" start="0" length="0">
      <dxf/>
    </rfmt>
    <rfmt sheetId="2" sqref="MB719" start="0" length="0">
      <dxf/>
    </rfmt>
  </rm>
  <rrc rId="26" sId="2" ref="A727:XFD727" action="deleteRow">
    <undo index="0" exp="area" ref3D="1" dr="$A$1:$A$1048576" dn="Z_8578D927_8BDE_4C99_A2DB_3E44DFA36FF2_.wvu.Cols" sId="2"/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  <rfmt sheetId="2" xfDxf="1" sqref="A727:XFD727" start="0" length="0">
      <dxf>
        <font>
          <sz val="10"/>
          <name val="Arial"/>
          <scheme val="none"/>
        </font>
        <alignment horizontal="center" readingOrder="0"/>
      </dxf>
    </rfmt>
    <rfmt sheetId="2" sqref="A72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2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2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2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2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27" start="0" length="0">
      <dxf>
        <numFmt numFmtId="176" formatCode="m/d;@"/>
      </dxf>
    </rfmt>
    <rfmt sheetId="2" sqref="O72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27" start="0" length="0">
      <dxf/>
    </rfmt>
    <rfmt sheetId="2" sqref="U727" start="0" length="0">
      <dxf/>
    </rfmt>
    <rfmt sheetId="2" sqref="V727" start="0" length="0">
      <dxf/>
    </rfmt>
    <rfmt sheetId="2" sqref="W727" start="0" length="0">
      <dxf/>
    </rfmt>
    <rfmt sheetId="2" sqref="X727" start="0" length="0">
      <dxf/>
    </rfmt>
    <rfmt sheetId="2" sqref="Y727" start="0" length="0">
      <dxf/>
    </rfmt>
    <rfmt sheetId="2" sqref="Z727" start="0" length="0">
      <dxf/>
    </rfmt>
    <rfmt sheetId="2" sqref="AA727" start="0" length="0">
      <dxf/>
    </rfmt>
    <rfmt sheetId="2" sqref="AB727" start="0" length="0">
      <dxf/>
    </rfmt>
    <rfmt sheetId="2" sqref="AC727" start="0" length="0">
      <dxf/>
    </rfmt>
    <rfmt sheetId="2" sqref="AD727" start="0" length="0">
      <dxf/>
    </rfmt>
    <rfmt sheetId="2" sqref="AE727" start="0" length="0">
      <dxf/>
    </rfmt>
    <rfmt sheetId="2" sqref="AF727" start="0" length="0">
      <dxf/>
    </rfmt>
    <rfmt sheetId="2" sqref="AG727" start="0" length="0">
      <dxf/>
    </rfmt>
    <rfmt sheetId="2" sqref="AH727" start="0" length="0">
      <dxf/>
    </rfmt>
    <rfmt sheetId="2" sqref="AI727" start="0" length="0">
      <dxf/>
    </rfmt>
    <rfmt sheetId="2" sqref="AJ727" start="0" length="0">
      <dxf/>
    </rfmt>
    <rfmt sheetId="2" sqref="AK727" start="0" length="0">
      <dxf/>
    </rfmt>
    <rfmt sheetId="2" sqref="AL727" start="0" length="0">
      <dxf/>
    </rfmt>
    <rfmt sheetId="2" sqref="AM727" start="0" length="0">
      <dxf/>
    </rfmt>
    <rfmt sheetId="2" sqref="AN727" start="0" length="0">
      <dxf/>
    </rfmt>
    <rfmt sheetId="2" sqref="AO727" start="0" length="0">
      <dxf/>
    </rfmt>
    <rfmt sheetId="2" sqref="AP727" start="0" length="0">
      <dxf/>
    </rfmt>
    <rfmt sheetId="2" sqref="AQ727" start="0" length="0">
      <dxf/>
    </rfmt>
    <rfmt sheetId="2" sqref="AR727" start="0" length="0">
      <dxf/>
    </rfmt>
    <rfmt sheetId="2" sqref="AS727" start="0" length="0">
      <dxf/>
    </rfmt>
    <rfmt sheetId="2" sqref="AT727" start="0" length="0">
      <dxf/>
    </rfmt>
    <rfmt sheetId="2" sqref="AU727" start="0" length="0">
      <dxf/>
    </rfmt>
    <rfmt sheetId="2" sqref="AV727" start="0" length="0">
      <dxf/>
    </rfmt>
    <rfmt sheetId="2" sqref="AW727" start="0" length="0">
      <dxf/>
    </rfmt>
    <rfmt sheetId="2" sqref="AX727" start="0" length="0">
      <dxf/>
    </rfmt>
    <rfmt sheetId="2" sqref="AY727" start="0" length="0">
      <dxf/>
    </rfmt>
    <rfmt sheetId="2" sqref="AZ727" start="0" length="0">
      <dxf/>
    </rfmt>
    <rfmt sheetId="2" sqref="BA727" start="0" length="0">
      <dxf/>
    </rfmt>
    <rfmt sheetId="2" sqref="BB727" start="0" length="0">
      <dxf/>
    </rfmt>
    <rfmt sheetId="2" sqref="BC727" start="0" length="0">
      <dxf/>
    </rfmt>
    <rfmt sheetId="2" sqref="BD727" start="0" length="0">
      <dxf/>
    </rfmt>
    <rfmt sheetId="2" sqref="BE727" start="0" length="0">
      <dxf/>
    </rfmt>
    <rfmt sheetId="2" sqref="BF727" start="0" length="0">
      <dxf/>
    </rfmt>
    <rfmt sheetId="2" sqref="BG727" start="0" length="0">
      <dxf/>
    </rfmt>
    <rfmt sheetId="2" sqref="BH727" start="0" length="0">
      <dxf/>
    </rfmt>
    <rfmt sheetId="2" sqref="BI727" start="0" length="0">
      <dxf/>
    </rfmt>
    <rfmt sheetId="2" sqref="BJ727" start="0" length="0">
      <dxf/>
    </rfmt>
    <rfmt sheetId="2" sqref="BK727" start="0" length="0">
      <dxf/>
    </rfmt>
    <rfmt sheetId="2" sqref="BL727" start="0" length="0">
      <dxf/>
    </rfmt>
    <rfmt sheetId="2" sqref="BM727" start="0" length="0">
      <dxf/>
    </rfmt>
    <rfmt sheetId="2" sqref="BN727" start="0" length="0">
      <dxf/>
    </rfmt>
    <rfmt sheetId="2" sqref="BO727" start="0" length="0">
      <dxf/>
    </rfmt>
    <rfmt sheetId="2" sqref="BP727" start="0" length="0">
      <dxf/>
    </rfmt>
    <rfmt sheetId="2" sqref="BQ727" start="0" length="0">
      <dxf/>
    </rfmt>
    <rfmt sheetId="2" sqref="BR727" start="0" length="0">
      <dxf/>
    </rfmt>
    <rfmt sheetId="2" sqref="BS727" start="0" length="0">
      <dxf/>
    </rfmt>
    <rfmt sheetId="2" sqref="BT727" start="0" length="0">
      <dxf/>
    </rfmt>
    <rfmt sheetId="2" sqref="BU727" start="0" length="0">
      <dxf/>
    </rfmt>
    <rfmt sheetId="2" sqref="BV727" start="0" length="0">
      <dxf/>
    </rfmt>
    <rfmt sheetId="2" sqref="BW727" start="0" length="0">
      <dxf/>
    </rfmt>
    <rfmt sheetId="2" sqref="BX727" start="0" length="0">
      <dxf/>
    </rfmt>
    <rfmt sheetId="2" sqref="BY727" start="0" length="0">
      <dxf/>
    </rfmt>
    <rfmt sheetId="2" sqref="BZ727" start="0" length="0">
      <dxf/>
    </rfmt>
    <rfmt sheetId="2" sqref="CA727" start="0" length="0">
      <dxf/>
    </rfmt>
    <rfmt sheetId="2" sqref="CB727" start="0" length="0">
      <dxf/>
    </rfmt>
    <rfmt sheetId="2" sqref="CC727" start="0" length="0">
      <dxf/>
    </rfmt>
    <rfmt sheetId="2" sqref="CD727" start="0" length="0">
      <dxf/>
    </rfmt>
    <rfmt sheetId="2" sqref="CE727" start="0" length="0">
      <dxf/>
    </rfmt>
    <rfmt sheetId="2" sqref="CF727" start="0" length="0">
      <dxf/>
    </rfmt>
    <rfmt sheetId="2" sqref="CG727" start="0" length="0">
      <dxf/>
    </rfmt>
    <rfmt sheetId="2" sqref="CH727" start="0" length="0">
      <dxf/>
    </rfmt>
    <rfmt sheetId="2" sqref="CI727" start="0" length="0">
      <dxf/>
    </rfmt>
    <rfmt sheetId="2" sqref="CJ727" start="0" length="0">
      <dxf/>
    </rfmt>
    <rfmt sheetId="2" sqref="CK727" start="0" length="0">
      <dxf/>
    </rfmt>
    <rfmt sheetId="2" sqref="CL727" start="0" length="0">
      <dxf/>
    </rfmt>
    <rfmt sheetId="2" sqref="CM727" start="0" length="0">
      <dxf/>
    </rfmt>
    <rfmt sheetId="2" sqref="CN727" start="0" length="0">
      <dxf/>
    </rfmt>
    <rfmt sheetId="2" sqref="CO727" start="0" length="0">
      <dxf/>
    </rfmt>
    <rfmt sheetId="2" sqref="CP727" start="0" length="0">
      <dxf/>
    </rfmt>
    <rfmt sheetId="2" sqref="CQ727" start="0" length="0">
      <dxf/>
    </rfmt>
    <rfmt sheetId="2" sqref="CR727" start="0" length="0">
      <dxf/>
    </rfmt>
    <rfmt sheetId="2" sqref="CS727" start="0" length="0">
      <dxf/>
    </rfmt>
    <rfmt sheetId="2" sqref="CT727" start="0" length="0">
      <dxf/>
    </rfmt>
    <rfmt sheetId="2" sqref="CU727" start="0" length="0">
      <dxf/>
    </rfmt>
    <rfmt sheetId="2" sqref="CV727" start="0" length="0">
      <dxf/>
    </rfmt>
    <rfmt sheetId="2" sqref="CW727" start="0" length="0">
      <dxf/>
    </rfmt>
    <rfmt sheetId="2" sqref="CX727" start="0" length="0">
      <dxf/>
    </rfmt>
    <rfmt sheetId="2" sqref="CY727" start="0" length="0">
      <dxf/>
    </rfmt>
    <rfmt sheetId="2" sqref="CZ727" start="0" length="0">
      <dxf/>
    </rfmt>
    <rfmt sheetId="2" sqref="DA727" start="0" length="0">
      <dxf/>
    </rfmt>
    <rfmt sheetId="2" sqref="DB727" start="0" length="0">
      <dxf/>
    </rfmt>
    <rfmt sheetId="2" sqref="DC727" start="0" length="0">
      <dxf/>
    </rfmt>
    <rfmt sheetId="2" sqref="DD727" start="0" length="0">
      <dxf/>
    </rfmt>
    <rfmt sheetId="2" sqref="DE727" start="0" length="0">
      <dxf/>
    </rfmt>
    <rfmt sheetId="2" sqref="DF727" start="0" length="0">
      <dxf/>
    </rfmt>
    <rfmt sheetId="2" sqref="DG727" start="0" length="0">
      <dxf/>
    </rfmt>
    <rfmt sheetId="2" sqref="DH727" start="0" length="0">
      <dxf/>
    </rfmt>
    <rfmt sheetId="2" sqref="DI727" start="0" length="0">
      <dxf/>
    </rfmt>
    <rfmt sheetId="2" sqref="DJ727" start="0" length="0">
      <dxf/>
    </rfmt>
    <rfmt sheetId="2" sqref="DK727" start="0" length="0">
      <dxf/>
    </rfmt>
    <rfmt sheetId="2" sqref="DL727" start="0" length="0">
      <dxf/>
    </rfmt>
    <rfmt sheetId="2" sqref="DM727" start="0" length="0">
      <dxf/>
    </rfmt>
    <rfmt sheetId="2" sqref="DN727" start="0" length="0">
      <dxf/>
    </rfmt>
    <rfmt sheetId="2" sqref="DO727" start="0" length="0">
      <dxf/>
    </rfmt>
    <rfmt sheetId="2" sqref="DP727" start="0" length="0">
      <dxf/>
    </rfmt>
    <rfmt sheetId="2" sqref="DQ727" start="0" length="0">
      <dxf/>
    </rfmt>
    <rfmt sheetId="2" sqref="DR727" start="0" length="0">
      <dxf/>
    </rfmt>
    <rfmt sheetId="2" sqref="DS727" start="0" length="0">
      <dxf/>
    </rfmt>
    <rfmt sheetId="2" sqref="DT727" start="0" length="0">
      <dxf/>
    </rfmt>
    <rfmt sheetId="2" sqref="DU727" start="0" length="0">
      <dxf/>
    </rfmt>
    <rfmt sheetId="2" sqref="DV727" start="0" length="0">
      <dxf/>
    </rfmt>
    <rfmt sheetId="2" sqref="DW727" start="0" length="0">
      <dxf/>
    </rfmt>
    <rfmt sheetId="2" sqref="DX727" start="0" length="0">
      <dxf/>
    </rfmt>
    <rfmt sheetId="2" sqref="DY727" start="0" length="0">
      <dxf/>
    </rfmt>
    <rfmt sheetId="2" sqref="DZ727" start="0" length="0">
      <dxf/>
    </rfmt>
    <rfmt sheetId="2" sqref="EA727" start="0" length="0">
      <dxf/>
    </rfmt>
    <rfmt sheetId="2" sqref="EB727" start="0" length="0">
      <dxf/>
    </rfmt>
    <rfmt sheetId="2" sqref="EC727" start="0" length="0">
      <dxf/>
    </rfmt>
    <rfmt sheetId="2" sqref="ED727" start="0" length="0">
      <dxf/>
    </rfmt>
    <rfmt sheetId="2" sqref="EE727" start="0" length="0">
      <dxf/>
    </rfmt>
    <rfmt sheetId="2" sqref="EF727" start="0" length="0">
      <dxf/>
    </rfmt>
    <rfmt sheetId="2" sqref="EG727" start="0" length="0">
      <dxf/>
    </rfmt>
    <rfmt sheetId="2" sqref="EH727" start="0" length="0">
      <dxf/>
    </rfmt>
    <rfmt sheetId="2" sqref="EI727" start="0" length="0">
      <dxf/>
    </rfmt>
    <rfmt sheetId="2" sqref="EJ727" start="0" length="0">
      <dxf/>
    </rfmt>
    <rfmt sheetId="2" sqref="EK727" start="0" length="0">
      <dxf/>
    </rfmt>
    <rfmt sheetId="2" sqref="EL727" start="0" length="0">
      <dxf/>
    </rfmt>
    <rfmt sheetId="2" sqref="EM727" start="0" length="0">
      <dxf/>
    </rfmt>
    <rfmt sheetId="2" sqref="EN727" start="0" length="0">
      <dxf/>
    </rfmt>
    <rfmt sheetId="2" sqref="EO727" start="0" length="0">
      <dxf/>
    </rfmt>
    <rfmt sheetId="2" sqref="EP727" start="0" length="0">
      <dxf/>
    </rfmt>
    <rfmt sheetId="2" sqref="EQ727" start="0" length="0">
      <dxf/>
    </rfmt>
    <rfmt sheetId="2" sqref="ER727" start="0" length="0">
      <dxf/>
    </rfmt>
    <rfmt sheetId="2" sqref="ES727" start="0" length="0">
      <dxf/>
    </rfmt>
    <rfmt sheetId="2" sqref="ET727" start="0" length="0">
      <dxf/>
    </rfmt>
    <rfmt sheetId="2" sqref="EU727" start="0" length="0">
      <dxf/>
    </rfmt>
    <rfmt sheetId="2" sqref="EV727" start="0" length="0">
      <dxf/>
    </rfmt>
    <rfmt sheetId="2" sqref="EW727" start="0" length="0">
      <dxf/>
    </rfmt>
    <rfmt sheetId="2" sqref="EX727" start="0" length="0">
      <dxf/>
    </rfmt>
    <rfmt sheetId="2" sqref="EY727" start="0" length="0">
      <dxf/>
    </rfmt>
    <rfmt sheetId="2" sqref="EZ727" start="0" length="0">
      <dxf/>
    </rfmt>
    <rfmt sheetId="2" sqref="FA727" start="0" length="0">
      <dxf/>
    </rfmt>
    <rfmt sheetId="2" sqref="FB727" start="0" length="0">
      <dxf/>
    </rfmt>
    <rfmt sheetId="2" sqref="FC727" start="0" length="0">
      <dxf/>
    </rfmt>
    <rfmt sheetId="2" sqref="FD727" start="0" length="0">
      <dxf/>
    </rfmt>
    <rfmt sheetId="2" sqref="FE727" start="0" length="0">
      <dxf/>
    </rfmt>
    <rfmt sheetId="2" sqref="FF727" start="0" length="0">
      <dxf/>
    </rfmt>
    <rfmt sheetId="2" sqref="FG727" start="0" length="0">
      <dxf/>
    </rfmt>
    <rfmt sheetId="2" sqref="FH727" start="0" length="0">
      <dxf/>
    </rfmt>
    <rfmt sheetId="2" sqref="FI727" start="0" length="0">
      <dxf/>
    </rfmt>
    <rfmt sheetId="2" sqref="FJ727" start="0" length="0">
      <dxf/>
    </rfmt>
    <rfmt sheetId="2" sqref="FK727" start="0" length="0">
      <dxf/>
    </rfmt>
    <rfmt sheetId="2" sqref="FL727" start="0" length="0">
      <dxf/>
    </rfmt>
    <rfmt sheetId="2" sqref="FM727" start="0" length="0">
      <dxf/>
    </rfmt>
    <rfmt sheetId="2" sqref="FN727" start="0" length="0">
      <dxf/>
    </rfmt>
    <rfmt sheetId="2" sqref="FO727" start="0" length="0">
      <dxf/>
    </rfmt>
    <rfmt sheetId="2" sqref="FP727" start="0" length="0">
      <dxf/>
    </rfmt>
    <rfmt sheetId="2" sqref="FQ727" start="0" length="0">
      <dxf/>
    </rfmt>
    <rfmt sheetId="2" sqref="FR727" start="0" length="0">
      <dxf/>
    </rfmt>
    <rfmt sheetId="2" sqref="FS727" start="0" length="0">
      <dxf/>
    </rfmt>
    <rfmt sheetId="2" sqref="FT727" start="0" length="0">
      <dxf/>
    </rfmt>
    <rfmt sheetId="2" sqref="FU727" start="0" length="0">
      <dxf/>
    </rfmt>
    <rfmt sheetId="2" sqref="FV727" start="0" length="0">
      <dxf/>
    </rfmt>
    <rfmt sheetId="2" sqref="FW727" start="0" length="0">
      <dxf/>
    </rfmt>
    <rfmt sheetId="2" sqref="FX727" start="0" length="0">
      <dxf/>
    </rfmt>
    <rfmt sheetId="2" sqref="FY727" start="0" length="0">
      <dxf/>
    </rfmt>
    <rfmt sheetId="2" sqref="FZ727" start="0" length="0">
      <dxf/>
    </rfmt>
    <rfmt sheetId="2" sqref="GA727" start="0" length="0">
      <dxf/>
    </rfmt>
    <rfmt sheetId="2" sqref="GB727" start="0" length="0">
      <dxf/>
    </rfmt>
    <rfmt sheetId="2" sqref="GC727" start="0" length="0">
      <dxf/>
    </rfmt>
    <rfmt sheetId="2" sqref="GD727" start="0" length="0">
      <dxf/>
    </rfmt>
    <rfmt sheetId="2" sqref="GE727" start="0" length="0">
      <dxf/>
    </rfmt>
    <rfmt sheetId="2" sqref="GF727" start="0" length="0">
      <dxf/>
    </rfmt>
    <rfmt sheetId="2" sqref="GG727" start="0" length="0">
      <dxf/>
    </rfmt>
    <rfmt sheetId="2" sqref="GH727" start="0" length="0">
      <dxf/>
    </rfmt>
    <rfmt sheetId="2" sqref="GI727" start="0" length="0">
      <dxf/>
    </rfmt>
    <rfmt sheetId="2" sqref="GJ727" start="0" length="0">
      <dxf/>
    </rfmt>
    <rfmt sheetId="2" sqref="GK727" start="0" length="0">
      <dxf/>
    </rfmt>
    <rfmt sheetId="2" sqref="GL727" start="0" length="0">
      <dxf/>
    </rfmt>
    <rfmt sheetId="2" sqref="GM727" start="0" length="0">
      <dxf/>
    </rfmt>
    <rfmt sheetId="2" sqref="GN727" start="0" length="0">
      <dxf/>
    </rfmt>
    <rfmt sheetId="2" sqref="GO727" start="0" length="0">
      <dxf/>
    </rfmt>
    <rfmt sheetId="2" sqref="GP727" start="0" length="0">
      <dxf/>
    </rfmt>
    <rfmt sheetId="2" sqref="GQ727" start="0" length="0">
      <dxf/>
    </rfmt>
    <rfmt sheetId="2" sqref="GR727" start="0" length="0">
      <dxf/>
    </rfmt>
    <rfmt sheetId="2" sqref="GS727" start="0" length="0">
      <dxf/>
    </rfmt>
    <rfmt sheetId="2" sqref="GT727" start="0" length="0">
      <dxf/>
    </rfmt>
    <rfmt sheetId="2" sqref="GU727" start="0" length="0">
      <dxf/>
    </rfmt>
    <rfmt sheetId="2" sqref="GV727" start="0" length="0">
      <dxf/>
    </rfmt>
    <rfmt sheetId="2" sqref="GW727" start="0" length="0">
      <dxf/>
    </rfmt>
    <rfmt sheetId="2" sqref="GX727" start="0" length="0">
      <dxf/>
    </rfmt>
    <rfmt sheetId="2" sqref="GY727" start="0" length="0">
      <dxf/>
    </rfmt>
    <rfmt sheetId="2" sqref="GZ727" start="0" length="0">
      <dxf/>
    </rfmt>
    <rfmt sheetId="2" sqref="HA727" start="0" length="0">
      <dxf/>
    </rfmt>
    <rfmt sheetId="2" sqref="HB727" start="0" length="0">
      <dxf/>
    </rfmt>
    <rfmt sheetId="2" sqref="HC727" start="0" length="0">
      <dxf/>
    </rfmt>
    <rfmt sheetId="2" sqref="HD727" start="0" length="0">
      <dxf/>
    </rfmt>
    <rfmt sheetId="2" sqref="HE727" start="0" length="0">
      <dxf/>
    </rfmt>
    <rfmt sheetId="2" sqref="HF727" start="0" length="0">
      <dxf/>
    </rfmt>
    <rfmt sheetId="2" sqref="HG727" start="0" length="0">
      <dxf/>
    </rfmt>
    <rfmt sheetId="2" sqref="HH727" start="0" length="0">
      <dxf/>
    </rfmt>
    <rfmt sheetId="2" sqref="HI727" start="0" length="0">
      <dxf/>
    </rfmt>
    <rfmt sheetId="2" sqref="HJ727" start="0" length="0">
      <dxf/>
    </rfmt>
    <rfmt sheetId="2" sqref="HK727" start="0" length="0">
      <dxf/>
    </rfmt>
    <rfmt sheetId="2" sqref="HL727" start="0" length="0">
      <dxf/>
    </rfmt>
    <rfmt sheetId="2" sqref="HM727" start="0" length="0">
      <dxf/>
    </rfmt>
    <rfmt sheetId="2" sqref="HN727" start="0" length="0">
      <dxf/>
    </rfmt>
    <rfmt sheetId="2" sqref="HO727" start="0" length="0">
      <dxf/>
    </rfmt>
    <rfmt sheetId="2" sqref="HP727" start="0" length="0">
      <dxf/>
    </rfmt>
    <rfmt sheetId="2" sqref="HQ727" start="0" length="0">
      <dxf/>
    </rfmt>
    <rfmt sheetId="2" sqref="HR727" start="0" length="0">
      <dxf/>
    </rfmt>
    <rfmt sheetId="2" sqref="HS727" start="0" length="0">
      <dxf/>
    </rfmt>
    <rfmt sheetId="2" sqref="HT727" start="0" length="0">
      <dxf/>
    </rfmt>
    <rfmt sheetId="2" sqref="HU727" start="0" length="0">
      <dxf/>
    </rfmt>
    <rfmt sheetId="2" sqref="HV727" start="0" length="0">
      <dxf/>
    </rfmt>
    <rfmt sheetId="2" sqref="HW727" start="0" length="0">
      <dxf/>
    </rfmt>
    <rfmt sheetId="2" sqref="HX727" start="0" length="0">
      <dxf/>
    </rfmt>
    <rfmt sheetId="2" sqref="HY727" start="0" length="0">
      <dxf/>
    </rfmt>
    <rfmt sheetId="2" sqref="HZ727" start="0" length="0">
      <dxf/>
    </rfmt>
    <rfmt sheetId="2" sqref="IA727" start="0" length="0">
      <dxf/>
    </rfmt>
    <rfmt sheetId="2" sqref="IB727" start="0" length="0">
      <dxf/>
    </rfmt>
    <rfmt sheetId="2" sqref="IC727" start="0" length="0">
      <dxf/>
    </rfmt>
    <rfmt sheetId="2" sqref="ID727" start="0" length="0">
      <dxf/>
    </rfmt>
    <rfmt sheetId="2" sqref="IE727" start="0" length="0">
      <dxf/>
    </rfmt>
    <rfmt sheetId="2" sqref="IF727" start="0" length="0">
      <dxf/>
    </rfmt>
    <rfmt sheetId="2" sqref="IG727" start="0" length="0">
      <dxf/>
    </rfmt>
    <rfmt sheetId="2" sqref="IH727" start="0" length="0">
      <dxf/>
    </rfmt>
    <rfmt sheetId="2" sqref="II727" start="0" length="0">
      <dxf/>
    </rfmt>
    <rfmt sheetId="2" sqref="IJ727" start="0" length="0">
      <dxf/>
    </rfmt>
    <rfmt sheetId="2" sqref="IK727" start="0" length="0">
      <dxf/>
    </rfmt>
    <rfmt sheetId="2" sqref="IL727" start="0" length="0">
      <dxf/>
    </rfmt>
    <rfmt sheetId="2" sqref="IM727" start="0" length="0">
      <dxf/>
    </rfmt>
    <rfmt sheetId="2" sqref="IN727" start="0" length="0">
      <dxf/>
    </rfmt>
    <rfmt sheetId="2" sqref="IO727" start="0" length="0">
      <dxf/>
    </rfmt>
    <rfmt sheetId="2" sqref="IP727" start="0" length="0">
      <dxf/>
    </rfmt>
    <rfmt sheetId="2" sqref="IQ727" start="0" length="0">
      <dxf/>
    </rfmt>
    <rfmt sheetId="2" sqref="IR727" start="0" length="0">
      <dxf/>
    </rfmt>
    <rfmt sheetId="2" sqref="IS727" start="0" length="0">
      <dxf/>
    </rfmt>
    <rfmt sheetId="2" sqref="IT727" start="0" length="0">
      <dxf/>
    </rfmt>
    <rfmt sheetId="2" sqref="IU727" start="0" length="0">
      <dxf/>
    </rfmt>
    <rfmt sheetId="2" sqref="IV727" start="0" length="0">
      <dxf/>
    </rfmt>
    <rfmt sheetId="2" sqref="IW727" start="0" length="0">
      <dxf/>
    </rfmt>
    <rfmt sheetId="2" sqref="IX727" start="0" length="0">
      <dxf/>
    </rfmt>
    <rfmt sheetId="2" sqref="IY727" start="0" length="0">
      <dxf/>
    </rfmt>
    <rfmt sheetId="2" sqref="IZ727" start="0" length="0">
      <dxf/>
    </rfmt>
    <rfmt sheetId="2" sqref="JA727" start="0" length="0">
      <dxf/>
    </rfmt>
    <rfmt sheetId="2" sqref="JB727" start="0" length="0">
      <dxf/>
    </rfmt>
    <rfmt sheetId="2" sqref="JC727" start="0" length="0">
      <dxf/>
    </rfmt>
    <rfmt sheetId="2" sqref="JD727" start="0" length="0">
      <dxf/>
    </rfmt>
    <rfmt sheetId="2" sqref="JE727" start="0" length="0">
      <dxf/>
    </rfmt>
    <rfmt sheetId="2" sqref="JF727" start="0" length="0">
      <dxf/>
    </rfmt>
    <rfmt sheetId="2" sqref="JG727" start="0" length="0">
      <dxf/>
    </rfmt>
    <rfmt sheetId="2" sqref="JH727" start="0" length="0">
      <dxf/>
    </rfmt>
    <rfmt sheetId="2" sqref="JI727" start="0" length="0">
      <dxf/>
    </rfmt>
    <rfmt sheetId="2" sqref="JJ727" start="0" length="0">
      <dxf/>
    </rfmt>
    <rfmt sheetId="2" sqref="JK727" start="0" length="0">
      <dxf/>
    </rfmt>
    <rfmt sheetId="2" sqref="JL727" start="0" length="0">
      <dxf/>
    </rfmt>
    <rfmt sheetId="2" sqref="JM727" start="0" length="0">
      <dxf/>
    </rfmt>
    <rfmt sheetId="2" sqref="JN727" start="0" length="0">
      <dxf/>
    </rfmt>
    <rfmt sheetId="2" sqref="JO727" start="0" length="0">
      <dxf/>
    </rfmt>
    <rfmt sheetId="2" sqref="JP727" start="0" length="0">
      <dxf/>
    </rfmt>
    <rfmt sheetId="2" sqref="JQ727" start="0" length="0">
      <dxf/>
    </rfmt>
    <rfmt sheetId="2" sqref="JR727" start="0" length="0">
      <dxf/>
    </rfmt>
    <rfmt sheetId="2" sqref="JS727" start="0" length="0">
      <dxf/>
    </rfmt>
    <rfmt sheetId="2" sqref="JT727" start="0" length="0">
      <dxf/>
    </rfmt>
    <rfmt sheetId="2" sqref="JU727" start="0" length="0">
      <dxf/>
    </rfmt>
    <rfmt sheetId="2" sqref="JV727" start="0" length="0">
      <dxf/>
    </rfmt>
    <rfmt sheetId="2" sqref="JW727" start="0" length="0">
      <dxf/>
    </rfmt>
    <rfmt sheetId="2" sqref="JX727" start="0" length="0">
      <dxf/>
    </rfmt>
    <rfmt sheetId="2" sqref="JY727" start="0" length="0">
      <dxf/>
    </rfmt>
    <rfmt sheetId="2" sqref="JZ727" start="0" length="0">
      <dxf/>
    </rfmt>
    <rfmt sheetId="2" sqref="KA727" start="0" length="0">
      <dxf/>
    </rfmt>
    <rfmt sheetId="2" sqref="KB727" start="0" length="0">
      <dxf/>
    </rfmt>
    <rfmt sheetId="2" sqref="KC727" start="0" length="0">
      <dxf/>
    </rfmt>
    <rfmt sheetId="2" sqref="KD727" start="0" length="0">
      <dxf/>
    </rfmt>
    <rfmt sheetId="2" sqref="KE727" start="0" length="0">
      <dxf/>
    </rfmt>
    <rfmt sheetId="2" sqref="KF727" start="0" length="0">
      <dxf/>
    </rfmt>
    <rfmt sheetId="2" sqref="KG727" start="0" length="0">
      <dxf/>
    </rfmt>
    <rfmt sheetId="2" sqref="KH727" start="0" length="0">
      <dxf/>
    </rfmt>
    <rfmt sheetId="2" sqref="KI727" start="0" length="0">
      <dxf/>
    </rfmt>
    <rfmt sheetId="2" sqref="KJ727" start="0" length="0">
      <dxf/>
    </rfmt>
    <rfmt sheetId="2" sqref="KK727" start="0" length="0">
      <dxf/>
    </rfmt>
    <rfmt sheetId="2" sqref="KL727" start="0" length="0">
      <dxf/>
    </rfmt>
    <rfmt sheetId="2" sqref="KM727" start="0" length="0">
      <dxf/>
    </rfmt>
    <rfmt sheetId="2" sqref="KN727" start="0" length="0">
      <dxf/>
    </rfmt>
    <rfmt sheetId="2" sqref="KO727" start="0" length="0">
      <dxf/>
    </rfmt>
    <rfmt sheetId="2" sqref="KP727" start="0" length="0">
      <dxf/>
    </rfmt>
    <rfmt sheetId="2" sqref="KQ727" start="0" length="0">
      <dxf/>
    </rfmt>
    <rfmt sheetId="2" sqref="KR727" start="0" length="0">
      <dxf/>
    </rfmt>
    <rfmt sheetId="2" sqref="KS727" start="0" length="0">
      <dxf/>
    </rfmt>
    <rfmt sheetId="2" sqref="KT727" start="0" length="0">
      <dxf/>
    </rfmt>
    <rfmt sheetId="2" sqref="KU727" start="0" length="0">
      <dxf/>
    </rfmt>
    <rfmt sheetId="2" sqref="KV727" start="0" length="0">
      <dxf/>
    </rfmt>
    <rfmt sheetId="2" sqref="KW727" start="0" length="0">
      <dxf/>
    </rfmt>
    <rfmt sheetId="2" sqref="KX727" start="0" length="0">
      <dxf/>
    </rfmt>
    <rfmt sheetId="2" sqref="KY727" start="0" length="0">
      <dxf/>
    </rfmt>
    <rfmt sheetId="2" sqref="KZ727" start="0" length="0">
      <dxf/>
    </rfmt>
    <rfmt sheetId="2" sqref="LA727" start="0" length="0">
      <dxf/>
    </rfmt>
    <rfmt sheetId="2" sqref="LB727" start="0" length="0">
      <dxf/>
    </rfmt>
    <rfmt sheetId="2" sqref="LC727" start="0" length="0">
      <dxf/>
    </rfmt>
    <rfmt sheetId="2" sqref="LD727" start="0" length="0">
      <dxf/>
    </rfmt>
    <rfmt sheetId="2" sqref="LE727" start="0" length="0">
      <dxf/>
    </rfmt>
    <rfmt sheetId="2" sqref="LF727" start="0" length="0">
      <dxf/>
    </rfmt>
    <rfmt sheetId="2" sqref="LG727" start="0" length="0">
      <dxf/>
    </rfmt>
    <rfmt sheetId="2" sqref="LH727" start="0" length="0">
      <dxf/>
    </rfmt>
    <rfmt sheetId="2" sqref="LI727" start="0" length="0">
      <dxf/>
    </rfmt>
    <rfmt sheetId="2" sqref="LJ727" start="0" length="0">
      <dxf/>
    </rfmt>
    <rfmt sheetId="2" sqref="LK727" start="0" length="0">
      <dxf/>
    </rfmt>
    <rfmt sheetId="2" sqref="LL727" start="0" length="0">
      <dxf/>
    </rfmt>
    <rfmt sheetId="2" sqref="LM727" start="0" length="0">
      <dxf/>
    </rfmt>
    <rfmt sheetId="2" sqref="LN727" start="0" length="0">
      <dxf/>
    </rfmt>
    <rfmt sheetId="2" sqref="LO727" start="0" length="0">
      <dxf/>
    </rfmt>
    <rfmt sheetId="2" sqref="LP727" start="0" length="0">
      <dxf/>
    </rfmt>
    <rfmt sheetId="2" sqref="LQ727" start="0" length="0">
      <dxf/>
    </rfmt>
    <rfmt sheetId="2" sqref="LR727" start="0" length="0">
      <dxf/>
    </rfmt>
    <rfmt sheetId="2" sqref="LS727" start="0" length="0">
      <dxf/>
    </rfmt>
    <rfmt sheetId="2" sqref="LT727" start="0" length="0">
      <dxf/>
    </rfmt>
    <rfmt sheetId="2" sqref="LU727" start="0" length="0">
      <dxf/>
    </rfmt>
    <rfmt sheetId="2" sqref="LV727" start="0" length="0">
      <dxf/>
    </rfmt>
    <rfmt sheetId="2" sqref="LW727" start="0" length="0">
      <dxf/>
    </rfmt>
    <rfmt sheetId="2" sqref="LX727" start="0" length="0">
      <dxf/>
    </rfmt>
    <rfmt sheetId="2" sqref="LY727" start="0" length="0">
      <dxf/>
    </rfmt>
    <rfmt sheetId="2" sqref="LZ727" start="0" length="0">
      <dxf/>
    </rfmt>
    <rfmt sheetId="2" sqref="MA727" start="0" length="0">
      <dxf/>
    </rfmt>
    <rfmt sheetId="2" sqref="MB727" start="0" length="0">
      <dxf/>
    </rfmt>
  </rrc>
  <rcc rId="27" sId="2">
    <nc r="C719" t="inlineStr">
      <is>
        <t>26902E3041</t>
        <phoneticPr fontId="7285" type="noConversion"/>
      </is>
    </nc>
  </rcc>
  <rcc rId="28" sId="2">
    <nc r="C724" t="inlineStr">
      <is>
        <t>26901E3171</t>
        <phoneticPr fontId="7285" type="noConversion"/>
      </is>
    </nc>
  </rcc>
  <rcc rId="29" sId="2">
    <nc r="C725" t="inlineStr">
      <is>
        <t>26901E44J1</t>
        <phoneticPr fontId="7285" type="noConversion"/>
      </is>
    </nc>
  </rcc>
  <rcc rId="30" sId="2">
    <nc r="C726" t="inlineStr">
      <is>
        <t>26902E3061</t>
        <phoneticPr fontId="7285" type="noConversion"/>
      </is>
    </nc>
  </rcc>
  <rcv guid="{8578D927-8BDE-4C99-A2DB-3E44DFA36FF2}" action="delete"/>
  <rdn rId="0" localSheetId="1" customView="1" name="Z_8578D927_8BDE_4C99_A2DB_3E44DFA36FF2_.wvu.PrintArea" hidden="1" oldHidden="1">
    <formula>'IPAHQ(TANK)-竹科'!$A$1:$P$2</formula>
    <oldFormula>'IPAHQ(TANK)-竹科'!$A$1:$P$2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'IPAHQ(TANK)-竹科'!$A$2:$S$2</formula>
    <oldFormula>'IPAHQ(TANK)-竹科'!$A$2:$S$2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'IPAHQ(TANK)-中科'!$A$2:$S$742</formula>
    <oldFormula>'IPAHQ(TANK)-中科'!$A$2:$S$742</oldFormula>
  </rdn>
  <rdn rId="0" localSheetId="3" customView="1" name="Z_8578D927_8BDE_4C99_A2DB_3E44DFA36FF2_.wvu.PrintArea" hidden="1" oldHidden="1">
    <formula>'IPAHQ(TANK)-12P3'!$A$1:$P$2</formula>
    <oldFormula>'IPAHQ(TANK)-12P3'!$A$1:$P$2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'IPAHQ(TANK)-12P3'!$A$2:$S$2</formula>
    <oldFormula>'IPAHQ(TANK)-12P3'!$A$2:$S$2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4" cell="L160" guid="{55B3FFF0-4FA0-4576-B090-267715D658A7}" author="C600-PC" newLength="13"/>
  <rcv guid="{F261CC3E-BBAF-4421-92E0-E43167440BFB}" action="delete"/>
  <rdn rId="0" localSheetId="1" customView="1" name="Z_F261CC3E_BBAF_4421_92E0_E43167440BFB_.wvu.PrintArea" hidden="1" oldHidden="1">
    <formula>'IPAHQ(TANK)-竹科'!$A$1:$P$2</formula>
    <oldFormula>'IPAHQ(TANK)-竹科'!$A$1:$P$2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'IPAHQ(TANK)-竹科'!$A$2:$S$2</formula>
    <oldFormula>'IPAHQ(TANK)-竹科'!$A$2:$S$2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'IPAHQ(TANK)-中科'!$A$2:$S$742</formula>
    <oldFormula>'IPAHQ(TANK)-中科'!$A$2:$S$742</oldFormula>
  </rdn>
  <rdn rId="0" localSheetId="3" customView="1" name="Z_F261CC3E_BBAF_4421_92E0_E43167440BFB_.wvu.PrintArea" hidden="1" oldHidden="1">
    <formula>'IPAHQ(TANK)-12P3'!$A$1:$P$2</formula>
    <oldFormula>'IPAHQ(TANK)-12P3'!$A$1:$P$2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'IPAHQ(TANK)-12P3'!$A$2:$S$2</formula>
    <oldFormula>'IPAHQ(TANK)-12P3'!$A$2:$S$2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2" cell="D711" guid="{00000000-0000-0000-0000-000000000000}" action="delete" author="C600-PC"/>
  <rfmt sheetId="4" sqref="D162:D189">
    <dxf>
      <fill>
        <patternFill>
          <bgColor theme="9" tint="0.59999389629810485"/>
        </patternFill>
      </fill>
    </dxf>
  </rfmt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5" sId="2">
    <oc r="F725" t="inlineStr">
      <is>
        <t>4800384805/300</t>
        <phoneticPr fontId="30537" type="noConversion"/>
      </is>
    </oc>
    <nc r="F725" t="inlineStr">
      <is>
        <t>4800384805/300</t>
        <phoneticPr fontId="30537" type="noConversion"/>
      </is>
    </nc>
  </rcc>
  <rcc rId="56" sId="2">
    <oc r="F726" t="inlineStr">
      <is>
        <t>4800384805/300</t>
        <phoneticPr fontId="30537" type="noConversion"/>
      </is>
    </oc>
    <nc r="F726" t="inlineStr">
      <is>
        <t>4800384805/300</t>
        <phoneticPr fontId="30537" type="noConversion"/>
      </is>
    </nc>
  </rcc>
  <rcc rId="57" sId="4">
    <nc r="F160" t="inlineStr">
      <is>
        <t>4507912167/100</t>
        <phoneticPr fontId="30537" type="noConversion"/>
      </is>
    </nc>
  </rcc>
  <rcc rId="58" sId="4" numFmtId="34">
    <nc r="G160">
      <f>6000-K160</f>
    </nc>
  </rcc>
  <rcc rId="59" sId="2">
    <oc r="C726" t="inlineStr">
      <is>
        <t>26902E3061</t>
        <phoneticPr fontId="30537" type="noConversion"/>
      </is>
    </oc>
    <nc r="C726" t="inlineStr">
      <is>
        <t>26902E3061</t>
        <phoneticPr fontId="30537" type="noConversion"/>
      </is>
    </nc>
  </rcc>
  <rcc rId="60" sId="2">
    <oc r="C725" t="inlineStr">
      <is>
        <t>26901E44J1</t>
        <phoneticPr fontId="30537" type="noConversion"/>
      </is>
    </oc>
    <nc r="C725" t="inlineStr">
      <is>
        <t>26901E44J1</t>
        <phoneticPr fontId="30537" type="noConversion"/>
      </is>
    </nc>
  </rcc>
  <rcc rId="61" sId="2">
    <oc r="F719" t="inlineStr">
      <is>
        <t>4800384805/200</t>
        <phoneticPr fontId="30537" type="noConversion"/>
      </is>
    </oc>
    <nc r="F719" t="inlineStr">
      <is>
        <t>4800384805/200</t>
        <phoneticPr fontId="30537" type="noConversion"/>
      </is>
    </nc>
  </rcc>
  <rcc rId="62" sId="2">
    <oc r="C719" t="inlineStr">
      <is>
        <t>26902E3041</t>
        <phoneticPr fontId="30537" type="noConversion"/>
      </is>
    </oc>
    <nc r="C719" t="inlineStr">
      <is>
        <t>26902E3041</t>
        <phoneticPr fontId="30537" type="noConversion"/>
      </is>
    </nc>
  </rcc>
  <rcc rId="63" sId="4" odxf="1" s="1" dxf="1" numFmtId="34">
    <nc r="I159">
      <v>4370</v>
    </nc>
    <ndxf>
      <font>
        <sz val="10"/>
        <color auto="1"/>
        <name val="Arial"/>
        <scheme val="none"/>
      </font>
      <numFmt numFmtId="178" formatCode="_-* #,##0_-;\-* #,##0_-;_-* &quot;-&quot;??_-;_-@_-"/>
    </ndxf>
  </rcc>
  <rcc rId="64" sId="4" odxf="1" s="1" dxf="1" numFmtId="34">
    <nc r="J159">
      <v>4330</v>
    </nc>
    <ndxf>
      <font>
        <sz val="10"/>
        <color auto="1"/>
        <name val="Arial"/>
        <scheme val="none"/>
      </font>
      <numFmt numFmtId="178" formatCode="_-* #,##0_-;\-* #,##0_-;_-* &quot;-&quot;??_-;_-@_-"/>
    </ndxf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4" cell="L160" guid="{513E8B18-6BA1-48B1-8CC1-D4FC7CA985DB}" author="C600-PC" oldLength="13" newLength="17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65" sId="2" numFmtId="34">
    <nc r="I715">
      <v>4320</v>
    </nc>
  </rcc>
  <rcc rId="66" sId="2" numFmtId="34">
    <nc r="J715">
      <v>4350</v>
    </nc>
  </rcc>
  <rcc rId="67" sId="2">
    <oc r="K715">
      <f>J715/0.786</f>
    </oc>
    <nc r="K715">
      <f>J715/0.786+1</f>
    </nc>
  </rcc>
  <rcc rId="68" sId="2" numFmtId="34">
    <nc r="I714">
      <v>4340</v>
    </nc>
  </rcc>
  <rcc rId="69" sId="2" numFmtId="34">
    <nc r="J714">
      <v>4290</v>
    </nc>
  </rcc>
  <rcc rId="70" sId="2">
    <oc r="K714">
      <f>J714/0.786</f>
    </oc>
    <nc r="K714">
      <f>J714/0.786+1</f>
    </nc>
  </rcc>
  <rcc rId="71" sId="2" numFmtId="34">
    <nc r="I717">
      <v>4240</v>
    </nc>
  </rcc>
  <rcc rId="72" sId="2" numFmtId="34">
    <nc r="J717">
      <v>4140</v>
    </nc>
  </rcc>
  <rcc rId="73" sId="2">
    <oc r="K717">
      <f>J717/0.786</f>
    </oc>
    <nc r="K717">
      <f>J717/0.786+1</f>
    </nc>
  </rcc>
  <rcc rId="74" sId="2" numFmtId="34">
    <nc r="I718">
      <v>4210</v>
    </nc>
  </rcc>
  <rcc rId="75" sId="2" numFmtId="34">
    <nc r="J718">
      <v>4200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578D927-8BDE-4C99-A2DB-3E44DFA36FF2}" action="delete"/>
  <rdn rId="0" localSheetId="1" customView="1" name="Z_8578D927_8BDE_4C99_A2DB_3E44DFA36FF2_.wvu.PrintArea" hidden="1" oldHidden="1">
    <formula>'IPAHQ(TANK)-竹科'!$A$1:$P$2</formula>
    <oldFormula>'IPAHQ(TANK)-竹科'!$A$1:$P$2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'IPAHQ(TANK)-竹科'!$A$2:$S$2</formula>
    <oldFormula>'IPAHQ(TANK)-竹科'!$A$2:$S$2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'IPAHQ(TANK)-中科'!$A$2:$S$876</formula>
    <oldFormula>'IPAHQ(TANK)-中科'!$A$2:$S$742</oldFormula>
  </rdn>
  <rdn rId="0" localSheetId="3" customView="1" name="Z_8578D927_8BDE_4C99_A2DB_3E44DFA36FF2_.wvu.PrintArea" hidden="1" oldHidden="1">
    <formula>'IPAHQ(TANK)-12P3'!$A$1:$P$2</formula>
    <oldFormula>'IPAHQ(TANK)-12P3'!$A$1:$P$2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'IPAHQ(TANK)-12P3'!$A$2:$S$2</formula>
    <oldFormula>'IPAHQ(TANK)-12P3'!$A$2:$S$2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" sId="2">
    <oc r="C726" t="inlineStr">
      <is>
        <t>26902E3061</t>
        <phoneticPr fontId="30629" type="noConversion"/>
      </is>
    </oc>
    <nc r="C726" t="inlineStr">
      <is>
        <t>26902E3061</t>
        <phoneticPr fontId="30629" type="noConversion"/>
      </is>
    </nc>
  </rcc>
  <rcc rId="89" sId="2">
    <oc r="F726" t="inlineStr">
      <is>
        <t>4800384805/300</t>
        <phoneticPr fontId="30629" type="noConversion"/>
      </is>
    </oc>
    <nc r="F726" t="inlineStr">
      <is>
        <t>4800384805/300</t>
        <phoneticPr fontId="30629" type="noConversion"/>
      </is>
    </nc>
  </rcc>
  <rcc rId="90" sId="4" numFmtId="34">
    <oc r="G161">
      <v>100000</v>
    </oc>
    <nc r="G161">
      <f>100000-K161</f>
    </nc>
  </rcc>
  <rfmt sheetId="4" sqref="B162" start="0" length="0">
    <dxf>
      <fill>
        <patternFill patternType="solid">
          <bgColor theme="9" tint="0.59999389629810485"/>
        </patternFill>
      </fill>
    </dxf>
  </rfmt>
  <rfmt sheetId="4" sqref="C162" start="0" length="0">
    <dxf>
      <fill>
        <patternFill patternType="solid">
          <bgColor theme="9" tint="0.59999389629810485"/>
        </patternFill>
      </fill>
    </dxf>
  </rfmt>
  <rcc rId="91" sId="4" odxf="1" dxf="1">
    <nc r="E162" t="inlineStr">
      <is>
        <t>18P3A</t>
        <phoneticPr fontId="175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92" sId="4" odxf="1" dxf="1">
    <nc r="F162" t="inlineStr">
      <is>
        <t>4800388490/100</t>
        <phoneticPr fontId="175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fmt sheetId="4" s="1" sqref="G162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dxf>
  </rfmt>
  <rfmt sheetId="4" sqref="H162" start="0" length="0">
    <dxf>
      <fill>
        <patternFill patternType="solid">
          <bgColor theme="9" tint="0.59999389629810485"/>
        </patternFill>
      </fill>
    </dxf>
  </rfmt>
  <rfmt sheetId="4" sqref="I162" start="0" length="0">
    <dxf>
      <fill>
        <patternFill patternType="solid">
          <bgColor theme="9" tint="0.59999389629810485"/>
        </patternFill>
      </fill>
    </dxf>
  </rfmt>
  <rfmt sheetId="4" sqref="J162" start="0" length="0">
    <dxf>
      <fill>
        <patternFill patternType="solid">
          <bgColor theme="9" tint="0.59999389629810485"/>
        </patternFill>
      </fill>
    </dxf>
  </rfmt>
  <rcc rId="93" sId="4" odxf="1" s="1" dxf="1">
    <nc r="K162">
      <f>J162/0.786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62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62" start="0" length="0">
    <dxf>
      <fill>
        <patternFill patternType="solid">
          <bgColor theme="9" tint="0.59999389629810485"/>
        </patternFill>
      </fill>
    </dxf>
  </rfmt>
  <rcc rId="94" sId="4" numFmtId="19">
    <nc r="B162">
      <v>46269</v>
    </nc>
  </rcc>
  <rcc rId="95" sId="4">
    <oc r="D162">
      <f>IF($C162="", "", MID($C162, 6, IF(MID($C162, LEN($C162)-1, 1)="J", 3, 4)))</f>
    </oc>
    <nc r="D162"/>
  </rcc>
  <rcc rId="96" sId="4">
    <nc r="G162">
      <f>G161-K162</f>
    </nc>
  </rcc>
  <rfmt sheetId="4" sqref="B163" start="0" length="0">
    <dxf>
      <fill>
        <patternFill patternType="solid">
          <bgColor theme="9" tint="0.59999389629810485"/>
        </patternFill>
      </fill>
    </dxf>
  </rfmt>
  <rfmt sheetId="4" sqref="C163" start="0" length="0">
    <dxf>
      <fill>
        <patternFill patternType="solid">
          <bgColor theme="9" tint="0.59999389629810485"/>
        </patternFill>
      </fill>
    </dxf>
  </rfmt>
  <rcc rId="97" sId="4">
    <oc r="D163">
      <f>IF($C163="", "", MID($C163, 6, IF(MID($C163, LEN($C163)-1, 1)="J", 3, 4)))</f>
    </oc>
    <nc r="D163"/>
  </rcc>
  <rcc rId="98" sId="4" odxf="1" dxf="1">
    <nc r="E163" t="inlineStr">
      <is>
        <t>18P3A</t>
        <phoneticPr fontId="175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99" sId="4" odxf="1" dxf="1">
    <nc r="F163" t="inlineStr">
      <is>
        <t>4800388490/100</t>
        <phoneticPr fontId="175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100" sId="4" odxf="1" s="1" dxf="1">
    <nc r="G163">
      <f>G162-K163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H163" start="0" length="0">
    <dxf>
      <fill>
        <patternFill patternType="solid">
          <bgColor theme="9" tint="0.59999389629810485"/>
        </patternFill>
      </fill>
    </dxf>
  </rfmt>
  <rfmt sheetId="4" sqref="I163" start="0" length="0">
    <dxf>
      <fill>
        <patternFill patternType="solid">
          <bgColor theme="9" tint="0.59999389629810485"/>
        </patternFill>
      </fill>
    </dxf>
  </rfmt>
  <rfmt sheetId="4" sqref="J163" start="0" length="0">
    <dxf>
      <fill>
        <patternFill patternType="solid">
          <bgColor theme="9" tint="0.59999389629810485"/>
        </patternFill>
      </fill>
    </dxf>
  </rfmt>
  <rcc rId="101" sId="4" odxf="1" s="1" dxf="1">
    <nc r="K163">
      <f>J163/0.786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63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63" start="0" length="0">
    <dxf>
      <fill>
        <patternFill patternType="solid">
          <bgColor theme="9" tint="0.59999389629810485"/>
        </patternFill>
      </fill>
    </dxf>
  </rfmt>
  <rcc rId="102" sId="4" numFmtId="19">
    <nc r="B163">
      <v>46271</v>
    </nc>
  </rcc>
  <rfmt sheetId="4" sqref="B164" start="0" length="0">
    <dxf>
      <fill>
        <patternFill patternType="solid">
          <bgColor theme="9" tint="0.59999389629810485"/>
        </patternFill>
      </fill>
    </dxf>
  </rfmt>
  <rfmt sheetId="4" sqref="C164" start="0" length="0">
    <dxf>
      <fill>
        <patternFill patternType="solid">
          <bgColor theme="9" tint="0.59999389629810485"/>
        </patternFill>
      </fill>
    </dxf>
  </rfmt>
  <rcc rId="103" sId="4">
    <oc r="D164">
      <f>IF($C164="", "", MID($C164, 6, IF(MID($C164, LEN($C164)-1, 1)="J", 3, 4)))</f>
    </oc>
    <nc r="D164"/>
  </rcc>
  <rcc rId="104" sId="4" odxf="1" dxf="1">
    <nc r="E164" t="inlineStr">
      <is>
        <t>18P3A</t>
        <phoneticPr fontId="175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105" sId="4" odxf="1" dxf="1">
    <nc r="F164" t="inlineStr">
      <is>
        <t>4800388490/100</t>
        <phoneticPr fontId="175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106" sId="4" odxf="1" s="1" dxf="1">
    <nc r="G164">
      <f>G163-K164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H164" start="0" length="0">
    <dxf>
      <fill>
        <patternFill patternType="solid">
          <bgColor theme="9" tint="0.59999389629810485"/>
        </patternFill>
      </fill>
    </dxf>
  </rfmt>
  <rfmt sheetId="4" sqref="I164" start="0" length="0">
    <dxf>
      <fill>
        <patternFill patternType="solid">
          <bgColor theme="9" tint="0.59999389629810485"/>
        </patternFill>
      </fill>
    </dxf>
  </rfmt>
  <rfmt sheetId="4" sqref="J164" start="0" length="0">
    <dxf>
      <fill>
        <patternFill patternType="solid">
          <bgColor theme="9" tint="0.59999389629810485"/>
        </patternFill>
      </fill>
    </dxf>
  </rfmt>
  <rcc rId="107" sId="4" odxf="1" s="1" dxf="1">
    <nc r="K164">
      <f>J164/0.786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64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64" start="0" length="0">
    <dxf>
      <fill>
        <patternFill patternType="solid">
          <bgColor theme="9" tint="0.59999389629810485"/>
        </patternFill>
      </fill>
    </dxf>
  </rfmt>
  <rcc rId="108" sId="4" numFmtId="19">
    <nc r="B164">
      <v>46273</v>
    </nc>
  </rcc>
  <rfmt sheetId="4" sqref="B165" start="0" length="0">
    <dxf>
      <fill>
        <patternFill patternType="solid">
          <bgColor theme="9" tint="0.59999389629810485"/>
        </patternFill>
      </fill>
    </dxf>
  </rfmt>
  <rfmt sheetId="4" sqref="C165" start="0" length="0">
    <dxf>
      <fill>
        <patternFill patternType="solid">
          <bgColor theme="9" tint="0.59999389629810485"/>
        </patternFill>
      </fill>
    </dxf>
  </rfmt>
  <rcc rId="109" sId="4">
    <oc r="D165">
      <f>IF($C165="", "", MID($C165, 6, IF(MID($C165, LEN($C165)-1, 1)="J", 3, 4)))</f>
    </oc>
    <nc r="D165"/>
  </rcc>
  <rcc rId="110" sId="4" odxf="1" dxf="1">
    <nc r="E165" t="inlineStr">
      <is>
        <t>18P3A</t>
        <phoneticPr fontId="175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111" sId="4" odxf="1" dxf="1">
    <nc r="F165" t="inlineStr">
      <is>
        <t>4800388490/100</t>
        <phoneticPr fontId="175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112" sId="4" odxf="1" s="1" dxf="1">
    <nc r="G165">
      <f>G164-K165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H165" start="0" length="0">
    <dxf>
      <fill>
        <patternFill patternType="solid">
          <bgColor theme="9" tint="0.59999389629810485"/>
        </patternFill>
      </fill>
    </dxf>
  </rfmt>
  <rfmt sheetId="4" sqref="I165" start="0" length="0">
    <dxf>
      <fill>
        <patternFill patternType="solid">
          <bgColor theme="9" tint="0.59999389629810485"/>
        </patternFill>
      </fill>
    </dxf>
  </rfmt>
  <rfmt sheetId="4" sqref="J165" start="0" length="0">
    <dxf>
      <fill>
        <patternFill patternType="solid">
          <bgColor theme="9" tint="0.59999389629810485"/>
        </patternFill>
      </fill>
    </dxf>
  </rfmt>
  <rcc rId="113" sId="4" odxf="1" s="1" dxf="1">
    <nc r="K165">
      <f>J165/0.786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65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65" start="0" length="0">
    <dxf>
      <fill>
        <patternFill patternType="solid">
          <bgColor theme="9" tint="0.59999389629810485"/>
        </patternFill>
      </fill>
    </dxf>
  </rfmt>
  <rcc rId="114" sId="4" numFmtId="19">
    <nc r="B165">
      <v>46275</v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xfDxf="1" sqref="H162" start="0" length="0">
    <dxf>
      <font>
        <sz val="10"/>
        <name val="Arial"/>
        <scheme val="none"/>
      </font>
      <fill>
        <patternFill patternType="solid">
          <bgColor theme="9" tint="0.59999389629810485"/>
        </patternFill>
      </fill>
      <alignment horizontal="center" shrinkToFi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115" sId="4">
    <nc r="H162">
      <v>20260903003</v>
    </nc>
  </rcc>
  <rcc rId="116" sId="4">
    <nc r="H163">
      <v>20260903004</v>
    </nc>
  </rcc>
  <rcc rId="117" sId="4">
    <nc r="H164">
      <v>20260903005</v>
    </nc>
  </rcc>
  <rcc rId="118" sId="4">
    <nc r="H165">
      <v>20260903006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9" sId="2">
    <nc r="C727" t="inlineStr">
      <is>
        <t>26902E3191</t>
        <phoneticPr fontId="30629" type="noConversion"/>
      </is>
    </nc>
  </rcc>
  <rcc rId="120" sId="2">
    <nc r="C729" t="inlineStr">
      <is>
        <t>26902E29J1</t>
        <phoneticPr fontId="30629" type="noConversion"/>
      </is>
    </nc>
  </rcc>
  <rcc rId="121" sId="2">
    <nc r="C730" t="inlineStr">
      <is>
        <t>26902E3091</t>
        <phoneticPr fontId="30629" type="noConversion"/>
      </is>
    </nc>
  </rcc>
  <rcc rId="122" sId="2">
    <nc r="C728" t="inlineStr">
      <is>
        <t>26903E3081</t>
        <phoneticPr fontId="30629" type="noConversion"/>
      </is>
    </nc>
  </rcc>
  <rcc rId="123" sId="4">
    <nc r="C162" t="inlineStr">
      <is>
        <t>26902E3071</t>
        <phoneticPr fontId="30629" type="noConversion"/>
      </is>
    </nc>
  </rcc>
  <rcc rId="124" sId="4">
    <nc r="D162">
      <f>IF($C162="", "", MID($C162, 6, IF(MID($C162, LEN($C162)-1, 1)="J", 3, 4)))</f>
    </nc>
  </rcc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" sId="2">
    <oc r="P2" t="inlineStr">
      <is>
        <t>單價</t>
        <phoneticPr fontId="0" type="noConversion"/>
      </is>
    </oc>
    <nc r="P2" t="inlineStr">
      <is>
        <t>到廠時間</t>
        <phoneticPr fontId="0" type="noConversion"/>
      </is>
    </nc>
  </rcc>
  <rcc rId="126" sId="2" odxf="1" dxf="1" numFmtId="25">
    <nc r="P727">
      <v>4.1666666666666664E-2</v>
    </nc>
    <odxf>
      <numFmt numFmtId="0" formatCode="General"/>
    </odxf>
    <ndxf>
      <numFmt numFmtId="25" formatCode="hh:mm"/>
    </ndxf>
  </rcc>
  <rfmt sheetId="2" sqref="P727">
    <dxf>
      <numFmt numFmtId="182" formatCode="h:mm;@"/>
    </dxf>
  </rfmt>
  <rfmt sheetId="2" sqref="J736">
    <dxf>
      <numFmt numFmtId="183" formatCode="[$-F400]h:mm:ss\ AM/PM"/>
    </dxf>
  </rfmt>
  <rfmt sheetId="2" sqref="P728" start="0" length="0">
    <dxf>
      <numFmt numFmtId="25" formatCode="hh:mm"/>
    </dxf>
  </rfmt>
  <rfmt sheetId="2" sqref="P728" start="0" length="0">
    <dxf>
      <numFmt numFmtId="182" formatCode="h:mm;@"/>
    </dxf>
  </rfmt>
  <rfmt sheetId="2" sqref="P729" start="0" length="0">
    <dxf>
      <numFmt numFmtId="182" formatCode="h:mm;@"/>
    </dxf>
  </rfmt>
  <rfmt sheetId="2" sqref="P730" start="0" length="0">
    <dxf>
      <numFmt numFmtId="182" formatCode="h:mm;@"/>
    </dxf>
  </rfmt>
  <rfmt sheetId="2" sqref="P731" start="0" length="0">
    <dxf>
      <numFmt numFmtId="182" formatCode="h:mm;@"/>
    </dxf>
  </rfmt>
  <rfmt sheetId="2" sqref="P732" start="0" length="0">
    <dxf>
      <numFmt numFmtId="182" formatCode="h:mm;@"/>
    </dxf>
  </rfmt>
  <rfmt sheetId="2" sqref="P733" start="0" length="0">
    <dxf>
      <numFmt numFmtId="182" formatCode="h:mm;@"/>
    </dxf>
  </rfmt>
  <rfmt sheetId="2" sqref="P734" start="0" length="0">
    <dxf>
      <numFmt numFmtId="182" formatCode="h:mm;@"/>
    </dxf>
  </rfmt>
  <rfmt sheetId="2" sqref="P735" start="0" length="0">
    <dxf>
      <numFmt numFmtId="182" formatCode="h:mm;@"/>
    </dxf>
  </rfmt>
  <rfmt sheetId="2" sqref="P736" start="0" length="0">
    <dxf>
      <numFmt numFmtId="182" formatCode="h:mm;@"/>
    </dxf>
  </rfmt>
  <rfmt sheetId="2" sqref="P737" start="0" length="0">
    <dxf>
      <numFmt numFmtId="182" formatCode="h:mm;@"/>
    </dxf>
  </rfmt>
  <rfmt sheetId="2" sqref="P738" start="0" length="0">
    <dxf>
      <numFmt numFmtId="182" formatCode="h:mm;@"/>
    </dxf>
  </rfmt>
  <rfmt sheetId="2" sqref="P739" start="0" length="0">
    <dxf>
      <numFmt numFmtId="182" formatCode="h:mm;@"/>
    </dxf>
  </rfmt>
  <rfmt sheetId="2" sqref="P740" start="0" length="0">
    <dxf>
      <numFmt numFmtId="182" formatCode="h:mm;@"/>
    </dxf>
  </rfmt>
  <rfmt sheetId="2" sqref="P741" start="0" length="0">
    <dxf>
      <numFmt numFmtId="182" formatCode="h:mm;@"/>
    </dxf>
  </rfmt>
  <rfmt sheetId="2" sqref="P742" start="0" length="0">
    <dxf>
      <numFmt numFmtId="182" formatCode="h:mm;@"/>
    </dxf>
  </rfmt>
  <rfmt sheetId="2" sqref="P743" start="0" length="0">
    <dxf>
      <numFmt numFmtId="182" formatCode="h:mm;@"/>
    </dxf>
  </rfmt>
  <rcc rId="127" sId="2" numFmtId="23">
    <nc r="P728">
      <v>0.66666666666666663</v>
    </nc>
  </rcc>
  <rcc rId="128" sId="2" numFmtId="23">
    <nc r="P729">
      <v>8.3333333333333329E-2</v>
    </nc>
  </rcc>
  <rcc rId="129" sId="2" numFmtId="23">
    <nc r="P730">
      <v>0.54166666666666663</v>
    </nc>
  </rcc>
  <rcc rId="130" sId="4">
    <oc r="P2" t="inlineStr">
      <is>
        <t>單價</t>
        <phoneticPr fontId="0" type="noConversion"/>
      </is>
    </oc>
    <nc r="P2" t="inlineStr">
      <is>
        <t>到廠時間</t>
        <phoneticPr fontId="0" type="noConversion"/>
      </is>
    </nc>
  </rcc>
  <rfmt sheetId="4" sqref="P162" start="0" length="0">
    <dxf>
      <numFmt numFmtId="182" formatCode="h:mm;@"/>
    </dxf>
  </rfmt>
  <rcc rId="131" sId="4" numFmtId="23">
    <nc r="P162">
      <v>0.70833333333333337</v>
    </nc>
  </rcc>
  <rfmt sheetId="4" sqref="P163" start="0" length="0">
    <dxf>
      <numFmt numFmtId="182" formatCode="h:mm;@"/>
    </dxf>
  </rfmt>
  <rfmt sheetId="4" sqref="P164" start="0" length="0">
    <dxf>
      <numFmt numFmtId="182" formatCode="h:mm;@"/>
    </dxf>
  </rfmt>
  <rfmt sheetId="4" sqref="P165" start="0" length="0">
    <dxf>
      <numFmt numFmtId="182" formatCode="h:mm;@"/>
    </dxf>
  </rfmt>
  <rfmt sheetId="4" sqref="P166" start="0" length="0">
    <dxf>
      <numFmt numFmtId="182" formatCode="h:mm;@"/>
    </dxf>
  </rfmt>
  <rfmt sheetId="4" sqref="P167" start="0" length="0">
    <dxf>
      <numFmt numFmtId="182" formatCode="h:mm;@"/>
    </dxf>
  </rfmt>
  <rfmt sheetId="4" sqref="P168" start="0" length="0">
    <dxf>
      <numFmt numFmtId="182" formatCode="h:mm;@"/>
    </dxf>
  </rfmt>
  <rfmt sheetId="4" sqref="P169" start="0" length="0">
    <dxf>
      <numFmt numFmtId="182" formatCode="h:mm;@"/>
    </dxf>
  </rfmt>
  <rfmt sheetId="4" sqref="P170" start="0" length="0">
    <dxf>
      <numFmt numFmtId="182" formatCode="h:mm;@"/>
    </dxf>
  </rfmt>
  <rfmt sheetId="4" sqref="P171" start="0" length="0">
    <dxf>
      <numFmt numFmtId="182" formatCode="h:mm;@"/>
    </dxf>
  </rfmt>
  <rfmt sheetId="4" sqref="P172" start="0" length="0">
    <dxf>
      <numFmt numFmtId="182" formatCode="h:mm;@"/>
    </dxf>
  </rfmt>
  <rfmt sheetId="4" sqref="P173" start="0" length="0">
    <dxf>
      <numFmt numFmtId="182" formatCode="h:mm;@"/>
    </dxf>
  </rfmt>
  <rfmt sheetId="4" sqref="P174" start="0" length="0">
    <dxf>
      <numFmt numFmtId="182" formatCode="h:mm;@"/>
    </dxf>
  </rfmt>
  <rfmt sheetId="4" sqref="P175" start="0" length="0">
    <dxf>
      <numFmt numFmtId="182" formatCode="h:mm;@"/>
    </dxf>
  </rfmt>
  <rfmt sheetId="4" sqref="P176" start="0" length="0">
    <dxf>
      <numFmt numFmtId="182" formatCode="h:mm;@"/>
    </dxf>
  </rfmt>
  <rfmt sheetId="4" sqref="P177" start="0" length="0">
    <dxf>
      <numFmt numFmtId="182" formatCode="h:mm;@"/>
    </dxf>
  </rfmt>
  <rfmt sheetId="4" sqref="P178" start="0" length="0">
    <dxf>
      <numFmt numFmtId="182" formatCode="h:mm;@"/>
    </dxf>
  </rfmt>
  <rfmt sheetId="4" sqref="P179" start="0" length="0">
    <dxf>
      <numFmt numFmtId="182" formatCode="h:mm;@"/>
    </dxf>
  </rfmt>
  <rfmt sheetId="4" sqref="P180" start="0" length="0">
    <dxf>
      <numFmt numFmtId="182" formatCode="h:mm;@"/>
    </dxf>
  </rfmt>
  <rfmt sheetId="4" sqref="P181" start="0" length="0">
    <dxf>
      <numFmt numFmtId="182" formatCode="h:mm;@"/>
    </dxf>
  </rfmt>
  <rfmt sheetId="4" sqref="P182" start="0" length="0">
    <dxf>
      <numFmt numFmtId="182" formatCode="h:mm;@"/>
    </dxf>
  </rfmt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2" sId="4">
    <oc r="F162" t="inlineStr">
      <is>
        <t>4800388490/100</t>
        <phoneticPr fontId="30629" type="noConversion"/>
      </is>
    </oc>
    <nc r="F162" t="inlineStr">
      <is>
        <t>4800388490/100</t>
        <phoneticPr fontId="30629" type="noConversion"/>
      </is>
    </nc>
  </rcc>
  <rcc rId="133" sId="2">
    <oc r="F729" t="inlineStr">
      <is>
        <t>4800384805/300</t>
        <phoneticPr fontId="30629" type="noConversion"/>
      </is>
    </oc>
    <nc r="F729" t="inlineStr">
      <is>
        <t>4800384805/300</t>
        <phoneticPr fontId="30629" type="noConversion"/>
      </is>
    </nc>
  </rcc>
  <rcc rId="134" sId="2">
    <oc r="C727" t="inlineStr">
      <is>
        <t>26902E3191</t>
        <phoneticPr fontId="30629" type="noConversion"/>
      </is>
    </oc>
    <nc r="C727" t="inlineStr">
      <is>
        <t>26902E3191</t>
        <phoneticPr fontId="30629" type="noConversion"/>
      </is>
    </nc>
  </rcc>
  <rcc rId="135" sId="2">
    <oc r="C730" t="inlineStr">
      <is>
        <t>26902E3091</t>
        <phoneticPr fontId="30629" type="noConversion"/>
      </is>
    </oc>
    <nc r="C730" t="inlineStr">
      <is>
        <t>26902E3091</t>
        <phoneticPr fontId="30629" type="noConversion"/>
      </is>
    </nc>
  </rcc>
  <rcc rId="136" sId="4">
    <oc r="C162" t="inlineStr">
      <is>
        <t>26902E3071</t>
        <phoneticPr fontId="30629" type="noConversion"/>
      </is>
    </oc>
    <nc r="C162" t="inlineStr">
      <is>
        <t>26902E3071</t>
        <phoneticPr fontId="30629" type="noConversion"/>
      </is>
    </nc>
  </rcc>
  <rcc rId="137" sId="4">
    <oc r="F165" t="inlineStr">
      <is>
        <t>4800388490/100</t>
        <phoneticPr fontId="30629" type="noConversion"/>
      </is>
    </oc>
    <nc r="F165" t="inlineStr">
      <is>
        <t>4800388490/100</t>
        <phoneticPr fontId="30629" type="noConversion"/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" sId="2" numFmtId="34">
    <nc r="I716">
      <v>4350</v>
    </nc>
  </rcc>
  <rcc rId="139" sId="2" numFmtId="34">
    <nc r="J716">
      <v>4420</v>
    </nc>
  </rcc>
  <rcc rId="140" sId="2">
    <oc r="K716">
      <f>J716/0.786</f>
    </oc>
    <nc r="K716">
      <f>J716/0.786+1</f>
    </nc>
  </rcc>
  <rcc rId="141" sId="2" numFmtId="34">
    <nc r="I720">
      <v>4240</v>
    </nc>
  </rcc>
  <rcc rId="142" sId="2" numFmtId="34">
    <nc r="J720">
      <v>4180</v>
    </nc>
  </rcc>
  <rcc rId="143" sId="2">
    <oc r="K720">
      <f>J720/0.786</f>
    </oc>
    <nc r="K720">
      <f>J720/0.786+1</f>
    </nc>
  </rcc>
  <rcc rId="144" sId="2" numFmtId="34">
    <nc r="I722">
      <v>4310</v>
    </nc>
  </rcc>
  <rcc rId="145" sId="2" numFmtId="34">
    <nc r="J722">
      <v>4320</v>
    </nc>
  </rcc>
  <rcc rId="146" sId="2">
    <oc r="K722">
      <f>J722/0.786</f>
    </oc>
    <nc r="K722">
      <f>J722/0.786+1</f>
    </nc>
  </rcc>
  <rcc rId="147" sId="2" numFmtId="34">
    <nc r="I723">
      <v>4330</v>
    </nc>
  </rcc>
  <rcc rId="148" sId="2" numFmtId="34">
    <nc r="J723">
      <v>4360</v>
    </nc>
  </rcc>
  <rcc rId="149" sId="2">
    <oc r="K723">
      <f>J723/0.786</f>
    </oc>
    <nc r="K723">
      <f>J723/0.786+1</f>
    </nc>
  </rcc>
  <rcc rId="150" sId="2" numFmtId="34">
    <nc r="I719">
      <v>4370</v>
    </nc>
  </rcc>
  <rcc rId="151" sId="2" numFmtId="34">
    <nc r="J719">
      <v>4350</v>
    </nc>
  </rcc>
  <rcc rId="152" sId="2">
    <oc r="K719">
      <f>J719/0.786</f>
    </oc>
    <nc r="K719">
      <f>J719/0.786+1</f>
    </nc>
  </rcc>
  <rcc rId="153" sId="4" odxf="1" s="1" dxf="1" numFmtId="34">
    <nc r="I161">
      <v>4310</v>
    </nc>
    <ndxf>
      <font>
        <sz val="10"/>
        <color auto="1"/>
        <name val="Arial"/>
        <scheme val="none"/>
      </font>
      <numFmt numFmtId="178" formatCode="_-* #,##0_-;\-* #,##0_-;_-* &quot;-&quot;??_-;_-@_-"/>
      <fill>
        <patternFill>
          <bgColor theme="6" tint="0.59999389629810485"/>
        </patternFill>
      </fill>
    </ndxf>
  </rcc>
  <rcc rId="154" sId="4" odxf="1" s="1" dxf="1" numFmtId="34">
    <nc r="J161">
      <v>4300</v>
    </nc>
    <ndxf>
      <font>
        <sz val="10"/>
        <color auto="1"/>
        <name val="Arial"/>
        <scheme val="none"/>
      </font>
      <numFmt numFmtId="178" formatCode="_-* #,##0_-;\-* #,##0_-;_-* &quot;-&quot;??_-;_-@_-"/>
      <fill>
        <patternFill>
          <bgColor theme="6" tint="0.59999389629810485"/>
        </patternFill>
      </fill>
    </ndxf>
  </rcc>
  <rfmt sheetId="4" sqref="I161:J161">
    <dxf>
      <fill>
        <patternFill>
          <bgColor theme="9" tint="0.59999389629810485"/>
        </patternFill>
      </fill>
    </dxf>
  </rfmt>
  <rcv guid="{8578D927-8BDE-4C99-A2DB-3E44DFA36FF2}" action="delete"/>
  <rdn rId="0" localSheetId="1" customView="1" name="Z_8578D927_8BDE_4C99_A2DB_3E44DFA36FF2_.wvu.PrintArea" hidden="1" oldHidden="1">
    <formula>'IPAHQ(TANK)-竹科'!$A$1:$P$2</formula>
    <oldFormula>'IPAHQ(TANK)-竹科'!$A$1:$P$2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'IPAHQ(TANK)-竹科'!$A$2:$S$2</formula>
    <oldFormula>'IPAHQ(TANK)-竹科'!$A$2:$S$2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'IPAHQ(TANK)-中科'!$A$2:$S$876</formula>
    <oldFormula>'IPAHQ(TANK)-中科'!$A$2:$S$876</oldFormula>
  </rdn>
  <rdn rId="0" localSheetId="3" customView="1" name="Z_8578D927_8BDE_4C99_A2DB_3E44DFA36FF2_.wvu.PrintArea" hidden="1" oldHidden="1">
    <formula>'IPAHQ(TANK)-12P3'!$A$1:$P$2</formula>
    <oldFormula>'IPAHQ(TANK)-12P3'!$A$1:$P$2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'IPAHQ(TANK)-12P3'!$A$2:$S$2</formula>
    <oldFormula>'IPAHQ(TANK)-12P3'!$A$2:$S$2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7" sId="2">
    <oc r="C728" t="inlineStr">
      <is>
        <t>26903E3081</t>
        <phoneticPr fontId="30629" type="noConversion"/>
      </is>
    </oc>
    <nc r="C728" t="inlineStr">
      <is>
        <t>26903E3081</t>
        <phoneticPr fontId="30629" type="noConversion"/>
      </is>
    </nc>
  </rcc>
  <rcc rId="168" sId="2">
    <oc r="F728" t="inlineStr">
      <is>
        <t>4800384805/400</t>
        <phoneticPr fontId="30629" type="noConversion"/>
      </is>
    </oc>
    <nc r="F728" t="inlineStr">
      <is>
        <t>4800384805/400</t>
        <phoneticPr fontId="30629" type="noConversion"/>
      </is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69" sId="1" ref="M1:M1048576" action="insertCol"/>
  <rfmt sheetId="1" sqref="M1" start="0" length="0">
    <dxf>
      <alignment horizontal="general" readingOrder="0"/>
    </dxf>
  </rfmt>
  <rcc rId="170" sId="1">
    <nc r="M2" t="inlineStr">
      <is>
        <t>剩餘量</t>
        <phoneticPr fontId="0" type="noConversion"/>
      </is>
    </nc>
  </rcc>
  <rfmt sheetId="1" sqref="M3" start="0" length="0">
    <dxf>
      <numFmt numFmtId="0" formatCode="General"/>
    </dxf>
  </rfmt>
  <rfmt sheetId="1" sqref="M4" start="0" length="0">
    <dxf>
      <numFmt numFmtId="0" formatCode="General"/>
    </dxf>
  </rfmt>
  <rfmt sheetId="1" sqref="M5" start="0" length="0">
    <dxf>
      <numFmt numFmtId="0" formatCode="General"/>
    </dxf>
  </rfmt>
  <rfmt sheetId="1" sqref="M6" start="0" length="0">
    <dxf>
      <numFmt numFmtId="0" formatCode="General"/>
    </dxf>
  </rfmt>
  <rfmt sheetId="1" sqref="M7" start="0" length="0">
    <dxf>
      <numFmt numFmtId="0" formatCode="General"/>
    </dxf>
  </rfmt>
  <rfmt sheetId="1" sqref="M8" start="0" length="0">
    <dxf>
      <numFmt numFmtId="0" formatCode="General"/>
    </dxf>
  </rfmt>
  <rfmt sheetId="1" sqref="M9" start="0" length="0">
    <dxf>
      <numFmt numFmtId="0" formatCode="General"/>
    </dxf>
  </rfmt>
  <rfmt sheetId="1" sqref="M10" start="0" length="0">
    <dxf>
      <numFmt numFmtId="0" formatCode="General"/>
    </dxf>
  </rfmt>
  <rfmt sheetId="1" sqref="M11" start="0" length="0">
    <dxf>
      <numFmt numFmtId="0" formatCode="General"/>
    </dxf>
  </rfmt>
  <rfmt sheetId="1" sqref="M12" start="0" length="0">
    <dxf>
      <numFmt numFmtId="0" formatCode="General"/>
    </dxf>
  </rfmt>
  <rfmt sheetId="1" sqref="M13" start="0" length="0">
    <dxf>
      <numFmt numFmtId="0" formatCode="General"/>
    </dxf>
  </rfmt>
  <rfmt sheetId="1" sqref="M14" start="0" length="0">
    <dxf>
      <numFmt numFmtId="0" formatCode="General"/>
    </dxf>
  </rfmt>
  <rfmt sheetId="1" sqref="M15" start="0" length="0">
    <dxf>
      <numFmt numFmtId="0" formatCode="General"/>
    </dxf>
  </rfmt>
  <rfmt sheetId="1" sqref="M16" start="0" length="0">
    <dxf>
      <numFmt numFmtId="0" formatCode="General"/>
    </dxf>
  </rfmt>
  <rfmt sheetId="1" sqref="M17" start="0" length="0">
    <dxf>
      <numFmt numFmtId="0" formatCode="General"/>
    </dxf>
  </rfmt>
  <rfmt sheetId="1" sqref="M18" start="0" length="0">
    <dxf>
      <numFmt numFmtId="0" formatCode="General"/>
    </dxf>
  </rfmt>
  <rfmt sheetId="1" sqref="M19" start="0" length="0">
    <dxf>
      <numFmt numFmtId="0" formatCode="General"/>
    </dxf>
  </rfmt>
  <rfmt sheetId="1" sqref="M20" start="0" length="0">
    <dxf>
      <numFmt numFmtId="0" formatCode="General"/>
    </dxf>
  </rfmt>
  <rfmt sheetId="1" sqref="M21" start="0" length="0">
    <dxf>
      <numFmt numFmtId="0" formatCode="General"/>
    </dxf>
  </rfmt>
  <rfmt sheetId="1" sqref="M22" start="0" length="0">
    <dxf>
      <numFmt numFmtId="0" formatCode="General"/>
    </dxf>
  </rfmt>
  <rfmt sheetId="1" sqref="M23" start="0" length="0">
    <dxf>
      <numFmt numFmtId="0" formatCode="General"/>
    </dxf>
  </rfmt>
  <rfmt sheetId="1" sqref="M24" start="0" length="0">
    <dxf>
      <numFmt numFmtId="0" formatCode="General"/>
    </dxf>
  </rfmt>
  <rfmt sheetId="1" sqref="M25" start="0" length="0">
    <dxf>
      <numFmt numFmtId="0" formatCode="General"/>
    </dxf>
  </rfmt>
  <rfmt sheetId="1" sqref="M26" start="0" length="0">
    <dxf>
      <numFmt numFmtId="0" formatCode="General"/>
    </dxf>
  </rfmt>
  <rfmt sheetId="1" sqref="M27" start="0" length="0">
    <dxf>
      <numFmt numFmtId="0" formatCode="General"/>
    </dxf>
  </rfmt>
  <rfmt sheetId="1" sqref="M28" start="0" length="0">
    <dxf>
      <numFmt numFmtId="0" formatCode="General"/>
    </dxf>
  </rfmt>
  <rfmt sheetId="1" sqref="M29" start="0" length="0">
    <dxf>
      <numFmt numFmtId="0" formatCode="General"/>
    </dxf>
  </rfmt>
  <rfmt sheetId="1" sqref="M30" start="0" length="0">
    <dxf>
      <numFmt numFmtId="0" formatCode="General"/>
    </dxf>
  </rfmt>
  <rfmt sheetId="1" sqref="M31" start="0" length="0">
    <dxf>
      <numFmt numFmtId="0" formatCode="General"/>
    </dxf>
  </rfmt>
  <rfmt sheetId="1" sqref="M32" start="0" length="0">
    <dxf>
      <numFmt numFmtId="0" formatCode="General"/>
    </dxf>
  </rfmt>
  <rfmt sheetId="1" sqref="M33" start="0" length="0">
    <dxf>
      <numFmt numFmtId="0" formatCode="General"/>
    </dxf>
  </rfmt>
  <rfmt sheetId="1" sqref="M34" start="0" length="0">
    <dxf>
      <numFmt numFmtId="0" formatCode="General"/>
    </dxf>
  </rfmt>
  <rfmt sheetId="1" sqref="M35" start="0" length="0">
    <dxf>
      <numFmt numFmtId="0" formatCode="General"/>
    </dxf>
  </rfmt>
  <rfmt sheetId="1" sqref="M36" start="0" length="0">
    <dxf>
      <numFmt numFmtId="0" formatCode="General"/>
    </dxf>
  </rfmt>
  <rfmt sheetId="1" sqref="M37" start="0" length="0">
    <dxf>
      <numFmt numFmtId="0" formatCode="General"/>
    </dxf>
  </rfmt>
  <rfmt sheetId="1" sqref="M38" start="0" length="0">
    <dxf>
      <numFmt numFmtId="0" formatCode="General"/>
    </dxf>
  </rfmt>
  <rfmt sheetId="1" sqref="M39" start="0" length="0">
    <dxf>
      <numFmt numFmtId="0" formatCode="General"/>
    </dxf>
  </rfmt>
  <rfmt sheetId="1" sqref="M40" start="0" length="0">
    <dxf>
      <numFmt numFmtId="0" formatCode="General"/>
    </dxf>
  </rfmt>
  <rfmt sheetId="1" sqref="M41" start="0" length="0">
    <dxf>
      <numFmt numFmtId="0" formatCode="General"/>
    </dxf>
  </rfmt>
  <rfmt sheetId="1" sqref="M42" start="0" length="0">
    <dxf>
      <numFmt numFmtId="0" formatCode="General"/>
    </dxf>
  </rfmt>
  <rfmt sheetId="1" sqref="M43" start="0" length="0">
    <dxf>
      <numFmt numFmtId="0" formatCode="General"/>
    </dxf>
  </rfmt>
  <rfmt sheetId="1" sqref="M44" start="0" length="0">
    <dxf>
      <numFmt numFmtId="0" formatCode="General"/>
    </dxf>
  </rfmt>
  <rfmt sheetId="1" sqref="M45" start="0" length="0">
    <dxf>
      <numFmt numFmtId="0" formatCode="General"/>
    </dxf>
  </rfmt>
  <rfmt sheetId="1" sqref="M46" start="0" length="0">
    <dxf>
      <numFmt numFmtId="0" formatCode="General"/>
    </dxf>
  </rfmt>
  <rfmt sheetId="1" sqref="M47" start="0" length="0">
    <dxf>
      <numFmt numFmtId="0" formatCode="General"/>
    </dxf>
  </rfmt>
  <rfmt sheetId="1" sqref="M48" start="0" length="0">
    <dxf>
      <numFmt numFmtId="0" formatCode="General"/>
    </dxf>
  </rfmt>
  <rfmt sheetId="1" sqref="M49" start="0" length="0">
    <dxf>
      <numFmt numFmtId="0" formatCode="General"/>
    </dxf>
  </rfmt>
  <rfmt sheetId="1" sqref="M50" start="0" length="0">
    <dxf>
      <numFmt numFmtId="0" formatCode="General"/>
    </dxf>
  </rfmt>
  <rfmt sheetId="1" sqref="M51" start="0" length="0">
    <dxf>
      <numFmt numFmtId="0" formatCode="General"/>
    </dxf>
  </rfmt>
  <rfmt sheetId="1" sqref="M52" start="0" length="0">
    <dxf>
      <numFmt numFmtId="0" formatCode="General"/>
    </dxf>
  </rfmt>
  <rfmt sheetId="1" sqref="M53" start="0" length="0">
    <dxf>
      <numFmt numFmtId="0" formatCode="General"/>
    </dxf>
  </rfmt>
  <rfmt sheetId="1" sqref="M54" start="0" length="0">
    <dxf>
      <numFmt numFmtId="0" formatCode="General"/>
    </dxf>
  </rfmt>
  <rfmt sheetId="1" sqref="M55" start="0" length="0">
    <dxf>
      <numFmt numFmtId="0" formatCode="General"/>
    </dxf>
  </rfmt>
  <rfmt sheetId="1" sqref="M56" start="0" length="0">
    <dxf>
      <numFmt numFmtId="0" formatCode="General"/>
    </dxf>
  </rfmt>
  <rfmt sheetId="1" sqref="M57" start="0" length="0">
    <dxf>
      <numFmt numFmtId="0" formatCode="General"/>
    </dxf>
  </rfmt>
  <rfmt sheetId="1" sqref="M58" start="0" length="0">
    <dxf>
      <numFmt numFmtId="0" formatCode="General"/>
    </dxf>
  </rfmt>
  <rfmt sheetId="1" sqref="M59" start="0" length="0">
    <dxf>
      <numFmt numFmtId="0" formatCode="General"/>
    </dxf>
  </rfmt>
  <rfmt sheetId="1" sqref="M60" start="0" length="0">
    <dxf>
      <numFmt numFmtId="0" formatCode="General"/>
    </dxf>
  </rfmt>
  <rfmt sheetId="1" sqref="M61" start="0" length="0">
    <dxf>
      <numFmt numFmtId="0" formatCode="General"/>
    </dxf>
  </rfmt>
  <rfmt sheetId="1" sqref="M62" start="0" length="0">
    <dxf>
      <numFmt numFmtId="0" formatCode="General"/>
    </dxf>
  </rfmt>
  <rfmt sheetId="1" sqref="M63" start="0" length="0">
    <dxf>
      <numFmt numFmtId="0" formatCode="General"/>
    </dxf>
  </rfmt>
  <rfmt sheetId="1" sqref="M64" start="0" length="0">
    <dxf>
      <numFmt numFmtId="0" formatCode="General"/>
    </dxf>
  </rfmt>
  <rfmt sheetId="1" sqref="M65" start="0" length="0">
    <dxf>
      <numFmt numFmtId="0" formatCode="General"/>
    </dxf>
  </rfmt>
  <rfmt sheetId="1" sqref="M66" start="0" length="0">
    <dxf>
      <numFmt numFmtId="0" formatCode="General"/>
    </dxf>
  </rfmt>
  <rfmt sheetId="1" sqref="M67" start="0" length="0">
    <dxf>
      <numFmt numFmtId="0" formatCode="General"/>
    </dxf>
  </rfmt>
  <rfmt sheetId="1" sqref="M68" start="0" length="0">
    <dxf>
      <numFmt numFmtId="0" formatCode="General"/>
    </dxf>
  </rfmt>
  <rfmt sheetId="1" sqref="M69" start="0" length="0">
    <dxf>
      <numFmt numFmtId="0" formatCode="General"/>
    </dxf>
  </rfmt>
  <rfmt sheetId="1" sqref="M70" start="0" length="0">
    <dxf>
      <numFmt numFmtId="0" formatCode="General"/>
    </dxf>
  </rfmt>
  <rfmt sheetId="1" sqref="M71" start="0" length="0">
    <dxf>
      <numFmt numFmtId="0" formatCode="General"/>
    </dxf>
  </rfmt>
  <rfmt sheetId="1" sqref="M72" start="0" length="0">
    <dxf>
      <numFmt numFmtId="0" formatCode="General"/>
    </dxf>
  </rfmt>
  <rfmt sheetId="1" sqref="M73" start="0" length="0">
    <dxf>
      <numFmt numFmtId="0" formatCode="General"/>
    </dxf>
  </rfmt>
  <rfmt sheetId="1" sqref="M74" start="0" length="0">
    <dxf>
      <numFmt numFmtId="0" formatCode="General"/>
    </dxf>
  </rfmt>
  <rfmt sheetId="1" sqref="M75" start="0" length="0">
    <dxf>
      <numFmt numFmtId="0" formatCode="General"/>
    </dxf>
  </rfmt>
  <rfmt sheetId="1" sqref="M76" start="0" length="0">
    <dxf>
      <numFmt numFmtId="0" formatCode="General"/>
    </dxf>
  </rfmt>
  <rfmt sheetId="1" sqref="M77" start="0" length="0">
    <dxf>
      <numFmt numFmtId="0" formatCode="General"/>
    </dxf>
  </rfmt>
  <rfmt sheetId="1" sqref="M78" start="0" length="0">
    <dxf>
      <numFmt numFmtId="0" formatCode="General"/>
    </dxf>
  </rfmt>
  <rfmt sheetId="1" sqref="M79" start="0" length="0">
    <dxf>
      <numFmt numFmtId="0" formatCode="General"/>
    </dxf>
  </rfmt>
  <rfmt sheetId="1" sqref="M80" start="0" length="0">
    <dxf>
      <numFmt numFmtId="0" formatCode="General"/>
    </dxf>
  </rfmt>
  <rfmt sheetId="1" sqref="M81" start="0" length="0">
    <dxf>
      <numFmt numFmtId="0" formatCode="General"/>
    </dxf>
  </rfmt>
  <rfmt sheetId="1" sqref="M82" start="0" length="0">
    <dxf>
      <numFmt numFmtId="0" formatCode="General"/>
    </dxf>
  </rfmt>
  <rfmt sheetId="1" sqref="M83" start="0" length="0">
    <dxf>
      <numFmt numFmtId="0" formatCode="General"/>
    </dxf>
  </rfmt>
  <rfmt sheetId="1" sqref="M84" start="0" length="0">
    <dxf>
      <numFmt numFmtId="0" formatCode="General"/>
    </dxf>
  </rfmt>
  <rfmt sheetId="1" sqref="M85" start="0" length="0">
    <dxf>
      <numFmt numFmtId="0" formatCode="General"/>
    </dxf>
  </rfmt>
  <rfmt sheetId="1" sqref="M86" start="0" length="0">
    <dxf>
      <numFmt numFmtId="0" formatCode="General"/>
    </dxf>
  </rfmt>
  <rfmt sheetId="1" sqref="M87" start="0" length="0">
    <dxf>
      <numFmt numFmtId="0" formatCode="General"/>
    </dxf>
  </rfmt>
  <rfmt sheetId="1" sqref="M88" start="0" length="0">
    <dxf>
      <numFmt numFmtId="0" formatCode="General"/>
    </dxf>
  </rfmt>
  <rfmt sheetId="1" sqref="M89" start="0" length="0">
    <dxf>
      <numFmt numFmtId="0" formatCode="General"/>
    </dxf>
  </rfmt>
  <rfmt sheetId="1" sqref="M90" start="0" length="0">
    <dxf>
      <numFmt numFmtId="0" formatCode="General"/>
    </dxf>
  </rfmt>
  <rfmt sheetId="1" sqref="M91" start="0" length="0">
    <dxf>
      <numFmt numFmtId="0" formatCode="General"/>
    </dxf>
  </rfmt>
  <rfmt sheetId="1" sqref="M92" start="0" length="0">
    <dxf>
      <numFmt numFmtId="0" formatCode="General"/>
    </dxf>
  </rfmt>
  <rfmt sheetId="1" sqref="M93" start="0" length="0">
    <dxf>
      <numFmt numFmtId="0" formatCode="General"/>
    </dxf>
  </rfmt>
  <rfmt sheetId="1" sqref="M94" start="0" length="0">
    <dxf>
      <numFmt numFmtId="0" formatCode="General"/>
    </dxf>
  </rfmt>
  <rfmt sheetId="1" sqref="M95" start="0" length="0">
    <dxf>
      <numFmt numFmtId="0" formatCode="General"/>
    </dxf>
  </rfmt>
  <rfmt sheetId="1" sqref="M96" start="0" length="0">
    <dxf>
      <numFmt numFmtId="0" formatCode="General"/>
    </dxf>
  </rfmt>
  <rfmt sheetId="1" sqref="M97" start="0" length="0">
    <dxf>
      <numFmt numFmtId="0" formatCode="General"/>
    </dxf>
  </rfmt>
  <rfmt sheetId="1" sqref="M98" start="0" length="0">
    <dxf>
      <numFmt numFmtId="0" formatCode="General"/>
    </dxf>
  </rfmt>
  <rfmt sheetId="1" sqref="M99" start="0" length="0">
    <dxf>
      <numFmt numFmtId="0" formatCode="General"/>
    </dxf>
  </rfmt>
  <rfmt sheetId="1" sqref="M100" start="0" length="0">
    <dxf>
      <numFmt numFmtId="0" formatCode="General"/>
    </dxf>
  </rfmt>
  <rfmt sheetId="1" sqref="M101" start="0" length="0">
    <dxf>
      <numFmt numFmtId="0" formatCode="General"/>
    </dxf>
  </rfmt>
  <rfmt sheetId="1" sqref="M102" start="0" length="0">
    <dxf>
      <numFmt numFmtId="0" formatCode="General"/>
    </dxf>
  </rfmt>
  <rfmt sheetId="1" sqref="M103" start="0" length="0">
    <dxf>
      <numFmt numFmtId="0" formatCode="General"/>
    </dxf>
  </rfmt>
  <rfmt sheetId="1" sqref="M104" start="0" length="0">
    <dxf>
      <numFmt numFmtId="0" formatCode="General"/>
    </dxf>
  </rfmt>
  <rfmt sheetId="1" sqref="M105" start="0" length="0">
    <dxf>
      <numFmt numFmtId="0" formatCode="General"/>
    </dxf>
  </rfmt>
  <rfmt sheetId="1" sqref="M106" start="0" length="0">
    <dxf>
      <numFmt numFmtId="0" formatCode="General"/>
    </dxf>
  </rfmt>
  <rfmt sheetId="1" sqref="M107" start="0" length="0">
    <dxf>
      <numFmt numFmtId="0" formatCode="General"/>
    </dxf>
  </rfmt>
  <rfmt sheetId="1" sqref="M108" start="0" length="0">
    <dxf>
      <numFmt numFmtId="0" formatCode="General"/>
    </dxf>
  </rfmt>
  <rfmt sheetId="1" sqref="M109" start="0" length="0">
    <dxf>
      <numFmt numFmtId="0" formatCode="General"/>
    </dxf>
  </rfmt>
  <rfmt sheetId="1" sqref="M110" start="0" length="0">
    <dxf>
      <numFmt numFmtId="0" formatCode="General"/>
    </dxf>
  </rfmt>
  <rfmt sheetId="1" sqref="M111" start="0" length="0">
    <dxf>
      <numFmt numFmtId="0" formatCode="General"/>
    </dxf>
  </rfmt>
  <rfmt sheetId="1" sqref="M112" start="0" length="0">
    <dxf>
      <numFmt numFmtId="0" formatCode="General"/>
    </dxf>
  </rfmt>
  <rfmt sheetId="1" sqref="M113" start="0" length="0">
    <dxf>
      <numFmt numFmtId="0" formatCode="General"/>
    </dxf>
  </rfmt>
  <rfmt sheetId="1" sqref="M114" start="0" length="0">
    <dxf>
      <numFmt numFmtId="0" formatCode="General"/>
    </dxf>
  </rfmt>
  <rfmt sheetId="1" sqref="M115" start="0" length="0">
    <dxf>
      <numFmt numFmtId="0" formatCode="General"/>
    </dxf>
  </rfmt>
  <rfmt sheetId="1" sqref="M116" start="0" length="0">
    <dxf>
      <numFmt numFmtId="0" formatCode="General"/>
    </dxf>
  </rfmt>
  <rfmt sheetId="1" sqref="M117" start="0" length="0">
    <dxf>
      <numFmt numFmtId="0" formatCode="General"/>
    </dxf>
  </rfmt>
  <rfmt sheetId="1" sqref="M118" start="0" length="0">
    <dxf>
      <numFmt numFmtId="0" formatCode="General"/>
    </dxf>
  </rfmt>
  <rfmt sheetId="1" sqref="M119" start="0" length="0">
    <dxf>
      <numFmt numFmtId="0" formatCode="General"/>
    </dxf>
  </rfmt>
  <rfmt sheetId="1" sqref="M120" start="0" length="0">
    <dxf>
      <numFmt numFmtId="0" formatCode="General"/>
    </dxf>
  </rfmt>
  <rfmt sheetId="1" sqref="M121" start="0" length="0">
    <dxf>
      <numFmt numFmtId="0" formatCode="General"/>
    </dxf>
  </rfmt>
  <rfmt sheetId="1" sqref="M122" start="0" length="0">
    <dxf>
      <numFmt numFmtId="0" formatCode="General"/>
    </dxf>
  </rfmt>
  <rfmt sheetId="1" sqref="M123" start="0" length="0">
    <dxf>
      <numFmt numFmtId="0" formatCode="General"/>
    </dxf>
  </rfmt>
  <rfmt sheetId="1" sqref="M124" start="0" length="0">
    <dxf>
      <numFmt numFmtId="0" formatCode="General"/>
    </dxf>
  </rfmt>
  <rfmt sheetId="1" sqref="M125" start="0" length="0">
    <dxf>
      <numFmt numFmtId="0" formatCode="General"/>
    </dxf>
  </rfmt>
  <rfmt sheetId="1" sqref="M126" start="0" length="0">
    <dxf>
      <numFmt numFmtId="0" formatCode="General"/>
    </dxf>
  </rfmt>
  <rfmt sheetId="1" sqref="M127" start="0" length="0">
    <dxf>
      <numFmt numFmtId="0" formatCode="General"/>
    </dxf>
  </rfmt>
  <rfmt sheetId="1" sqref="M128" start="0" length="0">
    <dxf>
      <numFmt numFmtId="0" formatCode="General"/>
    </dxf>
  </rfmt>
  <rfmt sheetId="1" sqref="M129" start="0" length="0">
    <dxf>
      <numFmt numFmtId="0" formatCode="General"/>
    </dxf>
  </rfmt>
  <rfmt sheetId="1" sqref="M130" start="0" length="0">
    <dxf>
      <numFmt numFmtId="0" formatCode="General"/>
    </dxf>
  </rfmt>
  <rfmt sheetId="1" sqref="M131" start="0" length="0">
    <dxf>
      <numFmt numFmtId="0" formatCode="General"/>
    </dxf>
  </rfmt>
  <rfmt sheetId="1" sqref="M132" start="0" length="0">
    <dxf>
      <numFmt numFmtId="0" formatCode="General"/>
    </dxf>
  </rfmt>
  <rfmt sheetId="1" sqref="M133" start="0" length="0">
    <dxf>
      <numFmt numFmtId="0" formatCode="General"/>
    </dxf>
  </rfmt>
  <rfmt sheetId="1" sqref="M134" start="0" length="0">
    <dxf>
      <numFmt numFmtId="0" formatCode="General"/>
    </dxf>
  </rfmt>
  <rfmt sheetId="1" sqref="M135" start="0" length="0">
    <dxf>
      <numFmt numFmtId="0" formatCode="General"/>
    </dxf>
  </rfmt>
  <rfmt sheetId="1" sqref="M136" start="0" length="0">
    <dxf>
      <numFmt numFmtId="0" formatCode="General"/>
    </dxf>
  </rfmt>
  <rfmt sheetId="1" sqref="M137" start="0" length="0">
    <dxf>
      <numFmt numFmtId="0" formatCode="General"/>
    </dxf>
  </rfmt>
  <rfmt sheetId="1" sqref="M138" start="0" length="0">
    <dxf>
      <numFmt numFmtId="0" formatCode="General"/>
    </dxf>
  </rfmt>
  <rfmt sheetId="1" sqref="M139" start="0" length="0">
    <dxf>
      <numFmt numFmtId="0" formatCode="General"/>
    </dxf>
  </rfmt>
  <rfmt sheetId="1" sqref="M140" start="0" length="0">
    <dxf>
      <numFmt numFmtId="0" formatCode="General"/>
    </dxf>
  </rfmt>
  <rfmt sheetId="1" sqref="M141" start="0" length="0">
    <dxf>
      <numFmt numFmtId="0" formatCode="General"/>
    </dxf>
  </rfmt>
  <rfmt sheetId="1" sqref="M142" start="0" length="0">
    <dxf>
      <numFmt numFmtId="0" formatCode="General"/>
    </dxf>
  </rfmt>
  <rfmt sheetId="1" sqref="M143" start="0" length="0">
    <dxf>
      <numFmt numFmtId="0" formatCode="General"/>
    </dxf>
  </rfmt>
  <rfmt sheetId="1" sqref="M144" start="0" length="0">
    <dxf>
      <numFmt numFmtId="0" formatCode="General"/>
    </dxf>
  </rfmt>
  <rfmt sheetId="1" sqref="M145" start="0" length="0">
    <dxf>
      <numFmt numFmtId="0" formatCode="General"/>
    </dxf>
  </rfmt>
  <rfmt sheetId="1" sqref="M146" start="0" length="0">
    <dxf>
      <numFmt numFmtId="0" formatCode="General"/>
    </dxf>
  </rfmt>
  <rfmt sheetId="1" sqref="M147" start="0" length="0">
    <dxf>
      <numFmt numFmtId="0" formatCode="General"/>
    </dxf>
  </rfmt>
  <rfmt sheetId="1" sqref="M148" start="0" length="0">
    <dxf>
      <numFmt numFmtId="0" formatCode="General"/>
    </dxf>
  </rfmt>
  <rfmt sheetId="1" sqref="M149" start="0" length="0">
    <dxf>
      <numFmt numFmtId="0" formatCode="General"/>
    </dxf>
  </rfmt>
  <rfmt sheetId="1" sqref="M150" start="0" length="0">
    <dxf>
      <numFmt numFmtId="0" formatCode="General"/>
    </dxf>
  </rfmt>
  <rfmt sheetId="1" sqref="M151" start="0" length="0">
    <dxf>
      <numFmt numFmtId="0" formatCode="General"/>
    </dxf>
  </rfmt>
  <rfmt sheetId="1" sqref="M152" start="0" length="0">
    <dxf>
      <numFmt numFmtId="0" formatCode="General"/>
    </dxf>
  </rfmt>
  <rfmt sheetId="1" sqref="M153" start="0" length="0">
    <dxf>
      <numFmt numFmtId="0" formatCode="General"/>
    </dxf>
  </rfmt>
  <rfmt sheetId="1" sqref="M154" start="0" length="0">
    <dxf>
      <numFmt numFmtId="0" formatCode="General"/>
    </dxf>
  </rfmt>
  <rfmt sheetId="1" sqref="M155" start="0" length="0">
    <dxf>
      <numFmt numFmtId="0" formatCode="General"/>
    </dxf>
  </rfmt>
  <rfmt sheetId="1" sqref="M156" start="0" length="0">
    <dxf>
      <numFmt numFmtId="0" formatCode="General"/>
    </dxf>
  </rfmt>
  <rfmt sheetId="1" sqref="M157" start="0" length="0">
    <dxf>
      <numFmt numFmtId="0" formatCode="General"/>
    </dxf>
  </rfmt>
  <rfmt sheetId="1" sqref="M158" start="0" length="0">
    <dxf>
      <numFmt numFmtId="0" formatCode="General"/>
    </dxf>
  </rfmt>
  <rfmt sheetId="1" sqref="M159" start="0" length="0">
    <dxf>
      <numFmt numFmtId="0" formatCode="General"/>
    </dxf>
  </rfmt>
  <rfmt sheetId="1" sqref="M160" start="0" length="0">
    <dxf>
      <numFmt numFmtId="0" formatCode="General"/>
    </dxf>
  </rfmt>
  <rfmt sheetId="1" sqref="M161" start="0" length="0">
    <dxf>
      <numFmt numFmtId="0" formatCode="General"/>
    </dxf>
  </rfmt>
  <rfmt sheetId="1" sqref="M162" start="0" length="0">
    <dxf>
      <numFmt numFmtId="0" formatCode="General"/>
    </dxf>
  </rfmt>
  <rfmt sheetId="1" sqref="M163" start="0" length="0">
    <dxf>
      <numFmt numFmtId="0" formatCode="General"/>
    </dxf>
  </rfmt>
  <rfmt sheetId="1" sqref="M164" start="0" length="0">
    <dxf>
      <numFmt numFmtId="0" formatCode="General"/>
    </dxf>
  </rfmt>
  <rfmt sheetId="1" sqref="M165" start="0" length="0">
    <dxf>
      <numFmt numFmtId="0" formatCode="General"/>
    </dxf>
  </rfmt>
  <rfmt sheetId="1" sqref="M166" start="0" length="0">
    <dxf>
      <numFmt numFmtId="0" formatCode="General"/>
    </dxf>
  </rfmt>
  <rfmt sheetId="1" sqref="M167" start="0" length="0">
    <dxf>
      <numFmt numFmtId="0" formatCode="General"/>
    </dxf>
  </rfmt>
  <rfmt sheetId="1" sqref="M168" start="0" length="0">
    <dxf>
      <numFmt numFmtId="0" formatCode="General"/>
    </dxf>
  </rfmt>
  <rfmt sheetId="1" sqref="M169" start="0" length="0">
    <dxf>
      <numFmt numFmtId="0" formatCode="General"/>
    </dxf>
  </rfmt>
  <rfmt sheetId="1" sqref="M170" start="0" length="0">
    <dxf>
      <numFmt numFmtId="0" formatCode="General"/>
    </dxf>
  </rfmt>
  <rfmt sheetId="1" sqref="M171" start="0" length="0">
    <dxf>
      <numFmt numFmtId="0" formatCode="General"/>
    </dxf>
  </rfmt>
  <rfmt sheetId="1" sqref="M172" start="0" length="0">
    <dxf>
      <numFmt numFmtId="0" formatCode="General"/>
    </dxf>
  </rfmt>
  <rfmt sheetId="1" sqref="M173" start="0" length="0">
    <dxf>
      <numFmt numFmtId="0" formatCode="General"/>
    </dxf>
  </rfmt>
  <rfmt sheetId="1" sqref="M174" start="0" length="0">
    <dxf>
      <numFmt numFmtId="0" formatCode="General"/>
    </dxf>
  </rfmt>
  <rfmt sheetId="1" sqref="M175" start="0" length="0">
    <dxf>
      <numFmt numFmtId="0" formatCode="General"/>
    </dxf>
  </rfmt>
  <rfmt sheetId="1" sqref="M176" start="0" length="0">
    <dxf>
      <numFmt numFmtId="0" formatCode="General"/>
    </dxf>
  </rfmt>
  <rfmt sheetId="1" sqref="M177" start="0" length="0">
    <dxf>
      <numFmt numFmtId="0" formatCode="General"/>
    </dxf>
  </rfmt>
  <rfmt sheetId="1" sqref="M178" start="0" length="0">
    <dxf>
      <numFmt numFmtId="0" formatCode="General"/>
    </dxf>
  </rfmt>
  <rfmt sheetId="1" sqref="M179" start="0" length="0">
    <dxf>
      <numFmt numFmtId="0" formatCode="General"/>
    </dxf>
  </rfmt>
  <rfmt sheetId="1" sqref="M180" start="0" length="0">
    <dxf>
      <numFmt numFmtId="0" formatCode="General"/>
    </dxf>
  </rfmt>
  <rfmt sheetId="1" sqref="M181" start="0" length="0">
    <dxf>
      <numFmt numFmtId="0" formatCode="General"/>
    </dxf>
  </rfmt>
  <rfmt sheetId="1" sqref="M1:M1048576" start="0" length="0">
    <dxf>
      <numFmt numFmtId="0" formatCode="General"/>
    </dxf>
  </rfmt>
  <rcc rId="171" sId="1">
    <oc r="N2" t="inlineStr">
      <is>
        <t>剩餘量</t>
        <phoneticPr fontId="0" type="noConversion"/>
      </is>
    </oc>
    <nc r="N2" t="inlineStr">
      <is>
        <t>到廠時間</t>
        <phoneticPr fontId="0" type="noConversion"/>
      </is>
    </nc>
  </rcc>
  <rrc rId="172" sId="2" ref="M1:M1048576" action="insertCol"/>
  <rfmt sheetId="2" sqref="M1" start="0" length="0">
    <dxf>
      <alignment horizontal="general" readingOrder="0"/>
    </dxf>
  </rfmt>
  <rcc rId="173" sId="2">
    <nc r="M2" t="inlineStr">
      <is>
        <t>剩餘量</t>
        <phoneticPr fontId="0" type="noConversion"/>
      </is>
    </nc>
  </rcc>
  <rfmt sheetId="2" sqref="M3" start="0" length="0">
    <dxf>
      <numFmt numFmtId="0" formatCode="General"/>
    </dxf>
  </rfmt>
  <rfmt sheetId="2" sqref="M4" start="0" length="0">
    <dxf>
      <numFmt numFmtId="0" formatCode="General"/>
    </dxf>
  </rfmt>
  <rfmt sheetId="2" sqref="M5" start="0" length="0">
    <dxf>
      <numFmt numFmtId="0" formatCode="General"/>
    </dxf>
  </rfmt>
  <rfmt sheetId="2" sqref="M6" start="0" length="0">
    <dxf>
      <numFmt numFmtId="0" formatCode="General"/>
    </dxf>
  </rfmt>
  <rfmt sheetId="2" sqref="M7" start="0" length="0">
    <dxf>
      <numFmt numFmtId="0" formatCode="General"/>
    </dxf>
  </rfmt>
  <rfmt sheetId="2" sqref="M8" start="0" length="0">
    <dxf>
      <font>
        <sz val="10"/>
        <name val="Arial"/>
        <scheme val="none"/>
      </font>
      <numFmt numFmtId="0" formatCode="General"/>
    </dxf>
  </rfmt>
  <rfmt sheetId="2" sqref="M9" start="0" length="0">
    <dxf>
      <numFmt numFmtId="0" formatCode="General"/>
    </dxf>
  </rfmt>
  <rfmt sheetId="2" sqref="M10" start="0" length="0">
    <dxf>
      <numFmt numFmtId="0" formatCode="General"/>
    </dxf>
  </rfmt>
  <rfmt sheetId="2" sqref="M11" start="0" length="0">
    <dxf>
      <numFmt numFmtId="0" formatCode="General"/>
    </dxf>
  </rfmt>
  <rfmt sheetId="2" sqref="M12" start="0" length="0">
    <dxf>
      <numFmt numFmtId="0" formatCode="General"/>
    </dxf>
  </rfmt>
  <rfmt sheetId="2" sqref="M13" start="0" length="0">
    <dxf>
      <numFmt numFmtId="0" formatCode="General"/>
    </dxf>
  </rfmt>
  <rfmt sheetId="2" sqref="M14" start="0" length="0">
    <dxf>
      <numFmt numFmtId="0" formatCode="General"/>
    </dxf>
  </rfmt>
  <rfmt sheetId="2" sqref="M15" start="0" length="0">
    <dxf>
      <numFmt numFmtId="0" formatCode="General"/>
    </dxf>
  </rfmt>
  <rfmt sheetId="2" sqref="M16" start="0" length="0">
    <dxf>
      <numFmt numFmtId="0" formatCode="General"/>
    </dxf>
  </rfmt>
  <rfmt sheetId="2" sqref="M17" start="0" length="0">
    <dxf>
      <numFmt numFmtId="0" formatCode="General"/>
    </dxf>
  </rfmt>
  <rfmt sheetId="2" sqref="M18" start="0" length="0">
    <dxf>
      <numFmt numFmtId="0" formatCode="General"/>
    </dxf>
  </rfmt>
  <rfmt sheetId="2" sqref="M19" start="0" length="0">
    <dxf>
      <numFmt numFmtId="0" formatCode="General"/>
    </dxf>
  </rfmt>
  <rfmt sheetId="2" sqref="M20" start="0" length="0">
    <dxf>
      <numFmt numFmtId="0" formatCode="General"/>
    </dxf>
  </rfmt>
  <rfmt sheetId="2" sqref="M21" start="0" length="0">
    <dxf>
      <numFmt numFmtId="0" formatCode="General"/>
    </dxf>
  </rfmt>
  <rfmt sheetId="2" sqref="M22" start="0" length="0">
    <dxf>
      <numFmt numFmtId="0" formatCode="General"/>
    </dxf>
  </rfmt>
  <rfmt sheetId="2" sqref="M23" start="0" length="0">
    <dxf>
      <numFmt numFmtId="0" formatCode="General"/>
    </dxf>
  </rfmt>
  <rfmt sheetId="2" sqref="M24" start="0" length="0">
    <dxf>
      <numFmt numFmtId="0" formatCode="General"/>
    </dxf>
  </rfmt>
  <rfmt sheetId="2" sqref="M25" start="0" length="0">
    <dxf>
      <numFmt numFmtId="0" formatCode="General"/>
    </dxf>
  </rfmt>
  <rfmt sheetId="2" sqref="M26" start="0" length="0">
    <dxf>
      <numFmt numFmtId="0" formatCode="General"/>
    </dxf>
  </rfmt>
  <rfmt sheetId="2" sqref="M27" start="0" length="0">
    <dxf>
      <numFmt numFmtId="0" formatCode="General"/>
    </dxf>
  </rfmt>
  <rfmt sheetId="2" sqref="M28" start="0" length="0">
    <dxf>
      <numFmt numFmtId="0" formatCode="General"/>
    </dxf>
  </rfmt>
  <rfmt sheetId="2" sqref="M29" start="0" length="0">
    <dxf>
      <numFmt numFmtId="0" formatCode="General"/>
    </dxf>
  </rfmt>
  <rfmt sheetId="2" sqref="M30" start="0" length="0">
    <dxf>
      <numFmt numFmtId="0" formatCode="General"/>
    </dxf>
  </rfmt>
  <rfmt sheetId="2" sqref="M31" start="0" length="0">
    <dxf>
      <numFmt numFmtId="0" formatCode="General"/>
    </dxf>
  </rfmt>
  <rfmt sheetId="2" sqref="M32" start="0" length="0">
    <dxf>
      <numFmt numFmtId="0" formatCode="General"/>
    </dxf>
  </rfmt>
  <rfmt sheetId="2" sqref="M33" start="0" length="0">
    <dxf>
      <numFmt numFmtId="0" formatCode="General"/>
    </dxf>
  </rfmt>
  <rfmt sheetId="2" sqref="M34" start="0" length="0">
    <dxf>
      <numFmt numFmtId="0" formatCode="General"/>
    </dxf>
  </rfmt>
  <rfmt sheetId="2" sqref="M35" start="0" length="0">
    <dxf>
      <numFmt numFmtId="0" formatCode="General"/>
    </dxf>
  </rfmt>
  <rfmt sheetId="2" sqref="M36" start="0" length="0">
    <dxf>
      <numFmt numFmtId="0" formatCode="General"/>
    </dxf>
  </rfmt>
  <rfmt sheetId="2" sqref="M37" start="0" length="0">
    <dxf>
      <numFmt numFmtId="0" formatCode="General"/>
    </dxf>
  </rfmt>
  <rfmt sheetId="2" sqref="M38" start="0" length="0">
    <dxf>
      <numFmt numFmtId="0" formatCode="General"/>
    </dxf>
  </rfmt>
  <rfmt sheetId="2" sqref="M39" start="0" length="0">
    <dxf>
      <numFmt numFmtId="0" formatCode="General"/>
    </dxf>
  </rfmt>
  <rfmt sheetId="2" sqref="M40" start="0" length="0">
    <dxf>
      <numFmt numFmtId="0" formatCode="General"/>
    </dxf>
  </rfmt>
  <rfmt sheetId="2" sqref="M41" start="0" length="0">
    <dxf>
      <numFmt numFmtId="0" formatCode="General"/>
    </dxf>
  </rfmt>
  <rfmt sheetId="2" sqref="M42" start="0" length="0">
    <dxf>
      <numFmt numFmtId="0" formatCode="General"/>
    </dxf>
  </rfmt>
  <rfmt sheetId="2" sqref="M43" start="0" length="0">
    <dxf>
      <numFmt numFmtId="0" formatCode="General"/>
    </dxf>
  </rfmt>
  <rfmt sheetId="2" sqref="M44" start="0" length="0">
    <dxf>
      <numFmt numFmtId="0" formatCode="General"/>
    </dxf>
  </rfmt>
  <rfmt sheetId="2" sqref="M45" start="0" length="0">
    <dxf>
      <numFmt numFmtId="0" formatCode="General"/>
    </dxf>
  </rfmt>
  <rfmt sheetId="2" sqref="M46" start="0" length="0">
    <dxf>
      <numFmt numFmtId="0" formatCode="General"/>
    </dxf>
  </rfmt>
  <rfmt sheetId="2" sqref="M47" start="0" length="0">
    <dxf>
      <numFmt numFmtId="0" formatCode="General"/>
    </dxf>
  </rfmt>
  <rfmt sheetId="2" sqref="M48" start="0" length="0">
    <dxf>
      <numFmt numFmtId="0" formatCode="General"/>
    </dxf>
  </rfmt>
  <rfmt sheetId="2" sqref="M49" start="0" length="0">
    <dxf>
      <numFmt numFmtId="0" formatCode="General"/>
    </dxf>
  </rfmt>
  <rfmt sheetId="2" sqref="M50" start="0" length="0">
    <dxf>
      <numFmt numFmtId="0" formatCode="General"/>
    </dxf>
  </rfmt>
  <rfmt sheetId="2" sqref="M51" start="0" length="0">
    <dxf>
      <numFmt numFmtId="0" formatCode="General"/>
    </dxf>
  </rfmt>
  <rfmt sheetId="2" sqref="M52" start="0" length="0">
    <dxf>
      <numFmt numFmtId="0" formatCode="General"/>
    </dxf>
  </rfmt>
  <rfmt sheetId="2" sqref="M53" start="0" length="0">
    <dxf>
      <numFmt numFmtId="0" formatCode="General"/>
    </dxf>
  </rfmt>
  <rfmt sheetId="2" sqref="M54" start="0" length="0">
    <dxf>
      <numFmt numFmtId="0" formatCode="General"/>
    </dxf>
  </rfmt>
  <rfmt sheetId="2" sqref="M55" start="0" length="0">
    <dxf>
      <numFmt numFmtId="0" formatCode="General"/>
    </dxf>
  </rfmt>
  <rfmt sheetId="2" sqref="M56" start="0" length="0">
    <dxf>
      <numFmt numFmtId="0" formatCode="General"/>
    </dxf>
  </rfmt>
  <rfmt sheetId="2" sqref="M57" start="0" length="0">
    <dxf>
      <numFmt numFmtId="0" formatCode="General"/>
    </dxf>
  </rfmt>
  <rfmt sheetId="2" sqref="M58" start="0" length="0">
    <dxf>
      <numFmt numFmtId="0" formatCode="General"/>
    </dxf>
  </rfmt>
  <rfmt sheetId="2" sqref="M59" start="0" length="0">
    <dxf>
      <font>
        <sz val="10"/>
        <name val="Arial"/>
        <scheme val="none"/>
      </font>
      <numFmt numFmtId="0" formatCode="General"/>
    </dxf>
  </rfmt>
  <rfmt sheetId="2" sqref="M60" start="0" length="0">
    <dxf>
      <numFmt numFmtId="0" formatCode="General"/>
    </dxf>
  </rfmt>
  <rfmt sheetId="2" sqref="M61" start="0" length="0">
    <dxf>
      <numFmt numFmtId="0" formatCode="General"/>
    </dxf>
  </rfmt>
  <rfmt sheetId="2" sqref="M62" start="0" length="0">
    <dxf>
      <numFmt numFmtId="0" formatCode="General"/>
    </dxf>
  </rfmt>
  <rfmt sheetId="2" sqref="M63" start="0" length="0">
    <dxf>
      <numFmt numFmtId="0" formatCode="General"/>
    </dxf>
  </rfmt>
  <rfmt sheetId="2" sqref="M64" start="0" length="0">
    <dxf>
      <numFmt numFmtId="0" formatCode="General"/>
    </dxf>
  </rfmt>
  <rfmt sheetId="2" sqref="M65" start="0" length="0">
    <dxf>
      <numFmt numFmtId="0" formatCode="General"/>
    </dxf>
  </rfmt>
  <rfmt sheetId="2" sqref="M66" start="0" length="0">
    <dxf>
      <numFmt numFmtId="0" formatCode="General"/>
    </dxf>
  </rfmt>
  <rfmt sheetId="2" sqref="M67" start="0" length="0">
    <dxf>
      <numFmt numFmtId="0" formatCode="General"/>
    </dxf>
  </rfmt>
  <rfmt sheetId="2" sqref="M68" start="0" length="0">
    <dxf>
      <numFmt numFmtId="0" formatCode="General"/>
    </dxf>
  </rfmt>
  <rfmt sheetId="2" sqref="M69" start="0" length="0">
    <dxf>
      <numFmt numFmtId="0" formatCode="General"/>
    </dxf>
  </rfmt>
  <rfmt sheetId="2" sqref="M70" start="0" length="0">
    <dxf>
      <font>
        <sz val="10"/>
        <name val="Arial"/>
        <scheme val="none"/>
      </font>
      <numFmt numFmtId="0" formatCode="General"/>
    </dxf>
  </rfmt>
  <rfmt sheetId="2" sqref="M71" start="0" length="0">
    <dxf>
      <numFmt numFmtId="0" formatCode="General"/>
    </dxf>
  </rfmt>
  <rfmt sheetId="2" sqref="M72" start="0" length="0">
    <dxf>
      <numFmt numFmtId="0" formatCode="General"/>
    </dxf>
  </rfmt>
  <rfmt sheetId="2" sqref="M73" start="0" length="0">
    <dxf>
      <numFmt numFmtId="0" formatCode="General"/>
    </dxf>
  </rfmt>
  <rfmt sheetId="2" sqref="M74" start="0" length="0">
    <dxf>
      <numFmt numFmtId="0" formatCode="General"/>
    </dxf>
  </rfmt>
  <rfmt sheetId="2" sqref="M75" start="0" length="0">
    <dxf>
      <numFmt numFmtId="0" formatCode="General"/>
    </dxf>
  </rfmt>
  <rfmt sheetId="2" sqref="M76" start="0" length="0">
    <dxf>
      <numFmt numFmtId="0" formatCode="General"/>
    </dxf>
  </rfmt>
  <rfmt sheetId="2" sqref="M77" start="0" length="0">
    <dxf>
      <numFmt numFmtId="0" formatCode="General"/>
    </dxf>
  </rfmt>
  <rfmt sheetId="2" sqref="M78" start="0" length="0">
    <dxf>
      <numFmt numFmtId="0" formatCode="General"/>
    </dxf>
  </rfmt>
  <rfmt sheetId="2" sqref="M79" start="0" length="0">
    <dxf>
      <numFmt numFmtId="0" formatCode="General"/>
    </dxf>
  </rfmt>
  <rfmt sheetId="2" sqref="M80" start="0" length="0">
    <dxf>
      <numFmt numFmtId="0" formatCode="General"/>
    </dxf>
  </rfmt>
  <rfmt sheetId="2" sqref="M81" start="0" length="0">
    <dxf>
      <numFmt numFmtId="0" formatCode="General"/>
    </dxf>
  </rfmt>
  <rfmt sheetId="2" sqref="M82" start="0" length="0">
    <dxf>
      <numFmt numFmtId="0" formatCode="General"/>
    </dxf>
  </rfmt>
  <rfmt sheetId="2" sqref="M83" start="0" length="0">
    <dxf>
      <numFmt numFmtId="0" formatCode="General"/>
    </dxf>
  </rfmt>
  <rfmt sheetId="2" sqref="M84" start="0" length="0">
    <dxf>
      <numFmt numFmtId="0" formatCode="General"/>
    </dxf>
  </rfmt>
  <rfmt sheetId="2" sqref="M85" start="0" length="0">
    <dxf>
      <numFmt numFmtId="0" formatCode="General"/>
    </dxf>
  </rfmt>
  <rfmt sheetId="2" sqref="M86" start="0" length="0">
    <dxf>
      <numFmt numFmtId="0" formatCode="General"/>
    </dxf>
  </rfmt>
  <rfmt sheetId="2" sqref="M87" start="0" length="0">
    <dxf>
      <numFmt numFmtId="0" formatCode="General"/>
    </dxf>
  </rfmt>
  <rfmt sheetId="2" sqref="M88" start="0" length="0">
    <dxf>
      <numFmt numFmtId="0" formatCode="General"/>
    </dxf>
  </rfmt>
  <rfmt sheetId="2" sqref="M89" start="0" length="0">
    <dxf>
      <numFmt numFmtId="0" formatCode="General"/>
    </dxf>
  </rfmt>
  <rfmt sheetId="2" sqref="M90" start="0" length="0">
    <dxf>
      <numFmt numFmtId="0" formatCode="General"/>
    </dxf>
  </rfmt>
  <rfmt sheetId="2" sqref="M91" start="0" length="0">
    <dxf>
      <numFmt numFmtId="0" formatCode="General"/>
    </dxf>
  </rfmt>
  <rfmt sheetId="2" sqref="M92" start="0" length="0">
    <dxf>
      <numFmt numFmtId="0" formatCode="General"/>
    </dxf>
  </rfmt>
  <rfmt sheetId="2" sqref="M93" start="0" length="0">
    <dxf>
      <numFmt numFmtId="0" formatCode="General"/>
    </dxf>
  </rfmt>
  <rfmt sheetId="2" sqref="M94" start="0" length="0">
    <dxf>
      <numFmt numFmtId="0" formatCode="General"/>
    </dxf>
  </rfmt>
  <rfmt sheetId="2" sqref="M95" start="0" length="0">
    <dxf>
      <numFmt numFmtId="0" formatCode="General"/>
    </dxf>
  </rfmt>
  <rfmt sheetId="2" sqref="M96" start="0" length="0">
    <dxf>
      <numFmt numFmtId="0" formatCode="General"/>
    </dxf>
  </rfmt>
  <rfmt sheetId="2" sqref="M97" start="0" length="0">
    <dxf>
      <numFmt numFmtId="0" formatCode="General"/>
    </dxf>
  </rfmt>
  <rfmt sheetId="2" sqref="M98" start="0" length="0">
    <dxf>
      <numFmt numFmtId="0" formatCode="General"/>
    </dxf>
  </rfmt>
  <rfmt sheetId="2" sqref="M99" start="0" length="0">
    <dxf>
      <numFmt numFmtId="0" formatCode="General"/>
    </dxf>
  </rfmt>
  <rfmt sheetId="2" sqref="M100" start="0" length="0">
    <dxf>
      <numFmt numFmtId="0" formatCode="General"/>
    </dxf>
  </rfmt>
  <rfmt sheetId="2" sqref="M101" start="0" length="0">
    <dxf>
      <numFmt numFmtId="0" formatCode="General"/>
    </dxf>
  </rfmt>
  <rfmt sheetId="2" sqref="M102" start="0" length="0">
    <dxf>
      <numFmt numFmtId="0" formatCode="General"/>
    </dxf>
  </rfmt>
  <rfmt sheetId="2" sqref="M103" start="0" length="0">
    <dxf>
      <numFmt numFmtId="0" formatCode="General"/>
    </dxf>
  </rfmt>
  <rfmt sheetId="2" sqref="M104" start="0" length="0">
    <dxf>
      <numFmt numFmtId="0" formatCode="General"/>
    </dxf>
  </rfmt>
  <rfmt sheetId="2" sqref="M105" start="0" length="0">
    <dxf>
      <numFmt numFmtId="0" formatCode="General"/>
    </dxf>
  </rfmt>
  <rfmt sheetId="2" sqref="M106" start="0" length="0">
    <dxf>
      <numFmt numFmtId="0" formatCode="General"/>
    </dxf>
  </rfmt>
  <rfmt sheetId="2" sqref="M107" start="0" length="0">
    <dxf>
      <numFmt numFmtId="0" formatCode="General"/>
    </dxf>
  </rfmt>
  <rfmt sheetId="2" sqref="M108" start="0" length="0">
    <dxf>
      <numFmt numFmtId="0" formatCode="General"/>
    </dxf>
  </rfmt>
  <rfmt sheetId="2" sqref="M109" start="0" length="0">
    <dxf>
      <numFmt numFmtId="0" formatCode="General"/>
    </dxf>
  </rfmt>
  <rfmt sheetId="2" sqref="M110" start="0" length="0">
    <dxf>
      <numFmt numFmtId="0" formatCode="General"/>
    </dxf>
  </rfmt>
  <rfmt sheetId="2" sqref="M111" start="0" length="0">
    <dxf>
      <numFmt numFmtId="0" formatCode="General"/>
    </dxf>
  </rfmt>
  <rfmt sheetId="2" sqref="M112" start="0" length="0">
    <dxf>
      <numFmt numFmtId="0" formatCode="General"/>
    </dxf>
  </rfmt>
  <rfmt sheetId="2" sqref="M113" start="0" length="0">
    <dxf>
      <numFmt numFmtId="0" formatCode="General"/>
    </dxf>
  </rfmt>
  <rfmt sheetId="2" sqref="M114" start="0" length="0">
    <dxf>
      <numFmt numFmtId="0" formatCode="General"/>
    </dxf>
  </rfmt>
  <rfmt sheetId="2" sqref="M115" start="0" length="0">
    <dxf>
      <numFmt numFmtId="0" formatCode="General"/>
    </dxf>
  </rfmt>
  <rfmt sheetId="2" sqref="M116" start="0" length="0">
    <dxf>
      <numFmt numFmtId="0" formatCode="General"/>
    </dxf>
  </rfmt>
  <rfmt sheetId="2" sqref="M117" start="0" length="0">
    <dxf>
      <numFmt numFmtId="0" formatCode="General"/>
    </dxf>
  </rfmt>
  <rfmt sheetId="2" sqref="M118" start="0" length="0">
    <dxf>
      <numFmt numFmtId="0" formatCode="General"/>
    </dxf>
  </rfmt>
  <rfmt sheetId="2" sqref="M119" start="0" length="0">
    <dxf>
      <numFmt numFmtId="0" formatCode="General"/>
    </dxf>
  </rfmt>
  <rfmt sheetId="2" sqref="M120" start="0" length="0">
    <dxf>
      <numFmt numFmtId="0" formatCode="General"/>
    </dxf>
  </rfmt>
  <rfmt sheetId="2" sqref="M121" start="0" length="0">
    <dxf>
      <numFmt numFmtId="0" formatCode="General"/>
    </dxf>
  </rfmt>
  <rfmt sheetId="2" sqref="M122" start="0" length="0">
    <dxf>
      <numFmt numFmtId="0" formatCode="General"/>
    </dxf>
  </rfmt>
  <rfmt sheetId="2" sqref="M123" start="0" length="0">
    <dxf>
      <numFmt numFmtId="0" formatCode="General"/>
    </dxf>
  </rfmt>
  <rfmt sheetId="2" sqref="M124" start="0" length="0">
    <dxf>
      <numFmt numFmtId="0" formatCode="General"/>
    </dxf>
  </rfmt>
  <rfmt sheetId="2" sqref="M125" start="0" length="0">
    <dxf>
      <numFmt numFmtId="0" formatCode="General"/>
    </dxf>
  </rfmt>
  <rfmt sheetId="2" sqref="M126" start="0" length="0">
    <dxf>
      <numFmt numFmtId="0" formatCode="General"/>
    </dxf>
  </rfmt>
  <rfmt sheetId="2" sqref="M127" start="0" length="0">
    <dxf>
      <numFmt numFmtId="0" formatCode="General"/>
    </dxf>
  </rfmt>
  <rfmt sheetId="2" sqref="M128" start="0" length="0">
    <dxf>
      <numFmt numFmtId="0" formatCode="General"/>
    </dxf>
  </rfmt>
  <rfmt sheetId="2" sqref="M129" start="0" length="0">
    <dxf>
      <numFmt numFmtId="0" formatCode="General"/>
    </dxf>
  </rfmt>
  <rfmt sheetId="2" sqref="M130" start="0" length="0">
    <dxf>
      <font>
        <sz val="10"/>
        <name val="Arial"/>
        <scheme val="none"/>
      </font>
      <numFmt numFmtId="0" formatCode="General"/>
    </dxf>
  </rfmt>
  <rfmt sheetId="2" sqref="M131" start="0" length="0">
    <dxf>
      <font>
        <sz val="10"/>
        <name val="Arial"/>
        <scheme val="none"/>
      </font>
      <numFmt numFmtId="0" formatCode="General"/>
    </dxf>
  </rfmt>
  <rfmt sheetId="2" sqref="M132" start="0" length="0">
    <dxf>
      <font>
        <sz val="10"/>
        <name val="Arial"/>
        <scheme val="none"/>
      </font>
      <numFmt numFmtId="0" formatCode="General"/>
    </dxf>
  </rfmt>
  <rfmt sheetId="2" sqref="M133" start="0" length="0">
    <dxf>
      <numFmt numFmtId="0" formatCode="General"/>
    </dxf>
  </rfmt>
  <rfmt sheetId="2" sqref="M134" start="0" length="0">
    <dxf>
      <numFmt numFmtId="0" formatCode="General"/>
    </dxf>
  </rfmt>
  <rfmt sheetId="2" sqref="M135" start="0" length="0">
    <dxf>
      <numFmt numFmtId="0" formatCode="General"/>
    </dxf>
  </rfmt>
  <rfmt sheetId="2" sqref="M136" start="0" length="0">
    <dxf>
      <numFmt numFmtId="0" formatCode="General"/>
    </dxf>
  </rfmt>
  <rfmt sheetId="2" sqref="M137" start="0" length="0">
    <dxf>
      <numFmt numFmtId="0" formatCode="General"/>
    </dxf>
  </rfmt>
  <rfmt sheetId="2" sqref="M138" start="0" length="0">
    <dxf>
      <numFmt numFmtId="0" formatCode="General"/>
    </dxf>
  </rfmt>
  <rfmt sheetId="2" sqref="M139" start="0" length="0">
    <dxf>
      <numFmt numFmtId="0" formatCode="General"/>
    </dxf>
  </rfmt>
  <rfmt sheetId="2" sqref="M140" start="0" length="0">
    <dxf>
      <numFmt numFmtId="0" formatCode="General"/>
    </dxf>
  </rfmt>
  <rfmt sheetId="2" sqref="M141" start="0" length="0">
    <dxf>
      <numFmt numFmtId="0" formatCode="General"/>
    </dxf>
  </rfmt>
  <rfmt sheetId="2" sqref="M142" start="0" length="0">
    <dxf>
      <numFmt numFmtId="0" formatCode="General"/>
    </dxf>
  </rfmt>
  <rfmt sheetId="2" sqref="M143" start="0" length="0">
    <dxf>
      <numFmt numFmtId="0" formatCode="General"/>
    </dxf>
  </rfmt>
  <rfmt sheetId="2" sqref="M144" start="0" length="0">
    <dxf>
      <numFmt numFmtId="0" formatCode="General"/>
    </dxf>
  </rfmt>
  <rfmt sheetId="2" sqref="M145" start="0" length="0">
    <dxf>
      <numFmt numFmtId="0" formatCode="General"/>
    </dxf>
  </rfmt>
  <rfmt sheetId="2" sqref="M146" start="0" length="0">
    <dxf>
      <numFmt numFmtId="0" formatCode="General"/>
    </dxf>
  </rfmt>
  <rfmt sheetId="2" sqref="M147" start="0" length="0">
    <dxf>
      <numFmt numFmtId="0" formatCode="General"/>
    </dxf>
  </rfmt>
  <rfmt sheetId="2" sqref="M148" start="0" length="0">
    <dxf>
      <numFmt numFmtId="0" formatCode="General"/>
    </dxf>
  </rfmt>
  <rfmt sheetId="2" sqref="M149" start="0" length="0">
    <dxf>
      <font>
        <sz val="10"/>
        <name val="Arial"/>
        <scheme val="none"/>
      </font>
      <numFmt numFmtId="0" formatCode="General"/>
    </dxf>
  </rfmt>
  <rfmt sheetId="2" sqref="M150" start="0" length="0">
    <dxf>
      <numFmt numFmtId="0" formatCode="General"/>
    </dxf>
  </rfmt>
  <rfmt sheetId="2" sqref="M151" start="0" length="0">
    <dxf>
      <numFmt numFmtId="0" formatCode="General"/>
    </dxf>
  </rfmt>
  <rfmt sheetId="2" sqref="M152" start="0" length="0">
    <dxf>
      <numFmt numFmtId="0" formatCode="General"/>
    </dxf>
  </rfmt>
  <rfmt sheetId="2" sqref="M153" start="0" length="0">
    <dxf>
      <numFmt numFmtId="0" formatCode="General"/>
    </dxf>
  </rfmt>
  <rfmt sheetId="2" sqref="M154" start="0" length="0">
    <dxf>
      <numFmt numFmtId="0" formatCode="General"/>
    </dxf>
  </rfmt>
  <rfmt sheetId="2" sqref="M155" start="0" length="0">
    <dxf>
      <numFmt numFmtId="0" formatCode="General"/>
    </dxf>
  </rfmt>
  <rfmt sheetId="2" sqref="M156" start="0" length="0">
    <dxf>
      <numFmt numFmtId="0" formatCode="General"/>
    </dxf>
  </rfmt>
  <rfmt sheetId="2" sqref="M157" start="0" length="0">
    <dxf>
      <numFmt numFmtId="0" formatCode="General"/>
    </dxf>
  </rfmt>
  <rfmt sheetId="2" sqref="M158" start="0" length="0">
    <dxf>
      <numFmt numFmtId="0" formatCode="General"/>
    </dxf>
  </rfmt>
  <rfmt sheetId="2" sqref="M159" start="0" length="0">
    <dxf>
      <numFmt numFmtId="0" formatCode="General"/>
    </dxf>
  </rfmt>
  <rfmt sheetId="2" sqref="M160" start="0" length="0">
    <dxf>
      <numFmt numFmtId="0" formatCode="General"/>
    </dxf>
  </rfmt>
  <rfmt sheetId="2" sqref="M161" start="0" length="0">
    <dxf>
      <numFmt numFmtId="0" formatCode="General"/>
    </dxf>
  </rfmt>
  <rfmt sheetId="2" sqref="M162" start="0" length="0">
    <dxf>
      <numFmt numFmtId="0" formatCode="General"/>
    </dxf>
  </rfmt>
  <rfmt sheetId="2" sqref="M163" start="0" length="0">
    <dxf>
      <numFmt numFmtId="0" formatCode="General"/>
    </dxf>
  </rfmt>
  <rfmt sheetId="2" sqref="M164" start="0" length="0">
    <dxf>
      <numFmt numFmtId="0" formatCode="General"/>
    </dxf>
  </rfmt>
  <rfmt sheetId="2" sqref="M165" start="0" length="0">
    <dxf>
      <numFmt numFmtId="0" formatCode="General"/>
    </dxf>
  </rfmt>
  <rfmt sheetId="2" sqref="M166" start="0" length="0">
    <dxf>
      <numFmt numFmtId="0" formatCode="General"/>
    </dxf>
  </rfmt>
  <rfmt sheetId="2" sqref="M167" start="0" length="0">
    <dxf>
      <numFmt numFmtId="0" formatCode="General"/>
    </dxf>
  </rfmt>
  <rfmt sheetId="2" sqref="M168" start="0" length="0">
    <dxf>
      <numFmt numFmtId="0" formatCode="General"/>
    </dxf>
  </rfmt>
  <rfmt sheetId="2" sqref="M169" start="0" length="0">
    <dxf>
      <numFmt numFmtId="0" formatCode="General"/>
    </dxf>
  </rfmt>
  <rfmt sheetId="2" sqref="M170" start="0" length="0">
    <dxf>
      <numFmt numFmtId="0" formatCode="General"/>
    </dxf>
  </rfmt>
  <rfmt sheetId="2" sqref="M171" start="0" length="0">
    <dxf>
      <numFmt numFmtId="0" formatCode="General"/>
    </dxf>
  </rfmt>
  <rfmt sheetId="2" sqref="M172" start="0" length="0">
    <dxf>
      <numFmt numFmtId="0" formatCode="General"/>
    </dxf>
  </rfmt>
  <rfmt sheetId="2" sqref="M173" start="0" length="0">
    <dxf>
      <numFmt numFmtId="0" formatCode="General"/>
    </dxf>
  </rfmt>
  <rfmt sheetId="2" sqref="M174" start="0" length="0">
    <dxf>
      <numFmt numFmtId="0" formatCode="General"/>
    </dxf>
  </rfmt>
  <rfmt sheetId="2" sqref="M175" start="0" length="0">
    <dxf>
      <numFmt numFmtId="0" formatCode="General"/>
    </dxf>
  </rfmt>
  <rfmt sheetId="2" sqref="M176" start="0" length="0">
    <dxf>
      <numFmt numFmtId="0" formatCode="General"/>
    </dxf>
  </rfmt>
  <rfmt sheetId="2" sqref="M177" start="0" length="0">
    <dxf>
      <numFmt numFmtId="0" formatCode="General"/>
    </dxf>
  </rfmt>
  <rfmt sheetId="2" sqref="M178" start="0" length="0">
    <dxf>
      <numFmt numFmtId="0" formatCode="General"/>
    </dxf>
  </rfmt>
  <rfmt sheetId="2" sqref="M179" start="0" length="0">
    <dxf>
      <numFmt numFmtId="0" formatCode="General"/>
    </dxf>
  </rfmt>
  <rfmt sheetId="2" sqref="M180" start="0" length="0">
    <dxf>
      <numFmt numFmtId="0" formatCode="General"/>
    </dxf>
  </rfmt>
  <rfmt sheetId="2" sqref="M181" start="0" length="0">
    <dxf>
      <numFmt numFmtId="0" formatCode="General"/>
    </dxf>
  </rfmt>
  <rfmt sheetId="2" sqref="M182" start="0" length="0">
    <dxf>
      <numFmt numFmtId="0" formatCode="General"/>
    </dxf>
  </rfmt>
  <rfmt sheetId="2" sqref="M183" start="0" length="0">
    <dxf>
      <numFmt numFmtId="0" formatCode="General"/>
    </dxf>
  </rfmt>
  <rfmt sheetId="2" sqref="M184" start="0" length="0">
    <dxf>
      <numFmt numFmtId="0" formatCode="General"/>
    </dxf>
  </rfmt>
  <rfmt sheetId="2" sqref="M185" start="0" length="0">
    <dxf>
      <numFmt numFmtId="0" formatCode="General"/>
    </dxf>
  </rfmt>
  <rfmt sheetId="2" sqref="M186" start="0" length="0">
    <dxf>
      <numFmt numFmtId="0" formatCode="General"/>
    </dxf>
  </rfmt>
  <rfmt sheetId="2" sqref="M187" start="0" length="0">
    <dxf>
      <numFmt numFmtId="0" formatCode="General"/>
    </dxf>
  </rfmt>
  <rfmt sheetId="2" sqref="M188" start="0" length="0">
    <dxf>
      <numFmt numFmtId="0" formatCode="General"/>
    </dxf>
  </rfmt>
  <rfmt sheetId="2" sqref="M189" start="0" length="0">
    <dxf>
      <font>
        <sz val="10"/>
        <name val="Arial"/>
        <scheme val="none"/>
      </font>
      <numFmt numFmtId="0" formatCode="General"/>
    </dxf>
  </rfmt>
  <rfmt sheetId="2" sqref="M190" start="0" length="0">
    <dxf>
      <numFmt numFmtId="0" formatCode="General"/>
    </dxf>
  </rfmt>
  <rfmt sheetId="2" sqref="M191" start="0" length="0">
    <dxf>
      <numFmt numFmtId="0" formatCode="General"/>
    </dxf>
  </rfmt>
  <rfmt sheetId="2" sqref="M192" start="0" length="0">
    <dxf>
      <numFmt numFmtId="0" formatCode="General"/>
    </dxf>
  </rfmt>
  <rfmt sheetId="2" sqref="M193" start="0" length="0">
    <dxf>
      <numFmt numFmtId="0" formatCode="General"/>
    </dxf>
  </rfmt>
  <rfmt sheetId="2" sqref="M194" start="0" length="0">
    <dxf>
      <numFmt numFmtId="0" formatCode="General"/>
    </dxf>
  </rfmt>
  <rfmt sheetId="2" sqref="M195" start="0" length="0">
    <dxf>
      <numFmt numFmtId="0" formatCode="General"/>
    </dxf>
  </rfmt>
  <rfmt sheetId="2" sqref="M196" start="0" length="0">
    <dxf>
      <numFmt numFmtId="0" formatCode="General"/>
    </dxf>
  </rfmt>
  <rfmt sheetId="2" sqref="M197" start="0" length="0">
    <dxf>
      <numFmt numFmtId="0" formatCode="General"/>
    </dxf>
  </rfmt>
  <rfmt sheetId="2" sqref="M198" start="0" length="0">
    <dxf>
      <numFmt numFmtId="0" formatCode="General"/>
    </dxf>
  </rfmt>
  <rfmt sheetId="2" sqref="M199" start="0" length="0">
    <dxf>
      <numFmt numFmtId="0" formatCode="General"/>
    </dxf>
  </rfmt>
  <rfmt sheetId="2" sqref="M200" start="0" length="0">
    <dxf>
      <numFmt numFmtId="0" formatCode="General"/>
    </dxf>
  </rfmt>
  <rfmt sheetId="2" sqref="M201" start="0" length="0">
    <dxf>
      <numFmt numFmtId="0" formatCode="General"/>
    </dxf>
  </rfmt>
  <rfmt sheetId="2" sqref="M202" start="0" length="0">
    <dxf>
      <numFmt numFmtId="0" formatCode="General"/>
    </dxf>
  </rfmt>
  <rfmt sheetId="2" sqref="M203" start="0" length="0">
    <dxf>
      <numFmt numFmtId="0" formatCode="General"/>
    </dxf>
  </rfmt>
  <rfmt sheetId="2" sqref="M204" start="0" length="0">
    <dxf>
      <font>
        <sz val="10"/>
        <color rgb="FFFF0000"/>
        <name val="Arial"/>
        <scheme val="none"/>
      </font>
      <numFmt numFmtId="0" formatCode="General"/>
    </dxf>
  </rfmt>
  <rfmt sheetId="2" sqref="M205" start="0" length="0">
    <dxf>
      <numFmt numFmtId="0" formatCode="General"/>
    </dxf>
  </rfmt>
  <rfmt sheetId="2" sqref="M206" start="0" length="0">
    <dxf>
      <numFmt numFmtId="0" formatCode="General"/>
    </dxf>
  </rfmt>
  <rfmt sheetId="2" sqref="M207" start="0" length="0">
    <dxf>
      <numFmt numFmtId="0" formatCode="General"/>
    </dxf>
  </rfmt>
  <rfmt sheetId="2" sqref="M208" start="0" length="0">
    <dxf>
      <numFmt numFmtId="0" formatCode="General"/>
    </dxf>
  </rfmt>
  <rfmt sheetId="2" sqref="M209" start="0" length="0">
    <dxf>
      <numFmt numFmtId="0" formatCode="General"/>
    </dxf>
  </rfmt>
  <rfmt sheetId="2" sqref="M210" start="0" length="0">
    <dxf>
      <numFmt numFmtId="0" formatCode="General"/>
    </dxf>
  </rfmt>
  <rfmt sheetId="2" sqref="M211" start="0" length="0">
    <dxf>
      <numFmt numFmtId="0" formatCode="General"/>
    </dxf>
  </rfmt>
  <rfmt sheetId="2" sqref="M212" start="0" length="0">
    <dxf>
      <numFmt numFmtId="0" formatCode="General"/>
    </dxf>
  </rfmt>
  <rfmt sheetId="2" sqref="M213" start="0" length="0">
    <dxf>
      <numFmt numFmtId="0" formatCode="General"/>
    </dxf>
  </rfmt>
  <rfmt sheetId="2" sqref="M214" start="0" length="0">
    <dxf>
      <numFmt numFmtId="0" formatCode="General"/>
    </dxf>
  </rfmt>
  <rfmt sheetId="2" sqref="M215" start="0" length="0">
    <dxf>
      <numFmt numFmtId="0" formatCode="General"/>
    </dxf>
  </rfmt>
  <rfmt sheetId="2" sqref="M216" start="0" length="0">
    <dxf>
      <numFmt numFmtId="0" formatCode="General"/>
    </dxf>
  </rfmt>
  <rfmt sheetId="2" sqref="M217" start="0" length="0">
    <dxf>
      <numFmt numFmtId="0" formatCode="General"/>
    </dxf>
  </rfmt>
  <rfmt sheetId="2" sqref="M218" start="0" length="0">
    <dxf>
      <numFmt numFmtId="0" formatCode="General"/>
    </dxf>
  </rfmt>
  <rfmt sheetId="2" sqref="M219" start="0" length="0">
    <dxf>
      <numFmt numFmtId="0" formatCode="General"/>
    </dxf>
  </rfmt>
  <rfmt sheetId="2" sqref="M220" start="0" length="0">
    <dxf>
      <numFmt numFmtId="0" formatCode="General"/>
    </dxf>
  </rfmt>
  <rfmt sheetId="2" sqref="M221" start="0" length="0">
    <dxf>
      <numFmt numFmtId="0" formatCode="General"/>
    </dxf>
  </rfmt>
  <rfmt sheetId="2" sqref="M222" start="0" length="0">
    <dxf>
      <numFmt numFmtId="0" formatCode="General"/>
    </dxf>
  </rfmt>
  <rfmt sheetId="2" sqref="M223" start="0" length="0">
    <dxf>
      <numFmt numFmtId="0" formatCode="General"/>
    </dxf>
  </rfmt>
  <rfmt sheetId="2" sqref="M224" start="0" length="0">
    <dxf>
      <numFmt numFmtId="0" formatCode="General"/>
    </dxf>
  </rfmt>
  <rfmt sheetId="2" sqref="M226" start="0" length="0">
    <dxf>
      <numFmt numFmtId="0" formatCode="General"/>
    </dxf>
  </rfmt>
  <rfmt sheetId="2" sqref="M227" start="0" length="0">
    <dxf>
      <numFmt numFmtId="0" formatCode="General"/>
    </dxf>
  </rfmt>
  <rfmt sheetId="2" sqref="M228" start="0" length="0">
    <dxf>
      <numFmt numFmtId="0" formatCode="General"/>
    </dxf>
  </rfmt>
  <rfmt sheetId="2" sqref="M229" start="0" length="0">
    <dxf>
      <numFmt numFmtId="0" formatCode="General"/>
    </dxf>
  </rfmt>
  <rfmt sheetId="2" sqref="M230" start="0" length="0">
    <dxf>
      <numFmt numFmtId="0" formatCode="General"/>
    </dxf>
  </rfmt>
  <rfmt sheetId="2" sqref="M231" start="0" length="0">
    <dxf>
      <numFmt numFmtId="0" formatCode="General"/>
    </dxf>
  </rfmt>
  <rfmt sheetId="2" sqref="M232" start="0" length="0">
    <dxf>
      <numFmt numFmtId="0" formatCode="General"/>
    </dxf>
  </rfmt>
  <rfmt sheetId="2" sqref="M233" start="0" length="0">
    <dxf>
      <numFmt numFmtId="0" formatCode="General"/>
    </dxf>
  </rfmt>
  <rfmt sheetId="2" sqref="M234" start="0" length="0">
    <dxf>
      <numFmt numFmtId="0" formatCode="General"/>
    </dxf>
  </rfmt>
  <rfmt sheetId="2" sqref="M235" start="0" length="0">
    <dxf>
      <numFmt numFmtId="0" formatCode="General"/>
    </dxf>
  </rfmt>
  <rfmt sheetId="2" sqref="M236" start="0" length="0">
    <dxf>
      <numFmt numFmtId="0" formatCode="General"/>
    </dxf>
  </rfmt>
  <rfmt sheetId="2" sqref="M237" start="0" length="0">
    <dxf>
      <numFmt numFmtId="0" formatCode="General"/>
    </dxf>
  </rfmt>
  <rfmt sheetId="2" sqref="M238" start="0" length="0">
    <dxf>
      <numFmt numFmtId="0" formatCode="General"/>
    </dxf>
  </rfmt>
  <rfmt sheetId="2" sqref="M239" start="0" length="0">
    <dxf>
      <numFmt numFmtId="0" formatCode="General"/>
    </dxf>
  </rfmt>
  <rfmt sheetId="2" sqref="M240" start="0" length="0">
    <dxf>
      <numFmt numFmtId="0" formatCode="General"/>
    </dxf>
  </rfmt>
  <rfmt sheetId="2" sqref="M241" start="0" length="0">
    <dxf>
      <numFmt numFmtId="0" formatCode="General"/>
    </dxf>
  </rfmt>
  <rfmt sheetId="2" sqref="M242" start="0" length="0">
    <dxf>
      <numFmt numFmtId="0" formatCode="General"/>
    </dxf>
  </rfmt>
  <rfmt sheetId="2" sqref="M243" start="0" length="0">
    <dxf>
      <numFmt numFmtId="0" formatCode="General"/>
    </dxf>
  </rfmt>
  <rfmt sheetId="2" sqref="M244" start="0" length="0">
    <dxf>
      <numFmt numFmtId="0" formatCode="General"/>
    </dxf>
  </rfmt>
  <rfmt sheetId="2" sqref="M245" start="0" length="0">
    <dxf>
      <numFmt numFmtId="0" formatCode="General"/>
    </dxf>
  </rfmt>
  <rfmt sheetId="2" sqref="M246" start="0" length="0">
    <dxf>
      <numFmt numFmtId="0" formatCode="General"/>
    </dxf>
  </rfmt>
  <rfmt sheetId="2" sqref="M247" start="0" length="0">
    <dxf>
      <numFmt numFmtId="0" formatCode="General"/>
    </dxf>
  </rfmt>
  <rfmt sheetId="2" sqref="M248" start="0" length="0">
    <dxf>
      <numFmt numFmtId="0" formatCode="General"/>
    </dxf>
  </rfmt>
  <rfmt sheetId="2" sqref="M249" start="0" length="0">
    <dxf>
      <numFmt numFmtId="0" formatCode="General"/>
    </dxf>
  </rfmt>
  <rfmt sheetId="2" sqref="M250" start="0" length="0">
    <dxf>
      <numFmt numFmtId="0" formatCode="General"/>
    </dxf>
  </rfmt>
  <rfmt sheetId="2" sqref="M251" start="0" length="0">
    <dxf>
      <numFmt numFmtId="0" formatCode="General"/>
    </dxf>
  </rfmt>
  <rfmt sheetId="2" sqref="M252" start="0" length="0">
    <dxf>
      <numFmt numFmtId="0" formatCode="General"/>
    </dxf>
  </rfmt>
  <rfmt sheetId="2" sqref="M253" start="0" length="0">
    <dxf>
      <numFmt numFmtId="0" formatCode="General"/>
    </dxf>
  </rfmt>
  <rfmt sheetId="2" sqref="M254" start="0" length="0">
    <dxf>
      <numFmt numFmtId="0" formatCode="General"/>
    </dxf>
  </rfmt>
  <rfmt sheetId="2" sqref="M255" start="0" length="0">
    <dxf>
      <numFmt numFmtId="0" formatCode="General"/>
    </dxf>
  </rfmt>
  <rfmt sheetId="2" sqref="M256" start="0" length="0">
    <dxf>
      <numFmt numFmtId="0" formatCode="General"/>
    </dxf>
  </rfmt>
  <rfmt sheetId="2" sqref="M257" start="0" length="0">
    <dxf>
      <numFmt numFmtId="0" formatCode="General"/>
    </dxf>
  </rfmt>
  <rfmt sheetId="2" sqref="M258" start="0" length="0">
    <dxf>
      <numFmt numFmtId="0" formatCode="General"/>
    </dxf>
  </rfmt>
  <rfmt sheetId="2" sqref="M259" start="0" length="0">
    <dxf>
      <numFmt numFmtId="0" formatCode="General"/>
    </dxf>
  </rfmt>
  <rfmt sheetId="2" sqref="M260" start="0" length="0">
    <dxf>
      <numFmt numFmtId="0" formatCode="General"/>
    </dxf>
  </rfmt>
  <rfmt sheetId="2" sqref="M261" start="0" length="0">
    <dxf>
      <numFmt numFmtId="0" formatCode="General"/>
    </dxf>
  </rfmt>
  <rfmt sheetId="2" sqref="M262" start="0" length="0">
    <dxf>
      <numFmt numFmtId="0" formatCode="General"/>
    </dxf>
  </rfmt>
  <rfmt sheetId="2" sqref="M263" start="0" length="0">
    <dxf>
      <numFmt numFmtId="0" formatCode="General"/>
    </dxf>
  </rfmt>
  <rfmt sheetId="2" sqref="M264" start="0" length="0">
    <dxf>
      <numFmt numFmtId="0" formatCode="General"/>
    </dxf>
  </rfmt>
  <rfmt sheetId="2" sqref="M265" start="0" length="0">
    <dxf>
      <numFmt numFmtId="0" formatCode="General"/>
    </dxf>
  </rfmt>
  <rfmt sheetId="2" sqref="M266" start="0" length="0">
    <dxf>
      <numFmt numFmtId="0" formatCode="General"/>
    </dxf>
  </rfmt>
  <rfmt sheetId="2" sqref="M267" start="0" length="0">
    <dxf>
      <numFmt numFmtId="0" formatCode="General"/>
    </dxf>
  </rfmt>
  <rfmt sheetId="2" sqref="M268" start="0" length="0">
    <dxf>
      <numFmt numFmtId="0" formatCode="General"/>
    </dxf>
  </rfmt>
  <rfmt sheetId="2" sqref="M269" start="0" length="0">
    <dxf>
      <numFmt numFmtId="0" formatCode="General"/>
    </dxf>
  </rfmt>
  <rfmt sheetId="2" sqref="M270" start="0" length="0">
    <dxf>
      <numFmt numFmtId="0" formatCode="General"/>
    </dxf>
  </rfmt>
  <rfmt sheetId="2" sqref="M271" start="0" length="0">
    <dxf>
      <numFmt numFmtId="0" formatCode="General"/>
    </dxf>
  </rfmt>
  <rfmt sheetId="2" sqref="M272" start="0" length="0">
    <dxf>
      <numFmt numFmtId="0" formatCode="General"/>
    </dxf>
  </rfmt>
  <rfmt sheetId="2" sqref="M273" start="0" length="0">
    <dxf>
      <numFmt numFmtId="0" formatCode="General"/>
    </dxf>
  </rfmt>
  <rfmt sheetId="2" sqref="M274" start="0" length="0">
    <dxf>
      <numFmt numFmtId="0" formatCode="General"/>
    </dxf>
  </rfmt>
  <rfmt sheetId="2" sqref="M275" start="0" length="0">
    <dxf>
      <numFmt numFmtId="0" formatCode="General"/>
    </dxf>
  </rfmt>
  <rfmt sheetId="2" sqref="M276" start="0" length="0">
    <dxf>
      <numFmt numFmtId="0" formatCode="General"/>
    </dxf>
  </rfmt>
  <rfmt sheetId="2" sqref="M277" start="0" length="0">
    <dxf>
      <numFmt numFmtId="0" formatCode="General"/>
    </dxf>
  </rfmt>
  <rfmt sheetId="2" sqref="M278" start="0" length="0">
    <dxf>
      <numFmt numFmtId="0" formatCode="General"/>
    </dxf>
  </rfmt>
  <rfmt sheetId="2" sqref="M279" start="0" length="0">
    <dxf>
      <numFmt numFmtId="0" formatCode="General"/>
    </dxf>
  </rfmt>
  <rfmt sheetId="2" sqref="M280" start="0" length="0">
    <dxf>
      <numFmt numFmtId="0" formatCode="General"/>
    </dxf>
  </rfmt>
  <rfmt sheetId="2" sqref="M281" start="0" length="0">
    <dxf>
      <numFmt numFmtId="0" formatCode="General"/>
    </dxf>
  </rfmt>
  <rfmt sheetId="2" sqref="M282" start="0" length="0">
    <dxf>
      <numFmt numFmtId="0" formatCode="General"/>
    </dxf>
  </rfmt>
  <rfmt sheetId="2" sqref="M283" start="0" length="0">
    <dxf>
      <numFmt numFmtId="0" formatCode="General"/>
    </dxf>
  </rfmt>
  <rfmt sheetId="2" sqref="M284" start="0" length="0">
    <dxf>
      <numFmt numFmtId="0" formatCode="General"/>
    </dxf>
  </rfmt>
  <rfmt sheetId="2" sqref="M285" start="0" length="0">
    <dxf>
      <numFmt numFmtId="0" formatCode="General"/>
    </dxf>
  </rfmt>
  <rfmt sheetId="2" sqref="M286" start="0" length="0">
    <dxf>
      <numFmt numFmtId="0" formatCode="General"/>
    </dxf>
  </rfmt>
  <rfmt sheetId="2" sqref="M287" start="0" length="0">
    <dxf>
      <numFmt numFmtId="0" formatCode="General"/>
    </dxf>
  </rfmt>
  <rfmt sheetId="2" sqref="M288" start="0" length="0">
    <dxf>
      <numFmt numFmtId="0" formatCode="General"/>
    </dxf>
  </rfmt>
  <rfmt sheetId="2" sqref="M289" start="0" length="0">
    <dxf>
      <numFmt numFmtId="0" formatCode="General"/>
    </dxf>
  </rfmt>
  <rfmt sheetId="2" sqref="M290" start="0" length="0">
    <dxf>
      <numFmt numFmtId="0" formatCode="General"/>
    </dxf>
  </rfmt>
  <rfmt sheetId="2" sqref="M291" start="0" length="0">
    <dxf>
      <numFmt numFmtId="0" formatCode="General"/>
    </dxf>
  </rfmt>
  <rfmt sheetId="2" sqref="M292" start="0" length="0">
    <dxf>
      <numFmt numFmtId="0" formatCode="General"/>
    </dxf>
  </rfmt>
  <rfmt sheetId="2" sqref="M293" start="0" length="0">
    <dxf>
      <numFmt numFmtId="0" formatCode="General"/>
    </dxf>
  </rfmt>
  <rfmt sheetId="2" sqref="M294" start="0" length="0">
    <dxf>
      <font>
        <sz val="10"/>
        <name val="Arial"/>
        <scheme val="none"/>
      </font>
      <numFmt numFmtId="0" formatCode="General"/>
    </dxf>
  </rfmt>
  <rfmt sheetId="2" sqref="M295" start="0" length="0">
    <dxf>
      <numFmt numFmtId="0" formatCode="General"/>
    </dxf>
  </rfmt>
  <rfmt sheetId="2" sqref="M296" start="0" length="0">
    <dxf>
      <numFmt numFmtId="0" formatCode="General"/>
    </dxf>
  </rfmt>
  <rfmt sheetId="2" sqref="M297" start="0" length="0">
    <dxf>
      <numFmt numFmtId="0" formatCode="General"/>
    </dxf>
  </rfmt>
  <rfmt sheetId="2" sqref="M298" start="0" length="0">
    <dxf>
      <numFmt numFmtId="0" formatCode="General"/>
    </dxf>
  </rfmt>
  <rfmt sheetId="2" sqref="M299" start="0" length="0">
    <dxf>
      <numFmt numFmtId="0" formatCode="General"/>
    </dxf>
  </rfmt>
  <rfmt sheetId="2" sqref="M300" start="0" length="0">
    <dxf>
      <numFmt numFmtId="0" formatCode="General"/>
    </dxf>
  </rfmt>
  <rfmt sheetId="2" sqref="M301" start="0" length="0">
    <dxf>
      <numFmt numFmtId="0" formatCode="General"/>
    </dxf>
  </rfmt>
  <rfmt sheetId="2" sqref="M302" start="0" length="0">
    <dxf>
      <numFmt numFmtId="0" formatCode="General"/>
    </dxf>
  </rfmt>
  <rfmt sheetId="2" sqref="M303" start="0" length="0">
    <dxf>
      <numFmt numFmtId="0" formatCode="General"/>
    </dxf>
  </rfmt>
  <rfmt sheetId="2" sqref="M304" start="0" length="0">
    <dxf>
      <numFmt numFmtId="0" formatCode="General"/>
    </dxf>
  </rfmt>
  <rfmt sheetId="2" sqref="M305" start="0" length="0">
    <dxf>
      <numFmt numFmtId="0" formatCode="General"/>
    </dxf>
  </rfmt>
  <rfmt sheetId="2" sqref="M306" start="0" length="0">
    <dxf>
      <numFmt numFmtId="0" formatCode="General"/>
    </dxf>
  </rfmt>
  <rfmt sheetId="2" sqref="M307" start="0" length="0">
    <dxf>
      <numFmt numFmtId="0" formatCode="General"/>
    </dxf>
  </rfmt>
  <rfmt sheetId="2" sqref="M308" start="0" length="0">
    <dxf>
      <numFmt numFmtId="0" formatCode="General"/>
    </dxf>
  </rfmt>
  <rfmt sheetId="2" sqref="M309" start="0" length="0">
    <dxf>
      <numFmt numFmtId="0" formatCode="General"/>
    </dxf>
  </rfmt>
  <rfmt sheetId="2" sqref="M310" start="0" length="0">
    <dxf>
      <numFmt numFmtId="0" formatCode="General"/>
    </dxf>
  </rfmt>
  <rfmt sheetId="2" sqref="M311" start="0" length="0">
    <dxf>
      <numFmt numFmtId="0" formatCode="General"/>
    </dxf>
  </rfmt>
  <rfmt sheetId="2" sqref="M312" start="0" length="0">
    <dxf>
      <numFmt numFmtId="0" formatCode="General"/>
    </dxf>
  </rfmt>
  <rfmt sheetId="2" sqref="M313" start="0" length="0">
    <dxf>
      <numFmt numFmtId="0" formatCode="General"/>
    </dxf>
  </rfmt>
  <rfmt sheetId="2" sqref="M314" start="0" length="0">
    <dxf>
      <numFmt numFmtId="0" formatCode="General"/>
    </dxf>
  </rfmt>
  <rfmt sheetId="2" sqref="M315" start="0" length="0">
    <dxf>
      <numFmt numFmtId="0" formatCode="General"/>
    </dxf>
  </rfmt>
  <rfmt sheetId="2" sqref="M316" start="0" length="0">
    <dxf>
      <numFmt numFmtId="0" formatCode="General"/>
    </dxf>
  </rfmt>
  <rfmt sheetId="2" sqref="M317" start="0" length="0">
    <dxf>
      <numFmt numFmtId="0" formatCode="General"/>
    </dxf>
  </rfmt>
  <rfmt sheetId="2" sqref="M318" start="0" length="0">
    <dxf>
      <numFmt numFmtId="0" formatCode="General"/>
    </dxf>
  </rfmt>
  <rfmt sheetId="2" sqref="M319" start="0" length="0">
    <dxf>
      <numFmt numFmtId="0" formatCode="General"/>
    </dxf>
  </rfmt>
  <rfmt sheetId="2" sqref="M320" start="0" length="0">
    <dxf>
      <numFmt numFmtId="0" formatCode="General"/>
    </dxf>
  </rfmt>
  <rfmt sheetId="2" sqref="M321" start="0" length="0">
    <dxf>
      <numFmt numFmtId="0" formatCode="General"/>
    </dxf>
  </rfmt>
  <rfmt sheetId="2" sqref="M322" start="0" length="0">
    <dxf>
      <numFmt numFmtId="0" formatCode="General"/>
    </dxf>
  </rfmt>
  <rfmt sheetId="2" sqref="M323" start="0" length="0">
    <dxf>
      <numFmt numFmtId="0" formatCode="General"/>
    </dxf>
  </rfmt>
  <rfmt sheetId="2" sqref="M324" start="0" length="0">
    <dxf>
      <numFmt numFmtId="0" formatCode="General"/>
    </dxf>
  </rfmt>
  <rfmt sheetId="2" sqref="M325" start="0" length="0">
    <dxf>
      <numFmt numFmtId="0" formatCode="General"/>
    </dxf>
  </rfmt>
  <rfmt sheetId="2" sqref="M326" start="0" length="0">
    <dxf>
      <numFmt numFmtId="0" formatCode="General"/>
    </dxf>
  </rfmt>
  <rfmt sheetId="2" sqref="M327" start="0" length="0">
    <dxf>
      <numFmt numFmtId="0" formatCode="General"/>
    </dxf>
  </rfmt>
  <rfmt sheetId="2" sqref="M328" start="0" length="0">
    <dxf>
      <numFmt numFmtId="0" formatCode="General"/>
    </dxf>
  </rfmt>
  <rfmt sheetId="2" sqref="M329" start="0" length="0">
    <dxf>
      <numFmt numFmtId="0" formatCode="General"/>
    </dxf>
  </rfmt>
  <rfmt sheetId="2" sqref="M330" start="0" length="0">
    <dxf>
      <numFmt numFmtId="0" formatCode="General"/>
    </dxf>
  </rfmt>
  <rfmt sheetId="2" sqref="M331" start="0" length="0">
    <dxf>
      <numFmt numFmtId="0" formatCode="General"/>
    </dxf>
  </rfmt>
  <rfmt sheetId="2" sqref="M332" start="0" length="0">
    <dxf>
      <numFmt numFmtId="0" formatCode="General"/>
    </dxf>
  </rfmt>
  <rfmt sheetId="2" sqref="M333" start="0" length="0">
    <dxf>
      <font>
        <sz val="10"/>
        <color rgb="FFFF0000"/>
        <name val="Arial"/>
        <scheme val="none"/>
      </font>
      <numFmt numFmtId="0" formatCode="General"/>
    </dxf>
  </rfmt>
  <rfmt sheetId="2" sqref="M334" start="0" length="0">
    <dxf>
      <font>
        <sz val="10"/>
        <color rgb="FFFF0000"/>
        <name val="Arial"/>
        <scheme val="none"/>
      </font>
      <numFmt numFmtId="0" formatCode="General"/>
    </dxf>
  </rfmt>
  <rfmt sheetId="2" sqref="M335" start="0" length="0">
    <dxf>
      <numFmt numFmtId="0" formatCode="General"/>
    </dxf>
  </rfmt>
  <rfmt sheetId="2" sqref="M336" start="0" length="0">
    <dxf>
      <numFmt numFmtId="0" formatCode="General"/>
    </dxf>
  </rfmt>
  <rfmt sheetId="2" sqref="M337" start="0" length="0">
    <dxf>
      <numFmt numFmtId="0" formatCode="General"/>
    </dxf>
  </rfmt>
  <rfmt sheetId="2" sqref="M338" start="0" length="0">
    <dxf>
      <font>
        <sz val="10"/>
        <color rgb="FFFF0000"/>
        <name val="Arial"/>
        <scheme val="none"/>
      </font>
      <numFmt numFmtId="0" formatCode="General"/>
    </dxf>
  </rfmt>
  <rfmt sheetId="2" sqref="M339" start="0" length="0">
    <dxf>
      <numFmt numFmtId="0" formatCode="General"/>
    </dxf>
  </rfmt>
  <rfmt sheetId="2" sqref="M340" start="0" length="0">
    <dxf>
      <numFmt numFmtId="0" formatCode="General"/>
    </dxf>
  </rfmt>
  <rfmt sheetId="2" sqref="M341" start="0" length="0">
    <dxf>
      <numFmt numFmtId="0" formatCode="General"/>
    </dxf>
  </rfmt>
  <rfmt sheetId="2" sqref="M342" start="0" length="0">
    <dxf>
      <numFmt numFmtId="0" formatCode="General"/>
    </dxf>
  </rfmt>
  <rfmt sheetId="2" sqref="M343" start="0" length="0">
    <dxf>
      <numFmt numFmtId="0" formatCode="General"/>
    </dxf>
  </rfmt>
  <rfmt sheetId="2" sqref="M344" start="0" length="0">
    <dxf>
      <numFmt numFmtId="0" formatCode="General"/>
    </dxf>
  </rfmt>
  <rfmt sheetId="2" sqref="M345" start="0" length="0">
    <dxf>
      <numFmt numFmtId="0" formatCode="General"/>
    </dxf>
  </rfmt>
  <rfmt sheetId="2" sqref="M346" start="0" length="0">
    <dxf>
      <numFmt numFmtId="0" formatCode="General"/>
    </dxf>
  </rfmt>
  <rfmt sheetId="2" sqref="M347" start="0" length="0">
    <dxf>
      <numFmt numFmtId="0" formatCode="General"/>
    </dxf>
  </rfmt>
  <rfmt sheetId="2" sqref="M348" start="0" length="0">
    <dxf>
      <numFmt numFmtId="0" formatCode="General"/>
    </dxf>
  </rfmt>
  <rfmt sheetId="2" sqref="M349" start="0" length="0">
    <dxf>
      <numFmt numFmtId="0" formatCode="General"/>
    </dxf>
  </rfmt>
  <rfmt sheetId="2" sqref="M350" start="0" length="0">
    <dxf>
      <numFmt numFmtId="0" formatCode="General"/>
    </dxf>
  </rfmt>
  <rfmt sheetId="2" sqref="M351" start="0" length="0">
    <dxf>
      <numFmt numFmtId="0" formatCode="General"/>
    </dxf>
  </rfmt>
  <rfmt sheetId="2" sqref="M352" start="0" length="0">
    <dxf>
      <numFmt numFmtId="0" formatCode="General"/>
    </dxf>
  </rfmt>
  <rfmt sheetId="2" sqref="M353" start="0" length="0">
    <dxf>
      <numFmt numFmtId="0" formatCode="General"/>
    </dxf>
  </rfmt>
  <rfmt sheetId="2" sqref="M354" start="0" length="0">
    <dxf>
      <numFmt numFmtId="0" formatCode="General"/>
    </dxf>
  </rfmt>
  <rfmt sheetId="2" sqref="M355" start="0" length="0">
    <dxf>
      <numFmt numFmtId="0" formatCode="General"/>
    </dxf>
  </rfmt>
  <rfmt sheetId="2" sqref="M356" start="0" length="0">
    <dxf>
      <numFmt numFmtId="0" formatCode="General"/>
    </dxf>
  </rfmt>
  <rfmt sheetId="2" sqref="M357" start="0" length="0">
    <dxf>
      <numFmt numFmtId="0" formatCode="General"/>
    </dxf>
  </rfmt>
  <rfmt sheetId="2" sqref="M358" start="0" length="0">
    <dxf>
      <numFmt numFmtId="0" formatCode="General"/>
    </dxf>
  </rfmt>
  <rfmt sheetId="2" sqref="M359" start="0" length="0">
    <dxf>
      <numFmt numFmtId="0" formatCode="General"/>
    </dxf>
  </rfmt>
  <rfmt sheetId="2" sqref="M360" start="0" length="0">
    <dxf>
      <numFmt numFmtId="0" formatCode="General"/>
    </dxf>
  </rfmt>
  <rfmt sheetId="2" sqref="M361" start="0" length="0">
    <dxf>
      <numFmt numFmtId="0" formatCode="General"/>
    </dxf>
  </rfmt>
  <rfmt sheetId="2" sqref="M362" start="0" length="0">
    <dxf>
      <numFmt numFmtId="0" formatCode="General"/>
    </dxf>
  </rfmt>
  <rfmt sheetId="2" sqref="M363" start="0" length="0">
    <dxf>
      <numFmt numFmtId="0" formatCode="General"/>
    </dxf>
  </rfmt>
  <rfmt sheetId="2" sqref="M364" start="0" length="0">
    <dxf>
      <numFmt numFmtId="0" formatCode="General"/>
    </dxf>
  </rfmt>
  <rfmt sheetId="2" sqref="M365" start="0" length="0">
    <dxf>
      <numFmt numFmtId="0" formatCode="General"/>
    </dxf>
  </rfmt>
  <rfmt sheetId="2" sqref="M366" start="0" length="0">
    <dxf>
      <numFmt numFmtId="0" formatCode="General"/>
    </dxf>
  </rfmt>
  <rfmt sheetId="2" sqref="M367" start="0" length="0">
    <dxf>
      <numFmt numFmtId="0" formatCode="General"/>
    </dxf>
  </rfmt>
  <rfmt sheetId="2" sqref="M368" start="0" length="0">
    <dxf>
      <numFmt numFmtId="0" formatCode="General"/>
    </dxf>
  </rfmt>
  <rfmt sheetId="2" sqref="M369" start="0" length="0">
    <dxf>
      <numFmt numFmtId="0" formatCode="General"/>
    </dxf>
  </rfmt>
  <rfmt sheetId="2" sqref="M370" start="0" length="0">
    <dxf>
      <numFmt numFmtId="0" formatCode="General"/>
    </dxf>
  </rfmt>
  <rfmt sheetId="2" sqref="M371" start="0" length="0">
    <dxf>
      <numFmt numFmtId="0" formatCode="General"/>
    </dxf>
  </rfmt>
  <rfmt sheetId="2" sqref="M372" start="0" length="0">
    <dxf>
      <numFmt numFmtId="0" formatCode="General"/>
    </dxf>
  </rfmt>
  <rfmt sheetId="2" sqref="M373" start="0" length="0">
    <dxf>
      <numFmt numFmtId="0" formatCode="General"/>
    </dxf>
  </rfmt>
  <rfmt sheetId="2" sqref="M374" start="0" length="0">
    <dxf>
      <numFmt numFmtId="0" formatCode="General"/>
    </dxf>
  </rfmt>
  <rfmt sheetId="2" sqref="M375" start="0" length="0">
    <dxf>
      <numFmt numFmtId="0" formatCode="General"/>
    </dxf>
  </rfmt>
  <rfmt sheetId="2" sqref="M376" start="0" length="0">
    <dxf>
      <numFmt numFmtId="0" formatCode="General"/>
    </dxf>
  </rfmt>
  <rfmt sheetId="2" sqref="M377" start="0" length="0">
    <dxf>
      <numFmt numFmtId="0" formatCode="General"/>
    </dxf>
  </rfmt>
  <rfmt sheetId="2" sqref="M378" start="0" length="0">
    <dxf>
      <numFmt numFmtId="0" formatCode="General"/>
    </dxf>
  </rfmt>
  <rfmt sheetId="2" sqref="M379" start="0" length="0">
    <dxf>
      <numFmt numFmtId="0" formatCode="General"/>
    </dxf>
  </rfmt>
  <rfmt sheetId="2" sqref="M380" start="0" length="0">
    <dxf>
      <numFmt numFmtId="0" formatCode="General"/>
    </dxf>
  </rfmt>
  <rfmt sheetId="2" sqref="M381" start="0" length="0">
    <dxf>
      <numFmt numFmtId="0" formatCode="General"/>
    </dxf>
  </rfmt>
  <rfmt sheetId="2" sqref="M382" start="0" length="0">
    <dxf>
      <numFmt numFmtId="0" formatCode="General"/>
    </dxf>
  </rfmt>
  <rfmt sheetId="2" sqref="M383" start="0" length="0">
    <dxf>
      <numFmt numFmtId="0" formatCode="General"/>
    </dxf>
  </rfmt>
  <rfmt sheetId="2" sqref="M384" start="0" length="0">
    <dxf>
      <numFmt numFmtId="0" formatCode="General"/>
    </dxf>
  </rfmt>
  <rfmt sheetId="2" sqref="M385" start="0" length="0">
    <dxf>
      <numFmt numFmtId="0" formatCode="General"/>
    </dxf>
  </rfmt>
  <rfmt sheetId="2" sqref="M386" start="0" length="0">
    <dxf>
      <numFmt numFmtId="0" formatCode="General"/>
    </dxf>
  </rfmt>
  <rfmt sheetId="2" sqref="M387" start="0" length="0">
    <dxf>
      <numFmt numFmtId="0" formatCode="General"/>
    </dxf>
  </rfmt>
  <rfmt sheetId="2" sqref="M388" start="0" length="0">
    <dxf>
      <font>
        <sz val="10"/>
        <color rgb="FFFF0000"/>
      </font>
      <numFmt numFmtId="0" formatCode="General"/>
    </dxf>
  </rfmt>
  <rfmt sheetId="2" sqref="M389" start="0" length="0">
    <dxf>
      <numFmt numFmtId="0" formatCode="General"/>
    </dxf>
  </rfmt>
  <rfmt sheetId="2" sqref="M390" start="0" length="0">
    <dxf>
      <numFmt numFmtId="0" formatCode="General"/>
    </dxf>
  </rfmt>
  <rfmt sheetId="2" sqref="M391" start="0" length="0">
    <dxf>
      <numFmt numFmtId="0" formatCode="General"/>
    </dxf>
  </rfmt>
  <rfmt sheetId="2" sqref="M392" start="0" length="0">
    <dxf>
      <numFmt numFmtId="0" formatCode="General"/>
    </dxf>
  </rfmt>
  <rfmt sheetId="2" sqref="M393" start="0" length="0">
    <dxf>
      <numFmt numFmtId="0" formatCode="General"/>
    </dxf>
  </rfmt>
  <rfmt sheetId="2" sqref="M394" start="0" length="0">
    <dxf>
      <numFmt numFmtId="0" formatCode="General"/>
    </dxf>
  </rfmt>
  <rfmt sheetId="2" sqref="M395" start="0" length="0">
    <dxf>
      <numFmt numFmtId="0" formatCode="General"/>
    </dxf>
  </rfmt>
  <rfmt sheetId="2" sqref="M396" start="0" length="0">
    <dxf>
      <numFmt numFmtId="0" formatCode="General"/>
    </dxf>
  </rfmt>
  <rfmt sheetId="2" sqref="M397" start="0" length="0">
    <dxf>
      <numFmt numFmtId="0" formatCode="General"/>
    </dxf>
  </rfmt>
  <rfmt sheetId="2" sqref="M398" start="0" length="0">
    <dxf>
      <numFmt numFmtId="0" formatCode="General"/>
    </dxf>
  </rfmt>
  <rfmt sheetId="2" sqref="M399" start="0" length="0">
    <dxf>
      <numFmt numFmtId="0" formatCode="General"/>
    </dxf>
  </rfmt>
  <rfmt sheetId="2" sqref="M400" start="0" length="0">
    <dxf>
      <numFmt numFmtId="0" formatCode="General"/>
    </dxf>
  </rfmt>
  <rfmt sheetId="2" sqref="M401" start="0" length="0">
    <dxf>
      <numFmt numFmtId="0" formatCode="General"/>
    </dxf>
  </rfmt>
  <rfmt sheetId="2" sqref="M402" start="0" length="0">
    <dxf>
      <numFmt numFmtId="0" formatCode="General"/>
    </dxf>
  </rfmt>
  <rfmt sheetId="2" sqref="M403" start="0" length="0">
    <dxf>
      <numFmt numFmtId="0" formatCode="General"/>
    </dxf>
  </rfmt>
  <rfmt sheetId="2" sqref="M404" start="0" length="0">
    <dxf>
      <numFmt numFmtId="0" formatCode="General"/>
    </dxf>
  </rfmt>
  <rfmt sheetId="2" sqref="M405" start="0" length="0">
    <dxf>
      <numFmt numFmtId="0" formatCode="General"/>
    </dxf>
  </rfmt>
  <rfmt sheetId="2" sqref="M406" start="0" length="0">
    <dxf>
      <numFmt numFmtId="0" formatCode="General"/>
    </dxf>
  </rfmt>
  <rfmt sheetId="2" sqref="M407" start="0" length="0">
    <dxf>
      <numFmt numFmtId="0" formatCode="General"/>
    </dxf>
  </rfmt>
  <rfmt sheetId="2" sqref="M408" start="0" length="0">
    <dxf>
      <numFmt numFmtId="0" formatCode="General"/>
    </dxf>
  </rfmt>
  <rfmt sheetId="2" sqref="M409" start="0" length="0">
    <dxf>
      <numFmt numFmtId="0" formatCode="General"/>
    </dxf>
  </rfmt>
  <rfmt sheetId="2" sqref="M410" start="0" length="0">
    <dxf>
      <numFmt numFmtId="0" formatCode="General"/>
    </dxf>
  </rfmt>
  <rfmt sheetId="2" sqref="M411" start="0" length="0">
    <dxf>
      <numFmt numFmtId="0" formatCode="General"/>
    </dxf>
  </rfmt>
  <rfmt sheetId="2" sqref="M412" start="0" length="0">
    <dxf>
      <font>
        <sz val="10"/>
        <color rgb="FFFF0000"/>
        <name val="Arial"/>
        <scheme val="none"/>
      </font>
      <numFmt numFmtId="0" formatCode="General"/>
    </dxf>
  </rfmt>
  <rfmt sheetId="2" sqref="M413" start="0" length="0">
    <dxf>
      <numFmt numFmtId="0" formatCode="General"/>
    </dxf>
  </rfmt>
  <rfmt sheetId="2" sqref="M414" start="0" length="0">
    <dxf>
      <numFmt numFmtId="0" formatCode="General"/>
    </dxf>
  </rfmt>
  <rfmt sheetId="2" sqref="M415" start="0" length="0">
    <dxf>
      <numFmt numFmtId="0" formatCode="General"/>
    </dxf>
  </rfmt>
  <rfmt sheetId="2" sqref="M416" start="0" length="0">
    <dxf>
      <numFmt numFmtId="0" formatCode="General"/>
    </dxf>
  </rfmt>
  <rfmt sheetId="2" sqref="M417" start="0" length="0">
    <dxf>
      <numFmt numFmtId="0" formatCode="General"/>
    </dxf>
  </rfmt>
  <rfmt sheetId="2" sqref="M418" start="0" length="0">
    <dxf>
      <numFmt numFmtId="0" formatCode="General"/>
    </dxf>
  </rfmt>
  <rfmt sheetId="2" sqref="M419" start="0" length="0">
    <dxf>
      <numFmt numFmtId="0" formatCode="General"/>
    </dxf>
  </rfmt>
  <rfmt sheetId="2" sqref="M420" start="0" length="0">
    <dxf>
      <numFmt numFmtId="0" formatCode="General"/>
    </dxf>
  </rfmt>
  <rfmt sheetId="2" sqref="M421" start="0" length="0">
    <dxf>
      <numFmt numFmtId="0" formatCode="General"/>
    </dxf>
  </rfmt>
  <rfmt sheetId="2" sqref="M422" start="0" length="0">
    <dxf>
      <numFmt numFmtId="0" formatCode="General"/>
    </dxf>
  </rfmt>
  <rfmt sheetId="2" sqref="M423" start="0" length="0">
    <dxf>
      <numFmt numFmtId="0" formatCode="General"/>
    </dxf>
  </rfmt>
  <rfmt sheetId="2" sqref="M424" start="0" length="0">
    <dxf>
      <numFmt numFmtId="0" formatCode="General"/>
    </dxf>
  </rfmt>
  <rfmt sheetId="2" sqref="M425" start="0" length="0">
    <dxf>
      <numFmt numFmtId="0" formatCode="General"/>
    </dxf>
  </rfmt>
  <rfmt sheetId="2" sqref="M426" start="0" length="0">
    <dxf>
      <numFmt numFmtId="0" formatCode="General"/>
    </dxf>
  </rfmt>
  <rfmt sheetId="2" sqref="M427" start="0" length="0">
    <dxf>
      <numFmt numFmtId="0" formatCode="General"/>
    </dxf>
  </rfmt>
  <rfmt sheetId="2" sqref="M428" start="0" length="0">
    <dxf>
      <numFmt numFmtId="0" formatCode="General"/>
    </dxf>
  </rfmt>
  <rfmt sheetId="2" sqref="M429" start="0" length="0">
    <dxf>
      <numFmt numFmtId="0" formatCode="General"/>
    </dxf>
  </rfmt>
  <rfmt sheetId="2" sqref="M430" start="0" length="0">
    <dxf>
      <numFmt numFmtId="0" formatCode="General"/>
    </dxf>
  </rfmt>
  <rfmt sheetId="2" sqref="M431" start="0" length="0">
    <dxf>
      <numFmt numFmtId="0" formatCode="General"/>
    </dxf>
  </rfmt>
  <rfmt sheetId="2" sqref="M432" start="0" length="0">
    <dxf>
      <numFmt numFmtId="0" formatCode="General"/>
    </dxf>
  </rfmt>
  <rfmt sheetId="2" sqref="M433" start="0" length="0">
    <dxf>
      <numFmt numFmtId="0" formatCode="General"/>
    </dxf>
  </rfmt>
  <rfmt sheetId="2" sqref="M434" start="0" length="0">
    <dxf>
      <numFmt numFmtId="0" formatCode="General"/>
    </dxf>
  </rfmt>
  <rfmt sheetId="2" sqref="M435" start="0" length="0">
    <dxf>
      <numFmt numFmtId="0" formatCode="General"/>
    </dxf>
  </rfmt>
  <rfmt sheetId="2" sqref="M436" start="0" length="0">
    <dxf>
      <numFmt numFmtId="0" formatCode="General"/>
    </dxf>
  </rfmt>
  <rfmt sheetId="2" sqref="M437" start="0" length="0">
    <dxf>
      <numFmt numFmtId="0" formatCode="General"/>
    </dxf>
  </rfmt>
  <rfmt sheetId="2" sqref="M438" start="0" length="0">
    <dxf>
      <numFmt numFmtId="0" formatCode="General"/>
    </dxf>
  </rfmt>
  <rfmt sheetId="2" sqref="M439" start="0" length="0">
    <dxf>
      <numFmt numFmtId="0" formatCode="General"/>
    </dxf>
  </rfmt>
  <rfmt sheetId="2" sqref="M440" start="0" length="0">
    <dxf>
      <numFmt numFmtId="0" formatCode="General"/>
    </dxf>
  </rfmt>
  <rfmt sheetId="2" sqref="M441" start="0" length="0">
    <dxf>
      <numFmt numFmtId="0" formatCode="General"/>
    </dxf>
  </rfmt>
  <rfmt sheetId="2" sqref="M442" start="0" length="0">
    <dxf>
      <numFmt numFmtId="0" formatCode="General"/>
    </dxf>
  </rfmt>
  <rfmt sheetId="2" sqref="M443" start="0" length="0">
    <dxf>
      <numFmt numFmtId="0" formatCode="General"/>
    </dxf>
  </rfmt>
  <rfmt sheetId="2" sqref="M444" start="0" length="0">
    <dxf>
      <numFmt numFmtId="0" formatCode="General"/>
    </dxf>
  </rfmt>
  <rfmt sheetId="2" sqref="M445" start="0" length="0">
    <dxf>
      <numFmt numFmtId="0" formatCode="General"/>
    </dxf>
  </rfmt>
  <rfmt sheetId="2" sqref="M446" start="0" length="0">
    <dxf>
      <numFmt numFmtId="0" formatCode="General"/>
    </dxf>
  </rfmt>
  <rfmt sheetId="2" sqref="M447" start="0" length="0">
    <dxf>
      <numFmt numFmtId="0" formatCode="General"/>
    </dxf>
  </rfmt>
  <rfmt sheetId="2" sqref="M448" start="0" length="0">
    <dxf>
      <numFmt numFmtId="0" formatCode="General"/>
    </dxf>
  </rfmt>
  <rfmt sheetId="2" sqref="M449" start="0" length="0">
    <dxf>
      <numFmt numFmtId="0" formatCode="General"/>
    </dxf>
  </rfmt>
  <rfmt sheetId="2" sqref="M450" start="0" length="0">
    <dxf>
      <font>
        <sz val="10"/>
        <name val="Arial"/>
        <scheme val="none"/>
      </font>
      <numFmt numFmtId="0" formatCode="General"/>
    </dxf>
  </rfmt>
  <rfmt sheetId="2" sqref="M451" start="0" length="0">
    <dxf>
      <numFmt numFmtId="0" formatCode="General"/>
    </dxf>
  </rfmt>
  <rfmt sheetId="2" sqref="M452" start="0" length="0">
    <dxf>
      <numFmt numFmtId="0" formatCode="General"/>
    </dxf>
  </rfmt>
  <rfmt sheetId="2" sqref="M453" start="0" length="0">
    <dxf>
      <numFmt numFmtId="0" formatCode="General"/>
    </dxf>
  </rfmt>
  <rfmt sheetId="2" sqref="M454" start="0" length="0">
    <dxf>
      <numFmt numFmtId="0" formatCode="General"/>
    </dxf>
  </rfmt>
  <rfmt sheetId="2" sqref="M455" start="0" length="0">
    <dxf>
      <numFmt numFmtId="0" formatCode="General"/>
    </dxf>
  </rfmt>
  <rfmt sheetId="2" sqref="M456" start="0" length="0">
    <dxf>
      <numFmt numFmtId="0" formatCode="General"/>
    </dxf>
  </rfmt>
  <rfmt sheetId="2" sqref="M457" start="0" length="0">
    <dxf>
      <numFmt numFmtId="0" formatCode="General"/>
    </dxf>
  </rfmt>
  <rfmt sheetId="2" sqref="M458" start="0" length="0">
    <dxf>
      <numFmt numFmtId="0" formatCode="General"/>
    </dxf>
  </rfmt>
  <rfmt sheetId="2" sqref="M459" start="0" length="0">
    <dxf>
      <numFmt numFmtId="0" formatCode="General"/>
    </dxf>
  </rfmt>
  <rfmt sheetId="2" sqref="M460" start="0" length="0">
    <dxf>
      <numFmt numFmtId="0" formatCode="General"/>
    </dxf>
  </rfmt>
  <rfmt sheetId="2" sqref="M461" start="0" length="0">
    <dxf>
      <numFmt numFmtId="0" formatCode="General"/>
    </dxf>
  </rfmt>
  <rfmt sheetId="2" sqref="M462" start="0" length="0">
    <dxf>
      <numFmt numFmtId="0" formatCode="General"/>
    </dxf>
  </rfmt>
  <rfmt sheetId="2" sqref="M463" start="0" length="0">
    <dxf>
      <numFmt numFmtId="0" formatCode="General"/>
    </dxf>
  </rfmt>
  <rfmt sheetId="2" sqref="M464" start="0" length="0">
    <dxf>
      <numFmt numFmtId="0" formatCode="General"/>
    </dxf>
  </rfmt>
  <rfmt sheetId="2" sqref="M465" start="0" length="0">
    <dxf>
      <numFmt numFmtId="0" formatCode="General"/>
    </dxf>
  </rfmt>
  <rfmt sheetId="2" sqref="M466" start="0" length="0">
    <dxf>
      <numFmt numFmtId="0" formatCode="General"/>
    </dxf>
  </rfmt>
  <rfmt sheetId="2" sqref="M467" start="0" length="0">
    <dxf>
      <numFmt numFmtId="0" formatCode="General"/>
    </dxf>
  </rfmt>
  <rfmt sheetId="2" sqref="M468" start="0" length="0">
    <dxf>
      <numFmt numFmtId="0" formatCode="General"/>
    </dxf>
  </rfmt>
  <rfmt sheetId="2" sqref="M469" start="0" length="0">
    <dxf>
      <numFmt numFmtId="0" formatCode="General"/>
    </dxf>
  </rfmt>
  <rfmt sheetId="2" sqref="M470" start="0" length="0">
    <dxf>
      <numFmt numFmtId="0" formatCode="General"/>
    </dxf>
  </rfmt>
  <rfmt sheetId="2" sqref="M471" start="0" length="0">
    <dxf>
      <numFmt numFmtId="0" formatCode="General"/>
    </dxf>
  </rfmt>
  <rfmt sheetId="2" sqref="M472" start="0" length="0">
    <dxf>
      <numFmt numFmtId="0" formatCode="General"/>
    </dxf>
  </rfmt>
  <rfmt sheetId="2" sqref="M473" start="0" length="0">
    <dxf>
      <numFmt numFmtId="0" formatCode="General"/>
    </dxf>
  </rfmt>
  <rfmt sheetId="2" sqref="M474" start="0" length="0">
    <dxf>
      <numFmt numFmtId="0" formatCode="General"/>
    </dxf>
  </rfmt>
  <rfmt sheetId="2" sqref="M475" start="0" length="0">
    <dxf>
      <numFmt numFmtId="0" formatCode="General"/>
    </dxf>
  </rfmt>
  <rfmt sheetId="2" sqref="M476" start="0" length="0">
    <dxf>
      <numFmt numFmtId="0" formatCode="General"/>
    </dxf>
  </rfmt>
  <rfmt sheetId="2" sqref="M477" start="0" length="0">
    <dxf>
      <numFmt numFmtId="0" formatCode="General"/>
    </dxf>
  </rfmt>
  <rfmt sheetId="2" sqref="M478" start="0" length="0">
    <dxf>
      <numFmt numFmtId="0" formatCode="General"/>
    </dxf>
  </rfmt>
  <rfmt sheetId="2" sqref="M479" start="0" length="0">
    <dxf>
      <numFmt numFmtId="0" formatCode="General"/>
    </dxf>
  </rfmt>
  <rfmt sheetId="2" sqref="M480" start="0" length="0">
    <dxf>
      <numFmt numFmtId="0" formatCode="General"/>
    </dxf>
  </rfmt>
  <rfmt sheetId="2" sqref="M481" start="0" length="0">
    <dxf>
      <numFmt numFmtId="0" formatCode="General"/>
    </dxf>
  </rfmt>
  <rfmt sheetId="2" sqref="M482" start="0" length="0">
    <dxf>
      <numFmt numFmtId="0" formatCode="General"/>
    </dxf>
  </rfmt>
  <rfmt sheetId="2" sqref="M483" start="0" length="0">
    <dxf>
      <numFmt numFmtId="0" formatCode="General"/>
    </dxf>
  </rfmt>
  <rfmt sheetId="2" sqref="M484" start="0" length="0">
    <dxf>
      <numFmt numFmtId="0" formatCode="General"/>
    </dxf>
  </rfmt>
  <rfmt sheetId="2" sqref="M485" start="0" length="0">
    <dxf>
      <numFmt numFmtId="0" formatCode="General"/>
    </dxf>
  </rfmt>
  <rfmt sheetId="2" sqref="M486" start="0" length="0">
    <dxf>
      <numFmt numFmtId="0" formatCode="General"/>
    </dxf>
  </rfmt>
  <rfmt sheetId="2" sqref="M487" start="0" length="0">
    <dxf>
      <numFmt numFmtId="0" formatCode="General"/>
    </dxf>
  </rfmt>
  <rfmt sheetId="2" sqref="M488" start="0" length="0">
    <dxf>
      <numFmt numFmtId="0" formatCode="General"/>
    </dxf>
  </rfmt>
  <rfmt sheetId="2" sqref="M489" start="0" length="0">
    <dxf>
      <numFmt numFmtId="0" formatCode="General"/>
    </dxf>
  </rfmt>
  <rfmt sheetId="2" sqref="M490" start="0" length="0">
    <dxf>
      <numFmt numFmtId="0" formatCode="General"/>
    </dxf>
  </rfmt>
  <rfmt sheetId="2" sqref="M491" start="0" length="0">
    <dxf>
      <numFmt numFmtId="0" formatCode="General"/>
    </dxf>
  </rfmt>
  <rfmt sheetId="2" sqref="M492" start="0" length="0">
    <dxf>
      <numFmt numFmtId="0" formatCode="General"/>
    </dxf>
  </rfmt>
  <rfmt sheetId="2" sqref="M493" start="0" length="0">
    <dxf>
      <numFmt numFmtId="0" formatCode="General"/>
    </dxf>
  </rfmt>
  <rfmt sheetId="2" sqref="M494" start="0" length="0">
    <dxf>
      <numFmt numFmtId="0" formatCode="General"/>
    </dxf>
  </rfmt>
  <rfmt sheetId="2" sqref="M495" start="0" length="0">
    <dxf>
      <numFmt numFmtId="0" formatCode="General"/>
    </dxf>
  </rfmt>
  <rfmt sheetId="2" sqref="M496" start="0" length="0">
    <dxf>
      <numFmt numFmtId="0" formatCode="General"/>
    </dxf>
  </rfmt>
  <rfmt sheetId="2" sqref="M497" start="0" length="0">
    <dxf>
      <numFmt numFmtId="0" formatCode="General"/>
    </dxf>
  </rfmt>
  <rfmt sheetId="2" sqref="M498" start="0" length="0">
    <dxf>
      <numFmt numFmtId="0" formatCode="General"/>
    </dxf>
  </rfmt>
  <rfmt sheetId="2" sqref="M499" start="0" length="0">
    <dxf>
      <numFmt numFmtId="0" formatCode="General"/>
    </dxf>
  </rfmt>
  <rfmt sheetId="2" sqref="M500" start="0" length="0">
    <dxf>
      <numFmt numFmtId="0" formatCode="General"/>
    </dxf>
  </rfmt>
  <rfmt sheetId="2" sqref="M501" start="0" length="0">
    <dxf>
      <numFmt numFmtId="0" formatCode="General"/>
    </dxf>
  </rfmt>
  <rfmt sheetId="2" sqref="M502" start="0" length="0">
    <dxf>
      <font>
        <sz val="10"/>
        <name val="Arial"/>
        <scheme val="none"/>
      </font>
      <numFmt numFmtId="0" formatCode="General"/>
    </dxf>
  </rfmt>
  <rfmt sheetId="2" sqref="M503" start="0" length="0">
    <dxf>
      <numFmt numFmtId="0" formatCode="General"/>
    </dxf>
  </rfmt>
  <rfmt sheetId="2" sqref="M504" start="0" length="0">
    <dxf>
      <numFmt numFmtId="0" formatCode="General"/>
    </dxf>
  </rfmt>
  <rfmt sheetId="2" sqref="M505" start="0" length="0">
    <dxf>
      <numFmt numFmtId="0" formatCode="General"/>
    </dxf>
  </rfmt>
  <rfmt sheetId="2" sqref="M506" start="0" length="0">
    <dxf>
      <numFmt numFmtId="0" formatCode="General"/>
    </dxf>
  </rfmt>
  <rfmt sheetId="2" sqref="M507" start="0" length="0">
    <dxf>
      <numFmt numFmtId="0" formatCode="General"/>
    </dxf>
  </rfmt>
  <rfmt sheetId="2" sqref="M508" start="0" length="0">
    <dxf>
      <numFmt numFmtId="0" formatCode="General"/>
    </dxf>
  </rfmt>
  <rfmt sheetId="2" sqref="M509" start="0" length="0">
    <dxf>
      <numFmt numFmtId="0" formatCode="General"/>
    </dxf>
  </rfmt>
  <rfmt sheetId="2" sqref="M510" start="0" length="0">
    <dxf>
      <numFmt numFmtId="0" formatCode="General"/>
    </dxf>
  </rfmt>
  <rfmt sheetId="2" sqref="M511" start="0" length="0">
    <dxf>
      <numFmt numFmtId="0" formatCode="General"/>
    </dxf>
  </rfmt>
  <rfmt sheetId="2" sqref="M512" start="0" length="0">
    <dxf>
      <numFmt numFmtId="0" formatCode="General"/>
    </dxf>
  </rfmt>
  <rfmt sheetId="2" sqref="M513" start="0" length="0">
    <dxf>
      <numFmt numFmtId="0" formatCode="General"/>
    </dxf>
  </rfmt>
  <rfmt sheetId="2" sqref="M514" start="0" length="0">
    <dxf>
      <numFmt numFmtId="0" formatCode="General"/>
    </dxf>
  </rfmt>
  <rfmt sheetId="2" sqref="M515" start="0" length="0">
    <dxf>
      <numFmt numFmtId="0" formatCode="General"/>
    </dxf>
  </rfmt>
  <rfmt sheetId="2" sqref="M516" start="0" length="0">
    <dxf>
      <numFmt numFmtId="0" formatCode="General"/>
    </dxf>
  </rfmt>
  <rfmt sheetId="2" sqref="M517" start="0" length="0">
    <dxf>
      <numFmt numFmtId="0" formatCode="General"/>
    </dxf>
  </rfmt>
  <rfmt sheetId="2" sqref="M518" start="0" length="0">
    <dxf>
      <numFmt numFmtId="0" formatCode="General"/>
    </dxf>
  </rfmt>
  <rfmt sheetId="2" sqref="M519" start="0" length="0">
    <dxf>
      <numFmt numFmtId="0" formatCode="General"/>
    </dxf>
  </rfmt>
  <rfmt sheetId="2" sqref="M520" start="0" length="0">
    <dxf>
      <numFmt numFmtId="0" formatCode="General"/>
    </dxf>
  </rfmt>
  <rfmt sheetId="2" sqref="M521" start="0" length="0">
    <dxf>
      <numFmt numFmtId="0" formatCode="General"/>
    </dxf>
  </rfmt>
  <rfmt sheetId="2" sqref="M522" start="0" length="0">
    <dxf>
      <numFmt numFmtId="0" formatCode="General"/>
    </dxf>
  </rfmt>
  <rfmt sheetId="2" sqref="M523" start="0" length="0">
    <dxf>
      <numFmt numFmtId="0" formatCode="General"/>
    </dxf>
  </rfmt>
  <rfmt sheetId="2" sqref="M524" start="0" length="0">
    <dxf>
      <numFmt numFmtId="0" formatCode="General"/>
    </dxf>
  </rfmt>
  <rfmt sheetId="2" sqref="M525" start="0" length="0">
    <dxf>
      <numFmt numFmtId="0" formatCode="General"/>
    </dxf>
  </rfmt>
  <rfmt sheetId="2" sqref="M526" start="0" length="0">
    <dxf>
      <numFmt numFmtId="0" formatCode="General"/>
    </dxf>
  </rfmt>
  <rfmt sheetId="2" sqref="M527" start="0" length="0">
    <dxf>
      <numFmt numFmtId="0" formatCode="General"/>
    </dxf>
  </rfmt>
  <rfmt sheetId="2" sqref="M528" start="0" length="0">
    <dxf>
      <numFmt numFmtId="0" formatCode="General"/>
    </dxf>
  </rfmt>
  <rfmt sheetId="2" sqref="M529" start="0" length="0">
    <dxf>
      <numFmt numFmtId="0" formatCode="General"/>
    </dxf>
  </rfmt>
  <rfmt sheetId="2" sqref="M530" start="0" length="0">
    <dxf>
      <numFmt numFmtId="0" formatCode="General"/>
    </dxf>
  </rfmt>
  <rfmt sheetId="2" sqref="M531" start="0" length="0">
    <dxf>
      <numFmt numFmtId="0" formatCode="General"/>
    </dxf>
  </rfmt>
  <rfmt sheetId="2" sqref="M532" start="0" length="0">
    <dxf>
      <font>
        <sz val="10"/>
        <name val="Arial"/>
        <scheme val="none"/>
      </font>
      <numFmt numFmtId="0" formatCode="General"/>
    </dxf>
  </rfmt>
  <rfmt sheetId="2" sqref="M533" start="0" length="0">
    <dxf>
      <numFmt numFmtId="0" formatCode="General"/>
    </dxf>
  </rfmt>
  <rfmt sheetId="2" sqref="M534" start="0" length="0">
    <dxf>
      <font>
        <sz val="10"/>
        <name val="Arial"/>
        <scheme val="none"/>
      </font>
      <numFmt numFmtId="0" formatCode="General"/>
    </dxf>
  </rfmt>
  <rfmt sheetId="2" sqref="M535" start="0" length="0">
    <dxf>
      <numFmt numFmtId="0" formatCode="General"/>
    </dxf>
  </rfmt>
  <rfmt sheetId="2" sqref="M536" start="0" length="0">
    <dxf>
      <font>
        <sz val="10"/>
        <name val="Arial"/>
        <scheme val="none"/>
      </font>
      <numFmt numFmtId="0" formatCode="General"/>
    </dxf>
  </rfmt>
  <rfmt sheetId="2" sqref="M537" start="0" length="0">
    <dxf>
      <font>
        <sz val="10"/>
        <name val="Arial"/>
        <scheme val="none"/>
      </font>
      <numFmt numFmtId="0" formatCode="General"/>
    </dxf>
  </rfmt>
  <rfmt sheetId="2" sqref="M538" start="0" length="0">
    <dxf>
      <font>
        <sz val="10"/>
        <name val="Arial"/>
        <scheme val="none"/>
      </font>
      <numFmt numFmtId="0" formatCode="General"/>
    </dxf>
  </rfmt>
  <rfmt sheetId="2" sqref="M539" start="0" length="0">
    <dxf>
      <numFmt numFmtId="0" formatCode="General"/>
    </dxf>
  </rfmt>
  <rfmt sheetId="2" sqref="M540" start="0" length="0">
    <dxf>
      <numFmt numFmtId="0" formatCode="General"/>
    </dxf>
  </rfmt>
  <rfmt sheetId="2" sqref="M541" start="0" length="0">
    <dxf>
      <numFmt numFmtId="0" formatCode="General"/>
    </dxf>
  </rfmt>
  <rfmt sheetId="2" sqref="M542" start="0" length="0">
    <dxf>
      <numFmt numFmtId="0" formatCode="General"/>
    </dxf>
  </rfmt>
  <rfmt sheetId="2" sqref="M543" start="0" length="0">
    <dxf>
      <numFmt numFmtId="0" formatCode="General"/>
    </dxf>
  </rfmt>
  <rfmt sheetId="2" sqref="M544" start="0" length="0">
    <dxf>
      <numFmt numFmtId="0" formatCode="General"/>
    </dxf>
  </rfmt>
  <rfmt sheetId="2" sqref="M545" start="0" length="0">
    <dxf>
      <numFmt numFmtId="0" formatCode="General"/>
    </dxf>
  </rfmt>
  <rfmt sheetId="2" sqref="M546" start="0" length="0">
    <dxf>
      <numFmt numFmtId="0" formatCode="General"/>
    </dxf>
  </rfmt>
  <rfmt sheetId="2" sqref="M547" start="0" length="0">
    <dxf>
      <numFmt numFmtId="0" formatCode="General"/>
    </dxf>
  </rfmt>
  <rfmt sheetId="2" sqref="M548" start="0" length="0">
    <dxf>
      <numFmt numFmtId="0" formatCode="General"/>
    </dxf>
  </rfmt>
  <rfmt sheetId="2" sqref="M549" start="0" length="0">
    <dxf>
      <numFmt numFmtId="0" formatCode="General"/>
    </dxf>
  </rfmt>
  <rfmt sheetId="2" sqref="M550" start="0" length="0">
    <dxf>
      <numFmt numFmtId="0" formatCode="General"/>
    </dxf>
  </rfmt>
  <rfmt sheetId="2" sqref="M551" start="0" length="0">
    <dxf>
      <numFmt numFmtId="0" formatCode="General"/>
    </dxf>
  </rfmt>
  <rfmt sheetId="2" sqref="M552" start="0" length="0">
    <dxf>
      <numFmt numFmtId="0" formatCode="General"/>
    </dxf>
  </rfmt>
  <rfmt sheetId="2" sqref="M553" start="0" length="0">
    <dxf>
      <numFmt numFmtId="0" formatCode="General"/>
    </dxf>
  </rfmt>
  <rfmt sheetId="2" sqref="M554" start="0" length="0">
    <dxf>
      <numFmt numFmtId="0" formatCode="General"/>
    </dxf>
  </rfmt>
  <rfmt sheetId="2" sqref="M555" start="0" length="0">
    <dxf>
      <numFmt numFmtId="0" formatCode="General"/>
    </dxf>
  </rfmt>
  <rfmt sheetId="2" sqref="M556" start="0" length="0">
    <dxf>
      <numFmt numFmtId="0" formatCode="General"/>
    </dxf>
  </rfmt>
  <rfmt sheetId="2" sqref="M557" start="0" length="0">
    <dxf>
      <numFmt numFmtId="0" formatCode="General"/>
    </dxf>
  </rfmt>
  <rfmt sheetId="2" sqref="M558" start="0" length="0">
    <dxf>
      <numFmt numFmtId="0" formatCode="General"/>
    </dxf>
  </rfmt>
  <rfmt sheetId="2" sqref="M559" start="0" length="0">
    <dxf>
      <numFmt numFmtId="0" formatCode="General"/>
    </dxf>
  </rfmt>
  <rfmt sheetId="2" sqref="M560" start="0" length="0">
    <dxf>
      <numFmt numFmtId="0" formatCode="General"/>
    </dxf>
  </rfmt>
  <rfmt sheetId="2" sqref="M561" start="0" length="0">
    <dxf>
      <numFmt numFmtId="0" formatCode="General"/>
    </dxf>
  </rfmt>
  <rfmt sheetId="2" sqref="M562" start="0" length="0">
    <dxf>
      <numFmt numFmtId="0" formatCode="General"/>
    </dxf>
  </rfmt>
  <rfmt sheetId="2" sqref="M563" start="0" length="0">
    <dxf>
      <numFmt numFmtId="0" formatCode="General"/>
    </dxf>
  </rfmt>
  <rfmt sheetId="2" sqref="M564" start="0" length="0">
    <dxf>
      <numFmt numFmtId="0" formatCode="General"/>
    </dxf>
  </rfmt>
  <rfmt sheetId="2" sqref="M565" start="0" length="0">
    <dxf>
      <numFmt numFmtId="0" formatCode="General"/>
    </dxf>
  </rfmt>
  <rfmt sheetId="2" sqref="M566" start="0" length="0">
    <dxf>
      <numFmt numFmtId="0" formatCode="General"/>
    </dxf>
  </rfmt>
  <rfmt sheetId="2" sqref="M567" start="0" length="0">
    <dxf>
      <numFmt numFmtId="0" formatCode="General"/>
    </dxf>
  </rfmt>
  <rfmt sheetId="2" sqref="M568" start="0" length="0">
    <dxf>
      <numFmt numFmtId="0" formatCode="General"/>
    </dxf>
  </rfmt>
  <rfmt sheetId="2" sqref="M569" start="0" length="0">
    <dxf>
      <numFmt numFmtId="0" formatCode="General"/>
    </dxf>
  </rfmt>
  <rfmt sheetId="2" sqref="M570" start="0" length="0">
    <dxf>
      <numFmt numFmtId="0" formatCode="General"/>
    </dxf>
  </rfmt>
  <rfmt sheetId="2" sqref="M571" start="0" length="0">
    <dxf>
      <numFmt numFmtId="0" formatCode="General"/>
    </dxf>
  </rfmt>
  <rfmt sheetId="2" sqref="M572" start="0" length="0">
    <dxf>
      <numFmt numFmtId="0" formatCode="General"/>
    </dxf>
  </rfmt>
  <rfmt sheetId="2" sqref="M573" start="0" length="0">
    <dxf>
      <numFmt numFmtId="0" formatCode="General"/>
    </dxf>
  </rfmt>
  <rfmt sheetId="2" sqref="M574" start="0" length="0">
    <dxf>
      <numFmt numFmtId="0" formatCode="General"/>
    </dxf>
  </rfmt>
  <rfmt sheetId="2" sqref="M575" start="0" length="0">
    <dxf>
      <numFmt numFmtId="0" formatCode="General"/>
    </dxf>
  </rfmt>
  <rfmt sheetId="2" sqref="M576" start="0" length="0">
    <dxf>
      <numFmt numFmtId="0" formatCode="General"/>
    </dxf>
  </rfmt>
  <rfmt sheetId="2" sqref="M577" start="0" length="0">
    <dxf>
      <numFmt numFmtId="0" formatCode="General"/>
    </dxf>
  </rfmt>
  <rfmt sheetId="2" sqref="M578" start="0" length="0">
    <dxf>
      <numFmt numFmtId="0" formatCode="General"/>
    </dxf>
  </rfmt>
  <rfmt sheetId="2" sqref="M579" start="0" length="0">
    <dxf>
      <numFmt numFmtId="0" formatCode="General"/>
    </dxf>
  </rfmt>
  <rfmt sheetId="2" sqref="M580" start="0" length="0">
    <dxf>
      <numFmt numFmtId="0" formatCode="General"/>
    </dxf>
  </rfmt>
  <rfmt sheetId="2" sqref="M581" start="0" length="0">
    <dxf>
      <numFmt numFmtId="0" formatCode="General"/>
    </dxf>
  </rfmt>
  <rfmt sheetId="2" sqref="M582" start="0" length="0">
    <dxf>
      <numFmt numFmtId="0" formatCode="General"/>
    </dxf>
  </rfmt>
  <rfmt sheetId="2" sqref="M583" start="0" length="0">
    <dxf>
      <numFmt numFmtId="0" formatCode="General"/>
    </dxf>
  </rfmt>
  <rfmt sheetId="2" sqref="M584" start="0" length="0">
    <dxf>
      <numFmt numFmtId="0" formatCode="General"/>
    </dxf>
  </rfmt>
  <rfmt sheetId="2" sqref="M585" start="0" length="0">
    <dxf>
      <numFmt numFmtId="0" formatCode="General"/>
    </dxf>
  </rfmt>
  <rfmt sheetId="2" sqref="M586" start="0" length="0">
    <dxf>
      <numFmt numFmtId="0" formatCode="General"/>
    </dxf>
  </rfmt>
  <rfmt sheetId="2" sqref="M587" start="0" length="0">
    <dxf>
      <numFmt numFmtId="0" formatCode="General"/>
    </dxf>
  </rfmt>
  <rfmt sheetId="2" sqref="M588" start="0" length="0">
    <dxf>
      <numFmt numFmtId="0" formatCode="General"/>
    </dxf>
  </rfmt>
  <rfmt sheetId="2" sqref="M589" start="0" length="0">
    <dxf>
      <numFmt numFmtId="0" formatCode="General"/>
    </dxf>
  </rfmt>
  <rfmt sheetId="2" sqref="M590" start="0" length="0">
    <dxf>
      <numFmt numFmtId="0" formatCode="General"/>
    </dxf>
  </rfmt>
  <rfmt sheetId="2" sqref="M591" start="0" length="0">
    <dxf>
      <numFmt numFmtId="0" formatCode="General"/>
    </dxf>
  </rfmt>
  <rfmt sheetId="2" sqref="M592" start="0" length="0">
    <dxf>
      <numFmt numFmtId="0" formatCode="General"/>
    </dxf>
  </rfmt>
  <rfmt sheetId="2" sqref="M593" start="0" length="0">
    <dxf>
      <numFmt numFmtId="0" formatCode="General"/>
    </dxf>
  </rfmt>
  <rfmt sheetId="2" sqref="M594" start="0" length="0">
    <dxf>
      <numFmt numFmtId="0" formatCode="General"/>
    </dxf>
  </rfmt>
  <rfmt sheetId="2" sqref="M595" start="0" length="0">
    <dxf>
      <numFmt numFmtId="0" formatCode="General"/>
    </dxf>
  </rfmt>
  <rfmt sheetId="2" sqref="M596" start="0" length="0">
    <dxf>
      <numFmt numFmtId="0" formatCode="General"/>
    </dxf>
  </rfmt>
  <rfmt sheetId="2" sqref="M597" start="0" length="0">
    <dxf>
      <numFmt numFmtId="0" formatCode="General"/>
    </dxf>
  </rfmt>
  <rfmt sheetId="2" sqref="M598" start="0" length="0">
    <dxf>
      <numFmt numFmtId="0" formatCode="General"/>
    </dxf>
  </rfmt>
  <rfmt sheetId="2" sqref="M599" start="0" length="0">
    <dxf>
      <numFmt numFmtId="0" formatCode="General"/>
    </dxf>
  </rfmt>
  <rfmt sheetId="2" sqref="M600" start="0" length="0">
    <dxf>
      <numFmt numFmtId="0" formatCode="General"/>
    </dxf>
  </rfmt>
  <rfmt sheetId="2" sqref="M601" start="0" length="0">
    <dxf>
      <numFmt numFmtId="0" formatCode="General"/>
    </dxf>
  </rfmt>
  <rfmt sheetId="2" sqref="M602" start="0" length="0">
    <dxf>
      <numFmt numFmtId="0" formatCode="General"/>
    </dxf>
  </rfmt>
  <rfmt sheetId="2" sqref="M603" start="0" length="0">
    <dxf>
      <numFmt numFmtId="0" formatCode="General"/>
    </dxf>
  </rfmt>
  <rfmt sheetId="2" sqref="M604" start="0" length="0">
    <dxf>
      <numFmt numFmtId="0" formatCode="General"/>
    </dxf>
  </rfmt>
  <rfmt sheetId="2" sqref="M605" start="0" length="0">
    <dxf>
      <numFmt numFmtId="0" formatCode="General"/>
    </dxf>
  </rfmt>
  <rfmt sheetId="2" sqref="M606" start="0" length="0">
    <dxf>
      <numFmt numFmtId="0" formatCode="General"/>
    </dxf>
  </rfmt>
  <rfmt sheetId="2" sqref="M607" start="0" length="0">
    <dxf>
      <numFmt numFmtId="0" formatCode="General"/>
    </dxf>
  </rfmt>
  <rfmt sheetId="2" sqref="M608" start="0" length="0">
    <dxf>
      <numFmt numFmtId="0" formatCode="General"/>
    </dxf>
  </rfmt>
  <rfmt sheetId="2" sqref="M609" start="0" length="0">
    <dxf>
      <numFmt numFmtId="0" formatCode="General"/>
    </dxf>
  </rfmt>
  <rfmt sheetId="2" sqref="M610" start="0" length="0">
    <dxf>
      <numFmt numFmtId="0" formatCode="General"/>
    </dxf>
  </rfmt>
  <rfmt sheetId="2" sqref="M611" start="0" length="0">
    <dxf>
      <numFmt numFmtId="0" formatCode="General"/>
    </dxf>
  </rfmt>
  <rfmt sheetId="2" sqref="M612" start="0" length="0">
    <dxf>
      <numFmt numFmtId="0" formatCode="General"/>
    </dxf>
  </rfmt>
  <rfmt sheetId="2" sqref="M613" start="0" length="0">
    <dxf>
      <numFmt numFmtId="0" formatCode="General"/>
    </dxf>
  </rfmt>
  <rfmt sheetId="2" sqref="M614" start="0" length="0">
    <dxf>
      <numFmt numFmtId="0" formatCode="General"/>
    </dxf>
  </rfmt>
  <rfmt sheetId="2" sqref="M615" start="0" length="0">
    <dxf>
      <numFmt numFmtId="0" formatCode="General"/>
    </dxf>
  </rfmt>
  <rfmt sheetId="2" sqref="M616" start="0" length="0">
    <dxf>
      <numFmt numFmtId="0" formatCode="General"/>
    </dxf>
  </rfmt>
  <rfmt sheetId="2" sqref="M617" start="0" length="0">
    <dxf>
      <numFmt numFmtId="0" formatCode="General"/>
    </dxf>
  </rfmt>
  <rfmt sheetId="2" sqref="M618" start="0" length="0">
    <dxf>
      <numFmt numFmtId="0" formatCode="General"/>
    </dxf>
  </rfmt>
  <rfmt sheetId="2" sqref="M619" start="0" length="0">
    <dxf>
      <numFmt numFmtId="0" formatCode="General"/>
    </dxf>
  </rfmt>
  <rfmt sheetId="2" sqref="M620" start="0" length="0">
    <dxf>
      <numFmt numFmtId="0" formatCode="General"/>
    </dxf>
  </rfmt>
  <rfmt sheetId="2" sqref="M621" start="0" length="0">
    <dxf>
      <numFmt numFmtId="0" formatCode="General"/>
    </dxf>
  </rfmt>
  <rfmt sheetId="2" sqref="M622" start="0" length="0">
    <dxf>
      <numFmt numFmtId="0" formatCode="General"/>
    </dxf>
  </rfmt>
  <rfmt sheetId="2" sqref="M623" start="0" length="0">
    <dxf>
      <numFmt numFmtId="0" formatCode="General"/>
    </dxf>
  </rfmt>
  <rfmt sheetId="2" sqref="M624" start="0" length="0">
    <dxf>
      <numFmt numFmtId="0" formatCode="General"/>
    </dxf>
  </rfmt>
  <rfmt sheetId="2" sqref="M625" start="0" length="0">
    <dxf>
      <numFmt numFmtId="0" formatCode="General"/>
    </dxf>
  </rfmt>
  <rfmt sheetId="2" sqref="M626" start="0" length="0">
    <dxf>
      <numFmt numFmtId="0" formatCode="General"/>
    </dxf>
  </rfmt>
  <rfmt sheetId="2" sqref="M627" start="0" length="0">
    <dxf>
      <numFmt numFmtId="0" formatCode="General"/>
    </dxf>
  </rfmt>
  <rfmt sheetId="2" sqref="M628" start="0" length="0">
    <dxf>
      <numFmt numFmtId="0" formatCode="General"/>
    </dxf>
  </rfmt>
  <rfmt sheetId="2" sqref="M629" start="0" length="0">
    <dxf>
      <numFmt numFmtId="0" formatCode="General"/>
    </dxf>
  </rfmt>
  <rfmt sheetId="2" sqref="M630" start="0" length="0">
    <dxf>
      <numFmt numFmtId="0" formatCode="General"/>
    </dxf>
  </rfmt>
  <rfmt sheetId="2" sqref="M631" start="0" length="0">
    <dxf>
      <numFmt numFmtId="0" formatCode="General"/>
    </dxf>
  </rfmt>
  <rfmt sheetId="2" sqref="M632" start="0" length="0">
    <dxf>
      <numFmt numFmtId="0" formatCode="General"/>
    </dxf>
  </rfmt>
  <rfmt sheetId="2" sqref="M633" start="0" length="0">
    <dxf>
      <numFmt numFmtId="0" formatCode="General"/>
    </dxf>
  </rfmt>
  <rfmt sheetId="2" sqref="M634" start="0" length="0">
    <dxf>
      <numFmt numFmtId="0" formatCode="General"/>
    </dxf>
  </rfmt>
  <rfmt sheetId="2" sqref="M635" start="0" length="0">
    <dxf>
      <numFmt numFmtId="0" formatCode="General"/>
    </dxf>
  </rfmt>
  <rfmt sheetId="2" sqref="M636" start="0" length="0">
    <dxf>
      <numFmt numFmtId="0" formatCode="General"/>
    </dxf>
  </rfmt>
  <rfmt sheetId="2" sqref="M637" start="0" length="0">
    <dxf>
      <numFmt numFmtId="0" formatCode="General"/>
    </dxf>
  </rfmt>
  <rfmt sheetId="2" sqref="M638" start="0" length="0">
    <dxf>
      <numFmt numFmtId="0" formatCode="General"/>
    </dxf>
  </rfmt>
  <rfmt sheetId="2" sqref="M639" start="0" length="0">
    <dxf>
      <numFmt numFmtId="0" formatCode="General"/>
    </dxf>
  </rfmt>
  <rfmt sheetId="2" sqref="M640" start="0" length="0">
    <dxf>
      <numFmt numFmtId="0" formatCode="General"/>
    </dxf>
  </rfmt>
  <rfmt sheetId="2" sqref="M641" start="0" length="0">
    <dxf>
      <numFmt numFmtId="0" formatCode="General"/>
    </dxf>
  </rfmt>
  <rfmt sheetId="2" sqref="M642" start="0" length="0">
    <dxf>
      <numFmt numFmtId="0" formatCode="General"/>
    </dxf>
  </rfmt>
  <rfmt sheetId="2" sqref="M643" start="0" length="0">
    <dxf>
      <numFmt numFmtId="0" formatCode="General"/>
    </dxf>
  </rfmt>
  <rfmt sheetId="2" sqref="M644" start="0" length="0">
    <dxf>
      <numFmt numFmtId="0" formatCode="General"/>
    </dxf>
  </rfmt>
  <rfmt sheetId="2" sqref="M645" start="0" length="0">
    <dxf>
      <numFmt numFmtId="0" formatCode="General"/>
    </dxf>
  </rfmt>
  <rfmt sheetId="2" sqref="M646" start="0" length="0">
    <dxf>
      <numFmt numFmtId="0" formatCode="General"/>
    </dxf>
  </rfmt>
  <rfmt sheetId="2" sqref="M647" start="0" length="0">
    <dxf>
      <numFmt numFmtId="0" formatCode="General"/>
    </dxf>
  </rfmt>
  <rfmt sheetId="2" sqref="M648" start="0" length="0">
    <dxf>
      <numFmt numFmtId="0" formatCode="General"/>
    </dxf>
  </rfmt>
  <rfmt sheetId="2" sqref="M649" start="0" length="0">
    <dxf>
      <numFmt numFmtId="0" formatCode="General"/>
    </dxf>
  </rfmt>
  <rfmt sheetId="2" sqref="M650" start="0" length="0">
    <dxf>
      <numFmt numFmtId="0" formatCode="General"/>
    </dxf>
  </rfmt>
  <rfmt sheetId="2" sqref="M651" start="0" length="0">
    <dxf>
      <numFmt numFmtId="0" formatCode="General"/>
    </dxf>
  </rfmt>
  <rfmt sheetId="2" sqref="M652" start="0" length="0">
    <dxf>
      <numFmt numFmtId="0" formatCode="General"/>
    </dxf>
  </rfmt>
  <rfmt sheetId="2" sqref="M653" start="0" length="0">
    <dxf>
      <numFmt numFmtId="0" formatCode="General"/>
    </dxf>
  </rfmt>
  <rfmt sheetId="2" sqref="M654" start="0" length="0">
    <dxf>
      <numFmt numFmtId="0" formatCode="General"/>
    </dxf>
  </rfmt>
  <rfmt sheetId="2" sqref="M655" start="0" length="0">
    <dxf>
      <numFmt numFmtId="0" formatCode="General"/>
    </dxf>
  </rfmt>
  <rfmt sheetId="2" sqref="M656" start="0" length="0">
    <dxf>
      <numFmt numFmtId="0" formatCode="General"/>
    </dxf>
  </rfmt>
  <rfmt sheetId="2" sqref="M657" start="0" length="0">
    <dxf>
      <numFmt numFmtId="0" formatCode="General"/>
    </dxf>
  </rfmt>
  <rfmt sheetId="2" sqref="M658" start="0" length="0">
    <dxf>
      <numFmt numFmtId="0" formatCode="General"/>
    </dxf>
  </rfmt>
  <rfmt sheetId="2" sqref="M659" start="0" length="0">
    <dxf>
      <numFmt numFmtId="0" formatCode="General"/>
    </dxf>
  </rfmt>
  <rfmt sheetId="2" sqref="M660" start="0" length="0">
    <dxf>
      <numFmt numFmtId="0" formatCode="General"/>
    </dxf>
  </rfmt>
  <rfmt sheetId="2" sqref="M661" start="0" length="0">
    <dxf>
      <numFmt numFmtId="0" formatCode="General"/>
    </dxf>
  </rfmt>
  <rfmt sheetId="2" sqref="M662" start="0" length="0">
    <dxf>
      <numFmt numFmtId="0" formatCode="General"/>
    </dxf>
  </rfmt>
  <rfmt sheetId="2" sqref="M663" start="0" length="0">
    <dxf>
      <numFmt numFmtId="0" formatCode="General"/>
    </dxf>
  </rfmt>
  <rfmt sheetId="2" sqref="M664" start="0" length="0">
    <dxf>
      <numFmt numFmtId="0" formatCode="General"/>
    </dxf>
  </rfmt>
  <rfmt sheetId="2" sqref="M665" start="0" length="0">
    <dxf>
      <numFmt numFmtId="0" formatCode="General"/>
    </dxf>
  </rfmt>
  <rfmt sheetId="2" sqref="M666" start="0" length="0">
    <dxf>
      <numFmt numFmtId="0" formatCode="General"/>
    </dxf>
  </rfmt>
  <rfmt sheetId="2" sqref="M667" start="0" length="0">
    <dxf>
      <numFmt numFmtId="0" formatCode="General"/>
    </dxf>
  </rfmt>
  <rfmt sheetId="2" sqref="M668" start="0" length="0">
    <dxf>
      <numFmt numFmtId="0" formatCode="General"/>
    </dxf>
  </rfmt>
  <rfmt sheetId="2" sqref="M669" start="0" length="0">
    <dxf>
      <numFmt numFmtId="0" formatCode="General"/>
    </dxf>
  </rfmt>
  <rfmt sheetId="2" sqref="M670" start="0" length="0">
    <dxf>
      <numFmt numFmtId="0" formatCode="General"/>
    </dxf>
  </rfmt>
  <rfmt sheetId="2" sqref="M671" start="0" length="0">
    <dxf>
      <numFmt numFmtId="0" formatCode="General"/>
    </dxf>
  </rfmt>
  <rfmt sheetId="2" sqref="M672" start="0" length="0">
    <dxf>
      <numFmt numFmtId="0" formatCode="General"/>
    </dxf>
  </rfmt>
  <rfmt sheetId="2" sqref="M673" start="0" length="0">
    <dxf>
      <numFmt numFmtId="0" formatCode="General"/>
    </dxf>
  </rfmt>
  <rfmt sheetId="2" sqref="M674" start="0" length="0">
    <dxf>
      <numFmt numFmtId="0" formatCode="General"/>
    </dxf>
  </rfmt>
  <rfmt sheetId="2" sqref="M675" start="0" length="0">
    <dxf>
      <numFmt numFmtId="0" formatCode="General"/>
    </dxf>
  </rfmt>
  <rfmt sheetId="2" sqref="M676" start="0" length="0">
    <dxf>
      <numFmt numFmtId="0" formatCode="General"/>
    </dxf>
  </rfmt>
  <rfmt sheetId="2" sqref="M677" start="0" length="0">
    <dxf>
      <numFmt numFmtId="0" formatCode="General"/>
    </dxf>
  </rfmt>
  <rfmt sheetId="2" sqref="M678" start="0" length="0">
    <dxf>
      <numFmt numFmtId="0" formatCode="General"/>
    </dxf>
  </rfmt>
  <rfmt sheetId="2" sqref="M679" start="0" length="0">
    <dxf>
      <numFmt numFmtId="0" formatCode="General"/>
    </dxf>
  </rfmt>
  <rfmt sheetId="2" sqref="M680" start="0" length="0">
    <dxf>
      <numFmt numFmtId="0" formatCode="General"/>
    </dxf>
  </rfmt>
  <rfmt sheetId="2" sqref="M681" start="0" length="0">
    <dxf>
      <numFmt numFmtId="0" formatCode="General"/>
    </dxf>
  </rfmt>
  <rfmt sheetId="2" sqref="M682" start="0" length="0">
    <dxf>
      <numFmt numFmtId="0" formatCode="General"/>
    </dxf>
  </rfmt>
  <rfmt sheetId="2" sqref="M683" start="0" length="0">
    <dxf>
      <numFmt numFmtId="0" formatCode="General"/>
    </dxf>
  </rfmt>
  <rfmt sheetId="2" sqref="M684" start="0" length="0">
    <dxf>
      <numFmt numFmtId="0" formatCode="General"/>
    </dxf>
  </rfmt>
  <rfmt sheetId="2" sqref="M685" start="0" length="0">
    <dxf>
      <numFmt numFmtId="0" formatCode="General"/>
    </dxf>
  </rfmt>
  <rfmt sheetId="2" sqref="M686" start="0" length="0">
    <dxf>
      <numFmt numFmtId="0" formatCode="General"/>
    </dxf>
  </rfmt>
  <rfmt sheetId="2" sqref="M687" start="0" length="0">
    <dxf>
      <numFmt numFmtId="0" formatCode="General"/>
    </dxf>
  </rfmt>
  <rfmt sheetId="2" sqref="M688" start="0" length="0">
    <dxf>
      <numFmt numFmtId="0" formatCode="General"/>
    </dxf>
  </rfmt>
  <rfmt sheetId="2" sqref="M689" start="0" length="0">
    <dxf>
      <numFmt numFmtId="0" formatCode="General"/>
    </dxf>
  </rfmt>
  <rfmt sheetId="2" sqref="M690" start="0" length="0">
    <dxf>
      <numFmt numFmtId="0" formatCode="General"/>
    </dxf>
  </rfmt>
  <rfmt sheetId="2" sqref="M691" start="0" length="0">
    <dxf>
      <numFmt numFmtId="0" formatCode="General"/>
    </dxf>
  </rfmt>
  <rfmt sheetId="2" sqref="M692" start="0" length="0">
    <dxf>
      <numFmt numFmtId="0" formatCode="General"/>
    </dxf>
  </rfmt>
  <rfmt sheetId="2" sqref="M693" start="0" length="0">
    <dxf>
      <numFmt numFmtId="0" formatCode="General"/>
    </dxf>
  </rfmt>
  <rfmt sheetId="2" sqref="M694" start="0" length="0">
    <dxf>
      <numFmt numFmtId="0" formatCode="General"/>
    </dxf>
  </rfmt>
  <rfmt sheetId="2" sqref="M695" start="0" length="0">
    <dxf>
      <numFmt numFmtId="0" formatCode="General"/>
    </dxf>
  </rfmt>
  <rfmt sheetId="2" sqref="M696" start="0" length="0">
    <dxf>
      <numFmt numFmtId="0" formatCode="General"/>
    </dxf>
  </rfmt>
  <rfmt sheetId="2" sqref="M697" start="0" length="0">
    <dxf>
      <numFmt numFmtId="0" formatCode="General"/>
    </dxf>
  </rfmt>
  <rfmt sheetId="2" sqref="M698" start="0" length="0">
    <dxf>
      <numFmt numFmtId="0" formatCode="General"/>
    </dxf>
  </rfmt>
  <rfmt sheetId="2" sqref="M699" start="0" length="0">
    <dxf>
      <numFmt numFmtId="0" formatCode="General"/>
    </dxf>
  </rfmt>
  <rfmt sheetId="2" sqref="M700" start="0" length="0">
    <dxf>
      <numFmt numFmtId="0" formatCode="General"/>
    </dxf>
  </rfmt>
  <rfmt sheetId="2" sqref="M701" start="0" length="0">
    <dxf>
      <numFmt numFmtId="0" formatCode="General"/>
    </dxf>
  </rfmt>
  <rfmt sheetId="2" sqref="M702" start="0" length="0">
    <dxf>
      <numFmt numFmtId="0" formatCode="General"/>
    </dxf>
  </rfmt>
  <rfmt sheetId="2" sqref="M703" start="0" length="0">
    <dxf>
      <numFmt numFmtId="0" formatCode="General"/>
    </dxf>
  </rfmt>
  <rfmt sheetId="2" sqref="M704" start="0" length="0">
    <dxf>
      <numFmt numFmtId="0" formatCode="General"/>
    </dxf>
  </rfmt>
  <rfmt sheetId="2" sqref="M705" start="0" length="0">
    <dxf>
      <numFmt numFmtId="0" formatCode="General"/>
    </dxf>
  </rfmt>
  <rfmt sheetId="2" sqref="M706" start="0" length="0">
    <dxf>
      <numFmt numFmtId="0" formatCode="General"/>
    </dxf>
  </rfmt>
  <rfmt sheetId="2" sqref="M708" start="0" length="0">
    <dxf>
      <numFmt numFmtId="0" formatCode="General"/>
    </dxf>
  </rfmt>
  <rfmt sheetId="2" sqref="M709" start="0" length="0">
    <dxf>
      <numFmt numFmtId="0" formatCode="General"/>
    </dxf>
  </rfmt>
  <rfmt sheetId="2" sqref="M710" start="0" length="0">
    <dxf>
      <numFmt numFmtId="0" formatCode="General"/>
    </dxf>
  </rfmt>
  <rfmt sheetId="2" sqref="M711" start="0" length="0">
    <dxf>
      <numFmt numFmtId="0" formatCode="General"/>
    </dxf>
  </rfmt>
  <rfmt sheetId="2" sqref="M712" start="0" length="0">
    <dxf>
      <numFmt numFmtId="0" formatCode="General"/>
    </dxf>
  </rfmt>
  <rfmt sheetId="2" sqref="M713" start="0" length="0">
    <dxf>
      <numFmt numFmtId="0" formatCode="General"/>
    </dxf>
  </rfmt>
  <rfmt sheetId="2" sqref="M714" start="0" length="0">
    <dxf>
      <numFmt numFmtId="0" formatCode="General"/>
    </dxf>
  </rfmt>
  <rfmt sheetId="2" sqref="M715" start="0" length="0">
    <dxf>
      <numFmt numFmtId="0" formatCode="General"/>
    </dxf>
  </rfmt>
  <rfmt sheetId="2" sqref="M716" start="0" length="0">
    <dxf>
      <numFmt numFmtId="0" formatCode="General"/>
    </dxf>
  </rfmt>
  <rfmt sheetId="2" sqref="M717" start="0" length="0">
    <dxf>
      <numFmt numFmtId="0" formatCode="General"/>
    </dxf>
  </rfmt>
  <rfmt sheetId="2" sqref="M718" start="0" length="0">
    <dxf>
      <numFmt numFmtId="0" formatCode="General"/>
    </dxf>
  </rfmt>
  <rfmt sheetId="2" sqref="M720" start="0" length="0">
    <dxf>
      <numFmt numFmtId="0" formatCode="General"/>
    </dxf>
  </rfmt>
  <rfmt sheetId="2" sqref="M721" start="0" length="0">
    <dxf>
      <numFmt numFmtId="0" formatCode="General"/>
    </dxf>
  </rfmt>
  <rfmt sheetId="2" sqref="M722" start="0" length="0">
    <dxf>
      <numFmt numFmtId="0" formatCode="General"/>
    </dxf>
  </rfmt>
  <rfmt sheetId="2" sqref="M723" start="0" length="0">
    <dxf>
      <numFmt numFmtId="0" formatCode="General"/>
    </dxf>
  </rfmt>
  <rfmt sheetId="2" sqref="M724" start="0" length="0">
    <dxf>
      <numFmt numFmtId="0" formatCode="General"/>
    </dxf>
  </rfmt>
  <rfmt sheetId="2" sqref="M725" start="0" length="0">
    <dxf>
      <numFmt numFmtId="0" formatCode="General"/>
    </dxf>
  </rfmt>
  <rfmt sheetId="2" sqref="M726" start="0" length="0">
    <dxf>
      <numFmt numFmtId="0" formatCode="General"/>
    </dxf>
  </rfmt>
  <rfmt sheetId="2" sqref="M727" start="0" length="0">
    <dxf>
      <numFmt numFmtId="0" formatCode="General"/>
    </dxf>
  </rfmt>
  <rfmt sheetId="2" sqref="M728" start="0" length="0">
    <dxf>
      <numFmt numFmtId="0" formatCode="General"/>
    </dxf>
  </rfmt>
  <rfmt sheetId="2" sqref="M729" start="0" length="0">
    <dxf>
      <numFmt numFmtId="0" formatCode="General"/>
    </dxf>
  </rfmt>
  <rfmt sheetId="2" sqref="M730" start="0" length="0">
    <dxf>
      <numFmt numFmtId="0" formatCode="General"/>
    </dxf>
  </rfmt>
  <rfmt sheetId="2" sqref="M731" start="0" length="0">
    <dxf>
      <numFmt numFmtId="0" formatCode="General"/>
    </dxf>
  </rfmt>
  <rfmt sheetId="2" sqref="M732" start="0" length="0">
    <dxf>
      <numFmt numFmtId="0" formatCode="General"/>
    </dxf>
  </rfmt>
  <rfmt sheetId="2" sqref="M733" start="0" length="0">
    <dxf>
      <numFmt numFmtId="0" formatCode="General"/>
    </dxf>
  </rfmt>
  <rfmt sheetId="2" sqref="M734" start="0" length="0">
    <dxf>
      <numFmt numFmtId="0" formatCode="General"/>
    </dxf>
  </rfmt>
  <rfmt sheetId="2" sqref="M735" start="0" length="0">
    <dxf>
      <numFmt numFmtId="0" formatCode="General"/>
    </dxf>
  </rfmt>
  <rfmt sheetId="2" sqref="M736" start="0" length="0">
    <dxf>
      <numFmt numFmtId="0" formatCode="General"/>
    </dxf>
  </rfmt>
  <rfmt sheetId="2" sqref="M737" start="0" length="0">
    <dxf>
      <numFmt numFmtId="0" formatCode="General"/>
    </dxf>
  </rfmt>
  <rfmt sheetId="2" sqref="M738" start="0" length="0">
    <dxf>
      <numFmt numFmtId="0" formatCode="General"/>
    </dxf>
  </rfmt>
  <rfmt sheetId="2" sqref="M739" start="0" length="0">
    <dxf>
      <numFmt numFmtId="0" formatCode="General"/>
    </dxf>
  </rfmt>
  <rfmt sheetId="2" sqref="M740" start="0" length="0">
    <dxf>
      <numFmt numFmtId="0" formatCode="General"/>
    </dxf>
  </rfmt>
  <rfmt sheetId="2" sqref="M741" start="0" length="0">
    <dxf>
      <numFmt numFmtId="0" formatCode="General"/>
    </dxf>
  </rfmt>
  <rfmt sheetId="2" sqref="M742" start="0" length="0">
    <dxf>
      <numFmt numFmtId="0" formatCode="General"/>
    </dxf>
  </rfmt>
  <rfmt sheetId="2" sqref="M743" start="0" length="0">
    <dxf>
      <numFmt numFmtId="0" formatCode="General"/>
    </dxf>
  </rfmt>
  <rfmt sheetId="2" sqref="M744" start="0" length="0">
    <dxf>
      <numFmt numFmtId="0" formatCode="General"/>
    </dxf>
  </rfmt>
  <rfmt sheetId="2" sqref="M746" start="0" length="0">
    <dxf>
      <numFmt numFmtId="0" formatCode="General"/>
    </dxf>
  </rfmt>
  <rfmt sheetId="2" sqref="M747" start="0" length="0">
    <dxf>
      <numFmt numFmtId="0" formatCode="General"/>
    </dxf>
  </rfmt>
  <rfmt sheetId="2" sqref="M748" start="0" length="0">
    <dxf>
      <numFmt numFmtId="0" formatCode="General"/>
    </dxf>
  </rfmt>
  <rfmt sheetId="2" sqref="M749" start="0" length="0">
    <dxf>
      <numFmt numFmtId="0" formatCode="General"/>
    </dxf>
  </rfmt>
  <rfmt sheetId="2" sqref="M750" start="0" length="0">
    <dxf>
      <numFmt numFmtId="0" formatCode="General"/>
    </dxf>
  </rfmt>
  <rfmt sheetId="2" sqref="M751" start="0" length="0">
    <dxf>
      <numFmt numFmtId="0" formatCode="General"/>
    </dxf>
  </rfmt>
  <rfmt sheetId="2" sqref="M752" start="0" length="0">
    <dxf>
      <numFmt numFmtId="0" formatCode="General"/>
    </dxf>
  </rfmt>
  <rfmt sheetId="2" sqref="M753" start="0" length="0">
    <dxf>
      <numFmt numFmtId="0" formatCode="General"/>
    </dxf>
  </rfmt>
  <rfmt sheetId="2" sqref="M754" start="0" length="0">
    <dxf>
      <numFmt numFmtId="0" formatCode="General"/>
    </dxf>
  </rfmt>
  <rfmt sheetId="2" sqref="M755" start="0" length="0">
    <dxf>
      <numFmt numFmtId="0" formatCode="General"/>
    </dxf>
  </rfmt>
  <rfmt sheetId="2" sqref="M756" start="0" length="0">
    <dxf>
      <numFmt numFmtId="0" formatCode="General"/>
    </dxf>
  </rfmt>
  <rfmt sheetId="2" sqref="M757" start="0" length="0">
    <dxf>
      <numFmt numFmtId="0" formatCode="General"/>
    </dxf>
  </rfmt>
  <rfmt sheetId="2" sqref="M758" start="0" length="0">
    <dxf>
      <numFmt numFmtId="0" formatCode="General"/>
    </dxf>
  </rfmt>
  <rfmt sheetId="2" sqref="M759" start="0" length="0">
    <dxf>
      <numFmt numFmtId="0" formatCode="General"/>
    </dxf>
  </rfmt>
  <rfmt sheetId="2" sqref="M760" start="0" length="0">
    <dxf>
      <numFmt numFmtId="0" formatCode="General"/>
    </dxf>
  </rfmt>
  <rfmt sheetId="2" sqref="M761" start="0" length="0">
    <dxf>
      <numFmt numFmtId="0" formatCode="General"/>
    </dxf>
  </rfmt>
  <rfmt sheetId="2" sqref="M762" start="0" length="0">
    <dxf>
      <numFmt numFmtId="0" formatCode="General"/>
    </dxf>
  </rfmt>
  <rfmt sheetId="2" sqref="M763" start="0" length="0">
    <dxf>
      <numFmt numFmtId="0" formatCode="General"/>
    </dxf>
  </rfmt>
  <rfmt sheetId="2" sqref="M764" start="0" length="0">
    <dxf>
      <numFmt numFmtId="0" formatCode="General"/>
    </dxf>
  </rfmt>
  <rfmt sheetId="2" sqref="M765" start="0" length="0">
    <dxf>
      <numFmt numFmtId="0" formatCode="General"/>
    </dxf>
  </rfmt>
  <rfmt sheetId="2" sqref="M766" start="0" length="0">
    <dxf>
      <numFmt numFmtId="0" formatCode="General"/>
    </dxf>
  </rfmt>
  <rfmt sheetId="2" sqref="M767" start="0" length="0">
    <dxf>
      <numFmt numFmtId="0" formatCode="General"/>
    </dxf>
  </rfmt>
  <rfmt sheetId="2" sqref="M768" start="0" length="0">
    <dxf>
      <numFmt numFmtId="0" formatCode="General"/>
    </dxf>
  </rfmt>
  <rfmt sheetId="2" sqref="M769" start="0" length="0">
    <dxf>
      <numFmt numFmtId="0" formatCode="General"/>
    </dxf>
  </rfmt>
  <rfmt sheetId="2" sqref="M770" start="0" length="0">
    <dxf>
      <numFmt numFmtId="0" formatCode="General"/>
    </dxf>
  </rfmt>
  <rfmt sheetId="2" sqref="M771" start="0" length="0">
    <dxf>
      <numFmt numFmtId="0" formatCode="General"/>
    </dxf>
  </rfmt>
  <rfmt sheetId="2" sqref="M772" start="0" length="0">
    <dxf>
      <numFmt numFmtId="0" formatCode="General"/>
    </dxf>
  </rfmt>
  <rfmt sheetId="2" sqref="M773" start="0" length="0">
    <dxf>
      <numFmt numFmtId="0" formatCode="General"/>
    </dxf>
  </rfmt>
  <rfmt sheetId="2" sqref="M774" start="0" length="0">
    <dxf>
      <numFmt numFmtId="0" formatCode="General"/>
    </dxf>
  </rfmt>
  <rfmt sheetId="2" sqref="M775" start="0" length="0">
    <dxf>
      <numFmt numFmtId="0" formatCode="General"/>
    </dxf>
  </rfmt>
  <rfmt sheetId="2" sqref="M776" start="0" length="0">
    <dxf>
      <numFmt numFmtId="0" formatCode="General"/>
    </dxf>
  </rfmt>
  <rfmt sheetId="2" sqref="M777" start="0" length="0">
    <dxf>
      <numFmt numFmtId="0" formatCode="General"/>
    </dxf>
  </rfmt>
  <rfmt sheetId="2" sqref="M778" start="0" length="0">
    <dxf>
      <numFmt numFmtId="0" formatCode="General"/>
    </dxf>
  </rfmt>
  <rfmt sheetId="2" sqref="M779" start="0" length="0">
    <dxf>
      <numFmt numFmtId="0" formatCode="General"/>
    </dxf>
  </rfmt>
  <rfmt sheetId="2" sqref="M780" start="0" length="0">
    <dxf>
      <numFmt numFmtId="0" formatCode="General"/>
    </dxf>
  </rfmt>
  <rfmt sheetId="2" sqref="M781" start="0" length="0">
    <dxf>
      <numFmt numFmtId="0" formatCode="General"/>
    </dxf>
  </rfmt>
  <rfmt sheetId="2" sqref="M782" start="0" length="0">
    <dxf>
      <numFmt numFmtId="0" formatCode="General"/>
    </dxf>
  </rfmt>
  <rfmt sheetId="2" sqref="M783" start="0" length="0">
    <dxf>
      <numFmt numFmtId="0" formatCode="General"/>
    </dxf>
  </rfmt>
  <rfmt sheetId="2" sqref="M784" start="0" length="0">
    <dxf>
      <numFmt numFmtId="0" formatCode="General"/>
    </dxf>
  </rfmt>
  <rfmt sheetId="2" sqref="M785" start="0" length="0">
    <dxf>
      <numFmt numFmtId="0" formatCode="General"/>
    </dxf>
  </rfmt>
  <rfmt sheetId="2" sqref="M786" start="0" length="0">
    <dxf>
      <numFmt numFmtId="0" formatCode="General"/>
    </dxf>
  </rfmt>
  <rfmt sheetId="2" sqref="M787" start="0" length="0">
    <dxf>
      <numFmt numFmtId="0" formatCode="General"/>
    </dxf>
  </rfmt>
  <rfmt sheetId="2" sqref="M788" start="0" length="0">
    <dxf>
      <numFmt numFmtId="0" formatCode="General"/>
    </dxf>
  </rfmt>
  <rfmt sheetId="2" sqref="M789" start="0" length="0">
    <dxf>
      <numFmt numFmtId="0" formatCode="General"/>
    </dxf>
  </rfmt>
  <rfmt sheetId="2" sqref="M790" start="0" length="0">
    <dxf>
      <numFmt numFmtId="0" formatCode="General"/>
    </dxf>
  </rfmt>
  <rfmt sheetId="2" sqref="M791" start="0" length="0">
    <dxf>
      <numFmt numFmtId="0" formatCode="General"/>
    </dxf>
  </rfmt>
  <rfmt sheetId="2" sqref="M792" start="0" length="0">
    <dxf>
      <numFmt numFmtId="0" formatCode="General"/>
    </dxf>
  </rfmt>
  <rfmt sheetId="2" sqref="M793" start="0" length="0">
    <dxf>
      <numFmt numFmtId="0" formatCode="General"/>
    </dxf>
  </rfmt>
  <rfmt sheetId="2" sqref="M794" start="0" length="0">
    <dxf>
      <numFmt numFmtId="0" formatCode="General"/>
    </dxf>
  </rfmt>
  <rfmt sheetId="2" sqref="M795" start="0" length="0">
    <dxf>
      <numFmt numFmtId="0" formatCode="General"/>
    </dxf>
  </rfmt>
  <rfmt sheetId="2" sqref="M796" start="0" length="0">
    <dxf>
      <numFmt numFmtId="0" formatCode="General"/>
    </dxf>
  </rfmt>
  <rfmt sheetId="2" sqref="M797" start="0" length="0">
    <dxf>
      <numFmt numFmtId="0" formatCode="General"/>
    </dxf>
  </rfmt>
  <rfmt sheetId="2" sqref="M798" start="0" length="0">
    <dxf>
      <numFmt numFmtId="0" formatCode="General"/>
    </dxf>
  </rfmt>
  <rfmt sheetId="2" sqref="M799" start="0" length="0">
    <dxf>
      <numFmt numFmtId="0" formatCode="General"/>
    </dxf>
  </rfmt>
  <rfmt sheetId="2" sqref="M800" start="0" length="0">
    <dxf>
      <numFmt numFmtId="0" formatCode="General"/>
    </dxf>
  </rfmt>
  <rfmt sheetId="2" sqref="M801" start="0" length="0">
    <dxf>
      <numFmt numFmtId="0" formatCode="General"/>
    </dxf>
  </rfmt>
  <rfmt sheetId="2" sqref="M802" start="0" length="0">
    <dxf>
      <numFmt numFmtId="0" formatCode="General"/>
    </dxf>
  </rfmt>
  <rfmt sheetId="2" sqref="M803" start="0" length="0">
    <dxf>
      <numFmt numFmtId="0" formatCode="General"/>
    </dxf>
  </rfmt>
  <rfmt sheetId="2" sqref="M804" start="0" length="0">
    <dxf>
      <numFmt numFmtId="0" formatCode="General"/>
    </dxf>
  </rfmt>
  <rfmt sheetId="2" sqref="M805" start="0" length="0">
    <dxf>
      <numFmt numFmtId="0" formatCode="General"/>
    </dxf>
  </rfmt>
  <rfmt sheetId="2" sqref="M806" start="0" length="0">
    <dxf>
      <numFmt numFmtId="0" formatCode="General"/>
    </dxf>
  </rfmt>
  <rfmt sheetId="2" sqref="M807" start="0" length="0">
    <dxf>
      <numFmt numFmtId="0" formatCode="General"/>
    </dxf>
  </rfmt>
  <rfmt sheetId="2" sqref="M808" start="0" length="0">
    <dxf>
      <numFmt numFmtId="0" formatCode="General"/>
    </dxf>
  </rfmt>
  <rfmt sheetId="2" sqref="M809" start="0" length="0">
    <dxf>
      <numFmt numFmtId="0" formatCode="General"/>
    </dxf>
  </rfmt>
  <rfmt sheetId="2" sqref="M810" start="0" length="0">
    <dxf>
      <numFmt numFmtId="0" formatCode="General"/>
    </dxf>
  </rfmt>
  <rfmt sheetId="2" sqref="M811" start="0" length="0">
    <dxf>
      <numFmt numFmtId="0" formatCode="General"/>
    </dxf>
  </rfmt>
  <rfmt sheetId="2" sqref="M812" start="0" length="0">
    <dxf>
      <numFmt numFmtId="0" formatCode="General"/>
    </dxf>
  </rfmt>
  <rfmt sheetId="2" sqref="M813" start="0" length="0">
    <dxf>
      <numFmt numFmtId="0" formatCode="General"/>
    </dxf>
  </rfmt>
  <rfmt sheetId="2" sqref="M814" start="0" length="0">
    <dxf>
      <numFmt numFmtId="0" formatCode="General"/>
    </dxf>
  </rfmt>
  <rfmt sheetId="2" sqref="M815" start="0" length="0">
    <dxf>
      <numFmt numFmtId="0" formatCode="General"/>
    </dxf>
  </rfmt>
  <rfmt sheetId="2" sqref="M816" start="0" length="0">
    <dxf>
      <numFmt numFmtId="0" formatCode="General"/>
    </dxf>
  </rfmt>
  <rfmt sheetId="2" sqref="M817" start="0" length="0">
    <dxf>
      <numFmt numFmtId="0" formatCode="General"/>
    </dxf>
  </rfmt>
  <rfmt sheetId="2" sqref="M818" start="0" length="0">
    <dxf>
      <numFmt numFmtId="0" formatCode="General"/>
    </dxf>
  </rfmt>
  <rfmt sheetId="2" sqref="M819" start="0" length="0">
    <dxf>
      <numFmt numFmtId="0" formatCode="General"/>
    </dxf>
  </rfmt>
  <rfmt sheetId="2" sqref="M820" start="0" length="0">
    <dxf>
      <numFmt numFmtId="0" formatCode="General"/>
    </dxf>
  </rfmt>
  <rfmt sheetId="2" sqref="M821" start="0" length="0">
    <dxf>
      <numFmt numFmtId="0" formatCode="General"/>
    </dxf>
  </rfmt>
  <rfmt sheetId="2" sqref="M822" start="0" length="0">
    <dxf>
      <numFmt numFmtId="0" formatCode="General"/>
    </dxf>
  </rfmt>
  <rfmt sheetId="2" sqref="M823" start="0" length="0">
    <dxf>
      <numFmt numFmtId="0" formatCode="General"/>
    </dxf>
  </rfmt>
  <rfmt sheetId="2" sqref="M824" start="0" length="0">
    <dxf>
      <numFmt numFmtId="0" formatCode="General"/>
    </dxf>
  </rfmt>
  <rfmt sheetId="2" sqref="M825" start="0" length="0">
    <dxf>
      <numFmt numFmtId="0" formatCode="General"/>
    </dxf>
  </rfmt>
  <rfmt sheetId="2" sqref="M826" start="0" length="0">
    <dxf>
      <numFmt numFmtId="0" formatCode="General"/>
    </dxf>
  </rfmt>
  <rfmt sheetId="2" sqref="M827" start="0" length="0">
    <dxf>
      <numFmt numFmtId="0" formatCode="General"/>
    </dxf>
  </rfmt>
  <rfmt sheetId="2" sqref="M828" start="0" length="0">
    <dxf>
      <numFmt numFmtId="0" formatCode="General"/>
    </dxf>
  </rfmt>
  <rfmt sheetId="2" sqref="M829" start="0" length="0">
    <dxf>
      <numFmt numFmtId="0" formatCode="General"/>
    </dxf>
  </rfmt>
  <rfmt sheetId="2" sqref="M830" start="0" length="0">
    <dxf>
      <numFmt numFmtId="0" formatCode="General"/>
    </dxf>
  </rfmt>
  <rfmt sheetId="2" sqref="M831" start="0" length="0">
    <dxf>
      <numFmt numFmtId="0" formatCode="General"/>
    </dxf>
  </rfmt>
  <rfmt sheetId="2" sqref="M832" start="0" length="0">
    <dxf>
      <numFmt numFmtId="0" formatCode="General"/>
    </dxf>
  </rfmt>
  <rfmt sheetId="2" sqref="M833" start="0" length="0">
    <dxf>
      <numFmt numFmtId="0" formatCode="General"/>
    </dxf>
  </rfmt>
  <rfmt sheetId="2" sqref="M834" start="0" length="0">
    <dxf>
      <numFmt numFmtId="0" formatCode="General"/>
    </dxf>
  </rfmt>
  <rfmt sheetId="2" sqref="M835" start="0" length="0">
    <dxf>
      <numFmt numFmtId="0" formatCode="General"/>
    </dxf>
  </rfmt>
  <rfmt sheetId="2" sqref="M836" start="0" length="0">
    <dxf>
      <numFmt numFmtId="0" formatCode="General"/>
    </dxf>
  </rfmt>
  <rfmt sheetId="2" sqref="M837" start="0" length="0">
    <dxf>
      <numFmt numFmtId="0" formatCode="General"/>
    </dxf>
  </rfmt>
  <rfmt sheetId="2" sqref="M838" start="0" length="0">
    <dxf>
      <numFmt numFmtId="0" formatCode="General"/>
    </dxf>
  </rfmt>
  <rfmt sheetId="2" sqref="M839" start="0" length="0">
    <dxf>
      <numFmt numFmtId="0" formatCode="General"/>
    </dxf>
  </rfmt>
  <rfmt sheetId="2" sqref="M840" start="0" length="0">
    <dxf>
      <numFmt numFmtId="0" formatCode="General"/>
    </dxf>
  </rfmt>
  <rfmt sheetId="2" sqref="M841" start="0" length="0">
    <dxf>
      <numFmt numFmtId="0" formatCode="General"/>
    </dxf>
  </rfmt>
  <rfmt sheetId="2" sqref="M842" start="0" length="0">
    <dxf>
      <numFmt numFmtId="0" formatCode="General"/>
    </dxf>
  </rfmt>
  <rfmt sheetId="2" sqref="M843" start="0" length="0">
    <dxf>
      <numFmt numFmtId="0" formatCode="General"/>
    </dxf>
  </rfmt>
  <rfmt sheetId="2" sqref="M844" start="0" length="0">
    <dxf>
      <numFmt numFmtId="0" formatCode="General"/>
    </dxf>
  </rfmt>
  <rfmt sheetId="2" sqref="M845" start="0" length="0">
    <dxf>
      <numFmt numFmtId="0" formatCode="General"/>
    </dxf>
  </rfmt>
  <rfmt sheetId="2" sqref="M846" start="0" length="0">
    <dxf>
      <numFmt numFmtId="0" formatCode="General"/>
    </dxf>
  </rfmt>
  <rfmt sheetId="2" sqref="M847" start="0" length="0">
    <dxf>
      <numFmt numFmtId="0" formatCode="General"/>
    </dxf>
  </rfmt>
  <rfmt sheetId="2" sqref="M848" start="0" length="0">
    <dxf>
      <numFmt numFmtId="0" formatCode="General"/>
    </dxf>
  </rfmt>
  <rfmt sheetId="2" sqref="M849" start="0" length="0">
    <dxf>
      <numFmt numFmtId="0" formatCode="General"/>
    </dxf>
  </rfmt>
  <rfmt sheetId="2" sqref="M850" start="0" length="0">
    <dxf>
      <numFmt numFmtId="0" formatCode="General"/>
    </dxf>
  </rfmt>
  <rfmt sheetId="2" sqref="M851" start="0" length="0">
    <dxf>
      <numFmt numFmtId="0" formatCode="General"/>
    </dxf>
  </rfmt>
  <rfmt sheetId="2" sqref="M852" start="0" length="0">
    <dxf>
      <numFmt numFmtId="0" formatCode="General"/>
    </dxf>
  </rfmt>
  <rfmt sheetId="2" sqref="M853" start="0" length="0">
    <dxf>
      <numFmt numFmtId="0" formatCode="General"/>
    </dxf>
  </rfmt>
  <rfmt sheetId="2" sqref="M854" start="0" length="0">
    <dxf>
      <numFmt numFmtId="0" formatCode="General"/>
    </dxf>
  </rfmt>
  <rfmt sheetId="2" sqref="M855" start="0" length="0">
    <dxf>
      <numFmt numFmtId="0" formatCode="General"/>
    </dxf>
  </rfmt>
  <rfmt sheetId="2" sqref="M856" start="0" length="0">
    <dxf>
      <numFmt numFmtId="0" formatCode="General"/>
    </dxf>
  </rfmt>
  <rfmt sheetId="2" sqref="M857" start="0" length="0">
    <dxf>
      <numFmt numFmtId="0" formatCode="General"/>
    </dxf>
  </rfmt>
  <rfmt sheetId="2" sqref="M858" start="0" length="0">
    <dxf>
      <numFmt numFmtId="0" formatCode="General"/>
    </dxf>
  </rfmt>
  <rfmt sheetId="2" sqref="M859" start="0" length="0">
    <dxf>
      <numFmt numFmtId="0" formatCode="General"/>
    </dxf>
  </rfmt>
  <rfmt sheetId="2" sqref="M860" start="0" length="0">
    <dxf>
      <numFmt numFmtId="0" formatCode="General"/>
    </dxf>
  </rfmt>
  <rfmt sheetId="2" sqref="M861" start="0" length="0">
    <dxf>
      <numFmt numFmtId="0" formatCode="General"/>
    </dxf>
  </rfmt>
  <rfmt sheetId="2" sqref="M862" start="0" length="0">
    <dxf>
      <numFmt numFmtId="0" formatCode="General"/>
    </dxf>
  </rfmt>
  <rfmt sheetId="2" sqref="M863" start="0" length="0">
    <dxf>
      <numFmt numFmtId="0" formatCode="General"/>
    </dxf>
  </rfmt>
  <rfmt sheetId="2" sqref="M864" start="0" length="0">
    <dxf>
      <numFmt numFmtId="0" formatCode="General"/>
    </dxf>
  </rfmt>
  <rfmt sheetId="2" sqref="M865" start="0" length="0">
    <dxf>
      <numFmt numFmtId="0" formatCode="General"/>
    </dxf>
  </rfmt>
  <rfmt sheetId="2" sqref="M866" start="0" length="0">
    <dxf>
      <numFmt numFmtId="0" formatCode="General"/>
    </dxf>
  </rfmt>
  <rfmt sheetId="2" sqref="M867" start="0" length="0">
    <dxf>
      <numFmt numFmtId="0" formatCode="General"/>
    </dxf>
  </rfmt>
  <rfmt sheetId="2" sqref="M868" start="0" length="0">
    <dxf>
      <numFmt numFmtId="0" formatCode="General"/>
    </dxf>
  </rfmt>
  <rfmt sheetId="2" sqref="M869" start="0" length="0">
    <dxf>
      <numFmt numFmtId="0" formatCode="General"/>
    </dxf>
  </rfmt>
  <rfmt sheetId="2" sqref="M870" start="0" length="0">
    <dxf>
      <numFmt numFmtId="0" formatCode="General"/>
    </dxf>
  </rfmt>
  <rfmt sheetId="2" sqref="M871" start="0" length="0">
    <dxf>
      <numFmt numFmtId="0" formatCode="General"/>
    </dxf>
  </rfmt>
  <rfmt sheetId="2" sqref="M872" start="0" length="0">
    <dxf>
      <numFmt numFmtId="0" formatCode="General"/>
    </dxf>
  </rfmt>
  <rfmt sheetId="2" sqref="M873" start="0" length="0">
    <dxf>
      <numFmt numFmtId="0" formatCode="General"/>
    </dxf>
  </rfmt>
  <rfmt sheetId="2" sqref="M874" start="0" length="0">
    <dxf>
      <numFmt numFmtId="0" formatCode="General"/>
    </dxf>
  </rfmt>
  <rfmt sheetId="2" sqref="M875" start="0" length="0">
    <dxf>
      <numFmt numFmtId="0" formatCode="General"/>
    </dxf>
  </rfmt>
  <rfmt sheetId="2" sqref="M876" start="0" length="0">
    <dxf>
      <numFmt numFmtId="0" formatCode="General"/>
    </dxf>
  </rfmt>
  <rfmt sheetId="2" sqref="M1:M1048576" start="0" length="0">
    <dxf>
      <numFmt numFmtId="0" formatCode="General"/>
    </dxf>
  </rfmt>
  <rcc rId="174" sId="2">
    <oc r="N2" t="inlineStr">
      <is>
        <t>剩餘量</t>
        <phoneticPr fontId="0" type="noConversion"/>
      </is>
    </oc>
    <nc r="N2" t="inlineStr">
      <is>
        <t>到廠時間</t>
        <phoneticPr fontId="0" type="noConversion"/>
      </is>
    </nc>
  </rcc>
  <rcc rId="175" sId="2" odxf="1" dxf="1" numFmtId="25">
    <nc r="N727">
      <v>4.1666666666666664E-2</v>
    </nc>
    <odxf>
      <numFmt numFmtId="0" formatCode="General"/>
    </odxf>
    <ndxf>
      <numFmt numFmtId="25" formatCode="hh:mm"/>
    </ndxf>
  </rcc>
  <rfmt sheetId="2" sqref="N728" start="0" length="0">
    <dxf>
      <numFmt numFmtId="25" formatCode="hh:mm"/>
    </dxf>
  </rfmt>
  <rfmt sheetId="2" sqref="N727">
    <dxf>
      <numFmt numFmtId="181" formatCode="h:mm;@"/>
    </dxf>
  </rfmt>
  <rfmt sheetId="2" sqref="N728" start="0" length="0">
    <dxf>
      <numFmt numFmtId="181" formatCode="h:mm;@"/>
    </dxf>
  </rfmt>
  <rfmt sheetId="2" sqref="N729" start="0" length="0">
    <dxf>
      <numFmt numFmtId="181" formatCode="h:mm;@"/>
      <fill>
        <patternFill>
          <bgColor theme="6" tint="0.59999389629810485"/>
        </patternFill>
      </fill>
    </dxf>
  </rfmt>
  <rfmt sheetId="2" sqref="N730" start="0" length="0">
    <dxf>
      <numFmt numFmtId="181" formatCode="h:mm;@"/>
      <fill>
        <patternFill>
          <bgColor theme="6" tint="0.59999389629810485"/>
        </patternFill>
      </fill>
    </dxf>
  </rfmt>
  <rcc rId="176" sId="2" numFmtId="23">
    <nc r="N728">
      <v>0.66666666666666663</v>
    </nc>
  </rcc>
  <rcc rId="177" sId="2" numFmtId="23">
    <nc r="N729">
      <v>8.3333333333333329E-2</v>
    </nc>
  </rcc>
  <rcc rId="178" sId="2" numFmtId="23">
    <nc r="N730">
      <v>0.54166666666666663</v>
    </nc>
  </rcc>
  <rfmt sheetId="2" sqref="N729:N730">
    <dxf>
      <fill>
        <patternFill>
          <bgColor theme="8" tint="0.59999389629810485"/>
        </patternFill>
      </fill>
    </dxf>
  </rfmt>
  <rrc rId="179" sId="2" ref="Q1:Q1048576" action="deleteCol">
    <undo index="0" exp="area" ref3D="1" dr="$A$1:$Q$2" dn="Print_Area" sId="2"/>
    <undo index="0" exp="area" ref3D="1" dr="$A$1:$Q$2" dn="Z_F607B316_DD6D_4909_B40C_8E7F3D6FB597_.wvu.PrintArea" sId="2"/>
    <undo index="0" exp="area" ref3D="1" dr="$A$1:$Q$2" dn="Z_F261CC3E_BBAF_4421_92E0_E43167440BFB_.wvu.PrintArea" sId="2"/>
    <undo index="0" exp="area" ref3D="1" dr="$A$1:$Q$2" dn="Z_5AFECFD9_E8A5_469F_BA7F_E625784BB00E_.wvu.PrintArea" sId="2"/>
    <undo index="0" exp="area" ref3D="1" dr="$A$1:$Q$2" dn="Z_8578D927_8BDE_4C99_A2DB_3E44DFA36FF2_.wvu.PrintArea" sId="2"/>
    <undo index="0" exp="area" ref3D="1" dr="$A$1:$Q$2" dn="Z_672D5AB9_BC7D_4150_A9A0_388212000AF9_.wvu.PrintArea" sId="2"/>
    <undo index="0" exp="area" ref3D="1" dr="$A$1:$Q$2" dn="Z_34E441CB_6330_48F0_B097_A4EDB111149A_.wvu.PrintArea" sId="2"/>
    <rfmt sheetId="2" xfDxf="1" sqref="Q1:Q1048576" start="0" length="0">
      <dxf>
        <font>
          <sz val="10"/>
          <name val="Arial"/>
          <scheme val="none"/>
        </font>
        <alignment horizontal="center" readingOrder="0"/>
      </dxf>
    </rfmt>
    <rfmt sheetId="2" sqref="Q1" start="0" length="0">
      <dxf>
        <font>
          <sz val="10"/>
          <name val="Arial"/>
          <scheme val="minor"/>
        </font>
        <fill>
          <patternFill patternType="solid">
            <bgColor rgb="FF92D050"/>
          </patternFill>
        </fill>
        <alignment vertical="center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>
      <nc r="Q2" t="inlineStr">
        <is>
          <t>到廠時間</t>
        </is>
      </nc>
      <ndxf>
        <font>
          <sz val="10"/>
          <name val="Arial"/>
          <scheme val="minor"/>
        </font>
        <fill>
          <patternFill patternType="solid">
            <bgColor rgb="FF92D050"/>
          </patternFill>
        </fill>
        <alignment vertical="center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qref="Q388" start="0" length="0">
      <dxf>
        <font>
          <sz val="10"/>
          <name val="Arial"/>
          <scheme val="none"/>
        </font>
      </dxf>
    </rfmt>
    <rcc rId="0" sId="2" dxf="1" numFmtId="23">
      <nc r="Q727">
        <v>4.1666666666666664E-2</v>
      </nc>
      <ndxf>
        <numFmt numFmtId="181" formatCode="h:mm;@"/>
      </ndxf>
    </rcc>
    <rcc rId="0" sId="2" dxf="1" numFmtId="23">
      <nc r="Q728">
        <v>0.66666666666666663</v>
      </nc>
      <ndxf>
        <numFmt numFmtId="181" formatCode="h:mm;@"/>
      </ndxf>
    </rcc>
    <rcc rId="0" sId="2" dxf="1" numFmtId="23">
      <nc r="Q729">
        <v>8.3333333333333329E-2</v>
      </nc>
      <ndxf>
        <numFmt numFmtId="181" formatCode="h:mm;@"/>
      </ndxf>
    </rcc>
    <rcc rId="0" sId="2" dxf="1" numFmtId="23">
      <nc r="Q730">
        <v>0.54166666666666663</v>
      </nc>
      <ndxf>
        <numFmt numFmtId="181" formatCode="h:mm;@"/>
      </ndxf>
    </rcc>
    <rfmt sheetId="2" sqref="Q731" start="0" length="0">
      <dxf>
        <numFmt numFmtId="181" formatCode="h:mm;@"/>
      </dxf>
    </rfmt>
    <rfmt sheetId="2" sqref="Q732" start="0" length="0">
      <dxf>
        <numFmt numFmtId="181" formatCode="h:mm;@"/>
      </dxf>
    </rfmt>
    <rfmt sheetId="2" sqref="Q733" start="0" length="0">
      <dxf>
        <numFmt numFmtId="181" formatCode="h:mm;@"/>
      </dxf>
    </rfmt>
    <rfmt sheetId="2" sqref="Q734" start="0" length="0">
      <dxf>
        <numFmt numFmtId="181" formatCode="h:mm;@"/>
      </dxf>
    </rfmt>
    <rfmt sheetId="2" sqref="Q735" start="0" length="0">
      <dxf>
        <numFmt numFmtId="181" formatCode="h:mm;@"/>
      </dxf>
    </rfmt>
    <rfmt sheetId="2" sqref="Q736" start="0" length="0">
      <dxf>
        <numFmt numFmtId="181" formatCode="h:mm;@"/>
      </dxf>
    </rfmt>
    <rfmt sheetId="2" sqref="Q737" start="0" length="0">
      <dxf>
        <numFmt numFmtId="181" formatCode="h:mm;@"/>
      </dxf>
    </rfmt>
    <rfmt sheetId="2" sqref="Q738" start="0" length="0">
      <dxf>
        <numFmt numFmtId="181" formatCode="h:mm;@"/>
      </dxf>
    </rfmt>
    <rfmt sheetId="2" sqref="Q739" start="0" length="0">
      <dxf>
        <numFmt numFmtId="181" formatCode="h:mm;@"/>
      </dxf>
    </rfmt>
    <rfmt sheetId="2" sqref="Q740" start="0" length="0">
      <dxf>
        <numFmt numFmtId="181" formatCode="h:mm;@"/>
      </dxf>
    </rfmt>
    <rfmt sheetId="2" sqref="Q741" start="0" length="0">
      <dxf>
        <numFmt numFmtId="181" formatCode="h:mm;@"/>
      </dxf>
    </rfmt>
    <rfmt sheetId="2" sqref="Q742" start="0" length="0">
      <dxf>
        <numFmt numFmtId="181" formatCode="h:mm;@"/>
      </dxf>
    </rfmt>
    <rfmt sheetId="2" sqref="Q743" start="0" length="0">
      <dxf>
        <numFmt numFmtId="181" formatCode="h:mm;@"/>
      </dxf>
    </rfmt>
  </rrc>
  <rrc rId="180" sId="3" ref="M1:M1048576" action="insertCol"/>
  <rfmt sheetId="3" sqref="M1" start="0" length="0">
    <dxf>
      <alignment horizontal="general" readingOrder="0"/>
    </dxf>
  </rfmt>
  <rcc rId="181" sId="3">
    <nc r="M2" t="inlineStr">
      <is>
        <t>剩餘量</t>
        <phoneticPr fontId="0" type="noConversion"/>
      </is>
    </nc>
  </rcc>
  <rfmt sheetId="3" sqref="M3" start="0" length="0">
    <dxf>
      <numFmt numFmtId="0" formatCode="General"/>
    </dxf>
  </rfmt>
  <rfmt sheetId="3" sqref="M4" start="0" length="0">
    <dxf>
      <numFmt numFmtId="0" formatCode="General"/>
    </dxf>
  </rfmt>
  <rfmt sheetId="3" sqref="M5" start="0" length="0">
    <dxf>
      <numFmt numFmtId="0" formatCode="General"/>
    </dxf>
  </rfmt>
  <rfmt sheetId="3" sqref="M6" start="0" length="0">
    <dxf>
      <numFmt numFmtId="0" formatCode="General"/>
    </dxf>
  </rfmt>
  <rfmt sheetId="3" sqref="M7" start="0" length="0">
    <dxf>
      <numFmt numFmtId="0" formatCode="General"/>
    </dxf>
  </rfmt>
  <rfmt sheetId="3" sqref="M8" start="0" length="0">
    <dxf>
      <numFmt numFmtId="0" formatCode="General"/>
    </dxf>
  </rfmt>
  <rfmt sheetId="3" sqref="M9" start="0" length="0">
    <dxf>
      <numFmt numFmtId="0" formatCode="General"/>
    </dxf>
  </rfmt>
  <rfmt sheetId="3" sqref="M10" start="0" length="0">
    <dxf>
      <numFmt numFmtId="0" formatCode="General"/>
    </dxf>
  </rfmt>
  <rfmt sheetId="3" sqref="M11" start="0" length="0">
    <dxf>
      <numFmt numFmtId="0" formatCode="General"/>
    </dxf>
  </rfmt>
  <rfmt sheetId="3" sqref="M12" start="0" length="0">
    <dxf>
      <numFmt numFmtId="0" formatCode="General"/>
    </dxf>
  </rfmt>
  <rfmt sheetId="3" sqref="M13" start="0" length="0">
    <dxf>
      <numFmt numFmtId="0" formatCode="General"/>
    </dxf>
  </rfmt>
  <rfmt sheetId="3" sqref="M14" start="0" length="0">
    <dxf>
      <numFmt numFmtId="0" formatCode="General"/>
    </dxf>
  </rfmt>
  <rfmt sheetId="3" sqref="M15" start="0" length="0">
    <dxf>
      <numFmt numFmtId="0" formatCode="General"/>
    </dxf>
  </rfmt>
  <rfmt sheetId="3" sqref="M16" start="0" length="0">
    <dxf>
      <numFmt numFmtId="0" formatCode="General"/>
    </dxf>
  </rfmt>
  <rfmt sheetId="3" sqref="M17" start="0" length="0">
    <dxf>
      <numFmt numFmtId="0" formatCode="General"/>
    </dxf>
  </rfmt>
  <rfmt sheetId="3" sqref="M18" start="0" length="0">
    <dxf>
      <numFmt numFmtId="0" formatCode="General"/>
    </dxf>
  </rfmt>
  <rfmt sheetId="3" sqref="M19" start="0" length="0">
    <dxf>
      <numFmt numFmtId="0" formatCode="General"/>
    </dxf>
  </rfmt>
  <rfmt sheetId="3" sqref="M20" start="0" length="0">
    <dxf>
      <numFmt numFmtId="0" formatCode="General"/>
    </dxf>
  </rfmt>
  <rfmt sheetId="3" sqref="M21" start="0" length="0">
    <dxf>
      <numFmt numFmtId="0" formatCode="General"/>
    </dxf>
  </rfmt>
  <rfmt sheetId="3" sqref="M22" start="0" length="0">
    <dxf>
      <numFmt numFmtId="0" formatCode="General"/>
    </dxf>
  </rfmt>
  <rfmt sheetId="3" sqref="M1:M1048576" start="0" length="0">
    <dxf>
      <numFmt numFmtId="0" formatCode="General"/>
    </dxf>
  </rfmt>
  <rcc rId="182" sId="3">
    <oc r="N2" t="inlineStr">
      <is>
        <t>剩餘量</t>
        <phoneticPr fontId="0" type="noConversion"/>
      </is>
    </oc>
    <nc r="N2" t="inlineStr">
      <is>
        <t>到廠時間</t>
        <phoneticPr fontId="0" type="noConversion"/>
      </is>
    </nc>
  </rcc>
  <rrc rId="183" sId="4" ref="M1:M1048576" action="insertCol"/>
  <rfmt sheetId="4" sqref="M1" start="0" length="0">
    <dxf>
      <alignment horizontal="general" readingOrder="0"/>
    </dxf>
  </rfmt>
  <rcc rId="184" sId="4">
    <nc r="M2" t="inlineStr">
      <is>
        <t>剩餘量</t>
        <phoneticPr fontId="0" type="noConversion"/>
      </is>
    </nc>
  </rcc>
  <rfmt sheetId="4" sqref="M3" start="0" length="0">
    <dxf>
      <numFmt numFmtId="0" formatCode="General"/>
    </dxf>
  </rfmt>
  <rfmt sheetId="4" sqref="M4" start="0" length="0">
    <dxf>
      <numFmt numFmtId="0" formatCode="General"/>
    </dxf>
  </rfmt>
  <rfmt sheetId="4" sqref="M5" start="0" length="0">
    <dxf>
      <numFmt numFmtId="0" formatCode="General"/>
    </dxf>
  </rfmt>
  <rfmt sheetId="4" sqref="M6" start="0" length="0">
    <dxf>
      <numFmt numFmtId="0" formatCode="General"/>
    </dxf>
  </rfmt>
  <rfmt sheetId="4" sqref="M7" start="0" length="0">
    <dxf>
      <numFmt numFmtId="0" formatCode="General"/>
    </dxf>
  </rfmt>
  <rfmt sheetId="4" sqref="M8" start="0" length="0">
    <dxf>
      <numFmt numFmtId="0" formatCode="General"/>
    </dxf>
  </rfmt>
  <rfmt sheetId="4" sqref="M9" start="0" length="0">
    <dxf>
      <numFmt numFmtId="0" formatCode="General"/>
    </dxf>
  </rfmt>
  <rfmt sheetId="4" sqref="M10" start="0" length="0">
    <dxf>
      <numFmt numFmtId="0" formatCode="General"/>
    </dxf>
  </rfmt>
  <rfmt sheetId="4" sqref="M11" start="0" length="0">
    <dxf>
      <numFmt numFmtId="0" formatCode="General"/>
    </dxf>
  </rfmt>
  <rfmt sheetId="4" sqref="M12" start="0" length="0">
    <dxf>
      <numFmt numFmtId="0" formatCode="General"/>
    </dxf>
  </rfmt>
  <rfmt sheetId="4" sqref="M13" start="0" length="0">
    <dxf>
      <numFmt numFmtId="0" formatCode="General"/>
    </dxf>
  </rfmt>
  <rfmt sheetId="4" sqref="M14" start="0" length="0">
    <dxf>
      <numFmt numFmtId="0" formatCode="General"/>
    </dxf>
  </rfmt>
  <rfmt sheetId="4" sqref="M15" start="0" length="0">
    <dxf>
      <numFmt numFmtId="0" formatCode="General"/>
    </dxf>
  </rfmt>
  <rfmt sheetId="4" sqref="M16" start="0" length="0">
    <dxf>
      <numFmt numFmtId="0" formatCode="General"/>
    </dxf>
  </rfmt>
  <rfmt sheetId="4" sqref="M17" start="0" length="0">
    <dxf>
      <numFmt numFmtId="0" formatCode="General"/>
    </dxf>
  </rfmt>
  <rfmt sheetId="4" sqref="M18" start="0" length="0">
    <dxf>
      <numFmt numFmtId="0" formatCode="General"/>
    </dxf>
  </rfmt>
  <rfmt sheetId="4" sqref="M19" start="0" length="0">
    <dxf>
      <numFmt numFmtId="0" formatCode="General"/>
    </dxf>
  </rfmt>
  <rfmt sheetId="4" sqref="M20" start="0" length="0">
    <dxf>
      <numFmt numFmtId="0" formatCode="General"/>
    </dxf>
  </rfmt>
  <rfmt sheetId="4" sqref="M21" start="0" length="0">
    <dxf>
      <numFmt numFmtId="0" formatCode="General"/>
    </dxf>
  </rfmt>
  <rfmt sheetId="4" sqref="M22" start="0" length="0">
    <dxf>
      <numFmt numFmtId="0" formatCode="General"/>
    </dxf>
  </rfmt>
  <rfmt sheetId="4" sqref="M23" start="0" length="0">
    <dxf>
      <numFmt numFmtId="0" formatCode="General"/>
    </dxf>
  </rfmt>
  <rfmt sheetId="4" sqref="M24" start="0" length="0">
    <dxf>
      <numFmt numFmtId="0" formatCode="General"/>
    </dxf>
  </rfmt>
  <rfmt sheetId="4" sqref="M25" start="0" length="0">
    <dxf>
      <numFmt numFmtId="0" formatCode="General"/>
    </dxf>
  </rfmt>
  <rfmt sheetId="4" sqref="M26" start="0" length="0">
    <dxf>
      <numFmt numFmtId="0" formatCode="General"/>
    </dxf>
  </rfmt>
  <rfmt sheetId="4" sqref="M27" start="0" length="0">
    <dxf>
      <numFmt numFmtId="0" formatCode="General"/>
    </dxf>
  </rfmt>
  <rfmt sheetId="4" sqref="M28" start="0" length="0">
    <dxf>
      <numFmt numFmtId="0" formatCode="General"/>
    </dxf>
  </rfmt>
  <rfmt sheetId="4" sqref="M29" start="0" length="0">
    <dxf>
      <numFmt numFmtId="0" formatCode="General"/>
    </dxf>
  </rfmt>
  <rfmt sheetId="4" sqref="M30" start="0" length="0">
    <dxf>
      <numFmt numFmtId="0" formatCode="General"/>
    </dxf>
  </rfmt>
  <rfmt sheetId="4" sqref="M31" start="0" length="0">
    <dxf>
      <numFmt numFmtId="0" formatCode="General"/>
    </dxf>
  </rfmt>
  <rfmt sheetId="4" sqref="M32" start="0" length="0">
    <dxf>
      <numFmt numFmtId="0" formatCode="General"/>
    </dxf>
  </rfmt>
  <rfmt sheetId="4" sqref="M33" start="0" length="0">
    <dxf>
      <numFmt numFmtId="0" formatCode="General"/>
    </dxf>
  </rfmt>
  <rfmt sheetId="4" sqref="M34" start="0" length="0">
    <dxf>
      <numFmt numFmtId="0" formatCode="General"/>
    </dxf>
  </rfmt>
  <rfmt sheetId="4" sqref="M35" start="0" length="0">
    <dxf>
      <numFmt numFmtId="0" formatCode="General"/>
    </dxf>
  </rfmt>
  <rfmt sheetId="4" sqref="M36" start="0" length="0">
    <dxf>
      <numFmt numFmtId="0" formatCode="General"/>
    </dxf>
  </rfmt>
  <rfmt sheetId="4" sqref="M37" start="0" length="0">
    <dxf>
      <numFmt numFmtId="0" formatCode="General"/>
    </dxf>
  </rfmt>
  <rfmt sheetId="4" sqref="M38" start="0" length="0">
    <dxf>
      <numFmt numFmtId="0" formatCode="General"/>
    </dxf>
  </rfmt>
  <rfmt sheetId="4" sqref="M39" start="0" length="0">
    <dxf>
      <numFmt numFmtId="0" formatCode="General"/>
    </dxf>
  </rfmt>
  <rfmt sheetId="4" sqref="M40" start="0" length="0">
    <dxf>
      <numFmt numFmtId="0" formatCode="General"/>
    </dxf>
  </rfmt>
  <rfmt sheetId="4" sqref="M41" start="0" length="0">
    <dxf>
      <numFmt numFmtId="0" formatCode="General"/>
    </dxf>
  </rfmt>
  <rfmt sheetId="4" sqref="M42" start="0" length="0">
    <dxf>
      <numFmt numFmtId="0" formatCode="General"/>
    </dxf>
  </rfmt>
  <rfmt sheetId="4" sqref="M43" start="0" length="0">
    <dxf>
      <numFmt numFmtId="0" formatCode="General"/>
    </dxf>
  </rfmt>
  <rfmt sheetId="4" sqref="M44" start="0" length="0">
    <dxf>
      <numFmt numFmtId="0" formatCode="General"/>
    </dxf>
  </rfmt>
  <rfmt sheetId="4" sqref="M45" start="0" length="0">
    <dxf>
      <numFmt numFmtId="0" formatCode="General"/>
    </dxf>
  </rfmt>
  <rfmt sheetId="4" sqref="M46" start="0" length="0">
    <dxf>
      <numFmt numFmtId="0" formatCode="General"/>
    </dxf>
  </rfmt>
  <rfmt sheetId="4" sqref="M47" start="0" length="0">
    <dxf>
      <numFmt numFmtId="0" formatCode="General"/>
    </dxf>
  </rfmt>
  <rfmt sheetId="4" sqref="M48" start="0" length="0">
    <dxf>
      <numFmt numFmtId="0" formatCode="General"/>
    </dxf>
  </rfmt>
  <rfmt sheetId="4" sqref="M49" start="0" length="0">
    <dxf>
      <numFmt numFmtId="0" formatCode="General"/>
    </dxf>
  </rfmt>
  <rfmt sheetId="4" sqref="M50" start="0" length="0">
    <dxf>
      <numFmt numFmtId="0" formatCode="General"/>
    </dxf>
  </rfmt>
  <rfmt sheetId="4" sqref="M51" start="0" length="0">
    <dxf>
      <numFmt numFmtId="0" formatCode="General"/>
    </dxf>
  </rfmt>
  <rfmt sheetId="4" sqref="M52" start="0" length="0">
    <dxf>
      <numFmt numFmtId="0" formatCode="General"/>
    </dxf>
  </rfmt>
  <rfmt sheetId="4" sqref="M53" start="0" length="0">
    <dxf>
      <numFmt numFmtId="0" formatCode="General"/>
    </dxf>
  </rfmt>
  <rfmt sheetId="4" sqref="M54" start="0" length="0">
    <dxf>
      <numFmt numFmtId="0" formatCode="General"/>
    </dxf>
  </rfmt>
  <rfmt sheetId="4" sqref="M55" start="0" length="0">
    <dxf>
      <numFmt numFmtId="0" formatCode="General"/>
    </dxf>
  </rfmt>
  <rfmt sheetId="4" sqref="M56" start="0" length="0">
    <dxf>
      <numFmt numFmtId="0" formatCode="General"/>
    </dxf>
  </rfmt>
  <rfmt sheetId="4" sqref="M57" start="0" length="0">
    <dxf>
      <numFmt numFmtId="0" formatCode="General"/>
    </dxf>
  </rfmt>
  <rfmt sheetId="4" sqref="M58" start="0" length="0">
    <dxf>
      <numFmt numFmtId="0" formatCode="General"/>
    </dxf>
  </rfmt>
  <rfmt sheetId="4" sqref="M59" start="0" length="0">
    <dxf>
      <numFmt numFmtId="0" formatCode="General"/>
    </dxf>
  </rfmt>
  <rfmt sheetId="4" sqref="M60" start="0" length="0">
    <dxf>
      <numFmt numFmtId="0" formatCode="General"/>
    </dxf>
  </rfmt>
  <rfmt sheetId="4" sqref="M61" start="0" length="0">
    <dxf>
      <numFmt numFmtId="0" formatCode="General"/>
    </dxf>
  </rfmt>
  <rfmt sheetId="4" sqref="M62" start="0" length="0">
    <dxf>
      <numFmt numFmtId="0" formatCode="General"/>
    </dxf>
  </rfmt>
  <rfmt sheetId="4" sqref="M63" start="0" length="0">
    <dxf>
      <numFmt numFmtId="0" formatCode="General"/>
    </dxf>
  </rfmt>
  <rfmt sheetId="4" sqref="M64" start="0" length="0">
    <dxf>
      <numFmt numFmtId="0" formatCode="General"/>
    </dxf>
  </rfmt>
  <rfmt sheetId="4" sqref="M65" start="0" length="0">
    <dxf>
      <numFmt numFmtId="0" formatCode="General"/>
    </dxf>
  </rfmt>
  <rfmt sheetId="4" sqref="M66" start="0" length="0">
    <dxf>
      <numFmt numFmtId="0" formatCode="General"/>
    </dxf>
  </rfmt>
  <rfmt sheetId="4" sqref="M67" start="0" length="0">
    <dxf>
      <numFmt numFmtId="0" formatCode="General"/>
    </dxf>
  </rfmt>
  <rfmt sheetId="4" sqref="M68" start="0" length="0">
    <dxf>
      <numFmt numFmtId="0" formatCode="General"/>
    </dxf>
  </rfmt>
  <rfmt sheetId="4" sqref="M69" start="0" length="0">
    <dxf>
      <numFmt numFmtId="0" formatCode="General"/>
    </dxf>
  </rfmt>
  <rfmt sheetId="4" sqref="M70" start="0" length="0">
    <dxf>
      <numFmt numFmtId="0" formatCode="General"/>
    </dxf>
  </rfmt>
  <rfmt sheetId="4" sqref="M71" start="0" length="0">
    <dxf>
      <numFmt numFmtId="0" formatCode="General"/>
    </dxf>
  </rfmt>
  <rfmt sheetId="4" sqref="M72" start="0" length="0">
    <dxf>
      <numFmt numFmtId="0" formatCode="General"/>
    </dxf>
  </rfmt>
  <rfmt sheetId="4" sqref="M73" start="0" length="0">
    <dxf>
      <numFmt numFmtId="0" formatCode="General"/>
    </dxf>
  </rfmt>
  <rfmt sheetId="4" sqref="M74" start="0" length="0">
    <dxf>
      <numFmt numFmtId="0" formatCode="General"/>
    </dxf>
  </rfmt>
  <rfmt sheetId="4" sqref="M75" start="0" length="0">
    <dxf>
      <numFmt numFmtId="0" formatCode="General"/>
    </dxf>
  </rfmt>
  <rfmt sheetId="4" sqref="M76" start="0" length="0">
    <dxf>
      <numFmt numFmtId="0" formatCode="General"/>
    </dxf>
  </rfmt>
  <rfmt sheetId="4" sqref="M77" start="0" length="0">
    <dxf>
      <numFmt numFmtId="0" formatCode="General"/>
    </dxf>
  </rfmt>
  <rfmt sheetId="4" sqref="M78" start="0" length="0">
    <dxf>
      <numFmt numFmtId="0" formatCode="General"/>
    </dxf>
  </rfmt>
  <rfmt sheetId="4" sqref="M79" start="0" length="0">
    <dxf>
      <numFmt numFmtId="0" formatCode="General"/>
    </dxf>
  </rfmt>
  <rfmt sheetId="4" sqref="M80" start="0" length="0">
    <dxf>
      <numFmt numFmtId="0" formatCode="General"/>
    </dxf>
  </rfmt>
  <rfmt sheetId="4" sqref="M81" start="0" length="0">
    <dxf>
      <numFmt numFmtId="0" formatCode="General"/>
    </dxf>
  </rfmt>
  <rfmt sheetId="4" sqref="M82" start="0" length="0">
    <dxf>
      <numFmt numFmtId="0" formatCode="General"/>
    </dxf>
  </rfmt>
  <rfmt sheetId="4" sqref="M83" start="0" length="0">
    <dxf>
      <numFmt numFmtId="0" formatCode="General"/>
    </dxf>
  </rfmt>
  <rfmt sheetId="4" sqref="M84" start="0" length="0">
    <dxf>
      <numFmt numFmtId="0" formatCode="General"/>
    </dxf>
  </rfmt>
  <rfmt sheetId="4" sqref="M85" start="0" length="0">
    <dxf>
      <numFmt numFmtId="0" formatCode="General"/>
    </dxf>
  </rfmt>
  <rfmt sheetId="4" sqref="M86" start="0" length="0">
    <dxf>
      <numFmt numFmtId="0" formatCode="General"/>
    </dxf>
  </rfmt>
  <rfmt sheetId="4" sqref="M87" start="0" length="0">
    <dxf>
      <numFmt numFmtId="0" formatCode="General"/>
    </dxf>
  </rfmt>
  <rfmt sheetId="4" sqref="M88" start="0" length="0">
    <dxf>
      <numFmt numFmtId="0" formatCode="General"/>
    </dxf>
  </rfmt>
  <rfmt sheetId="4" sqref="M89" start="0" length="0">
    <dxf>
      <numFmt numFmtId="0" formatCode="General"/>
    </dxf>
  </rfmt>
  <rfmt sheetId="4" sqref="M90" start="0" length="0">
    <dxf>
      <numFmt numFmtId="0" formatCode="General"/>
    </dxf>
  </rfmt>
  <rfmt sheetId="4" sqref="M91" start="0" length="0">
    <dxf>
      <numFmt numFmtId="0" formatCode="General"/>
    </dxf>
  </rfmt>
  <rfmt sheetId="4" sqref="M92" start="0" length="0">
    <dxf>
      <numFmt numFmtId="0" formatCode="General"/>
    </dxf>
  </rfmt>
  <rfmt sheetId="4" sqref="M93" start="0" length="0">
    <dxf>
      <numFmt numFmtId="0" formatCode="General"/>
    </dxf>
  </rfmt>
  <rfmt sheetId="4" sqref="M94" start="0" length="0">
    <dxf>
      <numFmt numFmtId="0" formatCode="General"/>
    </dxf>
  </rfmt>
  <rfmt sheetId="4" sqref="M95" start="0" length="0">
    <dxf>
      <numFmt numFmtId="0" formatCode="General"/>
    </dxf>
  </rfmt>
  <rfmt sheetId="4" sqref="M96" start="0" length="0">
    <dxf>
      <numFmt numFmtId="0" formatCode="General"/>
    </dxf>
  </rfmt>
  <rfmt sheetId="4" sqref="M97" start="0" length="0">
    <dxf>
      <numFmt numFmtId="0" formatCode="General"/>
    </dxf>
  </rfmt>
  <rfmt sheetId="4" sqref="M98" start="0" length="0">
    <dxf>
      <numFmt numFmtId="0" formatCode="General"/>
    </dxf>
  </rfmt>
  <rfmt sheetId="4" sqref="M99" start="0" length="0">
    <dxf>
      <numFmt numFmtId="0" formatCode="General"/>
    </dxf>
  </rfmt>
  <rfmt sheetId="4" sqref="M100" start="0" length="0">
    <dxf>
      <numFmt numFmtId="0" formatCode="General"/>
    </dxf>
  </rfmt>
  <rfmt sheetId="4" sqref="M101" start="0" length="0">
    <dxf>
      <numFmt numFmtId="0" formatCode="General"/>
    </dxf>
  </rfmt>
  <rfmt sheetId="4" sqref="M102" start="0" length="0">
    <dxf>
      <numFmt numFmtId="0" formatCode="General"/>
    </dxf>
  </rfmt>
  <rfmt sheetId="4" sqref="M103" start="0" length="0">
    <dxf>
      <numFmt numFmtId="0" formatCode="General"/>
    </dxf>
  </rfmt>
  <rfmt sheetId="4" sqref="M104" start="0" length="0">
    <dxf>
      <numFmt numFmtId="0" formatCode="General"/>
    </dxf>
  </rfmt>
  <rfmt sheetId="4" sqref="M105" start="0" length="0">
    <dxf>
      <numFmt numFmtId="0" formatCode="General"/>
    </dxf>
  </rfmt>
  <rfmt sheetId="4" sqref="M106" start="0" length="0">
    <dxf>
      <numFmt numFmtId="0" formatCode="General"/>
    </dxf>
  </rfmt>
  <rfmt sheetId="4" sqref="M107" start="0" length="0">
    <dxf>
      <numFmt numFmtId="0" formatCode="General"/>
    </dxf>
  </rfmt>
  <rfmt sheetId="4" sqref="M108" start="0" length="0">
    <dxf>
      <numFmt numFmtId="0" formatCode="General"/>
    </dxf>
  </rfmt>
  <rfmt sheetId="4" sqref="M109" start="0" length="0">
    <dxf>
      <numFmt numFmtId="0" formatCode="General"/>
    </dxf>
  </rfmt>
  <rfmt sheetId="4" sqref="M110" start="0" length="0">
    <dxf>
      <numFmt numFmtId="0" formatCode="General"/>
    </dxf>
  </rfmt>
  <rfmt sheetId="4" sqref="M111" start="0" length="0">
    <dxf>
      <numFmt numFmtId="0" formatCode="General"/>
    </dxf>
  </rfmt>
  <rfmt sheetId="4" sqref="M112" start="0" length="0">
    <dxf>
      <numFmt numFmtId="0" formatCode="General"/>
    </dxf>
  </rfmt>
  <rfmt sheetId="4" sqref="M113" start="0" length="0">
    <dxf>
      <numFmt numFmtId="0" formatCode="General"/>
    </dxf>
  </rfmt>
  <rfmt sheetId="4" sqref="M114" start="0" length="0">
    <dxf>
      <numFmt numFmtId="0" formatCode="General"/>
    </dxf>
  </rfmt>
  <rfmt sheetId="4" sqref="M115" start="0" length="0">
    <dxf>
      <numFmt numFmtId="0" formatCode="General"/>
    </dxf>
  </rfmt>
  <rfmt sheetId="4" sqref="M116" start="0" length="0">
    <dxf>
      <font>
        <sz val="10"/>
        <name val="Arial"/>
        <scheme val="none"/>
      </font>
      <numFmt numFmtId="0" formatCode="General"/>
    </dxf>
  </rfmt>
  <rfmt sheetId="4" sqref="M117" start="0" length="0">
    <dxf>
      <numFmt numFmtId="0" formatCode="General"/>
    </dxf>
  </rfmt>
  <rfmt sheetId="4" sqref="M118" start="0" length="0">
    <dxf>
      <numFmt numFmtId="0" formatCode="General"/>
    </dxf>
  </rfmt>
  <rfmt sheetId="4" sqref="M119" start="0" length="0">
    <dxf>
      <numFmt numFmtId="0" formatCode="General"/>
    </dxf>
  </rfmt>
  <rfmt sheetId="4" sqref="M120" start="0" length="0">
    <dxf>
      <numFmt numFmtId="0" formatCode="General"/>
    </dxf>
  </rfmt>
  <rfmt sheetId="4" sqref="M121" start="0" length="0">
    <dxf>
      <numFmt numFmtId="0" formatCode="General"/>
    </dxf>
  </rfmt>
  <rfmt sheetId="4" sqref="M122" start="0" length="0">
    <dxf>
      <numFmt numFmtId="0" formatCode="General"/>
    </dxf>
  </rfmt>
  <rfmt sheetId="4" sqref="M123" start="0" length="0">
    <dxf>
      <numFmt numFmtId="0" formatCode="General"/>
    </dxf>
  </rfmt>
  <rfmt sheetId="4" sqref="M124" start="0" length="0">
    <dxf>
      <numFmt numFmtId="0" formatCode="General"/>
    </dxf>
  </rfmt>
  <rfmt sheetId="4" sqref="M125" start="0" length="0">
    <dxf>
      <numFmt numFmtId="0" formatCode="General"/>
    </dxf>
  </rfmt>
  <rfmt sheetId="4" sqref="M126" start="0" length="0">
    <dxf>
      <numFmt numFmtId="0" formatCode="General"/>
    </dxf>
  </rfmt>
  <rfmt sheetId="4" sqref="M127" start="0" length="0">
    <dxf>
      <numFmt numFmtId="0" formatCode="General"/>
    </dxf>
  </rfmt>
  <rfmt sheetId="4" sqref="M128" start="0" length="0">
    <dxf>
      <numFmt numFmtId="0" formatCode="General"/>
    </dxf>
  </rfmt>
  <rfmt sheetId="4" sqref="M129" start="0" length="0">
    <dxf>
      <numFmt numFmtId="0" formatCode="General"/>
    </dxf>
  </rfmt>
  <rfmt sheetId="4" sqref="M130" start="0" length="0">
    <dxf>
      <numFmt numFmtId="0" formatCode="General"/>
    </dxf>
  </rfmt>
  <rfmt sheetId="4" sqref="M131" start="0" length="0">
    <dxf>
      <numFmt numFmtId="0" formatCode="General"/>
    </dxf>
  </rfmt>
  <rfmt sheetId="4" sqref="M132" start="0" length="0">
    <dxf>
      <numFmt numFmtId="0" formatCode="General"/>
    </dxf>
  </rfmt>
  <rfmt sheetId="4" sqref="M133" start="0" length="0">
    <dxf>
      <numFmt numFmtId="0" formatCode="General"/>
    </dxf>
  </rfmt>
  <rfmt sheetId="4" sqref="M134" start="0" length="0">
    <dxf>
      <numFmt numFmtId="0" formatCode="General"/>
    </dxf>
  </rfmt>
  <rfmt sheetId="4" sqref="M135" start="0" length="0">
    <dxf>
      <numFmt numFmtId="0" formatCode="General"/>
    </dxf>
  </rfmt>
  <rfmt sheetId="4" sqref="M136" start="0" length="0">
    <dxf>
      <numFmt numFmtId="0" formatCode="General"/>
    </dxf>
  </rfmt>
  <rfmt sheetId="4" sqref="M137" start="0" length="0">
    <dxf>
      <numFmt numFmtId="0" formatCode="General"/>
    </dxf>
  </rfmt>
  <rfmt sheetId="4" sqref="M138" start="0" length="0">
    <dxf>
      <numFmt numFmtId="0" formatCode="General"/>
    </dxf>
  </rfmt>
  <rfmt sheetId="4" sqref="M139" start="0" length="0">
    <dxf>
      <numFmt numFmtId="0" formatCode="General"/>
    </dxf>
  </rfmt>
  <rfmt sheetId="4" sqref="M140" start="0" length="0">
    <dxf>
      <numFmt numFmtId="0" formatCode="General"/>
    </dxf>
  </rfmt>
  <rfmt sheetId="4" sqref="M141" start="0" length="0">
    <dxf>
      <numFmt numFmtId="0" formatCode="General"/>
    </dxf>
  </rfmt>
  <rfmt sheetId="4" sqref="M142" start="0" length="0">
    <dxf>
      <numFmt numFmtId="0" formatCode="General"/>
    </dxf>
  </rfmt>
  <rfmt sheetId="4" sqref="M143" start="0" length="0">
    <dxf>
      <numFmt numFmtId="0" formatCode="General"/>
    </dxf>
  </rfmt>
  <rfmt sheetId="4" sqref="M144" start="0" length="0">
    <dxf>
      <numFmt numFmtId="0" formatCode="General"/>
    </dxf>
  </rfmt>
  <rfmt sheetId="4" sqref="M145" start="0" length="0">
    <dxf>
      <numFmt numFmtId="0" formatCode="General"/>
    </dxf>
  </rfmt>
  <rfmt sheetId="4" sqref="M146" start="0" length="0">
    <dxf>
      <numFmt numFmtId="0" formatCode="General"/>
    </dxf>
  </rfmt>
  <rfmt sheetId="4" sqref="M147" start="0" length="0">
    <dxf>
      <numFmt numFmtId="0" formatCode="General"/>
    </dxf>
  </rfmt>
  <rfmt sheetId="4" sqref="M148" start="0" length="0">
    <dxf>
      <numFmt numFmtId="0" formatCode="General"/>
    </dxf>
  </rfmt>
  <rfmt sheetId="4" sqref="M149" start="0" length="0">
    <dxf>
      <numFmt numFmtId="0" formatCode="General"/>
    </dxf>
  </rfmt>
  <rfmt sheetId="4" sqref="M150" start="0" length="0">
    <dxf>
      <numFmt numFmtId="0" formatCode="General"/>
    </dxf>
  </rfmt>
  <rfmt sheetId="4" sqref="M151" start="0" length="0">
    <dxf>
      <numFmt numFmtId="0" formatCode="General"/>
    </dxf>
  </rfmt>
  <rfmt sheetId="4" sqref="M152" start="0" length="0">
    <dxf>
      <numFmt numFmtId="0" formatCode="General"/>
    </dxf>
  </rfmt>
  <rfmt sheetId="4" sqref="M153" start="0" length="0">
    <dxf>
      <numFmt numFmtId="0" formatCode="General"/>
    </dxf>
  </rfmt>
  <rfmt sheetId="4" sqref="M154" start="0" length="0">
    <dxf>
      <numFmt numFmtId="0" formatCode="General"/>
    </dxf>
  </rfmt>
  <rfmt sheetId="4" sqref="M155" start="0" length="0">
    <dxf>
      <numFmt numFmtId="0" formatCode="General"/>
    </dxf>
  </rfmt>
  <rfmt sheetId="4" sqref="M156" start="0" length="0">
    <dxf>
      <numFmt numFmtId="0" formatCode="General"/>
    </dxf>
  </rfmt>
  <rfmt sheetId="4" sqref="M157" start="0" length="0">
    <dxf>
      <numFmt numFmtId="0" formatCode="General"/>
    </dxf>
  </rfmt>
  <rfmt sheetId="4" sqref="M166" start="0" length="0">
    <dxf>
      <numFmt numFmtId="0" formatCode="General"/>
    </dxf>
  </rfmt>
  <rfmt sheetId="4" sqref="M167" start="0" length="0">
    <dxf>
      <numFmt numFmtId="0" formatCode="General"/>
    </dxf>
  </rfmt>
  <rfmt sheetId="4" sqref="M168" start="0" length="0">
    <dxf>
      <numFmt numFmtId="0" formatCode="General"/>
    </dxf>
  </rfmt>
  <rfmt sheetId="4" sqref="M169" start="0" length="0">
    <dxf>
      <numFmt numFmtId="0" formatCode="General"/>
    </dxf>
  </rfmt>
  <rfmt sheetId="4" sqref="M170" start="0" length="0">
    <dxf>
      <numFmt numFmtId="0" formatCode="General"/>
    </dxf>
  </rfmt>
  <rfmt sheetId="4" sqref="M171" start="0" length="0">
    <dxf>
      <numFmt numFmtId="0" formatCode="General"/>
    </dxf>
  </rfmt>
  <rfmt sheetId="4" sqref="M172" start="0" length="0">
    <dxf>
      <numFmt numFmtId="0" formatCode="General"/>
    </dxf>
  </rfmt>
  <rfmt sheetId="4" sqref="M173" start="0" length="0">
    <dxf>
      <numFmt numFmtId="0" formatCode="General"/>
    </dxf>
  </rfmt>
  <rfmt sheetId="4" sqref="M174" start="0" length="0">
    <dxf>
      <numFmt numFmtId="0" formatCode="General"/>
    </dxf>
  </rfmt>
  <rfmt sheetId="4" sqref="M175" start="0" length="0">
    <dxf>
      <numFmt numFmtId="0" formatCode="General"/>
    </dxf>
  </rfmt>
  <rfmt sheetId="4" sqref="M176" start="0" length="0">
    <dxf>
      <numFmt numFmtId="0" formatCode="General"/>
    </dxf>
  </rfmt>
  <rfmt sheetId="4" sqref="M177" start="0" length="0">
    <dxf>
      <numFmt numFmtId="0" formatCode="General"/>
    </dxf>
  </rfmt>
  <rfmt sheetId="4" sqref="M178" start="0" length="0">
    <dxf>
      <numFmt numFmtId="0" formatCode="General"/>
    </dxf>
  </rfmt>
  <rfmt sheetId="4" sqref="M179" start="0" length="0">
    <dxf>
      <numFmt numFmtId="0" formatCode="General"/>
    </dxf>
  </rfmt>
  <rfmt sheetId="4" sqref="M180" start="0" length="0">
    <dxf>
      <numFmt numFmtId="0" formatCode="General"/>
    </dxf>
  </rfmt>
  <rfmt sheetId="4" sqref="M181" start="0" length="0">
    <dxf>
      <numFmt numFmtId="0" formatCode="General"/>
    </dxf>
  </rfmt>
  <rfmt sheetId="4" sqref="M182" start="0" length="0">
    <dxf>
      <numFmt numFmtId="0" formatCode="General"/>
    </dxf>
  </rfmt>
  <rfmt sheetId="4" sqref="M183" start="0" length="0">
    <dxf>
      <numFmt numFmtId="0" formatCode="General"/>
    </dxf>
  </rfmt>
  <rfmt sheetId="4" sqref="M184" start="0" length="0">
    <dxf>
      <numFmt numFmtId="0" formatCode="General"/>
    </dxf>
  </rfmt>
  <rfmt sheetId="4" sqref="M185" start="0" length="0">
    <dxf>
      <numFmt numFmtId="0" formatCode="General"/>
    </dxf>
  </rfmt>
  <rfmt sheetId="4" sqref="M186" start="0" length="0">
    <dxf>
      <numFmt numFmtId="0" formatCode="General"/>
    </dxf>
  </rfmt>
  <rfmt sheetId="4" sqref="M187" start="0" length="0">
    <dxf>
      <numFmt numFmtId="0" formatCode="General"/>
    </dxf>
  </rfmt>
  <rfmt sheetId="4" sqref="M188" start="0" length="0">
    <dxf>
      <numFmt numFmtId="0" formatCode="General"/>
    </dxf>
  </rfmt>
  <rfmt sheetId="4" sqref="M189" start="0" length="0">
    <dxf>
      <numFmt numFmtId="0" formatCode="General"/>
    </dxf>
  </rfmt>
  <rfmt sheetId="4" sqref="M190" start="0" length="0">
    <dxf>
      <numFmt numFmtId="0" formatCode="General"/>
    </dxf>
  </rfmt>
  <rfmt sheetId="4" sqref="M1:M1048576" start="0" length="0">
    <dxf>
      <numFmt numFmtId="0" formatCode="General"/>
    </dxf>
  </rfmt>
  <rcc rId="185" sId="4">
    <oc r="N2" t="inlineStr">
      <is>
        <t>剩餘量</t>
        <phoneticPr fontId="0" type="noConversion"/>
      </is>
    </oc>
    <nc r="N2" t="inlineStr">
      <is>
        <t>到廠時間</t>
        <phoneticPr fontId="0" type="noConversion"/>
      </is>
    </nc>
  </rcc>
  <rcc rId="186" sId="4" odxf="1" dxf="1" numFmtId="25">
    <nc r="N162">
      <v>0.70833333333333337</v>
    </nc>
    <odxf>
      <numFmt numFmtId="0" formatCode="General"/>
    </odxf>
    <ndxf>
      <numFmt numFmtId="25" formatCode="hh:mm"/>
    </ndxf>
  </rcc>
  <rrc rId="187" sId="4" ref="Q1:Q1048576" action="deleteCol">
    <undo index="0" exp="area" ref3D="1" dr="$A$1:$Q$2" dn="Print_Area" sId="4"/>
    <undo index="0" exp="area" ref3D="1" dr="$A$1:$Q$2" dn="Z_F607B316_DD6D_4909_B40C_8E7F3D6FB597_.wvu.PrintArea" sId="4"/>
    <undo index="0" exp="area" ref3D="1" dr="$A$1:$Q$2" dn="Z_F261CC3E_BBAF_4421_92E0_E43167440BFB_.wvu.PrintArea" sId="4"/>
    <undo index="0" exp="area" ref3D="1" dr="$A$1:$Q$2" dn="Z_34E441CB_6330_48F0_B097_A4EDB111149A_.wvu.PrintArea" sId="4"/>
    <undo index="0" exp="area" ref3D="1" dr="$A$1:$Q$2" dn="Z_672D5AB9_BC7D_4150_A9A0_388212000AF9_.wvu.PrintArea" sId="4"/>
    <undo index="0" exp="area" ref3D="1" dr="$A$1:$Q$2" dn="Z_5AFECFD9_E8A5_469F_BA7F_E625784BB00E_.wvu.PrintArea" sId="4"/>
    <undo index="0" exp="area" ref3D="1" dr="$A$1:$Q$2" dn="Z_8578D927_8BDE_4C99_A2DB_3E44DFA36FF2_.wvu.PrintArea" sId="4"/>
    <rfmt sheetId="4" xfDxf="1" sqref="Q1:Q1048576" start="0" length="0">
      <dxf>
        <font>
          <sz val="10"/>
          <name val="Arial"/>
          <scheme val="none"/>
        </font>
        <alignment horizontal="center" readingOrder="0"/>
      </dxf>
    </rfmt>
    <rfmt sheetId="4" sqref="Q1" start="0" length="0">
      <dxf>
        <font>
          <sz val="10"/>
          <name val="Arial"/>
          <scheme val="minor"/>
        </font>
        <fill>
          <patternFill patternType="solid">
            <bgColor rgb="FF92D050"/>
          </patternFill>
        </fill>
        <alignment vertical="center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4" dxf="1">
      <nc r="Q2" t="inlineStr">
        <is>
          <t>到廠時間</t>
        </is>
      </nc>
      <ndxf>
        <font>
          <sz val="10"/>
          <name val="Arial"/>
          <scheme val="minor"/>
        </font>
        <fill>
          <patternFill patternType="solid">
            <bgColor rgb="FF92D050"/>
          </patternFill>
        </fill>
        <alignment vertical="center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4" dxf="1" numFmtId="23">
      <nc r="Q162">
        <v>0.70833333333333337</v>
      </nc>
      <ndxf>
        <numFmt numFmtId="181" formatCode="h:mm;@"/>
      </ndxf>
    </rcc>
    <rfmt sheetId="4" sqref="Q163" start="0" length="0">
      <dxf>
        <numFmt numFmtId="181" formatCode="h:mm;@"/>
      </dxf>
    </rfmt>
    <rfmt sheetId="4" sqref="Q164" start="0" length="0">
      <dxf>
        <numFmt numFmtId="181" formatCode="h:mm;@"/>
      </dxf>
    </rfmt>
    <rfmt sheetId="4" sqref="Q165" start="0" length="0">
      <dxf>
        <numFmt numFmtId="181" formatCode="h:mm;@"/>
      </dxf>
    </rfmt>
    <rfmt sheetId="4" sqref="Q166" start="0" length="0">
      <dxf>
        <numFmt numFmtId="181" formatCode="h:mm;@"/>
      </dxf>
    </rfmt>
    <rfmt sheetId="4" sqref="Q167" start="0" length="0">
      <dxf>
        <numFmt numFmtId="181" formatCode="h:mm;@"/>
      </dxf>
    </rfmt>
    <rfmt sheetId="4" sqref="Q168" start="0" length="0">
      <dxf>
        <numFmt numFmtId="181" formatCode="h:mm;@"/>
      </dxf>
    </rfmt>
    <rfmt sheetId="4" sqref="Q169" start="0" length="0">
      <dxf>
        <numFmt numFmtId="181" formatCode="h:mm;@"/>
      </dxf>
    </rfmt>
    <rfmt sheetId="4" sqref="Q170" start="0" length="0">
      <dxf>
        <numFmt numFmtId="181" formatCode="h:mm;@"/>
      </dxf>
    </rfmt>
    <rfmt sheetId="4" sqref="Q171" start="0" length="0">
      <dxf>
        <numFmt numFmtId="181" formatCode="h:mm;@"/>
      </dxf>
    </rfmt>
    <rfmt sheetId="4" sqref="Q172" start="0" length="0">
      <dxf>
        <numFmt numFmtId="181" formatCode="h:mm;@"/>
      </dxf>
    </rfmt>
    <rfmt sheetId="4" sqref="Q173" start="0" length="0">
      <dxf>
        <numFmt numFmtId="181" formatCode="h:mm;@"/>
      </dxf>
    </rfmt>
    <rfmt sheetId="4" sqref="Q174" start="0" length="0">
      <dxf>
        <numFmt numFmtId="181" formatCode="h:mm;@"/>
      </dxf>
    </rfmt>
    <rfmt sheetId="4" sqref="Q175" start="0" length="0">
      <dxf>
        <numFmt numFmtId="181" formatCode="h:mm;@"/>
      </dxf>
    </rfmt>
    <rfmt sheetId="4" sqref="Q176" start="0" length="0">
      <dxf>
        <numFmt numFmtId="181" formatCode="h:mm;@"/>
      </dxf>
    </rfmt>
    <rfmt sheetId="4" sqref="Q177" start="0" length="0">
      <dxf>
        <numFmt numFmtId="181" formatCode="h:mm;@"/>
      </dxf>
    </rfmt>
    <rfmt sheetId="4" sqref="Q178" start="0" length="0">
      <dxf>
        <numFmt numFmtId="181" formatCode="h:mm;@"/>
      </dxf>
    </rfmt>
    <rfmt sheetId="4" sqref="Q179" start="0" length="0">
      <dxf>
        <numFmt numFmtId="181" formatCode="h:mm;@"/>
      </dxf>
    </rfmt>
    <rfmt sheetId="4" sqref="Q180" start="0" length="0">
      <dxf>
        <numFmt numFmtId="181" formatCode="h:mm;@"/>
      </dxf>
    </rfmt>
    <rfmt sheetId="4" sqref="Q181" start="0" length="0">
      <dxf>
        <numFmt numFmtId="181" formatCode="h:mm;@"/>
      </dxf>
    </rfmt>
    <rfmt sheetId="4" sqref="Q182" start="0" length="0">
      <dxf>
        <numFmt numFmtId="181" formatCode="h:mm;@"/>
      </dxf>
    </rfmt>
  </rrc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'IPAHQ(TANK)-竹科'!$A$2:$T$2</formula>
    <oldFormula>'IPAHQ(TANK)-竹科'!$A$2:$T$2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'IPAHQ(TANK)-中科'!$A$2:$S$742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</formula>
    <oldFormula>'IPAHQ(TANK)-12P3'!$A$2:$T$2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'IPAHQ(TANK)-竹科'!$A$2:$T$2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'IPAHQ(TANK)-中科'!$A$2:$S$876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2" sId="2">
    <nc r="C731" t="inlineStr">
      <is>
        <t>26903E3021</t>
        <phoneticPr fontId="0" type="noConversion"/>
      </is>
    </nc>
  </rcc>
  <rcc rId="213" sId="2" odxf="1" dxf="1" numFmtId="25">
    <nc r="N731">
      <v>0.25</v>
    </nc>
    <ndxf>
      <numFmt numFmtId="25" formatCode="hh:mm"/>
    </ndxf>
  </rcc>
  <rfmt sheetId="2" sqref="N727" start="0" length="0">
    <dxf>
      <numFmt numFmtId="25" formatCode="hh:mm"/>
    </dxf>
  </rfmt>
  <rcc rId="214" sId="2" odxf="1" dxf="1" numFmtId="25">
    <oc r="N729">
      <v>8.3333333333333329E-2</v>
    </oc>
    <nc r="N729">
      <v>0.25</v>
    </nc>
    <odxf>
      <numFmt numFmtId="181" formatCode="h:mm;@"/>
      <fill>
        <patternFill>
          <bgColor theme="8" tint="0.59999389629810485"/>
        </patternFill>
      </fill>
    </odxf>
    <ndxf>
      <numFmt numFmtId="25" formatCode="hh:mm"/>
      <fill>
        <patternFill>
          <bgColor theme="6" tint="0.59999389629810485"/>
        </patternFill>
      </fill>
    </ndxf>
  </rcc>
  <rfmt sheetId="2" sqref="N729">
    <dxf>
      <fill>
        <patternFill>
          <bgColor theme="8" tint="0.59999389629810485"/>
        </patternFill>
      </fill>
    </dxf>
  </rfmt>
  <rcc rId="215" sId="2">
    <nc r="C732" t="inlineStr">
      <is>
        <t>26903E3181</t>
        <phoneticPr fontId="0" type="noConversion"/>
      </is>
    </nc>
  </rcc>
  <rcc rId="216" sId="2" odxf="1" dxf="1" numFmtId="25">
    <nc r="N732">
      <v>0.875</v>
    </nc>
    <odxf>
      <numFmt numFmtId="0" formatCode="General"/>
    </odxf>
    <ndxf>
      <numFmt numFmtId="25" formatCode="hh:mm"/>
    </ndxf>
  </rcc>
  <rrc rId="217" sId="2" ref="A732:XFD732" action="insertRow">
    <undo index="0" exp="area" ref3D="1" dr="$A$1:$A$1048576" dn="Z_8578D927_8BDE_4C99_A2DB_3E44DFA36FF2_.wvu.Cols" sId="2"/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</rrc>
  <rcc rId="218" sId="2">
    <nc r="H732">
      <v>20260831011</v>
    </nc>
  </rcc>
  <rcc rId="219" sId="2">
    <nc r="G732">
      <f>G728-K732</f>
    </nc>
  </rcc>
  <rrc rId="220" sId="2" ref="A735:XFD735" action="deleteRow">
    <undo index="0" exp="ref" v="1" dr="G735" r="G736" sId="2"/>
    <undo index="0" exp="area" ref3D="1" dr="$A$1:$A$1048576" dn="Z_8578D927_8BDE_4C99_A2DB_3E44DFA36FF2_.wvu.Cols" sId="2"/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  <rfmt sheetId="2" xfDxf="1" sqref="A735:XFD735" start="0" length="0">
      <dxf>
        <font>
          <sz val="10"/>
          <name val="Arial"/>
          <scheme val="none"/>
        </font>
        <alignment horizontal="center" readingOrder="0"/>
      </dxf>
    </rfmt>
    <rfmt sheetId="2" sqref="A73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 numFmtId="19">
      <nc r="B735">
        <v>46271</v>
      </nc>
      <n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qref="C73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>
      <nc r="D735">
        <f>IF($C735="", "", MID($C735, 6, IF(MID($C735, LEN($C735)-1, 1)="J", 3, 4)))</f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E735" t="inlineStr">
        <is>
          <t>15P5</t>
          <phoneticPr fontId="0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F735" t="inlineStr">
        <is>
          <t>4800384805/400</t>
          <phoneticPr fontId="0" type="noConversion"/>
        </is>
      </nc>
      <n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s="1" dxf="1">
      <nc r="G735">
        <f>G731-K735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H735">
        <v>20260831011</v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="1" sqref="I73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3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s="1" dxf="1">
      <nc r="K735">
        <f>J735/0.786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qref="L735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3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3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>
      <nc r="O735">
        <f>IF($C735="","",DATE(2000+LEFT($C735,2), HEX2DEC(MID($C735,3,1)), MID($C735,4,2)))</f>
      </nc>
      <ndxf>
        <numFmt numFmtId="176" formatCode="m/d;@"/>
      </ndxf>
    </rcc>
    <rcc rId="0" sId="2" dxf="1">
      <nc r="P735">
        <f>DATE(YEAR(O735)+1,MONTH(O735),DAY(O735))-1</f>
      </nc>
      <ndxf>
        <font>
          <sz val="10"/>
          <color auto="1"/>
          <name val="Arial"/>
          <scheme val="none"/>
        </font>
        <numFmt numFmtId="177" formatCode="m/d/yyyy"/>
      </ndxf>
    </rcc>
    <rfmt sheetId="2" sqref="T735" start="0" length="0">
      <dxf/>
    </rfmt>
    <rfmt sheetId="2" sqref="U735" start="0" length="0">
      <dxf/>
    </rfmt>
    <rfmt sheetId="2" sqref="V735" start="0" length="0">
      <dxf/>
    </rfmt>
    <rfmt sheetId="2" sqref="W735" start="0" length="0">
      <dxf/>
    </rfmt>
    <rfmt sheetId="2" sqref="X735" start="0" length="0">
      <dxf/>
    </rfmt>
    <rfmt sheetId="2" sqref="Y735" start="0" length="0">
      <dxf/>
    </rfmt>
    <rfmt sheetId="2" sqref="Z735" start="0" length="0">
      <dxf/>
    </rfmt>
    <rfmt sheetId="2" sqref="AA735" start="0" length="0">
      <dxf/>
    </rfmt>
    <rfmt sheetId="2" sqref="AB735" start="0" length="0">
      <dxf/>
    </rfmt>
    <rfmt sheetId="2" sqref="AC735" start="0" length="0">
      <dxf/>
    </rfmt>
    <rfmt sheetId="2" sqref="AD735" start="0" length="0">
      <dxf/>
    </rfmt>
    <rfmt sheetId="2" sqref="AE735" start="0" length="0">
      <dxf/>
    </rfmt>
    <rfmt sheetId="2" sqref="AF735" start="0" length="0">
      <dxf/>
    </rfmt>
    <rfmt sheetId="2" sqref="AG735" start="0" length="0">
      <dxf/>
    </rfmt>
    <rfmt sheetId="2" sqref="AH735" start="0" length="0">
      <dxf/>
    </rfmt>
    <rfmt sheetId="2" sqref="AI735" start="0" length="0">
      <dxf/>
    </rfmt>
    <rfmt sheetId="2" sqref="AJ735" start="0" length="0">
      <dxf/>
    </rfmt>
    <rfmt sheetId="2" sqref="AK735" start="0" length="0">
      <dxf/>
    </rfmt>
    <rfmt sheetId="2" sqref="AL735" start="0" length="0">
      <dxf/>
    </rfmt>
    <rfmt sheetId="2" sqref="AM735" start="0" length="0">
      <dxf/>
    </rfmt>
    <rfmt sheetId="2" sqref="AN735" start="0" length="0">
      <dxf/>
    </rfmt>
    <rfmt sheetId="2" sqref="AO735" start="0" length="0">
      <dxf/>
    </rfmt>
    <rfmt sheetId="2" sqref="AP735" start="0" length="0">
      <dxf/>
    </rfmt>
    <rfmt sheetId="2" sqref="AQ735" start="0" length="0">
      <dxf/>
    </rfmt>
    <rfmt sheetId="2" sqref="AR735" start="0" length="0">
      <dxf/>
    </rfmt>
    <rfmt sheetId="2" sqref="AS735" start="0" length="0">
      <dxf/>
    </rfmt>
    <rfmt sheetId="2" sqref="AT735" start="0" length="0">
      <dxf/>
    </rfmt>
    <rfmt sheetId="2" sqref="AU735" start="0" length="0">
      <dxf/>
    </rfmt>
    <rfmt sheetId="2" sqref="AV735" start="0" length="0">
      <dxf/>
    </rfmt>
    <rfmt sheetId="2" sqref="AW735" start="0" length="0">
      <dxf/>
    </rfmt>
    <rfmt sheetId="2" sqref="AX735" start="0" length="0">
      <dxf/>
    </rfmt>
    <rfmt sheetId="2" sqref="AY735" start="0" length="0">
      <dxf/>
    </rfmt>
    <rfmt sheetId="2" sqref="AZ735" start="0" length="0">
      <dxf/>
    </rfmt>
    <rfmt sheetId="2" sqref="BA735" start="0" length="0">
      <dxf/>
    </rfmt>
    <rfmt sheetId="2" sqref="BB735" start="0" length="0">
      <dxf/>
    </rfmt>
    <rfmt sheetId="2" sqref="BC735" start="0" length="0">
      <dxf/>
    </rfmt>
    <rfmt sheetId="2" sqref="BD735" start="0" length="0">
      <dxf/>
    </rfmt>
    <rfmt sheetId="2" sqref="BE735" start="0" length="0">
      <dxf/>
    </rfmt>
    <rfmt sheetId="2" sqref="BF735" start="0" length="0">
      <dxf/>
    </rfmt>
    <rfmt sheetId="2" sqref="BG735" start="0" length="0">
      <dxf/>
    </rfmt>
    <rfmt sheetId="2" sqref="BH735" start="0" length="0">
      <dxf/>
    </rfmt>
    <rfmt sheetId="2" sqref="BI735" start="0" length="0">
      <dxf/>
    </rfmt>
    <rfmt sheetId="2" sqref="BJ735" start="0" length="0">
      <dxf/>
    </rfmt>
    <rfmt sheetId="2" sqref="BK735" start="0" length="0">
      <dxf/>
    </rfmt>
    <rfmt sheetId="2" sqref="BL735" start="0" length="0">
      <dxf/>
    </rfmt>
    <rfmt sheetId="2" sqref="BM735" start="0" length="0">
      <dxf/>
    </rfmt>
    <rfmt sheetId="2" sqref="BN735" start="0" length="0">
      <dxf/>
    </rfmt>
    <rfmt sheetId="2" sqref="BO735" start="0" length="0">
      <dxf/>
    </rfmt>
    <rfmt sheetId="2" sqref="BP735" start="0" length="0">
      <dxf/>
    </rfmt>
    <rfmt sheetId="2" sqref="BQ735" start="0" length="0">
      <dxf/>
    </rfmt>
    <rfmt sheetId="2" sqref="BR735" start="0" length="0">
      <dxf/>
    </rfmt>
    <rfmt sheetId="2" sqref="BS735" start="0" length="0">
      <dxf/>
    </rfmt>
    <rfmt sheetId="2" sqref="BT735" start="0" length="0">
      <dxf/>
    </rfmt>
    <rfmt sheetId="2" sqref="BU735" start="0" length="0">
      <dxf/>
    </rfmt>
    <rfmt sheetId="2" sqref="BV735" start="0" length="0">
      <dxf/>
    </rfmt>
    <rfmt sheetId="2" sqref="BW735" start="0" length="0">
      <dxf/>
    </rfmt>
    <rfmt sheetId="2" sqref="BX735" start="0" length="0">
      <dxf/>
    </rfmt>
    <rfmt sheetId="2" sqref="BY735" start="0" length="0">
      <dxf/>
    </rfmt>
    <rfmt sheetId="2" sqref="BZ735" start="0" length="0">
      <dxf/>
    </rfmt>
    <rfmt sheetId="2" sqref="CA735" start="0" length="0">
      <dxf/>
    </rfmt>
    <rfmt sheetId="2" sqref="CB735" start="0" length="0">
      <dxf/>
    </rfmt>
    <rfmt sheetId="2" sqref="CC735" start="0" length="0">
      <dxf/>
    </rfmt>
    <rfmt sheetId="2" sqref="CD735" start="0" length="0">
      <dxf/>
    </rfmt>
    <rfmt sheetId="2" sqref="CE735" start="0" length="0">
      <dxf/>
    </rfmt>
    <rfmt sheetId="2" sqref="CF735" start="0" length="0">
      <dxf/>
    </rfmt>
    <rfmt sheetId="2" sqref="CG735" start="0" length="0">
      <dxf/>
    </rfmt>
    <rfmt sheetId="2" sqref="CH735" start="0" length="0">
      <dxf/>
    </rfmt>
    <rfmt sheetId="2" sqref="CI735" start="0" length="0">
      <dxf/>
    </rfmt>
    <rfmt sheetId="2" sqref="CJ735" start="0" length="0">
      <dxf/>
    </rfmt>
    <rfmt sheetId="2" sqref="CK735" start="0" length="0">
      <dxf/>
    </rfmt>
    <rfmt sheetId="2" sqref="CL735" start="0" length="0">
      <dxf/>
    </rfmt>
    <rfmt sheetId="2" sqref="CM735" start="0" length="0">
      <dxf/>
    </rfmt>
    <rfmt sheetId="2" sqref="CN735" start="0" length="0">
      <dxf/>
    </rfmt>
    <rfmt sheetId="2" sqref="CO735" start="0" length="0">
      <dxf/>
    </rfmt>
    <rfmt sheetId="2" sqref="CP735" start="0" length="0">
      <dxf/>
    </rfmt>
    <rfmt sheetId="2" sqref="CQ735" start="0" length="0">
      <dxf/>
    </rfmt>
    <rfmt sheetId="2" sqref="CR735" start="0" length="0">
      <dxf/>
    </rfmt>
    <rfmt sheetId="2" sqref="CS735" start="0" length="0">
      <dxf/>
    </rfmt>
    <rfmt sheetId="2" sqref="CT735" start="0" length="0">
      <dxf/>
    </rfmt>
    <rfmt sheetId="2" sqref="CU735" start="0" length="0">
      <dxf/>
    </rfmt>
    <rfmt sheetId="2" sqref="CV735" start="0" length="0">
      <dxf/>
    </rfmt>
    <rfmt sheetId="2" sqref="CW735" start="0" length="0">
      <dxf/>
    </rfmt>
    <rfmt sheetId="2" sqref="CX735" start="0" length="0">
      <dxf/>
    </rfmt>
    <rfmt sheetId="2" sqref="CY735" start="0" length="0">
      <dxf/>
    </rfmt>
    <rfmt sheetId="2" sqref="CZ735" start="0" length="0">
      <dxf/>
    </rfmt>
    <rfmt sheetId="2" sqref="DA735" start="0" length="0">
      <dxf/>
    </rfmt>
    <rfmt sheetId="2" sqref="DB735" start="0" length="0">
      <dxf/>
    </rfmt>
    <rfmt sheetId="2" sqref="DC735" start="0" length="0">
      <dxf/>
    </rfmt>
    <rfmt sheetId="2" sqref="DD735" start="0" length="0">
      <dxf/>
    </rfmt>
    <rfmt sheetId="2" sqref="DE735" start="0" length="0">
      <dxf/>
    </rfmt>
    <rfmt sheetId="2" sqref="DF735" start="0" length="0">
      <dxf/>
    </rfmt>
    <rfmt sheetId="2" sqref="DG735" start="0" length="0">
      <dxf/>
    </rfmt>
    <rfmt sheetId="2" sqref="DH735" start="0" length="0">
      <dxf/>
    </rfmt>
    <rfmt sheetId="2" sqref="DI735" start="0" length="0">
      <dxf/>
    </rfmt>
    <rfmt sheetId="2" sqref="DJ735" start="0" length="0">
      <dxf/>
    </rfmt>
    <rfmt sheetId="2" sqref="DK735" start="0" length="0">
      <dxf/>
    </rfmt>
    <rfmt sheetId="2" sqref="DL735" start="0" length="0">
      <dxf/>
    </rfmt>
    <rfmt sheetId="2" sqref="DM735" start="0" length="0">
      <dxf/>
    </rfmt>
    <rfmt sheetId="2" sqref="DN735" start="0" length="0">
      <dxf/>
    </rfmt>
    <rfmt sheetId="2" sqref="DO735" start="0" length="0">
      <dxf/>
    </rfmt>
    <rfmt sheetId="2" sqref="DP735" start="0" length="0">
      <dxf/>
    </rfmt>
    <rfmt sheetId="2" sqref="DQ735" start="0" length="0">
      <dxf/>
    </rfmt>
    <rfmt sheetId="2" sqref="DR735" start="0" length="0">
      <dxf/>
    </rfmt>
    <rfmt sheetId="2" sqref="DS735" start="0" length="0">
      <dxf/>
    </rfmt>
    <rfmt sheetId="2" sqref="DT735" start="0" length="0">
      <dxf/>
    </rfmt>
    <rfmt sheetId="2" sqref="DU735" start="0" length="0">
      <dxf/>
    </rfmt>
    <rfmt sheetId="2" sqref="DV735" start="0" length="0">
      <dxf/>
    </rfmt>
    <rfmt sheetId="2" sqref="DW735" start="0" length="0">
      <dxf/>
    </rfmt>
    <rfmt sheetId="2" sqref="DX735" start="0" length="0">
      <dxf/>
    </rfmt>
    <rfmt sheetId="2" sqref="DY735" start="0" length="0">
      <dxf/>
    </rfmt>
    <rfmt sheetId="2" sqref="DZ735" start="0" length="0">
      <dxf/>
    </rfmt>
    <rfmt sheetId="2" sqref="EA735" start="0" length="0">
      <dxf/>
    </rfmt>
    <rfmt sheetId="2" sqref="EB735" start="0" length="0">
      <dxf/>
    </rfmt>
    <rfmt sheetId="2" sqref="EC735" start="0" length="0">
      <dxf/>
    </rfmt>
    <rfmt sheetId="2" sqref="ED735" start="0" length="0">
      <dxf/>
    </rfmt>
    <rfmt sheetId="2" sqref="EE735" start="0" length="0">
      <dxf/>
    </rfmt>
    <rfmt sheetId="2" sqref="EF735" start="0" length="0">
      <dxf/>
    </rfmt>
    <rfmt sheetId="2" sqref="EG735" start="0" length="0">
      <dxf/>
    </rfmt>
    <rfmt sheetId="2" sqref="EH735" start="0" length="0">
      <dxf/>
    </rfmt>
    <rfmt sheetId="2" sqref="EI735" start="0" length="0">
      <dxf/>
    </rfmt>
    <rfmt sheetId="2" sqref="EJ735" start="0" length="0">
      <dxf/>
    </rfmt>
    <rfmt sheetId="2" sqref="EK735" start="0" length="0">
      <dxf/>
    </rfmt>
    <rfmt sheetId="2" sqref="EL735" start="0" length="0">
      <dxf/>
    </rfmt>
    <rfmt sheetId="2" sqref="EM735" start="0" length="0">
      <dxf/>
    </rfmt>
    <rfmt sheetId="2" sqref="EN735" start="0" length="0">
      <dxf/>
    </rfmt>
    <rfmt sheetId="2" sqref="EO735" start="0" length="0">
      <dxf/>
    </rfmt>
    <rfmt sheetId="2" sqref="EP735" start="0" length="0">
      <dxf/>
    </rfmt>
    <rfmt sheetId="2" sqref="EQ735" start="0" length="0">
      <dxf/>
    </rfmt>
    <rfmt sheetId="2" sqref="ER735" start="0" length="0">
      <dxf/>
    </rfmt>
    <rfmt sheetId="2" sqref="ES735" start="0" length="0">
      <dxf/>
    </rfmt>
    <rfmt sheetId="2" sqref="ET735" start="0" length="0">
      <dxf/>
    </rfmt>
    <rfmt sheetId="2" sqref="EU735" start="0" length="0">
      <dxf/>
    </rfmt>
    <rfmt sheetId="2" sqref="EV735" start="0" length="0">
      <dxf/>
    </rfmt>
    <rfmt sheetId="2" sqref="EW735" start="0" length="0">
      <dxf/>
    </rfmt>
    <rfmt sheetId="2" sqref="EX735" start="0" length="0">
      <dxf/>
    </rfmt>
    <rfmt sheetId="2" sqref="EY735" start="0" length="0">
      <dxf/>
    </rfmt>
    <rfmt sheetId="2" sqref="EZ735" start="0" length="0">
      <dxf/>
    </rfmt>
    <rfmt sheetId="2" sqref="FA735" start="0" length="0">
      <dxf/>
    </rfmt>
    <rfmt sheetId="2" sqref="FB735" start="0" length="0">
      <dxf/>
    </rfmt>
    <rfmt sheetId="2" sqref="FC735" start="0" length="0">
      <dxf/>
    </rfmt>
    <rfmt sheetId="2" sqref="FD735" start="0" length="0">
      <dxf/>
    </rfmt>
    <rfmt sheetId="2" sqref="FE735" start="0" length="0">
      <dxf/>
    </rfmt>
    <rfmt sheetId="2" sqref="FF735" start="0" length="0">
      <dxf/>
    </rfmt>
    <rfmt sheetId="2" sqref="FG735" start="0" length="0">
      <dxf/>
    </rfmt>
    <rfmt sheetId="2" sqref="FH735" start="0" length="0">
      <dxf/>
    </rfmt>
    <rfmt sheetId="2" sqref="FI735" start="0" length="0">
      <dxf/>
    </rfmt>
    <rfmt sheetId="2" sqref="FJ735" start="0" length="0">
      <dxf/>
    </rfmt>
    <rfmt sheetId="2" sqref="FK735" start="0" length="0">
      <dxf/>
    </rfmt>
    <rfmt sheetId="2" sqref="FL735" start="0" length="0">
      <dxf/>
    </rfmt>
    <rfmt sheetId="2" sqref="FM735" start="0" length="0">
      <dxf/>
    </rfmt>
    <rfmt sheetId="2" sqref="FN735" start="0" length="0">
      <dxf/>
    </rfmt>
    <rfmt sheetId="2" sqref="FO735" start="0" length="0">
      <dxf/>
    </rfmt>
    <rfmt sheetId="2" sqref="FP735" start="0" length="0">
      <dxf/>
    </rfmt>
    <rfmt sheetId="2" sqref="FQ735" start="0" length="0">
      <dxf/>
    </rfmt>
    <rfmt sheetId="2" sqref="FR735" start="0" length="0">
      <dxf/>
    </rfmt>
    <rfmt sheetId="2" sqref="FS735" start="0" length="0">
      <dxf/>
    </rfmt>
    <rfmt sheetId="2" sqref="FT735" start="0" length="0">
      <dxf/>
    </rfmt>
    <rfmt sheetId="2" sqref="FU735" start="0" length="0">
      <dxf/>
    </rfmt>
    <rfmt sheetId="2" sqref="FV735" start="0" length="0">
      <dxf/>
    </rfmt>
    <rfmt sheetId="2" sqref="FW735" start="0" length="0">
      <dxf/>
    </rfmt>
    <rfmt sheetId="2" sqref="FX735" start="0" length="0">
      <dxf/>
    </rfmt>
    <rfmt sheetId="2" sqref="FY735" start="0" length="0">
      <dxf/>
    </rfmt>
    <rfmt sheetId="2" sqref="FZ735" start="0" length="0">
      <dxf/>
    </rfmt>
    <rfmt sheetId="2" sqref="GA735" start="0" length="0">
      <dxf/>
    </rfmt>
    <rfmt sheetId="2" sqref="GB735" start="0" length="0">
      <dxf/>
    </rfmt>
    <rfmt sheetId="2" sqref="GC735" start="0" length="0">
      <dxf/>
    </rfmt>
    <rfmt sheetId="2" sqref="GD735" start="0" length="0">
      <dxf/>
    </rfmt>
    <rfmt sheetId="2" sqref="GE735" start="0" length="0">
      <dxf/>
    </rfmt>
    <rfmt sheetId="2" sqref="GF735" start="0" length="0">
      <dxf/>
    </rfmt>
    <rfmt sheetId="2" sqref="GG735" start="0" length="0">
      <dxf/>
    </rfmt>
    <rfmt sheetId="2" sqref="GH735" start="0" length="0">
      <dxf/>
    </rfmt>
    <rfmt sheetId="2" sqref="GI735" start="0" length="0">
      <dxf/>
    </rfmt>
    <rfmt sheetId="2" sqref="GJ735" start="0" length="0">
      <dxf/>
    </rfmt>
    <rfmt sheetId="2" sqref="GK735" start="0" length="0">
      <dxf/>
    </rfmt>
    <rfmt sheetId="2" sqref="GL735" start="0" length="0">
      <dxf/>
    </rfmt>
    <rfmt sheetId="2" sqref="GM735" start="0" length="0">
      <dxf/>
    </rfmt>
    <rfmt sheetId="2" sqref="GN735" start="0" length="0">
      <dxf/>
    </rfmt>
    <rfmt sheetId="2" sqref="GO735" start="0" length="0">
      <dxf/>
    </rfmt>
    <rfmt sheetId="2" sqref="GP735" start="0" length="0">
      <dxf/>
    </rfmt>
    <rfmt sheetId="2" sqref="GQ735" start="0" length="0">
      <dxf/>
    </rfmt>
    <rfmt sheetId="2" sqref="GR735" start="0" length="0">
      <dxf/>
    </rfmt>
    <rfmt sheetId="2" sqref="GS735" start="0" length="0">
      <dxf/>
    </rfmt>
    <rfmt sheetId="2" sqref="GT735" start="0" length="0">
      <dxf/>
    </rfmt>
    <rfmt sheetId="2" sqref="GU735" start="0" length="0">
      <dxf/>
    </rfmt>
    <rfmt sheetId="2" sqref="GV735" start="0" length="0">
      <dxf/>
    </rfmt>
    <rfmt sheetId="2" sqref="GW735" start="0" length="0">
      <dxf/>
    </rfmt>
    <rfmt sheetId="2" sqref="GX735" start="0" length="0">
      <dxf/>
    </rfmt>
    <rfmt sheetId="2" sqref="GY735" start="0" length="0">
      <dxf/>
    </rfmt>
    <rfmt sheetId="2" sqref="GZ735" start="0" length="0">
      <dxf/>
    </rfmt>
    <rfmt sheetId="2" sqref="HA735" start="0" length="0">
      <dxf/>
    </rfmt>
    <rfmt sheetId="2" sqref="HB735" start="0" length="0">
      <dxf/>
    </rfmt>
    <rfmt sheetId="2" sqref="HC735" start="0" length="0">
      <dxf/>
    </rfmt>
    <rfmt sheetId="2" sqref="HD735" start="0" length="0">
      <dxf/>
    </rfmt>
    <rfmt sheetId="2" sqref="HE735" start="0" length="0">
      <dxf/>
    </rfmt>
    <rfmt sheetId="2" sqref="HF735" start="0" length="0">
      <dxf/>
    </rfmt>
    <rfmt sheetId="2" sqref="HG735" start="0" length="0">
      <dxf/>
    </rfmt>
    <rfmt sheetId="2" sqref="HH735" start="0" length="0">
      <dxf/>
    </rfmt>
    <rfmt sheetId="2" sqref="HI735" start="0" length="0">
      <dxf/>
    </rfmt>
    <rfmt sheetId="2" sqref="HJ735" start="0" length="0">
      <dxf/>
    </rfmt>
    <rfmt sheetId="2" sqref="HK735" start="0" length="0">
      <dxf/>
    </rfmt>
    <rfmt sheetId="2" sqref="HL735" start="0" length="0">
      <dxf/>
    </rfmt>
    <rfmt sheetId="2" sqref="HM735" start="0" length="0">
      <dxf/>
    </rfmt>
    <rfmt sheetId="2" sqref="HN735" start="0" length="0">
      <dxf/>
    </rfmt>
    <rfmt sheetId="2" sqref="HO735" start="0" length="0">
      <dxf/>
    </rfmt>
    <rfmt sheetId="2" sqref="HP735" start="0" length="0">
      <dxf/>
    </rfmt>
    <rfmt sheetId="2" sqref="HQ735" start="0" length="0">
      <dxf/>
    </rfmt>
    <rfmt sheetId="2" sqref="HR735" start="0" length="0">
      <dxf/>
    </rfmt>
    <rfmt sheetId="2" sqref="HS735" start="0" length="0">
      <dxf/>
    </rfmt>
    <rfmt sheetId="2" sqref="HT735" start="0" length="0">
      <dxf/>
    </rfmt>
    <rfmt sheetId="2" sqref="HU735" start="0" length="0">
      <dxf/>
    </rfmt>
    <rfmt sheetId="2" sqref="HV735" start="0" length="0">
      <dxf/>
    </rfmt>
    <rfmt sheetId="2" sqref="HW735" start="0" length="0">
      <dxf/>
    </rfmt>
    <rfmt sheetId="2" sqref="HX735" start="0" length="0">
      <dxf/>
    </rfmt>
    <rfmt sheetId="2" sqref="HY735" start="0" length="0">
      <dxf/>
    </rfmt>
    <rfmt sheetId="2" sqref="HZ735" start="0" length="0">
      <dxf/>
    </rfmt>
    <rfmt sheetId="2" sqref="IA735" start="0" length="0">
      <dxf/>
    </rfmt>
    <rfmt sheetId="2" sqref="IB735" start="0" length="0">
      <dxf/>
    </rfmt>
    <rfmt sheetId="2" sqref="IC735" start="0" length="0">
      <dxf/>
    </rfmt>
    <rfmt sheetId="2" sqref="ID735" start="0" length="0">
      <dxf/>
    </rfmt>
    <rfmt sheetId="2" sqref="IE735" start="0" length="0">
      <dxf/>
    </rfmt>
    <rfmt sheetId="2" sqref="IF735" start="0" length="0">
      <dxf/>
    </rfmt>
    <rfmt sheetId="2" sqref="IG735" start="0" length="0">
      <dxf/>
    </rfmt>
    <rfmt sheetId="2" sqref="IH735" start="0" length="0">
      <dxf/>
    </rfmt>
    <rfmt sheetId="2" sqref="II735" start="0" length="0">
      <dxf/>
    </rfmt>
    <rfmt sheetId="2" sqref="IJ735" start="0" length="0">
      <dxf/>
    </rfmt>
    <rfmt sheetId="2" sqref="IK735" start="0" length="0">
      <dxf/>
    </rfmt>
    <rfmt sheetId="2" sqref="IL735" start="0" length="0">
      <dxf/>
    </rfmt>
    <rfmt sheetId="2" sqref="IM735" start="0" length="0">
      <dxf/>
    </rfmt>
    <rfmt sheetId="2" sqref="IN735" start="0" length="0">
      <dxf/>
    </rfmt>
    <rfmt sheetId="2" sqref="IO735" start="0" length="0">
      <dxf/>
    </rfmt>
    <rfmt sheetId="2" sqref="IP735" start="0" length="0">
      <dxf/>
    </rfmt>
    <rfmt sheetId="2" sqref="IQ735" start="0" length="0">
      <dxf/>
    </rfmt>
    <rfmt sheetId="2" sqref="IR735" start="0" length="0">
      <dxf/>
    </rfmt>
    <rfmt sheetId="2" sqref="IS735" start="0" length="0">
      <dxf/>
    </rfmt>
    <rfmt sheetId="2" sqref="IT735" start="0" length="0">
      <dxf/>
    </rfmt>
    <rfmt sheetId="2" sqref="IU735" start="0" length="0">
      <dxf/>
    </rfmt>
    <rfmt sheetId="2" sqref="IV735" start="0" length="0">
      <dxf/>
    </rfmt>
    <rfmt sheetId="2" sqref="IW735" start="0" length="0">
      <dxf/>
    </rfmt>
    <rfmt sheetId="2" sqref="IX735" start="0" length="0">
      <dxf/>
    </rfmt>
    <rfmt sheetId="2" sqref="IY735" start="0" length="0">
      <dxf/>
    </rfmt>
    <rfmt sheetId="2" sqref="IZ735" start="0" length="0">
      <dxf/>
    </rfmt>
    <rfmt sheetId="2" sqref="JA735" start="0" length="0">
      <dxf/>
    </rfmt>
    <rfmt sheetId="2" sqref="JB735" start="0" length="0">
      <dxf/>
    </rfmt>
    <rfmt sheetId="2" sqref="JC735" start="0" length="0">
      <dxf/>
    </rfmt>
    <rfmt sheetId="2" sqref="JD735" start="0" length="0">
      <dxf/>
    </rfmt>
    <rfmt sheetId="2" sqref="JE735" start="0" length="0">
      <dxf/>
    </rfmt>
    <rfmt sheetId="2" sqref="JF735" start="0" length="0">
      <dxf/>
    </rfmt>
    <rfmt sheetId="2" sqref="JG735" start="0" length="0">
      <dxf/>
    </rfmt>
    <rfmt sheetId="2" sqref="JH735" start="0" length="0">
      <dxf/>
    </rfmt>
    <rfmt sheetId="2" sqref="JI735" start="0" length="0">
      <dxf/>
    </rfmt>
    <rfmt sheetId="2" sqref="JJ735" start="0" length="0">
      <dxf/>
    </rfmt>
    <rfmt sheetId="2" sqref="JK735" start="0" length="0">
      <dxf/>
    </rfmt>
    <rfmt sheetId="2" sqref="JL735" start="0" length="0">
      <dxf/>
    </rfmt>
    <rfmt sheetId="2" sqref="JM735" start="0" length="0">
      <dxf/>
    </rfmt>
    <rfmt sheetId="2" sqref="JN735" start="0" length="0">
      <dxf/>
    </rfmt>
    <rfmt sheetId="2" sqref="JO735" start="0" length="0">
      <dxf/>
    </rfmt>
    <rfmt sheetId="2" sqref="JP735" start="0" length="0">
      <dxf/>
    </rfmt>
    <rfmt sheetId="2" sqref="JQ735" start="0" length="0">
      <dxf/>
    </rfmt>
    <rfmt sheetId="2" sqref="JR735" start="0" length="0">
      <dxf/>
    </rfmt>
    <rfmt sheetId="2" sqref="JS735" start="0" length="0">
      <dxf/>
    </rfmt>
    <rfmt sheetId="2" sqref="JT735" start="0" length="0">
      <dxf/>
    </rfmt>
    <rfmt sheetId="2" sqref="JU735" start="0" length="0">
      <dxf/>
    </rfmt>
    <rfmt sheetId="2" sqref="JV735" start="0" length="0">
      <dxf/>
    </rfmt>
    <rfmt sheetId="2" sqref="JW735" start="0" length="0">
      <dxf/>
    </rfmt>
    <rfmt sheetId="2" sqref="JX735" start="0" length="0">
      <dxf/>
    </rfmt>
    <rfmt sheetId="2" sqref="JY735" start="0" length="0">
      <dxf/>
    </rfmt>
    <rfmt sheetId="2" sqref="JZ735" start="0" length="0">
      <dxf/>
    </rfmt>
    <rfmt sheetId="2" sqref="KA735" start="0" length="0">
      <dxf/>
    </rfmt>
    <rfmt sheetId="2" sqref="KB735" start="0" length="0">
      <dxf/>
    </rfmt>
    <rfmt sheetId="2" sqref="KC735" start="0" length="0">
      <dxf/>
    </rfmt>
    <rfmt sheetId="2" sqref="KD735" start="0" length="0">
      <dxf/>
    </rfmt>
    <rfmt sheetId="2" sqref="KE735" start="0" length="0">
      <dxf/>
    </rfmt>
    <rfmt sheetId="2" sqref="KF735" start="0" length="0">
      <dxf/>
    </rfmt>
    <rfmt sheetId="2" sqref="KG735" start="0" length="0">
      <dxf/>
    </rfmt>
    <rfmt sheetId="2" sqref="KH735" start="0" length="0">
      <dxf/>
    </rfmt>
    <rfmt sheetId="2" sqref="KI735" start="0" length="0">
      <dxf/>
    </rfmt>
    <rfmt sheetId="2" sqref="KJ735" start="0" length="0">
      <dxf/>
    </rfmt>
    <rfmt sheetId="2" sqref="KK735" start="0" length="0">
      <dxf/>
    </rfmt>
    <rfmt sheetId="2" sqref="KL735" start="0" length="0">
      <dxf/>
    </rfmt>
    <rfmt sheetId="2" sqref="KM735" start="0" length="0">
      <dxf/>
    </rfmt>
    <rfmt sheetId="2" sqref="KN735" start="0" length="0">
      <dxf/>
    </rfmt>
    <rfmt sheetId="2" sqref="KO735" start="0" length="0">
      <dxf/>
    </rfmt>
    <rfmt sheetId="2" sqref="KP735" start="0" length="0">
      <dxf/>
    </rfmt>
    <rfmt sheetId="2" sqref="KQ735" start="0" length="0">
      <dxf/>
    </rfmt>
    <rfmt sheetId="2" sqref="KR735" start="0" length="0">
      <dxf/>
    </rfmt>
    <rfmt sheetId="2" sqref="KS735" start="0" length="0">
      <dxf/>
    </rfmt>
    <rfmt sheetId="2" sqref="KT735" start="0" length="0">
      <dxf/>
    </rfmt>
    <rfmt sheetId="2" sqref="KU735" start="0" length="0">
      <dxf/>
    </rfmt>
    <rfmt sheetId="2" sqref="KV735" start="0" length="0">
      <dxf/>
    </rfmt>
    <rfmt sheetId="2" sqref="KW735" start="0" length="0">
      <dxf/>
    </rfmt>
    <rfmt sheetId="2" sqref="KX735" start="0" length="0">
      <dxf/>
    </rfmt>
    <rfmt sheetId="2" sqref="KY735" start="0" length="0">
      <dxf/>
    </rfmt>
    <rfmt sheetId="2" sqref="KZ735" start="0" length="0">
      <dxf/>
    </rfmt>
    <rfmt sheetId="2" sqref="LA735" start="0" length="0">
      <dxf/>
    </rfmt>
    <rfmt sheetId="2" sqref="LB735" start="0" length="0">
      <dxf/>
    </rfmt>
    <rfmt sheetId="2" sqref="LC735" start="0" length="0">
      <dxf/>
    </rfmt>
    <rfmt sheetId="2" sqref="LD735" start="0" length="0">
      <dxf/>
    </rfmt>
    <rfmt sheetId="2" sqref="LE735" start="0" length="0">
      <dxf/>
    </rfmt>
    <rfmt sheetId="2" sqref="LF735" start="0" length="0">
      <dxf/>
    </rfmt>
    <rfmt sheetId="2" sqref="LG735" start="0" length="0">
      <dxf/>
    </rfmt>
    <rfmt sheetId="2" sqref="LH735" start="0" length="0">
      <dxf/>
    </rfmt>
    <rfmt sheetId="2" sqref="LI735" start="0" length="0">
      <dxf/>
    </rfmt>
    <rfmt sheetId="2" sqref="LJ735" start="0" length="0">
      <dxf/>
    </rfmt>
    <rfmt sheetId="2" sqref="LK735" start="0" length="0">
      <dxf/>
    </rfmt>
    <rfmt sheetId="2" sqref="LL735" start="0" length="0">
      <dxf/>
    </rfmt>
    <rfmt sheetId="2" sqref="LM735" start="0" length="0">
      <dxf/>
    </rfmt>
    <rfmt sheetId="2" sqref="LN735" start="0" length="0">
      <dxf/>
    </rfmt>
    <rfmt sheetId="2" sqref="LO735" start="0" length="0">
      <dxf/>
    </rfmt>
    <rfmt sheetId="2" sqref="LP735" start="0" length="0">
      <dxf/>
    </rfmt>
    <rfmt sheetId="2" sqref="LQ735" start="0" length="0">
      <dxf/>
    </rfmt>
    <rfmt sheetId="2" sqref="LR735" start="0" length="0">
      <dxf/>
    </rfmt>
    <rfmt sheetId="2" sqref="LS735" start="0" length="0">
      <dxf/>
    </rfmt>
    <rfmt sheetId="2" sqref="LT735" start="0" length="0">
      <dxf/>
    </rfmt>
    <rfmt sheetId="2" sqref="LU735" start="0" length="0">
      <dxf/>
    </rfmt>
    <rfmt sheetId="2" sqref="LV735" start="0" length="0">
      <dxf/>
    </rfmt>
    <rfmt sheetId="2" sqref="LW735" start="0" length="0">
      <dxf/>
    </rfmt>
    <rfmt sheetId="2" sqref="LX735" start="0" length="0">
      <dxf/>
    </rfmt>
    <rfmt sheetId="2" sqref="LY735" start="0" length="0">
      <dxf/>
    </rfmt>
    <rfmt sheetId="2" sqref="LZ735" start="0" length="0">
      <dxf/>
    </rfmt>
    <rfmt sheetId="2" sqref="MA735" start="0" length="0">
      <dxf/>
    </rfmt>
    <rfmt sheetId="2" sqref="MB735" start="0" length="0">
      <dxf/>
    </rfmt>
  </rrc>
  <rcc rId="221" sId="2">
    <oc r="G735">
      <f>#REF!-K735</f>
    </oc>
    <nc r="G735">
      <f>G732-K735</f>
    </nc>
  </rcc>
  <rcc rId="222" sId="2" numFmtId="19">
    <nc r="B732">
      <v>46270</v>
    </nc>
  </rcc>
  <rcc rId="223" sId="2">
    <nc r="C732" t="inlineStr">
      <is>
        <t>26903E3181</t>
        <phoneticPr fontId="0" type="noConversion"/>
      </is>
    </nc>
  </rcc>
  <rcc rId="224" sId="2">
    <nc r="D732">
      <f>IF($C732="", "", MID($C732, 6, IF(MID($C732, LEN($C732)-1, 1)="J", 3, 4)))</f>
    </nc>
  </rcc>
  <rcc rId="225" sId="2">
    <nc r="O732">
      <f>IF($C732="","",DATE(2000+LEFT($C732,2), HEX2DEC(MID($C732,3,1)), MID($C732,4,2)))</f>
    </nc>
  </rcc>
  <rcc rId="226" sId="2">
    <nc r="P732">
      <f>DATE(YEAR(O732)+1,MONTH(O732),DAY(O732))-1</f>
    </nc>
  </rcc>
  <rcc rId="227" sId="2" numFmtId="25">
    <nc r="N732">
      <v>0.875</v>
    </nc>
  </rcc>
  <rcc rId="228" sId="2">
    <nc r="E732" t="inlineStr">
      <is>
        <t>15P5</t>
        <phoneticPr fontId="0" type="noConversion"/>
      </is>
    </nc>
  </rcc>
  <rcc rId="229" sId="2">
    <nc r="F732" t="inlineStr">
      <is>
        <t>4800384805/400</t>
        <phoneticPr fontId="0" type="noConversion"/>
      </is>
    </nc>
  </rcc>
  <rcc rId="230" sId="2" xfDxf="1" dxf="1">
    <nc r="C733" t="inlineStr">
      <is>
        <t>26903E3051</t>
      </is>
    </nc>
    <ndxf>
      <font>
        <sz val="10"/>
        <name val="Arial"/>
        <scheme val="none"/>
      </font>
      <fill>
        <patternFill patternType="solid">
          <bgColor theme="8" tint="0.59999389629810485"/>
        </patternFill>
      </fill>
      <alignment horizontal="center" shrinkToFit="1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ndxf>
  </rcc>
  <rcc rId="231" sId="2" numFmtId="25">
    <nc r="N733">
      <v>4.1666666666666664E-2</v>
    </nc>
  </rcc>
  <rcc rId="232" sId="2">
    <nc r="C734" t="inlineStr">
      <is>
        <t>26903E3031</t>
        <phoneticPr fontId="0" type="noConversion"/>
      </is>
    </nc>
  </rcc>
  <rcc rId="233" sId="2" odxf="1" dxf="1" numFmtId="25">
    <nc r="N734">
      <v>0.54166666666666663</v>
    </nc>
    <odxf>
      <numFmt numFmtId="0" formatCode="General"/>
    </odxf>
    <ndxf>
      <numFmt numFmtId="25" formatCode="hh:mm"/>
    </ndxf>
  </rcc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18" start="0" length="0">
    <dxf>
      <fill>
        <patternFill patternType="solid">
          <bgColor rgb="FFFFFFCC"/>
        </patternFill>
      </fill>
    </dxf>
  </rfmt>
  <rfmt sheetId="1" sqref="C18" start="0" length="0">
    <dxf>
      <fill>
        <patternFill patternType="solid">
          <bgColor rgb="FFFFFFCC"/>
        </patternFill>
      </fill>
    </dxf>
  </rfmt>
  <rcc rId="234" sId="1">
    <oc r="D18">
      <f>IF($C18="", "", MID($C18, 6, IF(MID($C18, LEN($C18)-1, 1)="J", 3, 4)))</f>
    </oc>
    <nc r="D18">
      <f>IF($C18="", "", MID($C18, 6, IF(MID($C18, LEN($C18)-1, 1)="J", 3, 4)))</f>
    </nc>
  </rcc>
  <rcc rId="235" sId="1" odxf="1" dxf="1">
    <nc r="E18" t="inlineStr">
      <is>
        <t>FAB7</t>
        <phoneticPr fontId="18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rgb="FFFFFFCC"/>
        </patternFill>
      </fill>
    </ndxf>
  </rcc>
  <rcc rId="236" sId="1" odxf="1" dxf="1">
    <nc r="F18" t="inlineStr">
      <is>
        <t>4800361959/100</t>
        <phoneticPr fontId="18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rgb="FFFFFFCC"/>
        </patternFill>
      </fill>
    </ndxf>
  </rcc>
  <rcc rId="237" sId="1" odxf="1" s="1" dxf="1">
    <nc r="G18">
      <f>G17-K18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rgb="FFFFFFCC"/>
        </patternFill>
      </fill>
    </ndxf>
  </rcc>
  <rfmt sheetId="1" sqref="H18" start="0" length="0">
    <dxf>
      <fill>
        <patternFill patternType="solid">
          <bgColor rgb="FFFFFFCC"/>
        </patternFill>
      </fill>
    </dxf>
  </rfmt>
  <rfmt sheetId="1" s="1" sqref="I18" start="0" length="0">
    <dxf>
      <numFmt numFmtId="178" formatCode="_-* #,##0_-;\-* #,##0_-;_-* &quot;-&quot;??_-;_-@_-"/>
      <fill>
        <patternFill patternType="solid">
          <bgColor rgb="FFFFFFCC"/>
        </patternFill>
      </fill>
    </dxf>
  </rfmt>
  <rfmt sheetId="1" s="1" sqref="J18" start="0" length="0">
    <dxf>
      <numFmt numFmtId="178" formatCode="_-* #,##0_-;\-* #,##0_-;_-* &quot;-&quot;??_-;_-@_-"/>
      <fill>
        <patternFill patternType="solid">
          <bgColor rgb="FFFFFFCC"/>
        </patternFill>
      </fill>
    </dxf>
  </rfmt>
  <rfmt sheetId="1" s="1" sqref="K1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rgb="FFFFFFCC"/>
        </patternFill>
      </fill>
    </dxf>
  </rfmt>
  <rfmt sheetId="1" sqref="L18" start="0" length="0">
    <dxf>
      <fill>
        <patternFill patternType="solid">
          <bgColor rgb="FFFFFFCC"/>
        </patternFill>
      </fill>
    </dxf>
  </rfmt>
  <rfmt sheetId="1" sqref="M18" start="0" length="0">
    <dxf>
      <fill>
        <patternFill patternType="solid">
          <bgColor rgb="FFFFFFCC"/>
        </patternFill>
      </fill>
    </dxf>
  </rfmt>
  <rfmt sheetId="1" sqref="N18" start="0" length="0">
    <dxf>
      <fill>
        <patternFill patternType="solid">
          <bgColor rgb="FFFFFFCC"/>
        </patternFill>
      </fill>
    </dxf>
  </rfmt>
  <rfmt sheetId="1" sqref="F19" start="0" length="0">
    <dxf>
      <fill>
        <patternFill patternType="solid">
          <bgColor rgb="FFFFFFCC"/>
        </patternFill>
      </fill>
    </dxf>
  </rfmt>
  <rcc rId="238" sId="1" numFmtId="19">
    <nc r="B18">
      <v>46272</v>
    </nc>
  </rcc>
  <rcc rId="239" sId="1">
    <nc r="F19" t="inlineStr">
      <is>
        <t>4800384444/100</t>
        <phoneticPr fontId="0" type="noConversion"/>
      </is>
    </nc>
  </rcc>
  <rfmt sheetId="1" sqref="B19:N19">
    <dxf>
      <fill>
        <patternFill>
          <bgColor theme="6" tint="0.39997558519241921"/>
        </patternFill>
      </fill>
    </dxf>
  </rfmt>
  <rfmt sheetId="1" s="1" sqref="G1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>
          <bgColor rgb="FFFFFFCC"/>
        </patternFill>
      </fill>
    </dxf>
  </rfmt>
  <rfmt sheetId="1" sqref="G19">
    <dxf>
      <fill>
        <patternFill>
          <bgColor theme="6" tint="0.39997558519241921"/>
        </patternFill>
      </fill>
    </dxf>
  </rfmt>
  <rcc rId="240" sId="1" numFmtId="34">
    <nc r="G19">
      <f>11348</f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'IPAHQ(TANK)-竹科'!$A$2:$T$2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'IPAHQ(TANK)-中科'!$A$2:$S$876</formula>
    <oldFormula>'IPAHQ(TANK)-中科'!$A$2:$S$876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'IPAHQ(TANK)-中科'!$A$2:$S$876</formula>
    <oldFormula>'IPAHQ(TANK)-中科'!$A$2:$S$876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65" sId="1" ref="F1:F1048576" action="insertCol"/>
  <rcc rId="266" sId="1" odxf="1" dxf="1">
    <nc r="F2" t="inlineStr">
      <is>
        <t>單號</t>
        <phoneticPr fontId="0" type="noConversion"/>
      </is>
    </nc>
    <odxf>
      <font>
        <sz val="10"/>
        <name val="Arial"/>
        <scheme val="none"/>
      </font>
    </odxf>
    <ndxf>
      <font>
        <sz val="10"/>
        <name val="Arial"/>
        <scheme val="none"/>
      </font>
    </ndxf>
  </rcc>
  <rcc rId="267" sId="1">
    <nc r="F3" t="inlineStr">
      <is>
        <t>20260108002-1</t>
        <phoneticPr fontId="0" type="noConversion"/>
      </is>
    </nc>
  </rcc>
  <rcc rId="268" sId="1">
    <nc r="F4" t="inlineStr">
      <is>
        <t>20260122003-1</t>
        <phoneticPr fontId="0" type="noConversion"/>
      </is>
    </nc>
  </rcc>
  <rcc rId="269" sId="1">
    <nc r="F5" t="inlineStr">
      <is>
        <t>20260210003-1</t>
        <phoneticPr fontId="0" type="noConversion"/>
      </is>
    </nc>
  </rcc>
  <rcc rId="270" sId="1">
    <nc r="F6" t="inlineStr">
      <is>
        <t>20260210003-2</t>
        <phoneticPr fontId="0" type="noConversion"/>
      </is>
    </nc>
  </rcc>
  <rcc rId="271" sId="1">
    <nc r="F7" t="inlineStr">
      <is>
        <t>20260304001-1</t>
        <phoneticPr fontId="0" type="noConversion"/>
      </is>
    </nc>
  </rcc>
  <rcc rId="272" sId="1">
    <nc r="F8">
      <v>20260323001</v>
    </nc>
  </rcc>
  <rcc rId="273" sId="1">
    <nc r="F9" t="inlineStr">
      <is>
        <t>20260407001-1</t>
        <phoneticPr fontId="0" type="noConversion"/>
      </is>
    </nc>
  </rcc>
  <rcc rId="274" sId="1">
    <nc r="F10" t="inlineStr">
      <is>
        <t>20260427002-1</t>
        <phoneticPr fontId="0" type="noConversion"/>
      </is>
    </nc>
  </rcc>
  <rcc rId="275" sId="1">
    <nc r="F11" t="inlineStr">
      <is>
        <t>20260515006-1</t>
        <phoneticPr fontId="0" type="noConversion"/>
      </is>
    </nc>
  </rcc>
  <rcc rId="276" sId="1">
    <nc r="F12">
      <v>20260605003</v>
    </nc>
  </rcc>
  <rcc rId="277" sId="1">
    <nc r="F13">
      <v>20260618001</v>
    </nc>
  </rcc>
  <rcc rId="278" sId="1">
    <nc r="F14">
      <v>20260707002</v>
    </nc>
  </rcc>
  <rcc rId="279" sId="1">
    <nc r="F15">
      <v>20260724001</v>
    </nc>
  </rcc>
  <rcc rId="280" sId="1">
    <nc r="F16" t="inlineStr">
      <is>
        <t>20260807001-2</t>
        <phoneticPr fontId="0" type="noConversion"/>
      </is>
    </nc>
  </rcc>
  <rcc rId="281" sId="1">
    <nc r="F17">
      <v>20260821009</v>
    </nc>
  </rcc>
  <rrc rId="282" sId="1" ref="I1:I1048576" action="deleteCol">
    <rfmt sheetId="1" xfDxf="1" sqref="I1:I1048576" start="0" length="0">
      <dxf>
        <font>
          <sz val="10"/>
          <name val="Arial"/>
          <scheme val="none"/>
        </font>
        <alignment horizontal="center"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1" start="0" length="0">
      <dxf>
        <font>
          <sz val="10"/>
          <color rgb="FF0000FF"/>
          <name val="微軟正黑體"/>
          <scheme val="none"/>
        </font>
        <numFmt numFmtId="176" formatCode="m/d;@"/>
        <fill>
          <patternFill patternType="solid">
            <bgColor theme="7" tint="0.59999389629810485"/>
          </patternFill>
        </fill>
        <alignment horizontal="general" vertical="center" readingOrder="0"/>
        <border outline="0">
          <left/>
          <right/>
        </border>
      </dxf>
    </rfmt>
    <rcc rId="0" sId="1" dxf="1">
      <nc r="I2" t="inlineStr">
        <is>
          <t>單號</t>
          <phoneticPr fontId="0" type="noConversion"/>
        </is>
      </nc>
      <ndxf>
        <font>
          <b/>
          <sz val="10"/>
          <name val="Arial"/>
          <scheme val="none"/>
        </font>
        <fill>
          <patternFill patternType="solid">
            <bgColor theme="7" tint="0.59999389629810485"/>
          </patternFill>
        </fill>
        <alignment vertical="center" readingOrder="0"/>
      </ndxf>
    </rcc>
    <rcc rId="0" sId="1" dxf="1">
      <nc r="I3" t="inlineStr">
        <is>
          <t>20260108002-1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1" dxf="1">
      <nc r="I4" t="inlineStr">
        <is>
          <t>20260122003-1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1" dxf="1">
      <nc r="I5" t="inlineStr">
        <is>
          <t>20260210003-1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1" dxf="1">
      <nc r="I6" t="inlineStr">
        <is>
          <t>20260210003-2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1" dxf="1">
      <nc r="I7" t="inlineStr">
        <is>
          <t>20260304001-1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1" dxf="1">
      <nc r="I8">
        <v>20260323001</v>
      </nc>
      <ndxf>
        <fill>
          <patternFill patternType="solid">
            <bgColor rgb="FFFFFFCC"/>
          </patternFill>
        </fill>
      </ndxf>
    </rcc>
    <rcc rId="0" sId="1" dxf="1">
      <nc r="I9" t="inlineStr">
        <is>
          <t>20260407001-1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1" dxf="1">
      <nc r="I10" t="inlineStr">
        <is>
          <t>20260427002-1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1" dxf="1">
      <nc r="I11" t="inlineStr">
        <is>
          <t>20260515006-1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1" dxf="1">
      <nc r="I12">
        <v>20260605003</v>
      </nc>
      <ndxf>
        <fill>
          <patternFill patternType="solid">
            <bgColor rgb="FFFFFFCC"/>
          </patternFill>
        </fill>
      </ndxf>
    </rcc>
    <rcc rId="0" sId="1" dxf="1">
      <nc r="I13">
        <v>20260618001</v>
      </nc>
      <ndxf>
        <fill>
          <patternFill patternType="solid">
            <bgColor rgb="FFFFFFCC"/>
          </patternFill>
        </fill>
      </ndxf>
    </rcc>
    <rcc rId="0" sId="1" dxf="1">
      <nc r="I14">
        <v>20260707002</v>
      </nc>
      <ndxf>
        <fill>
          <patternFill patternType="solid">
            <bgColor rgb="FFFFFFCC"/>
          </patternFill>
        </fill>
      </ndxf>
    </rcc>
    <rcc rId="0" sId="1" dxf="1">
      <nc r="I15">
        <v>20260724001</v>
      </nc>
      <ndxf>
        <fill>
          <patternFill patternType="solid">
            <bgColor rgb="FFFFFFCC"/>
          </patternFill>
        </fill>
      </ndxf>
    </rcc>
    <rcc rId="0" sId="1" dxf="1">
      <nc r="I16" t="inlineStr">
        <is>
          <t>20260807001-2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1" dxf="1">
      <nc r="I17">
        <v>20260821009</v>
      </nc>
      <ndxf>
        <fill>
          <patternFill patternType="solid">
            <bgColor rgb="FFFFFFCC"/>
          </patternFill>
        </fill>
      </ndxf>
    </rcc>
    <rfmt sheetId="1" sqref="I18" start="0" length="0">
      <dxf>
        <fill>
          <patternFill patternType="solid">
            <bgColor rgb="FFFFFFCC"/>
          </patternFill>
        </fill>
      </dxf>
    </rfmt>
    <rfmt sheetId="1" sqref="I19" start="0" length="0">
      <dxf>
        <fill>
          <patternFill patternType="solid">
            <bgColor theme="6" tint="0.39997558519241921"/>
          </patternFill>
        </fill>
      </dxf>
    </rfmt>
  </rrc>
  <rrc rId="283" sId="2" ref="F1:F1048576" action="insertCol"/>
  <rcc rId="284" sId="2" odxf="1" dxf="1">
    <nc r="F2" t="inlineStr">
      <is>
        <t>單號</t>
        <phoneticPr fontId="0" type="noConversion"/>
      </is>
    </nc>
    <odxf>
      <font>
        <sz val="10"/>
        <name val="Arial"/>
        <scheme val="none"/>
      </font>
    </odxf>
    <ndxf>
      <font>
        <sz val="10"/>
        <name val="Arial"/>
        <scheme val="none"/>
      </font>
    </ndxf>
  </rcc>
  <rcc rId="285" sId="2">
    <nc r="F3" t="inlineStr">
      <is>
        <t>20251230009-1</t>
        <phoneticPr fontId="0" type="noConversion"/>
      </is>
    </nc>
  </rcc>
  <rcc rId="286" sId="2">
    <nc r="F4">
      <v>20251230004</v>
    </nc>
  </rcc>
  <rcc rId="287" sId="2">
    <nc r="F5" t="inlineStr">
      <is>
        <t>20251230005-1</t>
        <phoneticPr fontId="0" type="noConversion"/>
      </is>
    </nc>
  </rcc>
  <rcc rId="288" sId="2">
    <nc r="F6">
      <v>20251230011</v>
    </nc>
  </rcc>
  <rcc rId="289" sId="2">
    <nc r="F7" t="inlineStr">
      <is>
        <t>20251230006-2</t>
        <phoneticPr fontId="0" type="noConversion"/>
      </is>
    </nc>
  </rcc>
  <rcc rId="290" sId="2">
    <nc r="F8">
      <v>20251230014</v>
    </nc>
  </rcc>
  <rcc rId="291" sId="2">
    <nc r="F9" t="inlineStr">
      <is>
        <t>20251230010-1</t>
        <phoneticPr fontId="0" type="noConversion"/>
      </is>
    </nc>
  </rcc>
  <rcc rId="292" sId="2">
    <nc r="F10">
      <v>20251230015</v>
    </nc>
  </rcc>
  <rcc rId="293" sId="2">
    <nc r="F11">
      <v>20260102014</v>
    </nc>
  </rcc>
  <rcc rId="294" sId="2">
    <nc r="F12">
      <v>20260102015</v>
    </nc>
  </rcc>
  <rcc rId="295" sId="2">
    <nc r="F13" t="inlineStr">
      <is>
        <t>20260102015-1</t>
        <phoneticPr fontId="0" type="noConversion"/>
      </is>
    </nc>
  </rcc>
  <rcc rId="296" sId="2">
    <nc r="F14" t="inlineStr">
      <is>
        <t>20260102004-1</t>
        <phoneticPr fontId="0" type="noConversion"/>
      </is>
    </nc>
  </rcc>
  <rcc rId="297" sId="2">
    <nc r="F15">
      <v>20260102016</v>
    </nc>
  </rcc>
  <rcc rId="298" sId="2">
    <nc r="F16" t="inlineStr">
      <is>
        <t>20260102005-1</t>
        <phoneticPr fontId="0" type="noConversion"/>
      </is>
    </nc>
  </rcc>
  <rcc rId="299" sId="2">
    <nc r="F17" t="inlineStr">
      <is>
        <t>20260102006-1</t>
        <phoneticPr fontId="0" type="noConversion"/>
      </is>
    </nc>
  </rcc>
  <rcc rId="300" sId="2">
    <nc r="F18">
      <v>20260102017</v>
    </nc>
  </rcc>
  <rcc rId="301" sId="2">
    <nc r="F19" t="inlineStr">
      <is>
        <t>20260102007-1</t>
        <phoneticPr fontId="0" type="noConversion"/>
      </is>
    </nc>
  </rcc>
  <rcc rId="302" sId="2">
    <nc r="F20">
      <v>20260102019</v>
    </nc>
  </rcc>
  <rcc rId="303" sId="2">
    <nc r="F21">
      <v>20260102020</v>
    </nc>
  </rcc>
  <rcc rId="304" sId="2">
    <nc r="F22" t="inlineStr">
      <is>
        <t>20260102008-2</t>
        <phoneticPr fontId="0" type="noConversion"/>
      </is>
    </nc>
  </rcc>
  <rcc rId="305" sId="2">
    <nc r="F23">
      <v>20260102021</v>
    </nc>
  </rcc>
  <rcc rId="306" sId="2">
    <nc r="F24">
      <v>20260102022</v>
    </nc>
  </rcc>
  <rcc rId="307" sId="2">
    <nc r="F25">
      <v>20260102009</v>
    </nc>
  </rcc>
  <rcc rId="308" sId="2">
    <nc r="F26">
      <v>20260102023</v>
    </nc>
  </rcc>
  <rcc rId="309" sId="2">
    <nc r="F27">
      <v>20260102024</v>
    </nc>
  </rcc>
  <rcc rId="310" sId="2">
    <nc r="F28">
      <v>20260102010</v>
    </nc>
  </rcc>
  <rcc rId="311" sId="2">
    <nc r="F29">
      <v>20260102011</v>
    </nc>
  </rcc>
  <rcc rId="312" sId="2">
    <nc r="F30">
      <v>20260102025</v>
    </nc>
  </rcc>
  <rcc rId="313" sId="2">
    <nc r="F31">
      <v>20260102012</v>
    </nc>
  </rcc>
  <rcc rId="314" sId="2">
    <nc r="F32">
      <v>20260108009</v>
    </nc>
  </rcc>
  <rcc rId="315" sId="2">
    <nc r="F33">
      <v>20260108010</v>
    </nc>
  </rcc>
  <rcc rId="316" sId="2">
    <nc r="F34">
      <v>20260102013</v>
    </nc>
  </rcc>
  <rcc rId="317" sId="2">
    <nc r="F35">
      <v>20260108011</v>
    </nc>
  </rcc>
  <rcc rId="318" sId="2">
    <nc r="F36">
      <v>20260108012</v>
    </nc>
  </rcc>
  <rcc rId="319" sId="2">
    <nc r="F37">
      <v>20260108019</v>
    </nc>
  </rcc>
  <rcc rId="320" sId="2">
    <nc r="F38">
      <v>20260108020</v>
    </nc>
  </rcc>
  <rcc rId="321" sId="2">
    <nc r="F39">
      <v>20260102018</v>
    </nc>
  </rcc>
  <rcc rId="322" sId="2">
    <nc r="F40">
      <v>20260108013</v>
    </nc>
  </rcc>
  <rcc rId="323" sId="2">
    <nc r="F41">
      <v>20260108021</v>
    </nc>
  </rcc>
  <rcc rId="324" sId="2">
    <nc r="F42">
      <v>20260108025</v>
    </nc>
  </rcc>
  <rcc rId="325" sId="2">
    <nc r="F43">
      <v>20260108014</v>
    </nc>
  </rcc>
  <rcc rId="326" sId="2">
    <nc r="F44">
      <v>20260108015</v>
    </nc>
  </rcc>
  <rcc rId="327" sId="2">
    <nc r="F45">
      <v>20260108022</v>
    </nc>
  </rcc>
  <rcc rId="328" sId="2">
    <nc r="F46">
      <v>20260108016</v>
    </nc>
  </rcc>
  <rcc rId="329" sId="2">
    <nc r="F47">
      <v>20260108017</v>
    </nc>
  </rcc>
  <rcc rId="330" sId="2">
    <nc r="F48">
      <v>20260108023</v>
    </nc>
  </rcc>
  <rcc rId="331" sId="2">
    <nc r="F49">
      <v>20260108024</v>
    </nc>
  </rcc>
  <rcc rId="332" sId="2">
    <nc r="F50">
      <v>20260108018</v>
    </nc>
  </rcc>
  <rcc rId="333" sId="2" odxf="1" dxf="1">
    <nc r="F51">
      <v>20260114008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34" sId="2">
    <nc r="F52">
      <v>20260114018</v>
    </nc>
  </rcc>
  <rcc rId="335" sId="2" odxf="1" dxf="1">
    <nc r="F53">
      <v>20260114009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36" sId="2">
    <nc r="F54">
      <v>20260114019</v>
    </nc>
  </rcc>
  <rcc rId="337" sId="2" odxf="1" dxf="1">
    <nc r="F55">
      <v>20260114010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38" sId="2" odxf="1" dxf="1">
    <nc r="F56">
      <v>20260114011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39" sId="2">
    <nc r="F57">
      <v>20260114020</v>
    </nc>
  </rcc>
  <rcc rId="340" sId="2">
    <nc r="F58">
      <v>20260114021</v>
    </nc>
  </rcc>
  <rcc rId="341" sId="2" odxf="1" dxf="1">
    <nc r="F59">
      <v>20260114012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42" sId="2" odxf="1" dxf="1">
    <nc r="F60">
      <v>20260114013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43" sId="2">
    <nc r="F61">
      <v>20260114022</v>
    </nc>
  </rcc>
  <rcc rId="344" sId="2" odxf="1" dxf="1">
    <nc r="F62">
      <v>20260114014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45" sId="2" odxf="1" dxf="1">
    <nc r="F63">
      <v>20260114015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46" sId="2">
    <nc r="F64">
      <v>20260114023</v>
    </nc>
  </rcc>
  <rcc rId="347" sId="2">
    <nc r="F65">
      <v>20260114024</v>
    </nc>
  </rcc>
  <rcc rId="348" sId="2" odxf="1" dxf="1">
    <nc r="F66">
      <v>20260114016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49" sId="2">
    <nc r="F67">
      <v>20260114025</v>
    </nc>
  </rcc>
  <rcc rId="350" sId="2" odxf="1" dxf="1">
    <nc r="F68">
      <v>20260114017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51" sId="2" odxf="1" dxf="1">
    <nc r="F69">
      <v>20260120009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52" sId="2">
    <nc r="F70">
      <v>20260120021</v>
    </nc>
  </rcc>
  <rcc rId="353" sId="2" odxf="1" dxf="1">
    <nc r="F71">
      <v>20260120010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54" sId="2">
    <nc r="F72">
      <v>20260120022</v>
    </nc>
  </rcc>
  <rcc rId="355" sId="2" odxf="1" dxf="1">
    <nc r="F73">
      <v>20260120011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56" sId="2">
    <nc r="F74">
      <v>20260120023</v>
    </nc>
  </rcc>
  <rcc rId="357" sId="2">
    <nc r="F75">
      <v>20260120024</v>
    </nc>
  </rcc>
  <rcc rId="358" sId="2" odxf="1" dxf="1">
    <nc r="F76">
      <v>20260120012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59" sId="2" odxf="1" dxf="1">
    <nc r="F77">
      <v>20260120013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60" sId="2">
    <nc r="F78">
      <v>20260120025</v>
    </nc>
  </rcc>
  <rcc rId="361" sId="2" odxf="1" dxf="1">
    <nc r="F79">
      <v>20260120014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62" sId="2" odxf="1" dxf="1">
    <nc r="F80">
      <v>20260120015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63" sId="2">
    <nc r="F81">
      <v>20260120026</v>
    </nc>
  </rcc>
  <rcc rId="364" sId="2">
    <nc r="F82">
      <v>20260120027</v>
    </nc>
  </rcc>
  <rcc rId="365" sId="2" odxf="1" dxf="1">
    <nc r="F83">
      <v>20260120016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66" sId="2" odxf="1" dxf="1">
    <nc r="F84">
      <v>20260120019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67" sId="2">
    <nc r="F85">
      <v>20260120028</v>
    </nc>
  </rcc>
  <rcc rId="368" sId="2" odxf="1" dxf="1">
    <nc r="F86">
      <v>20260120017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69" sId="2" odxf="1" dxf="1">
    <nc r="F87">
      <v>20260120018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70" sId="2">
    <nc r="F88">
      <v>20260120029</v>
    </nc>
  </rcc>
  <rcc rId="371" sId="2">
    <nc r="F89">
      <v>20260126001</v>
    </nc>
  </rcc>
  <rcc rId="372" sId="2" odxf="1" dxf="1">
    <nc r="F90">
      <v>20260126008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73" sId="2" odxf="1" dxf="1">
    <nc r="F91">
      <v>20260126009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74" sId="2">
    <nc r="F92" t="inlineStr">
      <is>
        <t>20260126002-1</t>
        <phoneticPr fontId="0" type="noConversion"/>
      </is>
    </nc>
  </rcc>
  <rcc rId="375" sId="2" odxf="1" dxf="1">
    <nc r="F93">
      <v>20260126010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76" sId="2" odxf="1" dxf="1">
    <nc r="F94">
      <v>20260126011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77" sId="2">
    <nc r="F95" t="inlineStr">
      <is>
        <t>20260126003-1</t>
        <phoneticPr fontId="0" type="noConversion"/>
      </is>
    </nc>
  </rcc>
  <rcc rId="378" sId="2">
    <nc r="F96" t="inlineStr">
      <is>
        <t>20260126004-1</t>
        <phoneticPr fontId="0" type="noConversion"/>
      </is>
    </nc>
  </rcc>
  <rcc rId="379" sId="2" odxf="1" dxf="1">
    <nc r="F97">
      <v>20260126012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80" sId="2" odxf="1" dxf="1">
    <nc r="F98">
      <v>20260126013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81" sId="2">
    <nc r="F99" t="inlineStr">
      <is>
        <t>20260126005-1</t>
        <phoneticPr fontId="0" type="noConversion"/>
      </is>
    </nc>
  </rcc>
  <rcc rId="382" sId="2" odxf="1" dxf="1">
    <nc r="F100">
      <v>20260126014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83" sId="2">
    <nc r="F101">
      <v>20260126006</v>
    </nc>
  </rcc>
  <rcc rId="384" sId="2">
    <nc r="F102">
      <v>20260126007</v>
    </nc>
  </rcc>
  <rcc rId="385" sId="2" odxf="1" dxf="1">
    <nc r="F103">
      <v>20260126015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86" sId="2" odxf="1" dxf="1">
    <nc r="F104">
      <v>20260126016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87" sId="2" odxf="1" dxf="1">
    <nc r="F105">
      <v>20260130020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88" sId="2" odxf="1" dxf="1">
    <nc r="F106">
      <v>20260130029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89" sId="2" odxf="1" dxf="1">
    <nc r="F107">
      <v>20260130030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0" sId="2" odxf="1" dxf="1">
    <nc r="F108">
      <v>20260130021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1" sId="2" odxf="1" dxf="1">
    <nc r="F109">
      <v>20260130031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2" sId="2" odxf="1" dxf="1">
    <nc r="F110">
      <v>20260130032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3" sId="2" odxf="1" dxf="1">
    <nc r="F111" t="inlineStr">
      <is>
        <t>20260130032-1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4" sId="2" odxf="1" dxf="1">
    <nc r="F112">
      <v>20260130022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5" sId="2" odxf="1" dxf="1">
    <nc r="F113">
      <v>20260130033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6" sId="2" odxf="1" dxf="1">
    <nc r="F114">
      <v>20260130034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7" sId="2" odxf="1" dxf="1">
    <nc r="F115">
      <v>20260130023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8" sId="2" odxf="1" dxf="1">
    <nc r="F116">
      <v>20260130024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399" sId="2" odxf="1" dxf="1">
    <nc r="F117">
      <v>20260130035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0" sId="2" odxf="1" dxf="1">
    <nc r="F118">
      <v>20260130025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1" sId="2" odxf="1" dxf="1">
    <nc r="F119">
      <v>20260130026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2" sId="2" odxf="1" dxf="1">
    <nc r="F120">
      <v>20260130036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3" sId="2" odxf="1" dxf="1">
    <nc r="F121">
      <v>20260130027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4" sId="2" odxf="1" dxf="1">
    <nc r="F122">
      <v>20260130038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5" sId="2" odxf="1" dxf="1">
    <nc r="F123">
      <v>20260130039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6" sId="2" odxf="1" dxf="1">
    <nc r="F124">
      <v>20260130028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7" sId="2" odxf="1" dxf="1">
    <nc r="F125">
      <v>20260130037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8" sId="2" odxf="1" dxf="1">
    <nc r="F126">
      <v>20260206003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09" sId="2" odxf="1" dxf="1">
    <nc r="F127">
      <v>20260206013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0" sId="2" odxf="1" dxf="1">
    <nc r="F128">
      <v>20260206014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1" sId="2" odxf="1" dxf="1">
    <nc r="F129">
      <v>20260206004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2" sId="2" odxf="1" dxf="1">
    <nc r="F130">
      <v>20260206015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3" sId="2" odxf="1" dxf="1">
    <nc r="F131">
      <v>20260206005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4" sId="2" odxf="1" dxf="1">
    <nc r="F132">
      <v>20260206006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5" sId="2" odxf="1" dxf="1">
    <nc r="F133">
      <v>20260206016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6" sId="2" odxf="1" dxf="1">
    <nc r="F134">
      <v>20260206017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7" sId="2" odxf="1" dxf="1">
    <nc r="F135" t="inlineStr">
      <is>
        <t>20260206007-2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8" sId="2" odxf="1" dxf="1">
    <nc r="F136">
      <v>20260206008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19" sId="2" odxf="1" dxf="1">
    <nc r="F137">
      <v>20260206018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0" sId="2" odxf="1" dxf="1">
    <nc r="F138" t="inlineStr">
      <is>
        <t>20260206009-1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1" sId="2" odxf="1" dxf="1">
    <nc r="F139" t="inlineStr">
      <is>
        <t>20260206010-2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2" sId="2" odxf="1" dxf="1">
    <nc r="F140">
      <v>20260206019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3" sId="2" odxf="1" dxf="1">
    <nc r="F141" t="inlineStr">
      <is>
        <t>20260206011-1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4" sId="2" odxf="1" dxf="1">
    <nc r="F142">
      <v>20260206012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5" sId="2" odxf="1" dxf="1">
    <nc r="F143">
      <v>20260206020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6" sId="2" odxf="1" dxf="1">
    <nc r="F144">
      <v>20260206021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7" sId="2" odxf="1" dxf="1">
    <nc r="F145">
      <v>20260210021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8" sId="2" odxf="1" dxf="1">
    <nc r="F146">
      <v>20260210022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29" sId="2" odxf="1" dxf="1">
    <nc r="F147">
      <v>20260210004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0" sId="2" odxf="1" dxf="1">
    <nc r="F148">
      <v>20260210023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1" sId="2" odxf="1" dxf="1">
    <nc r="F149" t="inlineStr">
      <is>
        <t>20260210005-1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2" sId="2" odxf="1" dxf="1">
    <nc r="F150">
      <v>20260210024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3" sId="2" odxf="1" dxf="1">
    <nc r="F151">
      <v>20260210025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4" sId="2" odxf="1" dxf="1">
    <nc r="F152" t="inlineStr">
      <is>
        <t>20260210006-1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5" sId="2" odxf="1" dxf="1">
    <nc r="F153">
      <v>20260210007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6" sId="2" odxf="1" dxf="1">
    <nc r="F154">
      <v>20260210026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7" sId="2" odxf="1" dxf="1">
    <nc r="F155">
      <v>20260210027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8" sId="2" odxf="1" dxf="1">
    <nc r="F156">
      <v>20260210008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39" sId="2" odxf="1" dxf="1">
    <nc r="F157">
      <v>20260210009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0" sId="2" odxf="1" dxf="1">
    <nc r="F158">
      <v>20260210010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1" sId="2" odxf="1" dxf="1">
    <nc r="F159">
      <v>20260210028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2" sId="2" odxf="1" dxf="1">
    <nc r="F160">
      <v>20260210029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3" sId="2" odxf="1" dxf="1">
    <nc r="F161">
      <v>20260210011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4" sId="2" odxf="1" dxf="1">
    <nc r="F162">
      <v>20260210012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5" sId="2" odxf="1" dxf="1">
    <nc r="F163">
      <v>20260210030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6" sId="2" odxf="1" dxf="1">
    <nc r="F164">
      <v>20260210031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7" sId="2" odxf="1" dxf="1">
    <nc r="F165">
      <v>20260210013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8" sId="2" odxf="1" dxf="1">
    <nc r="F166">
      <v>20260210032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49" sId="2" odxf="1" dxf="1">
    <nc r="F167">
      <v>20260210014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0" sId="2" odxf="1" dxf="1">
    <nc r="F168">
      <v>20260210015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1" sId="2" odxf="1" dxf="1">
    <nc r="F169">
      <v>20260210033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2" sId="2" odxf="1" dxf="1">
    <nc r="F170">
      <v>20260210034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3" sId="2" odxf="1" dxf="1">
    <nc r="F171">
      <v>20260210016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4" sId="2" odxf="1" dxf="1">
    <nc r="F172">
      <v>20260210035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5" sId="2" odxf="1" dxf="1">
    <nc r="F173">
      <v>20260210036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6" sId="2" odxf="1" dxf="1">
    <nc r="F174">
      <v>20260210017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7" sId="2" odxf="1" dxf="1">
    <nc r="F175">
      <v>20260210018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8" sId="2" odxf="1" dxf="1">
    <nc r="F176">
      <v>20260210037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59" sId="2" odxf="1" dxf="1">
    <nc r="F177">
      <v>20260210038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0" sId="2" odxf="1" dxf="1">
    <nc r="F178">
      <v>20260210019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1" sId="2" odxf="1" dxf="1">
    <nc r="F179">
      <v>20260210020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2" sId="2" odxf="1" dxf="1">
    <nc r="F180">
      <v>20260210039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3" sId="2" odxf="1" dxf="1">
    <nc r="F181">
      <v>20260219001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4" sId="2" odxf="1" dxf="1">
    <nc r="F182" t="inlineStr">
      <is>
        <t>20260219002-1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5" sId="2" odxf="1" dxf="1">
    <nc r="F183">
      <v>20260210040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6" sId="2" odxf="1" dxf="1">
    <nc r="F184">
      <v>20260219008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7" sId="2" odxf="1" dxf="1">
    <nc r="F185">
      <v>20260219003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8" sId="2" odxf="1" dxf="1">
    <nc r="F186">
      <v>20260219009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69" sId="2" odxf="1" dxf="1">
    <nc r="F187">
      <v>20260219010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0" sId="2" odxf="1" dxf="1">
    <nc r="F188">
      <v>20260219004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1" sId="2" odxf="1" dxf="1">
    <nc r="F189">
      <v>20260219011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2" sId="2" odxf="1" dxf="1">
    <nc r="F190">
      <v>20260219012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3" sId="2" odxf="1" dxf="1">
    <nc r="F191">
      <v>20260219015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4" sId="2" odxf="1" dxf="1">
    <nc r="F192">
      <v>20260219006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5" sId="2" odxf="1" dxf="1">
    <nc r="F193">
      <v>20260219005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6" sId="2" odxf="1" dxf="1">
    <nc r="F194">
      <v>20260219013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7" sId="2" odxf="1" dxf="1">
    <nc r="F195">
      <v>20260219014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8" sId="2" odxf="1" dxf="1">
    <nc r="F196">
      <v>20260219007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79" sId="2" odxf="1" dxf="1">
    <nc r="F197">
      <v>20260225014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0" sId="2" odxf="1" dxf="1">
    <nc r="F198" t="inlineStr">
      <is>
        <t>20260226019-1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1" sId="2" odxf="1" dxf="1">
    <nc r="F199">
      <v>20260227001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2" sId="2" odxf="1" dxf="1">
    <nc r="F200" t="inlineStr">
      <is>
        <t>20260225004-1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3" sId="2" odxf="1" dxf="1">
    <nc r="F201" t="inlineStr">
      <is>
        <t>20260225005-1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4" sId="2" odxf="1" dxf="1">
    <nc r="F202">
      <v>20260225015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5" sId="2" odxf="1" dxf="1">
    <nc r="F203">
      <v>20260225016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6" sId="2" odxf="1" dxf="1">
    <nc r="F204" t="inlineStr">
      <is>
        <t>20260225006-1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7" sId="2" odxf="1" dxf="1">
    <nc r="F205">
      <v>20260225017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8" sId="2" odxf="1" dxf="1">
    <nc r="F206">
      <v>20260225018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89" sId="2" odxf="1" dxf="1">
    <nc r="F207">
      <v>20260303001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0" sId="2" odxf="1" dxf="1">
    <nc r="F208">
      <v>20260225008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1" sId="2" odxf="1" dxf="1">
    <nc r="F209">
      <v>20260225019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2" sId="2" odxf="1" dxf="1">
    <nc r="F210" t="inlineStr">
      <is>
        <t>20260225007-1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3" sId="2" odxf="1" dxf="1">
    <nc r="F211" t="inlineStr">
      <is>
        <t>20260225011-1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4" sId="2" odxf="1" dxf="1">
    <nc r="F212">
      <v>20260225021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5" sId="2" odxf="1" dxf="1">
    <nc r="F213">
      <v>20260225022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6" sId="2" odxf="1" dxf="1">
    <nc r="F214">
      <v>20260225009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7" sId="2" odxf="1" dxf="1">
    <nc r="F215">
      <v>20260225010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8" sId="2" odxf="1" dxf="1">
    <nc r="F216">
      <v>20260225020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499" sId="2" odxf="1" dxf="1">
    <nc r="F217">
      <v>20260225023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00" sId="2" odxf="1" dxf="1">
    <nc r="F218">
      <v>20260225012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01" sId="2" odxf="1" dxf="1">
    <nc r="F219">
      <v>20260225013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02" sId="2" odxf="1" dxf="1">
    <nc r="F220">
      <v>20260225024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03" sId="2" odxf="1" dxf="1">
    <nc r="F221">
      <v>20260225025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04" sId="2" odxf="1" dxf="1">
    <nc r="F222" t="inlineStr">
      <is>
        <t>20260305004-1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05" sId="2" odxf="1" dxf="1">
    <nc r="F223">
      <v>20260225026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06" sId="2">
    <nc r="F224">
      <v>20260305015</v>
    </nc>
  </rcc>
  <rcc rId="507" sId="2">
    <nc r="F225" t="inlineStr">
      <is>
        <t>20260305015-1</t>
        <phoneticPr fontId="0" type="noConversion"/>
      </is>
    </nc>
  </rcc>
  <rcc rId="508" sId="2" odxf="1" dxf="1">
    <nc r="F226" t="inlineStr">
      <is>
        <t>20260305005-1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09" sId="2" odxf="1" dxf="1">
    <nc r="F227" t="inlineStr">
      <is>
        <t>20260305006-1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10" sId="2">
    <nc r="F228">
      <v>20260305016</v>
    </nc>
  </rcc>
  <rcc rId="511" sId="2">
    <nc r="F229">
      <v>20260305017</v>
    </nc>
  </rcc>
  <rcc rId="512" sId="2" odxf="1" dxf="1">
    <nc r="F230" t="inlineStr">
      <is>
        <t>20260305007-2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13" sId="2">
    <nc r="F231">
      <v>20260305018</v>
    </nc>
  </rcc>
  <rcc rId="514" sId="2" odxf="1" dxf="1">
    <nc r="F232" t="inlineStr">
      <is>
        <t>20260305008-1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15" sId="2">
    <nc r="F233">
      <v>20260305019</v>
    </nc>
  </rcc>
  <rcc rId="516" sId="2" odxf="1" dxf="1">
    <nc r="F234">
      <v>20260305009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17" sId="2" odxf="1" dxf="1">
    <nc r="F235">
      <v>20260305010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18" sId="2">
    <nc r="F236">
      <v>20260305020</v>
    </nc>
  </rcc>
  <rcc rId="519" sId="2">
    <nc r="F237">
      <v>20260305021</v>
    </nc>
  </rcc>
  <rcc rId="520" sId="2" odxf="1" dxf="1">
    <nc r="F238">
      <v>20260305011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21" sId="2" odxf="1" dxf="1">
    <nc r="F239">
      <v>20260305012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22" sId="2" odxf="1" dxf="1">
    <nc r="F240">
      <v>20260305013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23" sId="2">
    <nc r="F241">
      <v>20260305022</v>
    </nc>
  </rcc>
  <rcc rId="524" sId="2">
    <nc r="F242">
      <v>20260305023</v>
    </nc>
  </rcc>
  <rcc rId="525" sId="2" odxf="1" dxf="1">
    <nc r="F243">
      <v>20260313005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26" sId="2" odxf="1" dxf="1">
    <nc r="F244">
      <v>20260313006</v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27" sId="2">
    <nc r="F245">
      <v>20260305024</v>
    </nc>
  </rcc>
  <rcc rId="528" sId="2">
    <nc r="F246">
      <v>20260313002</v>
    </nc>
  </rcc>
  <rcc rId="529" sId="2" odxf="1" dxf="1">
    <nc r="F247" t="inlineStr">
      <is>
        <t>20260313007-1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cc rId="530" sId="2">
    <nc r="F248" t="inlineStr">
      <is>
        <t>20260313003-1</t>
        <phoneticPr fontId="0" type="noConversion"/>
      </is>
    </nc>
  </rcc>
  <rcc rId="531" sId="2">
    <nc r="F249" t="inlineStr">
      <is>
        <t>20260313004-1</t>
        <phoneticPr fontId="0" type="noConversion"/>
      </is>
    </nc>
  </rcc>
  <rcc rId="532" sId="2">
    <nc r="F250">
      <v>20260427020</v>
    </nc>
  </rcc>
  <rcc rId="533" sId="2">
    <nc r="F251" t="inlineStr">
      <is>
        <t>20260430005-1</t>
        <phoneticPr fontId="0" type="noConversion"/>
      </is>
    </nc>
  </rcc>
  <rcc rId="534" sId="2">
    <nc r="F252" t="inlineStr">
      <is>
        <t>20260430006-2</t>
        <phoneticPr fontId="0" type="noConversion"/>
      </is>
    </nc>
  </rcc>
  <rcc rId="535" sId="2">
    <nc r="F253">
      <v>20260504004</v>
    </nc>
  </rcc>
  <rcc rId="536" sId="2">
    <nc r="F254">
      <v>20260504005</v>
    </nc>
  </rcc>
  <rcc rId="537" sId="2">
    <nc r="F255" t="inlineStr">
      <is>
        <t>20260504006-1</t>
        <phoneticPr fontId="0" type="noConversion"/>
      </is>
    </nc>
  </rcc>
  <rcc rId="538" sId="2">
    <nc r="F256" t="inlineStr">
      <is>
        <t>20260504007-1</t>
        <phoneticPr fontId="0" type="noConversion"/>
      </is>
    </nc>
  </rcc>
  <rcc rId="539" sId="2">
    <nc r="F257" t="inlineStr">
      <is>
        <t>20260504008-2</t>
        <phoneticPr fontId="0" type="noConversion"/>
      </is>
    </nc>
  </rcc>
  <rcc rId="540" sId="2">
    <nc r="F258" t="inlineStr">
      <is>
        <t>20260506004-1</t>
        <phoneticPr fontId="0" type="noConversion"/>
      </is>
    </nc>
  </rcc>
  <rcc rId="541" sId="2">
    <nc r="F259" t="inlineStr">
      <is>
        <t>20260506005-1</t>
        <phoneticPr fontId="0" type="noConversion"/>
      </is>
    </nc>
  </rcc>
  <rcc rId="542" sId="2">
    <nc r="F260">
      <v>20260507009</v>
    </nc>
  </rcc>
  <rcc rId="543" sId="2">
    <nc r="F261">
      <v>20260507010</v>
    </nc>
  </rcc>
  <rcc rId="544" sId="2">
    <nc r="F262" t="inlineStr">
      <is>
        <t>20260506006-1</t>
        <phoneticPr fontId="0" type="noConversion"/>
      </is>
    </nc>
  </rcc>
  <rcc rId="545" sId="2">
    <nc r="F263">
      <v>20260507011</v>
    </nc>
  </rcc>
  <rcc rId="546" sId="2">
    <nc r="F264">
      <v>20260507012</v>
    </nc>
  </rcc>
  <rcc rId="547" sId="2">
    <nc r="F265" t="inlineStr">
      <is>
        <t>20260506007-1</t>
        <phoneticPr fontId="0" type="noConversion"/>
      </is>
    </nc>
  </rcc>
  <rcc rId="548" sId="2">
    <nc r="F266" t="inlineStr">
      <is>
        <t>20260506008-1</t>
        <phoneticPr fontId="0" type="noConversion"/>
      </is>
    </nc>
  </rcc>
  <rcc rId="549" sId="2">
    <nc r="F268">
      <v>20260507013</v>
    </nc>
  </rcc>
  <rcc rId="550" sId="2">
    <nc r="F269">
      <v>20260507014</v>
    </nc>
  </rcc>
  <rcc rId="551" sId="2">
    <nc r="F270" t="inlineStr">
      <is>
        <t>20260506009-1</t>
        <phoneticPr fontId="0" type="noConversion"/>
      </is>
    </nc>
  </rcc>
  <rcc rId="552" sId="2">
    <nc r="F271">
      <v>20260507015</v>
    </nc>
  </rcc>
  <rcc rId="553" sId="2">
    <nc r="F272">
      <v>20260507016</v>
    </nc>
  </rcc>
  <rcc rId="554" sId="2">
    <nc r="F273" t="inlineStr">
      <is>
        <t>20260506010-1</t>
        <phoneticPr fontId="0" type="noConversion"/>
      </is>
    </nc>
  </rcc>
  <rcc rId="555" sId="2">
    <nc r="F274">
      <v>20260511017</v>
    </nc>
  </rcc>
  <rcc rId="556" sId="2">
    <nc r="F275">
      <v>20260507017</v>
    </nc>
  </rcc>
  <rcc rId="557" sId="2">
    <nc r="F276">
      <v>20260511002</v>
    </nc>
  </rcc>
  <rcc rId="558" sId="2">
    <nc r="F277">
      <v>20260511018</v>
    </nc>
  </rcc>
  <rcc rId="559" sId="2">
    <nc r="F278">
      <v>20260511019</v>
    </nc>
  </rcc>
  <rcc rId="560" sId="2">
    <nc r="F279" t="inlineStr">
      <is>
        <t>20260511003-1</t>
        <phoneticPr fontId="0" type="noConversion"/>
      </is>
    </nc>
  </rcc>
  <rcc rId="561" sId="2">
    <nc r="F280" t="inlineStr">
      <is>
        <t>20260511004-1</t>
        <phoneticPr fontId="0" type="noConversion"/>
      </is>
    </nc>
  </rcc>
  <rcc rId="562" sId="2">
    <nc r="F281">
      <v>20260511020</v>
    </nc>
  </rcc>
  <rcc rId="563" sId="2">
    <nc r="F282">
      <v>20260511005</v>
    </nc>
  </rcc>
  <rcc rId="564" sId="2">
    <nc r="F283" t="inlineStr">
      <is>
        <t>20260511006-1</t>
        <phoneticPr fontId="0" type="noConversion"/>
      </is>
    </nc>
  </rcc>
  <rcc rId="565" sId="2">
    <nc r="F284">
      <v>20260511021</v>
    </nc>
  </rcc>
  <rcc rId="566" sId="2">
    <nc r="F285">
      <v>20260511022</v>
    </nc>
  </rcc>
  <rcc rId="567" sId="2">
    <nc r="F286" t="inlineStr">
      <is>
        <t>20260511007-2</t>
        <phoneticPr fontId="0" type="noConversion"/>
      </is>
    </nc>
  </rcc>
  <rcc rId="568" sId="2">
    <nc r="F287" t="inlineStr">
      <is>
        <t>20260511008-1</t>
        <phoneticPr fontId="0" type="noConversion"/>
      </is>
    </nc>
  </rcc>
  <rcc rId="569" sId="2">
    <nc r="F288">
      <v>20260511023</v>
    </nc>
  </rcc>
  <rcc rId="570" sId="2">
    <nc r="F289" t="inlineStr">
      <is>
        <t>20260511009-1</t>
        <phoneticPr fontId="0" type="noConversion"/>
      </is>
    </nc>
  </rcc>
  <rcc rId="571" sId="2">
    <nc r="F290" t="inlineStr">
      <is>
        <t>20260511010-1</t>
        <phoneticPr fontId="0" type="noConversion"/>
      </is>
    </nc>
  </rcc>
  <rcc rId="572" sId="2">
    <nc r="F291">
      <v>20260511024</v>
    </nc>
  </rcc>
  <rcc rId="573" sId="2">
    <nc r="F292">
      <v>20260511025</v>
    </nc>
  </rcc>
  <rcc rId="574" sId="2">
    <nc r="F293">
      <v>20260511011</v>
    </nc>
  </rcc>
  <rcc rId="575" sId="2">
    <nc r="F294">
      <v>20260511012</v>
    </nc>
  </rcc>
  <rcc rId="576" sId="2">
    <nc r="F295">
      <v>20260511026</v>
    </nc>
  </rcc>
  <rcc rId="577" sId="2">
    <nc r="F296">
      <v>20260511027</v>
    </nc>
  </rcc>
  <rcc rId="578" sId="2">
    <nc r="F297">
      <v>20260511013</v>
    </nc>
  </rcc>
  <rcc rId="579" sId="2">
    <nc r="F298">
      <v>20260511014</v>
    </nc>
  </rcc>
  <rcc rId="580" sId="2">
    <nc r="F299">
      <v>20260511015</v>
    </nc>
  </rcc>
  <rcc rId="581" sId="2">
    <nc r="F300">
      <v>20260511028</v>
    </nc>
  </rcc>
  <rcc rId="582" sId="2">
    <nc r="F301">
      <v>20260511016</v>
    </nc>
  </rcc>
  <rcc rId="583" sId="2">
    <nc r="F302" t="inlineStr">
      <is>
        <t>20260518001-1</t>
        <phoneticPr fontId="0" type="noConversion"/>
      </is>
    </nc>
  </rcc>
  <rcc rId="584" sId="2">
    <nc r="F303">
      <v>20260511029</v>
    </nc>
  </rcc>
  <rcc rId="585" sId="2">
    <nc r="F304">
      <v>20260518012</v>
    </nc>
  </rcc>
  <rcc rId="586" sId="2">
    <nc r="F305" t="inlineStr">
      <is>
        <t>20260518002-1</t>
        <phoneticPr fontId="0" type="noConversion"/>
      </is>
    </nc>
  </rcc>
  <rcc rId="587" sId="2">
    <nc r="F306" t="inlineStr">
      <is>
        <t>20260518003-1</t>
        <phoneticPr fontId="0" type="noConversion"/>
      </is>
    </nc>
  </rcc>
  <rcc rId="588" sId="2">
    <nc r="F307">
      <v>20260518013</v>
    </nc>
  </rcc>
  <rcc rId="589" sId="2">
    <nc r="F308">
      <v>20260518014</v>
    </nc>
  </rcc>
  <rcc rId="590" sId="2">
    <nc r="F309" t="inlineStr">
      <is>
        <t>20260518004-1</t>
        <phoneticPr fontId="0" type="noConversion"/>
      </is>
    </nc>
  </rcc>
  <rcc rId="591" sId="2">
    <nc r="F310" t="inlineStr">
      <is>
        <t>20260518005-1</t>
        <phoneticPr fontId="0" type="noConversion"/>
      </is>
    </nc>
  </rcc>
  <rcc rId="592" sId="2">
    <nc r="F311">
      <v>20260518015</v>
    </nc>
  </rcc>
  <rcc rId="593" sId="2">
    <nc r="F312" t="inlineStr">
      <is>
        <t>20260518006-1</t>
        <phoneticPr fontId="0" type="noConversion"/>
      </is>
    </nc>
  </rcc>
  <rcc rId="594" sId="2">
    <nc r="F313">
      <v>20260518007</v>
    </nc>
  </rcc>
  <rcc rId="595" sId="2">
    <nc r="F314">
      <v>20260518016</v>
    </nc>
  </rcc>
  <rcc rId="596" sId="2">
    <nc r="F315">
      <v>20260518018</v>
    </nc>
  </rcc>
  <rcc rId="597" sId="2">
    <nc r="F316">
      <v>20260518008</v>
    </nc>
  </rcc>
  <rcc rId="598" sId="2">
    <nc r="F317">
      <v>20260518009</v>
    </nc>
  </rcc>
  <rcc rId="599" sId="2">
    <nc r="F318">
      <v>20260518019</v>
    </nc>
  </rcc>
  <rcc rId="600" sId="2">
    <nc r="F319">
      <v>20260518010</v>
    </nc>
  </rcc>
  <rcc rId="601" sId="2">
    <nc r="F320">
      <v>20260518011</v>
    </nc>
  </rcc>
  <rcc rId="602" sId="2">
    <nc r="F321">
      <v>20260518017</v>
    </nc>
  </rcc>
  <rcc rId="603" sId="2">
    <nc r="F322">
      <v>20260518020</v>
    </nc>
  </rcc>
  <rcc rId="604" sId="2">
    <nc r="F323">
      <v>20260521029</v>
    </nc>
  </rcc>
  <rcc rId="605" sId="2">
    <nc r="F324" t="inlineStr">
      <is>
        <t>20260521030-1</t>
        <phoneticPr fontId="0" type="noConversion"/>
      </is>
    </nc>
  </rcc>
  <rcc rId="606" sId="2">
    <nc r="F325">
      <v>20260521030</v>
    </nc>
  </rcc>
  <rcc rId="607" sId="2">
    <nc r="F326">
      <v>20260518021</v>
    </nc>
  </rcc>
  <rcc rId="608" sId="2">
    <nc r="F327">
      <v>20260521031</v>
    </nc>
  </rcc>
  <rcc rId="609" sId="2">
    <nc r="F328">
      <v>20260521032</v>
    </nc>
  </rcc>
  <rcc rId="610" sId="2">
    <nc r="F329">
      <v>20260518022</v>
    </nc>
  </rcc>
  <rcc rId="611" sId="2">
    <nc r="F330">
      <v>20260525006</v>
    </nc>
  </rcc>
  <rcc rId="612" sId="2">
    <nc r="F331">
      <v>20260525015</v>
    </nc>
  </rcc>
  <rcc rId="613" sId="2">
    <nc r="F332">
      <v>20260525016</v>
    </nc>
  </rcc>
  <rcc rId="614" sId="2">
    <nc r="F333">
      <v>20260527001</v>
    </nc>
  </rcc>
  <rcc rId="615" sId="2">
    <nc r="F334">
      <v>20260527002</v>
    </nc>
  </rcc>
  <rcc rId="616" sId="2">
    <nc r="F335">
      <v>20260525007</v>
    </nc>
  </rcc>
  <rcc rId="617" sId="2">
    <nc r="F336">
      <v>20260525017</v>
    </nc>
  </rcc>
  <rcc rId="618" sId="2">
    <nc r="F337">
      <v>20260525018</v>
    </nc>
  </rcc>
  <rcc rId="619" sId="2">
    <nc r="F338">
      <v>20260528002</v>
    </nc>
  </rcc>
  <rcc rId="620" sId="2">
    <nc r="F339" t="inlineStr">
      <is>
        <t>20260528003-1</t>
        <phoneticPr fontId="0" type="noConversion"/>
      </is>
    </nc>
  </rcc>
  <rcc rId="621" sId="2">
    <nc r="F340">
      <v>20260525008</v>
    </nc>
  </rcc>
  <rcc rId="622" sId="2">
    <nc r="F341">
      <v>20260525009</v>
    </nc>
  </rcc>
  <rcc rId="623" sId="2">
    <nc r="F342">
      <v>20260525019</v>
    </nc>
  </rcc>
  <rcc rId="624" sId="2">
    <nc r="F343">
      <v>20260525020</v>
    </nc>
  </rcc>
  <rcc rId="625" sId="2">
    <nc r="F344" t="inlineStr">
      <is>
        <t>20260529006-1</t>
        <phoneticPr fontId="0" type="noConversion"/>
      </is>
    </nc>
  </rcc>
  <rcc rId="626" sId="2">
    <nc r="F345" t="inlineStr">
      <is>
        <t>20260529007-2</t>
        <phoneticPr fontId="0" type="noConversion"/>
      </is>
    </nc>
  </rcc>
  <rcc rId="627" sId="2">
    <nc r="F346">
      <v>20260525010</v>
    </nc>
  </rcc>
  <rcc rId="628" sId="2">
    <nc r="F347">
      <v>20260525021</v>
    </nc>
  </rcc>
  <rcc rId="629" sId="2">
    <nc r="F348">
      <v>20260525022</v>
    </nc>
  </rcc>
  <rcc rId="630" sId="2">
    <nc r="F349" t="inlineStr">
      <is>
        <t>20260528004-2</t>
        <phoneticPr fontId="0" type="noConversion"/>
      </is>
    </nc>
  </rcc>
  <rcc rId="631" sId="2">
    <nc r="F350">
      <v>20260525011</v>
    </nc>
  </rcc>
  <rcc rId="632" sId="2">
    <nc r="F351">
      <v>20260525012</v>
    </nc>
  </rcc>
  <rcc rId="633" sId="2">
    <nc r="F352">
      <v>20260525023</v>
    </nc>
  </rcc>
  <rcc rId="634" sId="2">
    <nc r="F353">
      <v>20260525024</v>
    </nc>
  </rcc>
  <rcc rId="635" sId="2">
    <nc r="F354" t="inlineStr">
      <is>
        <t>20260528005-1</t>
        <phoneticPr fontId="0" type="noConversion"/>
      </is>
    </nc>
  </rcc>
  <rcc rId="636" sId="2">
    <nc r="F355" t="inlineStr">
      <is>
        <t>20260528006-1</t>
        <phoneticPr fontId="0" type="noConversion"/>
      </is>
    </nc>
  </rcc>
  <rcc rId="637" sId="2">
    <nc r="F356" t="inlineStr">
      <is>
        <t>20260525005-2</t>
        <phoneticPr fontId="0" type="noConversion"/>
      </is>
    </nc>
  </rcc>
  <rcc rId="638" sId="2">
    <nc r="F357">
      <v>20260525025</v>
    </nc>
  </rcc>
  <rcc rId="639" sId="2">
    <nc r="F358">
      <v>20260525026</v>
    </nc>
  </rcc>
  <rcc rId="640" sId="2">
    <nc r="F359" t="inlineStr">
      <is>
        <t>20260529008-1</t>
        <phoneticPr fontId="0" type="noConversion"/>
      </is>
    </nc>
  </rcc>
  <rcc rId="641" sId="2">
    <nc r="F360" t="inlineStr">
      <is>
        <t>20260601002-1</t>
        <phoneticPr fontId="0" type="noConversion"/>
      </is>
    </nc>
  </rcc>
  <rcc rId="642" sId="2">
    <nc r="F361">
      <v>20260525013</v>
    </nc>
  </rcc>
  <rcc rId="643" sId="2">
    <nc r="F362" t="inlineStr">
      <is>
        <t>20260601008-1</t>
        <phoneticPr fontId="0" type="noConversion"/>
      </is>
    </nc>
  </rcc>
  <rcc rId="644" sId="2">
    <nc r="F363" t="inlineStr">
      <is>
        <t>20260525014-1</t>
        <phoneticPr fontId="0" type="noConversion"/>
      </is>
    </nc>
  </rcc>
  <rcc rId="645" sId="2">
    <nc r="F364">
      <v>20260525027</v>
    </nc>
  </rcc>
  <rcc rId="646" sId="2">
    <nc r="F365">
      <v>20260525028</v>
    </nc>
  </rcc>
  <rcc rId="647" sId="2">
    <nc r="F366" t="inlineStr">
      <is>
        <t>20260601007-1</t>
        <phoneticPr fontId="0" type="noConversion"/>
      </is>
    </nc>
  </rcc>
  <rcc rId="648" sId="2">
    <nc r="F367">
      <v>20260602008</v>
    </nc>
  </rcc>
  <rcc rId="649" sId="2">
    <nc r="F368">
      <v>20260601018</v>
    </nc>
  </rcc>
  <rcc rId="650" sId="2">
    <nc r="F369">
      <v>20260601019</v>
    </nc>
  </rcc>
  <rcc rId="651" sId="2">
    <nc r="F370" t="inlineStr">
      <is>
        <t>20260601009-1</t>
        <phoneticPr fontId="0" type="noConversion"/>
      </is>
    </nc>
  </rcc>
  <rcc rId="652" sId="2">
    <nc r="F371" t="inlineStr">
      <is>
        <t>20260601010-1</t>
        <phoneticPr fontId="0" type="noConversion"/>
      </is>
    </nc>
  </rcc>
  <rcc rId="653" sId="2">
    <nc r="F372">
      <v>20260601020</v>
    </nc>
  </rcc>
  <rcc rId="654" sId="2">
    <nc r="F373">
      <v>20260601021</v>
    </nc>
  </rcc>
  <rcc rId="655" sId="2">
    <nc r="F374" t="inlineStr">
      <is>
        <t>20260601011-1</t>
        <phoneticPr fontId="0" type="noConversion"/>
      </is>
    </nc>
  </rcc>
  <rcc rId="656" sId="2">
    <nc r="F375">
      <v>20260601022</v>
    </nc>
  </rcc>
  <rcc rId="657" sId="2">
    <nc r="F376">
      <v>20260601023</v>
    </nc>
  </rcc>
  <rcc rId="658" sId="2">
    <nc r="F377">
      <v>20260601012</v>
    </nc>
  </rcc>
  <rcc rId="659" sId="2">
    <nc r="F378">
      <v>20260601013</v>
    </nc>
  </rcc>
  <rcc rId="660" sId="2">
    <nc r="F379">
      <v>20260601024</v>
    </nc>
  </rcc>
  <rcc rId="661" sId="2">
    <nc r="F380">
      <v>20260601025</v>
    </nc>
  </rcc>
  <rcc rId="662" sId="2">
    <nc r="F381">
      <v>20260601014</v>
    </nc>
  </rcc>
  <rcc rId="663" sId="2">
    <nc r="F382">
      <v>20260601026</v>
    </nc>
  </rcc>
  <rcc rId="664" sId="2">
    <nc r="F383">
      <v>20260601027</v>
    </nc>
  </rcc>
  <rcc rId="665" sId="2">
    <nc r="F384">
      <v>20260601015</v>
    </nc>
  </rcc>
  <rcc rId="666" sId="2">
    <nc r="F385">
      <v>20260601016</v>
    </nc>
  </rcc>
  <rcc rId="667" sId="2">
    <nc r="F386">
      <v>20260601028</v>
    </nc>
  </rcc>
  <rcc rId="668" sId="2">
    <nc r="F387">
      <v>20260601029</v>
    </nc>
  </rcc>
  <rcc rId="669" sId="2">
    <nc r="F388">
      <v>20260605010</v>
    </nc>
  </rcc>
  <rcc rId="670" sId="2">
    <nc r="F389" t="inlineStr">
      <is>
        <t>20260605007-1</t>
        <phoneticPr fontId="0" type="noConversion"/>
      </is>
    </nc>
  </rcc>
  <rcc rId="671" sId="2">
    <nc r="F390">
      <v>20260601017</v>
    </nc>
  </rcc>
  <rcc rId="672" sId="2">
    <nc r="F391" t="inlineStr">
      <is>
        <t>20260608001-1</t>
        <phoneticPr fontId="0" type="noConversion"/>
      </is>
    </nc>
  </rcc>
  <rcc rId="673" sId="2">
    <nc r="F392">
      <v>20260601030</v>
    </nc>
  </rcc>
  <rcc rId="674" sId="2">
    <nc r="F393">
      <v>20260601031</v>
    </nc>
  </rcc>
  <rcc rId="675" sId="2">
    <nc r="F394" t="inlineStr">
      <is>
        <t>20260608002-1</t>
        <phoneticPr fontId="0" type="noConversion"/>
      </is>
    </nc>
  </rcc>
  <rcc rId="676" sId="2">
    <nc r="F395">
      <v>20260608013</v>
    </nc>
  </rcc>
  <rcc rId="677" sId="2">
    <nc r="F396">
      <v>20260608014</v>
    </nc>
  </rcc>
  <rcc rId="678" sId="2">
    <nc r="F397" t="inlineStr">
      <is>
        <t>20260608003-1</t>
        <phoneticPr fontId="0" type="noConversion"/>
      </is>
    </nc>
  </rcc>
  <rcc rId="679" sId="2">
    <nc r="F398" t="inlineStr">
      <is>
        <t>20260608004-1</t>
        <phoneticPr fontId="0" type="noConversion"/>
      </is>
    </nc>
  </rcc>
  <rcc rId="680" sId="2">
    <nc r="F399">
      <v>20260608015</v>
    </nc>
  </rcc>
  <rcc rId="681" sId="2">
    <nc r="F400">
      <v>20260608016</v>
    </nc>
  </rcc>
  <rcc rId="682" sId="2">
    <nc r="F401" t="inlineStr">
      <is>
        <t>20260608005-1</t>
        <phoneticPr fontId="0" type="noConversion"/>
      </is>
    </nc>
  </rcc>
  <rcc rId="683" sId="2">
    <nc r="F402">
      <v>20260608006</v>
    </nc>
  </rcc>
  <rcc rId="684" sId="2">
    <nc r="F403">
      <v>20260608017</v>
    </nc>
  </rcc>
  <rcc rId="685" sId="2">
    <nc r="F404">
      <v>20260608018</v>
    </nc>
  </rcc>
  <rcc rId="686" sId="2">
    <nc r="F405" t="inlineStr">
      <is>
        <t>20260608007-1</t>
        <phoneticPr fontId="0" type="noConversion"/>
      </is>
    </nc>
  </rcc>
  <rcc rId="687" sId="2">
    <nc r="F406">
      <v>20260608019</v>
    </nc>
  </rcc>
  <rcc rId="688" sId="2">
    <nc r="F407">
      <v>20260608020</v>
    </nc>
  </rcc>
  <rcc rId="689" sId="2">
    <nc r="F408">
      <v>20260608008</v>
    </nc>
  </rcc>
  <rcc rId="690" sId="2">
    <nc r="F409">
      <v>20260608009</v>
    </nc>
  </rcc>
  <rcc rId="691" sId="2">
    <nc r="F410">
      <v>20260608021</v>
    </nc>
  </rcc>
  <rcc rId="692" sId="2">
    <nc r="F411">
      <v>20260608022</v>
    </nc>
  </rcc>
  <rcc rId="693" sId="2">
    <nc r="F412" t="inlineStr">
      <is>
        <t>20260605008-1</t>
        <phoneticPr fontId="0" type="noConversion"/>
      </is>
    </nc>
  </rcc>
  <rcc rId="694" sId="2">
    <nc r="F413">
      <v>20260608010</v>
    </nc>
  </rcc>
  <rcc rId="695" sId="2">
    <nc r="F414">
      <v>20260608011</v>
    </nc>
  </rcc>
  <rcc rId="696" sId="2">
    <nc r="F415">
      <v>20260608023</v>
    </nc>
  </rcc>
  <rcc rId="697" sId="2">
    <nc r="F416">
      <v>20260608024</v>
    </nc>
  </rcc>
  <rcc rId="698" sId="2">
    <nc r="F417">
      <v>20260608012</v>
    </nc>
  </rcc>
  <rcc rId="699" sId="2">
    <nc r="F418">
      <v>20260608025</v>
    </nc>
  </rcc>
  <rcc rId="700" sId="2">
    <nc r="F419">
      <v>20260608026</v>
    </nc>
  </rcc>
  <rcc rId="701" sId="2">
    <nc r="F420" t="inlineStr">
      <is>
        <t>20260615006-1</t>
        <phoneticPr fontId="0" type="noConversion"/>
      </is>
    </nc>
  </rcc>
  <rcc rId="702" sId="2">
    <nc r="F421">
      <v>20260615007</v>
    </nc>
  </rcc>
  <rcc rId="703" sId="2">
    <nc r="F422">
      <v>20260615019</v>
    </nc>
  </rcc>
  <rcc rId="704" sId="2">
    <nc r="F423">
      <v>20260615020</v>
    </nc>
  </rcc>
  <rcc rId="705" sId="2">
    <nc r="F424" t="inlineStr">
      <is>
        <t>20260605009-1</t>
        <phoneticPr fontId="0" type="noConversion"/>
      </is>
    </nc>
  </rcc>
  <rcc rId="706" sId="2">
    <nc r="F425" t="inlineStr">
      <is>
        <t>20260605009-2</t>
        <phoneticPr fontId="0" type="noConversion"/>
      </is>
    </nc>
  </rcc>
  <rcc rId="707" sId="2">
    <nc r="F426">
      <v>20260615008</v>
    </nc>
  </rcc>
  <rcc rId="708" sId="2">
    <nc r="F427">
      <v>20260615021</v>
    </nc>
  </rcc>
  <rcc rId="709" sId="2">
    <nc r="F428">
      <v>20260608029</v>
    </nc>
  </rcc>
  <rcc rId="710" sId="2">
    <nc r="F429">
      <v>20260615009</v>
    </nc>
  </rcc>
  <rcc rId="711" sId="2">
    <nc r="F430">
      <v>20260615010</v>
    </nc>
  </rcc>
  <rcc rId="712" sId="2">
    <nc r="F431">
      <v>20260615022</v>
    </nc>
  </rcc>
  <rcc rId="713" sId="2">
    <nc r="F432">
      <v>20260615023</v>
    </nc>
  </rcc>
  <rcc rId="714" sId="2">
    <nc r="F433">
      <v>20260615011</v>
    </nc>
  </rcc>
  <rcc rId="715" sId="2">
    <nc r="F434">
      <v>20260615025</v>
    </nc>
  </rcc>
  <rcc rId="716" sId="2">
    <nc r="F435">
      <v>20260615026</v>
    </nc>
  </rcc>
  <rcc rId="717" sId="2">
    <nc r="F436">
      <v>20260615012</v>
    </nc>
  </rcc>
  <rcc rId="718" sId="2">
    <nc r="F437">
      <v>20260615013</v>
    </nc>
  </rcc>
  <rcc rId="719" sId="2">
    <nc r="F438">
      <v>20260615027</v>
    </nc>
  </rcc>
  <rcc rId="720" sId="2">
    <nc r="F439">
      <v>20260615028</v>
    </nc>
  </rcc>
  <rcc rId="721" sId="2">
    <nc r="F440">
      <v>20260615014</v>
    </nc>
  </rcc>
  <rcc rId="722" sId="2">
    <nc r="F441">
      <v>20260615029</v>
    </nc>
  </rcc>
  <rcc rId="723" sId="2">
    <nc r="F442">
      <v>20260615030</v>
    </nc>
  </rcc>
  <rcc rId="724" sId="2">
    <nc r="F443" t="inlineStr">
      <is>
        <t>20260615015-1</t>
        <phoneticPr fontId="0" type="noConversion"/>
      </is>
    </nc>
  </rcc>
  <rcc rId="725" sId="2">
    <nc r="F444">
      <v>20260615016</v>
    </nc>
  </rcc>
  <rcc rId="726" sId="2">
    <nc r="F445">
      <v>20260615031</v>
    </nc>
  </rcc>
  <rcc rId="727" sId="2">
    <nc r="F446">
      <v>20260615032</v>
    </nc>
  </rcc>
  <rcc rId="728" sId="2">
    <nc r="F447">
      <v>20260615017</v>
    </nc>
  </rcc>
  <rcc rId="729" sId="2">
    <nc r="F448">
      <v>20260615033</v>
    </nc>
  </rcc>
  <rcc rId="730" sId="2">
    <nc r="F449">
      <v>20260615034</v>
    </nc>
  </rcc>
  <rcc rId="731" sId="2">
    <nc r="F450" t="inlineStr">
      <is>
        <t>20260618002-2</t>
        <phoneticPr fontId="0" type="noConversion"/>
      </is>
    </nc>
  </rcc>
  <rcc rId="732" sId="2">
    <nc r="F451" t="inlineStr">
      <is>
        <t>20260622007-1</t>
        <phoneticPr fontId="0" type="noConversion"/>
      </is>
    </nc>
  </rcc>
  <rcc rId="733" sId="2">
    <nc r="F452" t="inlineStr">
      <is>
        <t>20260622008-1</t>
        <phoneticPr fontId="0" type="noConversion"/>
      </is>
    </nc>
  </rcc>
  <rcc rId="734" sId="2">
    <nc r="F453">
      <v>20260615035</v>
    </nc>
  </rcc>
  <rcc rId="735" sId="2">
    <nc r="F454" t="inlineStr">
      <is>
        <t>20260615035-1</t>
        <phoneticPr fontId="0" type="noConversion"/>
      </is>
    </nc>
  </rcc>
  <rcc rId="736" sId="2">
    <nc r="F455">
      <v>20260622017</v>
    </nc>
  </rcc>
  <rcc rId="737" sId="2">
    <nc r="F456" t="inlineStr">
      <is>
        <t>20260622009-1</t>
        <phoneticPr fontId="0" type="noConversion"/>
      </is>
    </nc>
  </rcc>
  <rcc rId="738" sId="2">
    <nc r="F457">
      <v>20260622010</v>
    </nc>
  </rcc>
  <rcc rId="739" sId="2">
    <nc r="F458">
      <v>20260622018</v>
    </nc>
  </rcc>
  <rcc rId="740" sId="2">
    <nc r="F459">
      <v>20260622019</v>
    </nc>
  </rcc>
  <rcc rId="741" sId="2">
    <nc r="F460">
      <v>20260622011</v>
    </nc>
  </rcc>
  <rcc rId="742" sId="2">
    <nc r="F461">
      <v>20260622020</v>
    </nc>
  </rcc>
  <rcc rId="743" sId="2">
    <nc r="F462">
      <v>20260622021</v>
    </nc>
  </rcc>
  <rcc rId="744" sId="2">
    <nc r="F463">
      <v>20260622012</v>
    </nc>
  </rcc>
  <rcc rId="745" sId="2">
    <nc r="F464">
      <v>20260622013</v>
    </nc>
  </rcc>
  <rcc rId="746" sId="2">
    <nc r="F465">
      <v>20260622022</v>
    </nc>
  </rcc>
  <rcc rId="747" sId="2">
    <nc r="F466">
      <v>20260622023</v>
    </nc>
  </rcc>
  <rcc rId="748" sId="2">
    <nc r="F467" t="inlineStr">
      <is>
        <t>20260622014-1</t>
        <phoneticPr fontId="0" type="noConversion"/>
      </is>
    </nc>
  </rcc>
  <rcc rId="749" sId="2">
    <nc r="F468">
      <v>20260622015</v>
    </nc>
  </rcc>
  <rcc rId="750" sId="2">
    <nc r="F469">
      <v>20260622024</v>
    </nc>
  </rcc>
  <rcc rId="751" sId="2">
    <nc r="F470">
      <v>20260622025</v>
    </nc>
  </rcc>
  <rcc rId="752" sId="2">
    <nc r="F471" t="inlineStr">
      <is>
        <t>20260618003-3</t>
        <phoneticPr fontId="0" type="noConversion"/>
      </is>
    </nc>
  </rcc>
  <rcc rId="753" sId="2">
    <nc r="F472">
      <v>20260622016</v>
    </nc>
  </rcc>
  <rcc rId="754" sId="2">
    <nc r="F473">
      <v>20260622026</v>
    </nc>
  </rcc>
  <rcc rId="755" sId="2">
    <nc r="F474">
      <v>20260622027</v>
    </nc>
  </rcc>
  <rcc rId="756" sId="2">
    <nc r="F475">
      <v>20260629038</v>
    </nc>
  </rcc>
  <rcc rId="757" sId="2">
    <nc r="F476" t="inlineStr">
      <is>
        <t>20260629003-1</t>
        <phoneticPr fontId="0" type="noConversion"/>
      </is>
    </nc>
  </rcc>
  <rcc rId="758" sId="2">
    <nc r="F477" t="inlineStr">
      <is>
        <t>20260629004-1</t>
        <phoneticPr fontId="0" type="noConversion"/>
      </is>
    </nc>
  </rcc>
  <rcc rId="759" sId="2">
    <nc r="F478">
      <v>20260629020</v>
    </nc>
  </rcc>
  <rcc rId="760" sId="2">
    <nc r="F479">
      <v>20260629005</v>
    </nc>
  </rcc>
  <rcc rId="761" sId="2">
    <nc r="F480">
      <v>20260629021</v>
    </nc>
  </rcc>
  <rcc rId="762" sId="2">
    <nc r="F481">
      <v>20260629022</v>
    </nc>
  </rcc>
  <rcc rId="763" sId="2">
    <nc r="F482" t="inlineStr">
      <is>
        <t>20260701001-1</t>
        <phoneticPr fontId="0" type="noConversion"/>
      </is>
    </nc>
  </rcc>
  <rcc rId="764" sId="2">
    <nc r="F483">
      <v>20260629006</v>
    </nc>
  </rcc>
  <rcc rId="765" sId="2">
    <nc r="F484">
      <v>20260629007</v>
    </nc>
  </rcc>
  <rcc rId="766" sId="2">
    <nc r="F485">
      <v>20260629023</v>
    </nc>
  </rcc>
  <rcc rId="767" sId="2">
    <nc r="F486">
      <v>20260629024</v>
    </nc>
  </rcc>
  <rcc rId="768" sId="2">
    <nc r="F487" t="inlineStr">
      <is>
        <t>20260701002-1</t>
        <phoneticPr fontId="0" type="noConversion"/>
      </is>
    </nc>
  </rcc>
  <rcc rId="769" sId="2">
    <nc r="F488">
      <v>20260629008</v>
    </nc>
  </rcc>
  <rcc rId="770" sId="2">
    <nc r="F489">
      <v>20260629025</v>
    </nc>
  </rcc>
  <rcc rId="771" sId="2">
    <nc r="F490">
      <v>20260629026</v>
    </nc>
  </rcc>
  <rcc rId="772" sId="2">
    <nc r="F491">
      <v>20260629009</v>
    </nc>
  </rcc>
  <rcc rId="773" sId="2">
    <nc r="F492">
      <v>20260629010</v>
    </nc>
  </rcc>
  <rcc rId="774" sId="2">
    <nc r="F493">
      <v>20260629027</v>
    </nc>
  </rcc>
  <rcc rId="775" sId="2">
    <nc r="F494">
      <v>20260629028</v>
    </nc>
  </rcc>
  <rcc rId="776" sId="2">
    <nc r="F495" t="inlineStr">
      <is>
        <t>20260701003-1</t>
        <phoneticPr fontId="0" type="noConversion"/>
      </is>
    </nc>
  </rcc>
  <rcc rId="777" sId="2">
    <nc r="F496">
      <v>20260629011</v>
    </nc>
  </rcc>
  <rcc rId="778" sId="2">
    <nc r="F497">
      <v>20260629012</v>
    </nc>
  </rcc>
  <rcc rId="779" sId="2">
    <nc r="F498">
      <v>20260629029</v>
    </nc>
  </rcc>
  <rcc rId="780" sId="2">
    <nc r="F499">
      <v>20260629030</v>
    </nc>
  </rcc>
  <rcc rId="781" sId="2">
    <nc r="F500" t="inlineStr">
      <is>
        <t>20260701005-1</t>
        <phoneticPr fontId="0" type="noConversion"/>
      </is>
    </nc>
  </rcc>
  <rcc rId="782" sId="2">
    <nc r="F501">
      <v>20260629013</v>
    </nc>
  </rcc>
  <rcc rId="783" sId="2">
    <nc r="F502">
      <v>20260629031</v>
    </nc>
  </rcc>
  <rcc rId="784" sId="2">
    <nc r="F503">
      <v>20260629032</v>
    </nc>
  </rcc>
  <rcc rId="785" sId="2">
    <nc r="F504" t="inlineStr">
      <is>
        <t>20260701004-2</t>
        <phoneticPr fontId="0" type="noConversion"/>
      </is>
    </nc>
  </rcc>
  <rcc rId="786" sId="2">
    <nc r="F505">
      <v>20260629014</v>
    </nc>
  </rcc>
  <rcc rId="787" sId="2">
    <nc r="F506">
      <v>20260706010</v>
    </nc>
  </rcc>
  <rcc rId="788" sId="2" odxf="1" dxf="1">
    <nc r="F507">
      <v>20260706021</v>
    </nc>
    <odxf>
      <font>
        <sz val="10"/>
        <color rgb="FFFF0000"/>
        <name val="Arial"/>
        <scheme val="none"/>
      </font>
    </odxf>
    <ndxf>
      <font>
        <sz val="10"/>
        <color rgb="FFFF0000"/>
        <name val="Arial"/>
        <scheme val="none"/>
      </font>
    </ndxf>
  </rcc>
  <rcc rId="789" sId="2">
    <nc r="F508">
      <v>20260703005</v>
    </nc>
  </rcc>
  <rcc rId="790" sId="2">
    <nc r="F509">
      <v>20260706011</v>
    </nc>
  </rcc>
  <rcc rId="791" sId="2">
    <nc r="F510">
      <v>20260706022</v>
    </nc>
  </rcc>
  <rcc rId="792" sId="2">
    <nc r="F511">
      <v>20260706023</v>
    </nc>
  </rcc>
  <rcc rId="793" sId="2">
    <nc r="F512">
      <v>20260706024</v>
    </nc>
  </rcc>
  <rcc rId="794" sId="2">
    <nc r="F513">
      <v>20260706012</v>
    </nc>
  </rcc>
  <rcc rId="795" sId="2">
    <nc r="F514">
      <v>20260706013</v>
    </nc>
  </rcc>
  <rcc rId="796" sId="2">
    <nc r="F515">
      <v>20260706025</v>
    </nc>
  </rcc>
  <rcc rId="797" sId="2">
    <nc r="F516">
      <v>20260706026</v>
    </nc>
  </rcc>
  <rcc rId="798" sId="2">
    <nc r="F517">
      <v>20260706014</v>
    </nc>
  </rcc>
  <rcc rId="799" sId="2">
    <nc r="F518">
      <v>20260706027</v>
    </nc>
  </rcc>
  <rcc rId="800" sId="2">
    <nc r="F519">
      <v>20260706028</v>
    </nc>
  </rcc>
  <rcc rId="801" sId="2">
    <nc r="F520" t="inlineStr">
      <is>
        <t>20260709003-1</t>
        <phoneticPr fontId="0" type="noConversion"/>
      </is>
    </nc>
  </rcc>
  <rcc rId="802" sId="2">
    <nc r="F521">
      <v>20260706015</v>
    </nc>
  </rcc>
  <rcc rId="803" sId="2">
    <nc r="F522">
      <v>20260706016</v>
    </nc>
  </rcc>
  <rcc rId="804" sId="2">
    <nc r="F523">
      <v>20260706029</v>
    </nc>
  </rcc>
  <rcc rId="805" sId="2">
    <nc r="F524">
      <v>20260706030</v>
    </nc>
  </rcc>
  <rcc rId="806" sId="2">
    <nc r="F525">
      <v>20260706017</v>
    </nc>
  </rcc>
  <rcc rId="807" sId="2">
    <nc r="F526">
      <v>20260706031</v>
    </nc>
  </rcc>
  <rcc rId="808" sId="2">
    <nc r="F527">
      <v>20260706032</v>
    </nc>
  </rcc>
  <rcc rId="809" sId="2">
    <nc r="F528">
      <v>20260709004</v>
    </nc>
  </rcc>
  <rcc rId="810" sId="2">
    <nc r="F529">
      <v>20260706018</v>
    </nc>
  </rcc>
  <rcc rId="811" sId="2">
    <nc r="F530">
      <v>20260706019</v>
    </nc>
  </rcc>
  <rcc rId="812" sId="2">
    <nc r="F531">
      <v>20260706033</v>
    </nc>
  </rcc>
  <rcc rId="813" sId="2">
    <nc r="F532">
      <v>20260706034</v>
    </nc>
  </rcc>
  <rcc rId="814" sId="2">
    <nc r="F533">
      <v>20260706020</v>
    </nc>
  </rcc>
  <rcc rId="815" sId="2">
    <nc r="F534" t="inlineStr">
      <is>
        <t>20260714001-2</t>
        <phoneticPr fontId="0" type="noConversion"/>
      </is>
    </nc>
  </rcc>
  <rcc rId="816" sId="2">
    <nc r="F535">
      <v>20260714012</v>
    </nc>
  </rcc>
  <rcc rId="817" sId="2">
    <nc r="F536">
      <v>20260714013</v>
    </nc>
  </rcc>
  <rcc rId="818" sId="2">
    <nc r="F537" t="inlineStr">
      <is>
        <t>20260714002-1</t>
        <phoneticPr fontId="0" type="noConversion"/>
      </is>
    </nc>
  </rcc>
  <rcc rId="819" sId="2">
    <nc r="F538">
      <v>20260714014</v>
    </nc>
  </rcc>
  <rcc rId="820" sId="2">
    <nc r="F539">
      <v>20260714015</v>
    </nc>
  </rcc>
  <rcc rId="821" sId="2">
    <nc r="F540">
      <v>20260709005</v>
    </nc>
  </rcc>
  <rcc rId="822" sId="2">
    <nc r="F541">
      <v>20260714003</v>
    </nc>
  </rcc>
  <rcc rId="823" sId="2">
    <nc r="F542">
      <v>20260714004</v>
    </nc>
  </rcc>
  <rcc rId="824" sId="2">
    <nc r="F543">
      <v>20260714016</v>
    </nc>
  </rcc>
  <rcc rId="825" sId="2">
    <nc r="F544">
      <v>20260714017</v>
    </nc>
  </rcc>
  <rcc rId="826" sId="2">
    <nc r="F545">
      <v>20260714005</v>
    </nc>
  </rcc>
  <rcc rId="827" sId="2">
    <nc r="F546">
      <v>20260714006</v>
    </nc>
  </rcc>
  <rcc rId="828" sId="2">
    <nc r="F547">
      <v>20260714018</v>
    </nc>
  </rcc>
  <rcc rId="829" sId="2">
    <nc r="F548">
      <v>20260714019</v>
    </nc>
  </rcc>
  <rcc rId="830" sId="2">
    <nc r="F549">
      <v>20260714007</v>
    </nc>
  </rcc>
  <rcc rId="831" sId="2">
    <nc r="F550">
      <v>20260714020</v>
    </nc>
  </rcc>
  <rcc rId="832" sId="2">
    <nc r="F551">
      <v>20260714021</v>
    </nc>
  </rcc>
  <rcc rId="833" sId="2">
    <nc r="F552">
      <v>20260714008</v>
    </nc>
  </rcc>
  <rcc rId="834" sId="2">
    <nc r="F553">
      <v>20260714009</v>
    </nc>
  </rcc>
  <rcc rId="835" sId="2">
    <nc r="F554">
      <v>20260714022</v>
    </nc>
  </rcc>
  <rcc rId="836" sId="2">
    <nc r="F555">
      <v>20260714023</v>
    </nc>
  </rcc>
  <rcc rId="837" sId="2">
    <nc r="F556" t="inlineStr">
      <is>
        <t>20260714010-1</t>
        <phoneticPr fontId="0" type="noConversion"/>
      </is>
    </nc>
  </rcc>
  <rcc rId="838" sId="2">
    <nc r="F557">
      <v>20260714024</v>
    </nc>
  </rcc>
  <rcc rId="839" sId="2">
    <nc r="F558">
      <v>20260714025</v>
    </nc>
  </rcc>
  <rcc rId="840" sId="2">
    <nc r="F559">
      <v>20260720018</v>
    </nc>
  </rcc>
  <rcc rId="841" sId="2">
    <nc r="F560">
      <v>20260714011</v>
    </nc>
  </rcc>
  <rcc rId="842" sId="2">
    <nc r="F561">
      <v>20260720007</v>
    </nc>
  </rcc>
  <rcc rId="843" sId="2">
    <nc r="F562">
      <v>20260720019</v>
    </nc>
  </rcc>
  <rcc rId="844" sId="2">
    <nc r="F563">
      <v>20260720020</v>
    </nc>
  </rcc>
  <rcc rId="845" sId="2">
    <nc r="F564" t="inlineStr">
      <is>
        <t>20260720008-1</t>
        <phoneticPr fontId="0" type="noConversion"/>
      </is>
    </nc>
  </rcc>
  <rcc rId="846" sId="2">
    <nc r="F565">
      <v>20260720009</v>
    </nc>
  </rcc>
  <rcc rId="847" sId="2">
    <nc r="F566">
      <v>20260720021</v>
    </nc>
  </rcc>
  <rcc rId="848" sId="2">
    <nc r="F567">
      <v>20260709006</v>
    </nc>
  </rcc>
  <rcc rId="849" sId="2">
    <nc r="F568">
      <v>20260720010</v>
    </nc>
  </rcc>
  <rcc rId="850" sId="2">
    <nc r="F569">
      <v>20260720022</v>
    </nc>
  </rcc>
  <rcc rId="851" sId="2">
    <nc r="F570">
      <v>20260720023</v>
    </nc>
  </rcc>
  <rcc rId="852" sId="2">
    <nc r="F571">
      <v>20260720011</v>
    </nc>
  </rcc>
  <rcc rId="853" sId="2">
    <nc r="F572">
      <v>20260720012</v>
    </nc>
  </rcc>
  <rcc rId="854" sId="2">
    <nc r="F573">
      <v>20260720024</v>
    </nc>
  </rcc>
  <rcc rId="855" sId="2">
    <nc r="F574">
      <v>20260720025</v>
    </nc>
  </rcc>
  <rcc rId="856" sId="2">
    <nc r="F575">
      <v>20260720013</v>
    </nc>
  </rcc>
  <rcc rId="857" sId="2">
    <nc r="F576">
      <v>20260720026</v>
    </nc>
  </rcc>
  <rcc rId="858" sId="2">
    <nc r="F577">
      <v>20260720027</v>
    </nc>
  </rcc>
  <rcc rId="859" sId="2">
    <nc r="F578">
      <v>20260720014</v>
    </nc>
  </rcc>
  <rcc rId="860" sId="2">
    <nc r="F579">
      <v>20260720015</v>
    </nc>
  </rcc>
  <rcc rId="861" sId="2">
    <nc r="F580">
      <v>20260720028</v>
    </nc>
  </rcc>
  <rcc rId="862" sId="2">
    <nc r="F581">
      <v>20260720029</v>
    </nc>
  </rcc>
  <rcc rId="863" sId="2">
    <nc r="F582" t="inlineStr">
      <is>
        <t>20260720016-1</t>
        <phoneticPr fontId="0" type="noConversion"/>
      </is>
    </nc>
  </rcc>
  <rcc rId="864" sId="2">
    <nc r="F583">
      <v>20260720030</v>
    </nc>
  </rcc>
  <rcc rId="865" sId="2">
    <nc r="F584">
      <v>20260720031</v>
    </nc>
  </rcc>
  <rcc rId="866" sId="2">
    <nc r="F585" t="inlineStr">
      <is>
        <t>20260720005-1</t>
        <phoneticPr fontId="0" type="noConversion"/>
      </is>
    </nc>
  </rcc>
  <rcc rId="867" sId="2">
    <nc r="F586">
      <v>20260720017</v>
    </nc>
  </rcc>
  <rcc rId="868" sId="2">
    <nc r="F587" t="inlineStr">
      <is>
        <t>20260728001-1</t>
        <phoneticPr fontId="0" type="noConversion"/>
      </is>
    </nc>
  </rcc>
  <rcc rId="869" sId="2">
    <nc r="F588">
      <v>20260728005</v>
    </nc>
  </rcc>
  <rcc rId="870" sId="2">
    <nc r="F589">
      <v>20260728006</v>
    </nc>
  </rcc>
  <rcc rId="871" sId="2">
    <nc r="F590" t="inlineStr">
      <is>
        <t>20260728002-1</t>
        <phoneticPr fontId="0" type="noConversion"/>
      </is>
    </nc>
  </rcc>
  <rcc rId="872" sId="2">
    <nc r="F591" t="inlineStr">
      <is>
        <t>20260728003-1</t>
        <phoneticPr fontId="0" type="noConversion"/>
      </is>
    </nc>
  </rcc>
  <rcc rId="873" sId="2">
    <nc r="F592">
      <v>20260728007</v>
    </nc>
  </rcc>
  <rcc rId="874" sId="2">
    <nc r="F593">
      <v>20260728008</v>
    </nc>
  </rcc>
  <rcc rId="875" sId="2">
    <nc r="F594" t="inlineStr">
      <is>
        <t>20260728004-1</t>
        <phoneticPr fontId="0" type="noConversion"/>
      </is>
    </nc>
  </rcc>
  <rcc rId="876" sId="2">
    <nc r="F595">
      <v>20260728009</v>
    </nc>
  </rcc>
  <rcc rId="877" sId="2">
    <nc r="F596">
      <v>20260728010</v>
    </nc>
  </rcc>
  <rcc rId="878" sId="2">
    <nc r="F597">
      <v>20260730001</v>
    </nc>
  </rcc>
  <rcc rId="879" sId="2">
    <nc r="F598">
      <v>20260730002</v>
    </nc>
  </rcc>
  <rcc rId="880" sId="2">
    <nc r="F599">
      <v>20260730008</v>
    </nc>
  </rcc>
  <rcc rId="881" sId="2">
    <nc r="F600">
      <v>20260730009</v>
    </nc>
  </rcc>
  <rcc rId="882" sId="2">
    <nc r="F601" t="inlineStr">
      <is>
        <t>20260730003-1</t>
        <phoneticPr fontId="0" type="noConversion"/>
      </is>
    </nc>
  </rcc>
  <rcc rId="883" sId="2">
    <nc r="F602">
      <v>20260730010</v>
    </nc>
  </rcc>
  <rcc rId="884" sId="2">
    <nc r="F603">
      <v>20260730011</v>
    </nc>
  </rcc>
  <rcc rId="885" sId="2">
    <nc r="F604">
      <v>20260720006</v>
    </nc>
  </rcc>
  <rcc rId="886" sId="2">
    <nc r="F605" t="inlineStr">
      <is>
        <t>20260730004-1</t>
        <phoneticPr fontId="0" type="noConversion"/>
      </is>
    </nc>
  </rcc>
  <rcc rId="887" sId="2">
    <nc r="F606" t="inlineStr">
      <is>
        <t>20260730005-1</t>
        <phoneticPr fontId="0" type="noConversion"/>
      </is>
    </nc>
  </rcc>
  <rcc rId="888" sId="2">
    <nc r="F607">
      <v>20260730012</v>
    </nc>
  </rcc>
  <rcc rId="889" sId="2">
    <nc r="F608">
      <v>20260730013</v>
    </nc>
  </rcc>
  <rcc rId="890" sId="2">
    <nc r="F609" t="inlineStr">
      <is>
        <t>20260730006-1</t>
        <phoneticPr fontId="0" type="noConversion"/>
      </is>
    </nc>
  </rcc>
  <rcc rId="891" sId="2">
    <nc r="F610" t="inlineStr">
      <is>
        <t>20260730007-1</t>
        <phoneticPr fontId="0" type="noConversion"/>
      </is>
    </nc>
  </rcc>
  <rcc rId="892" sId="2">
    <nc r="F611">
      <v>20260730014</v>
    </nc>
  </rcc>
  <rcc rId="893" sId="2">
    <nc r="F612">
      <v>20260730015</v>
    </nc>
  </rcc>
  <rcc rId="894" sId="2">
    <nc r="F613">
      <v>20260804002</v>
    </nc>
  </rcc>
  <rcc rId="895" sId="2">
    <nc r="F614">
      <v>20260804013</v>
    </nc>
  </rcc>
  <rcc rId="896" sId="2">
    <nc r="F615">
      <v>20260804014</v>
    </nc>
  </rcc>
  <rcc rId="897" sId="2">
    <nc r="F616" t="inlineStr">
      <is>
        <t>20260804003-1</t>
        <phoneticPr fontId="0" type="noConversion"/>
      </is>
    </nc>
  </rcc>
  <rcc rId="898" sId="2">
    <nc r="F617" t="inlineStr">
      <is>
        <t>20260804004-1</t>
        <phoneticPr fontId="0" type="noConversion"/>
      </is>
    </nc>
  </rcc>
  <rcc rId="899" sId="2">
    <nc r="F618">
      <v>20260804015</v>
    </nc>
  </rcc>
  <rcc rId="900" sId="2">
    <nc r="F619">
      <v>20260804016</v>
    </nc>
  </rcc>
  <rcc rId="901" sId="2">
    <nc r="F620" t="inlineStr">
      <is>
        <t>20260804005-1</t>
        <phoneticPr fontId="0" type="noConversion"/>
      </is>
    </nc>
  </rcc>
  <rcc rId="902" sId="2">
    <nc r="F621">
      <v>20260804017</v>
    </nc>
  </rcc>
  <rcc rId="903" sId="2">
    <nc r="F622">
      <v>20260804018</v>
    </nc>
  </rcc>
  <rcc rId="904" sId="2">
    <nc r="F623">
      <v>20260804006</v>
    </nc>
  </rcc>
  <rcc rId="905" sId="2">
    <nc r="F624">
      <v>20260804007</v>
    </nc>
  </rcc>
  <rcc rId="906" sId="2">
    <nc r="F625">
      <v>20260804019</v>
    </nc>
  </rcc>
  <rcc rId="907" sId="2">
    <nc r="F626">
      <v>20260804020</v>
    </nc>
  </rcc>
  <rcc rId="908" sId="2">
    <nc r="F627" t="inlineStr">
      <is>
        <t>20260804001-2</t>
        <phoneticPr fontId="0" type="noConversion"/>
      </is>
    </nc>
  </rcc>
  <rcc rId="909" sId="2">
    <nc r="F628">
      <v>20260804008</v>
    </nc>
  </rcc>
  <rcc rId="910" sId="2">
    <nc r="F629">
      <v>20260804021</v>
    </nc>
  </rcc>
  <rcc rId="911" sId="2">
    <nc r="F630">
      <v>20260804022</v>
    </nc>
  </rcc>
  <rcc rId="912" sId="2">
    <nc r="F631">
      <v>20260804009</v>
    </nc>
  </rcc>
  <rcc rId="913" sId="2">
    <nc r="F632">
      <v>20260804010</v>
    </nc>
  </rcc>
  <rcc rId="914" sId="2">
    <nc r="F633">
      <v>20260804023</v>
    </nc>
  </rcc>
  <rcc rId="915" sId="2">
    <nc r="F634">
      <v>20260804024</v>
    </nc>
  </rcc>
  <rcc rId="916" sId="2">
    <nc r="F635">
      <v>20260804011</v>
    </nc>
  </rcc>
  <rcc rId="917" sId="2">
    <nc r="F636">
      <v>20260804025</v>
    </nc>
  </rcc>
  <rcc rId="918" sId="2">
    <nc r="F637">
      <v>20260804026</v>
    </nc>
  </rcc>
  <rcc rId="919" sId="2">
    <nc r="F638">
      <v>20260804012</v>
    </nc>
  </rcc>
  <rcc rId="920" sId="2">
    <nc r="F639">
      <v>20260811001</v>
    </nc>
  </rcc>
  <rcc rId="921" sId="2">
    <nc r="F640">
      <v>20260811011</v>
    </nc>
  </rcc>
  <rcc rId="922" sId="2">
    <nc r="F641">
      <v>20260811012</v>
    </nc>
  </rcc>
  <rcc rId="923" sId="2">
    <nc r="F642">
      <v>20260811002</v>
    </nc>
  </rcc>
  <rcc rId="924" sId="2">
    <nc r="F643">
      <v>20260811013</v>
    </nc>
  </rcc>
  <rcc rId="925" sId="2">
    <nc r="F644">
      <v>20260811014</v>
    </nc>
  </rcc>
  <rcc rId="926" sId="2">
    <nc r="F645">
      <v>20260811003</v>
    </nc>
  </rcc>
  <rcc rId="927" sId="2">
    <nc r="F646">
      <v>20260811004</v>
    </nc>
  </rcc>
  <rcc rId="928" sId="2">
    <nc r="F647">
      <v>20260811015</v>
    </nc>
  </rcc>
  <rcc rId="929" sId="2">
    <nc r="F648">
      <v>20260811016</v>
    </nc>
  </rcc>
  <rcc rId="930" sId="2">
    <nc r="F649">
      <v>20260811025</v>
    </nc>
  </rcc>
  <rcc rId="931" sId="2">
    <nc r="F650">
      <v>20260811005</v>
    </nc>
  </rcc>
  <rcc rId="932" sId="2">
    <nc r="F651">
      <v>20260811006</v>
    </nc>
  </rcc>
  <rcc rId="933" sId="2">
    <nc r="F652">
      <v>20260811017</v>
    </nc>
  </rcc>
  <rcc rId="934" sId="2">
    <nc r="F653">
      <v>20260811018</v>
    </nc>
  </rcc>
  <rcc rId="935" sId="2">
    <nc r="F654">
      <v>20260811026</v>
    </nc>
  </rcc>
  <rcc rId="936" sId="2">
    <nc r="F655">
      <v>20260811007</v>
    </nc>
  </rcc>
  <rcc rId="937" sId="2">
    <nc r="F656">
      <v>20260811019</v>
    </nc>
  </rcc>
  <rcc rId="938" sId="2">
    <nc r="F657">
      <v>20260811020</v>
    </nc>
  </rcc>
  <rcc rId="939" sId="2">
    <nc r="F658">
      <v>20260811008</v>
    </nc>
  </rcc>
  <rcc rId="940" sId="2">
    <nc r="F659">
      <v>20260811009</v>
    </nc>
  </rcc>
  <rcc rId="941" sId="2">
    <nc r="F660">
      <v>20260811021</v>
    </nc>
  </rcc>
  <rcc rId="942" sId="2">
    <nc r="F661">
      <v>20260811022</v>
    </nc>
  </rcc>
  <rcc rId="943" sId="2">
    <nc r="F662">
      <v>20260811010</v>
    </nc>
  </rcc>
  <rcc rId="944" sId="2">
    <nc r="F663" t="inlineStr">
      <is>
        <t>20260817005-2</t>
        <phoneticPr fontId="0" type="noConversion"/>
      </is>
    </nc>
  </rcc>
  <rcc rId="945" sId="2">
    <nc r="F664">
      <v>20260811023</v>
    </nc>
  </rcc>
  <rcc rId="946" sId="2">
    <nc r="F665">
      <v>20260811024</v>
    </nc>
  </rcc>
  <rcc rId="947" sId="2">
    <nc r="F666">
      <v>20260815001</v>
    </nc>
  </rcc>
  <rcc rId="948" sId="2">
    <nc r="F667" t="inlineStr">
      <is>
        <t>20260817006-1</t>
        <phoneticPr fontId="0" type="noConversion"/>
      </is>
    </nc>
  </rcc>
  <rcc rId="949" sId="2">
    <nc r="F668">
      <v>20260817018</v>
    </nc>
  </rcc>
  <rcc rId="950" sId="2">
    <nc r="F669">
      <v>20260817019</v>
    </nc>
  </rcc>
  <rcc rId="951" sId="2">
    <nc r="F670">
      <v>20260817007</v>
    </nc>
  </rcc>
  <rcc rId="952" sId="2">
    <nc r="F671">
      <v>20260817008</v>
    </nc>
  </rcc>
  <rcc rId="953" sId="2">
    <nc r="F672">
      <v>20260817020</v>
    </nc>
  </rcc>
  <rcc rId="954" sId="2">
    <nc r="F673">
      <v>20260817021</v>
    </nc>
  </rcc>
  <rcc rId="955" sId="2">
    <nc r="F674">
      <v>20260817022</v>
    </nc>
  </rcc>
  <rcc rId="956" sId="2">
    <nc r="F675">
      <v>20260817009</v>
    </nc>
  </rcc>
  <rcc rId="957" sId="2">
    <nc r="F676">
      <v>20260817010</v>
    </nc>
  </rcc>
  <rcc rId="958" sId="2">
    <nc r="F677">
      <v>20260817023</v>
    </nc>
  </rcc>
  <rcc rId="959" sId="2">
    <nc r="F678">
      <v>20260817024</v>
    </nc>
  </rcc>
  <rcc rId="960" sId="2">
    <nc r="F679">
      <v>20260817011</v>
    </nc>
  </rcc>
  <rcc rId="961" sId="2">
    <nc r="F680">
      <v>20260817025</v>
    </nc>
  </rcc>
  <rcc rId="962" sId="2">
    <nc r="F681">
      <v>20260817031</v>
    </nc>
  </rcc>
  <rcc rId="963" sId="2">
    <nc r="F682">
      <v>20260817012</v>
    </nc>
  </rcc>
  <rcc rId="964" sId="2">
    <nc r="F683">
      <v>20260817013</v>
    </nc>
  </rcc>
  <rcc rId="965" sId="2">
    <nc r="F684">
      <v>20260817026</v>
    </nc>
  </rcc>
  <rcc rId="966" sId="2">
    <nc r="F685">
      <v>20260817027</v>
    </nc>
  </rcc>
  <rcc rId="967" sId="2">
    <nc r="F686">
      <v>20260817014</v>
    </nc>
  </rcc>
  <rcc rId="968" sId="2">
    <nc r="F687">
      <v>20260817028</v>
    </nc>
  </rcc>
  <rcc rId="969" sId="2">
    <nc r="F688">
      <v>20260817029</v>
    </nc>
  </rcc>
  <rcc rId="970" sId="2">
    <nc r="F689">
      <v>20260815002</v>
    </nc>
  </rcc>
  <rcc rId="971" sId="2">
    <nc r="F690">
      <v>20260817015</v>
    </nc>
  </rcc>
  <rcc rId="972" sId="2">
    <nc r="F691">
      <v>20260817016</v>
    </nc>
  </rcc>
  <rcc rId="973" sId="2">
    <nc r="F692">
      <v>20260824011</v>
    </nc>
  </rcc>
  <rcc rId="974" sId="2">
    <nc r="F693" t="inlineStr">
      <is>
        <t>20260824001-1</t>
        <phoneticPr fontId="0" type="noConversion"/>
      </is>
    </nc>
  </rcc>
  <rcc rId="975" sId="2">
    <nc r="F694" t="inlineStr">
      <is>
        <t>20260824002-1</t>
        <phoneticPr fontId="0" type="noConversion"/>
      </is>
    </nc>
  </rcc>
  <rcc rId="976" sId="2">
    <nc r="F695">
      <v>20260817030</v>
    </nc>
  </rcc>
  <rcc rId="977" sId="2">
    <nc r="F696">
      <v>20260824012</v>
    </nc>
  </rcc>
  <rcc rId="978" sId="2">
    <nc r="F697" t="inlineStr">
      <is>
        <t>20260824003-1</t>
        <phoneticPr fontId="0" type="noConversion"/>
      </is>
    </nc>
  </rcc>
  <rcc rId="979" sId="2">
    <nc r="F698">
      <v>20260824014</v>
    </nc>
  </rcc>
  <rcc rId="980" sId="2">
    <nc r="F699" t="inlineStr">
      <is>
        <t>20260824004-1</t>
        <phoneticPr fontId="0" type="noConversion"/>
      </is>
    </nc>
  </rcc>
  <rcc rId="981" sId="2">
    <nc r="F700" t="inlineStr">
      <is>
        <t>20260824005-1</t>
        <phoneticPr fontId="0" type="noConversion"/>
      </is>
    </nc>
  </rcc>
  <rcc rId="982" sId="2">
    <nc r="F701">
      <v>20260824016</v>
    </nc>
  </rcc>
  <rcc rId="983" sId="2">
    <nc r="F702">
      <v>20260824017</v>
    </nc>
  </rcc>
  <rcc rId="984" sId="2">
    <nc r="F703">
      <v>20260824006</v>
    </nc>
  </rcc>
  <rcc rId="985" sId="2">
    <nc r="F704">
      <v>20260824018</v>
    </nc>
  </rcc>
  <rcc rId="986" sId="2">
    <nc r="F705">
      <v>20260824019</v>
    </nc>
  </rcc>
  <rcc rId="987" sId="2">
    <nc r="F706">
      <v>20260824013</v>
    </nc>
  </rcc>
  <rcc rId="988" sId="2">
    <nc r="F707">
      <v>20260818006</v>
    </nc>
  </rcc>
  <rcc rId="989" sId="2">
    <nc r="F708">
      <v>20260824007</v>
    </nc>
  </rcc>
  <rcc rId="990" sId="2">
    <nc r="F709">
      <v>20260824008</v>
    </nc>
  </rcc>
  <rcc rId="991" sId="2">
    <nc r="F710">
      <v>20260824020</v>
    </nc>
  </rcc>
  <rcc rId="992" sId="2">
    <nc r="F711">
      <v>20260824021</v>
    </nc>
  </rcc>
  <rcc rId="993" sId="2">
    <nc r="F712">
      <v>20260824009</v>
    </nc>
  </rcc>
  <rcc rId="994" sId="2">
    <nc r="F713">
      <v>20260824022</v>
    </nc>
  </rcc>
  <rcc rId="995" sId="2">
    <nc r="F714">
      <v>20260824023</v>
    </nc>
  </rcc>
  <rcc rId="996" sId="2">
    <nc r="F715">
      <v>20260831003</v>
    </nc>
  </rcc>
  <rcc rId="997" sId="2">
    <nc r="F716" t="inlineStr">
      <is>
        <t>20260831004-1</t>
        <phoneticPr fontId="0" type="noConversion"/>
      </is>
    </nc>
  </rcc>
  <rcc rId="998" sId="2">
    <nc r="F717">
      <v>20260831017</v>
    </nc>
  </rcc>
  <rcc rId="999" sId="2">
    <nc r="F718">
      <v>20260831018</v>
    </nc>
  </rcc>
  <rcc rId="1000" sId="2">
    <nc r="F719">
      <v>20260831001</v>
    </nc>
  </rcc>
  <rcc rId="1001" sId="2">
    <nc r="F720" t="inlineStr">
      <is>
        <t>20260831005-1</t>
        <phoneticPr fontId="0" type="noConversion"/>
      </is>
    </nc>
  </rcc>
  <rcc rId="1002" sId="2">
    <nc r="F721" t="inlineStr">
      <is>
        <t>20260831006-1</t>
        <phoneticPr fontId="0" type="noConversion"/>
      </is>
    </nc>
  </rcc>
  <rcc rId="1003" sId="2">
    <nc r="F722">
      <v>20260831019</v>
    </nc>
  </rcc>
  <rcc rId="1004" sId="2">
    <nc r="F723">
      <v>20260831020</v>
    </nc>
  </rcc>
  <rcc rId="1005" sId="2">
    <nc r="F724">
      <v>20260831007</v>
    </nc>
  </rcc>
  <rcc rId="1006" sId="2">
    <nc r="F725">
      <v>20260831021</v>
    </nc>
  </rcc>
  <rcc rId="1007" sId="2">
    <nc r="F726">
      <v>20260831022</v>
    </nc>
  </rcc>
  <rcc rId="1008" sId="2">
    <nc r="F727">
      <v>20260831008</v>
    </nc>
  </rcc>
  <rcc rId="1009" sId="2">
    <nc r="F728">
      <v>20260831009</v>
    </nc>
  </rcc>
  <rcc rId="1010" sId="2">
    <nc r="F729">
      <v>20260831023</v>
    </nc>
  </rcc>
  <rcc rId="1011" sId="2">
    <nc r="F730">
      <v>20260831024</v>
    </nc>
  </rcc>
  <rcc rId="1012" sId="2">
    <nc r="F731">
      <v>20260831010</v>
    </nc>
  </rcc>
  <rcc rId="1013" sId="2">
    <nc r="F732">
      <v>20260831011</v>
    </nc>
  </rcc>
  <rcc rId="1014" sId="2">
    <nc r="F733">
      <v>20260831025</v>
    </nc>
  </rcc>
  <rcc rId="1015" sId="2">
    <nc r="F734">
      <v>20260831026</v>
    </nc>
  </rcc>
  <rcc rId="1016" sId="2">
    <nc r="F735">
      <v>20260831012</v>
    </nc>
  </rcc>
  <rcc rId="1017" sId="2">
    <nc r="F736">
      <v>20260831027</v>
    </nc>
  </rcc>
  <rcc rId="1018" sId="2">
    <nc r="F737">
      <v>20260831028</v>
    </nc>
  </rcc>
  <rcc rId="1019" sId="2">
    <nc r="F738">
      <v>20260831013</v>
    </nc>
  </rcc>
  <rcc rId="1020" sId="2">
    <nc r="F739">
      <v>20260831014</v>
    </nc>
  </rcc>
  <rcc rId="1021" sId="2">
    <nc r="F740">
      <v>20260831029</v>
    </nc>
  </rcc>
  <rcc rId="1022" sId="2">
    <nc r="F741">
      <v>20260831030</v>
    </nc>
  </rcc>
  <rcc rId="1023" sId="2">
    <nc r="F742">
      <v>20260831015</v>
    </nc>
  </rcc>
  <rcc rId="1024" sId="2">
    <nc r="F743">
      <v>20260831031</v>
    </nc>
  </rcc>
  <rcc rId="1025" sId="2">
    <nc r="F744">
      <v>20260831032</v>
    </nc>
  </rcc>
  <rcc rId="1026" sId="2">
    <nc r="F745">
      <v>20260831002</v>
    </nc>
  </rcc>
  <rrc rId="1027" sId="2" ref="I1:I1048576" action="deleteCol">
    <rfmt sheetId="2" xfDxf="1" sqref="I1:I1048576" start="0" length="0">
      <dxf>
        <font>
          <sz val="10"/>
          <name val="Arial"/>
          <scheme val="none"/>
        </font>
        <alignment horizontal="center"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1" start="0" length="0">
      <dxf>
        <font>
          <sz val="10"/>
          <color rgb="FF0000FF"/>
          <name val="微軟正黑體"/>
          <scheme val="none"/>
        </font>
        <numFmt numFmtId="176" formatCode="m/d;@"/>
        <fill>
          <patternFill patternType="solid">
            <bgColor theme="7" tint="0.59999389629810485"/>
          </patternFill>
        </fill>
        <alignment horizontal="general" vertical="center" readingOrder="0"/>
        <border outline="0">
          <left/>
          <right/>
        </border>
      </dxf>
    </rfmt>
    <rcc rId="0" sId="2" dxf="1">
      <nc r="I2" t="inlineStr">
        <is>
          <t>單號</t>
          <phoneticPr fontId="0" type="noConversion"/>
        </is>
      </nc>
      <ndxf>
        <font>
          <b/>
          <sz val="10"/>
          <name val="Arial"/>
          <scheme val="none"/>
        </font>
        <fill>
          <patternFill patternType="solid">
            <bgColor theme="7" tint="0.59999389629810485"/>
          </patternFill>
        </fill>
        <alignment vertical="center" readingOrder="0"/>
      </ndxf>
    </rcc>
    <rcc rId="0" sId="2" dxf="1">
      <nc r="I3" t="inlineStr">
        <is>
          <t>20251230009-1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4">
        <v>20251230004</v>
      </nc>
      <ndxf>
        <fill>
          <patternFill patternType="solid">
            <bgColor theme="6" tint="0.59999389629810485"/>
          </patternFill>
        </fill>
      </ndxf>
    </rcc>
    <rcc rId="0" sId="2" dxf="1">
      <nc r="I5" t="inlineStr">
        <is>
          <t>20251230005-1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">
        <v>20251230011</v>
      </nc>
      <ndxf>
        <fill>
          <patternFill patternType="solid">
            <bgColor theme="9" tint="0.59999389629810485"/>
          </patternFill>
        </fill>
      </ndxf>
    </rcc>
    <rcc rId="0" sId="2" dxf="1">
      <nc r="I7" t="inlineStr">
        <is>
          <t>20251230006-2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8">
        <v>20251230014</v>
      </nc>
      <ndxf>
        <fill>
          <patternFill patternType="solid">
            <bgColor theme="6" tint="0.59999389629810485"/>
          </patternFill>
        </fill>
      </ndxf>
    </rcc>
    <rcc rId="0" sId="2" dxf="1">
      <nc r="I9" t="inlineStr">
        <is>
          <t>20251230010-1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10">
        <v>20251230015</v>
      </nc>
      <ndxf>
        <fill>
          <patternFill patternType="solid">
            <bgColor theme="9" tint="0.59999389629810485"/>
          </patternFill>
        </fill>
      </ndxf>
    </rcc>
    <rcc rId="0" sId="2" dxf="1">
      <nc r="I11">
        <v>20260102014</v>
      </nc>
      <ndxf>
        <fill>
          <patternFill patternType="solid">
            <bgColor theme="6" tint="0.59999389629810485"/>
          </patternFill>
        </fill>
      </ndxf>
    </rcc>
    <rcc rId="0" sId="2" dxf="1">
      <nc r="I12">
        <v>20260102015</v>
      </nc>
      <ndxf>
        <fill>
          <patternFill patternType="solid">
            <bgColor theme="6" tint="0.59999389629810485"/>
          </patternFill>
        </fill>
      </ndxf>
    </rcc>
    <rcc rId="0" sId="2" dxf="1">
      <nc r="I13" t="inlineStr">
        <is>
          <t>20260102015-1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14" t="inlineStr">
        <is>
          <t>20260102004-1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15">
        <v>20260102016</v>
      </nc>
      <ndxf>
        <fill>
          <patternFill patternType="solid">
            <bgColor rgb="FFFFFFCC"/>
          </patternFill>
        </fill>
      </ndxf>
    </rcc>
    <rcc rId="0" sId="2" dxf="1">
      <nc r="I16" t="inlineStr">
        <is>
          <t>20260102005-1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17" t="inlineStr">
        <is>
          <t>20260102006-1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18">
        <v>20260102017</v>
      </nc>
      <ndxf>
        <fill>
          <patternFill patternType="solid">
            <bgColor rgb="FFFFFFCC"/>
          </patternFill>
        </fill>
      </ndxf>
    </rcc>
    <rcc rId="0" sId="2" dxf="1">
      <nc r="I19" t="inlineStr">
        <is>
          <t>20260102007-1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0">
        <v>20260102019</v>
      </nc>
      <ndxf>
        <fill>
          <patternFill patternType="solid">
            <bgColor rgb="FFFFFFCC"/>
          </patternFill>
        </fill>
      </ndxf>
    </rcc>
    <rcc rId="0" sId="2" dxf="1">
      <nc r="I21">
        <v>20260102020</v>
      </nc>
      <ndxf>
        <fill>
          <patternFill patternType="solid">
            <bgColor rgb="FFFFFFCC"/>
          </patternFill>
        </fill>
      </ndxf>
    </rcc>
    <rcc rId="0" sId="2" dxf="1">
      <nc r="I22" t="inlineStr">
        <is>
          <t>20260102008-2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3">
        <v>20260102021</v>
      </nc>
      <ndxf>
        <fill>
          <patternFill patternType="solid">
            <bgColor rgb="FFFFFFCC"/>
          </patternFill>
        </fill>
      </ndxf>
    </rcc>
    <rcc rId="0" sId="2" dxf="1">
      <nc r="I24">
        <v>20260102022</v>
      </nc>
      <ndxf>
        <fill>
          <patternFill patternType="solid">
            <bgColor rgb="FFFFFFCC"/>
          </patternFill>
        </fill>
      </ndxf>
    </rcc>
    <rcc rId="0" sId="2" dxf="1">
      <nc r="I25">
        <v>20260102009</v>
      </nc>
      <ndxf>
        <fill>
          <patternFill patternType="solid">
            <bgColor theme="9" tint="0.59999389629810485"/>
          </patternFill>
        </fill>
      </ndxf>
    </rcc>
    <rcc rId="0" sId="2" dxf="1">
      <nc r="I26">
        <v>20260102023</v>
      </nc>
      <ndxf>
        <fill>
          <patternFill patternType="solid">
            <bgColor rgb="FFFFFFCC"/>
          </patternFill>
        </fill>
      </ndxf>
    </rcc>
    <rcc rId="0" sId="2" dxf="1">
      <nc r="I27">
        <v>20260102024</v>
      </nc>
      <ndxf>
        <fill>
          <patternFill patternType="solid">
            <bgColor rgb="FFFFFFCC"/>
          </patternFill>
        </fill>
      </ndxf>
    </rcc>
    <rcc rId="0" sId="2" dxf="1">
      <nc r="I28">
        <v>20260102010</v>
      </nc>
      <ndxf>
        <fill>
          <patternFill patternType="solid">
            <bgColor theme="9" tint="0.59999389629810485"/>
          </patternFill>
        </fill>
      </ndxf>
    </rcc>
    <rcc rId="0" sId="2" dxf="1">
      <nc r="I29">
        <v>20260102011</v>
      </nc>
      <ndxf>
        <fill>
          <patternFill patternType="solid">
            <bgColor theme="9" tint="0.59999389629810485"/>
          </patternFill>
        </fill>
      </ndxf>
    </rcc>
    <rcc rId="0" sId="2" dxf="1">
      <nc r="I30">
        <v>20260102025</v>
      </nc>
      <ndxf>
        <fill>
          <patternFill patternType="solid">
            <bgColor rgb="FFFFFFCC"/>
          </patternFill>
        </fill>
      </ndxf>
    </rcc>
    <rcc rId="0" sId="2" dxf="1">
      <nc r="I31">
        <v>20260102012</v>
      </nc>
      <ndxf>
        <fill>
          <patternFill patternType="solid">
            <bgColor theme="9" tint="0.59999389629810485"/>
          </patternFill>
        </fill>
      </ndxf>
    </rcc>
    <rcc rId="0" sId="2" dxf="1">
      <nc r="I32">
        <v>20260108009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33">
        <v>20260108010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34">
        <v>20260102013</v>
      </nc>
      <ndxf>
        <fill>
          <patternFill patternType="solid">
            <bgColor theme="9" tint="0.59999389629810485"/>
          </patternFill>
        </fill>
      </ndxf>
    </rcc>
    <rcc rId="0" sId="2" dxf="1">
      <nc r="I35">
        <v>20260108011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36">
        <v>20260108012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37">
        <v>20260108019</v>
      </nc>
      <ndxf>
        <fill>
          <patternFill patternType="solid">
            <bgColor theme="9" tint="0.59999389629810485"/>
          </patternFill>
        </fill>
      </ndxf>
    </rcc>
    <rcc rId="0" sId="2" dxf="1">
      <nc r="I38">
        <v>20260108020</v>
      </nc>
      <ndxf>
        <fill>
          <patternFill patternType="solid">
            <bgColor theme="9" tint="0.59999389629810485"/>
          </patternFill>
        </fill>
      </ndxf>
    </rcc>
    <rcc rId="0" sId="2" dxf="1">
      <nc r="I39">
        <v>20260102018</v>
      </nc>
      <ndxf>
        <fill>
          <patternFill patternType="solid">
            <bgColor rgb="FFFFFFCC"/>
          </patternFill>
        </fill>
      </ndxf>
    </rcc>
    <rcc rId="0" sId="2" dxf="1">
      <nc r="I40">
        <v>20260108013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41">
        <v>20260108021</v>
      </nc>
      <ndxf>
        <fill>
          <patternFill patternType="solid">
            <bgColor theme="9" tint="0.59999389629810485"/>
          </patternFill>
        </fill>
      </ndxf>
    </rcc>
    <rcc rId="0" sId="2" dxf="1">
      <nc r="I42">
        <v>20260108025</v>
      </nc>
      <ndxf>
        <fill>
          <patternFill patternType="solid">
            <bgColor theme="9" tint="0.59999389629810485"/>
          </patternFill>
        </fill>
      </ndxf>
    </rcc>
    <rcc rId="0" sId="2" dxf="1">
      <nc r="I43">
        <v>20260108014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44">
        <v>20260108015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45">
        <v>20260108022</v>
      </nc>
      <ndxf>
        <fill>
          <patternFill patternType="solid">
            <bgColor theme="9" tint="0.59999389629810485"/>
          </patternFill>
        </fill>
      </ndxf>
    </rcc>
    <rcc rId="0" sId="2" dxf="1">
      <nc r="I46">
        <v>20260108016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47">
        <v>20260108017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48">
        <v>20260108023</v>
      </nc>
      <ndxf>
        <fill>
          <patternFill patternType="solid">
            <bgColor theme="9" tint="0.59999389629810485"/>
          </patternFill>
        </fill>
      </ndxf>
    </rcc>
    <rcc rId="0" sId="2" dxf="1">
      <nc r="I49">
        <v>20260108024</v>
      </nc>
      <ndxf>
        <fill>
          <patternFill patternType="solid">
            <bgColor theme="9" tint="0.59999389629810485"/>
          </patternFill>
        </fill>
      </ndxf>
    </rcc>
    <rcc rId="0" sId="2" dxf="1">
      <nc r="I50">
        <v>20260108018</v>
      </nc>
      <ndxf>
        <font>
          <sz val="10"/>
          <color auto="1"/>
          <name val="Arial"/>
          <scheme val="none"/>
        </font>
        <fill>
          <patternFill patternType="solid">
            <bgColor rgb="FFFFFFCC"/>
          </patternFill>
        </fill>
      </ndxf>
    </rcc>
    <rcc rId="0" sId="2" dxf="1">
      <nc r="I51">
        <v>20260114008</v>
      </nc>
      <ndxf>
        <fill>
          <patternFill patternType="solid">
            <bgColor rgb="FFFFFFCC"/>
          </patternFill>
        </fill>
      </ndxf>
    </rcc>
    <rcc rId="0" sId="2" dxf="1">
      <nc r="I52">
        <v>20260114018</v>
      </nc>
      <ndxf>
        <fill>
          <patternFill patternType="solid">
            <bgColor theme="9" tint="0.59999389629810485"/>
          </patternFill>
        </fill>
      </ndxf>
    </rcc>
    <rcc rId="0" sId="2" dxf="1">
      <nc r="I53">
        <v>20260114009</v>
      </nc>
      <ndxf>
        <fill>
          <patternFill patternType="solid">
            <bgColor rgb="FFFFFFCC"/>
          </patternFill>
        </fill>
      </ndxf>
    </rcc>
    <rcc rId="0" sId="2" dxf="1">
      <nc r="I54">
        <v>20260114019</v>
      </nc>
      <ndxf>
        <fill>
          <patternFill patternType="solid">
            <bgColor theme="9" tint="0.59999389629810485"/>
          </patternFill>
        </fill>
      </ndxf>
    </rcc>
    <rcc rId="0" sId="2" dxf="1">
      <nc r="I55">
        <v>20260114010</v>
      </nc>
      <ndxf>
        <fill>
          <patternFill patternType="solid">
            <bgColor rgb="FFFFFFCC"/>
          </patternFill>
        </fill>
      </ndxf>
    </rcc>
    <rcc rId="0" sId="2" dxf="1">
      <nc r="I56">
        <v>20260114011</v>
      </nc>
      <ndxf>
        <fill>
          <patternFill patternType="solid">
            <bgColor rgb="FFFFFFCC"/>
          </patternFill>
        </fill>
      </ndxf>
    </rcc>
    <rcc rId="0" sId="2" dxf="1">
      <nc r="I57">
        <v>20260114020</v>
      </nc>
      <ndxf>
        <fill>
          <patternFill patternType="solid">
            <bgColor theme="9" tint="0.59999389629810485"/>
          </patternFill>
        </fill>
      </ndxf>
    </rcc>
    <rcc rId="0" sId="2" dxf="1">
      <nc r="I58">
        <v>20260114021</v>
      </nc>
      <ndxf>
        <fill>
          <patternFill patternType="solid">
            <bgColor theme="9" tint="0.59999389629810485"/>
          </patternFill>
        </fill>
      </ndxf>
    </rcc>
    <rcc rId="0" sId="2" dxf="1">
      <nc r="I59">
        <v>20260114012</v>
      </nc>
      <ndxf>
        <fill>
          <patternFill patternType="solid">
            <bgColor rgb="FFFFFFCC"/>
          </patternFill>
        </fill>
      </ndxf>
    </rcc>
    <rcc rId="0" sId="2" dxf="1">
      <nc r="I60">
        <v>20260114013</v>
      </nc>
      <ndxf>
        <fill>
          <patternFill patternType="solid">
            <bgColor rgb="FFFFFFCC"/>
          </patternFill>
        </fill>
      </ndxf>
    </rcc>
    <rcc rId="0" sId="2" dxf="1">
      <nc r="I61">
        <v>20260114022</v>
      </nc>
      <ndxf>
        <fill>
          <patternFill patternType="solid">
            <bgColor theme="9" tint="0.59999389629810485"/>
          </patternFill>
        </fill>
      </ndxf>
    </rcc>
    <rcc rId="0" sId="2" dxf="1">
      <nc r="I62">
        <v>20260114014</v>
      </nc>
      <ndxf>
        <fill>
          <patternFill patternType="solid">
            <bgColor rgb="FFFFFFCC"/>
          </patternFill>
        </fill>
      </ndxf>
    </rcc>
    <rcc rId="0" sId="2" dxf="1">
      <nc r="I63">
        <v>20260114015</v>
      </nc>
      <ndxf>
        <fill>
          <patternFill patternType="solid">
            <bgColor rgb="FFFFFFCC"/>
          </patternFill>
        </fill>
      </ndxf>
    </rcc>
    <rcc rId="0" sId="2" dxf="1">
      <nc r="I64">
        <v>20260114023</v>
      </nc>
      <ndxf>
        <fill>
          <patternFill patternType="solid">
            <bgColor theme="9" tint="0.59999389629810485"/>
          </patternFill>
        </fill>
      </ndxf>
    </rcc>
    <rcc rId="0" sId="2" dxf="1">
      <nc r="I65">
        <v>20260114024</v>
      </nc>
      <ndxf>
        <fill>
          <patternFill patternType="solid">
            <bgColor theme="9" tint="0.59999389629810485"/>
          </patternFill>
        </fill>
      </ndxf>
    </rcc>
    <rcc rId="0" sId="2" dxf="1">
      <nc r="I66">
        <v>20260114016</v>
      </nc>
      <ndxf>
        <fill>
          <patternFill patternType="solid">
            <bgColor rgb="FFFFFFCC"/>
          </patternFill>
        </fill>
      </ndxf>
    </rcc>
    <rcc rId="0" sId="2" dxf="1">
      <nc r="I67">
        <v>20260114025</v>
      </nc>
      <ndxf>
        <fill>
          <patternFill patternType="solid">
            <bgColor theme="9" tint="0.59999389629810485"/>
          </patternFill>
        </fill>
      </ndxf>
    </rcc>
    <rcc rId="0" sId="2" dxf="1">
      <nc r="I68">
        <v>20260114017</v>
      </nc>
      <ndxf>
        <fill>
          <patternFill patternType="solid">
            <bgColor rgb="FFFFFFCC"/>
          </patternFill>
        </fill>
      </ndxf>
    </rcc>
    <rcc rId="0" sId="2" dxf="1">
      <nc r="I69">
        <v>20260120009</v>
      </nc>
      <ndxf>
        <fill>
          <patternFill patternType="solid">
            <bgColor rgb="FFFFFFCC"/>
          </patternFill>
        </fill>
      </ndxf>
    </rcc>
    <rcc rId="0" sId="2" dxf="1">
      <nc r="I70">
        <v>20260120021</v>
      </nc>
      <ndxf>
        <fill>
          <patternFill patternType="solid">
            <bgColor theme="9" tint="0.59999389629810485"/>
          </patternFill>
        </fill>
      </ndxf>
    </rcc>
    <rcc rId="0" sId="2" dxf="1">
      <nc r="I71">
        <v>20260120010</v>
      </nc>
      <ndxf>
        <fill>
          <patternFill patternType="solid">
            <bgColor rgb="FFFFFFCC"/>
          </patternFill>
        </fill>
      </ndxf>
    </rcc>
    <rcc rId="0" sId="2" dxf="1">
      <nc r="I72">
        <v>20260120022</v>
      </nc>
      <ndxf>
        <fill>
          <patternFill patternType="solid">
            <bgColor theme="9" tint="0.59999389629810485"/>
          </patternFill>
        </fill>
      </ndxf>
    </rcc>
    <rcc rId="0" sId="2" dxf="1">
      <nc r="I73">
        <v>20260120011</v>
      </nc>
      <ndxf>
        <fill>
          <patternFill patternType="solid">
            <bgColor rgb="FFFFFFCC"/>
          </patternFill>
        </fill>
      </ndxf>
    </rcc>
    <rcc rId="0" sId="2" dxf="1">
      <nc r="I74">
        <v>20260120023</v>
      </nc>
      <ndxf>
        <fill>
          <patternFill patternType="solid">
            <bgColor theme="9" tint="0.59999389629810485"/>
          </patternFill>
        </fill>
      </ndxf>
    </rcc>
    <rcc rId="0" sId="2" dxf="1">
      <nc r="I75">
        <v>20260120024</v>
      </nc>
      <ndxf>
        <fill>
          <patternFill patternType="solid">
            <bgColor theme="9" tint="0.59999389629810485"/>
          </patternFill>
        </fill>
      </ndxf>
    </rcc>
    <rcc rId="0" sId="2" dxf="1">
      <nc r="I76">
        <v>20260120012</v>
      </nc>
      <ndxf>
        <fill>
          <patternFill patternType="solid">
            <bgColor rgb="FFFFFFCC"/>
          </patternFill>
        </fill>
      </ndxf>
    </rcc>
    <rcc rId="0" sId="2" dxf="1">
      <nc r="I77">
        <v>20260120013</v>
      </nc>
      <ndxf>
        <fill>
          <patternFill patternType="solid">
            <bgColor rgb="FFFFFFCC"/>
          </patternFill>
        </fill>
      </ndxf>
    </rcc>
    <rcc rId="0" sId="2" dxf="1">
      <nc r="I78">
        <v>20260120025</v>
      </nc>
      <ndxf>
        <fill>
          <patternFill patternType="solid">
            <bgColor theme="9" tint="0.59999389629810485"/>
          </patternFill>
        </fill>
      </ndxf>
    </rcc>
    <rcc rId="0" sId="2" dxf="1">
      <nc r="I79">
        <v>20260120014</v>
      </nc>
      <ndxf>
        <fill>
          <patternFill patternType="solid">
            <bgColor rgb="FFFFFFCC"/>
          </patternFill>
        </fill>
      </ndxf>
    </rcc>
    <rcc rId="0" sId="2" dxf="1">
      <nc r="I80">
        <v>20260120015</v>
      </nc>
      <ndxf>
        <fill>
          <patternFill patternType="solid">
            <bgColor rgb="FFFFFFCC"/>
          </patternFill>
        </fill>
      </ndxf>
    </rcc>
    <rcc rId="0" sId="2" dxf="1">
      <nc r="I81">
        <v>20260120026</v>
      </nc>
      <ndxf>
        <fill>
          <patternFill patternType="solid">
            <bgColor theme="9" tint="0.59999389629810485"/>
          </patternFill>
        </fill>
      </ndxf>
    </rcc>
    <rcc rId="0" sId="2" dxf="1">
      <nc r="I82">
        <v>20260120027</v>
      </nc>
      <ndxf>
        <fill>
          <patternFill patternType="solid">
            <bgColor theme="9" tint="0.59999389629810485"/>
          </patternFill>
        </fill>
      </ndxf>
    </rcc>
    <rcc rId="0" sId="2" dxf="1">
      <nc r="I83">
        <v>20260120016</v>
      </nc>
      <ndxf>
        <fill>
          <patternFill patternType="solid">
            <bgColor rgb="FFFFFFCC"/>
          </patternFill>
        </fill>
      </ndxf>
    </rcc>
    <rcc rId="0" sId="2" dxf="1">
      <nc r="I84">
        <v>20260120019</v>
      </nc>
      <ndxf>
        <fill>
          <patternFill patternType="solid">
            <bgColor rgb="FFFFFFCC"/>
          </patternFill>
        </fill>
      </ndxf>
    </rcc>
    <rcc rId="0" sId="2" dxf="1">
      <nc r="I85">
        <v>20260120028</v>
      </nc>
      <ndxf>
        <fill>
          <patternFill patternType="solid">
            <bgColor theme="9" tint="0.59999389629810485"/>
          </patternFill>
        </fill>
      </ndxf>
    </rcc>
    <rcc rId="0" sId="2" dxf="1">
      <nc r="I86">
        <v>20260120017</v>
      </nc>
      <ndxf>
        <fill>
          <patternFill patternType="solid">
            <bgColor rgb="FFFFFFCC"/>
          </patternFill>
        </fill>
      </ndxf>
    </rcc>
    <rcc rId="0" sId="2" dxf="1">
      <nc r="I87">
        <v>20260120018</v>
      </nc>
      <ndxf>
        <fill>
          <patternFill patternType="solid">
            <bgColor rgb="FFFFFFCC"/>
          </patternFill>
        </fill>
      </ndxf>
    </rcc>
    <rcc rId="0" sId="2" dxf="1">
      <nc r="I88">
        <v>20260120029</v>
      </nc>
      <ndxf>
        <fill>
          <patternFill patternType="solid">
            <bgColor theme="9" tint="0.59999389629810485"/>
          </patternFill>
        </fill>
      </ndxf>
    </rcc>
    <rcc rId="0" sId="2" dxf="1">
      <nc r="I89">
        <v>20260126001</v>
      </nc>
      <ndxf>
        <font>
          <sz val="10"/>
          <color auto="1"/>
          <name val="Arial"/>
          <scheme val="none"/>
        </font>
        <fill>
          <patternFill patternType="solid">
            <bgColor theme="9" tint="0.59999389629810485"/>
          </patternFill>
        </fill>
      </ndxf>
    </rcc>
    <rcc rId="0" sId="2" dxf="1">
      <nc r="I90">
        <v>20260126008</v>
      </nc>
      <ndxf>
        <fill>
          <patternFill patternType="solid">
            <bgColor rgb="FFFFFFCC"/>
          </patternFill>
        </fill>
      </ndxf>
    </rcc>
    <rcc rId="0" sId="2" dxf="1">
      <nc r="I91">
        <v>20260126009</v>
      </nc>
      <ndxf>
        <fill>
          <patternFill patternType="solid">
            <bgColor rgb="FFFFFFCC"/>
          </patternFill>
        </fill>
      </ndxf>
    </rcc>
    <rcc rId="0" sId="2" dxf="1">
      <nc r="I92" t="inlineStr">
        <is>
          <t>20260126002-1</t>
          <phoneticPr fontId="0" type="noConversion"/>
        </is>
      </nc>
      <ndxf>
        <font>
          <sz val="10"/>
          <color auto="1"/>
          <name val="Arial"/>
          <scheme val="none"/>
        </font>
        <fill>
          <patternFill patternType="solid">
            <bgColor theme="9" tint="0.59999389629810485"/>
          </patternFill>
        </fill>
      </ndxf>
    </rcc>
    <rcc rId="0" sId="2" dxf="1">
      <nc r="I93">
        <v>20260126010</v>
      </nc>
      <ndxf>
        <fill>
          <patternFill patternType="solid">
            <bgColor rgb="FFFFFFCC"/>
          </patternFill>
        </fill>
      </ndxf>
    </rcc>
    <rcc rId="0" sId="2" dxf="1">
      <nc r="I94">
        <v>20260126011</v>
      </nc>
      <ndxf>
        <fill>
          <patternFill patternType="solid">
            <bgColor rgb="FFFFFFCC"/>
          </patternFill>
        </fill>
      </ndxf>
    </rcc>
    <rcc rId="0" sId="2" dxf="1">
      <nc r="I95" t="inlineStr">
        <is>
          <t>20260126003-1</t>
          <phoneticPr fontId="0" type="noConversion"/>
        </is>
      </nc>
      <ndxf>
        <font>
          <sz val="10"/>
          <color auto="1"/>
          <name val="Arial"/>
          <scheme val="none"/>
        </font>
        <fill>
          <patternFill patternType="solid">
            <bgColor theme="9" tint="0.59999389629810485"/>
          </patternFill>
        </fill>
      </ndxf>
    </rcc>
    <rcc rId="0" sId="2" dxf="1">
      <nc r="I96" t="inlineStr">
        <is>
          <t>20260126004-1</t>
          <phoneticPr fontId="0" type="noConversion"/>
        </is>
      </nc>
      <ndxf>
        <font>
          <sz val="10"/>
          <color auto="1"/>
          <name val="Arial"/>
          <scheme val="none"/>
        </font>
        <fill>
          <patternFill patternType="solid">
            <bgColor theme="9" tint="0.59999389629810485"/>
          </patternFill>
        </fill>
      </ndxf>
    </rcc>
    <rcc rId="0" sId="2" dxf="1">
      <nc r="I97">
        <v>20260126012</v>
      </nc>
      <ndxf>
        <fill>
          <patternFill patternType="solid">
            <bgColor rgb="FFFFFFCC"/>
          </patternFill>
        </fill>
      </ndxf>
    </rcc>
    <rcc rId="0" sId="2" dxf="1">
      <nc r="I98">
        <v>20260126013</v>
      </nc>
      <ndxf>
        <fill>
          <patternFill patternType="solid">
            <bgColor rgb="FFFFFFCC"/>
          </patternFill>
        </fill>
      </ndxf>
    </rcc>
    <rcc rId="0" sId="2" dxf="1">
      <nc r="I99" t="inlineStr">
        <is>
          <t>20260126005-1</t>
          <phoneticPr fontId="0" type="noConversion"/>
        </is>
      </nc>
      <ndxf>
        <font>
          <sz val="10"/>
          <color auto="1"/>
          <name val="Arial"/>
          <scheme val="none"/>
        </font>
        <fill>
          <patternFill patternType="solid">
            <bgColor theme="9" tint="0.59999389629810485"/>
          </patternFill>
        </fill>
      </ndxf>
    </rcc>
    <rcc rId="0" sId="2" dxf="1">
      <nc r="I100">
        <v>20260126014</v>
      </nc>
      <ndxf>
        <fill>
          <patternFill patternType="solid">
            <bgColor rgb="FFFFFFCC"/>
          </patternFill>
        </fill>
      </ndxf>
    </rcc>
    <rcc rId="0" sId="2" dxf="1">
      <nc r="I101">
        <v>20260126006</v>
      </nc>
      <ndxf>
        <font>
          <sz val="10"/>
          <color auto="1"/>
          <name val="Arial"/>
          <scheme val="none"/>
        </font>
        <fill>
          <patternFill patternType="solid">
            <bgColor theme="9" tint="0.59999389629810485"/>
          </patternFill>
        </fill>
      </ndxf>
    </rcc>
    <rcc rId="0" sId="2" dxf="1">
      <nc r="I102">
        <v>20260126007</v>
      </nc>
      <ndxf>
        <font>
          <sz val="10"/>
          <color auto="1"/>
          <name val="Arial"/>
          <scheme val="none"/>
        </font>
        <fill>
          <patternFill patternType="solid">
            <bgColor theme="9" tint="0.59999389629810485"/>
          </patternFill>
        </fill>
      </ndxf>
    </rcc>
    <rcc rId="0" sId="2" dxf="1">
      <nc r="I103">
        <v>20260126015</v>
      </nc>
      <ndxf>
        <fill>
          <patternFill patternType="solid">
            <bgColor rgb="FFFFFFCC"/>
          </patternFill>
        </fill>
      </ndxf>
    </rcc>
    <rcc rId="0" sId="2" dxf="1">
      <nc r="I104">
        <v>20260126016</v>
      </nc>
      <ndxf>
        <fill>
          <patternFill patternType="solid">
            <bgColor rgb="FFFFFFCC"/>
          </patternFill>
        </fill>
      </ndxf>
    </rcc>
    <rcc rId="0" sId="2" dxf="1">
      <nc r="I105">
        <v>20260130020</v>
      </nc>
      <ndxf>
        <fill>
          <patternFill patternType="solid">
            <bgColor theme="9" tint="0.59999389629810485"/>
          </patternFill>
        </fill>
      </ndxf>
    </rcc>
    <rcc rId="0" sId="2" dxf="1">
      <nc r="I106">
        <v>20260130029</v>
      </nc>
      <ndxf>
        <fill>
          <patternFill patternType="solid">
            <bgColor rgb="FFFFFFCC"/>
          </patternFill>
        </fill>
      </ndxf>
    </rcc>
    <rcc rId="0" sId="2" dxf="1">
      <nc r="I107">
        <v>20260130030</v>
      </nc>
      <ndxf>
        <fill>
          <patternFill patternType="solid">
            <bgColor theme="8" tint="0.59999389629810485"/>
          </patternFill>
        </fill>
      </ndxf>
    </rcc>
    <rcc rId="0" sId="2" dxf="1">
      <nc r="I108">
        <v>20260130021</v>
      </nc>
      <ndxf>
        <fill>
          <patternFill patternType="solid">
            <bgColor theme="9" tint="0.59999389629810485"/>
          </patternFill>
        </fill>
      </ndxf>
    </rcc>
    <rcc rId="0" sId="2" dxf="1">
      <nc r="I109">
        <v>20260130031</v>
      </nc>
      <ndxf>
        <fill>
          <patternFill patternType="solid">
            <bgColor theme="8" tint="0.59999389629810485"/>
          </patternFill>
        </fill>
      </ndxf>
    </rcc>
    <rcc rId="0" sId="2" dxf="1">
      <nc r="I110">
        <v>20260130032</v>
      </nc>
      <ndxf>
        <fill>
          <patternFill patternType="solid">
            <bgColor theme="8" tint="0.59999389629810485"/>
          </patternFill>
        </fill>
      </ndxf>
    </rcc>
    <rcc rId="0" sId="2" dxf="1">
      <nc r="I111" t="inlineStr">
        <is>
          <t>20260130032-1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112">
        <v>20260130022</v>
      </nc>
      <ndxf>
        <fill>
          <patternFill patternType="solid">
            <bgColor theme="9" tint="0.59999389629810485"/>
          </patternFill>
        </fill>
      </ndxf>
    </rcc>
    <rcc rId="0" sId="2" dxf="1">
      <nc r="I113">
        <v>20260130033</v>
      </nc>
      <ndxf>
        <fill>
          <patternFill patternType="solid">
            <bgColor theme="8" tint="0.59999389629810485"/>
          </patternFill>
        </fill>
      </ndxf>
    </rcc>
    <rcc rId="0" sId="2" dxf="1">
      <nc r="I114">
        <v>20260130034</v>
      </nc>
      <ndxf>
        <fill>
          <patternFill patternType="solid">
            <bgColor theme="8" tint="0.59999389629810485"/>
          </patternFill>
        </fill>
      </ndxf>
    </rcc>
    <rcc rId="0" sId="2" dxf="1">
      <nc r="I115">
        <v>20260130023</v>
      </nc>
      <ndxf>
        <fill>
          <patternFill patternType="solid">
            <bgColor theme="9" tint="0.59999389629810485"/>
          </patternFill>
        </fill>
      </ndxf>
    </rcc>
    <rcc rId="0" sId="2" dxf="1">
      <nc r="I116">
        <v>20260130024</v>
      </nc>
      <ndxf>
        <fill>
          <patternFill patternType="solid">
            <bgColor theme="9" tint="0.59999389629810485"/>
          </patternFill>
        </fill>
      </ndxf>
    </rcc>
    <rcc rId="0" sId="2" dxf="1">
      <nc r="I117">
        <v>20260130035</v>
      </nc>
      <ndxf>
        <fill>
          <patternFill patternType="solid">
            <bgColor theme="8" tint="0.59999389629810485"/>
          </patternFill>
        </fill>
      </ndxf>
    </rcc>
    <rcc rId="0" sId="2" dxf="1">
      <nc r="I118">
        <v>20260130025</v>
      </nc>
      <ndxf>
        <fill>
          <patternFill patternType="solid">
            <bgColor theme="9" tint="0.59999389629810485"/>
          </patternFill>
        </fill>
      </ndxf>
    </rcc>
    <rcc rId="0" sId="2" dxf="1">
      <nc r="I119">
        <v>20260130026</v>
      </nc>
      <ndxf>
        <fill>
          <patternFill patternType="solid">
            <bgColor theme="9" tint="0.59999389629810485"/>
          </patternFill>
        </fill>
      </ndxf>
    </rcc>
    <rcc rId="0" sId="2" dxf="1">
      <nc r="I120">
        <v>20260130036</v>
      </nc>
      <ndxf>
        <fill>
          <patternFill patternType="solid">
            <bgColor theme="8" tint="0.59999389629810485"/>
          </patternFill>
        </fill>
      </ndxf>
    </rcc>
    <rcc rId="0" sId="2" dxf="1">
      <nc r="I121">
        <v>20260130027</v>
      </nc>
      <ndxf>
        <fill>
          <patternFill patternType="solid">
            <bgColor theme="9" tint="0.59999389629810485"/>
          </patternFill>
        </fill>
      </ndxf>
    </rcc>
    <rcc rId="0" sId="2" dxf="1">
      <nc r="I122">
        <v>20260130038</v>
      </nc>
      <ndxf>
        <fill>
          <patternFill patternType="solid">
            <bgColor theme="8" tint="0.59999389629810485"/>
          </patternFill>
        </fill>
      </ndxf>
    </rcc>
    <rcc rId="0" sId="2" dxf="1">
      <nc r="I123">
        <v>20260130039</v>
      </nc>
      <ndxf>
        <fill>
          <patternFill patternType="solid">
            <bgColor theme="8" tint="0.59999389629810485"/>
          </patternFill>
        </fill>
      </ndxf>
    </rcc>
    <rcc rId="0" sId="2" dxf="1">
      <nc r="I124">
        <v>20260130028</v>
      </nc>
      <ndxf>
        <fill>
          <patternFill patternType="solid">
            <bgColor theme="9" tint="0.59999389629810485"/>
          </patternFill>
        </fill>
      </ndxf>
    </rcc>
    <rcc rId="0" sId="2" dxf="1">
      <nc r="I125">
        <v>20260130037</v>
      </nc>
      <ndxf>
        <fill>
          <patternFill patternType="solid">
            <bgColor theme="8" tint="0.59999389629810485"/>
          </patternFill>
        </fill>
      </ndxf>
    </rcc>
    <rcc rId="0" sId="2" dxf="1">
      <nc r="I126">
        <v>20260206003</v>
      </nc>
      <ndxf>
        <fill>
          <patternFill patternType="solid">
            <bgColor theme="8" tint="0.59999389629810485"/>
          </patternFill>
        </fill>
      </ndxf>
    </rcc>
    <rcc rId="0" sId="2" dxf="1">
      <nc r="I127">
        <v>20260206013</v>
      </nc>
      <ndxf>
        <fill>
          <patternFill patternType="solid">
            <bgColor theme="9" tint="0.59999389629810485"/>
          </patternFill>
        </fill>
      </ndxf>
    </rcc>
    <rcc rId="0" sId="2" dxf="1">
      <nc r="I128">
        <v>20260206014</v>
      </nc>
      <ndxf>
        <fill>
          <patternFill patternType="solid">
            <bgColor theme="9" tint="0.59999389629810485"/>
          </patternFill>
        </fill>
      </ndxf>
    </rcc>
    <rcc rId="0" sId="2" dxf="1">
      <nc r="I129">
        <v>20260206004</v>
      </nc>
      <ndxf>
        <fill>
          <patternFill patternType="solid">
            <bgColor theme="8" tint="0.59999389629810485"/>
          </patternFill>
        </fill>
      </ndxf>
    </rcc>
    <rcc rId="0" sId="2" dxf="1">
      <nc r="I130">
        <v>20260206015</v>
      </nc>
      <ndxf>
        <fill>
          <patternFill patternType="solid">
            <bgColor theme="9" tint="0.59999389629810485"/>
          </patternFill>
        </fill>
      </ndxf>
    </rcc>
    <rcc rId="0" sId="2" dxf="1">
      <nc r="I131">
        <v>20260206005</v>
      </nc>
      <ndxf>
        <fill>
          <patternFill patternType="solid">
            <bgColor theme="8" tint="0.59999389629810485"/>
          </patternFill>
        </fill>
      </ndxf>
    </rcc>
    <rcc rId="0" sId="2" dxf="1">
      <nc r="I132">
        <v>20260206006</v>
      </nc>
      <ndxf>
        <fill>
          <patternFill patternType="solid">
            <bgColor theme="8" tint="0.59999389629810485"/>
          </patternFill>
        </fill>
      </ndxf>
    </rcc>
    <rcc rId="0" sId="2" dxf="1">
      <nc r="I133">
        <v>20260206016</v>
      </nc>
      <ndxf>
        <fill>
          <patternFill patternType="solid">
            <bgColor theme="9" tint="0.59999389629810485"/>
          </patternFill>
        </fill>
      </ndxf>
    </rcc>
    <rcc rId="0" sId="2" dxf="1">
      <nc r="I134">
        <v>20260206017</v>
      </nc>
      <ndxf>
        <fill>
          <patternFill patternType="solid">
            <bgColor theme="9" tint="0.59999389629810485"/>
          </patternFill>
        </fill>
      </ndxf>
    </rcc>
    <rcc rId="0" sId="2" dxf="1">
      <nc r="I135" t="inlineStr">
        <is>
          <t>20260206007-2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136">
        <v>20260206008</v>
      </nc>
      <ndxf>
        <fill>
          <patternFill patternType="solid">
            <bgColor theme="8" tint="0.59999389629810485"/>
          </patternFill>
        </fill>
      </ndxf>
    </rcc>
    <rcc rId="0" sId="2" dxf="1">
      <nc r="I137">
        <v>20260206018</v>
      </nc>
      <ndxf>
        <fill>
          <patternFill patternType="solid">
            <bgColor theme="9" tint="0.59999389629810485"/>
          </patternFill>
        </fill>
      </ndxf>
    </rcc>
    <rcc rId="0" sId="2" dxf="1">
      <nc r="I138" t="inlineStr">
        <is>
          <t>20260206009-1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139" t="inlineStr">
        <is>
          <t>20260206010-2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140">
        <v>20260206019</v>
      </nc>
      <ndxf>
        <fill>
          <patternFill patternType="solid">
            <bgColor theme="9" tint="0.59999389629810485"/>
          </patternFill>
        </fill>
      </ndxf>
    </rcc>
    <rcc rId="0" sId="2" dxf="1">
      <nc r="I141" t="inlineStr">
        <is>
          <t>20260206011-1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142">
        <v>20260206012</v>
      </nc>
      <ndxf>
        <fill>
          <patternFill patternType="solid">
            <bgColor theme="8" tint="0.59999389629810485"/>
          </patternFill>
        </fill>
      </ndxf>
    </rcc>
    <rcc rId="0" sId="2" dxf="1">
      <nc r="I143">
        <v>20260206020</v>
      </nc>
      <ndxf>
        <fill>
          <patternFill patternType="solid">
            <bgColor theme="9" tint="0.59999389629810485"/>
          </patternFill>
        </fill>
      </ndxf>
    </rcc>
    <rcc rId="0" sId="2" dxf="1">
      <nc r="I144">
        <v>20260206021</v>
      </nc>
      <ndxf>
        <fill>
          <patternFill patternType="solid">
            <bgColor theme="9" tint="0.59999389629810485"/>
          </patternFill>
        </fill>
      </ndxf>
    </rcc>
    <rcc rId="0" sId="2" dxf="1">
      <nc r="I145">
        <v>20260210021</v>
      </nc>
      <ndxf>
        <fill>
          <patternFill patternType="solid">
            <bgColor theme="8" tint="0.59999389629810485"/>
          </patternFill>
        </fill>
      </ndxf>
    </rcc>
    <rcc rId="0" sId="2" dxf="1">
      <nc r="I146">
        <v>20260210022</v>
      </nc>
      <ndxf>
        <fill>
          <patternFill patternType="solid">
            <bgColor theme="8" tint="0.59999389629810485"/>
          </patternFill>
        </fill>
      </ndxf>
    </rcc>
    <rcc rId="0" sId="2" dxf="1">
      <nc r="I147">
        <v>20260210004</v>
      </nc>
      <ndxf>
        <fill>
          <patternFill patternType="solid">
            <bgColor theme="9" tint="0.59999389629810485"/>
          </patternFill>
        </fill>
      </ndxf>
    </rcc>
    <rcc rId="0" sId="2" dxf="1">
      <nc r="I148">
        <v>20260210023</v>
      </nc>
      <ndxf>
        <fill>
          <patternFill patternType="solid">
            <bgColor theme="8" tint="0.59999389629810485"/>
          </patternFill>
        </fill>
      </ndxf>
    </rcc>
    <rcc rId="0" sId="2" dxf="1">
      <nc r="I149" t="inlineStr">
        <is>
          <t>20260210005-1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150">
        <v>20260210024</v>
      </nc>
      <ndxf>
        <fill>
          <patternFill patternType="solid">
            <bgColor theme="8" tint="0.59999389629810485"/>
          </patternFill>
        </fill>
      </ndxf>
    </rcc>
    <rcc rId="0" sId="2" dxf="1">
      <nc r="I151">
        <v>20260210025</v>
      </nc>
      <ndxf>
        <fill>
          <patternFill patternType="solid">
            <bgColor theme="8" tint="0.59999389629810485"/>
          </patternFill>
        </fill>
      </ndxf>
    </rcc>
    <rcc rId="0" sId="2" dxf="1">
      <nc r="I152" t="inlineStr">
        <is>
          <t>20260210006-1</t>
          <phoneticPr fontId="0" type="noConversion"/>
        </is>
      </nc>
      <ndxf>
        <fill>
          <patternFill patternType="solid">
            <bgColor theme="5" tint="0.59999389629810485"/>
          </patternFill>
        </fill>
      </ndxf>
    </rcc>
    <rcc rId="0" sId="2" dxf="1">
      <nc r="I153">
        <v>20260210007</v>
      </nc>
      <ndxf>
        <fill>
          <patternFill patternType="solid">
            <bgColor theme="9" tint="0.59999389629810485"/>
          </patternFill>
        </fill>
      </ndxf>
    </rcc>
    <rcc rId="0" sId="2" dxf="1">
      <nc r="I154">
        <v>20260210026</v>
      </nc>
      <ndxf>
        <fill>
          <patternFill patternType="solid">
            <bgColor theme="8" tint="0.59999389629810485"/>
          </patternFill>
        </fill>
      </ndxf>
    </rcc>
    <rcc rId="0" sId="2" dxf="1">
      <nc r="I155">
        <v>20260210027</v>
      </nc>
      <ndxf>
        <fill>
          <patternFill patternType="solid">
            <bgColor theme="8" tint="0.59999389629810485"/>
          </patternFill>
        </fill>
      </ndxf>
    </rcc>
    <rcc rId="0" sId="2" dxf="1">
      <nc r="I156">
        <v>20260210008</v>
      </nc>
      <ndxf>
        <fill>
          <patternFill patternType="solid">
            <bgColor theme="9" tint="0.59999389629810485"/>
          </patternFill>
        </fill>
      </ndxf>
    </rcc>
    <rcc rId="0" sId="2" dxf="1">
      <nc r="I157">
        <v>20260210009</v>
      </nc>
      <ndxf>
        <fill>
          <patternFill patternType="solid">
            <bgColor theme="9" tint="0.59999389629810485"/>
          </patternFill>
        </fill>
      </ndxf>
    </rcc>
    <rcc rId="0" sId="2" dxf="1">
      <nc r="I158">
        <v>20260210010</v>
      </nc>
      <ndxf>
        <fill>
          <patternFill patternType="solid">
            <bgColor theme="9" tint="0.59999389629810485"/>
          </patternFill>
        </fill>
      </ndxf>
    </rcc>
    <rcc rId="0" sId="2" dxf="1">
      <nc r="I159">
        <v>20260210028</v>
      </nc>
      <ndxf>
        <fill>
          <patternFill patternType="solid">
            <bgColor theme="8" tint="0.59999389629810485"/>
          </patternFill>
        </fill>
      </ndxf>
    </rcc>
    <rcc rId="0" sId="2" dxf="1">
      <nc r="I160">
        <v>20260210029</v>
      </nc>
      <ndxf>
        <fill>
          <patternFill patternType="solid">
            <bgColor theme="8" tint="0.59999389629810485"/>
          </patternFill>
        </fill>
      </ndxf>
    </rcc>
    <rcc rId="0" sId="2" dxf="1">
      <nc r="I161">
        <v>20260210011</v>
      </nc>
      <ndxf>
        <fill>
          <patternFill patternType="solid">
            <bgColor theme="9" tint="0.59999389629810485"/>
          </patternFill>
        </fill>
      </ndxf>
    </rcc>
    <rcc rId="0" sId="2" dxf="1">
      <nc r="I162">
        <v>20260210012</v>
      </nc>
      <ndxf>
        <fill>
          <patternFill patternType="solid">
            <bgColor theme="9" tint="0.59999389629810485"/>
          </patternFill>
        </fill>
      </ndxf>
    </rcc>
    <rcc rId="0" sId="2" dxf="1">
      <nc r="I163">
        <v>20260210030</v>
      </nc>
      <ndxf>
        <fill>
          <patternFill patternType="solid">
            <bgColor theme="8" tint="0.59999389629810485"/>
          </patternFill>
        </fill>
      </ndxf>
    </rcc>
    <rcc rId="0" sId="2" dxf="1">
      <nc r="I164">
        <v>20260210031</v>
      </nc>
      <ndxf>
        <fill>
          <patternFill patternType="solid">
            <bgColor theme="8" tint="0.59999389629810485"/>
          </patternFill>
        </fill>
      </ndxf>
    </rcc>
    <rcc rId="0" sId="2" dxf="1">
      <nc r="I165">
        <v>20260210013</v>
      </nc>
      <ndxf>
        <fill>
          <patternFill patternType="solid">
            <bgColor theme="9" tint="0.59999389629810485"/>
          </patternFill>
        </fill>
      </ndxf>
    </rcc>
    <rcc rId="0" sId="2" dxf="1">
      <nc r="I166">
        <v>20260210032</v>
      </nc>
      <ndxf>
        <fill>
          <patternFill patternType="solid">
            <bgColor theme="8" tint="0.59999389629810485"/>
          </patternFill>
        </fill>
      </ndxf>
    </rcc>
    <rcc rId="0" sId="2" dxf="1">
      <nc r="I167">
        <v>20260210014</v>
      </nc>
      <ndxf>
        <fill>
          <patternFill patternType="solid">
            <bgColor theme="9" tint="0.59999389629810485"/>
          </patternFill>
        </fill>
      </ndxf>
    </rcc>
    <rcc rId="0" sId="2" dxf="1">
      <nc r="I168">
        <v>20260210015</v>
      </nc>
      <ndxf>
        <fill>
          <patternFill patternType="solid">
            <bgColor theme="9" tint="0.59999389629810485"/>
          </patternFill>
        </fill>
      </ndxf>
    </rcc>
    <rcc rId="0" sId="2" dxf="1">
      <nc r="I169">
        <v>20260210033</v>
      </nc>
      <ndxf>
        <fill>
          <patternFill patternType="solid">
            <bgColor theme="8" tint="0.59999389629810485"/>
          </patternFill>
        </fill>
      </ndxf>
    </rcc>
    <rcc rId="0" sId="2" dxf="1">
      <nc r="I170">
        <v>20260210034</v>
      </nc>
      <ndxf>
        <fill>
          <patternFill patternType="solid">
            <bgColor theme="8" tint="0.59999389629810485"/>
          </patternFill>
        </fill>
      </ndxf>
    </rcc>
    <rcc rId="0" sId="2" dxf="1">
      <nc r="I171">
        <v>20260210016</v>
      </nc>
      <ndxf>
        <fill>
          <patternFill patternType="solid">
            <bgColor theme="9" tint="0.59999389629810485"/>
          </patternFill>
        </fill>
      </ndxf>
    </rcc>
    <rcc rId="0" sId="2" dxf="1">
      <nc r="I172">
        <v>20260210035</v>
      </nc>
      <ndxf>
        <fill>
          <patternFill patternType="solid">
            <bgColor theme="8" tint="0.59999389629810485"/>
          </patternFill>
        </fill>
      </ndxf>
    </rcc>
    <rcc rId="0" sId="2" dxf="1">
      <nc r="I173">
        <v>20260210036</v>
      </nc>
      <ndxf>
        <fill>
          <patternFill patternType="solid">
            <bgColor theme="8" tint="0.59999389629810485"/>
          </patternFill>
        </fill>
      </ndxf>
    </rcc>
    <rcc rId="0" sId="2" dxf="1">
      <nc r="I174">
        <v>20260210017</v>
      </nc>
      <ndxf>
        <fill>
          <patternFill patternType="solid">
            <bgColor theme="9" tint="0.59999389629810485"/>
          </patternFill>
        </fill>
      </ndxf>
    </rcc>
    <rcc rId="0" sId="2" dxf="1">
      <nc r="I175">
        <v>20260210018</v>
      </nc>
      <ndxf>
        <fill>
          <patternFill patternType="solid">
            <bgColor theme="9" tint="0.59999389629810485"/>
          </patternFill>
        </fill>
      </ndxf>
    </rcc>
    <rcc rId="0" sId="2" dxf="1">
      <nc r="I176">
        <v>20260210037</v>
      </nc>
      <ndxf>
        <fill>
          <patternFill patternType="solid">
            <bgColor theme="8" tint="0.59999389629810485"/>
          </patternFill>
        </fill>
      </ndxf>
    </rcc>
    <rcc rId="0" sId="2" dxf="1">
      <nc r="I177">
        <v>20260210038</v>
      </nc>
      <ndxf>
        <fill>
          <patternFill patternType="solid">
            <bgColor theme="8" tint="0.59999389629810485"/>
          </patternFill>
        </fill>
      </ndxf>
    </rcc>
    <rcc rId="0" sId="2" dxf="1">
      <nc r="I178">
        <v>20260210019</v>
      </nc>
      <ndxf>
        <fill>
          <patternFill patternType="solid">
            <bgColor theme="9" tint="0.59999389629810485"/>
          </patternFill>
        </fill>
      </ndxf>
    </rcc>
    <rcc rId="0" sId="2" dxf="1">
      <nc r="I179">
        <v>20260210020</v>
      </nc>
      <ndxf>
        <fill>
          <patternFill patternType="solid">
            <bgColor theme="9" tint="0.59999389629810485"/>
          </patternFill>
        </fill>
      </ndxf>
    </rcc>
    <rcc rId="0" sId="2" dxf="1">
      <nc r="I180">
        <v>20260210039</v>
      </nc>
      <ndxf>
        <fill>
          <patternFill patternType="solid">
            <bgColor theme="8" tint="0.59999389629810485"/>
          </patternFill>
        </fill>
      </ndxf>
    </rcc>
    <rcc rId="0" sId="2" dxf="1">
      <nc r="I181">
        <v>20260219001</v>
      </nc>
      <ndxf>
        <fill>
          <patternFill patternType="solid">
            <bgColor theme="9" tint="0.59999389629810485"/>
          </patternFill>
        </fill>
      </ndxf>
    </rcc>
    <rcc rId="0" sId="2" dxf="1">
      <nc r="I182" t="inlineStr">
        <is>
          <t>20260219002-1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183">
        <v>20260210040</v>
      </nc>
      <ndxf>
        <fill>
          <patternFill patternType="solid">
            <bgColor theme="8" tint="0.59999389629810485"/>
          </patternFill>
        </fill>
      </ndxf>
    </rcc>
    <rcc rId="0" sId="2" dxf="1">
      <nc r="I184">
        <v>20260219008</v>
      </nc>
      <ndxf>
        <fill>
          <patternFill patternType="solid">
            <bgColor theme="8" tint="0.59999389629810485"/>
          </patternFill>
        </fill>
      </ndxf>
    </rcc>
    <rcc rId="0" sId="2" dxf="1">
      <nc r="I185">
        <v>20260219003</v>
      </nc>
      <ndxf>
        <fill>
          <patternFill patternType="solid">
            <bgColor theme="9" tint="0.59999389629810485"/>
          </patternFill>
        </fill>
      </ndxf>
    </rcc>
    <rcc rId="0" sId="2" dxf="1">
      <nc r="I186">
        <v>20260219009</v>
      </nc>
      <ndxf>
        <fill>
          <patternFill patternType="solid">
            <bgColor theme="8" tint="0.59999389629810485"/>
          </patternFill>
        </fill>
      </ndxf>
    </rcc>
    <rcc rId="0" sId="2" dxf="1">
      <nc r="I187">
        <v>20260219010</v>
      </nc>
      <ndxf>
        <fill>
          <patternFill patternType="solid">
            <bgColor theme="8" tint="0.59999389629810485"/>
          </patternFill>
        </fill>
      </ndxf>
    </rcc>
    <rcc rId="0" sId="2" dxf="1">
      <nc r="I188">
        <v>20260219004</v>
      </nc>
      <ndxf>
        <fill>
          <patternFill patternType="solid">
            <bgColor theme="9" tint="0.59999389629810485"/>
          </patternFill>
        </fill>
      </ndxf>
    </rcc>
    <rcc rId="0" sId="2" dxf="1">
      <nc r="I189">
        <v>20260219011</v>
      </nc>
      <ndxf>
        <fill>
          <patternFill patternType="solid">
            <bgColor theme="8" tint="0.59999389629810485"/>
          </patternFill>
        </fill>
      </ndxf>
    </rcc>
    <rcc rId="0" sId="2" dxf="1">
      <nc r="I190">
        <v>20260219012</v>
      </nc>
      <ndxf>
        <fill>
          <patternFill patternType="solid">
            <bgColor theme="8" tint="0.59999389629810485"/>
          </patternFill>
        </fill>
      </ndxf>
    </rcc>
    <rcc rId="0" sId="2" dxf="1">
      <nc r="I191">
        <v>20260219015</v>
      </nc>
      <ndxf>
        <fill>
          <patternFill patternType="solid">
            <bgColor theme="8" tint="0.59999389629810485"/>
          </patternFill>
        </fill>
      </ndxf>
    </rcc>
    <rcc rId="0" sId="2" dxf="1">
      <nc r="I192">
        <v>20260219006</v>
      </nc>
      <ndxf>
        <fill>
          <patternFill patternType="solid">
            <bgColor theme="9" tint="0.59999389629810485"/>
          </patternFill>
        </fill>
      </ndxf>
    </rcc>
    <rcc rId="0" sId="2" dxf="1">
      <nc r="I193">
        <v>20260219005</v>
      </nc>
      <ndxf>
        <fill>
          <patternFill patternType="solid">
            <bgColor theme="9" tint="0.59999389629810485"/>
          </patternFill>
        </fill>
      </ndxf>
    </rcc>
    <rcc rId="0" sId="2" dxf="1">
      <nc r="I194">
        <v>20260219013</v>
      </nc>
      <ndxf>
        <fill>
          <patternFill patternType="solid">
            <bgColor theme="8" tint="0.59999389629810485"/>
          </patternFill>
        </fill>
      </ndxf>
    </rcc>
    <rcc rId="0" sId="2" dxf="1">
      <nc r="I195">
        <v>20260219014</v>
      </nc>
      <ndxf>
        <fill>
          <patternFill patternType="solid">
            <bgColor theme="8" tint="0.59999389629810485"/>
          </patternFill>
        </fill>
      </ndxf>
    </rcc>
    <rcc rId="0" sId="2" dxf="1">
      <nc r="I196">
        <v>20260219007</v>
      </nc>
      <ndxf>
        <fill>
          <patternFill patternType="solid">
            <bgColor theme="9" tint="0.59999389629810485"/>
          </patternFill>
        </fill>
      </ndxf>
    </rcc>
    <rcc rId="0" sId="2" dxf="1">
      <nc r="I197">
        <v>20260225014</v>
      </nc>
      <ndxf>
        <fill>
          <patternFill patternType="solid">
            <bgColor theme="9" tint="0.59999389629810485"/>
          </patternFill>
        </fill>
      </ndxf>
    </rcc>
    <rcc rId="0" sId="2" dxf="1">
      <nc r="I198" t="inlineStr">
        <is>
          <t>20260226019-1</t>
          <phoneticPr fontId="0" type="noConversion"/>
        </is>
      </nc>
      <ndxf>
        <fill>
          <patternFill patternType="solid">
            <bgColor theme="5" tint="0.59999389629810485"/>
          </patternFill>
        </fill>
      </ndxf>
    </rcc>
    <rcc rId="0" sId="2" dxf="1">
      <nc r="I199">
        <v>20260227001</v>
      </nc>
      <ndxf>
        <fill>
          <patternFill patternType="solid">
            <bgColor theme="8" tint="0.59999389629810485"/>
          </patternFill>
        </fill>
      </ndxf>
    </rcc>
    <rcc rId="0" sId="2" dxf="1">
      <nc r="I200" t="inlineStr">
        <is>
          <t>20260225004-1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01" t="inlineStr">
        <is>
          <t>20260225005-1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02">
        <v>20260225015</v>
      </nc>
      <ndxf>
        <fill>
          <patternFill patternType="solid">
            <bgColor theme="8" tint="0.59999389629810485"/>
          </patternFill>
        </fill>
      </ndxf>
    </rcc>
    <rcc rId="0" sId="2" dxf="1">
      <nc r="I203">
        <v>20260225016</v>
      </nc>
      <ndxf>
        <fill>
          <patternFill patternType="solid">
            <bgColor theme="8" tint="0.59999389629810485"/>
          </patternFill>
        </fill>
      </ndxf>
    </rcc>
    <rcc rId="0" sId="2" dxf="1">
      <nc r="I204" t="inlineStr">
        <is>
          <t>20260225006-1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05">
        <v>20260225017</v>
      </nc>
      <ndxf>
        <fill>
          <patternFill patternType="solid">
            <bgColor theme="8" tint="0.59999389629810485"/>
          </patternFill>
        </fill>
      </ndxf>
    </rcc>
    <rcc rId="0" sId="2" dxf="1">
      <nc r="I206">
        <v>20260225018</v>
      </nc>
      <ndxf>
        <fill>
          <patternFill patternType="solid">
            <bgColor theme="8" tint="0.59999389629810485"/>
          </patternFill>
        </fill>
      </ndxf>
    </rcc>
    <rcc rId="0" sId="2" dxf="1">
      <nc r="I207">
        <v>20260303001</v>
      </nc>
      <ndxf>
        <fill>
          <patternFill patternType="solid">
            <bgColor theme="5" tint="0.59999389629810485"/>
          </patternFill>
        </fill>
      </ndxf>
    </rcc>
    <rcc rId="0" sId="2" dxf="1">
      <nc r="I208">
        <v>20260225008</v>
      </nc>
      <ndxf>
        <fill>
          <patternFill patternType="solid">
            <bgColor theme="9" tint="0.59999389629810485"/>
          </patternFill>
        </fill>
      </ndxf>
    </rcc>
    <rcc rId="0" sId="2" dxf="1">
      <nc r="I209">
        <v>20260225019</v>
      </nc>
      <ndxf>
        <fill>
          <patternFill patternType="solid">
            <bgColor theme="8" tint="0.59999389629810485"/>
          </patternFill>
        </fill>
      </ndxf>
    </rcc>
    <rcc rId="0" sId="2" dxf="1">
      <nc r="I210" t="inlineStr">
        <is>
          <t>20260225007-1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11" t="inlineStr">
        <is>
          <t>20260225011-1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12">
        <v>20260225021</v>
      </nc>
      <ndxf>
        <fill>
          <patternFill patternType="solid">
            <bgColor theme="8" tint="0.59999389629810485"/>
          </patternFill>
        </fill>
      </ndxf>
    </rcc>
    <rcc rId="0" sId="2" dxf="1">
      <nc r="I213">
        <v>20260225022</v>
      </nc>
      <ndxf>
        <fill>
          <patternFill patternType="solid">
            <bgColor theme="8" tint="0.59999389629810485"/>
          </patternFill>
        </fill>
      </ndxf>
    </rcc>
    <rcc rId="0" sId="2" dxf="1">
      <nc r="I214">
        <v>20260225009</v>
      </nc>
      <ndxf>
        <fill>
          <patternFill patternType="solid">
            <bgColor theme="9" tint="0.59999389629810485"/>
          </patternFill>
        </fill>
      </ndxf>
    </rcc>
    <rcc rId="0" sId="2" dxf="1">
      <nc r="I215">
        <v>20260225010</v>
      </nc>
      <ndxf>
        <fill>
          <patternFill patternType="solid">
            <bgColor theme="9" tint="0.59999389629810485"/>
          </patternFill>
        </fill>
      </ndxf>
    </rcc>
    <rcc rId="0" sId="2" dxf="1">
      <nc r="I216">
        <v>20260225020</v>
      </nc>
      <ndxf>
        <fill>
          <patternFill patternType="solid">
            <bgColor theme="8" tint="0.59999389629810485"/>
          </patternFill>
        </fill>
      </ndxf>
    </rcc>
    <rcc rId="0" sId="2" dxf="1">
      <nc r="I217">
        <v>20260225023</v>
      </nc>
      <ndxf>
        <fill>
          <patternFill patternType="solid">
            <bgColor theme="8" tint="0.59999389629810485"/>
          </patternFill>
        </fill>
      </ndxf>
    </rcc>
    <rcc rId="0" sId="2" dxf="1">
      <nc r="I218">
        <v>20260225012</v>
      </nc>
      <ndxf>
        <fill>
          <patternFill patternType="solid">
            <bgColor theme="9" tint="0.59999389629810485"/>
          </patternFill>
        </fill>
      </ndxf>
    </rcc>
    <rcc rId="0" sId="2" dxf="1">
      <nc r="I219">
        <v>20260225013</v>
      </nc>
      <ndxf>
        <fill>
          <patternFill patternType="solid">
            <bgColor theme="9" tint="0.59999389629810485"/>
          </patternFill>
        </fill>
      </ndxf>
    </rcc>
    <rcc rId="0" sId="2" dxf="1">
      <nc r="I220">
        <v>20260225024</v>
      </nc>
      <ndxf>
        <fill>
          <patternFill patternType="solid">
            <bgColor theme="8" tint="0.59999389629810485"/>
          </patternFill>
        </fill>
      </ndxf>
    </rcc>
    <rcc rId="0" sId="2" dxf="1">
      <nc r="I221">
        <v>20260225025</v>
      </nc>
      <ndxf>
        <fill>
          <patternFill patternType="solid">
            <bgColor theme="8" tint="0.59999389629810485"/>
          </patternFill>
        </fill>
      </ndxf>
    </rcc>
    <rcc rId="0" sId="2" dxf="1">
      <nc r="I222" t="inlineStr">
        <is>
          <t>20260305004-1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23">
        <v>20260225026</v>
      </nc>
      <ndxf>
        <fill>
          <patternFill patternType="solid">
            <bgColor theme="8" tint="0.59999389629810485"/>
          </patternFill>
        </fill>
      </ndxf>
    </rcc>
    <rcc rId="0" sId="2" dxf="1">
      <nc r="I224">
        <v>20260305015</v>
      </nc>
      <ndxf>
        <fill>
          <patternFill patternType="solid">
            <bgColor rgb="FFFFFFCC"/>
          </patternFill>
        </fill>
      </ndxf>
    </rcc>
    <rcc rId="0" sId="2" dxf="1">
      <nc r="I225" t="inlineStr">
        <is>
          <t>20260305015-1</t>
          <phoneticPr fontId="0" type="noConversion"/>
        </is>
      </nc>
      <ndxf>
        <numFmt numFmtId="179" formatCode="0_);[Red]\(0\)"/>
        <fill>
          <patternFill patternType="solid">
            <bgColor theme="8" tint="0.59999389629810485"/>
          </patternFill>
        </fill>
      </ndxf>
    </rcc>
    <rcc rId="0" sId="2" dxf="1">
      <nc r="I226" t="inlineStr">
        <is>
          <t>20260305005-1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27" t="inlineStr">
        <is>
          <t>20260305006-1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28">
        <v>20260305016</v>
      </nc>
      <ndxf>
        <fill>
          <patternFill patternType="solid">
            <bgColor rgb="FFFFFFCC"/>
          </patternFill>
        </fill>
      </ndxf>
    </rcc>
    <rcc rId="0" sId="2" dxf="1">
      <nc r="I229">
        <v>20260305017</v>
      </nc>
      <ndxf>
        <fill>
          <patternFill patternType="solid">
            <bgColor rgb="FFFFFFCC"/>
          </patternFill>
        </fill>
      </ndxf>
    </rcc>
    <rcc rId="0" sId="2" dxf="1">
      <nc r="I230" t="inlineStr">
        <is>
          <t>20260305007-2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31">
        <v>20260305018</v>
      </nc>
      <ndxf>
        <fill>
          <patternFill patternType="solid">
            <bgColor rgb="FFFFFFCC"/>
          </patternFill>
        </fill>
      </ndxf>
    </rcc>
    <rcc rId="0" sId="2" dxf="1">
      <nc r="I232" t="inlineStr">
        <is>
          <t>20260305008-1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33">
        <v>20260305019</v>
      </nc>
      <ndxf>
        <fill>
          <patternFill patternType="solid">
            <bgColor rgb="FFFFFFCC"/>
          </patternFill>
        </fill>
      </ndxf>
    </rcc>
    <rcc rId="0" sId="2" dxf="1">
      <nc r="I234">
        <v>20260305009</v>
      </nc>
      <ndxf>
        <fill>
          <patternFill patternType="solid">
            <bgColor theme="9" tint="0.59999389629810485"/>
          </patternFill>
        </fill>
      </ndxf>
    </rcc>
    <rcc rId="0" sId="2" dxf="1">
      <nc r="I235">
        <v>20260305010</v>
      </nc>
      <ndxf>
        <fill>
          <patternFill patternType="solid">
            <bgColor theme="9" tint="0.59999389629810485"/>
          </patternFill>
        </fill>
      </ndxf>
    </rcc>
    <rcc rId="0" sId="2" dxf="1">
      <nc r="I236">
        <v>20260305020</v>
      </nc>
      <ndxf>
        <fill>
          <patternFill patternType="solid">
            <bgColor rgb="FFFFFFCC"/>
          </patternFill>
        </fill>
      </ndxf>
    </rcc>
    <rcc rId="0" sId="2" dxf="1">
      <nc r="I237">
        <v>20260305021</v>
      </nc>
      <ndxf>
        <fill>
          <patternFill patternType="solid">
            <bgColor rgb="FFFFFFCC"/>
          </patternFill>
        </fill>
      </ndxf>
    </rcc>
    <rcc rId="0" sId="2" dxf="1">
      <nc r="I238">
        <v>20260305011</v>
      </nc>
      <ndxf>
        <fill>
          <patternFill patternType="solid">
            <bgColor theme="9" tint="0.59999389629810485"/>
          </patternFill>
        </fill>
      </ndxf>
    </rcc>
    <rcc rId="0" sId="2" dxf="1">
      <nc r="I239">
        <v>20260305012</v>
      </nc>
      <ndxf>
        <fill>
          <patternFill patternType="solid">
            <bgColor theme="9" tint="0.59999389629810485"/>
          </patternFill>
        </fill>
      </ndxf>
    </rcc>
    <rcc rId="0" sId="2" dxf="1">
      <nc r="I240">
        <v>20260305013</v>
      </nc>
      <ndxf>
        <fill>
          <patternFill patternType="solid">
            <bgColor theme="9" tint="0.59999389629810485"/>
          </patternFill>
        </fill>
      </ndxf>
    </rcc>
    <rcc rId="0" sId="2" dxf="1">
      <nc r="I241">
        <v>20260305022</v>
      </nc>
      <ndxf>
        <fill>
          <patternFill patternType="solid">
            <bgColor rgb="FFFFFFCC"/>
          </patternFill>
        </fill>
      </ndxf>
    </rcc>
    <rcc rId="0" sId="2" dxf="1">
      <nc r="I242">
        <v>20260305023</v>
      </nc>
      <ndxf>
        <fill>
          <patternFill patternType="solid">
            <bgColor rgb="FFFFFFCC"/>
          </patternFill>
        </fill>
      </ndxf>
    </rcc>
    <rcc rId="0" sId="2" dxf="1">
      <nc r="I243">
        <v>20260313005</v>
      </nc>
      <ndxf>
        <fill>
          <patternFill patternType="solid">
            <bgColor theme="9" tint="0.59999389629810485"/>
          </patternFill>
        </fill>
      </ndxf>
    </rcc>
    <rcc rId="0" sId="2" dxf="1">
      <nc r="I244">
        <v>20260313006</v>
      </nc>
      <ndxf>
        <fill>
          <patternFill patternType="solid">
            <bgColor theme="9" tint="0.59999389629810485"/>
          </patternFill>
        </fill>
      </ndxf>
    </rcc>
    <rcc rId="0" sId="2" dxf="1">
      <nc r="I245">
        <v>20260305024</v>
      </nc>
      <ndxf>
        <fill>
          <patternFill patternType="solid">
            <bgColor rgb="FFFFFFCC"/>
          </patternFill>
        </fill>
      </ndxf>
    </rcc>
    <rcc rId="0" sId="2" dxf="1">
      <nc r="I246">
        <v>20260313002</v>
      </nc>
      <ndxf>
        <fill>
          <patternFill patternType="solid">
            <bgColor rgb="FFFFFFCC"/>
          </patternFill>
        </fill>
      </ndxf>
    </rcc>
    <rcc rId="0" sId="2" dxf="1">
      <nc r="I247" t="inlineStr">
        <is>
          <t>20260313007-1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48" t="inlineStr">
        <is>
          <t>20260313003-1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49" t="inlineStr">
        <is>
          <t>20260313004-1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50">
        <v>20260427020</v>
      </nc>
      <ndxf>
        <fill>
          <patternFill patternType="solid">
            <bgColor rgb="FFFFFFCC"/>
          </patternFill>
        </fill>
      </ndxf>
    </rcc>
    <rcc rId="0" sId="2" dxf="1">
      <nc r="I251" t="inlineStr">
        <is>
          <t>20260430005-1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52" t="inlineStr">
        <is>
          <t>20260430006-2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53">
        <v>20260504004</v>
      </nc>
      <ndxf>
        <fill>
          <patternFill patternType="solid">
            <bgColor theme="9" tint="0.59999389629810485"/>
          </patternFill>
        </fill>
      </ndxf>
    </rcc>
    <rcc rId="0" sId="2" dxf="1">
      <nc r="I254">
        <v>20260504005</v>
      </nc>
      <ndxf>
        <fill>
          <patternFill patternType="solid">
            <bgColor theme="9" tint="0.59999389629810485"/>
          </patternFill>
        </fill>
      </ndxf>
    </rcc>
    <rcc rId="0" sId="2" dxf="1">
      <nc r="I255" t="inlineStr">
        <is>
          <t>20260504006-1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56" t="inlineStr">
        <is>
          <t>20260504007-1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57" t="inlineStr">
        <is>
          <t>20260504008-2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58" t="inlineStr">
        <is>
          <t>20260506004-1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59" t="inlineStr">
        <is>
          <t>20260506005-1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60">
        <v>20260507009</v>
      </nc>
      <ndxf>
        <fill>
          <patternFill patternType="solid">
            <bgColor rgb="FFFFFFCC"/>
          </patternFill>
        </fill>
      </ndxf>
    </rcc>
    <rcc rId="0" sId="2" dxf="1">
      <nc r="I261">
        <v>20260507010</v>
      </nc>
      <ndxf>
        <fill>
          <patternFill patternType="solid">
            <bgColor rgb="FFFFFFCC"/>
          </patternFill>
        </fill>
      </ndxf>
    </rcc>
    <rcc rId="0" sId="2" dxf="1">
      <nc r="I262" t="inlineStr">
        <is>
          <t>20260506006-1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63">
        <v>20260507011</v>
      </nc>
      <ndxf>
        <fill>
          <patternFill patternType="solid">
            <bgColor rgb="FFFFFFCC"/>
          </patternFill>
        </fill>
      </ndxf>
    </rcc>
    <rcc rId="0" sId="2" dxf="1">
      <nc r="I264">
        <v>20260507012</v>
      </nc>
      <ndxf>
        <fill>
          <patternFill patternType="solid">
            <bgColor rgb="FFFFFFCC"/>
          </patternFill>
        </fill>
      </ndxf>
    </rcc>
    <rcc rId="0" sId="2" dxf="1">
      <nc r="I265" t="inlineStr">
        <is>
          <t>20260506007-1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cc rId="0" sId="2" dxf="1">
      <nc r="I266" t="inlineStr">
        <is>
          <t>20260506008-1</t>
          <phoneticPr fontId="0" type="noConversion"/>
        </is>
      </nc>
      <ndxf>
        <fill>
          <patternFill patternType="solid">
            <bgColor theme="9" tint="0.59999389629810485"/>
          </patternFill>
        </fill>
      </ndxf>
    </rcc>
    <rfmt sheetId="2" sqref="I267" start="0" length="0">
      <dxf>
        <fill>
          <patternFill patternType="solid">
            <bgColor theme="8" tint="0.59999389629810485"/>
          </patternFill>
        </fill>
      </dxf>
    </rfmt>
    <rcc rId="0" sId="2" dxf="1">
      <nc r="I268">
        <v>20260507013</v>
      </nc>
      <ndxf>
        <fill>
          <patternFill patternType="solid">
            <bgColor rgb="FFFFFFCC"/>
          </patternFill>
        </fill>
      </ndxf>
    </rcc>
    <rcc rId="0" sId="2" dxf="1">
      <nc r="I269">
        <v>20260507014</v>
      </nc>
      <ndxf>
        <fill>
          <patternFill patternType="solid">
            <bgColor rgb="FFFFFFCC"/>
          </patternFill>
        </fill>
      </ndxf>
    </rcc>
    <rcc rId="0" sId="2" dxf="1">
      <nc r="I270" t="inlineStr">
        <is>
          <t>20260506009-1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271">
        <v>20260507015</v>
      </nc>
      <ndxf>
        <fill>
          <patternFill patternType="solid">
            <bgColor rgb="FFFFFFCC"/>
          </patternFill>
        </fill>
      </ndxf>
    </rcc>
    <rcc rId="0" sId="2" dxf="1">
      <nc r="I272">
        <v>20260507016</v>
      </nc>
      <ndxf>
        <fill>
          <patternFill patternType="solid">
            <bgColor rgb="FFFFFFCC"/>
          </patternFill>
        </fill>
      </ndxf>
    </rcc>
    <rcc rId="0" sId="2" dxf="1">
      <nc r="I273" t="inlineStr">
        <is>
          <t>20260506010-1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274">
        <v>20260511017</v>
      </nc>
      <ndxf>
        <fill>
          <patternFill patternType="solid">
            <bgColor theme="8" tint="0.59999389629810485"/>
          </patternFill>
        </fill>
      </ndxf>
    </rcc>
    <rcc rId="0" sId="2" dxf="1">
      <nc r="I275">
        <v>20260507017</v>
      </nc>
      <ndxf>
        <fill>
          <patternFill patternType="solid">
            <bgColor rgb="FFFFFFCC"/>
          </patternFill>
        </fill>
      </ndxf>
    </rcc>
    <rcc rId="0" sId="2" dxf="1">
      <nc r="I276">
        <v>20260511002</v>
      </nc>
      <ndxf>
        <fill>
          <patternFill patternType="solid">
            <bgColor rgb="FFFFFFCC"/>
          </patternFill>
        </fill>
      </ndxf>
    </rcc>
    <rcc rId="0" sId="2" dxf="1">
      <nc r="I277">
        <v>20260511018</v>
      </nc>
      <ndxf>
        <fill>
          <patternFill patternType="solid">
            <bgColor theme="8" tint="0.59999389629810485"/>
          </patternFill>
        </fill>
      </ndxf>
    </rcc>
    <rcc rId="0" sId="2" dxf="1">
      <nc r="I278">
        <v>20260511019</v>
      </nc>
      <ndxf>
        <fill>
          <patternFill patternType="solid">
            <bgColor theme="8" tint="0.59999389629810485"/>
          </patternFill>
        </fill>
      </ndxf>
    </rcc>
    <rcc rId="0" sId="2" dxf="1">
      <nc r="I279" t="inlineStr">
        <is>
          <t>20260511003-1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80" t="inlineStr">
        <is>
          <t>20260511004-1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81">
        <v>20260511020</v>
      </nc>
      <ndxf>
        <fill>
          <patternFill patternType="solid">
            <bgColor theme="8" tint="0.59999389629810485"/>
          </patternFill>
        </fill>
      </ndxf>
    </rcc>
    <rcc rId="0" sId="2" dxf="1">
      <nc r="I282">
        <v>20260511005</v>
      </nc>
      <ndxf>
        <fill>
          <patternFill patternType="solid">
            <bgColor rgb="FFFFFFCC"/>
          </patternFill>
        </fill>
      </ndxf>
    </rcc>
    <rcc rId="0" sId="2" dxf="1">
      <nc r="I283" t="inlineStr">
        <is>
          <t>20260511006-1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84">
        <v>20260511021</v>
      </nc>
      <ndxf>
        <fill>
          <patternFill patternType="solid">
            <bgColor theme="8" tint="0.59999389629810485"/>
          </patternFill>
        </fill>
      </ndxf>
    </rcc>
    <rcc rId="0" sId="2" dxf="1">
      <nc r="I285">
        <v>20260511022</v>
      </nc>
      <ndxf>
        <fill>
          <patternFill patternType="solid">
            <bgColor theme="8" tint="0.59999389629810485"/>
          </patternFill>
        </fill>
      </ndxf>
    </rcc>
    <rcc rId="0" sId="2" dxf="1">
      <nc r="I286" t="inlineStr">
        <is>
          <t>20260511007-2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87" t="inlineStr">
        <is>
          <t>20260511008-1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88">
        <v>20260511023</v>
      </nc>
      <ndxf>
        <fill>
          <patternFill patternType="solid">
            <bgColor theme="8" tint="0.59999389629810485"/>
          </patternFill>
        </fill>
      </ndxf>
    </rcc>
    <rcc rId="0" sId="2" dxf="1">
      <nc r="I289" t="inlineStr">
        <is>
          <t>20260511009-1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90" t="inlineStr">
        <is>
          <t>20260511010-1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291">
        <v>20260511024</v>
      </nc>
      <ndxf>
        <fill>
          <patternFill patternType="solid">
            <bgColor theme="8" tint="0.59999389629810485"/>
          </patternFill>
        </fill>
      </ndxf>
    </rcc>
    <rcc rId="0" sId="2" dxf="1">
      <nc r="I292">
        <v>20260511025</v>
      </nc>
      <ndxf>
        <fill>
          <patternFill patternType="solid">
            <bgColor theme="8" tint="0.59999389629810485"/>
          </patternFill>
        </fill>
      </ndxf>
    </rcc>
    <rcc rId="0" sId="2" dxf="1">
      <nc r="I293">
        <v>20260511011</v>
      </nc>
      <ndxf>
        <fill>
          <patternFill patternType="solid">
            <bgColor rgb="FFFFFFCC"/>
          </patternFill>
        </fill>
      </ndxf>
    </rcc>
    <rcc rId="0" sId="2" dxf="1">
      <nc r="I294">
        <v>20260511012</v>
      </nc>
      <ndxf>
        <fill>
          <patternFill patternType="solid">
            <bgColor rgb="FFFFFFCC"/>
          </patternFill>
        </fill>
      </ndxf>
    </rcc>
    <rcc rId="0" sId="2" dxf="1">
      <nc r="I295">
        <v>20260511026</v>
      </nc>
      <ndxf>
        <fill>
          <patternFill patternType="solid">
            <bgColor theme="8" tint="0.59999389629810485"/>
          </patternFill>
        </fill>
      </ndxf>
    </rcc>
    <rcc rId="0" sId="2" dxf="1">
      <nc r="I296">
        <v>20260511027</v>
      </nc>
      <ndxf>
        <fill>
          <patternFill patternType="solid">
            <bgColor theme="8" tint="0.59999389629810485"/>
          </patternFill>
        </fill>
      </ndxf>
    </rcc>
    <rcc rId="0" sId="2" dxf="1">
      <nc r="I297">
        <v>20260511013</v>
      </nc>
      <ndxf>
        <fill>
          <patternFill patternType="solid">
            <bgColor rgb="FFFFFFCC"/>
          </patternFill>
        </fill>
      </ndxf>
    </rcc>
    <rcc rId="0" sId="2" dxf="1">
      <nc r="I298">
        <v>20260511014</v>
      </nc>
      <ndxf>
        <fill>
          <patternFill patternType="solid">
            <bgColor rgb="FFFFFFCC"/>
          </patternFill>
        </fill>
      </ndxf>
    </rcc>
    <rcc rId="0" sId="2" dxf="1">
      <nc r="I299">
        <v>20260511015</v>
      </nc>
      <ndxf>
        <fill>
          <patternFill patternType="solid">
            <bgColor rgb="FFFFFFCC"/>
          </patternFill>
        </fill>
      </ndxf>
    </rcc>
    <rcc rId="0" sId="2" dxf="1">
      <nc r="I300">
        <v>20260511028</v>
      </nc>
      <ndxf>
        <fill>
          <patternFill patternType="solid">
            <bgColor theme="8" tint="0.59999389629810485"/>
          </patternFill>
        </fill>
      </ndxf>
    </rcc>
    <rcc rId="0" sId="2" dxf="1">
      <nc r="I301">
        <v>20260511016</v>
      </nc>
      <ndxf>
        <fill>
          <patternFill patternType="solid">
            <bgColor rgb="FFFFFFCC"/>
          </patternFill>
        </fill>
      </ndxf>
    </rcc>
    <rcc rId="0" sId="2" dxf="1">
      <nc r="I302" t="inlineStr">
        <is>
          <t>20260518001-1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303">
        <v>20260511029</v>
      </nc>
      <ndxf>
        <fill>
          <patternFill patternType="solid">
            <bgColor theme="8" tint="0.59999389629810485"/>
          </patternFill>
        </fill>
      </ndxf>
    </rcc>
    <rcc rId="0" sId="2" dxf="1">
      <nc r="I304">
        <v>20260518012</v>
      </nc>
      <ndxf>
        <fill>
          <patternFill patternType="solid">
            <bgColor theme="8" tint="0.59999389629810485"/>
          </patternFill>
        </fill>
      </ndxf>
    </rcc>
    <rcc rId="0" sId="2" dxf="1">
      <nc r="I305" t="inlineStr">
        <is>
          <t>20260518002-1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306" t="inlineStr">
        <is>
          <t>20260518003-1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307">
        <v>20260518013</v>
      </nc>
      <ndxf>
        <fill>
          <patternFill patternType="solid">
            <bgColor theme="8" tint="0.59999389629810485"/>
          </patternFill>
        </fill>
      </ndxf>
    </rcc>
    <rcc rId="0" sId="2" dxf="1">
      <nc r="I308">
        <v>20260518014</v>
      </nc>
      <ndxf>
        <fill>
          <patternFill patternType="solid">
            <bgColor theme="8" tint="0.59999389629810485"/>
          </patternFill>
        </fill>
      </ndxf>
    </rcc>
    <rcc rId="0" sId="2" dxf="1">
      <nc r="I309" t="inlineStr">
        <is>
          <t>20260518004-1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310" t="inlineStr">
        <is>
          <t>20260518005-1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311">
        <v>20260518015</v>
      </nc>
      <ndxf>
        <fill>
          <patternFill patternType="solid">
            <bgColor theme="8" tint="0.59999389629810485"/>
          </patternFill>
        </fill>
      </ndxf>
    </rcc>
    <rcc rId="0" sId="2" dxf="1">
      <nc r="I312" t="inlineStr">
        <is>
          <t>20260518006-1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313">
        <v>20260518007</v>
      </nc>
      <ndxf>
        <fill>
          <patternFill patternType="solid">
            <bgColor rgb="FFFFFFCC"/>
          </patternFill>
        </fill>
      </ndxf>
    </rcc>
    <rcc rId="0" sId="2" dxf="1">
      <nc r="I314">
        <v>20260518016</v>
      </nc>
      <ndxf>
        <fill>
          <patternFill patternType="solid">
            <bgColor theme="8" tint="0.59999389629810485"/>
          </patternFill>
        </fill>
      </ndxf>
    </rcc>
    <rcc rId="0" sId="2" dxf="1">
      <nc r="I315">
        <v>20260518018</v>
      </nc>
      <ndxf>
        <fill>
          <patternFill patternType="solid">
            <bgColor theme="8" tint="0.59999389629810485"/>
          </patternFill>
        </fill>
      </ndxf>
    </rcc>
    <rcc rId="0" sId="2" dxf="1">
      <nc r="I316">
        <v>20260518008</v>
      </nc>
      <ndxf>
        <fill>
          <patternFill patternType="solid">
            <bgColor rgb="FFFFFFCC"/>
          </patternFill>
        </fill>
      </ndxf>
    </rcc>
    <rcc rId="0" sId="2" dxf="1">
      <nc r="I317">
        <v>20260518009</v>
      </nc>
      <ndxf>
        <fill>
          <patternFill patternType="solid">
            <bgColor rgb="FFFFFFCC"/>
          </patternFill>
        </fill>
      </ndxf>
    </rcc>
    <rcc rId="0" sId="2" dxf="1">
      <nc r="I318">
        <v>20260518019</v>
      </nc>
      <ndxf>
        <fill>
          <patternFill patternType="solid">
            <bgColor theme="8" tint="0.59999389629810485"/>
          </patternFill>
        </fill>
      </ndxf>
    </rcc>
    <rcc rId="0" sId="2" dxf="1">
      <nc r="I319">
        <v>20260518010</v>
      </nc>
      <ndxf>
        <fill>
          <patternFill patternType="solid">
            <bgColor rgb="FFFFFFCC"/>
          </patternFill>
        </fill>
      </ndxf>
    </rcc>
    <rcc rId="0" sId="2" dxf="1">
      <nc r="I320">
        <v>20260518011</v>
      </nc>
      <ndxf>
        <fill>
          <patternFill patternType="solid">
            <bgColor rgb="FFFFFFCC"/>
          </patternFill>
        </fill>
      </ndxf>
    </rcc>
    <rcc rId="0" sId="2" dxf="1">
      <nc r="I321">
        <v>20260518017</v>
      </nc>
      <ndxf>
        <fill>
          <patternFill patternType="solid">
            <bgColor theme="8" tint="0.59999389629810485"/>
          </patternFill>
        </fill>
      </ndxf>
    </rcc>
    <rcc rId="0" sId="2" dxf="1">
      <nc r="I322">
        <v>20260518020</v>
      </nc>
      <ndxf>
        <fill>
          <patternFill patternType="solid">
            <bgColor theme="8" tint="0.59999389629810485"/>
          </patternFill>
        </fill>
      </ndxf>
    </rcc>
    <rcc rId="0" sId="2" dxf="1">
      <nc r="I323">
        <v>20260521029</v>
      </nc>
      <ndxf>
        <fill>
          <patternFill patternType="solid">
            <bgColor rgb="FFFFFFCC"/>
          </patternFill>
        </fill>
      </ndxf>
    </rcc>
    <rcc rId="0" sId="2" dxf="1">
      <nc r="I324" t="inlineStr">
        <is>
          <t>20260521030-1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325">
        <v>20260521030</v>
      </nc>
      <ndxf>
        <fill>
          <patternFill patternType="solid">
            <bgColor theme="6" tint="0.59999389629810485"/>
          </patternFill>
        </fill>
      </ndxf>
    </rcc>
    <rcc rId="0" sId="2" dxf="1">
      <nc r="I326">
        <v>20260518021</v>
      </nc>
      <ndxf>
        <fill>
          <patternFill patternType="solid">
            <bgColor theme="8" tint="0.59999389629810485"/>
          </patternFill>
        </fill>
      </ndxf>
    </rcc>
    <rcc rId="0" sId="2" dxf="1">
      <nc r="I327">
        <v>20260521031</v>
      </nc>
      <ndxf>
        <fill>
          <patternFill patternType="solid">
            <bgColor theme="6" tint="0.59999389629810485"/>
          </patternFill>
        </fill>
      </ndxf>
    </rcc>
    <rcc rId="0" sId="2" dxf="1">
      <nc r="I328">
        <v>20260521032</v>
      </nc>
      <ndxf>
        <fill>
          <patternFill patternType="solid">
            <bgColor theme="6" tint="0.59999389629810485"/>
          </patternFill>
        </fill>
      </ndxf>
    </rcc>
    <rcc rId="0" sId="2" dxf="1">
      <nc r="I329">
        <v>20260518022</v>
      </nc>
      <ndxf>
        <fill>
          <patternFill patternType="solid">
            <bgColor theme="8" tint="0.59999389629810485"/>
          </patternFill>
        </fill>
      </ndxf>
    </rcc>
    <rcc rId="0" sId="2" dxf="1">
      <nc r="I330">
        <v>20260525006</v>
      </nc>
      <ndxf>
        <fill>
          <patternFill patternType="solid">
            <bgColor theme="8" tint="0.59999389629810485"/>
          </patternFill>
        </fill>
      </ndxf>
    </rcc>
    <rcc rId="0" sId="2" dxf="1">
      <nc r="I331">
        <v>20260525015</v>
      </nc>
      <ndxf>
        <fill>
          <patternFill patternType="solid">
            <bgColor theme="6" tint="0.59999389629810485"/>
          </patternFill>
        </fill>
      </ndxf>
    </rcc>
    <rcc rId="0" sId="2" dxf="1">
      <nc r="I332">
        <v>20260525016</v>
      </nc>
      <ndxf>
        <fill>
          <patternFill patternType="solid">
            <bgColor theme="6" tint="0.59999389629810485"/>
          </patternFill>
        </fill>
      </ndxf>
    </rcc>
    <rcc rId="0" sId="2" dxf="1">
      <nc r="I333">
        <v>20260527001</v>
      </nc>
      <ndxf>
        <fill>
          <patternFill patternType="solid">
            <bgColor theme="5" tint="0.79998168889431442"/>
          </patternFill>
        </fill>
      </ndxf>
    </rcc>
    <rcc rId="0" sId="2" dxf="1">
      <nc r="I334">
        <v>20260527002</v>
      </nc>
      <ndxf>
        <fill>
          <patternFill patternType="solid">
            <bgColor theme="5" tint="0.79998168889431442"/>
          </patternFill>
        </fill>
      </ndxf>
    </rcc>
    <rcc rId="0" sId="2" dxf="1">
      <nc r="I335">
        <v>20260525007</v>
      </nc>
      <ndxf>
        <fill>
          <patternFill patternType="solid">
            <bgColor theme="8" tint="0.59999389629810485"/>
          </patternFill>
        </fill>
      </ndxf>
    </rcc>
    <rcc rId="0" sId="2" dxf="1">
      <nc r="I336">
        <v>20260525017</v>
      </nc>
      <ndxf>
        <fill>
          <patternFill patternType="solid">
            <bgColor theme="6" tint="0.59999389629810485"/>
          </patternFill>
        </fill>
      </ndxf>
    </rcc>
    <rcc rId="0" sId="2" dxf="1">
      <nc r="I337">
        <v>20260525018</v>
      </nc>
      <ndxf>
        <fill>
          <patternFill patternType="solid">
            <bgColor theme="6" tint="0.59999389629810485"/>
          </patternFill>
        </fill>
      </ndxf>
    </rcc>
    <rcc rId="0" sId="2" dxf="1">
      <nc r="I338">
        <v>20260528002</v>
      </nc>
      <ndxf>
        <fill>
          <patternFill patternType="solid">
            <bgColor theme="5" tint="0.79998168889431442"/>
          </patternFill>
        </fill>
      </ndxf>
    </rcc>
    <rcc rId="0" sId="2" dxf="1">
      <nc r="I339" t="inlineStr">
        <is>
          <t>20260528003-1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40">
        <v>20260525008</v>
      </nc>
      <ndxf>
        <fill>
          <patternFill patternType="solid">
            <bgColor theme="8" tint="0.59999389629810485"/>
          </patternFill>
        </fill>
      </ndxf>
    </rcc>
    <rcc rId="0" sId="2" dxf="1">
      <nc r="I341">
        <v>20260525009</v>
      </nc>
      <ndxf>
        <fill>
          <patternFill patternType="solid">
            <bgColor theme="8" tint="0.59999389629810485"/>
          </patternFill>
        </fill>
      </ndxf>
    </rcc>
    <rcc rId="0" sId="2" dxf="1">
      <nc r="I342">
        <v>20260525019</v>
      </nc>
      <ndxf>
        <fill>
          <patternFill patternType="solid">
            <bgColor theme="6" tint="0.59999389629810485"/>
          </patternFill>
        </fill>
      </ndxf>
    </rcc>
    <rcc rId="0" sId="2" dxf="1">
      <nc r="I343">
        <v>20260525020</v>
      </nc>
      <ndxf>
        <fill>
          <patternFill patternType="solid">
            <bgColor theme="6" tint="0.59999389629810485"/>
          </patternFill>
        </fill>
      </ndxf>
    </rcc>
    <rcc rId="0" sId="2" dxf="1">
      <nc r="I344" t="inlineStr">
        <is>
          <t>20260529006-1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45" t="inlineStr">
        <is>
          <t>20260529007-2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46">
        <v>20260525010</v>
      </nc>
      <ndxf>
        <fill>
          <patternFill patternType="solid">
            <bgColor theme="8" tint="0.59999389629810485"/>
          </patternFill>
        </fill>
      </ndxf>
    </rcc>
    <rcc rId="0" sId="2" dxf="1">
      <nc r="I347">
        <v>20260525021</v>
      </nc>
      <ndxf>
        <fill>
          <patternFill patternType="solid">
            <bgColor theme="6" tint="0.59999389629810485"/>
          </patternFill>
        </fill>
      </ndxf>
    </rcc>
    <rcc rId="0" sId="2" dxf="1">
      <nc r="I348">
        <v>20260525022</v>
      </nc>
      <ndxf>
        <fill>
          <patternFill patternType="solid">
            <bgColor theme="6" tint="0.59999389629810485"/>
          </patternFill>
        </fill>
      </ndxf>
    </rcc>
    <rcc rId="0" sId="2" dxf="1">
      <nc r="I349" t="inlineStr">
        <is>
          <t>20260528004-2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50">
        <v>20260525011</v>
      </nc>
      <ndxf>
        <fill>
          <patternFill patternType="solid">
            <bgColor theme="8" tint="0.59999389629810485"/>
          </patternFill>
        </fill>
      </ndxf>
    </rcc>
    <rcc rId="0" sId="2" dxf="1">
      <nc r="I351">
        <v>20260525012</v>
      </nc>
      <ndxf>
        <fill>
          <patternFill patternType="solid">
            <bgColor theme="8" tint="0.59999389629810485"/>
          </patternFill>
        </fill>
      </ndxf>
    </rcc>
    <rcc rId="0" sId="2" dxf="1">
      <nc r="I352">
        <v>20260525023</v>
      </nc>
      <ndxf>
        <fill>
          <patternFill patternType="solid">
            <bgColor theme="6" tint="0.59999389629810485"/>
          </patternFill>
        </fill>
      </ndxf>
    </rcc>
    <rcc rId="0" sId="2" dxf="1">
      <nc r="I353">
        <v>20260525024</v>
      </nc>
      <ndxf>
        <fill>
          <patternFill patternType="solid">
            <bgColor theme="6" tint="0.59999389629810485"/>
          </patternFill>
        </fill>
      </ndxf>
    </rcc>
    <rcc rId="0" sId="2" dxf="1">
      <nc r="I354" t="inlineStr">
        <is>
          <t>20260528005-1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55" t="inlineStr">
        <is>
          <t>20260528006-1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56" t="inlineStr">
        <is>
          <t>20260525005-2</t>
          <phoneticPr fontId="0" type="noConversion"/>
        </is>
      </nc>
      <ndxf>
        <fill>
          <patternFill patternType="solid">
            <bgColor theme="5" tint="0.59999389629810485"/>
          </patternFill>
        </fill>
      </ndxf>
    </rcc>
    <rcc rId="0" sId="2" dxf="1">
      <nc r="I357">
        <v>20260525025</v>
      </nc>
      <ndxf>
        <fill>
          <patternFill patternType="solid">
            <bgColor theme="6" tint="0.59999389629810485"/>
          </patternFill>
        </fill>
      </ndxf>
    </rcc>
    <rcc rId="0" sId="2" dxf="1">
      <nc r="I358">
        <v>20260525026</v>
      </nc>
      <ndxf>
        <fill>
          <patternFill patternType="solid">
            <bgColor theme="6" tint="0.59999389629810485"/>
          </patternFill>
        </fill>
      </ndxf>
    </rcc>
    <rcc rId="0" sId="2" dxf="1">
      <nc r="I359" t="inlineStr">
        <is>
          <t>20260529008-1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60" t="inlineStr">
        <is>
          <t>20260601002-1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61">
        <v>20260525013</v>
      </nc>
      <ndxf>
        <fill>
          <patternFill patternType="solid">
            <bgColor theme="8" tint="0.59999389629810485"/>
          </patternFill>
        </fill>
      </ndxf>
    </rcc>
    <rcc rId="0" sId="2" dxf="1">
      <nc r="I362" t="inlineStr">
        <is>
          <t>20260601008-1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63" t="inlineStr">
        <is>
          <t>20260525014-1</t>
          <phoneticPr fontId="0" type="noConversion"/>
        </is>
      </nc>
      <ndxf>
        <fill>
          <patternFill patternType="solid">
            <bgColor theme="5" tint="0.59999389629810485"/>
          </patternFill>
        </fill>
      </ndxf>
    </rcc>
    <rcc rId="0" sId="2" dxf="1">
      <nc r="I364">
        <v>20260525027</v>
      </nc>
      <ndxf>
        <fill>
          <patternFill patternType="solid">
            <bgColor theme="6" tint="0.59999389629810485"/>
          </patternFill>
        </fill>
      </ndxf>
    </rcc>
    <rcc rId="0" sId="2" dxf="1">
      <nc r="I365">
        <v>20260525028</v>
      </nc>
      <ndxf>
        <fill>
          <patternFill patternType="solid">
            <bgColor theme="6" tint="0.59999389629810485"/>
          </patternFill>
        </fill>
      </ndxf>
    </rcc>
    <rcc rId="0" sId="2" dxf="1">
      <nc r="I366" t="inlineStr">
        <is>
          <t>20260601007-1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67">
        <v>20260602008</v>
      </nc>
      <ndxf>
        <fill>
          <patternFill patternType="solid">
            <bgColor theme="8" tint="0.59999389629810485"/>
          </patternFill>
        </fill>
      </ndxf>
    </rcc>
    <rcc rId="0" sId="2" dxf="1">
      <nc r="I368">
        <v>20260601018</v>
      </nc>
      <ndxf>
        <fill>
          <patternFill patternType="solid">
            <bgColor theme="6" tint="0.59999389629810485"/>
          </patternFill>
        </fill>
      </ndxf>
    </rcc>
    <rcc rId="0" sId="2" dxf="1">
      <nc r="I369">
        <v>20260601019</v>
      </nc>
      <ndxf>
        <fill>
          <patternFill patternType="solid">
            <bgColor theme="6" tint="0.59999389629810485"/>
          </patternFill>
        </fill>
      </ndxf>
    </rcc>
    <rcc rId="0" sId="2" dxf="1">
      <nc r="I370" t="inlineStr">
        <is>
          <t>20260601009-1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71" t="inlineStr">
        <is>
          <t>20260601010-1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72">
        <v>20260601020</v>
      </nc>
      <ndxf>
        <fill>
          <patternFill patternType="solid">
            <bgColor theme="6" tint="0.59999389629810485"/>
          </patternFill>
        </fill>
      </ndxf>
    </rcc>
    <rcc rId="0" sId="2" dxf="1">
      <nc r="I373">
        <v>20260601021</v>
      </nc>
      <ndxf>
        <fill>
          <patternFill patternType="solid">
            <bgColor theme="6" tint="0.59999389629810485"/>
          </patternFill>
        </fill>
      </ndxf>
    </rcc>
    <rcc rId="0" sId="2" dxf="1">
      <nc r="I374" t="inlineStr">
        <is>
          <t>20260601011-1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75">
        <v>20260601022</v>
      </nc>
      <ndxf>
        <fill>
          <patternFill patternType="solid">
            <bgColor theme="6" tint="0.59999389629810485"/>
          </patternFill>
        </fill>
      </ndxf>
    </rcc>
    <rcc rId="0" sId="2" dxf="1">
      <nc r="I376">
        <v>20260601023</v>
      </nc>
      <ndxf>
        <fill>
          <patternFill patternType="solid">
            <bgColor theme="6" tint="0.59999389629810485"/>
          </patternFill>
        </fill>
      </ndxf>
    </rcc>
    <rcc rId="0" sId="2" dxf="1">
      <nc r="I377">
        <v>20260601012</v>
      </nc>
      <ndxf>
        <fill>
          <patternFill patternType="solid">
            <bgColor theme="8" tint="0.59999389629810485"/>
          </patternFill>
        </fill>
      </ndxf>
    </rcc>
    <rcc rId="0" sId="2" dxf="1">
      <nc r="I378">
        <v>20260601013</v>
      </nc>
      <ndxf>
        <fill>
          <patternFill patternType="solid">
            <bgColor theme="8" tint="0.59999389629810485"/>
          </patternFill>
        </fill>
      </ndxf>
    </rcc>
    <rcc rId="0" sId="2" dxf="1">
      <nc r="I379">
        <v>20260601024</v>
      </nc>
      <ndxf>
        <fill>
          <patternFill patternType="solid">
            <bgColor theme="6" tint="0.59999389629810485"/>
          </patternFill>
        </fill>
      </ndxf>
    </rcc>
    <rcc rId="0" sId="2" dxf="1">
      <nc r="I380">
        <v>20260601025</v>
      </nc>
      <ndxf>
        <fill>
          <patternFill patternType="solid">
            <bgColor theme="6" tint="0.59999389629810485"/>
          </patternFill>
        </fill>
      </ndxf>
    </rcc>
    <rcc rId="0" sId="2" dxf="1">
      <nc r="I381">
        <v>20260601014</v>
      </nc>
      <ndxf>
        <fill>
          <patternFill patternType="solid">
            <bgColor theme="8" tint="0.59999389629810485"/>
          </patternFill>
        </fill>
      </ndxf>
    </rcc>
    <rcc rId="0" sId="2" dxf="1">
      <nc r="I382">
        <v>20260601026</v>
      </nc>
      <ndxf>
        <fill>
          <patternFill patternType="solid">
            <bgColor theme="6" tint="0.59999389629810485"/>
          </patternFill>
        </fill>
      </ndxf>
    </rcc>
    <rcc rId="0" sId="2" dxf="1">
      <nc r="I383">
        <v>20260601027</v>
      </nc>
      <ndxf>
        <fill>
          <patternFill patternType="solid">
            <bgColor theme="6" tint="0.59999389629810485"/>
          </patternFill>
        </fill>
      </ndxf>
    </rcc>
    <rcc rId="0" sId="2" dxf="1">
      <nc r="I384">
        <v>20260601015</v>
      </nc>
      <ndxf>
        <fill>
          <patternFill patternType="solid">
            <bgColor theme="8" tint="0.59999389629810485"/>
          </patternFill>
        </fill>
      </ndxf>
    </rcc>
    <rcc rId="0" sId="2" dxf="1">
      <nc r="I385">
        <v>20260601016</v>
      </nc>
      <ndxf>
        <fill>
          <patternFill patternType="solid">
            <bgColor theme="8" tint="0.59999389629810485"/>
          </patternFill>
        </fill>
      </ndxf>
    </rcc>
    <rcc rId="0" sId="2" dxf="1">
      <nc r="I386">
        <v>20260601028</v>
      </nc>
      <ndxf>
        <fill>
          <patternFill patternType="solid">
            <bgColor theme="6" tint="0.59999389629810485"/>
          </patternFill>
        </fill>
      </ndxf>
    </rcc>
    <rcc rId="0" sId="2" dxf="1">
      <nc r="I387">
        <v>20260601029</v>
      </nc>
      <ndxf>
        <fill>
          <patternFill patternType="solid">
            <bgColor theme="6" tint="0.59999389629810485"/>
          </patternFill>
        </fill>
      </ndxf>
    </rcc>
    <rcc rId="0" sId="2" dxf="1">
      <nc r="I388">
        <v>20260605010</v>
      </nc>
      <ndxf>
        <fill>
          <patternFill patternType="solid">
            <bgColor theme="5" tint="0.79998168889431442"/>
          </patternFill>
        </fill>
      </ndxf>
    </rcc>
    <rcc rId="0" sId="2" dxf="1">
      <nc r="I389" t="inlineStr">
        <is>
          <t>20260605007-1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390">
        <v>20260601017</v>
      </nc>
      <ndxf>
        <fill>
          <patternFill patternType="solid">
            <bgColor theme="8" tint="0.59999389629810485"/>
          </patternFill>
        </fill>
      </ndxf>
    </rcc>
    <rcc rId="0" sId="2" dxf="1">
      <nc r="I391" t="inlineStr">
        <is>
          <t>20260608001-1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92">
        <v>20260601030</v>
      </nc>
      <ndxf>
        <fill>
          <patternFill patternType="solid">
            <bgColor theme="6" tint="0.59999389629810485"/>
          </patternFill>
        </fill>
      </ndxf>
    </rcc>
    <rcc rId="0" sId="2" dxf="1">
      <nc r="I393">
        <v>20260601031</v>
      </nc>
      <ndxf>
        <fill>
          <patternFill patternType="solid">
            <bgColor theme="6" tint="0.59999389629810485"/>
          </patternFill>
        </fill>
      </ndxf>
    </rcc>
    <rcc rId="0" sId="2" dxf="1">
      <nc r="I394" t="inlineStr">
        <is>
          <t>20260608002-1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95">
        <v>20260608013</v>
      </nc>
      <ndxf>
        <fill>
          <patternFill patternType="solid">
            <bgColor theme="6" tint="0.59999389629810485"/>
          </patternFill>
        </fill>
      </ndxf>
    </rcc>
    <rcc rId="0" sId="2" dxf="1">
      <nc r="I396">
        <v>20260608014</v>
      </nc>
      <ndxf>
        <fill>
          <patternFill patternType="solid">
            <bgColor theme="6" tint="0.59999389629810485"/>
          </patternFill>
        </fill>
      </ndxf>
    </rcc>
    <rcc rId="0" sId="2" dxf="1">
      <nc r="I397" t="inlineStr">
        <is>
          <t>20260608003-1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98" t="inlineStr">
        <is>
          <t>20260608004-1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399">
        <v>20260608015</v>
      </nc>
      <ndxf>
        <fill>
          <patternFill patternType="solid">
            <bgColor theme="6" tint="0.59999389629810485"/>
          </patternFill>
        </fill>
      </ndxf>
    </rcc>
    <rcc rId="0" sId="2" dxf="1">
      <nc r="I400">
        <v>20260608016</v>
      </nc>
      <ndxf>
        <fill>
          <patternFill patternType="solid">
            <bgColor theme="6" tint="0.59999389629810485"/>
          </patternFill>
        </fill>
      </ndxf>
    </rcc>
    <rcc rId="0" sId="2" dxf="1">
      <nc r="I401" t="inlineStr">
        <is>
          <t>20260608005-1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02">
        <v>20260608006</v>
      </nc>
      <ndxf>
        <fill>
          <patternFill patternType="solid">
            <bgColor theme="8" tint="0.59999389629810485"/>
          </patternFill>
        </fill>
      </ndxf>
    </rcc>
    <rcc rId="0" sId="2" dxf="1">
      <nc r="I403">
        <v>20260608017</v>
      </nc>
      <ndxf>
        <fill>
          <patternFill patternType="solid">
            <bgColor theme="6" tint="0.59999389629810485"/>
          </patternFill>
        </fill>
      </ndxf>
    </rcc>
    <rcc rId="0" sId="2" dxf="1">
      <nc r="I404">
        <v>20260608018</v>
      </nc>
      <ndxf>
        <fill>
          <patternFill patternType="solid">
            <bgColor theme="6" tint="0.59999389629810485"/>
          </patternFill>
        </fill>
      </ndxf>
    </rcc>
    <rcc rId="0" sId="2" dxf="1">
      <nc r="I405" t="inlineStr">
        <is>
          <t>20260608007-1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06">
        <v>20260608019</v>
      </nc>
      <ndxf>
        <fill>
          <patternFill patternType="solid">
            <bgColor theme="6" tint="0.59999389629810485"/>
          </patternFill>
        </fill>
      </ndxf>
    </rcc>
    <rcc rId="0" sId="2" dxf="1">
      <nc r="I407">
        <v>20260608020</v>
      </nc>
      <ndxf>
        <fill>
          <patternFill patternType="solid">
            <bgColor theme="6" tint="0.59999389629810485"/>
          </patternFill>
        </fill>
      </ndxf>
    </rcc>
    <rcc rId="0" sId="2" dxf="1">
      <nc r="I408">
        <v>20260608008</v>
      </nc>
      <ndxf>
        <fill>
          <patternFill patternType="solid">
            <bgColor theme="8" tint="0.59999389629810485"/>
          </patternFill>
        </fill>
      </ndxf>
    </rcc>
    <rcc rId="0" sId="2" dxf="1">
      <nc r="I409">
        <v>20260608009</v>
      </nc>
      <ndxf>
        <fill>
          <patternFill patternType="solid">
            <bgColor theme="8" tint="0.59999389629810485"/>
          </patternFill>
        </fill>
      </ndxf>
    </rcc>
    <rcc rId="0" sId="2" dxf="1">
      <nc r="I410">
        <v>20260608021</v>
      </nc>
      <ndxf>
        <fill>
          <patternFill patternType="solid">
            <bgColor theme="6" tint="0.59999389629810485"/>
          </patternFill>
        </fill>
      </ndxf>
    </rcc>
    <rcc rId="0" sId="2" dxf="1">
      <nc r="I411">
        <v>20260608022</v>
      </nc>
      <ndxf>
        <fill>
          <patternFill patternType="solid">
            <bgColor theme="6" tint="0.59999389629810485"/>
          </patternFill>
        </fill>
      </ndxf>
    </rcc>
    <rcc rId="0" sId="2" dxf="1">
      <nc r="I412" t="inlineStr">
        <is>
          <t>20260605008-1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413">
        <v>20260608010</v>
      </nc>
      <ndxf>
        <fill>
          <patternFill patternType="solid">
            <bgColor theme="8" tint="0.59999389629810485"/>
          </patternFill>
        </fill>
      </ndxf>
    </rcc>
    <rcc rId="0" sId="2" dxf="1">
      <nc r="I414">
        <v>20260608011</v>
      </nc>
      <ndxf>
        <fill>
          <patternFill patternType="solid">
            <bgColor theme="8" tint="0.59999389629810485"/>
          </patternFill>
        </fill>
      </ndxf>
    </rcc>
    <rcc rId="0" sId="2" dxf="1">
      <nc r="I415">
        <v>20260608023</v>
      </nc>
      <ndxf>
        <fill>
          <patternFill patternType="solid">
            <bgColor theme="6" tint="0.59999389629810485"/>
          </patternFill>
        </fill>
      </ndxf>
    </rcc>
    <rcc rId="0" sId="2" dxf="1">
      <nc r="I416">
        <v>20260608024</v>
      </nc>
      <ndxf>
        <fill>
          <patternFill patternType="solid">
            <bgColor theme="6" tint="0.59999389629810485"/>
          </patternFill>
        </fill>
      </ndxf>
    </rcc>
    <rcc rId="0" sId="2" dxf="1">
      <nc r="I417">
        <v>20260608012</v>
      </nc>
      <ndxf>
        <fill>
          <patternFill patternType="solid">
            <bgColor theme="8" tint="0.59999389629810485"/>
          </patternFill>
        </fill>
      </ndxf>
    </rcc>
    <rcc rId="0" sId="2" dxf="1">
      <nc r="I418">
        <v>20260608025</v>
      </nc>
      <ndxf>
        <fill>
          <patternFill patternType="solid">
            <bgColor theme="6" tint="0.59999389629810485"/>
          </patternFill>
        </fill>
      </ndxf>
    </rcc>
    <rcc rId="0" sId="2" dxf="1">
      <nc r="I419">
        <v>20260608026</v>
      </nc>
      <ndxf>
        <fill>
          <patternFill patternType="solid">
            <bgColor theme="6" tint="0.59999389629810485"/>
          </patternFill>
        </fill>
      </ndxf>
    </rcc>
    <rcc rId="0" sId="2" dxf="1">
      <nc r="I420" t="inlineStr">
        <is>
          <t>20260615006-1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21">
        <v>20260615007</v>
      </nc>
      <ndxf>
        <fill>
          <patternFill patternType="solid">
            <bgColor theme="8" tint="0.59999389629810485"/>
          </patternFill>
        </fill>
      </ndxf>
    </rcc>
    <rcc rId="0" sId="2" dxf="1">
      <nc r="I422">
        <v>20260615019</v>
      </nc>
      <ndxf>
        <fill>
          <patternFill patternType="solid">
            <bgColor theme="6" tint="0.59999389629810485"/>
          </patternFill>
        </fill>
      </ndxf>
    </rcc>
    <rcc rId="0" sId="2" dxf="1">
      <nc r="I423">
        <v>20260615020</v>
      </nc>
      <ndxf>
        <fill>
          <patternFill patternType="solid">
            <bgColor theme="6" tint="0.59999389629810485"/>
          </patternFill>
        </fill>
      </ndxf>
    </rcc>
    <rcc rId="0" sId="2" dxf="1">
      <nc r="I424" t="inlineStr">
        <is>
          <t>20260605009-1</t>
          <phoneticPr fontId="0" type="noConversion"/>
        </is>
      </nc>
      <ndxf>
        <fill>
          <patternFill patternType="solid">
            <bgColor theme="5" tint="0.79998168889431442"/>
          </patternFill>
        </fill>
      </ndxf>
    </rcc>
    <rcc rId="0" sId="2" dxf="1">
      <nc r="I425" t="inlineStr">
        <is>
          <t>20260605009-2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426">
        <v>20260615008</v>
      </nc>
      <ndxf>
        <fill>
          <patternFill patternType="solid">
            <bgColor theme="8" tint="0.59999389629810485"/>
          </patternFill>
        </fill>
      </ndxf>
    </rcc>
    <rcc rId="0" sId="2" dxf="1">
      <nc r="I427">
        <v>20260615021</v>
      </nc>
      <ndxf>
        <fill>
          <patternFill patternType="solid">
            <bgColor theme="6" tint="0.59999389629810485"/>
          </patternFill>
        </fill>
      </ndxf>
    </rcc>
    <rcc rId="0" sId="2" dxf="1">
      <nc r="I428">
        <v>20260608029</v>
      </nc>
      <ndxf>
        <fill>
          <patternFill patternType="solid">
            <bgColor rgb="FFFFFFCC"/>
          </patternFill>
        </fill>
      </ndxf>
    </rcc>
    <rcc rId="0" sId="2" dxf="1">
      <nc r="I429">
        <v>20260615009</v>
      </nc>
      <ndxf>
        <fill>
          <patternFill patternType="solid">
            <bgColor theme="8" tint="0.59999389629810485"/>
          </patternFill>
        </fill>
      </ndxf>
    </rcc>
    <rcc rId="0" sId="2" dxf="1">
      <nc r="I430">
        <v>20260615010</v>
      </nc>
      <ndxf>
        <fill>
          <patternFill patternType="solid">
            <bgColor theme="8" tint="0.59999389629810485"/>
          </patternFill>
        </fill>
      </ndxf>
    </rcc>
    <rcc rId="0" sId="2" dxf="1">
      <nc r="I431">
        <v>20260615022</v>
      </nc>
      <ndxf>
        <fill>
          <patternFill patternType="solid">
            <bgColor theme="6" tint="0.59999389629810485"/>
          </patternFill>
        </fill>
      </ndxf>
    </rcc>
    <rcc rId="0" sId="2" dxf="1">
      <nc r="I432">
        <v>20260615023</v>
      </nc>
      <ndxf>
        <fill>
          <patternFill patternType="solid">
            <bgColor theme="6" tint="0.59999389629810485"/>
          </patternFill>
        </fill>
      </ndxf>
    </rcc>
    <rcc rId="0" sId="2" dxf="1">
      <nc r="I433">
        <v>20260615011</v>
      </nc>
      <ndxf>
        <fill>
          <patternFill patternType="solid">
            <bgColor theme="8" tint="0.59999389629810485"/>
          </patternFill>
        </fill>
      </ndxf>
    </rcc>
    <rcc rId="0" sId="2" dxf="1">
      <nc r="I434">
        <v>20260615025</v>
      </nc>
      <ndxf>
        <fill>
          <patternFill patternType="solid">
            <bgColor theme="6" tint="0.59999389629810485"/>
          </patternFill>
        </fill>
      </ndxf>
    </rcc>
    <rcc rId="0" sId="2" dxf="1">
      <nc r="I435">
        <v>20260615026</v>
      </nc>
      <ndxf>
        <fill>
          <patternFill patternType="solid">
            <bgColor theme="6" tint="0.59999389629810485"/>
          </patternFill>
        </fill>
      </ndxf>
    </rcc>
    <rcc rId="0" sId="2" dxf="1">
      <nc r="I436">
        <v>20260615012</v>
      </nc>
      <ndxf>
        <fill>
          <patternFill patternType="solid">
            <bgColor theme="8" tint="0.59999389629810485"/>
          </patternFill>
        </fill>
      </ndxf>
    </rcc>
    <rcc rId="0" sId="2" dxf="1">
      <nc r="I437">
        <v>20260615013</v>
      </nc>
      <ndxf>
        <fill>
          <patternFill patternType="solid">
            <bgColor theme="8" tint="0.59999389629810485"/>
          </patternFill>
        </fill>
      </ndxf>
    </rcc>
    <rcc rId="0" sId="2" dxf="1">
      <nc r="I438">
        <v>20260615027</v>
      </nc>
      <ndxf>
        <fill>
          <patternFill patternType="solid">
            <bgColor theme="6" tint="0.59999389629810485"/>
          </patternFill>
        </fill>
      </ndxf>
    </rcc>
    <rcc rId="0" sId="2" dxf="1">
      <nc r="I439">
        <v>20260615028</v>
      </nc>
      <ndxf>
        <fill>
          <patternFill patternType="solid">
            <bgColor theme="6" tint="0.59999389629810485"/>
          </patternFill>
        </fill>
      </ndxf>
    </rcc>
    <rcc rId="0" sId="2" dxf="1">
      <nc r="I440">
        <v>20260615014</v>
      </nc>
      <ndxf>
        <fill>
          <patternFill patternType="solid">
            <bgColor theme="8" tint="0.59999389629810485"/>
          </patternFill>
        </fill>
      </ndxf>
    </rcc>
    <rcc rId="0" sId="2" dxf="1">
      <nc r="I441">
        <v>20260615029</v>
      </nc>
      <ndxf>
        <fill>
          <patternFill patternType="solid">
            <bgColor theme="6" tint="0.59999389629810485"/>
          </patternFill>
        </fill>
      </ndxf>
    </rcc>
    <rcc rId="0" sId="2" dxf="1">
      <nc r="I442">
        <v>20260615030</v>
      </nc>
      <ndxf>
        <fill>
          <patternFill patternType="solid">
            <bgColor theme="6" tint="0.59999389629810485"/>
          </patternFill>
        </fill>
      </ndxf>
    </rcc>
    <rcc rId="0" sId="2" dxf="1">
      <nc r="I443" t="inlineStr">
        <is>
          <t>20260615015-1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44">
        <v>20260615016</v>
      </nc>
      <ndxf>
        <fill>
          <patternFill patternType="solid">
            <bgColor theme="8" tint="0.59999389629810485"/>
          </patternFill>
        </fill>
      </ndxf>
    </rcc>
    <rcc rId="0" sId="2" dxf="1">
      <nc r="I445">
        <v>20260615031</v>
      </nc>
      <ndxf>
        <fill>
          <patternFill patternType="solid">
            <bgColor theme="6" tint="0.59999389629810485"/>
          </patternFill>
        </fill>
      </ndxf>
    </rcc>
    <rcc rId="0" sId="2" dxf="1">
      <nc r="I446">
        <v>20260615032</v>
      </nc>
      <ndxf>
        <fill>
          <patternFill patternType="solid">
            <bgColor theme="6" tint="0.59999389629810485"/>
          </patternFill>
        </fill>
      </ndxf>
    </rcc>
    <rcc rId="0" sId="2" dxf="1">
      <nc r="I447">
        <v>20260615017</v>
      </nc>
      <ndxf>
        <fill>
          <patternFill patternType="solid">
            <bgColor theme="8" tint="0.59999389629810485"/>
          </patternFill>
        </fill>
      </ndxf>
    </rcc>
    <rcc rId="0" sId="2" dxf="1">
      <nc r="I448">
        <v>20260615033</v>
      </nc>
      <ndxf>
        <fill>
          <patternFill patternType="solid">
            <bgColor theme="6" tint="0.59999389629810485"/>
          </patternFill>
        </fill>
      </ndxf>
    </rcc>
    <rcc rId="0" sId="2" dxf="1">
      <nc r="I449">
        <v>20260615034</v>
      </nc>
      <ndxf>
        <fill>
          <patternFill patternType="solid">
            <bgColor theme="6" tint="0.59999389629810485"/>
          </patternFill>
        </fill>
      </ndxf>
    </rcc>
    <rcc rId="0" sId="2" dxf="1">
      <nc r="I450" t="inlineStr">
        <is>
          <t>20260618002-2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451" t="inlineStr">
        <is>
          <t>20260622007-1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52" t="inlineStr">
        <is>
          <t>20260622008-1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53">
        <v>20260615035</v>
      </nc>
      <ndxf>
        <fill>
          <patternFill patternType="solid">
            <bgColor theme="6" tint="0.59999389629810485"/>
          </patternFill>
        </fill>
      </ndxf>
    </rcc>
    <rcc rId="0" sId="2" dxf="1">
      <nc r="I454" t="inlineStr">
        <is>
          <t>20260615035-1</t>
          <phoneticPr fontId="0" type="noConversion"/>
        </is>
      </nc>
      <ndxf>
        <fill>
          <patternFill patternType="solid">
            <bgColor theme="5" tint="0.59999389629810485"/>
          </patternFill>
        </fill>
      </ndxf>
    </rcc>
    <rcc rId="0" sId="2" dxf="1">
      <nc r="I455">
        <v>20260622017</v>
      </nc>
      <ndxf>
        <fill>
          <patternFill patternType="solid">
            <bgColor theme="5" tint="0.59999389629810485"/>
          </patternFill>
        </fill>
      </ndxf>
    </rcc>
    <rcc rId="0" sId="2" dxf="1">
      <nc r="I456" t="inlineStr">
        <is>
          <t>20260622009-1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57">
        <v>20260622010</v>
      </nc>
      <ndxf>
        <fill>
          <patternFill patternType="solid">
            <bgColor theme="8" tint="0.59999389629810485"/>
          </patternFill>
        </fill>
      </ndxf>
    </rcc>
    <rcc rId="0" sId="2" dxf="1">
      <nc r="I458">
        <v>20260622018</v>
      </nc>
      <ndxf>
        <fill>
          <patternFill patternType="solid">
            <bgColor theme="5" tint="0.59999389629810485"/>
          </patternFill>
        </fill>
      </ndxf>
    </rcc>
    <rcc rId="0" sId="2" dxf="1">
      <nc r="I459">
        <v>20260622019</v>
      </nc>
      <ndxf>
        <fill>
          <patternFill patternType="solid">
            <bgColor theme="5" tint="0.59999389629810485"/>
          </patternFill>
        </fill>
      </ndxf>
    </rcc>
    <rcc rId="0" sId="2" dxf="1">
      <nc r="I460">
        <v>20260622011</v>
      </nc>
      <ndxf>
        <fill>
          <patternFill patternType="solid">
            <bgColor theme="8" tint="0.59999389629810485"/>
          </patternFill>
        </fill>
      </ndxf>
    </rcc>
    <rcc rId="0" sId="2" dxf="1">
      <nc r="I461">
        <v>20260622020</v>
      </nc>
      <ndxf>
        <fill>
          <patternFill patternType="solid">
            <bgColor theme="5" tint="0.59999389629810485"/>
          </patternFill>
        </fill>
      </ndxf>
    </rcc>
    <rcc rId="0" sId="2" dxf="1">
      <nc r="I462">
        <v>20260622021</v>
      </nc>
      <ndxf>
        <fill>
          <patternFill patternType="solid">
            <bgColor theme="5" tint="0.59999389629810485"/>
          </patternFill>
        </fill>
      </ndxf>
    </rcc>
    <rcc rId="0" sId="2" dxf="1">
      <nc r="I463">
        <v>20260622012</v>
      </nc>
      <ndxf>
        <fill>
          <patternFill patternType="solid">
            <bgColor theme="8" tint="0.59999389629810485"/>
          </patternFill>
        </fill>
      </ndxf>
    </rcc>
    <rcc rId="0" sId="2" dxf="1">
      <nc r="I464">
        <v>20260622013</v>
      </nc>
      <ndxf>
        <fill>
          <patternFill patternType="solid">
            <bgColor theme="8" tint="0.59999389629810485"/>
          </patternFill>
        </fill>
      </ndxf>
    </rcc>
    <rcc rId="0" sId="2" dxf="1">
      <nc r="I465">
        <v>20260622022</v>
      </nc>
      <ndxf>
        <fill>
          <patternFill patternType="solid">
            <bgColor theme="5" tint="0.59999389629810485"/>
          </patternFill>
        </fill>
      </ndxf>
    </rcc>
    <rcc rId="0" sId="2" dxf="1">
      <nc r="I466">
        <v>20260622023</v>
      </nc>
      <ndxf>
        <fill>
          <patternFill patternType="solid">
            <bgColor theme="5" tint="0.59999389629810485"/>
          </patternFill>
        </fill>
      </ndxf>
    </rcc>
    <rcc rId="0" sId="2" dxf="1">
      <nc r="I467" t="inlineStr">
        <is>
          <t>20260622014-1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68">
        <v>20260622015</v>
      </nc>
      <ndxf>
        <fill>
          <patternFill patternType="solid">
            <bgColor theme="8" tint="0.59999389629810485"/>
          </patternFill>
        </fill>
      </ndxf>
    </rcc>
    <rcc rId="0" sId="2" dxf="1">
      <nc r="I469">
        <v>20260622024</v>
      </nc>
      <ndxf>
        <fill>
          <patternFill patternType="solid">
            <bgColor theme="5" tint="0.59999389629810485"/>
          </patternFill>
        </fill>
      </ndxf>
    </rcc>
    <rcc rId="0" sId="2" dxf="1">
      <nc r="I470">
        <v>20260622025</v>
      </nc>
      <ndxf>
        <fill>
          <patternFill patternType="solid">
            <bgColor theme="5" tint="0.59999389629810485"/>
          </patternFill>
        </fill>
      </ndxf>
    </rcc>
    <rcc rId="0" sId="2" dxf="1">
      <nc r="I471" t="inlineStr">
        <is>
          <t>20260618003-3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472">
        <v>20260622016</v>
      </nc>
      <ndxf>
        <fill>
          <patternFill patternType="solid">
            <bgColor theme="8" tint="0.59999389629810485"/>
          </patternFill>
        </fill>
      </ndxf>
    </rcc>
    <rcc rId="0" sId="2" dxf="1">
      <nc r="I473">
        <v>20260622026</v>
      </nc>
      <ndxf>
        <fill>
          <patternFill patternType="solid">
            <bgColor theme="5" tint="0.59999389629810485"/>
          </patternFill>
        </fill>
      </ndxf>
    </rcc>
    <rcc rId="0" sId="2" dxf="1">
      <nc r="I474">
        <v>20260622027</v>
      </nc>
      <ndxf>
        <fill>
          <patternFill patternType="solid">
            <bgColor theme="5" tint="0.59999389629810485"/>
          </patternFill>
        </fill>
      </ndxf>
    </rcc>
    <rcc rId="0" sId="2" dxf="1">
      <nc r="I475">
        <v>20260629038</v>
      </nc>
      <ndxf>
        <fill>
          <patternFill patternType="solid">
            <bgColor rgb="FFFFFFCC"/>
          </patternFill>
        </fill>
      </ndxf>
    </rcc>
    <rcc rId="0" sId="2" dxf="1">
      <nc r="I476" t="inlineStr">
        <is>
          <t>20260629003-1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77" t="inlineStr">
        <is>
          <t>20260629004-1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478">
        <v>20260629020</v>
      </nc>
      <ndxf>
        <fill>
          <patternFill patternType="solid">
            <bgColor theme="5" tint="0.59999389629810485"/>
          </patternFill>
        </fill>
      </ndxf>
    </rcc>
    <rcc rId="0" sId="2" dxf="1">
      <nc r="I479">
        <v>20260629005</v>
      </nc>
      <ndxf>
        <fill>
          <patternFill patternType="solid">
            <bgColor theme="8" tint="0.59999389629810485"/>
          </patternFill>
        </fill>
      </ndxf>
    </rcc>
    <rcc rId="0" sId="2" dxf="1">
      <nc r="I480">
        <v>20260629021</v>
      </nc>
      <ndxf>
        <fill>
          <patternFill patternType="solid">
            <bgColor theme="5" tint="0.59999389629810485"/>
          </patternFill>
        </fill>
      </ndxf>
    </rcc>
    <rcc rId="0" sId="2" dxf="1">
      <nc r="I481">
        <v>20260629022</v>
      </nc>
      <ndxf>
        <fill>
          <patternFill patternType="solid">
            <bgColor theme="5" tint="0.59999389629810485"/>
          </patternFill>
        </fill>
      </ndxf>
    </rcc>
    <rcc rId="0" sId="2" dxf="1">
      <nc r="I482" t="inlineStr">
        <is>
          <t>20260701001-1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483">
        <v>20260629006</v>
      </nc>
      <ndxf>
        <fill>
          <patternFill patternType="solid">
            <bgColor theme="8" tint="0.59999389629810485"/>
          </patternFill>
        </fill>
      </ndxf>
    </rcc>
    <rcc rId="0" sId="2" dxf="1">
      <nc r="I484">
        <v>20260629007</v>
      </nc>
      <ndxf>
        <fill>
          <patternFill patternType="solid">
            <bgColor theme="8" tint="0.59999389629810485"/>
          </patternFill>
        </fill>
      </ndxf>
    </rcc>
    <rcc rId="0" sId="2" dxf="1">
      <nc r="I485">
        <v>20260629023</v>
      </nc>
      <ndxf>
        <fill>
          <patternFill patternType="solid">
            <bgColor theme="5" tint="0.59999389629810485"/>
          </patternFill>
        </fill>
      </ndxf>
    </rcc>
    <rcc rId="0" sId="2" dxf="1">
      <nc r="I486">
        <v>20260629024</v>
      </nc>
      <ndxf>
        <fill>
          <patternFill patternType="solid">
            <bgColor theme="5" tint="0.59999389629810485"/>
          </patternFill>
        </fill>
      </ndxf>
    </rcc>
    <rcc rId="0" sId="2" dxf="1">
      <nc r="I487" t="inlineStr">
        <is>
          <t>20260701002-1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488">
        <v>20260629008</v>
      </nc>
      <ndxf>
        <fill>
          <patternFill patternType="solid">
            <bgColor theme="8" tint="0.59999389629810485"/>
          </patternFill>
        </fill>
      </ndxf>
    </rcc>
    <rcc rId="0" sId="2" dxf="1">
      <nc r="I489">
        <v>20260629025</v>
      </nc>
      <ndxf>
        <fill>
          <patternFill patternType="solid">
            <bgColor theme="5" tint="0.59999389629810485"/>
          </patternFill>
        </fill>
      </ndxf>
    </rcc>
    <rcc rId="0" sId="2" dxf="1">
      <nc r="I490">
        <v>20260629026</v>
      </nc>
      <ndxf>
        <fill>
          <patternFill patternType="solid">
            <bgColor theme="5" tint="0.59999389629810485"/>
          </patternFill>
        </fill>
      </ndxf>
    </rcc>
    <rcc rId="0" sId="2" dxf="1">
      <nc r="I491">
        <v>20260629009</v>
      </nc>
      <ndxf>
        <fill>
          <patternFill patternType="solid">
            <bgColor theme="8" tint="0.59999389629810485"/>
          </patternFill>
        </fill>
      </ndxf>
    </rcc>
    <rcc rId="0" sId="2" dxf="1">
      <nc r="I492">
        <v>20260629010</v>
      </nc>
      <ndxf>
        <fill>
          <patternFill patternType="solid">
            <bgColor theme="8" tint="0.59999389629810485"/>
          </patternFill>
        </fill>
      </ndxf>
    </rcc>
    <rcc rId="0" sId="2" dxf="1">
      <nc r="I493">
        <v>20260629027</v>
      </nc>
      <ndxf>
        <fill>
          <patternFill patternType="solid">
            <bgColor theme="5" tint="0.59999389629810485"/>
          </patternFill>
        </fill>
      </ndxf>
    </rcc>
    <rcc rId="0" sId="2" dxf="1">
      <nc r="I494">
        <v>20260629028</v>
      </nc>
      <ndxf>
        <fill>
          <patternFill patternType="solid">
            <bgColor theme="5" tint="0.59999389629810485"/>
          </patternFill>
        </fill>
      </ndxf>
    </rcc>
    <rcc rId="0" sId="2" dxf="1">
      <nc r="I495" t="inlineStr">
        <is>
          <t>20260701003-1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496">
        <v>20260629011</v>
      </nc>
      <ndxf>
        <fill>
          <patternFill patternType="solid">
            <bgColor theme="8" tint="0.59999389629810485"/>
          </patternFill>
        </fill>
      </ndxf>
    </rcc>
    <rcc rId="0" sId="2" dxf="1">
      <nc r="I497">
        <v>20260629012</v>
      </nc>
      <ndxf>
        <fill>
          <patternFill patternType="solid">
            <bgColor theme="8" tint="0.59999389629810485"/>
          </patternFill>
        </fill>
      </ndxf>
    </rcc>
    <rcc rId="0" sId="2" dxf="1">
      <nc r="I498">
        <v>20260629029</v>
      </nc>
      <ndxf>
        <fill>
          <patternFill patternType="solid">
            <bgColor theme="5" tint="0.59999389629810485"/>
          </patternFill>
        </fill>
      </ndxf>
    </rcc>
    <rcc rId="0" sId="2" dxf="1">
      <nc r="I499">
        <v>20260629030</v>
      </nc>
      <ndxf>
        <fill>
          <patternFill patternType="solid">
            <bgColor theme="5" tint="0.59999389629810485"/>
          </patternFill>
        </fill>
      </ndxf>
    </rcc>
    <rcc rId="0" sId="2" dxf="1">
      <nc r="I500" t="inlineStr">
        <is>
          <t>20260701005-1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501">
        <v>20260629013</v>
      </nc>
      <ndxf>
        <fill>
          <patternFill patternType="solid">
            <bgColor theme="8" tint="0.59999389629810485"/>
          </patternFill>
        </fill>
      </ndxf>
    </rcc>
    <rcc rId="0" sId="2" dxf="1">
      <nc r="I502">
        <v>20260629031</v>
      </nc>
      <ndxf>
        <fill>
          <patternFill patternType="solid">
            <bgColor theme="5" tint="0.59999389629810485"/>
          </patternFill>
        </fill>
      </ndxf>
    </rcc>
    <rcc rId="0" sId="2" dxf="1">
      <nc r="I503">
        <v>20260629032</v>
      </nc>
      <ndxf>
        <fill>
          <patternFill patternType="solid">
            <bgColor theme="5" tint="0.59999389629810485"/>
          </patternFill>
        </fill>
      </ndxf>
    </rcc>
    <rcc rId="0" sId="2" dxf="1">
      <nc r="I504" t="inlineStr">
        <is>
          <t>20260701004-2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505">
        <v>20260629014</v>
      </nc>
      <ndxf>
        <fill>
          <patternFill patternType="solid">
            <bgColor theme="8" tint="0.59999389629810485"/>
          </patternFill>
        </fill>
      </ndxf>
    </rcc>
    <rcc rId="0" sId="2" dxf="1">
      <nc r="I506">
        <v>20260706010</v>
      </nc>
      <ndxf>
        <fill>
          <patternFill patternType="solid">
            <bgColor theme="8" tint="0.59999389629810485"/>
          </patternFill>
        </fill>
      </ndxf>
    </rcc>
    <rcc rId="0" sId="2" dxf="1">
      <nc r="I507">
        <v>20260706021</v>
      </nc>
      <ndxf>
        <fill>
          <patternFill patternType="solid">
            <bgColor theme="9" tint="0.59999389629810485"/>
          </patternFill>
        </fill>
      </ndxf>
    </rcc>
    <rcc rId="0" sId="2" dxf="1">
      <nc r="I508">
        <v>20260703005</v>
      </nc>
      <ndxf>
        <fill>
          <patternFill patternType="solid">
            <bgColor rgb="FFFFFFCC"/>
          </patternFill>
        </fill>
      </ndxf>
    </rcc>
    <rcc rId="0" sId="2" dxf="1">
      <nc r="I509">
        <v>20260706011</v>
      </nc>
      <ndxf>
        <fill>
          <patternFill patternType="solid">
            <bgColor theme="8" tint="0.59999389629810485"/>
          </patternFill>
        </fill>
      </ndxf>
    </rcc>
    <rcc rId="0" sId="2" dxf="1">
      <nc r="I510">
        <v>20260706022</v>
      </nc>
      <ndxf>
        <fill>
          <patternFill patternType="solid">
            <bgColor theme="5" tint="0.59999389629810485"/>
          </patternFill>
        </fill>
      </ndxf>
    </rcc>
    <rcc rId="0" sId="2" dxf="1">
      <nc r="I511">
        <v>20260706023</v>
      </nc>
      <ndxf>
        <fill>
          <patternFill patternType="solid">
            <bgColor theme="5" tint="0.59999389629810485"/>
          </patternFill>
        </fill>
      </ndxf>
    </rcc>
    <rcc rId="0" sId="2" dxf="1">
      <nc r="I512">
        <v>20260706024</v>
      </nc>
      <ndxf>
        <fill>
          <patternFill patternType="solid">
            <bgColor theme="5" tint="0.59999389629810485"/>
          </patternFill>
        </fill>
      </ndxf>
    </rcc>
    <rcc rId="0" sId="2" dxf="1">
      <nc r="I513">
        <v>20260706012</v>
      </nc>
      <ndxf>
        <fill>
          <patternFill patternType="solid">
            <bgColor theme="8" tint="0.59999389629810485"/>
          </patternFill>
        </fill>
      </ndxf>
    </rcc>
    <rcc rId="0" sId="2" dxf="1">
      <nc r="I514">
        <v>20260706013</v>
      </nc>
      <ndxf>
        <fill>
          <patternFill patternType="solid">
            <bgColor theme="8" tint="0.59999389629810485"/>
          </patternFill>
        </fill>
      </ndxf>
    </rcc>
    <rcc rId="0" sId="2" dxf="1">
      <nc r="I515">
        <v>20260706025</v>
      </nc>
      <ndxf>
        <fill>
          <patternFill patternType="solid">
            <bgColor theme="5" tint="0.59999389629810485"/>
          </patternFill>
        </fill>
      </ndxf>
    </rcc>
    <rcc rId="0" sId="2" dxf="1">
      <nc r="I516">
        <v>20260706026</v>
      </nc>
      <ndxf>
        <fill>
          <patternFill patternType="solid">
            <bgColor theme="5" tint="0.59999389629810485"/>
          </patternFill>
        </fill>
      </ndxf>
    </rcc>
    <rcc rId="0" sId="2" dxf="1">
      <nc r="I517">
        <v>20260706014</v>
      </nc>
      <ndxf>
        <fill>
          <patternFill patternType="solid">
            <bgColor theme="8" tint="0.59999389629810485"/>
          </patternFill>
        </fill>
      </ndxf>
    </rcc>
    <rcc rId="0" sId="2" dxf="1">
      <nc r="I518">
        <v>20260706027</v>
      </nc>
      <ndxf>
        <fill>
          <patternFill patternType="solid">
            <bgColor theme="5" tint="0.59999389629810485"/>
          </patternFill>
        </fill>
      </ndxf>
    </rcc>
    <rcc rId="0" sId="2" dxf="1">
      <nc r="I519">
        <v>20260706028</v>
      </nc>
      <ndxf>
        <fill>
          <patternFill patternType="solid">
            <bgColor theme="5" tint="0.59999389629810485"/>
          </patternFill>
        </fill>
      </ndxf>
    </rcc>
    <rcc rId="0" sId="2" dxf="1">
      <nc r="I520" t="inlineStr">
        <is>
          <t>20260709003-1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521">
        <v>20260706015</v>
      </nc>
      <ndxf>
        <fill>
          <patternFill patternType="solid">
            <bgColor theme="8" tint="0.59999389629810485"/>
          </patternFill>
        </fill>
      </ndxf>
    </rcc>
    <rcc rId="0" sId="2" dxf="1">
      <nc r="I522">
        <v>20260706016</v>
      </nc>
      <ndxf>
        <fill>
          <patternFill patternType="solid">
            <bgColor theme="8" tint="0.59999389629810485"/>
          </patternFill>
        </fill>
      </ndxf>
    </rcc>
    <rcc rId="0" sId="2" dxf="1">
      <nc r="I523">
        <v>20260706029</v>
      </nc>
      <ndxf>
        <fill>
          <patternFill patternType="solid">
            <bgColor theme="5" tint="0.59999389629810485"/>
          </patternFill>
        </fill>
      </ndxf>
    </rcc>
    <rcc rId="0" sId="2" dxf="1">
      <nc r="I524">
        <v>20260706030</v>
      </nc>
      <ndxf>
        <fill>
          <patternFill patternType="solid">
            <bgColor theme="5" tint="0.59999389629810485"/>
          </patternFill>
        </fill>
      </ndxf>
    </rcc>
    <rcc rId="0" sId="2" dxf="1">
      <nc r="I525">
        <v>20260706017</v>
      </nc>
      <ndxf>
        <fill>
          <patternFill patternType="solid">
            <bgColor theme="8" tint="0.59999389629810485"/>
          </patternFill>
        </fill>
      </ndxf>
    </rcc>
    <rcc rId="0" sId="2" dxf="1">
      <nc r="I526">
        <v>20260706031</v>
      </nc>
      <ndxf>
        <fill>
          <patternFill patternType="solid">
            <bgColor theme="5" tint="0.59999389629810485"/>
          </patternFill>
        </fill>
      </ndxf>
    </rcc>
    <rcc rId="0" sId="2" dxf="1">
      <nc r="I527">
        <v>20260706032</v>
      </nc>
      <ndxf>
        <fill>
          <patternFill patternType="solid">
            <bgColor theme="5" tint="0.59999389629810485"/>
          </patternFill>
        </fill>
      </ndxf>
    </rcc>
    <rcc rId="0" sId="2" dxf="1">
      <nc r="I528">
        <v>20260709004</v>
      </nc>
      <ndxf>
        <fill>
          <patternFill patternType="solid">
            <bgColor rgb="FFFFFFCC"/>
          </patternFill>
        </fill>
      </ndxf>
    </rcc>
    <rcc rId="0" sId="2" dxf="1">
      <nc r="I529">
        <v>20260706018</v>
      </nc>
      <ndxf>
        <fill>
          <patternFill patternType="solid">
            <bgColor theme="8" tint="0.59999389629810485"/>
          </patternFill>
        </fill>
      </ndxf>
    </rcc>
    <rcc rId="0" sId="2" dxf="1">
      <nc r="I530">
        <v>20260706019</v>
      </nc>
      <ndxf>
        <fill>
          <patternFill patternType="solid">
            <bgColor theme="8" tint="0.59999389629810485"/>
          </patternFill>
        </fill>
      </ndxf>
    </rcc>
    <rcc rId="0" sId="2" dxf="1">
      <nc r="I531">
        <v>20260706033</v>
      </nc>
      <ndxf>
        <fill>
          <patternFill patternType="solid">
            <bgColor theme="5" tint="0.59999389629810485"/>
          </patternFill>
        </fill>
      </ndxf>
    </rcc>
    <rcc rId="0" sId="2" dxf="1">
      <nc r="I532">
        <v>20260706034</v>
      </nc>
      <ndxf>
        <fill>
          <patternFill patternType="solid">
            <bgColor theme="5" tint="0.59999389629810485"/>
          </patternFill>
        </fill>
      </ndxf>
    </rcc>
    <rcc rId="0" sId="2" dxf="1">
      <nc r="I533">
        <v>20260706020</v>
      </nc>
      <ndxf>
        <fill>
          <patternFill patternType="solid">
            <bgColor theme="8" tint="0.59999389629810485"/>
          </patternFill>
        </fill>
      </ndxf>
    </rcc>
    <rcc rId="0" sId="2" dxf="1">
      <nc r="I534" t="inlineStr">
        <is>
          <t>20260714001-2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35">
        <v>20260714012</v>
      </nc>
      <ndxf>
        <fill>
          <patternFill patternType="solid">
            <bgColor theme="5" tint="0.59999389629810485"/>
          </patternFill>
        </fill>
      </ndxf>
    </rcc>
    <rcc rId="0" sId="2" dxf="1">
      <nc r="I536">
        <v>20260714013</v>
      </nc>
      <ndxf>
        <fill>
          <patternFill patternType="solid">
            <bgColor theme="5" tint="0.59999389629810485"/>
          </patternFill>
        </fill>
      </ndxf>
    </rcc>
    <rcc rId="0" sId="2" dxf="1">
      <nc r="I537" t="inlineStr">
        <is>
          <t>20260714002-1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38">
        <v>20260714014</v>
      </nc>
      <ndxf>
        <fill>
          <patternFill patternType="solid">
            <bgColor theme="5" tint="0.59999389629810485"/>
          </patternFill>
        </fill>
      </ndxf>
    </rcc>
    <rcc rId="0" sId="2" dxf="1">
      <nc r="I539">
        <v>20260714015</v>
      </nc>
      <ndxf>
        <fill>
          <patternFill patternType="solid">
            <bgColor theme="5" tint="0.59999389629810485"/>
          </patternFill>
        </fill>
      </ndxf>
    </rcc>
    <rcc rId="0" sId="2" dxf="1">
      <nc r="I540">
        <v>20260709005</v>
      </nc>
      <ndxf>
        <fill>
          <patternFill patternType="solid">
            <bgColor rgb="FFFFFFCC"/>
          </patternFill>
        </fill>
      </ndxf>
    </rcc>
    <rcc rId="0" sId="2" dxf="1">
      <nc r="I541">
        <v>20260714003</v>
      </nc>
      <ndxf>
        <fill>
          <patternFill patternType="solid">
            <bgColor theme="8" tint="0.59999389629810485"/>
          </patternFill>
        </fill>
      </ndxf>
    </rcc>
    <rcc rId="0" sId="2" dxf="1">
      <nc r="I542">
        <v>20260714004</v>
      </nc>
      <ndxf>
        <fill>
          <patternFill patternType="solid">
            <bgColor theme="8" tint="0.59999389629810485"/>
          </patternFill>
        </fill>
      </ndxf>
    </rcc>
    <rcc rId="0" sId="2" dxf="1">
      <nc r="I543">
        <v>20260714016</v>
      </nc>
      <ndxf>
        <fill>
          <patternFill patternType="solid">
            <bgColor theme="5" tint="0.59999389629810485"/>
          </patternFill>
        </fill>
      </ndxf>
    </rcc>
    <rcc rId="0" sId="2" dxf="1">
      <nc r="I544">
        <v>20260714017</v>
      </nc>
      <ndxf>
        <fill>
          <patternFill patternType="solid">
            <bgColor theme="5" tint="0.59999389629810485"/>
          </patternFill>
        </fill>
      </ndxf>
    </rcc>
    <rcc rId="0" sId="2" dxf="1">
      <nc r="I545">
        <v>20260714005</v>
      </nc>
      <ndxf>
        <fill>
          <patternFill patternType="solid">
            <bgColor theme="8" tint="0.59999389629810485"/>
          </patternFill>
        </fill>
      </ndxf>
    </rcc>
    <rcc rId="0" sId="2" dxf="1">
      <nc r="I546">
        <v>20260714006</v>
      </nc>
      <ndxf>
        <fill>
          <patternFill patternType="solid">
            <bgColor theme="8" tint="0.59999389629810485"/>
          </patternFill>
        </fill>
      </ndxf>
    </rcc>
    <rcc rId="0" sId="2" dxf="1">
      <nc r="I547">
        <v>20260714018</v>
      </nc>
      <ndxf>
        <fill>
          <patternFill patternType="solid">
            <bgColor theme="5" tint="0.59999389629810485"/>
          </patternFill>
        </fill>
      </ndxf>
    </rcc>
    <rcc rId="0" sId="2" dxf="1">
      <nc r="I548">
        <v>20260714019</v>
      </nc>
      <ndxf>
        <fill>
          <patternFill patternType="solid">
            <bgColor theme="5" tint="0.59999389629810485"/>
          </patternFill>
        </fill>
      </ndxf>
    </rcc>
    <rcc rId="0" sId="2" dxf="1">
      <nc r="I549">
        <v>20260714007</v>
      </nc>
      <ndxf>
        <fill>
          <patternFill patternType="solid">
            <bgColor theme="8" tint="0.59999389629810485"/>
          </patternFill>
        </fill>
      </ndxf>
    </rcc>
    <rcc rId="0" sId="2" dxf="1">
      <nc r="I550">
        <v>20260714020</v>
      </nc>
      <ndxf>
        <fill>
          <patternFill patternType="solid">
            <bgColor theme="5" tint="0.59999389629810485"/>
          </patternFill>
        </fill>
      </ndxf>
    </rcc>
    <rcc rId="0" sId="2" dxf="1">
      <nc r="I551">
        <v>20260714021</v>
      </nc>
      <ndxf>
        <fill>
          <patternFill patternType="solid">
            <bgColor theme="5" tint="0.59999389629810485"/>
          </patternFill>
        </fill>
      </ndxf>
    </rcc>
    <rcc rId="0" sId="2" dxf="1">
      <nc r="I552">
        <v>20260714008</v>
      </nc>
      <ndxf>
        <fill>
          <patternFill patternType="solid">
            <bgColor theme="8" tint="0.59999389629810485"/>
          </patternFill>
        </fill>
      </ndxf>
    </rcc>
    <rcc rId="0" sId="2" dxf="1">
      <nc r="I553">
        <v>20260714009</v>
      </nc>
      <ndxf>
        <fill>
          <patternFill patternType="solid">
            <bgColor theme="8" tint="0.59999389629810485"/>
          </patternFill>
        </fill>
      </ndxf>
    </rcc>
    <rcc rId="0" sId="2" dxf="1">
      <nc r="I554">
        <v>20260714022</v>
      </nc>
      <ndxf>
        <fill>
          <patternFill patternType="solid">
            <bgColor theme="5" tint="0.59999389629810485"/>
          </patternFill>
        </fill>
      </ndxf>
    </rcc>
    <rcc rId="0" sId="2" dxf="1">
      <nc r="I555">
        <v>20260714023</v>
      </nc>
      <ndxf>
        <fill>
          <patternFill patternType="solid">
            <bgColor theme="5" tint="0.59999389629810485"/>
          </patternFill>
        </fill>
      </ndxf>
    </rcc>
    <rcc rId="0" sId="2" dxf="1">
      <nc r="I556" t="inlineStr">
        <is>
          <t>20260714010-1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57">
        <v>20260714024</v>
      </nc>
      <ndxf>
        <fill>
          <patternFill patternType="solid">
            <bgColor theme="5" tint="0.59999389629810485"/>
          </patternFill>
        </fill>
      </ndxf>
    </rcc>
    <rcc rId="0" sId="2" dxf="1">
      <nc r="I558">
        <v>20260714025</v>
      </nc>
      <ndxf>
        <fill>
          <patternFill patternType="solid">
            <bgColor theme="5" tint="0.59999389629810485"/>
          </patternFill>
        </fill>
      </ndxf>
    </rcc>
    <rcc rId="0" sId="2" dxf="1">
      <nc r="I559">
        <v>20260720018</v>
      </nc>
      <ndxf>
        <fill>
          <patternFill patternType="solid">
            <bgColor theme="5" tint="0.59999389629810485"/>
          </patternFill>
        </fill>
      </ndxf>
    </rcc>
    <rcc rId="0" sId="2" dxf="1">
      <nc r="I560">
        <v>20260714011</v>
      </nc>
      <ndxf>
        <fill>
          <patternFill patternType="solid">
            <bgColor theme="8" tint="0.59999389629810485"/>
          </patternFill>
        </fill>
      </ndxf>
    </rcc>
    <rcc rId="0" sId="2" dxf="1">
      <nc r="I561">
        <v>20260720007</v>
      </nc>
      <ndxf>
        <fill>
          <patternFill patternType="solid">
            <bgColor theme="8" tint="0.59999389629810485"/>
          </patternFill>
        </fill>
      </ndxf>
    </rcc>
    <rcc rId="0" sId="2" dxf="1">
      <nc r="I562">
        <v>20260720019</v>
      </nc>
      <ndxf>
        <fill>
          <patternFill patternType="solid">
            <bgColor theme="5" tint="0.59999389629810485"/>
          </patternFill>
        </fill>
      </ndxf>
    </rcc>
    <rcc rId="0" sId="2" dxf="1">
      <nc r="I563">
        <v>20260720020</v>
      </nc>
      <ndxf>
        <fill>
          <patternFill patternType="solid">
            <bgColor theme="5" tint="0.59999389629810485"/>
          </patternFill>
        </fill>
      </ndxf>
    </rcc>
    <rcc rId="0" sId="2" dxf="1">
      <nc r="I564" t="inlineStr">
        <is>
          <t>20260720008-1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65">
        <v>20260720009</v>
      </nc>
      <ndxf>
        <fill>
          <patternFill patternType="solid">
            <bgColor theme="8" tint="0.59999389629810485"/>
          </patternFill>
        </fill>
      </ndxf>
    </rcc>
    <rcc rId="0" sId="2" dxf="1">
      <nc r="I566">
        <v>20260720021</v>
      </nc>
      <ndxf>
        <fill>
          <patternFill patternType="solid">
            <bgColor theme="5" tint="0.59999389629810485"/>
          </patternFill>
        </fill>
      </ndxf>
    </rcc>
    <rcc rId="0" sId="2" dxf="1">
      <nc r="I567">
        <v>20260709006</v>
      </nc>
      <ndxf>
        <fill>
          <patternFill patternType="solid">
            <bgColor rgb="FFFFFFCC"/>
          </patternFill>
        </fill>
      </ndxf>
    </rcc>
    <rcc rId="0" sId="2" dxf="1">
      <nc r="I568">
        <v>20260720010</v>
      </nc>
      <ndxf>
        <fill>
          <patternFill patternType="solid">
            <bgColor theme="8" tint="0.59999389629810485"/>
          </patternFill>
        </fill>
      </ndxf>
    </rcc>
    <rcc rId="0" sId="2" dxf="1">
      <nc r="I569">
        <v>20260720022</v>
      </nc>
      <ndxf>
        <fill>
          <patternFill patternType="solid">
            <bgColor theme="5" tint="0.59999389629810485"/>
          </patternFill>
        </fill>
      </ndxf>
    </rcc>
    <rcc rId="0" sId="2" dxf="1">
      <nc r="I570">
        <v>20260720023</v>
      </nc>
      <ndxf>
        <fill>
          <patternFill patternType="solid">
            <bgColor theme="5" tint="0.59999389629810485"/>
          </patternFill>
        </fill>
      </ndxf>
    </rcc>
    <rcc rId="0" sId="2" dxf="1">
      <nc r="I571">
        <v>20260720011</v>
      </nc>
      <ndxf>
        <fill>
          <patternFill patternType="solid">
            <bgColor theme="8" tint="0.59999389629810485"/>
          </patternFill>
        </fill>
      </ndxf>
    </rcc>
    <rcc rId="0" sId="2" dxf="1">
      <nc r="I572">
        <v>20260720012</v>
      </nc>
      <ndxf>
        <fill>
          <patternFill patternType="solid">
            <bgColor theme="8" tint="0.59999389629810485"/>
          </patternFill>
        </fill>
      </ndxf>
    </rcc>
    <rcc rId="0" sId="2" dxf="1">
      <nc r="I573">
        <v>20260720024</v>
      </nc>
      <ndxf>
        <fill>
          <patternFill patternType="solid">
            <bgColor theme="5" tint="0.59999389629810485"/>
          </patternFill>
        </fill>
      </ndxf>
    </rcc>
    <rcc rId="0" sId="2" dxf="1">
      <nc r="I574">
        <v>20260720025</v>
      </nc>
      <ndxf>
        <fill>
          <patternFill patternType="solid">
            <bgColor theme="5" tint="0.59999389629810485"/>
          </patternFill>
        </fill>
      </ndxf>
    </rcc>
    <rcc rId="0" sId="2" dxf="1">
      <nc r="I575">
        <v>20260720013</v>
      </nc>
      <ndxf>
        <fill>
          <patternFill patternType="solid">
            <bgColor theme="8" tint="0.59999389629810485"/>
          </patternFill>
        </fill>
      </ndxf>
    </rcc>
    <rcc rId="0" sId="2" dxf="1">
      <nc r="I576">
        <v>20260720026</v>
      </nc>
      <ndxf>
        <fill>
          <patternFill patternType="solid">
            <bgColor theme="5" tint="0.59999389629810485"/>
          </patternFill>
        </fill>
      </ndxf>
    </rcc>
    <rcc rId="0" sId="2" dxf="1">
      <nc r="I577">
        <v>20260720027</v>
      </nc>
      <ndxf>
        <fill>
          <patternFill patternType="solid">
            <bgColor theme="5" tint="0.59999389629810485"/>
          </patternFill>
        </fill>
      </ndxf>
    </rcc>
    <rcc rId="0" sId="2" dxf="1">
      <nc r="I578">
        <v>20260720014</v>
      </nc>
      <ndxf>
        <fill>
          <patternFill patternType="solid">
            <bgColor theme="8" tint="0.59999389629810485"/>
          </patternFill>
        </fill>
      </ndxf>
    </rcc>
    <rcc rId="0" sId="2" dxf="1">
      <nc r="I579">
        <v>20260720015</v>
      </nc>
      <ndxf>
        <fill>
          <patternFill patternType="solid">
            <bgColor theme="8" tint="0.59999389629810485"/>
          </patternFill>
        </fill>
      </ndxf>
    </rcc>
    <rcc rId="0" sId="2" dxf="1">
      <nc r="I580">
        <v>20260720028</v>
      </nc>
      <ndxf>
        <fill>
          <patternFill patternType="solid">
            <bgColor theme="5" tint="0.59999389629810485"/>
          </patternFill>
        </fill>
      </ndxf>
    </rcc>
    <rcc rId="0" sId="2" dxf="1">
      <nc r="I581">
        <v>20260720029</v>
      </nc>
      <ndxf>
        <fill>
          <patternFill patternType="solid">
            <bgColor theme="5" tint="0.59999389629810485"/>
          </patternFill>
        </fill>
      </ndxf>
    </rcc>
    <rcc rId="0" sId="2" dxf="1">
      <nc r="I582" t="inlineStr">
        <is>
          <t>20260720016-1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83">
        <v>20260720030</v>
      </nc>
      <ndxf>
        <fill>
          <patternFill patternType="solid">
            <bgColor theme="5" tint="0.59999389629810485"/>
          </patternFill>
        </fill>
      </ndxf>
    </rcc>
    <rcc rId="0" sId="2" dxf="1">
      <nc r="I584">
        <v>20260720031</v>
      </nc>
      <ndxf>
        <fill>
          <patternFill patternType="solid">
            <bgColor theme="5" tint="0.59999389629810485"/>
          </patternFill>
        </fill>
      </ndxf>
    </rcc>
    <rcc rId="0" sId="2" dxf="1">
      <nc r="I585" t="inlineStr">
        <is>
          <t>20260720005-1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2" dxf="1">
      <nc r="I586">
        <v>20260720017</v>
      </nc>
      <ndxf>
        <fill>
          <patternFill patternType="solid">
            <bgColor theme="8" tint="0.59999389629810485"/>
          </patternFill>
        </fill>
      </ndxf>
    </rcc>
    <rcc rId="0" sId="2" dxf="1">
      <nc r="I587" t="inlineStr">
        <is>
          <t>20260728001-1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88">
        <v>20260728005</v>
      </nc>
      <ndxf>
        <fill>
          <patternFill patternType="solid">
            <bgColor theme="5" tint="0.59999389629810485"/>
          </patternFill>
        </fill>
      </ndxf>
    </rcc>
    <rcc rId="0" sId="2" dxf="1">
      <nc r="I589">
        <v>20260728006</v>
      </nc>
      <ndxf>
        <fill>
          <patternFill patternType="solid">
            <bgColor theme="5" tint="0.59999389629810485"/>
          </patternFill>
        </fill>
      </ndxf>
    </rcc>
    <rcc rId="0" sId="2" dxf="1">
      <nc r="I590" t="inlineStr">
        <is>
          <t>20260728002-1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91" t="inlineStr">
        <is>
          <t>20260728003-1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92">
        <v>20260728007</v>
      </nc>
      <ndxf>
        <fill>
          <patternFill patternType="solid">
            <bgColor theme="5" tint="0.59999389629810485"/>
          </patternFill>
        </fill>
      </ndxf>
    </rcc>
    <rcc rId="0" sId="2" dxf="1">
      <nc r="I593">
        <v>20260728008</v>
      </nc>
      <ndxf>
        <fill>
          <patternFill patternType="solid">
            <bgColor theme="5" tint="0.59999389629810485"/>
          </patternFill>
        </fill>
      </ndxf>
    </rcc>
    <rcc rId="0" sId="2" dxf="1">
      <nc r="I594" t="inlineStr">
        <is>
          <t>20260728004-1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595">
        <v>20260728009</v>
      </nc>
      <ndxf>
        <fill>
          <patternFill patternType="solid">
            <bgColor theme="5" tint="0.59999389629810485"/>
          </patternFill>
        </fill>
      </ndxf>
    </rcc>
    <rcc rId="0" sId="2" dxf="1">
      <nc r="I596">
        <v>20260728010</v>
      </nc>
      <ndxf>
        <fill>
          <patternFill patternType="solid">
            <bgColor theme="5" tint="0.59999389629810485"/>
          </patternFill>
        </fill>
      </ndxf>
    </rcc>
    <rcc rId="0" sId="2" dxf="1">
      <nc r="I597">
        <v>20260730001</v>
      </nc>
      <ndxf>
        <fill>
          <patternFill patternType="solid">
            <bgColor theme="8" tint="0.59999389629810485"/>
          </patternFill>
        </fill>
      </ndxf>
    </rcc>
    <rcc rId="0" sId="2" dxf="1">
      <nc r="I598">
        <v>20260730002</v>
      </nc>
      <ndxf>
        <fill>
          <patternFill patternType="solid">
            <bgColor theme="8" tint="0.59999389629810485"/>
          </patternFill>
        </fill>
      </ndxf>
    </rcc>
    <rcc rId="0" sId="2" dxf="1">
      <nc r="I599">
        <v>20260730008</v>
      </nc>
      <ndxf>
        <fill>
          <patternFill patternType="solid">
            <bgColor theme="5" tint="0.59999389629810485"/>
          </patternFill>
        </fill>
      </ndxf>
    </rcc>
    <rcc rId="0" sId="2" dxf="1">
      <nc r="I600">
        <v>20260730009</v>
      </nc>
      <ndxf>
        <fill>
          <patternFill patternType="solid">
            <bgColor theme="5" tint="0.59999389629810485"/>
          </patternFill>
        </fill>
      </ndxf>
    </rcc>
    <rcc rId="0" sId="2" dxf="1">
      <nc r="I601" t="inlineStr">
        <is>
          <t>20260730003-1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602">
        <v>20260730010</v>
      </nc>
      <ndxf>
        <fill>
          <patternFill patternType="solid">
            <bgColor theme="5" tint="0.59999389629810485"/>
          </patternFill>
        </fill>
      </ndxf>
    </rcc>
    <rcc rId="0" sId="2" dxf="1">
      <nc r="I603">
        <v>20260730011</v>
      </nc>
      <ndxf>
        <fill>
          <patternFill patternType="solid">
            <bgColor theme="5" tint="0.59999389629810485"/>
          </patternFill>
        </fill>
      </ndxf>
    </rcc>
    <rcc rId="0" sId="2" dxf="1">
      <nc r="I604">
        <v>20260720006</v>
      </nc>
      <ndxf>
        <fill>
          <patternFill patternType="solid">
            <bgColor rgb="FFFFFFCC"/>
          </patternFill>
        </fill>
      </ndxf>
    </rcc>
    <rcc rId="0" sId="2" dxf="1">
      <nc r="I605" t="inlineStr">
        <is>
          <t>20260730004-1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606" t="inlineStr">
        <is>
          <t>20260730005-1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607">
        <v>20260730012</v>
      </nc>
      <ndxf>
        <fill>
          <patternFill patternType="solid">
            <bgColor theme="5" tint="0.59999389629810485"/>
          </patternFill>
        </fill>
      </ndxf>
    </rcc>
    <rcc rId="0" sId="2" dxf="1">
      <nc r="I608">
        <v>20260730013</v>
      </nc>
      <ndxf>
        <fill>
          <patternFill patternType="solid">
            <bgColor theme="5" tint="0.59999389629810485"/>
          </patternFill>
        </fill>
      </ndxf>
    </rcc>
    <rcc rId="0" sId="2" dxf="1">
      <nc r="I609" t="inlineStr">
        <is>
          <t>20260730006-1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2" dxf="1">
      <nc r="I610" t="inlineStr">
        <is>
          <t>20260730007-1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11">
        <v>20260730014</v>
      </nc>
      <ndxf>
        <fill>
          <patternFill patternType="solid">
            <bgColor theme="5" tint="0.59999389629810485"/>
          </patternFill>
        </fill>
      </ndxf>
    </rcc>
    <rcc rId="0" sId="2" dxf="1">
      <nc r="I612">
        <v>20260730015</v>
      </nc>
      <ndxf>
        <fill>
          <patternFill patternType="solid">
            <bgColor theme="5" tint="0.59999389629810485"/>
          </patternFill>
        </fill>
      </ndxf>
    </rcc>
    <rcc rId="0" sId="2" dxf="1">
      <nc r="I613">
        <v>20260804002</v>
      </nc>
      <ndxf>
        <fill>
          <patternFill patternType="solid">
            <bgColor theme="6" tint="0.59999389629810485"/>
          </patternFill>
        </fill>
      </ndxf>
    </rcc>
    <rcc rId="0" sId="2" dxf="1">
      <nc r="I614">
        <v>20260804013</v>
      </nc>
      <ndxf>
        <fill>
          <patternFill patternType="solid">
            <bgColor theme="8" tint="0.59999389629810485"/>
          </patternFill>
        </fill>
      </ndxf>
    </rcc>
    <rcc rId="0" sId="2" dxf="1">
      <nc r="I615">
        <v>20260804014</v>
      </nc>
      <ndxf>
        <fill>
          <patternFill patternType="solid">
            <bgColor theme="8" tint="0.59999389629810485"/>
          </patternFill>
        </fill>
      </ndxf>
    </rcc>
    <rcc rId="0" sId="2" dxf="1">
      <nc r="I616" t="inlineStr">
        <is>
          <t>20260804003-1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17" t="inlineStr">
        <is>
          <t>20260804004-1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18">
        <v>20260804015</v>
      </nc>
      <ndxf>
        <fill>
          <patternFill patternType="solid">
            <bgColor theme="8" tint="0.59999389629810485"/>
          </patternFill>
        </fill>
      </ndxf>
    </rcc>
    <rcc rId="0" sId="2" dxf="1">
      <nc r="I619">
        <v>20260804016</v>
      </nc>
      <ndxf>
        <fill>
          <patternFill patternType="solid">
            <bgColor theme="8" tint="0.59999389629810485"/>
          </patternFill>
        </fill>
      </ndxf>
    </rcc>
    <rcc rId="0" sId="2" dxf="1">
      <nc r="I620" t="inlineStr">
        <is>
          <t>20260804005-1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21">
        <v>20260804017</v>
      </nc>
      <ndxf>
        <fill>
          <patternFill patternType="solid">
            <bgColor theme="8" tint="0.59999389629810485"/>
          </patternFill>
        </fill>
      </ndxf>
    </rcc>
    <rcc rId="0" sId="2" dxf="1">
      <nc r="I622">
        <v>20260804018</v>
      </nc>
      <ndxf>
        <fill>
          <patternFill patternType="solid">
            <bgColor theme="8" tint="0.59999389629810485"/>
          </patternFill>
        </fill>
      </ndxf>
    </rcc>
    <rcc rId="0" sId="2" dxf="1">
      <nc r="I623">
        <v>20260804006</v>
      </nc>
      <ndxf>
        <fill>
          <patternFill patternType="solid">
            <bgColor theme="6" tint="0.59999389629810485"/>
          </patternFill>
        </fill>
      </ndxf>
    </rcc>
    <rcc rId="0" sId="2" dxf="1">
      <nc r="I624">
        <v>20260804007</v>
      </nc>
      <ndxf>
        <fill>
          <patternFill patternType="solid">
            <bgColor theme="6" tint="0.59999389629810485"/>
          </patternFill>
        </fill>
      </ndxf>
    </rcc>
    <rcc rId="0" sId="2" dxf="1">
      <nc r="I625">
        <v>20260804019</v>
      </nc>
      <ndxf>
        <fill>
          <patternFill patternType="solid">
            <bgColor theme="8" tint="0.59999389629810485"/>
          </patternFill>
        </fill>
      </ndxf>
    </rcc>
    <rcc rId="0" sId="2" dxf="1">
      <nc r="I626">
        <v>20260804020</v>
      </nc>
      <ndxf>
        <fill>
          <patternFill patternType="solid">
            <bgColor theme="8" tint="0.59999389629810485"/>
          </patternFill>
        </fill>
      </ndxf>
    </rcc>
    <rcc rId="0" sId="2" dxf="1">
      <nc r="I627" t="inlineStr">
        <is>
          <t>20260804001-2</t>
          <phoneticPr fontId="0" type="noConversion"/>
        </is>
      </nc>
      <ndxf>
        <fill>
          <patternFill patternType="solid">
            <bgColor theme="5" tint="0.59999389629810485"/>
          </patternFill>
        </fill>
      </ndxf>
    </rcc>
    <rcc rId="0" sId="2" dxf="1">
      <nc r="I628">
        <v>20260804008</v>
      </nc>
      <ndxf>
        <fill>
          <patternFill patternType="solid">
            <bgColor theme="6" tint="0.59999389629810485"/>
          </patternFill>
        </fill>
      </ndxf>
    </rcc>
    <rcc rId="0" sId="2" dxf="1">
      <nc r="I629">
        <v>20260804021</v>
      </nc>
      <ndxf>
        <fill>
          <patternFill patternType="solid">
            <bgColor theme="8" tint="0.59999389629810485"/>
          </patternFill>
        </fill>
      </ndxf>
    </rcc>
    <rcc rId="0" sId="2" dxf="1">
      <nc r="I630">
        <v>20260804022</v>
      </nc>
      <ndxf>
        <fill>
          <patternFill patternType="solid">
            <bgColor theme="8" tint="0.59999389629810485"/>
          </patternFill>
        </fill>
      </ndxf>
    </rcc>
    <rcc rId="0" sId="2" dxf="1">
      <nc r="I631">
        <v>20260804009</v>
      </nc>
      <ndxf>
        <fill>
          <patternFill patternType="solid">
            <bgColor theme="6" tint="0.59999389629810485"/>
          </patternFill>
        </fill>
      </ndxf>
    </rcc>
    <rcc rId="0" sId="2" dxf="1">
      <nc r="I632">
        <v>20260804010</v>
      </nc>
      <ndxf>
        <fill>
          <patternFill patternType="solid">
            <bgColor theme="6" tint="0.59999389629810485"/>
          </patternFill>
        </fill>
      </ndxf>
    </rcc>
    <rcc rId="0" sId="2" dxf="1">
      <nc r="I633">
        <v>20260804023</v>
      </nc>
      <ndxf>
        <fill>
          <patternFill patternType="solid">
            <bgColor theme="8" tint="0.59999389629810485"/>
          </patternFill>
        </fill>
      </ndxf>
    </rcc>
    <rcc rId="0" sId="2" dxf="1">
      <nc r="I634">
        <v>20260804024</v>
      </nc>
      <ndxf>
        <fill>
          <patternFill patternType="solid">
            <bgColor theme="8" tint="0.59999389629810485"/>
          </patternFill>
        </fill>
      </ndxf>
    </rcc>
    <rcc rId="0" sId="2" dxf="1">
      <nc r="I635">
        <v>20260804011</v>
      </nc>
      <ndxf>
        <fill>
          <patternFill patternType="solid">
            <bgColor theme="6" tint="0.59999389629810485"/>
          </patternFill>
        </fill>
      </ndxf>
    </rcc>
    <rcc rId="0" sId="2" dxf="1">
      <nc r="I636">
        <v>20260804025</v>
      </nc>
      <ndxf>
        <fill>
          <patternFill patternType="solid">
            <bgColor theme="8" tint="0.59999389629810485"/>
          </patternFill>
        </fill>
      </ndxf>
    </rcc>
    <rcc rId="0" sId="2" dxf="1">
      <nc r="I637">
        <v>20260804026</v>
      </nc>
      <ndxf>
        <fill>
          <patternFill patternType="solid">
            <bgColor theme="8" tint="0.59999389629810485"/>
          </patternFill>
        </fill>
      </ndxf>
    </rcc>
    <rcc rId="0" sId="2" dxf="1">
      <nc r="I638">
        <v>20260804012</v>
      </nc>
      <ndxf>
        <fill>
          <patternFill patternType="solid">
            <bgColor theme="6" tint="0.59999389629810485"/>
          </patternFill>
        </fill>
      </ndxf>
    </rcc>
    <rcc rId="0" sId="2" dxf="1">
      <nc r="I639">
        <v>20260811001</v>
      </nc>
      <ndxf>
        <fill>
          <patternFill patternType="solid">
            <bgColor theme="6" tint="0.59999389629810485"/>
          </patternFill>
        </fill>
      </ndxf>
    </rcc>
    <rcc rId="0" sId="2" dxf="1">
      <nc r="I640">
        <v>20260811011</v>
      </nc>
      <ndxf>
        <fill>
          <patternFill patternType="solid">
            <bgColor theme="8" tint="0.59999389629810485"/>
          </patternFill>
        </fill>
      </ndxf>
    </rcc>
    <rcc rId="0" sId="2" dxf="1">
      <nc r="I641">
        <v>20260811012</v>
      </nc>
      <ndxf>
        <fill>
          <patternFill patternType="solid">
            <bgColor theme="8" tint="0.59999389629810485"/>
          </patternFill>
        </fill>
      </ndxf>
    </rcc>
    <rcc rId="0" sId="2" dxf="1">
      <nc r="I642">
        <v>20260811002</v>
      </nc>
      <ndxf>
        <fill>
          <patternFill patternType="solid">
            <bgColor theme="6" tint="0.59999389629810485"/>
          </patternFill>
        </fill>
      </ndxf>
    </rcc>
    <rcc rId="0" sId="2" dxf="1">
      <nc r="I643">
        <v>20260811013</v>
      </nc>
      <ndxf>
        <fill>
          <patternFill patternType="solid">
            <bgColor theme="8" tint="0.59999389629810485"/>
          </patternFill>
        </fill>
      </ndxf>
    </rcc>
    <rcc rId="0" sId="2" dxf="1">
      <nc r="I644">
        <v>20260811014</v>
      </nc>
      <ndxf>
        <fill>
          <patternFill patternType="solid">
            <bgColor theme="8" tint="0.59999389629810485"/>
          </patternFill>
        </fill>
      </ndxf>
    </rcc>
    <rcc rId="0" sId="2" dxf="1">
      <nc r="I645">
        <v>20260811003</v>
      </nc>
      <ndxf>
        <fill>
          <patternFill patternType="solid">
            <bgColor theme="6" tint="0.59999389629810485"/>
          </patternFill>
        </fill>
      </ndxf>
    </rcc>
    <rcc rId="0" sId="2" dxf="1">
      <nc r="I646">
        <v>20260811004</v>
      </nc>
      <ndxf>
        <fill>
          <patternFill patternType="solid">
            <bgColor theme="6" tint="0.59999389629810485"/>
          </patternFill>
        </fill>
      </ndxf>
    </rcc>
    <rcc rId="0" sId="2" dxf="1">
      <nc r="I647">
        <v>20260811015</v>
      </nc>
      <ndxf>
        <fill>
          <patternFill patternType="solid">
            <bgColor theme="8" tint="0.59999389629810485"/>
          </patternFill>
        </fill>
      </ndxf>
    </rcc>
    <rcc rId="0" sId="2" dxf="1">
      <nc r="I648">
        <v>20260811016</v>
      </nc>
      <ndxf>
        <fill>
          <patternFill patternType="solid">
            <bgColor theme="8" tint="0.59999389629810485"/>
          </patternFill>
        </fill>
      </ndxf>
    </rcc>
    <rcc rId="0" sId="2" dxf="1">
      <nc r="I649">
        <v>20260811025</v>
      </nc>
      <ndxf>
        <fill>
          <patternFill patternType="solid">
            <bgColor theme="5" tint="0.59999389629810485"/>
          </patternFill>
        </fill>
      </ndxf>
    </rcc>
    <rcc rId="0" sId="2" dxf="1">
      <nc r="I650">
        <v>20260811005</v>
      </nc>
      <ndxf>
        <fill>
          <patternFill patternType="solid">
            <bgColor theme="6" tint="0.59999389629810485"/>
          </patternFill>
        </fill>
      </ndxf>
    </rcc>
    <rcc rId="0" sId="2" dxf="1">
      <nc r="I651">
        <v>20260811006</v>
      </nc>
      <ndxf>
        <fill>
          <patternFill patternType="solid">
            <bgColor theme="6" tint="0.59999389629810485"/>
          </patternFill>
        </fill>
      </ndxf>
    </rcc>
    <rcc rId="0" sId="2" dxf="1">
      <nc r="I652">
        <v>20260811017</v>
      </nc>
      <ndxf>
        <fill>
          <patternFill patternType="solid">
            <bgColor theme="8" tint="0.59999389629810485"/>
          </patternFill>
        </fill>
      </ndxf>
    </rcc>
    <rcc rId="0" sId="2" dxf="1">
      <nc r="I653">
        <v>20260811018</v>
      </nc>
      <ndxf>
        <fill>
          <patternFill patternType="solid">
            <bgColor theme="8" tint="0.59999389629810485"/>
          </patternFill>
        </fill>
      </ndxf>
    </rcc>
    <rcc rId="0" sId="2" dxf="1">
      <nc r="I654">
        <v>20260811026</v>
      </nc>
      <ndxf>
        <fill>
          <patternFill patternType="solid">
            <bgColor theme="5" tint="0.59999389629810485"/>
          </patternFill>
        </fill>
      </ndxf>
    </rcc>
    <rcc rId="0" sId="2" dxf="1">
      <nc r="I655">
        <v>20260811007</v>
      </nc>
      <ndxf>
        <fill>
          <patternFill patternType="solid">
            <bgColor theme="6" tint="0.59999389629810485"/>
          </patternFill>
        </fill>
      </ndxf>
    </rcc>
    <rcc rId="0" sId="2" dxf="1">
      <nc r="I656">
        <v>20260811019</v>
      </nc>
      <ndxf>
        <fill>
          <patternFill patternType="solid">
            <bgColor theme="8" tint="0.59999389629810485"/>
          </patternFill>
        </fill>
      </ndxf>
    </rcc>
    <rcc rId="0" sId="2" dxf="1">
      <nc r="I657">
        <v>20260811020</v>
      </nc>
      <ndxf>
        <fill>
          <patternFill patternType="solid">
            <bgColor theme="8" tint="0.59999389629810485"/>
          </patternFill>
        </fill>
      </ndxf>
    </rcc>
    <rcc rId="0" sId="2" dxf="1">
      <nc r="I658">
        <v>20260811008</v>
      </nc>
      <ndxf>
        <fill>
          <patternFill patternType="solid">
            <bgColor theme="6" tint="0.59999389629810485"/>
          </patternFill>
        </fill>
      </ndxf>
    </rcc>
    <rcc rId="0" sId="2" dxf="1">
      <nc r="I659">
        <v>20260811009</v>
      </nc>
      <ndxf>
        <fill>
          <patternFill patternType="solid">
            <bgColor theme="6" tint="0.59999389629810485"/>
          </patternFill>
        </fill>
      </ndxf>
    </rcc>
    <rcc rId="0" sId="2" dxf="1">
      <nc r="I660">
        <v>20260811021</v>
      </nc>
      <ndxf>
        <fill>
          <patternFill patternType="solid">
            <bgColor theme="8" tint="0.59999389629810485"/>
          </patternFill>
        </fill>
      </ndxf>
    </rcc>
    <rcc rId="0" sId="2" dxf="1">
      <nc r="I661">
        <v>20260811022</v>
      </nc>
      <ndxf>
        <fill>
          <patternFill patternType="solid">
            <bgColor theme="8" tint="0.59999389629810485"/>
          </patternFill>
        </fill>
      </ndxf>
    </rcc>
    <rcc rId="0" sId="2" dxf="1">
      <nc r="I662">
        <v>20260811010</v>
      </nc>
      <ndxf>
        <fill>
          <patternFill patternType="solid">
            <bgColor theme="6" tint="0.59999389629810485"/>
          </patternFill>
        </fill>
      </ndxf>
    </rcc>
    <rcc rId="0" sId="2" dxf="1">
      <nc r="I663" t="inlineStr">
        <is>
          <t>20260817005-2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64">
        <v>20260811023</v>
      </nc>
      <ndxf>
        <fill>
          <patternFill patternType="solid">
            <bgColor theme="8" tint="0.59999389629810485"/>
          </patternFill>
        </fill>
      </ndxf>
    </rcc>
    <rcc rId="0" sId="2" dxf="1">
      <nc r="I665">
        <v>20260811024</v>
      </nc>
      <ndxf>
        <fill>
          <patternFill patternType="solid">
            <bgColor theme="8" tint="0.59999389629810485"/>
          </patternFill>
        </fill>
      </ndxf>
    </rcc>
    <rcc rId="0" sId="2" dxf="1">
      <nc r="I666">
        <v>20260815001</v>
      </nc>
      <ndxf>
        <fill>
          <patternFill patternType="solid">
            <bgColor theme="5" tint="0.59999389629810485"/>
          </patternFill>
        </fill>
      </ndxf>
    </rcc>
    <rcc rId="0" sId="2" dxf="1">
      <nc r="I667" t="inlineStr">
        <is>
          <t>20260817006-1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68">
        <v>20260817018</v>
      </nc>
      <ndxf>
        <fill>
          <patternFill patternType="solid">
            <bgColor theme="8" tint="0.59999389629810485"/>
          </patternFill>
        </fill>
      </ndxf>
    </rcc>
    <rcc rId="0" sId="2" dxf="1">
      <nc r="I669">
        <v>20260817019</v>
      </nc>
      <ndxf>
        <fill>
          <patternFill patternType="solid">
            <bgColor theme="9" tint="0.59999389629810485"/>
          </patternFill>
        </fill>
      </ndxf>
    </rcc>
    <rcc rId="0" sId="2" dxf="1">
      <nc r="I670">
        <v>20260817007</v>
      </nc>
      <ndxf>
        <fill>
          <patternFill patternType="solid">
            <bgColor theme="6" tint="0.59999389629810485"/>
          </patternFill>
        </fill>
      </ndxf>
    </rcc>
    <rcc rId="0" sId="2" dxf="1">
      <nc r="I671">
        <v>20260817008</v>
      </nc>
      <ndxf>
        <fill>
          <patternFill patternType="solid">
            <bgColor theme="6" tint="0.59999389629810485"/>
          </patternFill>
        </fill>
      </ndxf>
    </rcc>
    <rcc rId="0" sId="2" dxf="1">
      <nc r="I672">
        <v>20260817020</v>
      </nc>
      <ndxf>
        <fill>
          <patternFill patternType="solid">
            <bgColor theme="8" tint="0.59999389629810485"/>
          </patternFill>
        </fill>
      </ndxf>
    </rcc>
    <rcc rId="0" sId="2" dxf="1">
      <nc r="I673">
        <v>20260817021</v>
      </nc>
      <ndxf>
        <fill>
          <patternFill patternType="solid">
            <bgColor theme="8" tint="0.59999389629810485"/>
          </patternFill>
        </fill>
      </ndxf>
    </rcc>
    <rcc rId="0" sId="2" dxf="1">
      <nc r="I674">
        <v>20260817022</v>
      </nc>
      <ndxf>
        <fill>
          <patternFill patternType="solid">
            <bgColor theme="8" tint="0.59999389629810485"/>
          </patternFill>
        </fill>
      </ndxf>
    </rcc>
    <rcc rId="0" sId="2" dxf="1">
      <nc r="I675">
        <v>20260817009</v>
      </nc>
      <ndxf>
        <fill>
          <patternFill patternType="solid">
            <bgColor theme="6" tint="0.59999389629810485"/>
          </patternFill>
        </fill>
      </ndxf>
    </rcc>
    <rcc rId="0" sId="2" dxf="1">
      <nc r="I676">
        <v>20260817010</v>
      </nc>
      <ndxf>
        <fill>
          <patternFill patternType="solid">
            <bgColor theme="6" tint="0.59999389629810485"/>
          </patternFill>
        </fill>
      </ndxf>
    </rcc>
    <rcc rId="0" sId="2" dxf="1">
      <nc r="I677">
        <v>20260817023</v>
      </nc>
      <ndxf>
        <fill>
          <patternFill patternType="solid">
            <bgColor theme="8" tint="0.59999389629810485"/>
          </patternFill>
        </fill>
      </ndxf>
    </rcc>
    <rcc rId="0" sId="2" dxf="1">
      <nc r="I678">
        <v>20260817024</v>
      </nc>
      <ndxf>
        <fill>
          <patternFill patternType="solid">
            <bgColor theme="8" tint="0.59999389629810485"/>
          </patternFill>
        </fill>
      </ndxf>
    </rcc>
    <rcc rId="0" sId="2" dxf="1">
      <nc r="I679">
        <v>20260817011</v>
      </nc>
      <ndxf>
        <fill>
          <patternFill patternType="solid">
            <bgColor theme="6" tint="0.59999389629810485"/>
          </patternFill>
        </fill>
      </ndxf>
    </rcc>
    <rcc rId="0" sId="2" dxf="1">
      <nc r="I680">
        <v>20260817025</v>
      </nc>
      <ndxf>
        <fill>
          <patternFill patternType="solid">
            <bgColor theme="8" tint="0.59999389629810485"/>
          </patternFill>
        </fill>
      </ndxf>
    </rcc>
    <rcc rId="0" sId="2" dxf="1">
      <nc r="I681">
        <v>20260817031</v>
      </nc>
      <ndxf>
        <fill>
          <patternFill patternType="solid">
            <bgColor theme="8" tint="0.59999389629810485"/>
          </patternFill>
        </fill>
      </ndxf>
    </rcc>
    <rcc rId="0" sId="2" dxf="1">
      <nc r="I682">
        <v>20260817012</v>
      </nc>
      <ndxf>
        <fill>
          <patternFill patternType="solid">
            <bgColor theme="6" tint="0.59999389629810485"/>
          </patternFill>
        </fill>
      </ndxf>
    </rcc>
    <rcc rId="0" sId="2" dxf="1">
      <nc r="I683">
        <v>20260817013</v>
      </nc>
      <ndxf>
        <fill>
          <patternFill patternType="solid">
            <bgColor theme="6" tint="0.59999389629810485"/>
          </patternFill>
        </fill>
      </ndxf>
    </rcc>
    <rcc rId="0" sId="2" dxf="1">
      <nc r="I684">
        <v>20260817026</v>
      </nc>
      <ndxf>
        <fill>
          <patternFill patternType="solid">
            <bgColor theme="8" tint="0.59999389629810485"/>
          </patternFill>
        </fill>
      </ndxf>
    </rcc>
    <rcc rId="0" sId="2" dxf="1">
      <nc r="I685">
        <v>20260817027</v>
      </nc>
      <ndxf>
        <fill>
          <patternFill patternType="solid">
            <bgColor theme="8" tint="0.59999389629810485"/>
          </patternFill>
        </fill>
      </ndxf>
    </rcc>
    <rcc rId="0" sId="2" dxf="1">
      <nc r="I686">
        <v>20260817014</v>
      </nc>
      <ndxf>
        <fill>
          <patternFill patternType="solid">
            <bgColor theme="6" tint="0.59999389629810485"/>
          </patternFill>
        </fill>
      </ndxf>
    </rcc>
    <rcc rId="0" sId="2" dxf="1">
      <nc r="I687">
        <v>20260817028</v>
      </nc>
      <ndxf>
        <fill>
          <patternFill patternType="solid">
            <bgColor theme="8" tint="0.59999389629810485"/>
          </patternFill>
        </fill>
      </ndxf>
    </rcc>
    <rcc rId="0" sId="2" dxf="1">
      <nc r="I688">
        <v>20260817029</v>
      </nc>
      <ndxf>
        <fill>
          <patternFill patternType="solid">
            <bgColor theme="8" tint="0.59999389629810485"/>
          </patternFill>
        </fill>
      </ndxf>
    </rcc>
    <rcc rId="0" sId="2" dxf="1">
      <nc r="I689">
        <v>20260815002</v>
      </nc>
      <ndxf>
        <fill>
          <patternFill patternType="solid">
            <bgColor theme="5" tint="0.59999389629810485"/>
          </patternFill>
        </fill>
      </ndxf>
    </rcc>
    <rcc rId="0" sId="2" dxf="1">
      <nc r="I690">
        <v>20260817015</v>
      </nc>
      <ndxf>
        <fill>
          <patternFill patternType="solid">
            <bgColor theme="6" tint="0.59999389629810485"/>
          </patternFill>
        </fill>
      </ndxf>
    </rcc>
    <rcc rId="0" sId="2" dxf="1">
      <nc r="I691">
        <v>20260817016</v>
      </nc>
      <ndxf>
        <fill>
          <patternFill patternType="solid">
            <bgColor theme="6" tint="0.59999389629810485"/>
          </patternFill>
        </fill>
      </ndxf>
    </rcc>
    <rcc rId="0" sId="2" dxf="1">
      <nc r="I692">
        <v>20260824011</v>
      </nc>
      <ndxf>
        <fill>
          <patternFill patternType="solid">
            <bgColor theme="8" tint="0.59999389629810485"/>
          </patternFill>
        </fill>
      </ndxf>
    </rcc>
    <rcc rId="0" sId="2" dxf="1">
      <nc r="I693" t="inlineStr">
        <is>
          <t>20260824001-1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94" t="inlineStr">
        <is>
          <t>20260824002-1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95">
        <v>20260817030</v>
      </nc>
      <ndxf>
        <fill>
          <patternFill patternType="solid">
            <bgColor theme="8" tint="0.59999389629810485"/>
          </patternFill>
        </fill>
      </ndxf>
    </rcc>
    <rcc rId="0" sId="2" dxf="1">
      <nc r="I696">
        <v>20260824012</v>
      </nc>
      <ndxf>
        <fill>
          <patternFill patternType="solid">
            <bgColor theme="8" tint="0.59999389629810485"/>
          </patternFill>
        </fill>
      </ndxf>
    </rcc>
    <rcc rId="0" sId="2" dxf="1">
      <nc r="I697" t="inlineStr">
        <is>
          <t>20260824003-1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698">
        <v>20260824014</v>
      </nc>
      <ndxf>
        <fill>
          <patternFill patternType="solid">
            <bgColor theme="8" tint="0.59999389629810485"/>
          </patternFill>
        </fill>
      </ndxf>
    </rcc>
    <rcc rId="0" sId="2" dxf="1">
      <nc r="I699" t="inlineStr">
        <is>
          <t>20260824004-1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700" t="inlineStr">
        <is>
          <t>20260824005-1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701">
        <v>20260824016</v>
      </nc>
      <ndxf>
        <fill>
          <patternFill patternType="solid">
            <bgColor theme="8" tint="0.59999389629810485"/>
          </patternFill>
        </fill>
      </ndxf>
    </rcc>
    <rcc rId="0" sId="2" dxf="1">
      <nc r="I702">
        <v>20260824017</v>
      </nc>
      <ndxf>
        <fill>
          <patternFill patternType="solid">
            <bgColor theme="8" tint="0.59999389629810485"/>
          </patternFill>
        </fill>
      </ndxf>
    </rcc>
    <rcc rId="0" sId="2" dxf="1">
      <nc r="I703">
        <v>20260824006</v>
      </nc>
      <ndxf>
        <fill>
          <patternFill patternType="solid">
            <bgColor theme="6" tint="0.59999389629810485"/>
          </patternFill>
        </fill>
      </ndxf>
    </rcc>
    <rcc rId="0" sId="2" dxf="1">
      <nc r="I704">
        <v>20260824018</v>
      </nc>
      <ndxf>
        <fill>
          <patternFill patternType="solid">
            <bgColor theme="8" tint="0.59999389629810485"/>
          </patternFill>
        </fill>
      </ndxf>
    </rcc>
    <rcc rId="0" sId="2" dxf="1">
      <nc r="I705">
        <v>20260824019</v>
      </nc>
      <ndxf>
        <fill>
          <patternFill patternType="solid">
            <bgColor theme="8" tint="0.59999389629810485"/>
          </patternFill>
        </fill>
      </ndxf>
    </rcc>
    <rcc rId="0" sId="2" dxf="1">
      <nc r="I706">
        <v>20260824013</v>
      </nc>
      <ndxf>
        <fill>
          <patternFill patternType="solid">
            <bgColor theme="8" tint="0.59999389629810485"/>
          </patternFill>
        </fill>
      </ndxf>
    </rcc>
    <rcc rId="0" sId="2" dxf="1">
      <nc r="I707">
        <v>20260818006</v>
      </nc>
      <ndxf>
        <fill>
          <patternFill patternType="solid">
            <bgColor theme="5" tint="0.59999389629810485"/>
          </patternFill>
        </fill>
      </ndxf>
    </rcc>
    <rcc rId="0" sId="2" dxf="1">
      <nc r="I708">
        <v>20260824007</v>
      </nc>
      <ndxf>
        <fill>
          <patternFill patternType="solid">
            <bgColor theme="6" tint="0.59999389629810485"/>
          </patternFill>
        </fill>
      </ndxf>
    </rcc>
    <rcc rId="0" sId="2" dxf="1">
      <nc r="I709">
        <v>20260824008</v>
      </nc>
      <ndxf>
        <fill>
          <patternFill patternType="solid">
            <bgColor theme="6" tint="0.59999389629810485"/>
          </patternFill>
        </fill>
      </ndxf>
    </rcc>
    <rcc rId="0" sId="2" dxf="1">
      <nc r="I710">
        <v>20260824020</v>
      </nc>
      <ndxf>
        <fill>
          <patternFill patternType="solid">
            <bgColor theme="8" tint="0.59999389629810485"/>
          </patternFill>
        </fill>
      </ndxf>
    </rcc>
    <rcc rId="0" sId="2" dxf="1">
      <nc r="I711">
        <v>20260824021</v>
      </nc>
      <ndxf>
        <fill>
          <patternFill patternType="solid">
            <bgColor theme="8" tint="0.59999389629810485"/>
          </patternFill>
        </fill>
      </ndxf>
    </rcc>
    <rcc rId="0" sId="2" dxf="1">
      <nc r="I712">
        <v>20260824009</v>
      </nc>
      <ndxf>
        <fill>
          <patternFill patternType="solid">
            <bgColor theme="6" tint="0.59999389629810485"/>
          </patternFill>
        </fill>
      </ndxf>
    </rcc>
    <rcc rId="0" sId="2" dxf="1">
      <nc r="I713">
        <v>20260824022</v>
      </nc>
      <ndxf>
        <fill>
          <patternFill patternType="solid">
            <bgColor theme="8" tint="0.59999389629810485"/>
          </patternFill>
        </fill>
      </ndxf>
    </rcc>
    <rcc rId="0" sId="2" dxf="1">
      <nc r="I714">
        <v>20260824023</v>
      </nc>
      <ndxf>
        <fill>
          <patternFill patternType="solid">
            <bgColor theme="8" tint="0.59999389629810485"/>
          </patternFill>
        </fill>
      </ndxf>
    </rcc>
    <rcc rId="0" sId="2" dxf="1">
      <nc r="I715">
        <v>20260831003</v>
      </nc>
      <ndxf>
        <fill>
          <patternFill patternType="solid">
            <bgColor theme="6" tint="0.59999389629810485"/>
          </patternFill>
        </fill>
      </ndxf>
    </rcc>
    <rcc rId="0" sId="2" dxf="1">
      <nc r="I716" t="inlineStr">
        <is>
          <t>20260831004-1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717">
        <v>20260831017</v>
      </nc>
      <ndxf>
        <fill>
          <patternFill patternType="solid">
            <bgColor theme="8" tint="0.59999389629810485"/>
          </patternFill>
        </fill>
      </ndxf>
    </rcc>
    <rcc rId="0" sId="2" dxf="1">
      <nc r="I718">
        <v>20260831018</v>
      </nc>
      <ndxf>
        <fill>
          <patternFill patternType="solid">
            <bgColor theme="8" tint="0.59999389629810485"/>
          </patternFill>
        </fill>
      </ndxf>
    </rcc>
    <rcc rId="0" sId="2" dxf="1">
      <nc r="I719">
        <v>20260831001</v>
      </nc>
      <ndxf>
        <fill>
          <patternFill patternType="solid">
            <bgColor theme="5" tint="0.59999389629810485"/>
          </patternFill>
        </fill>
      </ndxf>
    </rcc>
    <rcc rId="0" sId="2" dxf="1">
      <nc r="I720" t="inlineStr">
        <is>
          <t>20260831005-1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721" t="inlineStr">
        <is>
          <t>20260831006-1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2" dxf="1">
      <nc r="I722">
        <v>20260831019</v>
      </nc>
      <ndxf>
        <fill>
          <patternFill patternType="solid">
            <bgColor theme="8" tint="0.59999389629810485"/>
          </patternFill>
        </fill>
      </ndxf>
    </rcc>
    <rcc rId="0" sId="2" dxf="1">
      <nc r="I723">
        <v>20260831020</v>
      </nc>
      <ndxf>
        <fill>
          <patternFill patternType="solid">
            <bgColor theme="8" tint="0.59999389629810485"/>
          </patternFill>
        </fill>
      </ndxf>
    </rcc>
    <rcc rId="0" sId="2" dxf="1">
      <nc r="I724">
        <v>20260831007</v>
      </nc>
      <ndxf>
        <fill>
          <patternFill patternType="solid">
            <bgColor theme="6" tint="0.59999389629810485"/>
          </patternFill>
        </fill>
      </ndxf>
    </rcc>
    <rcc rId="0" sId="2" dxf="1">
      <nc r="I725">
        <v>20260831021</v>
      </nc>
      <ndxf>
        <fill>
          <patternFill patternType="solid">
            <bgColor theme="8" tint="0.59999389629810485"/>
          </patternFill>
        </fill>
      </ndxf>
    </rcc>
    <rcc rId="0" sId="2" dxf="1">
      <nc r="I726">
        <v>20260831022</v>
      </nc>
      <ndxf>
        <fill>
          <patternFill patternType="solid">
            <bgColor theme="8" tint="0.59999389629810485"/>
          </patternFill>
        </fill>
      </ndxf>
    </rcc>
    <rcc rId="0" sId="2" dxf="1">
      <nc r="I727">
        <v>20260831008</v>
      </nc>
      <ndxf>
        <fill>
          <patternFill patternType="solid">
            <bgColor theme="6" tint="0.59999389629810485"/>
          </patternFill>
        </fill>
      </ndxf>
    </rcc>
    <rcc rId="0" sId="2" dxf="1">
      <nc r="I728">
        <v>20260831009</v>
      </nc>
      <ndxf>
        <fill>
          <patternFill patternType="solid">
            <bgColor theme="6" tint="0.59999389629810485"/>
          </patternFill>
        </fill>
      </ndxf>
    </rcc>
    <rcc rId="0" sId="2" dxf="1">
      <nc r="I729">
        <v>20260831023</v>
      </nc>
      <ndxf>
        <fill>
          <patternFill patternType="solid">
            <bgColor theme="8" tint="0.59999389629810485"/>
          </patternFill>
        </fill>
      </ndxf>
    </rcc>
    <rcc rId="0" sId="2" dxf="1">
      <nc r="I730">
        <v>20260831024</v>
      </nc>
      <ndxf>
        <fill>
          <patternFill patternType="solid">
            <bgColor theme="8" tint="0.59999389629810485"/>
          </patternFill>
        </fill>
      </ndxf>
    </rcc>
    <rcc rId="0" sId="2" dxf="1">
      <nc r="I731">
        <v>20260831010</v>
      </nc>
      <ndxf>
        <fill>
          <patternFill patternType="solid">
            <bgColor theme="6" tint="0.59999389629810485"/>
          </patternFill>
        </fill>
      </ndxf>
    </rcc>
    <rcc rId="0" sId="2" dxf="1">
      <nc r="I732">
        <v>20260831011</v>
      </nc>
      <ndxf>
        <fill>
          <patternFill patternType="solid">
            <bgColor theme="6" tint="0.59999389629810485"/>
          </patternFill>
        </fill>
      </ndxf>
    </rcc>
    <rcc rId="0" sId="2" dxf="1">
      <nc r="I733">
        <v>20260831025</v>
      </nc>
      <ndxf>
        <fill>
          <patternFill patternType="solid">
            <bgColor theme="8" tint="0.59999389629810485"/>
          </patternFill>
        </fill>
      </ndxf>
    </rcc>
    <rcc rId="0" sId="2" dxf="1">
      <nc r="I734">
        <v>20260831026</v>
      </nc>
      <ndxf>
        <fill>
          <patternFill patternType="solid">
            <bgColor theme="8" tint="0.59999389629810485"/>
          </patternFill>
        </fill>
      </ndxf>
    </rcc>
    <rcc rId="0" sId="2" dxf="1">
      <nc r="I735">
        <v>20260831012</v>
      </nc>
      <ndxf>
        <fill>
          <patternFill patternType="solid">
            <bgColor theme="6" tint="0.59999389629810485"/>
          </patternFill>
        </fill>
      </ndxf>
    </rcc>
    <rcc rId="0" sId="2" dxf="1">
      <nc r="I736">
        <v>20260831027</v>
      </nc>
      <ndxf>
        <fill>
          <patternFill patternType="solid">
            <bgColor theme="8" tint="0.59999389629810485"/>
          </patternFill>
        </fill>
      </ndxf>
    </rcc>
    <rcc rId="0" sId="2" dxf="1">
      <nc r="I737">
        <v>20260831028</v>
      </nc>
      <ndxf>
        <fill>
          <patternFill patternType="solid">
            <bgColor theme="8" tint="0.59999389629810485"/>
          </patternFill>
        </fill>
      </ndxf>
    </rcc>
    <rcc rId="0" sId="2" dxf="1">
      <nc r="I738">
        <v>20260831013</v>
      </nc>
      <ndxf>
        <fill>
          <patternFill patternType="solid">
            <bgColor theme="6" tint="0.59999389629810485"/>
          </patternFill>
        </fill>
      </ndxf>
    </rcc>
    <rcc rId="0" sId="2" dxf="1">
      <nc r="I739">
        <v>20260831014</v>
      </nc>
      <ndxf>
        <fill>
          <patternFill patternType="solid">
            <bgColor theme="6" tint="0.59999389629810485"/>
          </patternFill>
        </fill>
      </ndxf>
    </rcc>
    <rcc rId="0" sId="2" dxf="1">
      <nc r="I740">
        <v>20260831029</v>
      </nc>
      <ndxf>
        <fill>
          <patternFill patternType="solid">
            <bgColor theme="8" tint="0.59999389629810485"/>
          </patternFill>
        </fill>
      </ndxf>
    </rcc>
    <rcc rId="0" sId="2" dxf="1">
      <nc r="I741">
        <v>20260831030</v>
      </nc>
      <ndxf>
        <fill>
          <patternFill patternType="solid">
            <bgColor theme="8" tint="0.59999389629810485"/>
          </patternFill>
        </fill>
      </ndxf>
    </rcc>
    <rcc rId="0" sId="2" dxf="1">
      <nc r="I742">
        <v>20260831015</v>
      </nc>
      <ndxf>
        <fill>
          <patternFill patternType="solid">
            <bgColor theme="6" tint="0.59999389629810485"/>
          </patternFill>
        </fill>
      </ndxf>
    </rcc>
    <rcc rId="0" sId="2" dxf="1">
      <nc r="I743">
        <v>20260831031</v>
      </nc>
      <ndxf>
        <fill>
          <patternFill patternType="solid">
            <bgColor theme="8" tint="0.59999389629810485"/>
          </patternFill>
        </fill>
      </ndxf>
    </rcc>
    <rcc rId="0" sId="2" dxf="1">
      <nc r="I744">
        <v>20260831032</v>
      </nc>
      <ndxf>
        <fill>
          <patternFill patternType="solid">
            <bgColor theme="8" tint="0.59999389629810485"/>
          </patternFill>
        </fill>
      </ndxf>
    </rcc>
    <rcc rId="0" sId="2" dxf="1">
      <nc r="I745">
        <v>20260831002</v>
      </nc>
      <ndxf>
        <fill>
          <patternFill patternType="solid">
            <bgColor theme="5" tint="0.59999389629810485"/>
          </patternFill>
        </fill>
      </ndxf>
    </rcc>
  </rrc>
  <rrc rId="1028" sId="3" ref="F1:F1048576" action="insertCol"/>
  <rcc rId="1029" sId="3" odxf="1" dxf="1">
    <nc r="F2" t="inlineStr">
      <is>
        <t>單號</t>
        <phoneticPr fontId="0" type="noConversion"/>
      </is>
    </nc>
    <odxf>
      <font>
        <sz val="10"/>
        <name val="Arial"/>
        <scheme val="none"/>
      </font>
    </odxf>
    <ndxf>
      <font>
        <sz val="10"/>
        <name val="Arial"/>
        <scheme val="none"/>
      </font>
    </ndxf>
  </rcc>
  <rcc rId="1030" sId="3" odxf="1" dxf="1">
    <nc r="F3" t="inlineStr">
      <is>
        <t>20260515005-1</t>
        <phoneticPr fontId="0" type="noConversion"/>
      </is>
    </nc>
    <odxf>
      <font>
        <sz val="10"/>
        <color auto="1"/>
        <name val="Arial"/>
        <scheme val="none"/>
      </font>
    </odxf>
    <ndxf>
      <font>
        <sz val="10"/>
        <color auto="1"/>
        <name val="Arial"/>
        <scheme val="none"/>
      </font>
    </ndxf>
  </rcc>
  <rrc rId="1031" sId="3" ref="I1:I1048576" action="deleteCol">
    <rfmt sheetId="3" xfDxf="1" sqref="I1:I1048576" start="0" length="0">
      <dxf>
        <font>
          <sz val="10"/>
          <name val="Arial"/>
          <scheme val="none"/>
        </font>
        <alignment horizontal="center"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3" sqref="I1" start="0" length="0">
      <dxf>
        <font>
          <sz val="10"/>
          <color rgb="FF0000FF"/>
          <name val="微軟正黑體"/>
          <scheme val="none"/>
        </font>
        <numFmt numFmtId="176" formatCode="m/d;@"/>
        <fill>
          <patternFill patternType="solid">
            <bgColor theme="7" tint="0.59999389629810485"/>
          </patternFill>
        </fill>
        <alignment horizontal="general" vertical="center" readingOrder="0"/>
        <border outline="0">
          <left/>
          <right/>
        </border>
      </dxf>
    </rfmt>
    <rcc rId="0" sId="3" dxf="1">
      <nc r="I2" t="inlineStr">
        <is>
          <t>單號</t>
          <phoneticPr fontId="0" type="noConversion"/>
        </is>
      </nc>
      <ndxf>
        <font>
          <b/>
          <sz val="10"/>
          <name val="Arial"/>
          <scheme val="none"/>
        </font>
        <fill>
          <patternFill patternType="solid">
            <bgColor theme="7" tint="0.59999389629810485"/>
          </patternFill>
        </fill>
        <alignment vertical="center" readingOrder="0"/>
      </ndxf>
    </rcc>
    <rcc rId="0" sId="3" dxf="1">
      <nc r="I3" t="inlineStr">
        <is>
          <t>20260515005-1</t>
          <phoneticPr fontId="0" type="noConversion"/>
        </is>
      </nc>
      <ndxf>
        <fill>
          <patternFill patternType="solid">
            <bgColor rgb="FFFFFFCC"/>
          </patternFill>
        </fill>
      </ndxf>
    </rcc>
  </rrc>
  <rrc rId="1032" sId="4" ref="F1:F1048576" action="insertCol"/>
  <rcc rId="1033" sId="4" odxf="1" dxf="1">
    <nc r="F2" t="inlineStr">
      <is>
        <t>單號</t>
        <phoneticPr fontId="0" type="noConversion"/>
      </is>
    </nc>
    <odxf>
      <font>
        <sz val="10"/>
        <name val="Arial"/>
        <scheme val="none"/>
      </font>
    </odxf>
    <ndxf>
      <font>
        <sz val="10"/>
        <name val="Arial"/>
        <scheme val="none"/>
      </font>
    </ndxf>
  </rcc>
  <rcc rId="1034" sId="4">
    <nc r="F3" t="inlineStr">
      <is>
        <t>20251231005-1</t>
        <phoneticPr fontId="0" type="noConversion"/>
      </is>
    </nc>
  </rcc>
  <rcc rId="1035" sId="4">
    <nc r="F4" t="inlineStr">
      <is>
        <t>20251231007-2</t>
        <phoneticPr fontId="0" type="noConversion"/>
      </is>
    </nc>
  </rcc>
  <rcc rId="1036" sId="4">
    <nc r="F5" t="inlineStr">
      <is>
        <t>20251231006-1</t>
        <phoneticPr fontId="0" type="noConversion"/>
      </is>
    </nc>
  </rcc>
  <rcc rId="1037" sId="4">
    <nc r="F6" t="inlineStr">
      <is>
        <t>20251231006-2</t>
        <phoneticPr fontId="0" type="noConversion"/>
      </is>
    </nc>
  </rcc>
  <rcc rId="1038" sId="4">
    <nc r="F7">
      <v>20251231008</v>
    </nc>
  </rcc>
  <rcc rId="1039" sId="4">
    <nc r="F8">
      <v>20260102030</v>
    </nc>
  </rcc>
  <rcc rId="1040" sId="4">
    <nc r="F9">
      <v>20260102027</v>
    </nc>
  </rcc>
  <rcc rId="1041" sId="4">
    <nc r="F10">
      <v>20260102031</v>
    </nc>
  </rcc>
  <rcc rId="1042" sId="4">
    <nc r="F11">
      <v>20260102032</v>
    </nc>
  </rcc>
  <rcc rId="1043" sId="4">
    <nc r="F12">
      <v>20260102028</v>
    </nc>
  </rcc>
  <rcc rId="1044" sId="4">
    <nc r="F13">
      <v>20260102033</v>
    </nc>
  </rcc>
  <rcc rId="1045" sId="4">
    <nc r="F14">
      <v>20260105009</v>
    </nc>
  </rcc>
  <rcc rId="1046" sId="4">
    <nc r="F16" t="inlineStr">
      <is>
        <t>20260105010-1</t>
        <phoneticPr fontId="0" type="noConversion"/>
      </is>
    </nc>
  </rcc>
  <rcc rId="1047" sId="4">
    <nc r="F17" t="inlineStr">
      <is>
        <t>20260106003-1</t>
        <phoneticPr fontId="0" type="noConversion"/>
      </is>
    </nc>
  </rcc>
  <rcc rId="1048" sId="4">
    <nc r="F18">
      <v>20260108003</v>
    </nc>
  </rcc>
  <rcc rId="1049" sId="4">
    <nc r="F19" t="inlineStr">
      <is>
        <t>20260108004-1</t>
        <phoneticPr fontId="0" type="noConversion"/>
      </is>
    </nc>
  </rcc>
  <rcc rId="1050" sId="4">
    <nc r="F20" t="inlineStr">
      <is>
        <t>20260108005-1</t>
        <phoneticPr fontId="0" type="noConversion"/>
      </is>
    </nc>
  </rcc>
  <rcc rId="1051" sId="4">
    <nc r="F21" t="inlineStr">
      <is>
        <t>20260108006-1</t>
        <phoneticPr fontId="0" type="noConversion"/>
      </is>
    </nc>
  </rcc>
  <rcc rId="1052" sId="4">
    <nc r="F22" t="inlineStr">
      <is>
        <t>20260108007-1</t>
        <phoneticPr fontId="0" type="noConversion"/>
      </is>
    </nc>
  </rcc>
  <rcc rId="1053" sId="4">
    <nc r="F23">
      <v>20260108008</v>
    </nc>
  </rcc>
  <rcc rId="1054" sId="4">
    <nc r="F24">
      <v>20260116008</v>
    </nc>
  </rcc>
  <rcc rId="1055" sId="4">
    <nc r="F25">
      <v>20260116009</v>
    </nc>
  </rcc>
  <rcc rId="1056" sId="4">
    <nc r="F26">
      <v>20260116010</v>
    </nc>
  </rcc>
  <rcc rId="1057" sId="4">
    <nc r="F27">
      <v>20260116011</v>
    </nc>
  </rcc>
  <rcc rId="1058" sId="4">
    <nc r="F28">
      <v>20260116012</v>
    </nc>
  </rcc>
  <rcc rId="1059" sId="4">
    <nc r="F29">
      <v>20260120005</v>
    </nc>
  </rcc>
  <rcc rId="1060" sId="4">
    <nc r="F30">
      <v>20260122006</v>
    </nc>
  </rcc>
  <rcc rId="1061" sId="4">
    <nc r="F31">
      <v>20260122009</v>
    </nc>
  </rcc>
  <rcc rId="1062" sId="4">
    <nc r="F32">
      <v>20260122007</v>
    </nc>
  </rcc>
  <rcc rId="1063" sId="4">
    <nc r="F33" t="inlineStr">
      <is>
        <t>20260122008-1</t>
        <phoneticPr fontId="0" type="noConversion"/>
      </is>
    </nc>
  </rcc>
  <rcc rId="1064" sId="4">
    <nc r="F34">
      <v>20260127004</v>
    </nc>
  </rcc>
  <rcc rId="1065" sId="4">
    <nc r="F35">
      <v>20260127005</v>
    </nc>
  </rcc>
  <rcc rId="1066" sId="4">
    <nc r="F36">
      <v>20260127006</v>
    </nc>
  </rcc>
  <rcc rId="1067" sId="4">
    <nc r="F37">
      <v>20260130047</v>
    </nc>
  </rcc>
  <rcc rId="1068" sId="4">
    <nc r="F38">
      <v>20260130040</v>
    </nc>
  </rcc>
  <rcc rId="1069" sId="4">
    <nc r="F39">
      <v>20260130041</v>
    </nc>
  </rcc>
  <rcc rId="1070" sId="4">
    <nc r="F40">
      <v>20260130042</v>
    </nc>
  </rcc>
  <rcc rId="1071" sId="4">
    <nc r="F41">
      <v>20260130043</v>
    </nc>
  </rcc>
  <rcc rId="1072" sId="4">
    <nc r="F42">
      <v>20260130044</v>
    </nc>
  </rcc>
  <rcc rId="1073" sId="4">
    <nc r="F43">
      <v>20260205001</v>
    </nc>
  </rcc>
  <rcc rId="1074" sId="4">
    <nc r="F44" t="inlineStr">
      <is>
        <t>20260205002-1</t>
        <phoneticPr fontId="0" type="noConversion"/>
      </is>
    </nc>
  </rcc>
  <rcc rId="1075" sId="4">
    <nc r="F45" t="inlineStr">
      <is>
        <t>20260205003-1</t>
        <phoneticPr fontId="0" type="noConversion"/>
      </is>
    </nc>
  </rcc>
  <rcc rId="1076" sId="4">
    <nc r="F46" t="inlineStr">
      <is>
        <t>20260205004-1</t>
        <phoneticPr fontId="0" type="noConversion"/>
      </is>
    </nc>
  </rcc>
  <rcc rId="1077" sId="4">
    <nc r="F47" t="inlineStr">
      <is>
        <t>20260205005-1</t>
        <phoneticPr fontId="0" type="noConversion"/>
      </is>
    </nc>
  </rcc>
  <rcc rId="1078" sId="4">
    <nc r="F48">
      <v>20260210041</v>
    </nc>
  </rcc>
  <rcc rId="1079" sId="4">
    <nc r="F49">
      <v>20260210042</v>
    </nc>
  </rcc>
  <rcc rId="1080" sId="4">
    <nc r="F50">
      <v>20260210043</v>
    </nc>
  </rcc>
  <rcc rId="1081" sId="4">
    <nc r="F51">
      <v>20260210044</v>
    </nc>
  </rcc>
  <rcc rId="1082" sId="4">
    <nc r="F52">
      <v>20260210045</v>
    </nc>
  </rcc>
  <rcc rId="1083" sId="4">
    <nc r="F53">
      <v>20260210046</v>
    </nc>
  </rcc>
  <rcc rId="1084" sId="4">
    <nc r="F54">
      <v>20260210047</v>
    </nc>
  </rcc>
  <rcc rId="1085" sId="4">
    <nc r="F55">
      <v>20260210048</v>
    </nc>
  </rcc>
  <rcc rId="1086" sId="4">
    <nc r="F56">
      <v>20260210049</v>
    </nc>
  </rcc>
  <rcc rId="1087" sId="4">
    <nc r="F57">
      <v>20260210050</v>
    </nc>
  </rcc>
  <rcc rId="1088" sId="4">
    <nc r="F58">
      <v>20260225027</v>
    </nc>
  </rcc>
  <rcc rId="1089" sId="4">
    <nc r="F59">
      <v>20260225028</v>
    </nc>
  </rcc>
  <rcc rId="1090" sId="4">
    <nc r="F60">
      <v>20260225036</v>
    </nc>
  </rcc>
  <rcc rId="1091" sId="4">
    <nc r="F61">
      <v>20260225034</v>
    </nc>
  </rcc>
  <rcc rId="1092" sId="4">
    <nc r="F62">
      <v>20260225035</v>
    </nc>
  </rcc>
  <rcc rId="1093" sId="4">
    <nc r="F63">
      <v>20260225037</v>
    </nc>
  </rcc>
  <rcc rId="1094" sId="4">
    <nc r="F64" t="inlineStr">
      <is>
        <t>20260304003-1</t>
        <phoneticPr fontId="0" type="noConversion"/>
      </is>
    </nc>
  </rcc>
  <rcc rId="1095" sId="4" odxf="1" dxf="1">
    <nc r="F65">
      <v>20230304004</v>
    </nc>
    <odxf>
      <font>
        <sz val="10"/>
        <name val="Arial"/>
        <scheme val="none"/>
      </font>
    </odxf>
    <ndxf>
      <font>
        <sz val="10"/>
        <color rgb="FFFF0000"/>
        <name val="Arial"/>
        <scheme val="none"/>
      </font>
    </ndxf>
  </rcc>
  <rcc rId="1096" sId="4">
    <nc r="F66" t="inlineStr">
      <is>
        <t>20260304005-1</t>
        <phoneticPr fontId="0" type="noConversion"/>
      </is>
    </nc>
  </rcc>
  <rcc rId="1097" sId="4">
    <nc r="F67" t="inlineStr">
      <is>
        <t>20260304006-1</t>
        <phoneticPr fontId="0" type="noConversion"/>
      </is>
    </nc>
  </rcc>
  <rcc rId="1098" sId="4">
    <nc r="F68" t="inlineStr">
      <is>
        <t>20260304007-1</t>
        <phoneticPr fontId="0" type="noConversion"/>
      </is>
    </nc>
  </rcc>
  <rcc rId="1099" sId="4">
    <nc r="F69">
      <v>20260304008</v>
    </nc>
  </rcc>
  <rcc rId="1100" sId="4">
    <nc r="F70" t="inlineStr">
      <is>
        <t>20260312003-1</t>
        <phoneticPr fontId="0" type="noConversion"/>
      </is>
    </nc>
  </rcc>
  <rcc rId="1101" sId="4">
    <nc r="F71" t="inlineStr">
      <is>
        <t>20260313001-1</t>
        <phoneticPr fontId="0" type="noConversion"/>
      </is>
    </nc>
  </rcc>
  <rcc rId="1102" sId="4">
    <nc r="F72" t="inlineStr">
      <is>
        <t>20260422003-1</t>
        <phoneticPr fontId="0" type="noConversion"/>
      </is>
    </nc>
  </rcc>
  <rcc rId="1103" sId="4">
    <nc r="F73">
      <v>20260424001</v>
    </nc>
  </rcc>
  <rcc rId="1104" sId="4">
    <nc r="F74" t="inlineStr">
      <is>
        <t>20260427001-1</t>
        <phoneticPr fontId="0" type="noConversion"/>
      </is>
    </nc>
  </rcc>
  <rcc rId="1105" sId="4">
    <nc r="F75" t="inlineStr">
      <is>
        <t>20260430002-1</t>
        <phoneticPr fontId="0" type="noConversion"/>
      </is>
    </nc>
  </rcc>
  <rcc rId="1106" sId="4">
    <nc r="F76" t="inlineStr">
      <is>
        <t>20260512001-1</t>
        <phoneticPr fontId="0" type="noConversion"/>
      </is>
    </nc>
  </rcc>
  <rcc rId="1107" sId="4">
    <nc r="F77" t="inlineStr">
      <is>
        <t>20260513001-1</t>
        <phoneticPr fontId="0" type="noConversion"/>
      </is>
    </nc>
  </rcc>
  <rcc rId="1108" sId="4">
    <nc r="F78" t="inlineStr">
      <is>
        <t>20260513002-1</t>
        <phoneticPr fontId="0" type="noConversion"/>
      </is>
    </nc>
  </rcc>
  <rcc rId="1109" sId="4">
    <nc r="F80" t="inlineStr">
      <is>
        <t>20260513003-1</t>
        <phoneticPr fontId="0" type="noConversion"/>
      </is>
    </nc>
  </rcc>
  <rcc rId="1110" sId="4">
    <nc r="F81" t="inlineStr">
      <is>
        <t>20260513004-1</t>
        <phoneticPr fontId="0" type="noConversion"/>
      </is>
    </nc>
  </rcc>
  <rcc rId="1111" sId="4">
    <nc r="F82">
      <v>20260518023</v>
    </nc>
  </rcc>
  <rcc rId="1112" sId="4">
    <nc r="F83">
      <v>20260518024</v>
    </nc>
  </rcc>
  <rcc rId="1113" sId="4">
    <nc r="F84">
      <v>20260518025</v>
    </nc>
  </rcc>
  <rcc rId="1114" sId="4">
    <nc r="F85">
      <v>20260518026</v>
    </nc>
  </rcc>
  <rcc rId="1115" sId="4">
    <nc r="F86">
      <v>20260518027</v>
    </nc>
  </rcc>
  <rcc rId="1116" sId="4">
    <nc r="F87">
      <v>20260525029</v>
    </nc>
  </rcc>
  <rcc rId="1117" sId="4">
    <nc r="F88">
      <v>20260525030</v>
    </nc>
  </rcc>
  <rcc rId="1118" sId="4">
    <nc r="F89">
      <v>20260525031</v>
    </nc>
  </rcc>
  <rcc rId="1119" sId="4">
    <nc r="F90" t="inlineStr">
      <is>
        <t>20260525033-1</t>
        <phoneticPr fontId="0" type="noConversion"/>
      </is>
    </nc>
  </rcc>
  <rcc rId="1120" sId="4">
    <nc r="F91" t="inlineStr">
      <is>
        <t>20260525035-1</t>
        <phoneticPr fontId="0" type="noConversion"/>
      </is>
    </nc>
  </rcc>
  <rcc rId="1121" sId="4">
    <nc r="F92">
      <v>20260525036</v>
    </nc>
  </rcc>
  <rcc rId="1122" sId="4">
    <nc r="F93">
      <v>20260601032</v>
    </nc>
  </rcc>
  <rcc rId="1123" sId="4">
    <nc r="F94">
      <v>20260601033</v>
    </nc>
  </rcc>
  <rcc rId="1124" sId="4">
    <nc r="F95">
      <v>20260601034</v>
    </nc>
  </rcc>
  <rcc rId="1125" sId="4">
    <nc r="F96">
      <v>20260601035</v>
    </nc>
  </rcc>
  <rcc rId="1126" sId="4">
    <nc r="F97">
      <v>20260601036</v>
    </nc>
  </rcc>
  <rcc rId="1127" sId="4">
    <nc r="F98">
      <v>20260601037</v>
    </nc>
  </rcc>
  <rcc rId="1128" sId="4">
    <nc r="F99" t="inlineStr">
      <is>
        <t>20260601038-1</t>
        <phoneticPr fontId="0" type="noConversion"/>
      </is>
    </nc>
  </rcc>
  <rcc rId="1129" sId="4">
    <nc r="F100">
      <v>20260601039</v>
    </nc>
  </rcc>
  <rcc rId="1130" sId="4">
    <nc r="F101">
      <v>20260601040</v>
    </nc>
  </rcc>
  <rcc rId="1131" sId="4">
    <nc r="F102" t="inlineStr">
      <is>
        <t>20260615036-1</t>
        <phoneticPr fontId="0" type="noConversion"/>
      </is>
    </nc>
  </rcc>
  <rcc rId="1132" sId="4">
    <nc r="F103">
      <v>20260615037</v>
    </nc>
  </rcc>
  <rcc rId="1133" sId="4">
    <nc r="F104">
      <v>20260615038</v>
    </nc>
  </rcc>
  <rcc rId="1134" sId="4">
    <nc r="F105">
      <v>20260615039</v>
    </nc>
  </rcc>
  <rcc rId="1135" sId="4">
    <nc r="F106">
      <v>20260615040</v>
    </nc>
  </rcc>
  <rcc rId="1136" sId="4">
    <nc r="F107">
      <v>20260622029</v>
    </nc>
  </rcc>
  <rcc rId="1137" sId="4">
    <nc r="F108">
      <v>20260622030</v>
    </nc>
  </rcc>
  <rcc rId="1138" sId="4">
    <nc r="F109">
      <v>20260622031</v>
    </nc>
  </rcc>
  <rcc rId="1139" sId="4">
    <nc r="F110">
      <v>20260622032</v>
    </nc>
  </rcc>
  <rcc rId="1140" sId="4">
    <nc r="F111">
      <v>20260629033</v>
    </nc>
  </rcc>
  <rcc rId="1141" sId="4">
    <nc r="F112">
      <v>20260629034</v>
    </nc>
  </rcc>
  <rcc rId="1142" sId="4">
    <nc r="F113">
      <v>20260629035</v>
    </nc>
  </rcc>
  <rcc rId="1143" sId="4">
    <nc r="F114">
      <v>20260629036</v>
    </nc>
  </rcc>
  <rcc rId="1144" sId="4">
    <nc r="F115">
      <v>20260629037</v>
    </nc>
  </rcc>
  <rcc rId="1145" sId="4">
    <nc r="F116">
      <v>20260706035</v>
    </nc>
  </rcc>
  <rcc rId="1146" sId="4">
    <nc r="F117">
      <v>20260706036</v>
    </nc>
  </rcc>
  <rcc rId="1147" sId="4">
    <nc r="F118">
      <v>20260706037</v>
    </nc>
  </rcc>
  <rcc rId="1148" sId="4">
    <nc r="F119">
      <v>20260706038</v>
    </nc>
  </rcc>
  <rcc rId="1149" sId="4">
    <nc r="F120">
      <v>20260706039</v>
    </nc>
  </rcc>
  <rcc rId="1150" sId="4">
    <nc r="F121">
      <v>20260706040</v>
    </nc>
  </rcc>
  <rcc rId="1151" sId="4">
    <nc r="F122">
      <v>20260706041</v>
    </nc>
  </rcc>
  <rcc rId="1152" sId="4">
    <nc r="F123">
      <v>20260714026</v>
    </nc>
  </rcc>
  <rcc rId="1153" sId="4">
    <nc r="F124">
      <v>20260714027</v>
    </nc>
  </rcc>
  <rcc rId="1154" sId="4">
    <nc r="F125">
      <v>20260714028</v>
    </nc>
  </rcc>
  <rcc rId="1155" sId="4">
    <nc r="F126">
      <v>20260714029</v>
    </nc>
  </rcc>
  <rcc rId="1156" sId="4">
    <nc r="F127">
      <v>20260714030</v>
    </nc>
  </rcc>
  <rcc rId="1157" sId="4">
    <nc r="F128">
      <v>20260720032</v>
    </nc>
  </rcc>
  <rcc rId="1158" sId="4">
    <nc r="F129">
      <v>20260720033</v>
    </nc>
  </rcc>
  <rcc rId="1159" sId="4">
    <nc r="F130">
      <v>20260720034</v>
    </nc>
  </rcc>
  <rcc rId="1160" sId="4">
    <nc r="F131">
      <v>20260720035</v>
    </nc>
  </rcc>
  <rcc rId="1161" sId="4">
    <nc r="F132">
      <v>20260720036</v>
    </nc>
  </rcc>
  <rcc rId="1162" sId="4">
    <nc r="F133">
      <v>20260728011</v>
    </nc>
  </rcc>
  <rcc rId="1163" sId="4">
    <nc r="F134">
      <v>20260728012</v>
    </nc>
  </rcc>
  <rcc rId="1164" sId="4">
    <nc r="F135">
      <v>20260730016</v>
    </nc>
  </rcc>
  <rcc rId="1165" sId="4">
    <nc r="F136">
      <v>20260730017</v>
    </nc>
  </rcc>
  <rcc rId="1166" sId="4">
    <nc r="F137">
      <v>20260730018</v>
    </nc>
  </rcc>
  <rcc rId="1167" sId="4">
    <nc r="F138">
      <v>20260803008</v>
    </nc>
  </rcc>
  <rcc rId="1168" sId="4">
    <nc r="F139">
      <v>20260803009</v>
    </nc>
  </rcc>
  <rcc rId="1169" sId="4">
    <nc r="F140">
      <v>20260803010</v>
    </nc>
  </rcc>
  <rcc rId="1170" sId="4">
    <nc r="F141">
      <v>20260803011</v>
    </nc>
  </rcc>
  <rcc rId="1171" sId="4">
    <nc r="F142">
      <v>20260803012</v>
    </nc>
  </rcc>
  <rcc rId="1172" sId="4">
    <nc r="F143">
      <v>20260811027</v>
    </nc>
  </rcc>
  <rcc rId="1173" sId="4">
    <nc r="F144">
      <v>20260811028</v>
    </nc>
  </rcc>
  <rcc rId="1174" sId="4">
    <nc r="F145">
      <v>20260811029</v>
    </nc>
  </rcc>
  <rcc rId="1175" sId="4">
    <nc r="F146">
      <v>20260811030</v>
    </nc>
  </rcc>
  <rcc rId="1176" sId="4">
    <nc r="F147">
      <v>20260817032</v>
    </nc>
  </rcc>
  <rcc rId="1177" sId="4">
    <nc r="F148">
      <v>20260817033</v>
    </nc>
  </rcc>
  <rcc rId="1178" sId="4">
    <nc r="F149">
      <v>20260817034</v>
    </nc>
  </rcc>
  <rcc rId="1179" sId="4">
    <nc r="F150">
      <v>20260817035</v>
    </nc>
  </rcc>
  <rcc rId="1180" sId="4">
    <nc r="F151" t="inlineStr">
      <is>
        <t>20260821003-2</t>
        <phoneticPr fontId="0" type="noConversion"/>
      </is>
    </nc>
  </rcc>
  <rcc rId="1181" sId="4">
    <nc r="F152" t="inlineStr">
      <is>
        <t>20260821003-1</t>
        <phoneticPr fontId="0" type="noConversion"/>
      </is>
    </nc>
  </rcc>
  <rcc rId="1182" sId="4">
    <nc r="F153" t="inlineStr">
      <is>
        <t>20260821004-1</t>
        <phoneticPr fontId="0" type="noConversion"/>
      </is>
    </nc>
  </rcc>
  <rcc rId="1183" sId="4">
    <nc r="F154" t="inlineStr">
      <is>
        <t>20260821005-2</t>
        <phoneticPr fontId="0" type="noConversion"/>
      </is>
    </nc>
  </rcc>
  <rcc rId="1184" sId="4">
    <nc r="F155" t="inlineStr">
      <is>
        <t>20260821006-2</t>
        <phoneticPr fontId="0" type="noConversion"/>
      </is>
    </nc>
  </rcc>
  <rcc rId="1185" sId="4">
    <nc r="F156" t="inlineStr">
      <is>
        <t>20260821007-1</t>
        <phoneticPr fontId="0" type="noConversion"/>
      </is>
    </nc>
  </rcc>
  <rcc rId="1186" sId="4">
    <nc r="F157">
      <v>20260821008</v>
    </nc>
  </rcc>
  <rcc rId="1187" sId="4">
    <nc r="F158">
      <v>20260828013</v>
    </nc>
  </rcc>
  <rcc rId="1188" sId="4">
    <nc r="F159">
      <v>20260831034</v>
    </nc>
  </rcc>
  <rcc rId="1189" sId="4">
    <nc r="F160">
      <v>20260901003</v>
    </nc>
  </rcc>
  <rcc rId="1190" sId="4">
    <nc r="F161">
      <v>20260901028</v>
    </nc>
  </rcc>
  <rcc rId="1191" sId="4">
    <nc r="F162">
      <v>20260903003</v>
    </nc>
  </rcc>
  <rcc rId="1192" sId="4">
    <nc r="F163">
      <v>20260903004</v>
    </nc>
  </rcc>
  <rcc rId="1193" sId="4">
    <nc r="F164">
      <v>20260903005</v>
    </nc>
  </rcc>
  <rcc rId="1194" sId="4">
    <nc r="F165">
      <v>20260903006</v>
    </nc>
  </rcc>
  <rrc rId="1195" sId="4" ref="I1:I1048576" action="deleteCol">
    <rfmt sheetId="4" xfDxf="1" sqref="I1:I1048576" start="0" length="0">
      <dxf>
        <font>
          <sz val="10"/>
          <name val="Arial"/>
          <scheme val="none"/>
        </font>
        <alignment horizontal="center"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4" sqref="I1" start="0" length="0">
      <dxf>
        <font>
          <sz val="10"/>
          <color rgb="FF0000FF"/>
          <name val="微軟正黑體"/>
          <scheme val="none"/>
        </font>
        <numFmt numFmtId="176" formatCode="m/d;@"/>
        <fill>
          <patternFill patternType="solid">
            <bgColor theme="7" tint="0.59999389629810485"/>
          </patternFill>
        </fill>
        <alignment horizontal="general" vertical="center" readingOrder="0"/>
        <border outline="0">
          <left/>
          <right/>
        </border>
      </dxf>
    </rfmt>
    <rcc rId="0" sId="4" dxf="1">
      <nc r="I2" t="inlineStr">
        <is>
          <t>單號</t>
          <phoneticPr fontId="0" type="noConversion"/>
        </is>
      </nc>
      <ndxf>
        <font>
          <b/>
          <sz val="10"/>
          <name val="Arial"/>
          <scheme val="none"/>
        </font>
        <fill>
          <patternFill patternType="solid">
            <bgColor theme="7" tint="0.59999389629810485"/>
          </patternFill>
        </fill>
        <alignment vertical="center" readingOrder="0"/>
      </ndxf>
    </rcc>
    <rcc rId="0" sId="4" dxf="1">
      <nc r="I3" t="inlineStr">
        <is>
          <t>20251231005-1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4" t="inlineStr">
        <is>
          <t>20251231007-2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4" dxf="1">
      <nc r="I5" t="inlineStr">
        <is>
          <t>20251231006-1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6" t="inlineStr">
        <is>
          <t>20251231006-2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7">
        <v>20251231008</v>
      </nc>
      <ndxf>
        <fill>
          <patternFill patternType="solid">
            <bgColor theme="8" tint="0.59999389629810485"/>
          </patternFill>
        </fill>
      </ndxf>
    </rcc>
    <rcc rId="0" sId="4" dxf="1">
      <nc r="I8">
        <v>20260102030</v>
      </nc>
      <ndxf>
        <fill>
          <patternFill patternType="solid">
            <bgColor rgb="FFFFFFCC"/>
          </patternFill>
        </fill>
      </ndxf>
    </rcc>
    <rcc rId="0" sId="4" dxf="1">
      <nc r="I9">
        <v>20260102027</v>
      </nc>
      <ndxf>
        <fill>
          <patternFill patternType="solid">
            <bgColor theme="8" tint="0.59999389629810485"/>
          </patternFill>
        </fill>
      </ndxf>
    </rcc>
    <rcc rId="0" sId="4" dxf="1">
      <nc r="I10">
        <v>20260102031</v>
      </nc>
      <ndxf>
        <fill>
          <patternFill patternType="solid">
            <bgColor rgb="FFFFFFCC"/>
          </patternFill>
        </fill>
      </ndxf>
    </rcc>
    <rcc rId="0" sId="4" dxf="1">
      <nc r="I11">
        <v>20260102032</v>
      </nc>
      <ndxf>
        <fill>
          <patternFill patternType="solid">
            <bgColor rgb="FFFFFFCC"/>
          </patternFill>
        </fill>
      </ndxf>
    </rcc>
    <rcc rId="0" sId="4" dxf="1">
      <nc r="I12">
        <v>20260102028</v>
      </nc>
      <ndxf>
        <fill>
          <patternFill patternType="solid">
            <bgColor theme="8" tint="0.59999389629810485"/>
          </patternFill>
        </fill>
      </ndxf>
    </rcc>
    <rcc rId="0" sId="4" dxf="1">
      <nc r="I13">
        <v>20260102033</v>
      </nc>
      <ndxf>
        <fill>
          <patternFill patternType="solid">
            <bgColor rgb="FFFFFFCC"/>
          </patternFill>
        </fill>
      </ndxf>
    </rcc>
    <rcc rId="0" sId="4" dxf="1">
      <nc r="I14">
        <v>20260105009</v>
      </nc>
      <ndxf>
        <fill>
          <patternFill patternType="solid">
            <bgColor theme="8" tint="0.59999389629810485"/>
          </patternFill>
        </fill>
      </ndxf>
    </rcc>
    <rfmt sheetId="4" sqref="I15" start="0" length="0">
      <dxf>
        <fill>
          <patternFill patternType="solid">
            <bgColor theme="8" tint="0.59999389629810485"/>
          </patternFill>
        </fill>
      </dxf>
    </rfmt>
    <rcc rId="0" sId="4" dxf="1">
      <nc r="I16" t="inlineStr">
        <is>
          <t>20260105010-1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17" t="inlineStr">
        <is>
          <t>20260106003-1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18">
        <v>20260108003</v>
      </nc>
      <ndxf>
        <fill>
          <patternFill patternType="solid">
            <bgColor theme="8" tint="0.59999389629810485"/>
          </patternFill>
        </fill>
      </ndxf>
    </rcc>
    <rcc rId="0" sId="4" dxf="1">
      <nc r="I19" t="inlineStr">
        <is>
          <t>20260108004-1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20" t="inlineStr">
        <is>
          <t>20260108005-1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21" t="inlineStr">
        <is>
          <t>20260108006-1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22" t="inlineStr">
        <is>
          <t>20260108007-1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23">
        <v>20260108008</v>
      </nc>
      <ndxf>
        <fill>
          <patternFill patternType="solid">
            <bgColor theme="8" tint="0.59999389629810485"/>
          </patternFill>
        </fill>
      </ndxf>
    </rcc>
    <rcc rId="0" sId="4" dxf="1">
      <nc r="I24">
        <v>20260116008</v>
      </nc>
      <ndxf>
        <fill>
          <patternFill patternType="solid">
            <bgColor theme="8" tint="0.59999389629810485"/>
          </patternFill>
        </fill>
      </ndxf>
    </rcc>
    <rcc rId="0" sId="4" dxf="1">
      <nc r="I25">
        <v>20260116009</v>
      </nc>
      <ndxf>
        <fill>
          <patternFill patternType="solid">
            <bgColor theme="8" tint="0.59999389629810485"/>
          </patternFill>
        </fill>
      </ndxf>
    </rcc>
    <rcc rId="0" sId="4" dxf="1">
      <nc r="I26">
        <v>20260116010</v>
      </nc>
      <ndxf>
        <fill>
          <patternFill patternType="solid">
            <bgColor theme="8" tint="0.59999389629810485"/>
          </patternFill>
        </fill>
      </ndxf>
    </rcc>
    <rcc rId="0" sId="4" dxf="1">
      <nc r="I27">
        <v>20260116011</v>
      </nc>
      <ndxf>
        <fill>
          <patternFill patternType="solid">
            <bgColor theme="8" tint="0.59999389629810485"/>
          </patternFill>
        </fill>
      </ndxf>
    </rcc>
    <rcc rId="0" sId="4" dxf="1">
      <nc r="I28">
        <v>20260116012</v>
      </nc>
      <ndxf>
        <fill>
          <patternFill patternType="solid">
            <bgColor theme="8" tint="0.59999389629810485"/>
          </patternFill>
        </fill>
      </ndxf>
    </rcc>
    <rcc rId="0" sId="4" dxf="1">
      <nc r="I29">
        <v>20260120005</v>
      </nc>
      <ndxf>
        <fill>
          <patternFill patternType="solid">
            <bgColor theme="8" tint="0.59999389629810485"/>
          </patternFill>
        </fill>
      </ndxf>
    </rcc>
    <rcc rId="0" sId="4" dxf="1">
      <nc r="I30">
        <v>20260122006</v>
      </nc>
      <ndxf>
        <fill>
          <patternFill patternType="solid">
            <bgColor theme="8" tint="0.59999389629810485"/>
          </patternFill>
        </fill>
      </ndxf>
    </rcc>
    <rcc rId="0" sId="4" dxf="1">
      <nc r="I31">
        <v>20260122009</v>
      </nc>
      <ndxf>
        <fill>
          <patternFill patternType="solid">
            <bgColor theme="8" tint="0.59999389629810485"/>
          </patternFill>
        </fill>
      </ndxf>
    </rcc>
    <rcc rId="0" sId="4" dxf="1">
      <nc r="I32">
        <v>20260122007</v>
      </nc>
      <ndxf>
        <fill>
          <patternFill patternType="solid">
            <bgColor theme="8" tint="0.59999389629810485"/>
          </patternFill>
        </fill>
      </ndxf>
    </rcc>
    <rcc rId="0" sId="4" dxf="1">
      <nc r="I33" t="inlineStr">
        <is>
          <t>20260122008-1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34">
        <v>20260127004</v>
      </nc>
      <ndxf>
        <fill>
          <patternFill patternType="solid">
            <bgColor theme="8" tint="0.59999389629810485"/>
          </patternFill>
        </fill>
      </ndxf>
    </rcc>
    <rcc rId="0" sId="4" dxf="1">
      <nc r="I35">
        <v>20260127005</v>
      </nc>
      <ndxf>
        <fill>
          <patternFill patternType="solid">
            <bgColor theme="8" tint="0.59999389629810485"/>
          </patternFill>
        </fill>
      </ndxf>
    </rcc>
    <rcc rId="0" sId="4" dxf="1">
      <nc r="I36">
        <v>20260127006</v>
      </nc>
      <ndxf>
        <fill>
          <patternFill patternType="solid">
            <bgColor theme="8" tint="0.59999389629810485"/>
          </patternFill>
        </fill>
      </ndxf>
    </rcc>
    <rcc rId="0" sId="4" dxf="1">
      <nc r="I37">
        <v>20260130047</v>
      </nc>
      <ndxf>
        <fill>
          <patternFill patternType="solid">
            <bgColor theme="8" tint="0.59999389629810485"/>
          </patternFill>
        </fill>
      </ndxf>
    </rcc>
    <rcc rId="0" sId="4" dxf="1">
      <nc r="I38">
        <v>20260130040</v>
      </nc>
      <ndxf>
        <fill>
          <patternFill patternType="solid">
            <bgColor theme="8" tint="0.59999389629810485"/>
          </patternFill>
        </fill>
      </ndxf>
    </rcc>
    <rcc rId="0" sId="4" dxf="1">
      <nc r="I39">
        <v>20260130041</v>
      </nc>
      <ndxf>
        <fill>
          <patternFill patternType="solid">
            <bgColor theme="8" tint="0.59999389629810485"/>
          </patternFill>
        </fill>
      </ndxf>
    </rcc>
    <rcc rId="0" sId="4" dxf="1">
      <nc r="I40">
        <v>20260130042</v>
      </nc>
      <ndxf>
        <fill>
          <patternFill patternType="solid">
            <bgColor theme="8" tint="0.59999389629810485"/>
          </patternFill>
        </fill>
      </ndxf>
    </rcc>
    <rcc rId="0" sId="4" dxf="1">
      <nc r="I41">
        <v>20260130043</v>
      </nc>
      <ndxf>
        <fill>
          <patternFill patternType="solid">
            <bgColor theme="8" tint="0.59999389629810485"/>
          </patternFill>
        </fill>
      </ndxf>
    </rcc>
    <rcc rId="0" sId="4" dxf="1">
      <nc r="I42">
        <v>20260130044</v>
      </nc>
      <ndxf>
        <fill>
          <patternFill patternType="solid">
            <bgColor theme="8" tint="0.59999389629810485"/>
          </patternFill>
        </fill>
      </ndxf>
    </rcc>
    <rcc rId="0" sId="4" dxf="1">
      <nc r="I43">
        <v>20260205001</v>
      </nc>
      <ndxf>
        <fill>
          <patternFill patternType="solid">
            <bgColor theme="8" tint="0.59999389629810485"/>
          </patternFill>
        </fill>
      </ndxf>
    </rcc>
    <rcc rId="0" sId="4" dxf="1">
      <nc r="I44" t="inlineStr">
        <is>
          <t>20260205002-1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45" t="inlineStr">
        <is>
          <t>20260205003-1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46" t="inlineStr">
        <is>
          <t>20260205004-1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47" t="inlineStr">
        <is>
          <t>20260205005-1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48">
        <v>20260210041</v>
      </nc>
      <ndxf>
        <fill>
          <patternFill patternType="solid">
            <bgColor theme="8" tint="0.59999389629810485"/>
          </patternFill>
        </fill>
      </ndxf>
    </rcc>
    <rcc rId="0" sId="4" dxf="1">
      <nc r="I49">
        <v>20260210042</v>
      </nc>
      <ndxf>
        <fill>
          <patternFill patternType="solid">
            <bgColor theme="8" tint="0.59999389629810485"/>
          </patternFill>
        </fill>
      </ndxf>
    </rcc>
    <rcc rId="0" sId="4" dxf="1">
      <nc r="I50">
        <v>20260210043</v>
      </nc>
      <ndxf>
        <fill>
          <patternFill patternType="solid">
            <bgColor theme="8" tint="0.59999389629810485"/>
          </patternFill>
        </fill>
      </ndxf>
    </rcc>
    <rcc rId="0" sId="4" dxf="1">
      <nc r="I51">
        <v>20260210044</v>
      </nc>
      <ndxf>
        <fill>
          <patternFill patternType="solid">
            <bgColor theme="8" tint="0.59999389629810485"/>
          </patternFill>
        </fill>
      </ndxf>
    </rcc>
    <rcc rId="0" sId="4" dxf="1">
      <nc r="I52">
        <v>20260210045</v>
      </nc>
      <ndxf>
        <fill>
          <patternFill patternType="solid">
            <bgColor theme="8" tint="0.59999389629810485"/>
          </patternFill>
        </fill>
      </ndxf>
    </rcc>
    <rcc rId="0" sId="4" dxf="1">
      <nc r="I53">
        <v>20260210046</v>
      </nc>
      <ndxf>
        <fill>
          <patternFill patternType="solid">
            <bgColor theme="8" tint="0.59999389629810485"/>
          </patternFill>
        </fill>
      </ndxf>
    </rcc>
    <rcc rId="0" sId="4" dxf="1">
      <nc r="I54">
        <v>20260210047</v>
      </nc>
      <ndxf>
        <fill>
          <patternFill patternType="solid">
            <bgColor theme="8" tint="0.59999389629810485"/>
          </patternFill>
        </fill>
      </ndxf>
    </rcc>
    <rcc rId="0" sId="4" dxf="1">
      <nc r="I55">
        <v>20260210048</v>
      </nc>
      <ndxf>
        <fill>
          <patternFill patternType="solid">
            <bgColor theme="8" tint="0.59999389629810485"/>
          </patternFill>
        </fill>
      </ndxf>
    </rcc>
    <rcc rId="0" sId="4" dxf="1">
      <nc r="I56">
        <v>20260210049</v>
      </nc>
      <ndxf>
        <fill>
          <patternFill patternType="solid">
            <bgColor theme="8" tint="0.59999389629810485"/>
          </patternFill>
        </fill>
      </ndxf>
    </rcc>
    <rcc rId="0" sId="4" dxf="1">
      <nc r="I57">
        <v>20260210050</v>
      </nc>
      <ndxf>
        <fill>
          <patternFill patternType="solid">
            <bgColor theme="8" tint="0.59999389629810485"/>
          </patternFill>
        </fill>
      </ndxf>
    </rcc>
    <rcc rId="0" sId="4" dxf="1">
      <nc r="I58">
        <v>20260225027</v>
      </nc>
      <ndxf>
        <fill>
          <patternFill patternType="solid">
            <bgColor theme="8" tint="0.59999389629810485"/>
          </patternFill>
        </fill>
      </ndxf>
    </rcc>
    <rcc rId="0" sId="4" dxf="1">
      <nc r="I59">
        <v>20260225028</v>
      </nc>
      <ndxf>
        <fill>
          <patternFill patternType="solid">
            <bgColor theme="8" tint="0.59999389629810485"/>
          </patternFill>
        </fill>
      </ndxf>
    </rcc>
    <rcc rId="0" sId="4" dxf="1">
      <nc r="I60">
        <v>20260225036</v>
      </nc>
      <ndxf>
        <fill>
          <patternFill patternType="solid">
            <bgColor theme="8" tint="0.59999389629810485"/>
          </patternFill>
        </fill>
      </ndxf>
    </rcc>
    <rcc rId="0" sId="4" dxf="1">
      <nc r="I61">
        <v>20260225034</v>
      </nc>
      <ndxf>
        <fill>
          <patternFill patternType="solid">
            <bgColor theme="8" tint="0.59999389629810485"/>
          </patternFill>
        </fill>
      </ndxf>
    </rcc>
    <rcc rId="0" sId="4" dxf="1">
      <nc r="I62">
        <v>20260225035</v>
      </nc>
      <ndxf>
        <fill>
          <patternFill patternType="solid">
            <bgColor theme="8" tint="0.59999389629810485"/>
          </patternFill>
        </fill>
      </ndxf>
    </rcc>
    <rcc rId="0" sId="4" dxf="1">
      <nc r="I63">
        <v>20260225037</v>
      </nc>
      <ndxf>
        <fill>
          <patternFill patternType="solid">
            <bgColor theme="8" tint="0.59999389629810485"/>
          </patternFill>
        </fill>
      </ndxf>
    </rcc>
    <rcc rId="0" sId="4" dxf="1">
      <nc r="I64" t="inlineStr">
        <is>
          <t>20260304003-1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65">
        <v>20230304004</v>
      </nc>
      <ndxf>
        <font>
          <sz val="10"/>
          <color rgb="FFFF0000"/>
          <name val="Arial"/>
          <scheme val="none"/>
        </font>
        <fill>
          <patternFill patternType="solid">
            <bgColor theme="8" tint="0.59999389629810485"/>
          </patternFill>
        </fill>
      </ndxf>
    </rcc>
    <rcc rId="0" sId="4" dxf="1">
      <nc r="I66" t="inlineStr">
        <is>
          <t>20260304005-1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67" t="inlineStr">
        <is>
          <t>20260304006-1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68" t="inlineStr">
        <is>
          <t>20260304007-1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69">
        <v>20260304008</v>
      </nc>
      <ndxf>
        <fill>
          <patternFill patternType="solid">
            <bgColor theme="8" tint="0.59999389629810485"/>
          </patternFill>
        </fill>
      </ndxf>
    </rcc>
    <rcc rId="0" sId="4" dxf="1">
      <nc r="I70" t="inlineStr">
        <is>
          <t>20260312003-1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71" t="inlineStr">
        <is>
          <t>20260313001-1</t>
          <phoneticPr fontId="0" type="noConversion"/>
        </is>
      </nc>
      <ndxf>
        <fill>
          <patternFill patternType="solid">
            <bgColor theme="8" tint="0.59999389629810485"/>
          </patternFill>
        </fill>
      </ndxf>
    </rcc>
    <rcc rId="0" sId="4" dxf="1">
      <nc r="I72" t="inlineStr">
        <is>
          <t>20260422003-1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73">
        <v>20260424001</v>
      </nc>
      <ndxf>
        <fill>
          <patternFill patternType="solid">
            <bgColor theme="9" tint="0.59999389629810485"/>
          </patternFill>
        </fill>
      </ndxf>
    </rcc>
    <rcc rId="0" sId="4" dxf="1">
      <nc r="I74" t="inlineStr">
        <is>
          <t>20260427001-1</t>
          <phoneticPr fontId="0" type="noConversion"/>
        </is>
      </nc>
      <ndxf>
        <fill>
          <patternFill patternType="solid">
            <bgColor theme="5" tint="0.59999389629810485"/>
          </patternFill>
        </fill>
      </ndxf>
    </rcc>
    <rcc rId="0" sId="4" dxf="1">
      <nc r="I75" t="inlineStr">
        <is>
          <t>20260430002-1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4" dxf="1">
      <nc r="I76" t="inlineStr">
        <is>
          <t>20260512001-1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4" dxf="1">
      <nc r="I77" t="inlineStr">
        <is>
          <t>20260513001-1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78" t="inlineStr">
        <is>
          <t>20260513002-1</t>
          <phoneticPr fontId="0" type="noConversion"/>
        </is>
      </nc>
      <ndxf>
        <fill>
          <patternFill patternType="solid">
            <bgColor rgb="FFFFFFCC"/>
          </patternFill>
        </fill>
      </ndxf>
    </rcc>
    <rfmt sheetId="4" sqref="I79" start="0" length="0">
      <dxf>
        <fill>
          <patternFill patternType="solid">
            <bgColor theme="6" tint="0.59999389629810485"/>
          </patternFill>
        </fill>
      </dxf>
    </rfmt>
    <rcc rId="0" sId="4" dxf="1">
      <nc r="I80" t="inlineStr">
        <is>
          <t>20260513003-1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81" t="inlineStr">
        <is>
          <t>20260513004-1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82">
        <v>20260518023</v>
      </nc>
      <ndxf>
        <fill>
          <patternFill patternType="solid">
            <bgColor rgb="FFFFFFCC"/>
          </patternFill>
        </fill>
      </ndxf>
    </rcc>
    <rcc rId="0" sId="4" dxf="1">
      <nc r="I83">
        <v>20260518024</v>
      </nc>
      <ndxf>
        <fill>
          <patternFill patternType="solid">
            <bgColor rgb="FFFFFFCC"/>
          </patternFill>
        </fill>
      </ndxf>
    </rcc>
    <rcc rId="0" sId="4" dxf="1">
      <nc r="I84">
        <v>20260518025</v>
      </nc>
      <ndxf>
        <fill>
          <patternFill patternType="solid">
            <bgColor rgb="FFFFFFCC"/>
          </patternFill>
        </fill>
      </ndxf>
    </rcc>
    <rcc rId="0" sId="4" dxf="1">
      <nc r="I85">
        <v>20260518026</v>
      </nc>
      <ndxf>
        <fill>
          <patternFill patternType="solid">
            <bgColor rgb="FFFFFFCC"/>
          </patternFill>
        </fill>
      </ndxf>
    </rcc>
    <rcc rId="0" sId="4" dxf="1">
      <nc r="I86">
        <v>20260518027</v>
      </nc>
      <ndxf>
        <fill>
          <patternFill patternType="solid">
            <bgColor rgb="FFFFFFCC"/>
          </patternFill>
        </fill>
      </ndxf>
    </rcc>
    <rcc rId="0" sId="4" dxf="1">
      <nc r="I87">
        <v>20260525029</v>
      </nc>
      <ndxf>
        <fill>
          <patternFill patternType="solid">
            <bgColor rgb="FFFFFFCC"/>
          </patternFill>
        </fill>
      </ndxf>
    </rcc>
    <rcc rId="0" sId="4" dxf="1">
      <nc r="I88">
        <v>20260525030</v>
      </nc>
      <ndxf>
        <fill>
          <patternFill patternType="solid">
            <bgColor rgb="FFFFFFCC"/>
          </patternFill>
        </fill>
      </ndxf>
    </rcc>
    <rcc rId="0" sId="4" dxf="1">
      <nc r="I89">
        <v>20260525031</v>
      </nc>
      <ndxf>
        <fill>
          <patternFill patternType="solid">
            <bgColor rgb="FFFFFFCC"/>
          </patternFill>
        </fill>
      </ndxf>
    </rcc>
    <rcc rId="0" sId="4" dxf="1">
      <nc r="I90" t="inlineStr">
        <is>
          <t>20260525033-1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91" t="inlineStr">
        <is>
          <t>20260525035-1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92">
        <v>20260525036</v>
      </nc>
      <ndxf>
        <fill>
          <patternFill patternType="solid">
            <bgColor rgb="FFFFFFCC"/>
          </patternFill>
        </fill>
      </ndxf>
    </rcc>
    <rcc rId="0" sId="4" dxf="1">
      <nc r="I93">
        <v>20260601032</v>
      </nc>
      <ndxf>
        <fill>
          <patternFill patternType="solid">
            <bgColor rgb="FFFFFFCC"/>
          </patternFill>
        </fill>
      </ndxf>
    </rcc>
    <rcc rId="0" sId="4" dxf="1">
      <nc r="I94">
        <v>20260601033</v>
      </nc>
      <ndxf>
        <fill>
          <patternFill patternType="solid">
            <bgColor rgb="FFFFFFCC"/>
          </patternFill>
        </fill>
      </ndxf>
    </rcc>
    <rcc rId="0" sId="4" dxf="1">
      <nc r="I95">
        <v>20260601034</v>
      </nc>
      <ndxf>
        <fill>
          <patternFill patternType="solid">
            <bgColor rgb="FFFFFFCC"/>
          </patternFill>
        </fill>
      </ndxf>
    </rcc>
    <rcc rId="0" sId="4" dxf="1">
      <nc r="I96">
        <v>20260601035</v>
      </nc>
      <ndxf>
        <fill>
          <patternFill patternType="solid">
            <bgColor rgb="FFFFFFCC"/>
          </patternFill>
        </fill>
      </ndxf>
    </rcc>
    <rcc rId="0" sId="4" dxf="1">
      <nc r="I97">
        <v>20260601036</v>
      </nc>
      <ndxf>
        <fill>
          <patternFill patternType="solid">
            <bgColor rgb="FFFFFFCC"/>
          </patternFill>
        </fill>
      </ndxf>
    </rcc>
    <rcc rId="0" sId="4" dxf="1">
      <nc r="I98">
        <v>20260601037</v>
      </nc>
      <ndxf>
        <fill>
          <patternFill patternType="solid">
            <bgColor rgb="FFFFFFCC"/>
          </patternFill>
        </fill>
      </ndxf>
    </rcc>
    <rcc rId="0" sId="4" dxf="1">
      <nc r="I99" t="inlineStr">
        <is>
          <t>20260601038-1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100">
        <v>20260601039</v>
      </nc>
      <ndxf>
        <fill>
          <patternFill patternType="solid">
            <bgColor rgb="FFFFFFCC"/>
          </patternFill>
        </fill>
      </ndxf>
    </rcc>
    <rcc rId="0" sId="4" dxf="1">
      <nc r="I101">
        <v>20260601040</v>
      </nc>
      <ndxf>
        <fill>
          <patternFill patternType="solid">
            <bgColor rgb="FFFFFFCC"/>
          </patternFill>
        </fill>
      </ndxf>
    </rcc>
    <rcc rId="0" sId="4" dxf="1">
      <nc r="I102" t="inlineStr">
        <is>
          <t>20260615036-1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103">
        <v>20260615037</v>
      </nc>
      <ndxf>
        <fill>
          <patternFill patternType="solid">
            <bgColor rgb="FFFFFFCC"/>
          </patternFill>
        </fill>
      </ndxf>
    </rcc>
    <rcc rId="0" sId="4" dxf="1">
      <nc r="I104">
        <v>20260615038</v>
      </nc>
      <ndxf>
        <fill>
          <patternFill patternType="solid">
            <bgColor rgb="FFFFFFCC"/>
          </patternFill>
        </fill>
      </ndxf>
    </rcc>
    <rcc rId="0" sId="4" dxf="1">
      <nc r="I105">
        <v>20260615039</v>
      </nc>
      <ndxf>
        <fill>
          <patternFill patternType="solid">
            <bgColor rgb="FFFFFFCC"/>
          </patternFill>
        </fill>
      </ndxf>
    </rcc>
    <rcc rId="0" sId="4" dxf="1">
      <nc r="I106">
        <v>20260615040</v>
      </nc>
      <ndxf>
        <fill>
          <patternFill patternType="solid">
            <bgColor rgb="FFFFFFCC"/>
          </patternFill>
        </fill>
      </ndxf>
    </rcc>
    <rcc rId="0" sId="4" dxf="1">
      <nc r="I107">
        <v>20260622029</v>
      </nc>
      <ndxf>
        <fill>
          <patternFill patternType="solid">
            <bgColor rgb="FFFFFFCC"/>
          </patternFill>
        </fill>
      </ndxf>
    </rcc>
    <rcc rId="0" sId="4" dxf="1">
      <nc r="I108">
        <v>20260622030</v>
      </nc>
      <ndxf>
        <fill>
          <patternFill patternType="solid">
            <bgColor rgb="FFFFFFCC"/>
          </patternFill>
        </fill>
      </ndxf>
    </rcc>
    <rcc rId="0" sId="4" dxf="1">
      <nc r="I109">
        <v>20260622031</v>
      </nc>
      <ndxf>
        <fill>
          <patternFill patternType="solid">
            <bgColor rgb="FFFFFFCC"/>
          </patternFill>
        </fill>
      </ndxf>
    </rcc>
    <rcc rId="0" sId="4" dxf="1">
      <nc r="I110">
        <v>20260622032</v>
      </nc>
      <ndxf>
        <fill>
          <patternFill patternType="solid">
            <bgColor rgb="FFFFFFCC"/>
          </patternFill>
        </fill>
      </ndxf>
    </rcc>
    <rcc rId="0" sId="4" dxf="1">
      <nc r="I111">
        <v>20260629033</v>
      </nc>
      <ndxf>
        <fill>
          <patternFill patternType="solid">
            <bgColor rgb="FFFFFFCC"/>
          </patternFill>
        </fill>
      </ndxf>
    </rcc>
    <rcc rId="0" sId="4" dxf="1">
      <nc r="I112">
        <v>20260629034</v>
      </nc>
      <ndxf>
        <fill>
          <patternFill patternType="solid">
            <bgColor rgb="FFFFFFCC"/>
          </patternFill>
        </fill>
      </ndxf>
    </rcc>
    <rcc rId="0" sId="4" dxf="1">
      <nc r="I113">
        <v>20260629035</v>
      </nc>
      <ndxf>
        <fill>
          <patternFill patternType="solid">
            <bgColor rgb="FFFFFFCC"/>
          </patternFill>
        </fill>
      </ndxf>
    </rcc>
    <rcc rId="0" sId="4" dxf="1">
      <nc r="I114">
        <v>20260629036</v>
      </nc>
      <ndxf>
        <fill>
          <patternFill patternType="solid">
            <bgColor rgb="FFFFFFCC"/>
          </patternFill>
        </fill>
      </ndxf>
    </rcc>
    <rcc rId="0" sId="4" dxf="1">
      <nc r="I115">
        <v>20260629037</v>
      </nc>
      <ndxf>
        <fill>
          <patternFill patternType="solid">
            <bgColor rgb="FFFFFFCC"/>
          </patternFill>
        </fill>
      </ndxf>
    </rcc>
    <rcc rId="0" sId="4" dxf="1">
      <nc r="I116">
        <v>20260706035</v>
      </nc>
      <ndxf>
        <fill>
          <patternFill patternType="solid">
            <bgColor rgb="FFFFFFCC"/>
          </patternFill>
        </fill>
      </ndxf>
    </rcc>
    <rcc rId="0" sId="4" dxf="1">
      <nc r="I117">
        <v>20260706036</v>
      </nc>
      <ndxf>
        <fill>
          <patternFill patternType="solid">
            <bgColor rgb="FFFFFFCC"/>
          </patternFill>
        </fill>
      </ndxf>
    </rcc>
    <rcc rId="0" sId="4" dxf="1">
      <nc r="I118">
        <v>20260706037</v>
      </nc>
      <ndxf>
        <fill>
          <patternFill patternType="solid">
            <bgColor rgb="FFFFFFCC"/>
          </patternFill>
        </fill>
      </ndxf>
    </rcc>
    <rcc rId="0" sId="4" dxf="1">
      <nc r="I119">
        <v>20260706038</v>
      </nc>
      <ndxf>
        <fill>
          <patternFill patternType="solid">
            <bgColor rgb="FFFFFFCC"/>
          </patternFill>
        </fill>
      </ndxf>
    </rcc>
    <rcc rId="0" sId="4" dxf="1">
      <nc r="I120">
        <v>20260706039</v>
      </nc>
      <ndxf>
        <fill>
          <patternFill patternType="solid">
            <bgColor rgb="FFFFFFCC"/>
          </patternFill>
        </fill>
      </ndxf>
    </rcc>
    <rcc rId="0" sId="4" dxf="1">
      <nc r="I121">
        <v>20260706040</v>
      </nc>
      <ndxf>
        <fill>
          <patternFill patternType="solid">
            <bgColor rgb="FFFFFFCC"/>
          </patternFill>
        </fill>
      </ndxf>
    </rcc>
    <rcc rId="0" sId="4" dxf="1">
      <nc r="I122">
        <v>20260706041</v>
      </nc>
      <ndxf>
        <fill>
          <patternFill patternType="solid">
            <bgColor rgb="FFFFFFCC"/>
          </patternFill>
        </fill>
      </ndxf>
    </rcc>
    <rcc rId="0" sId="4" dxf="1">
      <nc r="I123">
        <v>20260714026</v>
      </nc>
      <ndxf>
        <fill>
          <patternFill patternType="solid">
            <bgColor rgb="FFFFFFCC"/>
          </patternFill>
        </fill>
      </ndxf>
    </rcc>
    <rcc rId="0" sId="4" dxf="1">
      <nc r="I124">
        <v>20260714027</v>
      </nc>
      <ndxf>
        <fill>
          <patternFill patternType="solid">
            <bgColor rgb="FFFFFFCC"/>
          </patternFill>
        </fill>
      </ndxf>
    </rcc>
    <rcc rId="0" sId="4" dxf="1">
      <nc r="I125">
        <v>20260714028</v>
      </nc>
      <ndxf>
        <fill>
          <patternFill patternType="solid">
            <bgColor rgb="FFFFFFCC"/>
          </patternFill>
        </fill>
      </ndxf>
    </rcc>
    <rcc rId="0" sId="4" dxf="1">
      <nc r="I126">
        <v>20260714029</v>
      </nc>
      <ndxf>
        <fill>
          <patternFill patternType="solid">
            <bgColor rgb="FFFFFFCC"/>
          </patternFill>
        </fill>
      </ndxf>
    </rcc>
    <rcc rId="0" sId="4" dxf="1">
      <nc r="I127">
        <v>20260714030</v>
      </nc>
      <ndxf>
        <fill>
          <patternFill patternType="solid">
            <bgColor rgb="FFFFFFCC"/>
          </patternFill>
        </fill>
      </ndxf>
    </rcc>
    <rcc rId="0" sId="4" dxf="1">
      <nc r="I128">
        <v>20260720032</v>
      </nc>
      <ndxf>
        <fill>
          <patternFill patternType="solid">
            <bgColor rgb="FFFFFFCC"/>
          </patternFill>
        </fill>
      </ndxf>
    </rcc>
    <rcc rId="0" sId="4" dxf="1">
      <nc r="I129">
        <v>20260720033</v>
      </nc>
      <ndxf>
        <fill>
          <patternFill patternType="solid">
            <bgColor rgb="FFFFFFCC"/>
          </patternFill>
        </fill>
      </ndxf>
    </rcc>
    <rcc rId="0" sId="4" dxf="1">
      <nc r="I130">
        <v>20260720034</v>
      </nc>
      <ndxf>
        <fill>
          <patternFill patternType="solid">
            <bgColor rgb="FFFFFFCC"/>
          </patternFill>
        </fill>
      </ndxf>
    </rcc>
    <rcc rId="0" sId="4" dxf="1">
      <nc r="I131">
        <v>20260720035</v>
      </nc>
      <ndxf>
        <fill>
          <patternFill patternType="solid">
            <bgColor rgb="FFFFFFCC"/>
          </patternFill>
        </fill>
      </ndxf>
    </rcc>
    <rcc rId="0" sId="4" dxf="1">
      <nc r="I132">
        <v>20260720036</v>
      </nc>
      <ndxf>
        <fill>
          <patternFill patternType="solid">
            <bgColor rgb="FFFFFFCC"/>
          </patternFill>
        </fill>
      </ndxf>
    </rcc>
    <rcc rId="0" sId="4" dxf="1">
      <nc r="I133">
        <v>20260728011</v>
      </nc>
      <ndxf>
        <fill>
          <patternFill patternType="solid">
            <bgColor rgb="FFFFFFCC"/>
          </patternFill>
        </fill>
      </ndxf>
    </rcc>
    <rcc rId="0" sId="4" dxf="1">
      <nc r="I134">
        <v>20260728012</v>
      </nc>
      <ndxf>
        <fill>
          <patternFill patternType="solid">
            <bgColor rgb="FFFFFFCC"/>
          </patternFill>
        </fill>
      </ndxf>
    </rcc>
    <rcc rId="0" sId="4" dxf="1">
      <nc r="I135">
        <v>20260730016</v>
      </nc>
      <ndxf>
        <fill>
          <patternFill patternType="solid">
            <bgColor rgb="FFFFFFCC"/>
          </patternFill>
        </fill>
      </ndxf>
    </rcc>
    <rcc rId="0" sId="4" dxf="1">
      <nc r="I136">
        <v>20260730017</v>
      </nc>
      <ndxf>
        <fill>
          <patternFill patternType="solid">
            <bgColor rgb="FFFFFFCC"/>
          </patternFill>
        </fill>
      </ndxf>
    </rcc>
    <rcc rId="0" sId="4" dxf="1">
      <nc r="I137">
        <v>20260730018</v>
      </nc>
      <ndxf>
        <fill>
          <patternFill patternType="solid">
            <bgColor rgb="FFFFFFCC"/>
          </patternFill>
        </fill>
      </ndxf>
    </rcc>
    <rcc rId="0" sId="4" dxf="1">
      <nc r="I138">
        <v>20260803008</v>
      </nc>
      <ndxf>
        <fill>
          <patternFill patternType="solid">
            <bgColor rgb="FFFFFFCC"/>
          </patternFill>
        </fill>
      </ndxf>
    </rcc>
    <rcc rId="0" sId="4" dxf="1">
      <nc r="I139">
        <v>20260803009</v>
      </nc>
      <ndxf>
        <fill>
          <patternFill patternType="solid">
            <bgColor rgb="FFFFFFCC"/>
          </patternFill>
        </fill>
      </ndxf>
    </rcc>
    <rcc rId="0" sId="4" dxf="1">
      <nc r="I140">
        <v>20260803010</v>
      </nc>
      <ndxf>
        <fill>
          <patternFill patternType="solid">
            <bgColor rgb="FFFFFFCC"/>
          </patternFill>
        </fill>
      </ndxf>
    </rcc>
    <rcc rId="0" sId="4" dxf="1">
      <nc r="I141">
        <v>20260803011</v>
      </nc>
      <ndxf>
        <fill>
          <patternFill patternType="solid">
            <bgColor rgb="FFFFFFCC"/>
          </patternFill>
        </fill>
      </ndxf>
    </rcc>
    <rcc rId="0" sId="4" dxf="1">
      <nc r="I142">
        <v>20260803012</v>
      </nc>
      <ndxf>
        <fill>
          <patternFill patternType="solid">
            <bgColor rgb="FFFFFFCC"/>
          </patternFill>
        </fill>
      </ndxf>
    </rcc>
    <rcc rId="0" sId="4" dxf="1">
      <nc r="I143">
        <v>20260811027</v>
      </nc>
      <ndxf>
        <fill>
          <patternFill patternType="solid">
            <bgColor rgb="FFFFFFCC"/>
          </patternFill>
        </fill>
      </ndxf>
    </rcc>
    <rcc rId="0" sId="4" dxf="1">
      <nc r="I144">
        <v>20260811028</v>
      </nc>
      <ndxf>
        <fill>
          <patternFill patternType="solid">
            <bgColor rgb="FFFFFFCC"/>
          </patternFill>
        </fill>
      </ndxf>
    </rcc>
    <rcc rId="0" sId="4" dxf="1">
      <nc r="I145">
        <v>20260811029</v>
      </nc>
      <ndxf>
        <fill>
          <patternFill patternType="solid">
            <bgColor rgb="FFFFFFCC"/>
          </patternFill>
        </fill>
      </ndxf>
    </rcc>
    <rcc rId="0" sId="4" dxf="1">
      <nc r="I146">
        <v>20260811030</v>
      </nc>
      <ndxf>
        <fill>
          <patternFill patternType="solid">
            <bgColor rgb="FFFFFFCC"/>
          </patternFill>
        </fill>
      </ndxf>
    </rcc>
    <rcc rId="0" sId="4" dxf="1">
      <nc r="I147">
        <v>20260817032</v>
      </nc>
      <ndxf>
        <fill>
          <patternFill patternType="solid">
            <bgColor rgb="FFFFFFCC"/>
          </patternFill>
        </fill>
      </ndxf>
    </rcc>
    <rcc rId="0" sId="4" dxf="1">
      <nc r="I148">
        <v>20260817033</v>
      </nc>
      <ndxf>
        <fill>
          <patternFill patternType="solid">
            <bgColor rgb="FFFFFFCC"/>
          </patternFill>
        </fill>
      </ndxf>
    </rcc>
    <rcc rId="0" sId="4" dxf="1">
      <nc r="I149">
        <v>20260817034</v>
      </nc>
      <ndxf>
        <fill>
          <patternFill patternType="solid">
            <bgColor rgb="FFFFFFCC"/>
          </patternFill>
        </fill>
      </ndxf>
    </rcc>
    <rcc rId="0" sId="4" dxf="1">
      <nc r="I150">
        <v>20260817035</v>
      </nc>
      <ndxf>
        <fill>
          <patternFill patternType="solid">
            <bgColor rgb="FFFFFFCC"/>
          </patternFill>
        </fill>
      </ndxf>
    </rcc>
    <rcc rId="0" sId="4" dxf="1">
      <nc r="I151" t="inlineStr">
        <is>
          <t>20260821003-2</t>
          <phoneticPr fontId="0" type="noConversion"/>
        </is>
      </nc>
      <ndxf>
        <fill>
          <patternFill patternType="solid">
            <bgColor rgb="FFFFFFCC"/>
          </patternFill>
        </fill>
      </ndxf>
    </rcc>
    <rcc rId="0" sId="4" dxf="1">
      <nc r="I152" t="inlineStr">
        <is>
          <t>20260821003-1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4" dxf="1">
      <nc r="I153" t="inlineStr">
        <is>
          <t>20260821004-1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4" dxf="1">
      <nc r="I154" t="inlineStr">
        <is>
          <t>20260821005-2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4" dxf="1">
      <nc r="I155" t="inlineStr">
        <is>
          <t>20260821006-2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4" dxf="1">
      <nc r="I156" t="inlineStr">
        <is>
          <t>20260821007-1</t>
          <phoneticPr fontId="0" type="noConversion"/>
        </is>
      </nc>
      <ndxf>
        <fill>
          <patternFill patternType="solid">
            <bgColor theme="6" tint="0.59999389629810485"/>
          </patternFill>
        </fill>
      </ndxf>
    </rcc>
    <rcc rId="0" sId="4" dxf="1">
      <nc r="I157">
        <v>20260821008</v>
      </nc>
      <ndxf>
        <fill>
          <patternFill patternType="solid">
            <bgColor theme="6" tint="0.59999389629810485"/>
          </patternFill>
        </fill>
      </ndxf>
    </rcc>
    <rcc rId="0" sId="4" dxf="1">
      <nc r="I158">
        <v>20260828013</v>
      </nc>
      <ndxf>
        <fill>
          <patternFill patternType="solid">
            <bgColor theme="6" tint="0.59999389629810485"/>
          </patternFill>
        </fill>
      </ndxf>
    </rcc>
    <rcc rId="0" sId="4" dxf="1">
      <nc r="I159">
        <v>20260831034</v>
      </nc>
      <ndxf>
        <fill>
          <patternFill patternType="solid">
            <bgColor theme="6" tint="0.59999389629810485"/>
          </patternFill>
        </fill>
      </ndxf>
    </rcc>
    <rcc rId="0" sId="4" dxf="1">
      <nc r="I160">
        <v>20260901003</v>
      </nc>
      <ndxf>
        <fill>
          <patternFill patternType="solid">
            <bgColor theme="5" tint="0.79998168889431442"/>
          </patternFill>
        </fill>
      </ndxf>
    </rcc>
    <rcc rId="0" sId="4" dxf="1">
      <nc r="I161">
        <v>20260901028</v>
      </nc>
      <ndxf>
        <fill>
          <patternFill patternType="solid">
            <bgColor theme="9" tint="0.59999389629810485"/>
          </patternFill>
        </fill>
      </ndxf>
    </rcc>
    <rcc rId="0" sId="4" dxf="1">
      <nc r="I162">
        <v>20260903003</v>
      </nc>
      <ndxf>
        <fill>
          <patternFill patternType="solid">
            <bgColor theme="9" tint="0.59999389629810485"/>
          </patternFill>
        </fill>
      </ndxf>
    </rcc>
    <rcc rId="0" sId="4" dxf="1">
      <nc r="I163">
        <v>20260903004</v>
      </nc>
      <ndxf>
        <fill>
          <patternFill patternType="solid">
            <bgColor theme="9" tint="0.59999389629810485"/>
          </patternFill>
        </fill>
      </ndxf>
    </rcc>
    <rcc rId="0" sId="4" dxf="1">
      <nc r="I164">
        <v>20260903005</v>
      </nc>
      <ndxf>
        <fill>
          <patternFill patternType="solid">
            <bgColor theme="9" tint="0.59999389629810485"/>
          </patternFill>
        </fill>
      </ndxf>
    </rcc>
    <rcc rId="0" sId="4" dxf="1">
      <nc r="I165">
        <v>20260903006</v>
      </nc>
      <ndxf>
        <fill>
          <patternFill patternType="solid">
            <bgColor theme="9" tint="0.59999389629810485"/>
          </patternFill>
        </fill>
      </ndxf>
    </rcc>
  </rrc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'IPAHQ(TANK)-中科'!$A$2:$S$876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'IPAHQ(TANK)-中科'!$A$2:$S$876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'IPAHQ(TANK)-中科'!$A$2:$S$876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2" sId="2">
    <oc r="C733" t="inlineStr">
      <is>
        <t>26903E3051</t>
      </is>
    </oc>
    <nc r="C733" t="inlineStr">
      <is>
        <t>26903E3051</t>
        <phoneticPr fontId="30408" type="noConversion"/>
      </is>
    </nc>
  </rcc>
  <rcc rId="1233" sId="2">
    <oc r="C734" t="inlineStr">
      <is>
        <t>26903E3031</t>
      </is>
    </oc>
    <nc r="C734" t="inlineStr">
      <is>
        <t>26903E3031</t>
        <phoneticPr fontId="30408" type="noConversion"/>
      </is>
    </nc>
  </rcc>
  <rcc rId="1234" sId="2">
    <oc r="C731" t="inlineStr">
      <is>
        <t>26903E3021</t>
      </is>
    </oc>
    <nc r="C731" t="inlineStr">
      <is>
        <t>26903E3021</t>
        <phoneticPr fontId="30408" type="noConversion"/>
      </is>
    </nc>
  </rcc>
  <rcc rId="1235" sId="2">
    <oc r="C732" t="inlineStr">
      <is>
        <t>26903E3181</t>
      </is>
    </oc>
    <nc r="C732" t="inlineStr">
      <is>
        <t>26903E3181</t>
        <phoneticPr fontId="30408" type="noConversion"/>
      </is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36" sId="2">
    <oc r="G732" t="inlineStr">
      <is>
        <t>4800384805/400</t>
      </is>
    </oc>
    <nc r="G732" t="inlineStr">
      <is>
        <t>4800384805/400</t>
        <phoneticPr fontId="30408" type="noConversion"/>
      </is>
    </nc>
  </rcc>
  <rcc rId="1237" sId="2">
    <oc r="G734" t="inlineStr">
      <is>
        <t>4800384805/300</t>
        <phoneticPr fontId="30408" type="noConversion"/>
      </is>
    </oc>
    <nc r="G734" t="inlineStr">
      <is>
        <t>4800384805/300</t>
        <phoneticPr fontId="30408" type="noConversion"/>
      </is>
    </nc>
  </rcc>
  <rcc rId="1238" sId="2">
    <oc r="C733" t="inlineStr">
      <is>
        <t>26903E3051</t>
        <phoneticPr fontId="30408" type="noConversion"/>
      </is>
    </oc>
    <nc r="C733" t="inlineStr">
      <is>
        <t>26903E3051</t>
        <phoneticPr fontId="30408" type="noConversion"/>
      </is>
    </nc>
  </rcc>
  <rcc rId="1239" sId="1">
    <nc r="F18">
      <v>20260904003</v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'IPAHQ(TANK)-中科'!$A$2:$S$876</formula>
    <oldFormula>'IPAHQ(TANK)-中科'!$A$2:$S$876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'IPAHQ(TANK)-中科'!$A$2:$S$876</formula>
    <oldFormula>'IPAHQ(TANK)-中科'!$A$2:$S$876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64" sId="2" numFmtId="34">
    <nc r="I721">
      <v>4220</v>
    </nc>
  </rcc>
  <rcc rId="1265" sId="2" numFmtId="34">
    <nc r="J721">
      <v>4150</v>
    </nc>
  </rcc>
  <rcc rId="1266" sId="2" numFmtId="34">
    <nc r="I724">
      <v>4270</v>
    </nc>
  </rcc>
  <rcc rId="1267" sId="2" numFmtId="34">
    <nc r="J724">
      <v>4240</v>
    </nc>
  </rcc>
  <rcc rId="1268" sId="2">
    <oc r="K724">
      <f>J724/0.786</f>
    </oc>
    <nc r="K724">
      <f>J724/0.786+1</f>
    </nc>
  </rcc>
  <rcc rId="1269" sId="2" numFmtId="34">
    <nc r="I725">
      <v>4400</v>
    </nc>
  </rcc>
  <rcc rId="1270" sId="2" numFmtId="34">
    <nc r="J725">
      <v>4320</v>
    </nc>
  </rcc>
  <rcc rId="1271" sId="2">
    <oc r="K725">
      <f>J725/0.786</f>
    </oc>
    <nc r="K725">
      <f>J725/0.786+1</f>
    </nc>
  </rcc>
  <rcc rId="1272" sId="2" numFmtId="34">
    <nc r="I726">
      <v>4250</v>
    </nc>
  </rcc>
  <rcc rId="1273" sId="2" numFmtId="34">
    <nc r="J726">
      <v>4290</v>
    </nc>
  </rcc>
  <rcc rId="1274" sId="2">
    <oc r="K726">
      <f>J726/0.786</f>
    </oc>
    <nc r="K726">
      <f>J726/0.786+1</f>
    </nc>
  </rcc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5" sId="2">
    <oc r="F721" t="inlineStr">
      <is>
        <t>20260831006-1</t>
      </is>
    </oc>
    <nc r="F721" t="inlineStr">
      <is>
        <t>20260831006-1</t>
        <phoneticPr fontId="30408" type="noConversion"/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76" sId="1">
    <nc r="P18">
      <f>DATE(YEAR(O18)+1,MONTH(O18),DAY(O18))-1</f>
    </nc>
  </rcc>
  <rcc rId="1277" sId="1">
    <nc r="P19">
      <f>DATE(YEAR(O19)+1,MONTH(O19),DAY(O19))-1</f>
    </nc>
  </rcc>
  <rcc rId="1278" sId="1">
    <nc r="P20">
      <f>DATE(YEAR(O20)+1,MONTH(O20),DAY(O20))-1</f>
    </nc>
  </rcc>
  <rcc rId="1279" sId="1">
    <nc r="P21">
      <f>DATE(YEAR(O21)+1,MONTH(O21),DAY(O21))-1</f>
    </nc>
  </rcc>
  <rcc rId="1280" sId="1">
    <nc r="P22">
      <f>DATE(YEAR(O22)+1,MONTH(O22),DAY(O22))-1</f>
    </nc>
  </rcc>
  <rcc rId="1281" sId="1">
    <nc r="P23">
      <f>DATE(YEAR(O23)+1,MONTH(O23),DAY(O23))-1</f>
    </nc>
  </rcc>
  <rcc rId="1282" sId="1">
    <nc r="P24">
      <f>DATE(YEAR(O24)+1,MONTH(O24),DAY(O24))-1</f>
    </nc>
  </rcc>
  <rcc rId="1283" sId="1">
    <nc r="P25">
      <f>DATE(YEAR(O25)+1,MONTH(O25),DAY(O25))-1</f>
    </nc>
  </rcc>
  <rcc rId="1284" sId="1">
    <nc r="P26">
      <f>DATE(YEAR(O26)+1,MONTH(O26),DAY(O26))-1</f>
    </nc>
  </rcc>
  <rcc rId="1285" sId="1">
    <nc r="P27">
      <f>DATE(YEAR(O27)+1,MONTH(O27),DAY(O27))-1</f>
    </nc>
  </rcc>
  <rcc rId="1286" sId="1">
    <nc r="P28">
      <f>DATE(YEAR(O28)+1,MONTH(O28),DAY(O28))-1</f>
    </nc>
  </rcc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'IPAHQ(TANK)-中科'!$A$2:$S$876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N18" start="0" length="0">
    <dxf>
      <numFmt numFmtId="25" formatCode="hh:mm"/>
    </dxf>
  </rfmt>
  <rfmt sheetId="1" sqref="N18">
    <dxf>
      <numFmt numFmtId="181" formatCode="h:mm;@"/>
    </dxf>
  </rfmt>
  <rfmt sheetId="1" sqref="N18" start="0" length="0">
    <dxf>
      <numFmt numFmtId="25" formatCode="hh:mm"/>
      <fill>
        <patternFill>
          <bgColor theme="8" tint="0.59999389629810485"/>
        </patternFill>
      </fill>
    </dxf>
  </rfmt>
  <rfmt sheetId="1" sqref="N18">
    <dxf>
      <fill>
        <patternFill>
          <bgColor rgb="FFFFFFCC"/>
        </patternFill>
      </fill>
    </dxf>
  </rfmt>
  <rcc rId="1299" sId="1" numFmtId="25">
    <nc r="N18">
      <v>0.375</v>
    </nc>
  </rcc>
  <rfmt sheetId="1" sqref="N19" start="0" length="0">
    <dxf>
      <numFmt numFmtId="25" formatCode="hh:mm"/>
      <fill>
        <patternFill>
          <bgColor rgb="FFFFFFCC"/>
        </patternFill>
      </fill>
    </dxf>
  </rfmt>
  <rfmt sheetId="1" sqref="N20" start="0" length="0">
    <dxf>
      <numFmt numFmtId="25" formatCode="hh:mm"/>
      <fill>
        <patternFill patternType="solid">
          <bgColor rgb="FFFFFFCC"/>
        </patternFill>
      </fill>
    </dxf>
  </rfmt>
  <rfmt sheetId="1" sqref="N21" start="0" length="0">
    <dxf>
      <numFmt numFmtId="25" formatCode="hh:mm"/>
      <fill>
        <patternFill patternType="solid">
          <bgColor rgb="FFFFFFCC"/>
        </patternFill>
      </fill>
    </dxf>
  </rfmt>
  <rfmt sheetId="1" sqref="N22" start="0" length="0">
    <dxf>
      <numFmt numFmtId="25" formatCode="hh:mm"/>
      <fill>
        <patternFill patternType="solid">
          <bgColor rgb="FFFFFFCC"/>
        </patternFill>
      </fill>
    </dxf>
  </rfmt>
  <rfmt sheetId="1" sqref="N23" start="0" length="0">
    <dxf>
      <numFmt numFmtId="25" formatCode="hh:mm"/>
      <fill>
        <patternFill patternType="solid">
          <bgColor rgb="FFFFFFCC"/>
        </patternFill>
      </fill>
    </dxf>
  </rfmt>
  <rfmt sheetId="1" sqref="N24" start="0" length="0">
    <dxf>
      <numFmt numFmtId="25" formatCode="hh:mm"/>
      <fill>
        <patternFill patternType="solid">
          <bgColor rgb="FFFFFFCC"/>
        </patternFill>
      </fill>
    </dxf>
  </rfmt>
  <rfmt sheetId="1" sqref="N25" start="0" length="0">
    <dxf>
      <numFmt numFmtId="25" formatCode="hh:mm"/>
      <fill>
        <patternFill patternType="solid">
          <bgColor rgb="FFFFFFCC"/>
        </patternFill>
      </fill>
    </dxf>
  </rfmt>
  <rfmt sheetId="1" sqref="N26" start="0" length="0">
    <dxf>
      <numFmt numFmtId="25" formatCode="hh:mm"/>
      <fill>
        <patternFill patternType="solid">
          <bgColor rgb="FFFFFFCC"/>
        </patternFill>
      </fill>
    </dxf>
  </rfmt>
  <rfmt sheetId="1" sqref="N27" start="0" length="0">
    <dxf>
      <numFmt numFmtId="25" formatCode="hh:mm"/>
      <fill>
        <patternFill patternType="solid">
          <bgColor rgb="FFFFFFCC"/>
        </patternFill>
      </fill>
    </dxf>
  </rfmt>
  <rfmt sheetId="1" sqref="N28" start="0" length="0">
    <dxf>
      <numFmt numFmtId="25" formatCode="hh:mm"/>
      <fill>
        <patternFill patternType="solid">
          <bgColor rgb="FFFFFFCC"/>
        </patternFill>
      </fill>
    </dxf>
  </rfmt>
  <rfmt sheetId="1" sqref="N29" start="0" length="0">
    <dxf>
      <numFmt numFmtId="25" formatCode="hh:mm"/>
      <fill>
        <patternFill patternType="solid">
          <bgColor rgb="FFFFFFCC"/>
        </patternFill>
      </fill>
    </dxf>
  </rfmt>
  <rfmt sheetId="1" sqref="N30" start="0" length="0">
    <dxf>
      <numFmt numFmtId="25" formatCode="hh:mm"/>
      <fill>
        <patternFill patternType="solid">
          <bgColor rgb="FFFFFFCC"/>
        </patternFill>
      </fill>
    </dxf>
  </rfmt>
  <rfmt sheetId="1" sqref="N31" start="0" length="0">
    <dxf>
      <numFmt numFmtId="25" formatCode="hh:mm"/>
      <fill>
        <patternFill patternType="solid">
          <bgColor rgb="FFFFFFCC"/>
        </patternFill>
      </fill>
    </dxf>
  </rfmt>
  <rfmt sheetId="1" sqref="N32" start="0" length="0">
    <dxf>
      <numFmt numFmtId="25" formatCode="hh:mm"/>
      <fill>
        <patternFill patternType="solid">
          <bgColor rgb="FFFFFFCC"/>
        </patternFill>
      </fill>
    </dxf>
  </rfmt>
  <rfmt sheetId="1" sqref="N33" start="0" length="0">
    <dxf>
      <numFmt numFmtId="25" formatCode="hh:mm"/>
      <fill>
        <patternFill patternType="solid">
          <bgColor rgb="FFFFFFCC"/>
        </patternFill>
      </fill>
    </dxf>
  </rfmt>
  <rfmt sheetId="1" sqref="N34" start="0" length="0">
    <dxf>
      <numFmt numFmtId="25" formatCode="hh:mm"/>
      <fill>
        <patternFill patternType="solid">
          <bgColor rgb="FFFFFFCC"/>
        </patternFill>
      </fill>
    </dxf>
  </rfmt>
  <rfmt sheetId="1" sqref="N35" start="0" length="0">
    <dxf>
      <numFmt numFmtId="25" formatCode="hh:mm"/>
      <fill>
        <patternFill patternType="solid">
          <bgColor rgb="FFFFFFCC"/>
        </patternFill>
      </fill>
    </dxf>
  </rfmt>
  <rfmt sheetId="1" sqref="N36" start="0" length="0">
    <dxf>
      <numFmt numFmtId="25" formatCode="hh:mm"/>
      <fill>
        <patternFill patternType="solid">
          <bgColor rgb="FFFFFFCC"/>
        </patternFill>
      </fill>
    </dxf>
  </rfmt>
  <rfmt sheetId="1" sqref="N37" start="0" length="0">
    <dxf>
      <numFmt numFmtId="25" formatCode="hh:mm"/>
      <fill>
        <patternFill patternType="solid">
          <bgColor rgb="FFFFFFCC"/>
        </patternFill>
      </fill>
    </dxf>
  </rfmt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'IPAHQ(TANK)-中科'!$A$2:$S$876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12" sId="2">
    <nc r="C735" t="inlineStr">
      <is>
        <t>26904E3061</t>
        <phoneticPr fontId="0" type="noConversion"/>
      </is>
    </nc>
  </rcc>
  <rcc rId="1313" sId="2">
    <nc r="C736" t="inlineStr">
      <is>
        <t>26904E3171</t>
        <phoneticPr fontId="0" type="noConversion"/>
      </is>
    </nc>
  </rcc>
  <rcc rId="1314" sId="2">
    <nc r="C737" t="inlineStr">
      <is>
        <t>26904E3191</t>
        <phoneticPr fontId="0" type="noConversion"/>
      </is>
    </nc>
  </rcc>
  <rcc rId="1315" sId="4">
    <nc r="C163" t="inlineStr">
      <is>
        <t>26904E44J1</t>
        <phoneticPr fontId="0" type="noConversion"/>
      </is>
    </nc>
  </rcc>
  <rcc rId="1316" sId="4">
    <nc r="D163">
      <f>IF($C163="", "", MID($C163, 6, IF(MID($C163, LEN($C163)-1, 1)="J", 3, 4)))</f>
    </nc>
  </rcc>
  <rcc rId="1317" sId="4">
    <nc r="D164">
      <f>IF($C164="", "", MID($C164, 6, IF(MID($C164, LEN($C164)-1, 1)="J", 3, 4)))</f>
    </nc>
  </rcc>
  <rcc rId="1318" sId="4">
    <nc r="D165">
      <f>IF($C165="", "", MID($C165, 6, IF(MID($C165, LEN($C165)-1, 1)="J", 3, 4)))</f>
    </nc>
  </rcc>
  <rcc rId="1319" sId="4">
    <oc r="D166">
      <f>IF($C166="", "", MID($C166, 6, IF(MID($C166, LEN($C166)-1, 1)="J", 3, 4)))</f>
    </oc>
    <nc r="D166">
      <f>IF($C166="", "", MID($C166, 6, IF(MID($C166, LEN($C166)-1, 1)="J", 3, 4)))</f>
    </nc>
  </rcc>
  <rcc rId="1320" sId="4">
    <oc r="D167">
      <f>IF($C167="", "", MID($C167, 6, IF(MID($C167, LEN($C167)-1, 1)="J", 3, 4)))</f>
    </oc>
    <nc r="D167">
      <f>IF($C167="", "", MID($C167, 6, IF(MID($C167, LEN($C167)-1, 1)="J", 3, 4)))</f>
    </nc>
  </rcc>
  <rcc rId="1321" sId="4">
    <oc r="D168">
      <f>IF($C168="", "", MID($C168, 6, IF(MID($C168, LEN($C168)-1, 1)="J", 3, 4)))</f>
    </oc>
    <nc r="D168">
      <f>IF($C168="", "", MID($C168, 6, IF(MID($C168, LEN($C168)-1, 1)="J", 3, 4)))</f>
    </nc>
  </rcc>
  <rcc rId="1322" sId="4">
    <oc r="D169">
      <f>IF($C169="", "", MID($C169, 6, IF(MID($C169, LEN($C169)-1, 1)="J", 3, 4)))</f>
    </oc>
    <nc r="D169">
      <f>IF($C169="", "", MID($C169, 6, IF(MID($C169, LEN($C169)-1, 1)="J", 3, 4)))</f>
    </nc>
  </rcc>
  <rcc rId="1323" sId="4">
    <oc r="D170">
      <f>IF($C170="", "", MID($C170, 6, IF(MID($C170, LEN($C170)-1, 1)="J", 3, 4)))</f>
    </oc>
    <nc r="D170">
      <f>IF($C170="", "", MID($C170, 6, IF(MID($C170, LEN($C170)-1, 1)="J", 3, 4)))</f>
    </nc>
  </rcc>
  <rcc rId="1324" sId="4">
    <oc r="D171">
      <f>IF($C171="", "", MID($C171, 6, IF(MID($C171, LEN($C171)-1, 1)="J", 3, 4)))</f>
    </oc>
    <nc r="D171">
      <f>IF($C171="", "", MID($C171, 6, IF(MID($C171, LEN($C171)-1, 1)="J", 3, 4)))</f>
    </nc>
  </rcc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'IPAHQ(TANK)-中科'!$A$2:$S$876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7" sId="4" odxf="1" dxf="1" numFmtId="25">
    <nc r="N163">
      <v>0.91666666666666663</v>
    </nc>
    <odxf>
      <numFmt numFmtId="0" formatCode="General"/>
    </odxf>
    <ndxf>
      <numFmt numFmtId="25" formatCode="hh:mm"/>
    </ndxf>
  </rcc>
  <rcc rId="1338" sId="2" odxf="1" dxf="1" numFmtId="25">
    <nc r="N735">
      <v>0.45833333333333331</v>
    </nc>
    <odxf>
      <numFmt numFmtId="0" formatCode="General"/>
    </odxf>
    <ndxf>
      <numFmt numFmtId="25" formatCode="hh:mm"/>
    </ndxf>
  </rcc>
  <rcc rId="1339" sId="2" odxf="1" dxf="1" numFmtId="25">
    <nc r="N736">
      <v>4.1666666666666664E-2</v>
    </nc>
    <odxf>
      <numFmt numFmtId="0" formatCode="General"/>
    </odxf>
    <ndxf>
      <numFmt numFmtId="25" formatCode="hh:mm"/>
    </ndxf>
  </rcc>
  <rcc rId="1340" sId="2" odxf="1" dxf="1" numFmtId="25">
    <nc r="N737">
      <v>0.54166666666666663</v>
    </nc>
    <odxf>
      <numFmt numFmtId="0" formatCode="General"/>
    </odxf>
    <ndxf>
      <numFmt numFmtId="25" formatCode="hh:mm"/>
    </ndxf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41" sId="4">
    <oc r="G163" t="inlineStr">
      <is>
        <t>4800388490/100</t>
        <phoneticPr fontId="0" type="noConversion"/>
      </is>
    </oc>
    <nc r="G163" t="inlineStr">
      <is>
        <t>4800388490/100</t>
        <phoneticPr fontId="0" type="noConversion"/>
      </is>
    </nc>
  </rcc>
  <rcc rId="1342" sId="2">
    <oc r="C736" t="inlineStr">
      <is>
        <t>26904E3171</t>
        <phoneticPr fontId="0" type="noConversion"/>
      </is>
    </oc>
    <nc r="C736" t="inlineStr">
      <is>
        <t>26904E3171</t>
        <phoneticPr fontId="0" type="noConversion"/>
      </is>
    </nc>
  </rcc>
  <rcc rId="1343" sId="2">
    <oc r="G736" t="inlineStr">
      <is>
        <t>4800384805/300</t>
        <phoneticPr fontId="0" type="noConversion"/>
      </is>
    </oc>
    <nc r="G736" t="inlineStr">
      <is>
        <t>4800384805/300</t>
        <phoneticPr fontId="0" type="noConversion"/>
      </is>
    </nc>
  </rcc>
  <rcc rId="1344" sId="2">
    <oc r="G737" t="inlineStr">
      <is>
        <t>4800384805/300</t>
        <phoneticPr fontId="0" type="noConversion"/>
      </is>
    </oc>
    <nc r="G737" t="inlineStr">
      <is>
        <t>4800384805/300</t>
        <phoneticPr fontId="0" type="noConversion"/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'IPAHQ(TANK)-中科'!$A$2:$S$876</formula>
    <oldFormula>'IPAHQ(TANK)-中科'!$A$2:$S$876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57" sId="2">
    <oc r="C735" t="inlineStr">
      <is>
        <t>26904E3061</t>
        <phoneticPr fontId="0" type="noConversion"/>
      </is>
    </oc>
    <nc r="C735" t="inlineStr">
      <is>
        <t>26904E3061</t>
        <phoneticPr fontId="0" type="noConversion"/>
      </is>
    </nc>
  </rcc>
  <rcc rId="1358" sId="4">
    <oc r="C163" t="inlineStr">
      <is>
        <t>26904E44J1</t>
        <phoneticPr fontId="0" type="noConversion"/>
      </is>
    </oc>
    <nc r="C163" t="inlineStr">
      <is>
        <t>26904E44J1</t>
        <phoneticPr fontId="0" type="noConversion"/>
      </is>
    </nc>
  </rcc>
  <rcc rId="1359" sId="2">
    <oc r="C737" t="inlineStr">
      <is>
        <t>26904E3191</t>
        <phoneticPr fontId="0" type="noConversion"/>
      </is>
    </oc>
    <nc r="C737" t="inlineStr">
      <is>
        <t>26904E3191</t>
        <phoneticPr fontId="0" type="noConversion"/>
      </is>
    </nc>
  </rcc>
  <rcc rId="1360" sId="1">
    <nc r="C18" t="inlineStr">
      <is>
        <t>26905E3041</t>
        <phoneticPr fontId="0" type="noConversion"/>
      </is>
    </nc>
  </rcc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61" sId="2">
    <nc r="C738" t="inlineStr">
      <is>
        <t>26905E29J1</t>
        <phoneticPr fontId="0" type="noConversion"/>
      </is>
    </nc>
  </rcc>
  <rcc rId="1362" sId="2">
    <nc r="C739" t="inlineStr">
      <is>
        <t>26906E3051</t>
        <phoneticPr fontId="0" type="noConversion"/>
      </is>
    </nc>
  </rcc>
  <rcc rId="1363" sId="2">
    <nc r="C740" t="inlineStr">
      <is>
        <t>26905E3091</t>
        <phoneticPr fontId="0" type="noConversion"/>
      </is>
    </nc>
  </rcc>
  <rcc rId="1364" sId="2">
    <nc r="C741" t="inlineStr">
      <is>
        <t>26905E3081</t>
        <phoneticPr fontId="0" type="noConversion"/>
      </is>
    </nc>
  </rcc>
  <rfmt sheetId="2" sqref="N738" start="0" length="0">
    <dxf>
      <numFmt numFmtId="25" formatCode="hh:mm"/>
      <fill>
        <patternFill>
          <bgColor theme="8" tint="0.59999389629810485"/>
        </patternFill>
      </fill>
    </dxf>
  </rfmt>
  <rfmt sheetId="2" sqref="N739" start="0" length="0">
    <dxf>
      <numFmt numFmtId="25" formatCode="hh:mm"/>
      <fill>
        <patternFill>
          <bgColor theme="8" tint="0.59999389629810485"/>
        </patternFill>
      </fill>
    </dxf>
  </rfmt>
  <rfmt sheetId="2" sqref="N738:N739">
    <dxf>
      <fill>
        <patternFill>
          <bgColor theme="6" tint="0.59999389629810485"/>
        </patternFill>
      </fill>
    </dxf>
  </rfmt>
  <rfmt sheetId="2" sqref="N738" start="0" length="0">
    <dxf>
      <numFmt numFmtId="27" formatCode="yyyy/m/d\ hh:mm"/>
    </dxf>
  </rfmt>
  <rfmt sheetId="2" sqref="N738:N739">
    <dxf>
      <numFmt numFmtId="181" formatCode="h:mm;@"/>
    </dxf>
  </rfmt>
  <rfmt sheetId="2" sqref="N738" start="0" length="0">
    <dxf>
      <numFmt numFmtId="25" formatCode="hh:mm"/>
    </dxf>
  </rfmt>
  <rcc rId="1365" sId="2" numFmtId="25">
    <nc r="N738">
      <v>8.3333333333333329E-2</v>
    </nc>
  </rcc>
  <rcc rId="1366" sId="2" numFmtId="23">
    <nc r="N739">
      <v>0.79166666666666663</v>
    </nc>
  </rcc>
  <rfmt sheetId="2" sqref="N740" start="0" length="0">
    <dxf>
      <numFmt numFmtId="25" formatCode="hh:mm"/>
    </dxf>
  </rfmt>
  <rfmt sheetId="2" sqref="N741" start="0" length="0">
    <dxf>
      <numFmt numFmtId="25" formatCode="hh:mm"/>
    </dxf>
  </rfmt>
  <rcc rId="1367" sId="2" numFmtId="25">
    <nc r="N740">
      <v>8.3333333333333329E-2</v>
    </nc>
  </rcc>
  <rcc rId="1368" sId="2" numFmtId="25">
    <nc r="N741">
      <v>0.58333333333333337</v>
    </nc>
  </rcc>
  <rrc rId="1369" sId="2" ref="A738:XFD738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  <undo index="0" exp="area" ref3D="1" dr="$A$1:$A$1048576" dn="Z_8578D927_8BDE_4C99_A2DB_3E44DFA36FF2_.wvu.Cols" sId="2"/>
  </rrc>
  <rcc rId="1370" sId="2" odxf="1" dxf="1" numFmtId="19">
    <nc r="B738">
      <v>46274</v>
    </nc>
    <odxf>
      <fill>
        <patternFill>
          <bgColor theme="8" tint="0.59999389629810485"/>
        </patternFill>
      </fill>
    </odxf>
    <ndxf>
      <fill>
        <patternFill>
          <bgColor theme="5" tint="0.59999389629810485"/>
        </patternFill>
      </fill>
    </ndxf>
  </rcc>
  <rfmt sheetId="2" sqref="C738" start="0" length="0">
    <dxf>
      <fill>
        <patternFill>
          <bgColor theme="5" tint="0.59999389629810485"/>
        </patternFill>
      </fill>
    </dxf>
  </rfmt>
  <rcc rId="1371" sId="2" odxf="1" dxf="1">
    <nc r="D738">
      <f>IF($C738="", "", MID($C738, 6, IF(MID($C738, LEN($C738)-1, 1)="J", 3, 4)))</f>
    </nc>
    <odxf>
      <fill>
        <patternFill>
          <bgColor theme="8" tint="0.59999389629810485"/>
        </patternFill>
      </fill>
    </odxf>
    <ndxf>
      <fill>
        <patternFill>
          <bgColor theme="5" tint="0.59999389629810485"/>
        </patternFill>
      </fill>
    </ndxf>
  </rcc>
  <rcc rId="1372" sId="2" odxf="1" dxf="1">
    <nc r="E738" t="inlineStr">
      <is>
        <t>15P4</t>
        <phoneticPr fontId="0" type="noConversion"/>
      </is>
    </nc>
    <odxf>
      <fill>
        <patternFill>
          <bgColor theme="8" tint="0.59999389629810485"/>
        </patternFill>
      </fill>
    </odxf>
    <ndxf>
      <fill>
        <patternFill>
          <bgColor theme="5" tint="0.59999389629810485"/>
        </patternFill>
      </fill>
    </ndxf>
  </rcc>
  <rcc rId="1373" sId="2" odxf="1" dxf="1">
    <nc r="F738">
      <v>20260831002</v>
    </nc>
    <odxf>
      <fill>
        <patternFill>
          <bgColor theme="8" tint="0.59999389629810485"/>
        </patternFill>
      </fill>
    </odxf>
    <ndxf>
      <fill>
        <patternFill>
          <bgColor theme="5" tint="0.59999389629810485"/>
        </patternFill>
      </fill>
    </ndxf>
  </rcc>
  <rcc rId="1374" sId="2" odxf="1" dxf="1">
    <nc r="G738" t="inlineStr">
      <is>
        <t>4800384805/200</t>
        <phoneticPr fontId="0" type="noConversion"/>
      </is>
    </nc>
    <odxf>
      <fill>
        <patternFill>
          <bgColor theme="8" tint="0.59999389629810485"/>
        </patternFill>
      </fill>
    </odxf>
    <ndxf>
      <fill>
        <patternFill>
          <bgColor theme="5" tint="0.59999389629810485"/>
        </patternFill>
      </fill>
    </ndxf>
  </rcc>
  <rcc rId="1375" sId="2" odxf="1" dxf="1">
    <nc r="H738">
      <f>H711-K738</f>
    </nc>
    <odxf>
      <fill>
        <patternFill>
          <bgColor theme="8" tint="0.59999389629810485"/>
        </patternFill>
      </fill>
    </odxf>
    <ndxf>
      <fill>
        <patternFill>
          <bgColor theme="5" tint="0.59999389629810485"/>
        </patternFill>
      </fill>
    </ndxf>
  </rcc>
  <rfmt sheetId="2" sqref="I738" start="0" length="0">
    <dxf>
      <fill>
        <patternFill>
          <bgColor theme="5" tint="0.59999389629810485"/>
        </patternFill>
      </fill>
    </dxf>
  </rfmt>
  <rfmt sheetId="2" sqref="J738" start="0" length="0">
    <dxf>
      <fill>
        <patternFill>
          <bgColor theme="5" tint="0.59999389629810485"/>
        </patternFill>
      </fill>
    </dxf>
  </rfmt>
  <rcc rId="1376" sId="2" odxf="1" dxf="1">
    <nc r="K738">
      <f>J738/0.786</f>
    </nc>
    <odxf>
      <fill>
        <patternFill>
          <bgColor theme="8" tint="0.59999389629810485"/>
        </patternFill>
      </fill>
    </odxf>
    <ndxf>
      <fill>
        <patternFill>
          <bgColor theme="5" tint="0.59999389629810485"/>
        </patternFill>
      </fill>
    </ndxf>
  </rcc>
  <rfmt sheetId="2" sqref="L738" start="0" length="0">
    <dxf>
      <numFmt numFmtId="0" formatCode="General"/>
      <fill>
        <patternFill>
          <bgColor theme="5" tint="0.59999389629810485"/>
        </patternFill>
      </fill>
    </dxf>
  </rfmt>
  <rfmt sheetId="2" sqref="M738" start="0" length="0">
    <dxf>
      <fill>
        <patternFill>
          <bgColor theme="5" tint="0.59999389629810485"/>
        </patternFill>
      </fill>
    </dxf>
  </rfmt>
  <rfmt sheetId="2" sqref="N738" start="0" length="0">
    <dxf>
      <numFmt numFmtId="0" formatCode="General"/>
      <fill>
        <patternFill>
          <bgColor theme="5" tint="0.59999389629810485"/>
        </patternFill>
      </fill>
    </dxf>
  </rfmt>
  <rcc rId="1377" sId="2">
    <nc r="O738">
      <f>IF($C738="","",DATE(2000+LEFT($C738,2), HEX2DEC(MID($C738,3,1)), MID($C738,4,2)))</f>
    </nc>
  </rcc>
  <rcc rId="1378" sId="2">
    <nc r="P738">
      <f>DATE(YEAR(O738)+1,MONTH(O738),DAY(O738))-1</f>
    </nc>
  </rcc>
  <rcc rId="1379" sId="2">
    <nc r="C738" t="inlineStr">
      <is>
        <t>26905E3071</t>
        <phoneticPr fontId="0" type="noConversion"/>
      </is>
    </nc>
  </rcc>
  <rfmt sheetId="2" sqref="N738" start="0" length="0">
    <dxf>
      <numFmt numFmtId="25" formatCode="hh:mm"/>
      <fill>
        <patternFill>
          <bgColor theme="8" tint="0.59999389629810485"/>
        </patternFill>
      </fill>
    </dxf>
  </rfmt>
  <rfmt sheetId="2" sqref="N738">
    <dxf>
      <fill>
        <patternFill>
          <bgColor theme="6" tint="0.59999389629810485"/>
        </patternFill>
      </fill>
    </dxf>
  </rfmt>
  <rfmt sheetId="2" sqref="N738">
    <dxf>
      <fill>
        <patternFill>
          <bgColor theme="5" tint="0.59999389629810485"/>
        </patternFill>
      </fill>
    </dxf>
  </rfmt>
  <rcc rId="1380" sId="2" numFmtId="25">
    <nc r="N738">
      <v>0.75</v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1" sId="2">
    <oc r="H738">
      <f>H711-K738</f>
    </oc>
    <nc r="H738">
      <f>H719-K738</f>
    </nc>
  </rcc>
  <rcc rId="1382" sId="2" numFmtId="19">
    <oc r="B746">
      <v>46274</v>
    </oc>
    <nc r="B746"/>
  </rcc>
  <rcc rId="1383" sId="2">
    <oc r="H746">
      <f>H719-K746</f>
    </oc>
    <nc r="H746">
      <f>H738-K746</f>
    </nc>
  </rcc>
  <rcc rId="1384" sId="2">
    <oc r="F746">
      <v>20260831002</v>
    </oc>
    <nc r="F746"/>
  </rcc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5" sId="2">
    <oc r="C738" t="inlineStr">
      <is>
        <t>26905E3071</t>
        <phoneticPr fontId="0" type="noConversion"/>
      </is>
    </oc>
    <nc r="C738" t="inlineStr">
      <is>
        <t>26905E3071</t>
        <phoneticPr fontId="0" type="noConversion"/>
      </is>
    </nc>
  </rcc>
  <rcc rId="1386" sId="1">
    <oc r="G18" t="inlineStr">
      <is>
        <t>4800361959/100</t>
        <phoneticPr fontId="0" type="noConversion"/>
      </is>
    </oc>
    <nc r="G18" t="inlineStr">
      <is>
        <t>4800361959/100</t>
        <phoneticPr fontId="0" type="noConversion"/>
      </is>
    </nc>
  </rcc>
  <rcc rId="1387" sId="1">
    <oc r="F18">
      <v>20260904003</v>
    </oc>
    <nc r="F18" t="inlineStr">
      <is>
        <t>20260904003-1</t>
        <phoneticPr fontId="0" type="noConversion"/>
      </is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88" sId="2">
    <oc r="C739" t="inlineStr">
      <is>
        <t>26905E29J1</t>
        <phoneticPr fontId="0" type="noConversion"/>
      </is>
    </oc>
    <nc r="C739" t="inlineStr">
      <is>
        <t>26905E29J1</t>
        <phoneticPr fontId="0" type="noConversion"/>
      </is>
    </nc>
  </rcc>
  <rcc rId="1389" sId="2">
    <oc r="C740" t="inlineStr">
      <is>
        <t>26906E3051</t>
        <phoneticPr fontId="0" type="noConversion"/>
      </is>
    </oc>
    <nc r="C740" t="inlineStr">
      <is>
        <t>26906E3051</t>
        <phoneticPr fontId="0" type="noConversion"/>
      </is>
    </nc>
  </rcc>
  <rcc rId="1390" sId="2">
    <oc r="C741" t="inlineStr">
      <is>
        <t>26905E3091</t>
        <phoneticPr fontId="0" type="noConversion"/>
      </is>
    </oc>
    <nc r="C741" t="inlineStr">
      <is>
        <t>26905E3091</t>
        <phoneticPr fontId="0" type="noConversion"/>
      </is>
    </nc>
  </rcc>
  <rcc rId="1391" sId="2" numFmtId="19">
    <oc r="B738">
      <v>46274</v>
    </oc>
    <nc r="B738">
      <v>46271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2" sId="2">
    <oc r="C738" t="inlineStr">
      <is>
        <t>26905E3071</t>
        <phoneticPr fontId="0" type="noConversion"/>
      </is>
    </oc>
    <nc r="C738" t="inlineStr">
      <is>
        <t>26905E3071</t>
        <phoneticPr fontId="0" type="noConversion"/>
      </is>
    </nc>
  </rcc>
  <rcc rId="1393" sId="2">
    <oc r="G739" t="inlineStr">
      <is>
        <t>4800384805/400</t>
        <phoneticPr fontId="0" type="noConversion"/>
      </is>
    </oc>
    <nc r="G739" t="inlineStr">
      <is>
        <t>4800384805/400</t>
        <phoneticPr fontId="0" type="noConversion"/>
      </is>
    </nc>
  </rcc>
  <rcc rId="1394" sId="2">
    <oc r="G741" t="inlineStr">
      <is>
        <t>4800384805/300</t>
        <phoneticPr fontId="0" type="noConversion"/>
      </is>
    </oc>
    <nc r="G741" t="inlineStr">
      <is>
        <t>4800384805/300</t>
        <phoneticPr fontId="0" type="noConversion"/>
      </is>
    </nc>
  </rcc>
  <rfmt sheetId="2" sqref="B740:C740" start="0" length="2147483647">
    <dxf>
      <font>
        <color rgb="FFFF0000"/>
      </font>
    </dxf>
  </rfmt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95" sId="2">
    <oc r="C739" t="inlineStr">
      <is>
        <t>26905E29J1</t>
        <phoneticPr fontId="0" type="noConversion"/>
      </is>
    </oc>
    <nc r="C739" t="inlineStr">
      <is>
        <t>26905E29J1</t>
        <phoneticPr fontId="0" type="noConversion"/>
      </is>
    </nc>
  </rcc>
  <rcc rId="1396" sId="2">
    <oc r="C740" t="inlineStr">
      <is>
        <t>26906E3051</t>
        <phoneticPr fontId="0" type="noConversion"/>
      </is>
    </oc>
    <nc r="C740" t="inlineStr">
      <is>
        <t>26906E3051</t>
        <phoneticPr fontId="0" type="noConversion"/>
      </is>
    </nc>
  </rcc>
  <rcc rId="1397" sId="2">
    <oc r="C742" t="inlineStr">
      <is>
        <t>26905E3081</t>
        <phoneticPr fontId="0" type="noConversion"/>
      </is>
    </oc>
    <nc r="C742" t="inlineStr">
      <is>
        <t>26905E3081</t>
        <phoneticPr fontId="0" type="noConversion"/>
      </is>
    </nc>
  </rcc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'IPAHQ(TANK)-中科'!$A$2:$S$877</formula>
    <oldFormula>'IPAHQ(TANK)-中科'!$A$2:$S$877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10" sId="2">
    <oc r="C740" t="inlineStr">
      <is>
        <t>26906E3051</t>
        <phoneticPr fontId="0" type="noConversion"/>
      </is>
    </oc>
    <nc r="C740" t="inlineStr">
      <is>
        <t>26906E3051</t>
        <phoneticPr fontId="0" type="noConversion"/>
      </is>
    </nc>
  </rcc>
  <rcc rId="1411" sId="2">
    <oc r="C739" t="inlineStr">
      <is>
        <t>26905E29J1</t>
        <phoneticPr fontId="0" type="noConversion"/>
      </is>
    </oc>
    <nc r="C739" t="inlineStr">
      <is>
        <t>26905E29J1</t>
        <phoneticPr fontId="0" type="noConversion"/>
      </is>
    </nc>
  </rcc>
  <rcc rId="1412" sId="2">
    <oc r="C738" t="inlineStr">
      <is>
        <t>26905E3071</t>
        <phoneticPr fontId="0" type="noConversion"/>
      </is>
    </oc>
    <nc r="C738" t="inlineStr">
      <is>
        <t>26905E3071</t>
        <phoneticPr fontId="0" type="noConversion"/>
      </is>
    </nc>
  </rcc>
  <rcc rId="1413" sId="2">
    <oc r="C741" t="inlineStr">
      <is>
        <t>26905E3091</t>
        <phoneticPr fontId="0" type="noConversion"/>
      </is>
    </oc>
    <nc r="C741" t="inlineStr">
      <is>
        <t>26905E3091</t>
        <phoneticPr fontId="0" type="noConversion"/>
      </is>
    </nc>
  </rcc>
  <rcc rId="1414" sId="2">
    <oc r="C742" t="inlineStr">
      <is>
        <t>26905E3081</t>
        <phoneticPr fontId="0" type="noConversion"/>
      </is>
    </oc>
    <nc r="C742" t="inlineStr">
      <is>
        <t>26905E3081</t>
        <phoneticPr fontId="0" type="noConversion"/>
      </is>
    </nc>
  </rcc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'IPAHQ(TANK)-中科'!$A$2:$S$877</formula>
    <oldFormula>'IPAHQ(TANK)-中科'!$A$2:$S$877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27" sId="2" ref="A743:XFD743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cc rId="1428" sId="2">
    <nc r="D743">
      <f>IF($C743="", "", MID($C743, 6, IF(MID($C743, LEN($C743)-1, 1)="J", 3, 4)))</f>
    </nc>
  </rcc>
  <rcc rId="1429" sId="2">
    <nc r="E743" t="inlineStr">
      <is>
        <t>15P6</t>
        <phoneticPr fontId="0" type="noConversion"/>
      </is>
    </nc>
  </rcc>
  <rcc rId="1430" sId="2">
    <nc r="F743">
      <v>20260831031</v>
    </nc>
  </rcc>
  <rcc rId="1431" sId="2">
    <nc r="G743" t="inlineStr">
      <is>
        <t>4800384805/300</t>
        <phoneticPr fontId="0" type="noConversion"/>
      </is>
    </nc>
  </rcc>
  <rcc rId="1432" sId="2">
    <nc r="H743">
      <f>H740-K743</f>
    </nc>
  </rcc>
  <rcc rId="1433" sId="2">
    <nc r="K743">
      <f>J743/0.786</f>
    </nc>
  </rcc>
  <rfmt sheetId="2" sqref="N743" start="0" length="0">
    <dxf>
      <numFmt numFmtId="0" formatCode="General"/>
    </dxf>
  </rfmt>
  <rcc rId="1434" sId="2">
    <nc r="O743">
      <f>IF($C743="","",DATE(2000+LEFT($C743,2), HEX2DEC(MID($C743,3,1)), MID($C743,4,2)))</f>
    </nc>
  </rcc>
  <rcc rId="1435" sId="2">
    <nc r="P743">
      <f>DATE(YEAR(O743)+1,MONTH(O743),DAY(O743))-1</f>
    </nc>
  </rcc>
  <rcc rId="1436" sId="2">
    <oc r="F745">
      <v>20260831031</v>
    </oc>
    <nc r="F745">
      <v>20260831032</v>
    </nc>
  </rcc>
  <rcc rId="1437" sId="2">
    <oc r="F746">
      <v>20260831032</v>
    </oc>
    <nc r="F746"/>
  </rcc>
  <rcc rId="1438" sId="2">
    <nc r="C743" t="inlineStr">
      <is>
        <t>26906E3031</t>
        <phoneticPr fontId="0" type="noConversion"/>
      </is>
    </nc>
  </rcc>
  <rcc rId="1439" sId="2" numFmtId="25">
    <oc r="N741">
      <v>8.3333333333333329E-2</v>
    </oc>
    <nc r="N741">
      <v>0</v>
    </nc>
  </rcc>
  <rcc rId="1440" sId="2" numFmtId="25">
    <oc r="N742">
      <v>0.58333333333333337</v>
    </oc>
    <nc r="N742">
      <v>0.45833333333333331</v>
    </nc>
  </rcc>
  <rfmt sheetId="2" sqref="N743" start="0" length="0">
    <dxf>
      <numFmt numFmtId="25" formatCode="hh:mm"/>
    </dxf>
  </rfmt>
  <rcc rId="1441" sId="2" numFmtId="25">
    <nc r="N743">
      <v>0.91666666666666663</v>
    </nc>
  </rcc>
  <rcc rId="1442" sId="2" numFmtId="19">
    <nc r="B743">
      <v>46272</v>
    </nc>
  </rcc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'IPAHQ(TANK)-中科'!$A$2:$S$878</formula>
    <oldFormula>'IPAHQ(TANK)-中科'!$A$2:$S$878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'IPAHQ(TANK)-南科'!$A$2:$S$190</formula>
    <oldFormula>'IPAHQ(TANK)-南科'!$A$2:$S$190</oldFormula>
  </rdn>
  <rcv guid="{F261CC3E-BBAF-4421-92E0-E43167440BFB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740:C740" start="0" length="2147483647">
    <dxf>
      <font>
        <color auto="1"/>
      </font>
    </dxf>
  </rfmt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5" sId="2">
    <oc r="C743" t="inlineStr">
      <is>
        <t>26906E3031</t>
        <phoneticPr fontId="0" type="noConversion"/>
      </is>
    </oc>
    <nc r="C743" t="inlineStr">
      <is>
        <t>26906E3031</t>
        <phoneticPr fontId="0" type="noConversion"/>
      </is>
    </nc>
  </rcc>
  <rcc rId="1456" sId="2">
    <oc r="E1" t="inlineStr">
      <is>
        <t xml:space="preserve">TSMC IPA料號:L12C53161 </t>
        <phoneticPr fontId="0" type="noConversion"/>
      </is>
    </oc>
    <nc r="E1" t="inlineStr">
      <is>
        <t xml:space="preserve">TSMC IPA料號:L12C53161 </t>
        <phoneticPr fontId="0" type="noConversion"/>
      </is>
    </nc>
  </rcc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57" sId="2">
    <nc r="C744" t="inlineStr">
      <is>
        <t>26906E3181</t>
        <phoneticPr fontId="30435" type="noConversion"/>
      </is>
    </nc>
  </rcc>
  <rcc rId="1458" sId="2">
    <nc r="C745" t="inlineStr">
      <is>
        <t>26906E3021</t>
        <phoneticPr fontId="30435" type="noConversion"/>
      </is>
    </nc>
  </rcc>
  <rcc rId="1459" sId="2">
    <nc r="C746" t="inlineStr">
      <is>
        <t>26907E3171</t>
        <phoneticPr fontId="30435" type="noConversion"/>
      </is>
    </nc>
  </rcc>
  <rcc rId="1460" sId="4" numFmtId="19">
    <oc r="B164">
      <v>46273</v>
    </oc>
    <nc r="B164">
      <v>46274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1" sId="2">
    <oc r="C744" t="inlineStr">
      <is>
        <t>26906E3181</t>
        <phoneticPr fontId="30435" type="noConversion"/>
      </is>
    </oc>
    <nc r="C744" t="inlineStr">
      <is>
        <t>26906E3181</t>
        <phoneticPr fontId="30435" type="noConversion"/>
      </is>
    </nc>
  </rcc>
  <rcc rId="1462" sId="2">
    <oc r="C743" t="inlineStr">
      <is>
        <t>26906E3031</t>
      </is>
    </oc>
    <nc r="C743" t="inlineStr">
      <is>
        <t>26906E3031</t>
        <phoneticPr fontId="30435" type="noConversion"/>
      </is>
    </nc>
  </rcc>
  <rcc rId="1463" sId="2">
    <oc r="C746" t="inlineStr">
      <is>
        <t>26907E3171</t>
        <phoneticPr fontId="30435" type="noConversion"/>
      </is>
    </oc>
    <nc r="C746"/>
  </rcc>
  <rcc rId="1464" sId="2">
    <oc r="D746">
      <f>IF($C746="", "", MID($C746, 6, IF(MID($C746, LEN($C746)-1, 1)="J", 3, 4)))</f>
    </oc>
    <nc r="D746"/>
  </rcc>
  <rcc rId="1465" sId="2">
    <oc r="C745" t="inlineStr">
      <is>
        <t>26906E3021</t>
        <phoneticPr fontId="30435" type="noConversion"/>
      </is>
    </oc>
    <nc r="C745" t="inlineStr">
      <is>
        <t>26906E3021</t>
        <phoneticPr fontId="30435" type="noConversion"/>
      </is>
    </nc>
  </rcc>
  <rcc rId="1466" sId="2" odxf="1" dxf="1" numFmtId="25">
    <nc r="N744">
      <v>0.125</v>
    </nc>
    <odxf>
      <numFmt numFmtId="0" formatCode="General"/>
    </odxf>
    <ndxf>
      <numFmt numFmtId="25" formatCode="hh:mm"/>
    </ndxf>
  </rcc>
  <rcc rId="1467" sId="2" odxf="1" dxf="1" numFmtId="25">
    <nc r="N745">
      <v>0.83333333333333337</v>
    </nc>
    <odxf>
      <numFmt numFmtId="0" formatCode="General"/>
    </odxf>
    <ndxf>
      <numFmt numFmtId="25" formatCode="hh:mm"/>
    </ndxf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8" sId="2" numFmtId="19">
    <oc r="B746">
      <v>46273</v>
    </oc>
    <nc r="B746">
      <v>46274</v>
    </nc>
  </rcc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69" sId="2">
    <oc r="G745" t="inlineStr">
      <is>
        <t>4800384805/300</t>
        <phoneticPr fontId="30435" type="noConversion"/>
      </is>
    </oc>
    <nc r="G745" t="inlineStr">
      <is>
        <t>4800384805/300</t>
        <phoneticPr fontId="30435" type="noConversion"/>
      </is>
    </nc>
  </rcc>
  <rcc rId="1470" sId="2">
    <oc r="C744" t="inlineStr">
      <is>
        <t>26906E3181</t>
        <phoneticPr fontId="30435" type="noConversion"/>
      </is>
    </oc>
    <nc r="C744" t="inlineStr">
      <is>
        <t>26906E3181</t>
        <phoneticPr fontId="30435" type="noConversion"/>
      </is>
    </nc>
  </rcc>
  <rcc rId="1471" sId="2">
    <oc r="C745" t="inlineStr">
      <is>
        <t>26906E3021</t>
        <phoneticPr fontId="30435" type="noConversion"/>
      </is>
    </oc>
    <nc r="C745" t="inlineStr">
      <is>
        <t>26906E3021</t>
        <phoneticPr fontId="30435" type="noConversion"/>
      </is>
    </nc>
  </rcc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72" sId="2">
    <oc r="G745" t="inlineStr">
      <is>
        <t>4800384805/300</t>
        <phoneticPr fontId="30435" type="noConversion"/>
      </is>
    </oc>
    <nc r="G745" t="inlineStr">
      <is>
        <t>4800384805/300</t>
        <phoneticPr fontId="30435" type="noConversion"/>
      </is>
    </nc>
  </rcc>
  <rcc rId="1473" sId="2">
    <oc r="C743" t="inlineStr">
      <is>
        <t>26906E3031</t>
        <phoneticPr fontId="30435" type="noConversion"/>
      </is>
    </oc>
    <nc r="C743" t="inlineStr">
      <is>
        <t>26906E3031</t>
        <phoneticPr fontId="30435" type="noConversion"/>
      </is>
    </nc>
  </rcc>
  <rcc rId="1474" sId="2">
    <oc r="C745" t="inlineStr">
      <is>
        <t>26906E3021</t>
        <phoneticPr fontId="30435" type="noConversion"/>
      </is>
    </oc>
    <nc r="C745" t="inlineStr">
      <is>
        <t>26906E3021</t>
        <phoneticPr fontId="30435" type="noConversion"/>
      </is>
    </nc>
  </rcc>
  <rcc rId="1475" sId="2">
    <oc r="C744" t="inlineStr">
      <is>
        <t>26906E3181</t>
        <phoneticPr fontId="30435" type="noConversion"/>
      </is>
    </oc>
    <nc r="C744" t="inlineStr">
      <is>
        <t>26906E3181</t>
        <phoneticPr fontId="30435" type="noConversion"/>
      </is>
    </nc>
  </rcc>
  <rcc rId="1476" sId="4" numFmtId="19">
    <oc r="B165">
      <v>46275</v>
    </oc>
    <nc r="B165">
      <v>46276</v>
    </nc>
  </rcc>
  <rfmt sheetId="4" sqref="B166" start="0" length="0">
    <dxf>
      <fill>
        <patternFill patternType="solid">
          <bgColor theme="9" tint="0.59999389629810485"/>
        </patternFill>
      </fill>
    </dxf>
  </rfmt>
  <rfmt sheetId="4" sqref="C166" start="0" length="0">
    <dxf>
      <fill>
        <patternFill patternType="solid">
          <bgColor theme="9" tint="0.59999389629810485"/>
        </patternFill>
      </fill>
    </dxf>
  </rfmt>
  <rcc rId="1477" sId="4">
    <oc r="D166">
      <f>IF($C166="", "", MID($C166, 6, IF(MID($C166, LEN($C166)-1, 1)="J", 3, 4)))</f>
    </oc>
    <nc r="D166">
      <f>IF($C166="", "", MID($C166, 6, IF(MID($C166, LEN($C166)-1, 1)="J", 3, 4)))</f>
    </nc>
  </rcc>
  <rcc rId="1478" sId="4" odxf="1" dxf="1">
    <nc r="E166" t="inlineStr">
      <is>
        <t>18P3A</t>
        <phoneticPr fontId="14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fmt sheetId="4" sqref="F166" start="0" length="0">
    <dxf>
      <fill>
        <patternFill patternType="solid">
          <bgColor theme="9" tint="0.59999389629810485"/>
        </patternFill>
      </fill>
    </dxf>
  </rfmt>
  <rcc rId="1479" sId="4" odxf="1" dxf="1">
    <nc r="G166" t="inlineStr">
      <is>
        <t>4800388490/100</t>
        <phoneticPr fontId="14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1480" sId="4" odxf="1" s="1" dxf="1">
    <nc r="H166">
      <f>H165-K166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I166" start="0" length="0">
    <dxf>
      <fill>
        <patternFill patternType="solid">
          <bgColor theme="9" tint="0.59999389629810485"/>
        </patternFill>
      </fill>
    </dxf>
  </rfmt>
  <rfmt sheetId="4" sqref="J166" start="0" length="0">
    <dxf>
      <fill>
        <patternFill patternType="solid">
          <bgColor theme="9" tint="0.59999389629810485"/>
        </patternFill>
      </fill>
    </dxf>
  </rfmt>
  <rcc rId="1481" sId="4" odxf="1" s="1" dxf="1">
    <nc r="K166">
      <f>J166/0.786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66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66" start="0" length="0">
    <dxf>
      <fill>
        <patternFill patternType="solid">
          <bgColor theme="9" tint="0.59999389629810485"/>
        </patternFill>
      </fill>
    </dxf>
  </rfmt>
  <rfmt sheetId="4" sqref="N166" start="0" length="0">
    <dxf>
      <fill>
        <patternFill patternType="solid">
          <bgColor theme="9" tint="0.59999389629810485"/>
        </patternFill>
      </fill>
    </dxf>
  </rfmt>
  <rcc rId="1482" sId="4" numFmtId="19">
    <nc r="B166">
      <v>46278</v>
    </nc>
  </rcc>
  <rfmt sheetId="4" sqref="B167" start="0" length="0">
    <dxf>
      <fill>
        <patternFill patternType="solid">
          <bgColor theme="9" tint="0.59999389629810485"/>
        </patternFill>
      </fill>
    </dxf>
  </rfmt>
  <rfmt sheetId="4" sqref="C167" start="0" length="0">
    <dxf>
      <fill>
        <patternFill patternType="solid">
          <bgColor theme="9" tint="0.59999389629810485"/>
        </patternFill>
      </fill>
    </dxf>
  </rfmt>
  <rcc rId="1483" sId="4">
    <oc r="D167">
      <f>IF($C167="", "", MID($C167, 6, IF(MID($C167, LEN($C167)-1, 1)="J", 3, 4)))</f>
    </oc>
    <nc r="D167">
      <f>IF($C167="", "", MID($C167, 6, IF(MID($C167, LEN($C167)-1, 1)="J", 3, 4)))</f>
    </nc>
  </rcc>
  <rcc rId="1484" sId="4" odxf="1" dxf="1">
    <nc r="E167" t="inlineStr">
      <is>
        <t>18P3A</t>
        <phoneticPr fontId="14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fmt sheetId="4" sqref="F167" start="0" length="0">
    <dxf>
      <fill>
        <patternFill patternType="solid">
          <bgColor theme="9" tint="0.59999389629810485"/>
        </patternFill>
      </fill>
    </dxf>
  </rfmt>
  <rcc rId="1485" sId="4" odxf="1" dxf="1">
    <nc r="G167" t="inlineStr">
      <is>
        <t>4800388490/100</t>
        <phoneticPr fontId="14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1486" sId="4" odxf="1" s="1" dxf="1">
    <nc r="H167">
      <f>H166-K167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I167" start="0" length="0">
    <dxf>
      <fill>
        <patternFill patternType="solid">
          <bgColor theme="9" tint="0.59999389629810485"/>
        </patternFill>
      </fill>
    </dxf>
  </rfmt>
  <rfmt sheetId="4" sqref="J167" start="0" length="0">
    <dxf>
      <fill>
        <patternFill patternType="solid">
          <bgColor theme="9" tint="0.59999389629810485"/>
        </patternFill>
      </fill>
    </dxf>
  </rfmt>
  <rcc rId="1487" sId="4" odxf="1" s="1" dxf="1">
    <nc r="K167">
      <f>J167/0.786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67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67" start="0" length="0">
    <dxf>
      <fill>
        <patternFill patternType="solid">
          <bgColor theme="9" tint="0.59999389629810485"/>
        </patternFill>
      </fill>
    </dxf>
  </rfmt>
  <rfmt sheetId="4" sqref="N167" start="0" length="0">
    <dxf>
      <fill>
        <patternFill patternType="solid">
          <bgColor theme="9" tint="0.59999389629810485"/>
        </patternFill>
      </fill>
    </dxf>
  </rfmt>
  <rfmt sheetId="4" sqref="B168" start="0" length="0">
    <dxf>
      <fill>
        <patternFill patternType="solid">
          <bgColor theme="9" tint="0.59999389629810485"/>
        </patternFill>
      </fill>
    </dxf>
  </rfmt>
  <rfmt sheetId="4" sqref="C168" start="0" length="0">
    <dxf>
      <fill>
        <patternFill patternType="solid">
          <bgColor theme="9" tint="0.59999389629810485"/>
        </patternFill>
      </fill>
    </dxf>
  </rfmt>
  <rcc rId="1488" sId="4">
    <oc r="D168">
      <f>IF($C168="", "", MID($C168, 6, IF(MID($C168, LEN($C168)-1, 1)="J", 3, 4)))</f>
    </oc>
    <nc r="D168">
      <f>IF($C168="", "", MID($C168, 6, IF(MID($C168, LEN($C168)-1, 1)="J", 3, 4)))</f>
    </nc>
  </rcc>
  <rcc rId="1489" sId="4" odxf="1" dxf="1">
    <nc r="E168" t="inlineStr">
      <is>
        <t>18P3A</t>
        <phoneticPr fontId="14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fmt sheetId="4" sqref="F168" start="0" length="0">
    <dxf>
      <fill>
        <patternFill patternType="solid">
          <bgColor theme="9" tint="0.59999389629810485"/>
        </patternFill>
      </fill>
    </dxf>
  </rfmt>
  <rcc rId="1490" sId="4" odxf="1" dxf="1">
    <nc r="G168" t="inlineStr">
      <is>
        <t>4800388490/100</t>
        <phoneticPr fontId="14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1491" sId="4" odxf="1" s="1" dxf="1">
    <nc r="H168">
      <f>H167-K168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I168" start="0" length="0">
    <dxf>
      <fill>
        <patternFill patternType="solid">
          <bgColor theme="9" tint="0.59999389629810485"/>
        </patternFill>
      </fill>
    </dxf>
  </rfmt>
  <rfmt sheetId="4" sqref="J168" start="0" length="0">
    <dxf>
      <fill>
        <patternFill patternType="solid">
          <bgColor theme="9" tint="0.59999389629810485"/>
        </patternFill>
      </fill>
    </dxf>
  </rfmt>
  <rcc rId="1492" sId="4" odxf="1" s="1" dxf="1">
    <nc r="K168">
      <f>J168/0.786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68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68" start="0" length="0">
    <dxf>
      <fill>
        <patternFill patternType="solid">
          <bgColor theme="9" tint="0.59999389629810485"/>
        </patternFill>
      </fill>
    </dxf>
  </rfmt>
  <rfmt sheetId="4" sqref="N168" start="0" length="0">
    <dxf>
      <fill>
        <patternFill patternType="solid">
          <bgColor theme="9" tint="0.59999389629810485"/>
        </patternFill>
      </fill>
    </dxf>
  </rfmt>
  <rcc rId="1493" sId="4" numFmtId="19">
    <nc r="B167">
      <v>46280</v>
    </nc>
  </rcc>
  <rcc rId="1494" sId="4" numFmtId="19">
    <nc r="B168">
      <v>46282</v>
    </nc>
  </rcc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495" sId="2" ref="A747:XFD747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cc rId="1496" sId="2" numFmtId="19">
    <nc r="B747">
      <v>46274</v>
    </nc>
  </rcc>
  <rcc rId="1497" sId="2">
    <nc r="E747" t="inlineStr">
      <is>
        <t>15P6</t>
        <phoneticPr fontId="30435" type="noConversion"/>
      </is>
    </nc>
  </rcc>
  <rcc rId="1498" sId="2">
    <nc r="G747" t="inlineStr">
      <is>
        <t>4800384805/300</t>
        <phoneticPr fontId="30435" type="noConversion"/>
      </is>
    </nc>
  </rcc>
  <rcc rId="1499" sId="2">
    <nc r="H747">
      <f>H746-K747</f>
    </nc>
  </rcc>
  <rcc rId="1500" sId="2">
    <nc r="K747">
      <f>J747/0.786</f>
    </nc>
  </rcc>
  <rrc rId="1501" sId="2" ref="A748:XFD748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02" sId="2" ref="A749:XFD749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03" sId="2" ref="A750:XFD750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04" sId="2" ref="A748:XFD750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05" sId="2" ref="A748:XFD753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cc rId="1506" sId="2">
    <nc r="E748" t="inlineStr">
      <is>
        <t>15P6</t>
        <phoneticPr fontId="30435" type="noConversion"/>
      </is>
    </nc>
  </rcc>
  <rcc rId="1507" sId="2">
    <nc r="G748" t="inlineStr">
      <is>
        <t>4800384805/300</t>
        <phoneticPr fontId="30435" type="noConversion"/>
      </is>
    </nc>
  </rcc>
  <rcc rId="1508" sId="2">
    <nc r="H748">
      <f>H747-K748</f>
    </nc>
  </rcc>
  <rcc rId="1509" sId="2">
    <nc r="K748">
      <f>J748/0.786</f>
    </nc>
  </rcc>
  <rcc rId="1510" sId="2">
    <nc r="E749" t="inlineStr">
      <is>
        <t>15P6</t>
        <phoneticPr fontId="30435" type="noConversion"/>
      </is>
    </nc>
  </rcc>
  <rcc rId="1511" sId="2">
    <nc r="G749" t="inlineStr">
      <is>
        <t>4800384805/300</t>
        <phoneticPr fontId="30435" type="noConversion"/>
      </is>
    </nc>
  </rcc>
  <rcc rId="1512" sId="2">
    <nc r="H749">
      <f>H748-K749</f>
    </nc>
  </rcc>
  <rcc rId="1513" sId="2">
    <nc r="K749">
      <f>J749/0.786</f>
    </nc>
  </rcc>
  <rcc rId="1514" sId="2">
    <nc r="E750" t="inlineStr">
      <is>
        <t>15P6</t>
        <phoneticPr fontId="30435" type="noConversion"/>
      </is>
    </nc>
  </rcc>
  <rcc rId="1515" sId="2">
    <nc r="G750" t="inlineStr">
      <is>
        <t>4800384805/300</t>
        <phoneticPr fontId="30435" type="noConversion"/>
      </is>
    </nc>
  </rcc>
  <rcc rId="1516" sId="2">
    <nc r="H750">
      <f>H749-K750</f>
    </nc>
  </rcc>
  <rcc rId="1517" sId="2">
    <nc r="K750">
      <f>J750/0.786</f>
    </nc>
  </rcc>
  <rcc rId="1518" sId="2">
    <nc r="E751" t="inlineStr">
      <is>
        <t>15P6</t>
        <phoneticPr fontId="30435" type="noConversion"/>
      </is>
    </nc>
  </rcc>
  <rcc rId="1519" sId="2">
    <nc r="G751" t="inlineStr">
      <is>
        <t>4800384805/300</t>
        <phoneticPr fontId="30435" type="noConversion"/>
      </is>
    </nc>
  </rcc>
  <rcc rId="1520" sId="2">
    <nc r="H751">
      <f>H750-K751</f>
    </nc>
  </rcc>
  <rcc rId="1521" sId="2">
    <nc r="K751">
      <f>J751/0.786</f>
    </nc>
  </rcc>
  <rcc rId="1522" sId="2">
    <nc r="E752" t="inlineStr">
      <is>
        <t>15P6</t>
        <phoneticPr fontId="30435" type="noConversion"/>
      </is>
    </nc>
  </rcc>
  <rcc rId="1523" sId="2">
    <nc r="G752" t="inlineStr">
      <is>
        <t>4800384805/300</t>
        <phoneticPr fontId="30435" type="noConversion"/>
      </is>
    </nc>
  </rcc>
  <rcc rId="1524" sId="2">
    <nc r="H752">
      <f>H751-K752</f>
    </nc>
  </rcc>
  <rcc rId="1525" sId="2">
    <nc r="K752">
      <f>J752/0.786</f>
    </nc>
  </rcc>
  <rcc rId="1526" sId="2">
    <nc r="E753" t="inlineStr">
      <is>
        <t>15P6</t>
        <phoneticPr fontId="30435" type="noConversion"/>
      </is>
    </nc>
  </rcc>
  <rcc rId="1527" sId="2">
    <nc r="G753" t="inlineStr">
      <is>
        <t>4800384805/300</t>
        <phoneticPr fontId="30435" type="noConversion"/>
      </is>
    </nc>
  </rcc>
  <rcc rId="1528" sId="2">
    <nc r="H753">
      <f>H752-K753</f>
    </nc>
  </rcc>
  <rcc rId="1529" sId="2">
    <nc r="K753">
      <f>J753/0.786</f>
    </nc>
  </rcc>
  <rcc rId="1530" sId="2">
    <nc r="E754" t="inlineStr">
      <is>
        <t>15P6</t>
        <phoneticPr fontId="30435" type="noConversion"/>
      </is>
    </nc>
  </rcc>
  <rcc rId="1531" sId="2">
    <nc r="G754" t="inlineStr">
      <is>
        <t>4800384805/300</t>
        <phoneticPr fontId="30435" type="noConversion"/>
      </is>
    </nc>
  </rcc>
  <rcc rId="1532" sId="2">
    <nc r="H754">
      <f>H753-K754</f>
    </nc>
  </rcc>
  <rcc rId="1533" sId="2">
    <nc r="K754">
      <f>J754/0.786</f>
    </nc>
  </rcc>
  <rcc rId="1534" sId="2">
    <nc r="E755" t="inlineStr">
      <is>
        <t>15P6</t>
        <phoneticPr fontId="30435" type="noConversion"/>
      </is>
    </nc>
  </rcc>
  <rcc rId="1535" sId="2">
    <nc r="G755" t="inlineStr">
      <is>
        <t>4800384805/300</t>
        <phoneticPr fontId="30435" type="noConversion"/>
      </is>
    </nc>
  </rcc>
  <rcc rId="1536" sId="2">
    <nc r="H755">
      <f>H754-K755</f>
    </nc>
  </rcc>
  <rcc rId="1537" sId="2">
    <nc r="K755">
      <f>J755/0.786</f>
    </nc>
  </rcc>
  <rcc rId="1538" sId="2">
    <nc r="E756" t="inlineStr">
      <is>
        <t>15P6</t>
        <phoneticPr fontId="30435" type="noConversion"/>
      </is>
    </nc>
  </rcc>
  <rcc rId="1539" sId="2">
    <nc r="G756" t="inlineStr">
      <is>
        <t>4800384805/300</t>
        <phoneticPr fontId="30435" type="noConversion"/>
      </is>
    </nc>
  </rcc>
  <rcc rId="1540" sId="2">
    <nc r="H756">
      <f>H755-K756</f>
    </nc>
  </rcc>
  <rcc rId="1541" sId="2">
    <nc r="K756">
      <f>J756/0.786</f>
    </nc>
  </rcc>
  <rcc rId="1542" sId="2">
    <nc r="E757" t="inlineStr">
      <is>
        <t>15P6</t>
        <phoneticPr fontId="30435" type="noConversion"/>
      </is>
    </nc>
  </rcc>
  <rcc rId="1543" sId="2">
    <nc r="G757" t="inlineStr">
      <is>
        <t>4800384805/300</t>
        <phoneticPr fontId="30435" type="noConversion"/>
      </is>
    </nc>
  </rcc>
  <rcc rId="1544" sId="2">
    <nc r="H757">
      <f>H756-K757</f>
    </nc>
  </rcc>
  <rcc rId="1545" sId="2">
    <nc r="K757">
      <f>J757/0.786</f>
    </nc>
  </rcc>
  <rcc rId="1546" sId="2">
    <nc r="E758" t="inlineStr">
      <is>
        <t>15P6</t>
        <phoneticPr fontId="30435" type="noConversion"/>
      </is>
    </nc>
  </rcc>
  <rcc rId="1547" sId="2">
    <nc r="G758" t="inlineStr">
      <is>
        <t>4800384805/300</t>
        <phoneticPr fontId="30435" type="noConversion"/>
      </is>
    </nc>
  </rcc>
  <rcc rId="1548" sId="2">
    <nc r="H758">
      <f>H757-K758</f>
    </nc>
  </rcc>
  <rcc rId="1549" sId="2">
    <nc r="K758">
      <f>J758/0.786</f>
    </nc>
  </rcc>
  <rcc rId="1550" sId="2">
    <nc r="E759" t="inlineStr">
      <is>
        <t>15P6</t>
        <phoneticPr fontId="30435" type="noConversion"/>
      </is>
    </nc>
  </rcc>
  <rcc rId="1551" sId="2">
    <nc r="G759" t="inlineStr">
      <is>
        <t>4800384805/300</t>
        <phoneticPr fontId="30435" type="noConversion"/>
      </is>
    </nc>
  </rcc>
  <rcc rId="1552" sId="2">
    <nc r="H759">
      <f>H758-K759</f>
    </nc>
  </rcc>
  <rcc rId="1553" sId="2">
    <nc r="K759">
      <f>J759/0.786</f>
    </nc>
  </rcc>
  <rrc rId="1554" sId="2" ref="A760:XFD760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55" sId="2" ref="A761:XFD761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cc rId="1556" sId="2">
    <nc r="E760" t="inlineStr">
      <is>
        <t>15P6</t>
        <phoneticPr fontId="30435" type="noConversion"/>
      </is>
    </nc>
  </rcc>
  <rcc rId="1557" sId="2">
    <nc r="G760" t="inlineStr">
      <is>
        <t>4800384805/300</t>
        <phoneticPr fontId="30435" type="noConversion"/>
      </is>
    </nc>
  </rcc>
  <rcc rId="1558" sId="2">
    <nc r="H760">
      <f>H759-K760</f>
    </nc>
  </rcc>
  <rcc rId="1559" sId="2">
    <nc r="K760">
      <f>J760/0.786</f>
    </nc>
  </rcc>
  <rcc rId="1560" sId="2">
    <nc r="E761" t="inlineStr">
      <is>
        <t>15P6</t>
        <phoneticPr fontId="30435" type="noConversion"/>
      </is>
    </nc>
  </rcc>
  <rcc rId="1561" sId="2">
    <nc r="G761" t="inlineStr">
      <is>
        <t>4800384805/300</t>
        <phoneticPr fontId="30435" type="noConversion"/>
      </is>
    </nc>
  </rcc>
  <rcc rId="1562" sId="2">
    <nc r="H761">
      <f>H760-K761</f>
    </nc>
  </rcc>
  <rcc rId="1563" sId="2">
    <nc r="K761">
      <f>J761/0.786</f>
    </nc>
  </rcc>
  <rcc rId="1564" sId="2" numFmtId="19">
    <nc r="B748">
      <v>46275</v>
    </nc>
  </rcc>
  <rcc rId="1565" sId="2" numFmtId="19">
    <nc r="B749">
      <v>46275</v>
    </nc>
  </rcc>
  <rcc rId="1566" sId="2" numFmtId="19">
    <nc r="B750">
      <v>46276</v>
    </nc>
  </rcc>
  <rcc rId="1567" sId="2" numFmtId="19">
    <nc r="B751">
      <v>46276</v>
    </nc>
  </rcc>
  <rcc rId="1568" sId="2" numFmtId="19">
    <nc r="B752">
      <v>46277</v>
    </nc>
  </rcc>
  <rcc rId="1569" sId="2" numFmtId="19">
    <nc r="B753">
      <v>46277</v>
    </nc>
  </rcc>
  <rcc rId="1570" sId="2" numFmtId="19">
    <nc r="B754">
      <v>46278</v>
    </nc>
  </rcc>
  <rcc rId="1571" sId="2" numFmtId="19">
    <nc r="B755">
      <v>46278</v>
    </nc>
  </rcc>
  <rcc rId="1572" sId="2" numFmtId="19">
    <nc r="B756">
      <v>46279</v>
    </nc>
  </rcc>
  <rcc rId="1573" sId="2" numFmtId="19">
    <nc r="B757">
      <v>46279</v>
    </nc>
  </rcc>
  <rcc rId="1574" sId="2" numFmtId="19">
    <nc r="B758">
      <v>46280</v>
    </nc>
  </rcc>
  <rcc rId="1575" sId="2" numFmtId="19">
    <nc r="B759">
      <v>46280</v>
    </nc>
  </rcc>
  <rcc rId="1576" sId="2" numFmtId="19">
    <nc r="B760">
      <v>46281</v>
    </nc>
  </rcc>
  <rcc rId="1577" sId="2" numFmtId="19">
    <nc r="B761">
      <v>46281</v>
    </nc>
  </rcc>
  <rfmt sheetId="2" sqref="B763" start="0" length="0">
    <dxf>
      <fill>
        <patternFill patternType="solid">
          <bgColor theme="5" tint="0.59999389629810485"/>
        </patternFill>
      </fill>
    </dxf>
  </rfmt>
  <rfmt sheetId="2" sqref="C763" start="0" length="0">
    <dxf>
      <fill>
        <patternFill patternType="solid">
          <bgColor theme="5" tint="0.59999389629810485"/>
        </patternFill>
      </fill>
    </dxf>
  </rfmt>
  <rcc rId="1578" sId="2" odxf="1" dxf="1">
    <nc r="D763">
      <f>IF($C763="", "", MID($C763, 6, IF(MID($C763, LEN($C763)-1, 1)="J", 3, 4)))</f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cc rId="1579" sId="2" odxf="1" dxf="1">
    <nc r="E763" t="inlineStr">
      <is>
        <t>15P4</t>
        <phoneticPr fontId="14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fmt sheetId="2" sqref="F763" start="0" length="0">
    <dxf>
      <fill>
        <patternFill patternType="solid">
          <bgColor theme="5" tint="0.59999389629810485"/>
        </patternFill>
      </fill>
    </dxf>
  </rfmt>
  <rcc rId="1580" sId="2" odxf="1" dxf="1">
    <nc r="G763" t="inlineStr">
      <is>
        <t>4800384805/200</t>
        <phoneticPr fontId="143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fmt sheetId="2" s="1" sqref="H76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fmt sheetId="2" s="1" sqref="I76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fmt sheetId="2" s="1" sqref="J76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cc rId="1581" sId="2" odxf="1" s="1" dxf="1">
    <nc r="K763">
      <f>J763/0.786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ndxf>
  </rcc>
  <rfmt sheetId="2" sqref="L763" start="0" length="0">
    <dxf>
      <numFmt numFmtId="0" formatCode="General"/>
      <fill>
        <patternFill patternType="solid">
          <bgColor theme="5" tint="0.59999389629810485"/>
        </patternFill>
      </fill>
    </dxf>
  </rfmt>
  <rfmt sheetId="2" sqref="M763" start="0" length="0">
    <dxf>
      <fill>
        <patternFill patternType="solid">
          <bgColor theme="5" tint="0.59999389629810485"/>
        </patternFill>
      </fill>
    </dxf>
  </rfmt>
  <rfmt sheetId="2" sqref="N763" start="0" length="0">
    <dxf>
      <fill>
        <patternFill patternType="solid">
          <bgColor theme="5" tint="0.59999389629810485"/>
        </patternFill>
      </fill>
    </dxf>
  </rfmt>
  <rcc rId="1582" sId="2">
    <nc r="H763">
      <f>H762-K763</f>
    </nc>
  </rcc>
  <rcc rId="1583" sId="2" numFmtId="19">
    <nc r="B762">
      <v>46275</v>
    </nc>
  </rcc>
  <rcc rId="1584" sId="2" numFmtId="19">
    <nc r="B763">
      <v>46280</v>
    </nc>
  </rcc>
  <rrc rId="1585" sId="2" ref="A745:XFD745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cc rId="1586" sId="2">
    <nc r="E745" t="inlineStr">
      <is>
        <t>15P5</t>
        <phoneticPr fontId="143" type="noConversion"/>
      </is>
    </nc>
  </rcc>
  <rcc rId="1587" sId="2">
    <nc r="G745" t="inlineStr">
      <is>
        <t>4800384805/400</t>
        <phoneticPr fontId="143" type="noConversion"/>
      </is>
    </nc>
  </rcc>
  <rcc rId="1588" sId="2">
    <nc r="K745">
      <f>J745/0.786</f>
    </nc>
  </rcc>
  <rcc rId="1589" sId="2">
    <nc r="H745">
      <f>H744-K745</f>
    </nc>
  </rcc>
  <rrc rId="1590" sId="2" ref="A746:XFD746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91" sId="2" ref="A746:XFD746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92" sId="2" ref="A747:XFD747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93" sId="2" ref="A747:XFD747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94" sId="2" ref="A747:XFD747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95" sId="2" ref="A746:XFD750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96" sId="2" ref="A755:XFD755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97" sId="2" ref="A755:XFD755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rc rId="1598" sId="2" ref="A755:XFD755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cc rId="1599" sId="2">
    <nc r="E746" t="inlineStr">
      <is>
        <t>15P5</t>
        <phoneticPr fontId="143" type="noConversion"/>
      </is>
    </nc>
  </rcc>
  <rcc rId="1600" sId="2">
    <nc r="G746" t="inlineStr">
      <is>
        <t>4800384805/400</t>
        <phoneticPr fontId="143" type="noConversion"/>
      </is>
    </nc>
  </rcc>
  <rcc rId="1601" sId="2">
    <nc r="H746">
      <f>H745-K746</f>
    </nc>
  </rcc>
  <rcc rId="1602" sId="2">
    <nc r="K746">
      <f>J746/0.786</f>
    </nc>
  </rcc>
  <rcc rId="1603" sId="2">
    <nc r="E747" t="inlineStr">
      <is>
        <t>15P5</t>
        <phoneticPr fontId="143" type="noConversion"/>
      </is>
    </nc>
  </rcc>
  <rcc rId="1604" sId="2">
    <nc r="G747" t="inlineStr">
      <is>
        <t>4800384805/400</t>
        <phoneticPr fontId="143" type="noConversion"/>
      </is>
    </nc>
  </rcc>
  <rcc rId="1605" sId="2">
    <nc r="H747">
      <f>H746-K747</f>
    </nc>
  </rcc>
  <rcc rId="1606" sId="2">
    <nc r="K747">
      <f>J747/0.786</f>
    </nc>
  </rcc>
  <rcc rId="1607" sId="2">
    <nc r="E748" t="inlineStr">
      <is>
        <t>15P5</t>
        <phoneticPr fontId="143" type="noConversion"/>
      </is>
    </nc>
  </rcc>
  <rcc rId="1608" sId="2">
    <nc r="G748" t="inlineStr">
      <is>
        <t>4800384805/400</t>
        <phoneticPr fontId="143" type="noConversion"/>
      </is>
    </nc>
  </rcc>
  <rcc rId="1609" sId="2">
    <nc r="H748">
      <f>H747-K748</f>
    </nc>
  </rcc>
  <rcc rId="1610" sId="2">
    <nc r="K748">
      <f>J748/0.786</f>
    </nc>
  </rcc>
  <rcc rId="1611" sId="2">
    <nc r="E749" t="inlineStr">
      <is>
        <t>15P5</t>
        <phoneticPr fontId="143" type="noConversion"/>
      </is>
    </nc>
  </rcc>
  <rcc rId="1612" sId="2">
    <nc r="G749" t="inlineStr">
      <is>
        <t>4800384805/400</t>
        <phoneticPr fontId="143" type="noConversion"/>
      </is>
    </nc>
  </rcc>
  <rcc rId="1613" sId="2">
    <nc r="H749">
      <f>H748-K749</f>
    </nc>
  </rcc>
  <rcc rId="1614" sId="2">
    <nc r="K749">
      <f>J749/0.786</f>
    </nc>
  </rcc>
  <rcc rId="1615" sId="2">
    <nc r="E750" t="inlineStr">
      <is>
        <t>15P5</t>
        <phoneticPr fontId="143" type="noConversion"/>
      </is>
    </nc>
  </rcc>
  <rcc rId="1616" sId="2">
    <nc r="G750" t="inlineStr">
      <is>
        <t>4800384805/400</t>
        <phoneticPr fontId="143" type="noConversion"/>
      </is>
    </nc>
  </rcc>
  <rcc rId="1617" sId="2">
    <nc r="H750">
      <f>H749-K750</f>
    </nc>
  </rcc>
  <rcc rId="1618" sId="2">
    <nc r="K750">
      <f>J750/0.786</f>
    </nc>
  </rcc>
  <rcc rId="1619" sId="2">
    <nc r="E751" t="inlineStr">
      <is>
        <t>15P5</t>
        <phoneticPr fontId="143" type="noConversion"/>
      </is>
    </nc>
  </rcc>
  <rcc rId="1620" sId="2">
    <nc r="G751" t="inlineStr">
      <is>
        <t>4800384805/400</t>
        <phoneticPr fontId="143" type="noConversion"/>
      </is>
    </nc>
  </rcc>
  <rcc rId="1621" sId="2">
    <nc r="H751">
      <f>H750-K751</f>
    </nc>
  </rcc>
  <rcc rId="1622" sId="2">
    <nc r="K751">
      <f>J751/0.786</f>
    </nc>
  </rcc>
  <rcc rId="1623" sId="2">
    <nc r="E752" t="inlineStr">
      <is>
        <t>15P5</t>
        <phoneticPr fontId="143" type="noConversion"/>
      </is>
    </nc>
  </rcc>
  <rcc rId="1624" sId="2">
    <nc r="G752" t="inlineStr">
      <is>
        <t>4800384805/400</t>
        <phoneticPr fontId="143" type="noConversion"/>
      </is>
    </nc>
  </rcc>
  <rcc rId="1625" sId="2">
    <nc r="H752">
      <f>H751-K752</f>
    </nc>
  </rcc>
  <rcc rId="1626" sId="2">
    <nc r="K752">
      <f>J752/0.786</f>
    </nc>
  </rcc>
  <rcc rId="1627" sId="2">
    <nc r="E753" t="inlineStr">
      <is>
        <t>15P5</t>
        <phoneticPr fontId="143" type="noConversion"/>
      </is>
    </nc>
  </rcc>
  <rcc rId="1628" sId="2">
    <nc r="G753" t="inlineStr">
      <is>
        <t>4800384805/400</t>
        <phoneticPr fontId="143" type="noConversion"/>
      </is>
    </nc>
  </rcc>
  <rcc rId="1629" sId="2">
    <nc r="H753">
      <f>H752-K753</f>
    </nc>
  </rcc>
  <rcc rId="1630" sId="2">
    <nc r="K753">
      <f>J753/0.786</f>
    </nc>
  </rcc>
  <rcc rId="1631" sId="2">
    <nc r="E754" t="inlineStr">
      <is>
        <t>15P5</t>
        <phoneticPr fontId="143" type="noConversion"/>
      </is>
    </nc>
  </rcc>
  <rcc rId="1632" sId="2">
    <nc r="G754" t="inlineStr">
      <is>
        <t>4800384805/400</t>
        <phoneticPr fontId="143" type="noConversion"/>
      </is>
    </nc>
  </rcc>
  <rcc rId="1633" sId="2">
    <nc r="H754">
      <f>H753-K754</f>
    </nc>
  </rcc>
  <rcc rId="1634" sId="2">
    <nc r="K754">
      <f>J754/0.786</f>
    </nc>
  </rcc>
  <rcc rId="1635" sId="2">
    <nc r="E755" t="inlineStr">
      <is>
        <t>15P5</t>
        <phoneticPr fontId="143" type="noConversion"/>
      </is>
    </nc>
  </rcc>
  <rcc rId="1636" sId="2">
    <nc r="G755" t="inlineStr">
      <is>
        <t>4800384805/400</t>
        <phoneticPr fontId="143" type="noConversion"/>
      </is>
    </nc>
  </rcc>
  <rcc rId="1637" sId="2">
    <nc r="H755">
      <f>H754-K755</f>
    </nc>
  </rcc>
  <rcc rId="1638" sId="2">
    <nc r="K755">
      <f>J755/0.786</f>
    </nc>
  </rcc>
  <rcc rId="1639" sId="2">
    <nc r="E756" t="inlineStr">
      <is>
        <t>15P5</t>
        <phoneticPr fontId="143" type="noConversion"/>
      </is>
    </nc>
  </rcc>
  <rcc rId="1640" sId="2">
    <nc r="G756" t="inlineStr">
      <is>
        <t>4800384805/400</t>
        <phoneticPr fontId="143" type="noConversion"/>
      </is>
    </nc>
  </rcc>
  <rcc rId="1641" sId="2">
    <nc r="H756">
      <f>H755-K756</f>
    </nc>
  </rcc>
  <rcc rId="1642" sId="2">
    <nc r="K756">
      <f>J756/0.786</f>
    </nc>
  </rcc>
  <rcc rId="1643" sId="2">
    <nc r="E757" t="inlineStr">
      <is>
        <t>15P5</t>
        <phoneticPr fontId="143" type="noConversion"/>
      </is>
    </nc>
  </rcc>
  <rcc rId="1644" sId="2">
    <nc r="G757" t="inlineStr">
      <is>
        <t>4800384805/400</t>
        <phoneticPr fontId="143" type="noConversion"/>
      </is>
    </nc>
  </rcc>
  <rcc rId="1645" sId="2">
    <nc r="H757">
      <f>H756-K757</f>
    </nc>
  </rcc>
  <rcc rId="1646" sId="2">
    <nc r="K757">
      <f>J757/0.786</f>
    </nc>
  </rcc>
  <rcc rId="1647" sId="2">
    <nc r="E758" t="inlineStr">
      <is>
        <t>15P5</t>
        <phoneticPr fontId="143" type="noConversion"/>
      </is>
    </nc>
  </rcc>
  <rcc rId="1648" sId="2">
    <nc r="G758" t="inlineStr">
      <is>
        <t>4800384805/400</t>
        <phoneticPr fontId="143" type="noConversion"/>
      </is>
    </nc>
  </rcc>
  <rcc rId="1649" sId="2">
    <nc r="H758">
      <f>H757-K758</f>
    </nc>
  </rcc>
  <rcc rId="1650" sId="2">
    <nc r="K758">
      <f>J758/0.786</f>
    </nc>
  </rcc>
  <rcc rId="1651" sId="2" numFmtId="19">
    <nc r="B745">
      <v>46274</v>
    </nc>
  </rcc>
  <rcc rId="1652" sId="2" numFmtId="19">
    <nc r="B746">
      <v>46274</v>
    </nc>
  </rcc>
  <rcc rId="1653" sId="2" numFmtId="19">
    <nc r="B747">
      <v>46275</v>
    </nc>
  </rcc>
  <rcc rId="1654" sId="2" numFmtId="19">
    <nc r="B748">
      <v>46275</v>
    </nc>
  </rcc>
  <rcc rId="1655" sId="2" numFmtId="19">
    <nc r="B749">
      <v>46276</v>
    </nc>
  </rcc>
  <rcc rId="1656" sId="2" numFmtId="19">
    <nc r="B750">
      <v>46277</v>
    </nc>
  </rcc>
  <rcc rId="1657" sId="2" numFmtId="19">
    <nc r="B751">
      <v>46277</v>
    </nc>
  </rcc>
  <rcc rId="1658" sId="2" numFmtId="19">
    <nc r="B752">
      <v>46278</v>
    </nc>
  </rcc>
  <rcc rId="1659" sId="2" numFmtId="19">
    <nc r="B753">
      <v>46279</v>
    </nc>
  </rcc>
  <rcc rId="1660" sId="2" numFmtId="19">
    <nc r="B754">
      <v>46279</v>
    </nc>
  </rcc>
  <rcc rId="1661" sId="2" numFmtId="19">
    <nc r="B755">
      <v>46280</v>
    </nc>
  </rcc>
  <rcc rId="1662" sId="2" numFmtId="19">
    <nc r="B756">
      <v>46280</v>
    </nc>
  </rcc>
  <rcc rId="1663" sId="2" numFmtId="19">
    <nc r="B757">
      <v>46281</v>
    </nc>
  </rcc>
  <rrc rId="1664" sId="2" ref="A758:XFD758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58:XFD758" start="0" length="0">
      <dxf>
        <font>
          <sz val="10"/>
          <name val="Arial"/>
          <scheme val="none"/>
        </font>
        <alignment horizontal="center" readingOrder="0"/>
      </dxf>
    </rfmt>
    <rfmt sheetId="2" sqref="A75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58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5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5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>
      <nc r="E758" t="inlineStr">
        <is>
          <t>15P5</t>
          <phoneticPr fontId="143" type="noConversion"/>
        </is>
      </nc>
      <n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qref="F75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>
      <nc r="G758" t="inlineStr">
        <is>
          <t>4800384805/400</t>
          <phoneticPr fontId="143" type="noConversion"/>
        </is>
      </nc>
      <n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s="1" dxf="1">
      <nc r="H758">
        <f>H757-K758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="1" sqref="I75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5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s="1" dxf="1">
      <nc r="K758">
        <f>J758/0.786</f>
      </nc>
      <n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qref="L758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5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58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58" start="0" length="0">
      <dxf>
        <numFmt numFmtId="176" formatCode="m/d;@"/>
      </dxf>
    </rfmt>
    <rfmt sheetId="2" sqref="P75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58" start="0" length="0">
      <dxf/>
    </rfmt>
    <rfmt sheetId="2" sqref="U758" start="0" length="0">
      <dxf/>
    </rfmt>
    <rfmt sheetId="2" sqref="V758" start="0" length="0">
      <dxf/>
    </rfmt>
    <rfmt sheetId="2" sqref="W758" start="0" length="0">
      <dxf/>
    </rfmt>
    <rfmt sheetId="2" sqref="X758" start="0" length="0">
      <dxf/>
    </rfmt>
    <rfmt sheetId="2" sqref="Y758" start="0" length="0">
      <dxf/>
    </rfmt>
    <rfmt sheetId="2" sqref="Z758" start="0" length="0">
      <dxf/>
    </rfmt>
    <rfmt sheetId="2" sqref="AA758" start="0" length="0">
      <dxf/>
    </rfmt>
    <rfmt sheetId="2" sqref="AB758" start="0" length="0">
      <dxf/>
    </rfmt>
    <rfmt sheetId="2" sqref="AC758" start="0" length="0">
      <dxf/>
    </rfmt>
    <rfmt sheetId="2" sqref="AD758" start="0" length="0">
      <dxf/>
    </rfmt>
    <rfmt sheetId="2" sqref="AE758" start="0" length="0">
      <dxf/>
    </rfmt>
    <rfmt sheetId="2" sqref="AF758" start="0" length="0">
      <dxf/>
    </rfmt>
    <rfmt sheetId="2" sqref="AG758" start="0" length="0">
      <dxf/>
    </rfmt>
    <rfmt sheetId="2" sqref="AH758" start="0" length="0">
      <dxf/>
    </rfmt>
    <rfmt sheetId="2" sqref="AI758" start="0" length="0">
      <dxf/>
    </rfmt>
    <rfmt sheetId="2" sqref="AJ758" start="0" length="0">
      <dxf/>
    </rfmt>
    <rfmt sheetId="2" sqref="AK758" start="0" length="0">
      <dxf/>
    </rfmt>
    <rfmt sheetId="2" sqref="AL758" start="0" length="0">
      <dxf/>
    </rfmt>
    <rfmt sheetId="2" sqref="AM758" start="0" length="0">
      <dxf/>
    </rfmt>
    <rfmt sheetId="2" sqref="AN758" start="0" length="0">
      <dxf/>
    </rfmt>
    <rfmt sheetId="2" sqref="AO758" start="0" length="0">
      <dxf/>
    </rfmt>
    <rfmt sheetId="2" sqref="AP758" start="0" length="0">
      <dxf/>
    </rfmt>
    <rfmt sheetId="2" sqref="AQ758" start="0" length="0">
      <dxf/>
    </rfmt>
    <rfmt sheetId="2" sqref="AR758" start="0" length="0">
      <dxf/>
    </rfmt>
    <rfmt sheetId="2" sqref="AS758" start="0" length="0">
      <dxf/>
    </rfmt>
    <rfmt sheetId="2" sqref="AT758" start="0" length="0">
      <dxf/>
    </rfmt>
    <rfmt sheetId="2" sqref="AU758" start="0" length="0">
      <dxf/>
    </rfmt>
    <rfmt sheetId="2" sqref="AV758" start="0" length="0">
      <dxf/>
    </rfmt>
    <rfmt sheetId="2" sqref="AW758" start="0" length="0">
      <dxf/>
    </rfmt>
    <rfmt sheetId="2" sqref="AX758" start="0" length="0">
      <dxf/>
    </rfmt>
    <rfmt sheetId="2" sqref="AY758" start="0" length="0">
      <dxf/>
    </rfmt>
    <rfmt sheetId="2" sqref="AZ758" start="0" length="0">
      <dxf/>
    </rfmt>
    <rfmt sheetId="2" sqref="BA758" start="0" length="0">
      <dxf/>
    </rfmt>
    <rfmt sheetId="2" sqref="BB758" start="0" length="0">
      <dxf/>
    </rfmt>
    <rfmt sheetId="2" sqref="BC758" start="0" length="0">
      <dxf/>
    </rfmt>
    <rfmt sheetId="2" sqref="BD758" start="0" length="0">
      <dxf/>
    </rfmt>
    <rfmt sheetId="2" sqref="BE758" start="0" length="0">
      <dxf/>
    </rfmt>
    <rfmt sheetId="2" sqref="BF758" start="0" length="0">
      <dxf/>
    </rfmt>
    <rfmt sheetId="2" sqref="BG758" start="0" length="0">
      <dxf/>
    </rfmt>
    <rfmt sheetId="2" sqref="BH758" start="0" length="0">
      <dxf/>
    </rfmt>
    <rfmt sheetId="2" sqref="BI758" start="0" length="0">
      <dxf/>
    </rfmt>
    <rfmt sheetId="2" sqref="BJ758" start="0" length="0">
      <dxf/>
    </rfmt>
    <rfmt sheetId="2" sqref="BK758" start="0" length="0">
      <dxf/>
    </rfmt>
    <rfmt sheetId="2" sqref="BL758" start="0" length="0">
      <dxf/>
    </rfmt>
    <rfmt sheetId="2" sqref="BM758" start="0" length="0">
      <dxf/>
    </rfmt>
    <rfmt sheetId="2" sqref="BN758" start="0" length="0">
      <dxf/>
    </rfmt>
    <rfmt sheetId="2" sqref="BO758" start="0" length="0">
      <dxf/>
    </rfmt>
    <rfmt sheetId="2" sqref="BP758" start="0" length="0">
      <dxf/>
    </rfmt>
    <rfmt sheetId="2" sqref="BQ758" start="0" length="0">
      <dxf/>
    </rfmt>
    <rfmt sheetId="2" sqref="BR758" start="0" length="0">
      <dxf/>
    </rfmt>
    <rfmt sheetId="2" sqref="BS758" start="0" length="0">
      <dxf/>
    </rfmt>
    <rfmt sheetId="2" sqref="BT758" start="0" length="0">
      <dxf/>
    </rfmt>
    <rfmt sheetId="2" sqref="BU758" start="0" length="0">
      <dxf/>
    </rfmt>
    <rfmt sheetId="2" sqref="BV758" start="0" length="0">
      <dxf/>
    </rfmt>
    <rfmt sheetId="2" sqref="BW758" start="0" length="0">
      <dxf/>
    </rfmt>
    <rfmt sheetId="2" sqref="BX758" start="0" length="0">
      <dxf/>
    </rfmt>
    <rfmt sheetId="2" sqref="BY758" start="0" length="0">
      <dxf/>
    </rfmt>
    <rfmt sheetId="2" sqref="BZ758" start="0" length="0">
      <dxf/>
    </rfmt>
    <rfmt sheetId="2" sqref="CA758" start="0" length="0">
      <dxf/>
    </rfmt>
    <rfmt sheetId="2" sqref="CB758" start="0" length="0">
      <dxf/>
    </rfmt>
    <rfmt sheetId="2" sqref="CC758" start="0" length="0">
      <dxf/>
    </rfmt>
    <rfmt sheetId="2" sqref="CD758" start="0" length="0">
      <dxf/>
    </rfmt>
    <rfmt sheetId="2" sqref="CE758" start="0" length="0">
      <dxf/>
    </rfmt>
    <rfmt sheetId="2" sqref="CF758" start="0" length="0">
      <dxf/>
    </rfmt>
    <rfmt sheetId="2" sqref="CG758" start="0" length="0">
      <dxf/>
    </rfmt>
    <rfmt sheetId="2" sqref="CH758" start="0" length="0">
      <dxf/>
    </rfmt>
    <rfmt sheetId="2" sqref="CI758" start="0" length="0">
      <dxf/>
    </rfmt>
    <rfmt sheetId="2" sqref="CJ758" start="0" length="0">
      <dxf/>
    </rfmt>
    <rfmt sheetId="2" sqref="CK758" start="0" length="0">
      <dxf/>
    </rfmt>
    <rfmt sheetId="2" sqref="CL758" start="0" length="0">
      <dxf/>
    </rfmt>
    <rfmt sheetId="2" sqref="CM758" start="0" length="0">
      <dxf/>
    </rfmt>
    <rfmt sheetId="2" sqref="CN758" start="0" length="0">
      <dxf/>
    </rfmt>
    <rfmt sheetId="2" sqref="CO758" start="0" length="0">
      <dxf/>
    </rfmt>
    <rfmt sheetId="2" sqref="CP758" start="0" length="0">
      <dxf/>
    </rfmt>
    <rfmt sheetId="2" sqref="CQ758" start="0" length="0">
      <dxf/>
    </rfmt>
    <rfmt sheetId="2" sqref="CR758" start="0" length="0">
      <dxf/>
    </rfmt>
    <rfmt sheetId="2" sqref="CS758" start="0" length="0">
      <dxf/>
    </rfmt>
    <rfmt sheetId="2" sqref="CT758" start="0" length="0">
      <dxf/>
    </rfmt>
    <rfmt sheetId="2" sqref="CU758" start="0" length="0">
      <dxf/>
    </rfmt>
    <rfmt sheetId="2" sqref="CV758" start="0" length="0">
      <dxf/>
    </rfmt>
    <rfmt sheetId="2" sqref="CW758" start="0" length="0">
      <dxf/>
    </rfmt>
    <rfmt sheetId="2" sqref="CX758" start="0" length="0">
      <dxf/>
    </rfmt>
    <rfmt sheetId="2" sqref="CY758" start="0" length="0">
      <dxf/>
    </rfmt>
    <rfmt sheetId="2" sqref="CZ758" start="0" length="0">
      <dxf/>
    </rfmt>
    <rfmt sheetId="2" sqref="DA758" start="0" length="0">
      <dxf/>
    </rfmt>
    <rfmt sheetId="2" sqref="DB758" start="0" length="0">
      <dxf/>
    </rfmt>
    <rfmt sheetId="2" sqref="DC758" start="0" length="0">
      <dxf/>
    </rfmt>
    <rfmt sheetId="2" sqref="DD758" start="0" length="0">
      <dxf/>
    </rfmt>
    <rfmt sheetId="2" sqref="DE758" start="0" length="0">
      <dxf/>
    </rfmt>
    <rfmt sheetId="2" sqref="DF758" start="0" length="0">
      <dxf/>
    </rfmt>
    <rfmt sheetId="2" sqref="DG758" start="0" length="0">
      <dxf/>
    </rfmt>
    <rfmt sheetId="2" sqref="DH758" start="0" length="0">
      <dxf/>
    </rfmt>
    <rfmt sheetId="2" sqref="DI758" start="0" length="0">
      <dxf/>
    </rfmt>
    <rfmt sheetId="2" sqref="DJ758" start="0" length="0">
      <dxf/>
    </rfmt>
    <rfmt sheetId="2" sqref="DK758" start="0" length="0">
      <dxf/>
    </rfmt>
    <rfmt sheetId="2" sqref="DL758" start="0" length="0">
      <dxf/>
    </rfmt>
    <rfmt sheetId="2" sqref="DM758" start="0" length="0">
      <dxf/>
    </rfmt>
    <rfmt sheetId="2" sqref="DN758" start="0" length="0">
      <dxf/>
    </rfmt>
    <rfmt sheetId="2" sqref="DO758" start="0" length="0">
      <dxf/>
    </rfmt>
    <rfmt sheetId="2" sqref="DP758" start="0" length="0">
      <dxf/>
    </rfmt>
    <rfmt sheetId="2" sqref="DQ758" start="0" length="0">
      <dxf/>
    </rfmt>
    <rfmt sheetId="2" sqref="DR758" start="0" length="0">
      <dxf/>
    </rfmt>
    <rfmt sheetId="2" sqref="DS758" start="0" length="0">
      <dxf/>
    </rfmt>
    <rfmt sheetId="2" sqref="DT758" start="0" length="0">
      <dxf/>
    </rfmt>
    <rfmt sheetId="2" sqref="DU758" start="0" length="0">
      <dxf/>
    </rfmt>
    <rfmt sheetId="2" sqref="DV758" start="0" length="0">
      <dxf/>
    </rfmt>
    <rfmt sheetId="2" sqref="DW758" start="0" length="0">
      <dxf/>
    </rfmt>
    <rfmt sheetId="2" sqref="DX758" start="0" length="0">
      <dxf/>
    </rfmt>
    <rfmt sheetId="2" sqref="DY758" start="0" length="0">
      <dxf/>
    </rfmt>
    <rfmt sheetId="2" sqref="DZ758" start="0" length="0">
      <dxf/>
    </rfmt>
    <rfmt sheetId="2" sqref="EA758" start="0" length="0">
      <dxf/>
    </rfmt>
    <rfmt sheetId="2" sqref="EB758" start="0" length="0">
      <dxf/>
    </rfmt>
    <rfmt sheetId="2" sqref="EC758" start="0" length="0">
      <dxf/>
    </rfmt>
    <rfmt sheetId="2" sqref="ED758" start="0" length="0">
      <dxf/>
    </rfmt>
    <rfmt sheetId="2" sqref="EE758" start="0" length="0">
      <dxf/>
    </rfmt>
    <rfmt sheetId="2" sqref="EF758" start="0" length="0">
      <dxf/>
    </rfmt>
    <rfmt sheetId="2" sqref="EG758" start="0" length="0">
      <dxf/>
    </rfmt>
    <rfmt sheetId="2" sqref="EH758" start="0" length="0">
      <dxf/>
    </rfmt>
    <rfmt sheetId="2" sqref="EI758" start="0" length="0">
      <dxf/>
    </rfmt>
    <rfmt sheetId="2" sqref="EJ758" start="0" length="0">
      <dxf/>
    </rfmt>
    <rfmt sheetId="2" sqref="EK758" start="0" length="0">
      <dxf/>
    </rfmt>
    <rfmt sheetId="2" sqref="EL758" start="0" length="0">
      <dxf/>
    </rfmt>
    <rfmt sheetId="2" sqref="EM758" start="0" length="0">
      <dxf/>
    </rfmt>
    <rfmt sheetId="2" sqref="EN758" start="0" length="0">
      <dxf/>
    </rfmt>
    <rfmt sheetId="2" sqref="EO758" start="0" length="0">
      <dxf/>
    </rfmt>
    <rfmt sheetId="2" sqref="EP758" start="0" length="0">
      <dxf/>
    </rfmt>
    <rfmt sheetId="2" sqref="EQ758" start="0" length="0">
      <dxf/>
    </rfmt>
    <rfmt sheetId="2" sqref="ER758" start="0" length="0">
      <dxf/>
    </rfmt>
    <rfmt sheetId="2" sqref="ES758" start="0" length="0">
      <dxf/>
    </rfmt>
    <rfmt sheetId="2" sqref="ET758" start="0" length="0">
      <dxf/>
    </rfmt>
    <rfmt sheetId="2" sqref="EU758" start="0" length="0">
      <dxf/>
    </rfmt>
    <rfmt sheetId="2" sqref="EV758" start="0" length="0">
      <dxf/>
    </rfmt>
    <rfmt sheetId="2" sqref="EW758" start="0" length="0">
      <dxf/>
    </rfmt>
    <rfmt sheetId="2" sqref="EX758" start="0" length="0">
      <dxf/>
    </rfmt>
    <rfmt sheetId="2" sqref="EY758" start="0" length="0">
      <dxf/>
    </rfmt>
    <rfmt sheetId="2" sqref="EZ758" start="0" length="0">
      <dxf/>
    </rfmt>
    <rfmt sheetId="2" sqref="FA758" start="0" length="0">
      <dxf/>
    </rfmt>
    <rfmt sheetId="2" sqref="FB758" start="0" length="0">
      <dxf/>
    </rfmt>
    <rfmt sheetId="2" sqref="FC758" start="0" length="0">
      <dxf/>
    </rfmt>
    <rfmt sheetId="2" sqref="FD758" start="0" length="0">
      <dxf/>
    </rfmt>
    <rfmt sheetId="2" sqref="FE758" start="0" length="0">
      <dxf/>
    </rfmt>
    <rfmt sheetId="2" sqref="FF758" start="0" length="0">
      <dxf/>
    </rfmt>
    <rfmt sheetId="2" sqref="FG758" start="0" length="0">
      <dxf/>
    </rfmt>
    <rfmt sheetId="2" sqref="FH758" start="0" length="0">
      <dxf/>
    </rfmt>
    <rfmt sheetId="2" sqref="FI758" start="0" length="0">
      <dxf/>
    </rfmt>
    <rfmt sheetId="2" sqref="FJ758" start="0" length="0">
      <dxf/>
    </rfmt>
    <rfmt sheetId="2" sqref="FK758" start="0" length="0">
      <dxf/>
    </rfmt>
    <rfmt sheetId="2" sqref="FL758" start="0" length="0">
      <dxf/>
    </rfmt>
    <rfmt sheetId="2" sqref="FM758" start="0" length="0">
      <dxf/>
    </rfmt>
    <rfmt sheetId="2" sqref="FN758" start="0" length="0">
      <dxf/>
    </rfmt>
    <rfmt sheetId="2" sqref="FO758" start="0" length="0">
      <dxf/>
    </rfmt>
    <rfmt sheetId="2" sqref="FP758" start="0" length="0">
      <dxf/>
    </rfmt>
    <rfmt sheetId="2" sqref="FQ758" start="0" length="0">
      <dxf/>
    </rfmt>
    <rfmt sheetId="2" sqref="FR758" start="0" length="0">
      <dxf/>
    </rfmt>
    <rfmt sheetId="2" sqref="FS758" start="0" length="0">
      <dxf/>
    </rfmt>
    <rfmt sheetId="2" sqref="FT758" start="0" length="0">
      <dxf/>
    </rfmt>
    <rfmt sheetId="2" sqref="FU758" start="0" length="0">
      <dxf/>
    </rfmt>
    <rfmt sheetId="2" sqref="FV758" start="0" length="0">
      <dxf/>
    </rfmt>
    <rfmt sheetId="2" sqref="FW758" start="0" length="0">
      <dxf/>
    </rfmt>
    <rfmt sheetId="2" sqref="FX758" start="0" length="0">
      <dxf/>
    </rfmt>
    <rfmt sheetId="2" sqref="FY758" start="0" length="0">
      <dxf/>
    </rfmt>
    <rfmt sheetId="2" sqref="FZ758" start="0" length="0">
      <dxf/>
    </rfmt>
    <rfmt sheetId="2" sqref="GA758" start="0" length="0">
      <dxf/>
    </rfmt>
    <rfmt sheetId="2" sqref="GB758" start="0" length="0">
      <dxf/>
    </rfmt>
    <rfmt sheetId="2" sqref="GC758" start="0" length="0">
      <dxf/>
    </rfmt>
    <rfmt sheetId="2" sqref="GD758" start="0" length="0">
      <dxf/>
    </rfmt>
    <rfmt sheetId="2" sqref="GE758" start="0" length="0">
      <dxf/>
    </rfmt>
    <rfmt sheetId="2" sqref="GF758" start="0" length="0">
      <dxf/>
    </rfmt>
    <rfmt sheetId="2" sqref="GG758" start="0" length="0">
      <dxf/>
    </rfmt>
    <rfmt sheetId="2" sqref="GH758" start="0" length="0">
      <dxf/>
    </rfmt>
    <rfmt sheetId="2" sqref="GI758" start="0" length="0">
      <dxf/>
    </rfmt>
    <rfmt sheetId="2" sqref="GJ758" start="0" length="0">
      <dxf/>
    </rfmt>
    <rfmt sheetId="2" sqref="GK758" start="0" length="0">
      <dxf/>
    </rfmt>
    <rfmt sheetId="2" sqref="GL758" start="0" length="0">
      <dxf/>
    </rfmt>
    <rfmt sheetId="2" sqref="GM758" start="0" length="0">
      <dxf/>
    </rfmt>
    <rfmt sheetId="2" sqref="GN758" start="0" length="0">
      <dxf/>
    </rfmt>
    <rfmt sheetId="2" sqref="GO758" start="0" length="0">
      <dxf/>
    </rfmt>
    <rfmt sheetId="2" sqref="GP758" start="0" length="0">
      <dxf/>
    </rfmt>
    <rfmt sheetId="2" sqref="GQ758" start="0" length="0">
      <dxf/>
    </rfmt>
    <rfmt sheetId="2" sqref="GR758" start="0" length="0">
      <dxf/>
    </rfmt>
    <rfmt sheetId="2" sqref="GS758" start="0" length="0">
      <dxf/>
    </rfmt>
    <rfmt sheetId="2" sqref="GT758" start="0" length="0">
      <dxf/>
    </rfmt>
    <rfmt sheetId="2" sqref="GU758" start="0" length="0">
      <dxf/>
    </rfmt>
    <rfmt sheetId="2" sqref="GV758" start="0" length="0">
      <dxf/>
    </rfmt>
    <rfmt sheetId="2" sqref="GW758" start="0" length="0">
      <dxf/>
    </rfmt>
    <rfmt sheetId="2" sqref="GX758" start="0" length="0">
      <dxf/>
    </rfmt>
    <rfmt sheetId="2" sqref="GY758" start="0" length="0">
      <dxf/>
    </rfmt>
    <rfmt sheetId="2" sqref="GZ758" start="0" length="0">
      <dxf/>
    </rfmt>
    <rfmt sheetId="2" sqref="HA758" start="0" length="0">
      <dxf/>
    </rfmt>
    <rfmt sheetId="2" sqref="HB758" start="0" length="0">
      <dxf/>
    </rfmt>
    <rfmt sheetId="2" sqref="HC758" start="0" length="0">
      <dxf/>
    </rfmt>
    <rfmt sheetId="2" sqref="HD758" start="0" length="0">
      <dxf/>
    </rfmt>
    <rfmt sheetId="2" sqref="HE758" start="0" length="0">
      <dxf/>
    </rfmt>
    <rfmt sheetId="2" sqref="HF758" start="0" length="0">
      <dxf/>
    </rfmt>
    <rfmt sheetId="2" sqref="HG758" start="0" length="0">
      <dxf/>
    </rfmt>
    <rfmt sheetId="2" sqref="HH758" start="0" length="0">
      <dxf/>
    </rfmt>
    <rfmt sheetId="2" sqref="HI758" start="0" length="0">
      <dxf/>
    </rfmt>
    <rfmt sheetId="2" sqref="HJ758" start="0" length="0">
      <dxf/>
    </rfmt>
    <rfmt sheetId="2" sqref="HK758" start="0" length="0">
      <dxf/>
    </rfmt>
    <rfmt sheetId="2" sqref="HL758" start="0" length="0">
      <dxf/>
    </rfmt>
    <rfmt sheetId="2" sqref="HM758" start="0" length="0">
      <dxf/>
    </rfmt>
    <rfmt sheetId="2" sqref="HN758" start="0" length="0">
      <dxf/>
    </rfmt>
    <rfmt sheetId="2" sqref="HO758" start="0" length="0">
      <dxf/>
    </rfmt>
    <rfmt sheetId="2" sqref="HP758" start="0" length="0">
      <dxf/>
    </rfmt>
    <rfmt sheetId="2" sqref="HQ758" start="0" length="0">
      <dxf/>
    </rfmt>
    <rfmt sheetId="2" sqref="HR758" start="0" length="0">
      <dxf/>
    </rfmt>
    <rfmt sheetId="2" sqref="HS758" start="0" length="0">
      <dxf/>
    </rfmt>
    <rfmt sheetId="2" sqref="HT758" start="0" length="0">
      <dxf/>
    </rfmt>
    <rfmt sheetId="2" sqref="HU758" start="0" length="0">
      <dxf/>
    </rfmt>
    <rfmt sheetId="2" sqref="HV758" start="0" length="0">
      <dxf/>
    </rfmt>
    <rfmt sheetId="2" sqref="HW758" start="0" length="0">
      <dxf/>
    </rfmt>
    <rfmt sheetId="2" sqref="HX758" start="0" length="0">
      <dxf/>
    </rfmt>
    <rfmt sheetId="2" sqref="HY758" start="0" length="0">
      <dxf/>
    </rfmt>
    <rfmt sheetId="2" sqref="HZ758" start="0" length="0">
      <dxf/>
    </rfmt>
    <rfmt sheetId="2" sqref="IA758" start="0" length="0">
      <dxf/>
    </rfmt>
    <rfmt sheetId="2" sqref="IB758" start="0" length="0">
      <dxf/>
    </rfmt>
    <rfmt sheetId="2" sqref="IC758" start="0" length="0">
      <dxf/>
    </rfmt>
    <rfmt sheetId="2" sqref="ID758" start="0" length="0">
      <dxf/>
    </rfmt>
    <rfmt sheetId="2" sqref="IE758" start="0" length="0">
      <dxf/>
    </rfmt>
    <rfmt sheetId="2" sqref="IF758" start="0" length="0">
      <dxf/>
    </rfmt>
    <rfmt sheetId="2" sqref="IG758" start="0" length="0">
      <dxf/>
    </rfmt>
    <rfmt sheetId="2" sqref="IH758" start="0" length="0">
      <dxf/>
    </rfmt>
    <rfmt sheetId="2" sqref="II758" start="0" length="0">
      <dxf/>
    </rfmt>
    <rfmt sheetId="2" sqref="IJ758" start="0" length="0">
      <dxf/>
    </rfmt>
    <rfmt sheetId="2" sqref="IK758" start="0" length="0">
      <dxf/>
    </rfmt>
    <rfmt sheetId="2" sqref="IL758" start="0" length="0">
      <dxf/>
    </rfmt>
    <rfmt sheetId="2" sqref="IM758" start="0" length="0">
      <dxf/>
    </rfmt>
    <rfmt sheetId="2" sqref="IN758" start="0" length="0">
      <dxf/>
    </rfmt>
    <rfmt sheetId="2" sqref="IO758" start="0" length="0">
      <dxf/>
    </rfmt>
    <rfmt sheetId="2" sqref="IP758" start="0" length="0">
      <dxf/>
    </rfmt>
    <rfmt sheetId="2" sqref="IQ758" start="0" length="0">
      <dxf/>
    </rfmt>
    <rfmt sheetId="2" sqref="IR758" start="0" length="0">
      <dxf/>
    </rfmt>
    <rfmt sheetId="2" sqref="IS758" start="0" length="0">
      <dxf/>
    </rfmt>
    <rfmt sheetId="2" sqref="IT758" start="0" length="0">
      <dxf/>
    </rfmt>
    <rfmt sheetId="2" sqref="IU758" start="0" length="0">
      <dxf/>
    </rfmt>
    <rfmt sheetId="2" sqref="IV758" start="0" length="0">
      <dxf/>
    </rfmt>
    <rfmt sheetId="2" sqref="IW758" start="0" length="0">
      <dxf/>
    </rfmt>
    <rfmt sheetId="2" sqref="IX758" start="0" length="0">
      <dxf/>
    </rfmt>
    <rfmt sheetId="2" sqref="IY758" start="0" length="0">
      <dxf/>
    </rfmt>
    <rfmt sheetId="2" sqref="IZ758" start="0" length="0">
      <dxf/>
    </rfmt>
    <rfmt sheetId="2" sqref="JA758" start="0" length="0">
      <dxf/>
    </rfmt>
    <rfmt sheetId="2" sqref="JB758" start="0" length="0">
      <dxf/>
    </rfmt>
    <rfmt sheetId="2" sqref="JC758" start="0" length="0">
      <dxf/>
    </rfmt>
    <rfmt sheetId="2" sqref="JD758" start="0" length="0">
      <dxf/>
    </rfmt>
    <rfmt sheetId="2" sqref="JE758" start="0" length="0">
      <dxf/>
    </rfmt>
    <rfmt sheetId="2" sqref="JF758" start="0" length="0">
      <dxf/>
    </rfmt>
    <rfmt sheetId="2" sqref="JG758" start="0" length="0">
      <dxf/>
    </rfmt>
    <rfmt sheetId="2" sqref="JH758" start="0" length="0">
      <dxf/>
    </rfmt>
    <rfmt sheetId="2" sqref="JI758" start="0" length="0">
      <dxf/>
    </rfmt>
    <rfmt sheetId="2" sqref="JJ758" start="0" length="0">
      <dxf/>
    </rfmt>
    <rfmt sheetId="2" sqref="JK758" start="0" length="0">
      <dxf/>
    </rfmt>
    <rfmt sheetId="2" sqref="JL758" start="0" length="0">
      <dxf/>
    </rfmt>
    <rfmt sheetId="2" sqref="JM758" start="0" length="0">
      <dxf/>
    </rfmt>
    <rfmt sheetId="2" sqref="JN758" start="0" length="0">
      <dxf/>
    </rfmt>
    <rfmt sheetId="2" sqref="JO758" start="0" length="0">
      <dxf/>
    </rfmt>
    <rfmt sheetId="2" sqref="JP758" start="0" length="0">
      <dxf/>
    </rfmt>
    <rfmt sheetId="2" sqref="JQ758" start="0" length="0">
      <dxf/>
    </rfmt>
    <rfmt sheetId="2" sqref="JR758" start="0" length="0">
      <dxf/>
    </rfmt>
    <rfmt sheetId="2" sqref="JS758" start="0" length="0">
      <dxf/>
    </rfmt>
    <rfmt sheetId="2" sqref="JT758" start="0" length="0">
      <dxf/>
    </rfmt>
    <rfmt sheetId="2" sqref="JU758" start="0" length="0">
      <dxf/>
    </rfmt>
    <rfmt sheetId="2" sqref="JV758" start="0" length="0">
      <dxf/>
    </rfmt>
    <rfmt sheetId="2" sqref="JW758" start="0" length="0">
      <dxf/>
    </rfmt>
    <rfmt sheetId="2" sqref="JX758" start="0" length="0">
      <dxf/>
    </rfmt>
    <rfmt sheetId="2" sqref="JY758" start="0" length="0">
      <dxf/>
    </rfmt>
    <rfmt sheetId="2" sqref="JZ758" start="0" length="0">
      <dxf/>
    </rfmt>
    <rfmt sheetId="2" sqref="KA758" start="0" length="0">
      <dxf/>
    </rfmt>
    <rfmt sheetId="2" sqref="KB758" start="0" length="0">
      <dxf/>
    </rfmt>
    <rfmt sheetId="2" sqref="KC758" start="0" length="0">
      <dxf/>
    </rfmt>
    <rfmt sheetId="2" sqref="KD758" start="0" length="0">
      <dxf/>
    </rfmt>
    <rfmt sheetId="2" sqref="KE758" start="0" length="0">
      <dxf/>
    </rfmt>
    <rfmt sheetId="2" sqref="KF758" start="0" length="0">
      <dxf/>
    </rfmt>
    <rfmt sheetId="2" sqref="KG758" start="0" length="0">
      <dxf/>
    </rfmt>
    <rfmt sheetId="2" sqref="KH758" start="0" length="0">
      <dxf/>
    </rfmt>
    <rfmt sheetId="2" sqref="KI758" start="0" length="0">
      <dxf/>
    </rfmt>
    <rfmt sheetId="2" sqref="KJ758" start="0" length="0">
      <dxf/>
    </rfmt>
    <rfmt sheetId="2" sqref="KK758" start="0" length="0">
      <dxf/>
    </rfmt>
    <rfmt sheetId="2" sqref="KL758" start="0" length="0">
      <dxf/>
    </rfmt>
    <rfmt sheetId="2" sqref="KM758" start="0" length="0">
      <dxf/>
    </rfmt>
    <rfmt sheetId="2" sqref="KN758" start="0" length="0">
      <dxf/>
    </rfmt>
    <rfmt sheetId="2" sqref="KO758" start="0" length="0">
      <dxf/>
    </rfmt>
    <rfmt sheetId="2" sqref="KP758" start="0" length="0">
      <dxf/>
    </rfmt>
    <rfmt sheetId="2" sqref="KQ758" start="0" length="0">
      <dxf/>
    </rfmt>
    <rfmt sheetId="2" sqref="KR758" start="0" length="0">
      <dxf/>
    </rfmt>
    <rfmt sheetId="2" sqref="KS758" start="0" length="0">
      <dxf/>
    </rfmt>
    <rfmt sheetId="2" sqref="KT758" start="0" length="0">
      <dxf/>
    </rfmt>
    <rfmt sheetId="2" sqref="KU758" start="0" length="0">
      <dxf/>
    </rfmt>
    <rfmt sheetId="2" sqref="KV758" start="0" length="0">
      <dxf/>
    </rfmt>
    <rfmt sheetId="2" sqref="KW758" start="0" length="0">
      <dxf/>
    </rfmt>
    <rfmt sheetId="2" sqref="KX758" start="0" length="0">
      <dxf/>
    </rfmt>
    <rfmt sheetId="2" sqref="KY758" start="0" length="0">
      <dxf/>
    </rfmt>
    <rfmt sheetId="2" sqref="KZ758" start="0" length="0">
      <dxf/>
    </rfmt>
    <rfmt sheetId="2" sqref="LA758" start="0" length="0">
      <dxf/>
    </rfmt>
    <rfmt sheetId="2" sqref="LB758" start="0" length="0">
      <dxf/>
    </rfmt>
    <rfmt sheetId="2" sqref="LC758" start="0" length="0">
      <dxf/>
    </rfmt>
    <rfmt sheetId="2" sqref="LD758" start="0" length="0">
      <dxf/>
    </rfmt>
    <rfmt sheetId="2" sqref="LE758" start="0" length="0">
      <dxf/>
    </rfmt>
    <rfmt sheetId="2" sqref="LF758" start="0" length="0">
      <dxf/>
    </rfmt>
    <rfmt sheetId="2" sqref="LG758" start="0" length="0">
      <dxf/>
    </rfmt>
    <rfmt sheetId="2" sqref="LH758" start="0" length="0">
      <dxf/>
    </rfmt>
    <rfmt sheetId="2" sqref="LI758" start="0" length="0">
      <dxf/>
    </rfmt>
    <rfmt sheetId="2" sqref="LJ758" start="0" length="0">
      <dxf/>
    </rfmt>
    <rfmt sheetId="2" sqref="LK758" start="0" length="0">
      <dxf/>
    </rfmt>
    <rfmt sheetId="2" sqref="LL758" start="0" length="0">
      <dxf/>
    </rfmt>
    <rfmt sheetId="2" sqref="LM758" start="0" length="0">
      <dxf/>
    </rfmt>
    <rfmt sheetId="2" sqref="LN758" start="0" length="0">
      <dxf/>
    </rfmt>
    <rfmt sheetId="2" sqref="LO758" start="0" length="0">
      <dxf/>
    </rfmt>
    <rfmt sheetId="2" sqref="LP758" start="0" length="0">
      <dxf/>
    </rfmt>
    <rfmt sheetId="2" sqref="LQ758" start="0" length="0">
      <dxf/>
    </rfmt>
    <rfmt sheetId="2" sqref="LR758" start="0" length="0">
      <dxf/>
    </rfmt>
    <rfmt sheetId="2" sqref="LS758" start="0" length="0">
      <dxf/>
    </rfmt>
    <rfmt sheetId="2" sqref="LT758" start="0" length="0">
      <dxf/>
    </rfmt>
    <rfmt sheetId="2" sqref="LU758" start="0" length="0">
      <dxf/>
    </rfmt>
    <rfmt sheetId="2" sqref="LV758" start="0" length="0">
      <dxf/>
    </rfmt>
    <rfmt sheetId="2" sqref="LW758" start="0" length="0">
      <dxf/>
    </rfmt>
    <rfmt sheetId="2" sqref="LX758" start="0" length="0">
      <dxf/>
    </rfmt>
    <rfmt sheetId="2" sqref="LY758" start="0" length="0">
      <dxf/>
    </rfmt>
    <rfmt sheetId="2" sqref="LZ758" start="0" length="0">
      <dxf/>
    </rfmt>
    <rfmt sheetId="2" sqref="MA758" start="0" length="0">
      <dxf/>
    </rfmt>
    <rfmt sheetId="2" sqref="MB758" start="0" length="0">
      <dxf/>
    </rfmt>
  </rrc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65" sId="2">
    <nc r="F775">
      <v>20260907003</v>
    </nc>
  </rcc>
  <rcc rId="1666" sId="2">
    <nc r="F776">
      <v>20260907004</v>
    </nc>
  </rcc>
  <rcc rId="1667" sId="2">
    <nc r="F745">
      <v>20260907005</v>
    </nc>
  </rcc>
  <rcc rId="1668" sId="2">
    <nc r="F746">
      <v>20260907006</v>
    </nc>
  </rcc>
  <rcc rId="1669" sId="2">
    <nc r="F747">
      <v>20260907007</v>
    </nc>
  </rcc>
  <rcc rId="1670" sId="2">
    <nc r="F748">
      <v>20260907008</v>
    </nc>
  </rcc>
  <rcc rId="1671" sId="2">
    <nc r="F749">
      <v>20260907009</v>
    </nc>
  </rcc>
  <rcc rId="1672" sId="2">
    <nc r="F750">
      <v>20260907010</v>
    </nc>
  </rcc>
  <rcc rId="1673" sId="2">
    <nc r="F751">
      <v>20260907011</v>
    </nc>
  </rcc>
  <rcc rId="1674" sId="2">
    <nc r="F752">
      <v>20260907012</v>
    </nc>
  </rcc>
  <rcc rId="1675" sId="2">
    <nc r="F753">
      <v>20260907013</v>
    </nc>
  </rcc>
  <rcc rId="1676" sId="2">
    <nc r="F754">
      <v>20260907014</v>
    </nc>
  </rcc>
  <rcc rId="1677" sId="2">
    <nc r="F755">
      <v>20260907015</v>
    </nc>
  </rcc>
  <rcc rId="1678" sId="2">
    <nc r="F756">
      <v>20260907016</v>
    </nc>
  </rcc>
  <rcc rId="1679" sId="2">
    <nc r="F757">
      <v>20260907017</v>
    </nc>
  </rcc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80" sId="2">
    <nc r="F759">
      <v>20260907018</v>
    </nc>
  </rcc>
  <rcc rId="1681" sId="2">
    <nc r="F760">
      <v>20260907019</v>
    </nc>
  </rcc>
  <rcc rId="1682" sId="2">
    <nc r="F761">
      <v>20260907020</v>
    </nc>
  </rcc>
  <rcc rId="1683" sId="2">
    <nc r="F762">
      <v>20260907021</v>
    </nc>
  </rcc>
  <rcc rId="1684" sId="2">
    <nc r="F763">
      <v>20260907022</v>
    </nc>
  </rcc>
  <rcc rId="1685" sId="2">
    <nc r="F764">
      <v>20260907023</v>
    </nc>
  </rcc>
  <rcc rId="1686" sId="2">
    <nc r="F765">
      <v>20260907024</v>
    </nc>
  </rcc>
  <rcc rId="1687" sId="2">
    <nc r="F766">
      <v>20260907025</v>
    </nc>
  </rcc>
  <rcc rId="1688" sId="2">
    <nc r="F767">
      <v>20260907026</v>
    </nc>
  </rcc>
  <rcc rId="1689" sId="2">
    <nc r="F768">
      <v>20260907027</v>
    </nc>
  </rcc>
  <rcc rId="1690" sId="2">
    <nc r="F769">
      <v>20260907028</v>
    </nc>
  </rcc>
  <rcc rId="1691" sId="2">
    <nc r="F770">
      <v>20260907029</v>
    </nc>
  </rcc>
  <rcc rId="1692" sId="2">
    <nc r="F771">
      <v>20260907030</v>
    </nc>
  </rcc>
  <rcc rId="1693" sId="2">
    <nc r="F772">
      <v>20260907031</v>
    </nc>
  </rcc>
  <rcc rId="1694" sId="2">
    <nc r="F773">
      <v>20260907032</v>
    </nc>
  </rcc>
  <rcc rId="1695" sId="2">
    <nc r="F774">
      <v>20260907033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696" sId="4">
    <nc r="F166">
      <v>20260907036</v>
    </nc>
  </rcc>
  <rcc rId="1697" sId="4">
    <nc r="F167">
      <v>20260907037</v>
    </nc>
  </rcc>
  <rcc rId="1698" sId="4">
    <nc r="F168">
      <v>20260907038</v>
    </nc>
  </rcc>
  <rrc rId="1699" sId="2" ref="A745:XFD745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00" sheetId="2" source="A759:XFD759" destination="A745:XFD745" sourceSheetId="2">
    <rfmt sheetId="2" xfDxf="1" sqref="A745:XFD745" start="0" length="0">
      <dxf>
        <font>
          <sz val="10"/>
          <name val="Arial"/>
          <scheme val="none"/>
        </font>
        <alignment horizontal="center" readingOrder="0"/>
      </dxf>
    </rfmt>
    <rfmt sheetId="2" sqref="A74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45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4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4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4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4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45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4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4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4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4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45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4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45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45" start="0" length="0">
      <dxf>
        <numFmt numFmtId="176" formatCode="m/d;@"/>
      </dxf>
    </rfmt>
    <rfmt sheetId="2" sqref="P74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45" start="0" length="0">
      <dxf/>
    </rfmt>
    <rfmt sheetId="2" sqref="U745" start="0" length="0">
      <dxf/>
    </rfmt>
    <rfmt sheetId="2" sqref="V745" start="0" length="0">
      <dxf/>
    </rfmt>
    <rfmt sheetId="2" sqref="W745" start="0" length="0">
      <dxf/>
    </rfmt>
    <rfmt sheetId="2" sqref="X745" start="0" length="0">
      <dxf/>
    </rfmt>
    <rfmt sheetId="2" sqref="Y745" start="0" length="0">
      <dxf/>
    </rfmt>
    <rfmt sheetId="2" sqref="Z745" start="0" length="0">
      <dxf/>
    </rfmt>
    <rfmt sheetId="2" sqref="AA745" start="0" length="0">
      <dxf/>
    </rfmt>
    <rfmt sheetId="2" sqref="AB745" start="0" length="0">
      <dxf/>
    </rfmt>
    <rfmt sheetId="2" sqref="AC745" start="0" length="0">
      <dxf/>
    </rfmt>
    <rfmt sheetId="2" sqref="AD745" start="0" length="0">
      <dxf/>
    </rfmt>
    <rfmt sheetId="2" sqref="AE745" start="0" length="0">
      <dxf/>
    </rfmt>
    <rfmt sheetId="2" sqref="AF745" start="0" length="0">
      <dxf/>
    </rfmt>
    <rfmt sheetId="2" sqref="AG745" start="0" length="0">
      <dxf/>
    </rfmt>
    <rfmt sheetId="2" sqref="AH745" start="0" length="0">
      <dxf/>
    </rfmt>
    <rfmt sheetId="2" sqref="AI745" start="0" length="0">
      <dxf/>
    </rfmt>
    <rfmt sheetId="2" sqref="AJ745" start="0" length="0">
      <dxf/>
    </rfmt>
    <rfmt sheetId="2" sqref="AK745" start="0" length="0">
      <dxf/>
    </rfmt>
    <rfmt sheetId="2" sqref="AL745" start="0" length="0">
      <dxf/>
    </rfmt>
    <rfmt sheetId="2" sqref="AM745" start="0" length="0">
      <dxf/>
    </rfmt>
    <rfmt sheetId="2" sqref="AN745" start="0" length="0">
      <dxf/>
    </rfmt>
    <rfmt sheetId="2" sqref="AO745" start="0" length="0">
      <dxf/>
    </rfmt>
    <rfmt sheetId="2" sqref="AP745" start="0" length="0">
      <dxf/>
    </rfmt>
    <rfmt sheetId="2" sqref="AQ745" start="0" length="0">
      <dxf/>
    </rfmt>
    <rfmt sheetId="2" sqref="AR745" start="0" length="0">
      <dxf/>
    </rfmt>
    <rfmt sheetId="2" sqref="AS745" start="0" length="0">
      <dxf/>
    </rfmt>
    <rfmt sheetId="2" sqref="AT745" start="0" length="0">
      <dxf/>
    </rfmt>
    <rfmt sheetId="2" sqref="AU745" start="0" length="0">
      <dxf/>
    </rfmt>
    <rfmt sheetId="2" sqref="AV745" start="0" length="0">
      <dxf/>
    </rfmt>
    <rfmt sheetId="2" sqref="AW745" start="0" length="0">
      <dxf/>
    </rfmt>
    <rfmt sheetId="2" sqref="AX745" start="0" length="0">
      <dxf/>
    </rfmt>
    <rfmt sheetId="2" sqref="AY745" start="0" length="0">
      <dxf/>
    </rfmt>
    <rfmt sheetId="2" sqref="AZ745" start="0" length="0">
      <dxf/>
    </rfmt>
    <rfmt sheetId="2" sqref="BA745" start="0" length="0">
      <dxf/>
    </rfmt>
    <rfmt sheetId="2" sqref="BB745" start="0" length="0">
      <dxf/>
    </rfmt>
    <rfmt sheetId="2" sqref="BC745" start="0" length="0">
      <dxf/>
    </rfmt>
    <rfmt sheetId="2" sqref="BD745" start="0" length="0">
      <dxf/>
    </rfmt>
    <rfmt sheetId="2" sqref="BE745" start="0" length="0">
      <dxf/>
    </rfmt>
    <rfmt sheetId="2" sqref="BF745" start="0" length="0">
      <dxf/>
    </rfmt>
    <rfmt sheetId="2" sqref="BG745" start="0" length="0">
      <dxf/>
    </rfmt>
    <rfmt sheetId="2" sqref="BH745" start="0" length="0">
      <dxf/>
    </rfmt>
    <rfmt sheetId="2" sqref="BI745" start="0" length="0">
      <dxf/>
    </rfmt>
    <rfmt sheetId="2" sqref="BJ745" start="0" length="0">
      <dxf/>
    </rfmt>
    <rfmt sheetId="2" sqref="BK745" start="0" length="0">
      <dxf/>
    </rfmt>
    <rfmt sheetId="2" sqref="BL745" start="0" length="0">
      <dxf/>
    </rfmt>
    <rfmt sheetId="2" sqref="BM745" start="0" length="0">
      <dxf/>
    </rfmt>
    <rfmt sheetId="2" sqref="BN745" start="0" length="0">
      <dxf/>
    </rfmt>
    <rfmt sheetId="2" sqref="BO745" start="0" length="0">
      <dxf/>
    </rfmt>
    <rfmt sheetId="2" sqref="BP745" start="0" length="0">
      <dxf/>
    </rfmt>
    <rfmt sheetId="2" sqref="BQ745" start="0" length="0">
      <dxf/>
    </rfmt>
    <rfmt sheetId="2" sqref="BR745" start="0" length="0">
      <dxf/>
    </rfmt>
    <rfmt sheetId="2" sqref="BS745" start="0" length="0">
      <dxf/>
    </rfmt>
    <rfmt sheetId="2" sqref="BT745" start="0" length="0">
      <dxf/>
    </rfmt>
    <rfmt sheetId="2" sqref="BU745" start="0" length="0">
      <dxf/>
    </rfmt>
    <rfmt sheetId="2" sqref="BV745" start="0" length="0">
      <dxf/>
    </rfmt>
    <rfmt sheetId="2" sqref="BW745" start="0" length="0">
      <dxf/>
    </rfmt>
    <rfmt sheetId="2" sqref="BX745" start="0" length="0">
      <dxf/>
    </rfmt>
    <rfmt sheetId="2" sqref="BY745" start="0" length="0">
      <dxf/>
    </rfmt>
    <rfmt sheetId="2" sqref="BZ745" start="0" length="0">
      <dxf/>
    </rfmt>
    <rfmt sheetId="2" sqref="CA745" start="0" length="0">
      <dxf/>
    </rfmt>
    <rfmt sheetId="2" sqref="CB745" start="0" length="0">
      <dxf/>
    </rfmt>
    <rfmt sheetId="2" sqref="CC745" start="0" length="0">
      <dxf/>
    </rfmt>
    <rfmt sheetId="2" sqref="CD745" start="0" length="0">
      <dxf/>
    </rfmt>
    <rfmt sheetId="2" sqref="CE745" start="0" length="0">
      <dxf/>
    </rfmt>
    <rfmt sheetId="2" sqref="CF745" start="0" length="0">
      <dxf/>
    </rfmt>
    <rfmt sheetId="2" sqref="CG745" start="0" length="0">
      <dxf/>
    </rfmt>
    <rfmt sheetId="2" sqref="CH745" start="0" length="0">
      <dxf/>
    </rfmt>
    <rfmt sheetId="2" sqref="CI745" start="0" length="0">
      <dxf/>
    </rfmt>
    <rfmt sheetId="2" sqref="CJ745" start="0" length="0">
      <dxf/>
    </rfmt>
    <rfmt sheetId="2" sqref="CK745" start="0" length="0">
      <dxf/>
    </rfmt>
    <rfmt sheetId="2" sqref="CL745" start="0" length="0">
      <dxf/>
    </rfmt>
    <rfmt sheetId="2" sqref="CM745" start="0" length="0">
      <dxf/>
    </rfmt>
    <rfmt sheetId="2" sqref="CN745" start="0" length="0">
      <dxf/>
    </rfmt>
    <rfmt sheetId="2" sqref="CO745" start="0" length="0">
      <dxf/>
    </rfmt>
    <rfmt sheetId="2" sqref="CP745" start="0" length="0">
      <dxf/>
    </rfmt>
    <rfmt sheetId="2" sqref="CQ745" start="0" length="0">
      <dxf/>
    </rfmt>
    <rfmt sheetId="2" sqref="CR745" start="0" length="0">
      <dxf/>
    </rfmt>
    <rfmt sheetId="2" sqref="CS745" start="0" length="0">
      <dxf/>
    </rfmt>
    <rfmt sheetId="2" sqref="CT745" start="0" length="0">
      <dxf/>
    </rfmt>
    <rfmt sheetId="2" sqref="CU745" start="0" length="0">
      <dxf/>
    </rfmt>
    <rfmt sheetId="2" sqref="CV745" start="0" length="0">
      <dxf/>
    </rfmt>
    <rfmt sheetId="2" sqref="CW745" start="0" length="0">
      <dxf/>
    </rfmt>
    <rfmt sheetId="2" sqref="CX745" start="0" length="0">
      <dxf/>
    </rfmt>
    <rfmt sheetId="2" sqref="CY745" start="0" length="0">
      <dxf/>
    </rfmt>
    <rfmt sheetId="2" sqref="CZ745" start="0" length="0">
      <dxf/>
    </rfmt>
    <rfmt sheetId="2" sqref="DA745" start="0" length="0">
      <dxf/>
    </rfmt>
    <rfmt sheetId="2" sqref="DB745" start="0" length="0">
      <dxf/>
    </rfmt>
    <rfmt sheetId="2" sqref="DC745" start="0" length="0">
      <dxf/>
    </rfmt>
    <rfmt sheetId="2" sqref="DD745" start="0" length="0">
      <dxf/>
    </rfmt>
    <rfmt sheetId="2" sqref="DE745" start="0" length="0">
      <dxf/>
    </rfmt>
    <rfmt sheetId="2" sqref="DF745" start="0" length="0">
      <dxf/>
    </rfmt>
    <rfmt sheetId="2" sqref="DG745" start="0" length="0">
      <dxf/>
    </rfmt>
    <rfmt sheetId="2" sqref="DH745" start="0" length="0">
      <dxf/>
    </rfmt>
    <rfmt sheetId="2" sqref="DI745" start="0" length="0">
      <dxf/>
    </rfmt>
    <rfmt sheetId="2" sqref="DJ745" start="0" length="0">
      <dxf/>
    </rfmt>
    <rfmt sheetId="2" sqref="DK745" start="0" length="0">
      <dxf/>
    </rfmt>
    <rfmt sheetId="2" sqref="DL745" start="0" length="0">
      <dxf/>
    </rfmt>
    <rfmt sheetId="2" sqref="DM745" start="0" length="0">
      <dxf/>
    </rfmt>
    <rfmt sheetId="2" sqref="DN745" start="0" length="0">
      <dxf/>
    </rfmt>
    <rfmt sheetId="2" sqref="DO745" start="0" length="0">
      <dxf/>
    </rfmt>
    <rfmt sheetId="2" sqref="DP745" start="0" length="0">
      <dxf/>
    </rfmt>
    <rfmt sheetId="2" sqref="DQ745" start="0" length="0">
      <dxf/>
    </rfmt>
    <rfmt sheetId="2" sqref="DR745" start="0" length="0">
      <dxf/>
    </rfmt>
    <rfmt sheetId="2" sqref="DS745" start="0" length="0">
      <dxf/>
    </rfmt>
    <rfmt sheetId="2" sqref="DT745" start="0" length="0">
      <dxf/>
    </rfmt>
    <rfmt sheetId="2" sqref="DU745" start="0" length="0">
      <dxf/>
    </rfmt>
    <rfmt sheetId="2" sqref="DV745" start="0" length="0">
      <dxf/>
    </rfmt>
    <rfmt sheetId="2" sqref="DW745" start="0" length="0">
      <dxf/>
    </rfmt>
    <rfmt sheetId="2" sqref="DX745" start="0" length="0">
      <dxf/>
    </rfmt>
    <rfmt sheetId="2" sqref="DY745" start="0" length="0">
      <dxf/>
    </rfmt>
    <rfmt sheetId="2" sqref="DZ745" start="0" length="0">
      <dxf/>
    </rfmt>
    <rfmt sheetId="2" sqref="EA745" start="0" length="0">
      <dxf/>
    </rfmt>
    <rfmt sheetId="2" sqref="EB745" start="0" length="0">
      <dxf/>
    </rfmt>
    <rfmt sheetId="2" sqref="EC745" start="0" length="0">
      <dxf/>
    </rfmt>
    <rfmt sheetId="2" sqref="ED745" start="0" length="0">
      <dxf/>
    </rfmt>
    <rfmt sheetId="2" sqref="EE745" start="0" length="0">
      <dxf/>
    </rfmt>
    <rfmt sheetId="2" sqref="EF745" start="0" length="0">
      <dxf/>
    </rfmt>
    <rfmt sheetId="2" sqref="EG745" start="0" length="0">
      <dxf/>
    </rfmt>
    <rfmt sheetId="2" sqref="EH745" start="0" length="0">
      <dxf/>
    </rfmt>
    <rfmt sheetId="2" sqref="EI745" start="0" length="0">
      <dxf/>
    </rfmt>
    <rfmt sheetId="2" sqref="EJ745" start="0" length="0">
      <dxf/>
    </rfmt>
    <rfmt sheetId="2" sqref="EK745" start="0" length="0">
      <dxf/>
    </rfmt>
    <rfmt sheetId="2" sqref="EL745" start="0" length="0">
      <dxf/>
    </rfmt>
    <rfmt sheetId="2" sqref="EM745" start="0" length="0">
      <dxf/>
    </rfmt>
    <rfmt sheetId="2" sqref="EN745" start="0" length="0">
      <dxf/>
    </rfmt>
    <rfmt sheetId="2" sqref="EO745" start="0" length="0">
      <dxf/>
    </rfmt>
    <rfmt sheetId="2" sqref="EP745" start="0" length="0">
      <dxf/>
    </rfmt>
    <rfmt sheetId="2" sqref="EQ745" start="0" length="0">
      <dxf/>
    </rfmt>
    <rfmt sheetId="2" sqref="ER745" start="0" length="0">
      <dxf/>
    </rfmt>
    <rfmt sheetId="2" sqref="ES745" start="0" length="0">
      <dxf/>
    </rfmt>
    <rfmt sheetId="2" sqref="ET745" start="0" length="0">
      <dxf/>
    </rfmt>
    <rfmt sheetId="2" sqref="EU745" start="0" length="0">
      <dxf/>
    </rfmt>
    <rfmt sheetId="2" sqref="EV745" start="0" length="0">
      <dxf/>
    </rfmt>
    <rfmt sheetId="2" sqref="EW745" start="0" length="0">
      <dxf/>
    </rfmt>
    <rfmt sheetId="2" sqref="EX745" start="0" length="0">
      <dxf/>
    </rfmt>
    <rfmt sheetId="2" sqref="EY745" start="0" length="0">
      <dxf/>
    </rfmt>
    <rfmt sheetId="2" sqref="EZ745" start="0" length="0">
      <dxf/>
    </rfmt>
    <rfmt sheetId="2" sqref="FA745" start="0" length="0">
      <dxf/>
    </rfmt>
    <rfmt sheetId="2" sqref="FB745" start="0" length="0">
      <dxf/>
    </rfmt>
    <rfmt sheetId="2" sqref="FC745" start="0" length="0">
      <dxf/>
    </rfmt>
    <rfmt sheetId="2" sqref="FD745" start="0" length="0">
      <dxf/>
    </rfmt>
    <rfmt sheetId="2" sqref="FE745" start="0" length="0">
      <dxf/>
    </rfmt>
    <rfmt sheetId="2" sqref="FF745" start="0" length="0">
      <dxf/>
    </rfmt>
    <rfmt sheetId="2" sqref="FG745" start="0" length="0">
      <dxf/>
    </rfmt>
    <rfmt sheetId="2" sqref="FH745" start="0" length="0">
      <dxf/>
    </rfmt>
    <rfmt sheetId="2" sqref="FI745" start="0" length="0">
      <dxf/>
    </rfmt>
    <rfmt sheetId="2" sqref="FJ745" start="0" length="0">
      <dxf/>
    </rfmt>
    <rfmt sheetId="2" sqref="FK745" start="0" length="0">
      <dxf/>
    </rfmt>
    <rfmt sheetId="2" sqref="FL745" start="0" length="0">
      <dxf/>
    </rfmt>
    <rfmt sheetId="2" sqref="FM745" start="0" length="0">
      <dxf/>
    </rfmt>
    <rfmt sheetId="2" sqref="FN745" start="0" length="0">
      <dxf/>
    </rfmt>
    <rfmt sheetId="2" sqref="FO745" start="0" length="0">
      <dxf/>
    </rfmt>
    <rfmt sheetId="2" sqref="FP745" start="0" length="0">
      <dxf/>
    </rfmt>
    <rfmt sheetId="2" sqref="FQ745" start="0" length="0">
      <dxf/>
    </rfmt>
    <rfmt sheetId="2" sqref="FR745" start="0" length="0">
      <dxf/>
    </rfmt>
    <rfmt sheetId="2" sqref="FS745" start="0" length="0">
      <dxf/>
    </rfmt>
    <rfmt sheetId="2" sqref="FT745" start="0" length="0">
      <dxf/>
    </rfmt>
    <rfmt sheetId="2" sqref="FU745" start="0" length="0">
      <dxf/>
    </rfmt>
    <rfmt sheetId="2" sqref="FV745" start="0" length="0">
      <dxf/>
    </rfmt>
    <rfmt sheetId="2" sqref="FW745" start="0" length="0">
      <dxf/>
    </rfmt>
    <rfmt sheetId="2" sqref="FX745" start="0" length="0">
      <dxf/>
    </rfmt>
    <rfmt sheetId="2" sqref="FY745" start="0" length="0">
      <dxf/>
    </rfmt>
    <rfmt sheetId="2" sqref="FZ745" start="0" length="0">
      <dxf/>
    </rfmt>
    <rfmt sheetId="2" sqref="GA745" start="0" length="0">
      <dxf/>
    </rfmt>
    <rfmt sheetId="2" sqref="GB745" start="0" length="0">
      <dxf/>
    </rfmt>
    <rfmt sheetId="2" sqref="GC745" start="0" length="0">
      <dxf/>
    </rfmt>
    <rfmt sheetId="2" sqref="GD745" start="0" length="0">
      <dxf/>
    </rfmt>
    <rfmt sheetId="2" sqref="GE745" start="0" length="0">
      <dxf/>
    </rfmt>
    <rfmt sheetId="2" sqref="GF745" start="0" length="0">
      <dxf/>
    </rfmt>
    <rfmt sheetId="2" sqref="GG745" start="0" length="0">
      <dxf/>
    </rfmt>
    <rfmt sheetId="2" sqref="GH745" start="0" length="0">
      <dxf/>
    </rfmt>
    <rfmt sheetId="2" sqref="GI745" start="0" length="0">
      <dxf/>
    </rfmt>
    <rfmt sheetId="2" sqref="GJ745" start="0" length="0">
      <dxf/>
    </rfmt>
    <rfmt sheetId="2" sqref="GK745" start="0" length="0">
      <dxf/>
    </rfmt>
    <rfmt sheetId="2" sqref="GL745" start="0" length="0">
      <dxf/>
    </rfmt>
    <rfmt sheetId="2" sqref="GM745" start="0" length="0">
      <dxf/>
    </rfmt>
    <rfmt sheetId="2" sqref="GN745" start="0" length="0">
      <dxf/>
    </rfmt>
    <rfmt sheetId="2" sqref="GO745" start="0" length="0">
      <dxf/>
    </rfmt>
    <rfmt sheetId="2" sqref="GP745" start="0" length="0">
      <dxf/>
    </rfmt>
    <rfmt sheetId="2" sqref="GQ745" start="0" length="0">
      <dxf/>
    </rfmt>
    <rfmt sheetId="2" sqref="GR745" start="0" length="0">
      <dxf/>
    </rfmt>
    <rfmt sheetId="2" sqref="GS745" start="0" length="0">
      <dxf/>
    </rfmt>
    <rfmt sheetId="2" sqref="GT745" start="0" length="0">
      <dxf/>
    </rfmt>
    <rfmt sheetId="2" sqref="GU745" start="0" length="0">
      <dxf/>
    </rfmt>
    <rfmt sheetId="2" sqref="GV745" start="0" length="0">
      <dxf/>
    </rfmt>
    <rfmt sheetId="2" sqref="GW745" start="0" length="0">
      <dxf/>
    </rfmt>
    <rfmt sheetId="2" sqref="GX745" start="0" length="0">
      <dxf/>
    </rfmt>
    <rfmt sheetId="2" sqref="GY745" start="0" length="0">
      <dxf/>
    </rfmt>
    <rfmt sheetId="2" sqref="GZ745" start="0" length="0">
      <dxf/>
    </rfmt>
    <rfmt sheetId="2" sqref="HA745" start="0" length="0">
      <dxf/>
    </rfmt>
    <rfmt sheetId="2" sqref="HB745" start="0" length="0">
      <dxf/>
    </rfmt>
    <rfmt sheetId="2" sqref="HC745" start="0" length="0">
      <dxf/>
    </rfmt>
    <rfmt sheetId="2" sqref="HD745" start="0" length="0">
      <dxf/>
    </rfmt>
    <rfmt sheetId="2" sqref="HE745" start="0" length="0">
      <dxf/>
    </rfmt>
    <rfmt sheetId="2" sqref="HF745" start="0" length="0">
      <dxf/>
    </rfmt>
    <rfmt sheetId="2" sqref="HG745" start="0" length="0">
      <dxf/>
    </rfmt>
    <rfmt sheetId="2" sqref="HH745" start="0" length="0">
      <dxf/>
    </rfmt>
    <rfmt sheetId="2" sqref="HI745" start="0" length="0">
      <dxf/>
    </rfmt>
    <rfmt sheetId="2" sqref="HJ745" start="0" length="0">
      <dxf/>
    </rfmt>
    <rfmt sheetId="2" sqref="HK745" start="0" length="0">
      <dxf/>
    </rfmt>
    <rfmt sheetId="2" sqref="HL745" start="0" length="0">
      <dxf/>
    </rfmt>
    <rfmt sheetId="2" sqref="HM745" start="0" length="0">
      <dxf/>
    </rfmt>
    <rfmt sheetId="2" sqref="HN745" start="0" length="0">
      <dxf/>
    </rfmt>
    <rfmt sheetId="2" sqref="HO745" start="0" length="0">
      <dxf/>
    </rfmt>
    <rfmt sheetId="2" sqref="HP745" start="0" length="0">
      <dxf/>
    </rfmt>
    <rfmt sheetId="2" sqref="HQ745" start="0" length="0">
      <dxf/>
    </rfmt>
    <rfmt sheetId="2" sqref="HR745" start="0" length="0">
      <dxf/>
    </rfmt>
    <rfmt sheetId="2" sqref="HS745" start="0" length="0">
      <dxf/>
    </rfmt>
    <rfmt sheetId="2" sqref="HT745" start="0" length="0">
      <dxf/>
    </rfmt>
    <rfmt sheetId="2" sqref="HU745" start="0" length="0">
      <dxf/>
    </rfmt>
    <rfmt sheetId="2" sqref="HV745" start="0" length="0">
      <dxf/>
    </rfmt>
    <rfmt sheetId="2" sqref="HW745" start="0" length="0">
      <dxf/>
    </rfmt>
    <rfmt sheetId="2" sqref="HX745" start="0" length="0">
      <dxf/>
    </rfmt>
    <rfmt sheetId="2" sqref="HY745" start="0" length="0">
      <dxf/>
    </rfmt>
    <rfmt sheetId="2" sqref="HZ745" start="0" length="0">
      <dxf/>
    </rfmt>
    <rfmt sheetId="2" sqref="IA745" start="0" length="0">
      <dxf/>
    </rfmt>
    <rfmt sheetId="2" sqref="IB745" start="0" length="0">
      <dxf/>
    </rfmt>
    <rfmt sheetId="2" sqref="IC745" start="0" length="0">
      <dxf/>
    </rfmt>
    <rfmt sheetId="2" sqref="ID745" start="0" length="0">
      <dxf/>
    </rfmt>
    <rfmt sheetId="2" sqref="IE745" start="0" length="0">
      <dxf/>
    </rfmt>
    <rfmt sheetId="2" sqref="IF745" start="0" length="0">
      <dxf/>
    </rfmt>
    <rfmt sheetId="2" sqref="IG745" start="0" length="0">
      <dxf/>
    </rfmt>
    <rfmt sheetId="2" sqref="IH745" start="0" length="0">
      <dxf/>
    </rfmt>
    <rfmt sheetId="2" sqref="II745" start="0" length="0">
      <dxf/>
    </rfmt>
    <rfmt sheetId="2" sqref="IJ745" start="0" length="0">
      <dxf/>
    </rfmt>
    <rfmt sheetId="2" sqref="IK745" start="0" length="0">
      <dxf/>
    </rfmt>
    <rfmt sheetId="2" sqref="IL745" start="0" length="0">
      <dxf/>
    </rfmt>
    <rfmt sheetId="2" sqref="IM745" start="0" length="0">
      <dxf/>
    </rfmt>
    <rfmt sheetId="2" sqref="IN745" start="0" length="0">
      <dxf/>
    </rfmt>
    <rfmt sheetId="2" sqref="IO745" start="0" length="0">
      <dxf/>
    </rfmt>
    <rfmt sheetId="2" sqref="IP745" start="0" length="0">
      <dxf/>
    </rfmt>
    <rfmt sheetId="2" sqref="IQ745" start="0" length="0">
      <dxf/>
    </rfmt>
    <rfmt sheetId="2" sqref="IR745" start="0" length="0">
      <dxf/>
    </rfmt>
    <rfmt sheetId="2" sqref="IS745" start="0" length="0">
      <dxf/>
    </rfmt>
    <rfmt sheetId="2" sqref="IT745" start="0" length="0">
      <dxf/>
    </rfmt>
    <rfmt sheetId="2" sqref="IU745" start="0" length="0">
      <dxf/>
    </rfmt>
    <rfmt sheetId="2" sqref="IV745" start="0" length="0">
      <dxf/>
    </rfmt>
    <rfmt sheetId="2" sqref="IW745" start="0" length="0">
      <dxf/>
    </rfmt>
    <rfmt sheetId="2" sqref="IX745" start="0" length="0">
      <dxf/>
    </rfmt>
    <rfmt sheetId="2" sqref="IY745" start="0" length="0">
      <dxf/>
    </rfmt>
    <rfmt sheetId="2" sqref="IZ745" start="0" length="0">
      <dxf/>
    </rfmt>
    <rfmt sheetId="2" sqref="JA745" start="0" length="0">
      <dxf/>
    </rfmt>
    <rfmt sheetId="2" sqref="JB745" start="0" length="0">
      <dxf/>
    </rfmt>
    <rfmt sheetId="2" sqref="JC745" start="0" length="0">
      <dxf/>
    </rfmt>
    <rfmt sheetId="2" sqref="JD745" start="0" length="0">
      <dxf/>
    </rfmt>
    <rfmt sheetId="2" sqref="JE745" start="0" length="0">
      <dxf/>
    </rfmt>
    <rfmt sheetId="2" sqref="JF745" start="0" length="0">
      <dxf/>
    </rfmt>
    <rfmt sheetId="2" sqref="JG745" start="0" length="0">
      <dxf/>
    </rfmt>
    <rfmt sheetId="2" sqref="JH745" start="0" length="0">
      <dxf/>
    </rfmt>
    <rfmt sheetId="2" sqref="JI745" start="0" length="0">
      <dxf/>
    </rfmt>
    <rfmt sheetId="2" sqref="JJ745" start="0" length="0">
      <dxf/>
    </rfmt>
    <rfmt sheetId="2" sqref="JK745" start="0" length="0">
      <dxf/>
    </rfmt>
    <rfmt sheetId="2" sqref="JL745" start="0" length="0">
      <dxf/>
    </rfmt>
    <rfmt sheetId="2" sqref="JM745" start="0" length="0">
      <dxf/>
    </rfmt>
    <rfmt sheetId="2" sqref="JN745" start="0" length="0">
      <dxf/>
    </rfmt>
    <rfmt sheetId="2" sqref="JO745" start="0" length="0">
      <dxf/>
    </rfmt>
    <rfmt sheetId="2" sqref="JP745" start="0" length="0">
      <dxf/>
    </rfmt>
    <rfmt sheetId="2" sqref="JQ745" start="0" length="0">
      <dxf/>
    </rfmt>
    <rfmt sheetId="2" sqref="JR745" start="0" length="0">
      <dxf/>
    </rfmt>
    <rfmt sheetId="2" sqref="JS745" start="0" length="0">
      <dxf/>
    </rfmt>
    <rfmt sheetId="2" sqref="JT745" start="0" length="0">
      <dxf/>
    </rfmt>
    <rfmt sheetId="2" sqref="JU745" start="0" length="0">
      <dxf/>
    </rfmt>
    <rfmt sheetId="2" sqref="JV745" start="0" length="0">
      <dxf/>
    </rfmt>
    <rfmt sheetId="2" sqref="JW745" start="0" length="0">
      <dxf/>
    </rfmt>
    <rfmt sheetId="2" sqref="JX745" start="0" length="0">
      <dxf/>
    </rfmt>
    <rfmt sheetId="2" sqref="JY745" start="0" length="0">
      <dxf/>
    </rfmt>
    <rfmt sheetId="2" sqref="JZ745" start="0" length="0">
      <dxf/>
    </rfmt>
    <rfmt sheetId="2" sqref="KA745" start="0" length="0">
      <dxf/>
    </rfmt>
    <rfmt sheetId="2" sqref="KB745" start="0" length="0">
      <dxf/>
    </rfmt>
    <rfmt sheetId="2" sqref="KC745" start="0" length="0">
      <dxf/>
    </rfmt>
    <rfmt sheetId="2" sqref="KD745" start="0" length="0">
      <dxf/>
    </rfmt>
    <rfmt sheetId="2" sqref="KE745" start="0" length="0">
      <dxf/>
    </rfmt>
    <rfmt sheetId="2" sqref="KF745" start="0" length="0">
      <dxf/>
    </rfmt>
    <rfmt sheetId="2" sqref="KG745" start="0" length="0">
      <dxf/>
    </rfmt>
    <rfmt sheetId="2" sqref="KH745" start="0" length="0">
      <dxf/>
    </rfmt>
    <rfmt sheetId="2" sqref="KI745" start="0" length="0">
      <dxf/>
    </rfmt>
    <rfmt sheetId="2" sqref="KJ745" start="0" length="0">
      <dxf/>
    </rfmt>
    <rfmt sheetId="2" sqref="KK745" start="0" length="0">
      <dxf/>
    </rfmt>
    <rfmt sheetId="2" sqref="KL745" start="0" length="0">
      <dxf/>
    </rfmt>
    <rfmt sheetId="2" sqref="KM745" start="0" length="0">
      <dxf/>
    </rfmt>
    <rfmt sheetId="2" sqref="KN745" start="0" length="0">
      <dxf/>
    </rfmt>
    <rfmt sheetId="2" sqref="KO745" start="0" length="0">
      <dxf/>
    </rfmt>
    <rfmt sheetId="2" sqref="KP745" start="0" length="0">
      <dxf/>
    </rfmt>
    <rfmt sheetId="2" sqref="KQ745" start="0" length="0">
      <dxf/>
    </rfmt>
    <rfmt sheetId="2" sqref="KR745" start="0" length="0">
      <dxf/>
    </rfmt>
    <rfmt sheetId="2" sqref="KS745" start="0" length="0">
      <dxf/>
    </rfmt>
    <rfmt sheetId="2" sqref="KT745" start="0" length="0">
      <dxf/>
    </rfmt>
    <rfmt sheetId="2" sqref="KU745" start="0" length="0">
      <dxf/>
    </rfmt>
    <rfmt sheetId="2" sqref="KV745" start="0" length="0">
      <dxf/>
    </rfmt>
    <rfmt sheetId="2" sqref="KW745" start="0" length="0">
      <dxf/>
    </rfmt>
    <rfmt sheetId="2" sqref="KX745" start="0" length="0">
      <dxf/>
    </rfmt>
    <rfmt sheetId="2" sqref="KY745" start="0" length="0">
      <dxf/>
    </rfmt>
    <rfmt sheetId="2" sqref="KZ745" start="0" length="0">
      <dxf/>
    </rfmt>
    <rfmt sheetId="2" sqref="LA745" start="0" length="0">
      <dxf/>
    </rfmt>
    <rfmt sheetId="2" sqref="LB745" start="0" length="0">
      <dxf/>
    </rfmt>
    <rfmt sheetId="2" sqref="LC745" start="0" length="0">
      <dxf/>
    </rfmt>
    <rfmt sheetId="2" sqref="LD745" start="0" length="0">
      <dxf/>
    </rfmt>
    <rfmt sheetId="2" sqref="LE745" start="0" length="0">
      <dxf/>
    </rfmt>
    <rfmt sheetId="2" sqref="LF745" start="0" length="0">
      <dxf/>
    </rfmt>
    <rfmt sheetId="2" sqref="LG745" start="0" length="0">
      <dxf/>
    </rfmt>
    <rfmt sheetId="2" sqref="LH745" start="0" length="0">
      <dxf/>
    </rfmt>
    <rfmt sheetId="2" sqref="LI745" start="0" length="0">
      <dxf/>
    </rfmt>
    <rfmt sheetId="2" sqref="LJ745" start="0" length="0">
      <dxf/>
    </rfmt>
    <rfmt sheetId="2" sqref="LK745" start="0" length="0">
      <dxf/>
    </rfmt>
    <rfmt sheetId="2" sqref="LL745" start="0" length="0">
      <dxf/>
    </rfmt>
    <rfmt sheetId="2" sqref="LM745" start="0" length="0">
      <dxf/>
    </rfmt>
    <rfmt sheetId="2" sqref="LN745" start="0" length="0">
      <dxf/>
    </rfmt>
    <rfmt sheetId="2" sqref="LO745" start="0" length="0">
      <dxf/>
    </rfmt>
    <rfmt sheetId="2" sqref="LP745" start="0" length="0">
      <dxf/>
    </rfmt>
    <rfmt sheetId="2" sqref="LQ745" start="0" length="0">
      <dxf/>
    </rfmt>
    <rfmt sheetId="2" sqref="LR745" start="0" length="0">
      <dxf/>
    </rfmt>
    <rfmt sheetId="2" sqref="LS745" start="0" length="0">
      <dxf/>
    </rfmt>
    <rfmt sheetId="2" sqref="LT745" start="0" length="0">
      <dxf/>
    </rfmt>
    <rfmt sheetId="2" sqref="LU745" start="0" length="0">
      <dxf/>
    </rfmt>
    <rfmt sheetId="2" sqref="LV745" start="0" length="0">
      <dxf/>
    </rfmt>
    <rfmt sheetId="2" sqref="LW745" start="0" length="0">
      <dxf/>
    </rfmt>
    <rfmt sheetId="2" sqref="LX745" start="0" length="0">
      <dxf/>
    </rfmt>
    <rfmt sheetId="2" sqref="LY745" start="0" length="0">
      <dxf/>
    </rfmt>
    <rfmt sheetId="2" sqref="LZ745" start="0" length="0">
      <dxf/>
    </rfmt>
    <rfmt sheetId="2" sqref="MA745" start="0" length="0">
      <dxf/>
    </rfmt>
    <rfmt sheetId="2" sqref="MB745" start="0" length="0">
      <dxf/>
    </rfmt>
  </rm>
  <rrc rId="1701" sId="2" ref="A759:XFD759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59:XFD759" start="0" length="0">
      <dxf>
        <font>
          <sz val="10"/>
          <name val="Arial"/>
          <scheme val="none"/>
        </font>
        <alignment horizontal="center" readingOrder="0"/>
      </dxf>
    </rfmt>
    <rfmt sheetId="2" sqref="A75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5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5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5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5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59" start="0" length="0">
      <dxf>
        <numFmt numFmtId="176" formatCode="m/d;@"/>
      </dxf>
    </rfmt>
    <rfmt sheetId="2" sqref="P75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59" start="0" length="0">
      <dxf/>
    </rfmt>
    <rfmt sheetId="2" sqref="U759" start="0" length="0">
      <dxf/>
    </rfmt>
    <rfmt sheetId="2" sqref="V759" start="0" length="0">
      <dxf/>
    </rfmt>
    <rfmt sheetId="2" sqref="W759" start="0" length="0">
      <dxf/>
    </rfmt>
    <rfmt sheetId="2" sqref="X759" start="0" length="0">
      <dxf/>
    </rfmt>
    <rfmt sheetId="2" sqref="Y759" start="0" length="0">
      <dxf/>
    </rfmt>
    <rfmt sheetId="2" sqref="Z759" start="0" length="0">
      <dxf/>
    </rfmt>
    <rfmt sheetId="2" sqref="AA759" start="0" length="0">
      <dxf/>
    </rfmt>
    <rfmt sheetId="2" sqref="AB759" start="0" length="0">
      <dxf/>
    </rfmt>
    <rfmt sheetId="2" sqref="AC759" start="0" length="0">
      <dxf/>
    </rfmt>
    <rfmt sheetId="2" sqref="AD759" start="0" length="0">
      <dxf/>
    </rfmt>
    <rfmt sheetId="2" sqref="AE759" start="0" length="0">
      <dxf/>
    </rfmt>
    <rfmt sheetId="2" sqref="AF759" start="0" length="0">
      <dxf/>
    </rfmt>
    <rfmt sheetId="2" sqref="AG759" start="0" length="0">
      <dxf/>
    </rfmt>
    <rfmt sheetId="2" sqref="AH759" start="0" length="0">
      <dxf/>
    </rfmt>
    <rfmt sheetId="2" sqref="AI759" start="0" length="0">
      <dxf/>
    </rfmt>
    <rfmt sheetId="2" sqref="AJ759" start="0" length="0">
      <dxf/>
    </rfmt>
    <rfmt sheetId="2" sqref="AK759" start="0" length="0">
      <dxf/>
    </rfmt>
    <rfmt sheetId="2" sqref="AL759" start="0" length="0">
      <dxf/>
    </rfmt>
    <rfmt sheetId="2" sqref="AM759" start="0" length="0">
      <dxf/>
    </rfmt>
    <rfmt sheetId="2" sqref="AN759" start="0" length="0">
      <dxf/>
    </rfmt>
    <rfmt sheetId="2" sqref="AO759" start="0" length="0">
      <dxf/>
    </rfmt>
    <rfmt sheetId="2" sqref="AP759" start="0" length="0">
      <dxf/>
    </rfmt>
    <rfmt sheetId="2" sqref="AQ759" start="0" length="0">
      <dxf/>
    </rfmt>
    <rfmt sheetId="2" sqref="AR759" start="0" length="0">
      <dxf/>
    </rfmt>
    <rfmt sheetId="2" sqref="AS759" start="0" length="0">
      <dxf/>
    </rfmt>
    <rfmt sheetId="2" sqref="AT759" start="0" length="0">
      <dxf/>
    </rfmt>
    <rfmt sheetId="2" sqref="AU759" start="0" length="0">
      <dxf/>
    </rfmt>
    <rfmt sheetId="2" sqref="AV759" start="0" length="0">
      <dxf/>
    </rfmt>
    <rfmt sheetId="2" sqref="AW759" start="0" length="0">
      <dxf/>
    </rfmt>
    <rfmt sheetId="2" sqref="AX759" start="0" length="0">
      <dxf/>
    </rfmt>
    <rfmt sheetId="2" sqref="AY759" start="0" length="0">
      <dxf/>
    </rfmt>
    <rfmt sheetId="2" sqref="AZ759" start="0" length="0">
      <dxf/>
    </rfmt>
    <rfmt sheetId="2" sqref="BA759" start="0" length="0">
      <dxf/>
    </rfmt>
    <rfmt sheetId="2" sqref="BB759" start="0" length="0">
      <dxf/>
    </rfmt>
    <rfmt sheetId="2" sqref="BC759" start="0" length="0">
      <dxf/>
    </rfmt>
    <rfmt sheetId="2" sqref="BD759" start="0" length="0">
      <dxf/>
    </rfmt>
    <rfmt sheetId="2" sqref="BE759" start="0" length="0">
      <dxf/>
    </rfmt>
    <rfmt sheetId="2" sqref="BF759" start="0" length="0">
      <dxf/>
    </rfmt>
    <rfmt sheetId="2" sqref="BG759" start="0" length="0">
      <dxf/>
    </rfmt>
    <rfmt sheetId="2" sqref="BH759" start="0" length="0">
      <dxf/>
    </rfmt>
    <rfmt sheetId="2" sqref="BI759" start="0" length="0">
      <dxf/>
    </rfmt>
    <rfmt sheetId="2" sqref="BJ759" start="0" length="0">
      <dxf/>
    </rfmt>
    <rfmt sheetId="2" sqref="BK759" start="0" length="0">
      <dxf/>
    </rfmt>
    <rfmt sheetId="2" sqref="BL759" start="0" length="0">
      <dxf/>
    </rfmt>
    <rfmt sheetId="2" sqref="BM759" start="0" length="0">
      <dxf/>
    </rfmt>
    <rfmt sheetId="2" sqref="BN759" start="0" length="0">
      <dxf/>
    </rfmt>
    <rfmt sheetId="2" sqref="BO759" start="0" length="0">
      <dxf/>
    </rfmt>
    <rfmt sheetId="2" sqref="BP759" start="0" length="0">
      <dxf/>
    </rfmt>
    <rfmt sheetId="2" sqref="BQ759" start="0" length="0">
      <dxf/>
    </rfmt>
    <rfmt sheetId="2" sqref="BR759" start="0" length="0">
      <dxf/>
    </rfmt>
    <rfmt sheetId="2" sqref="BS759" start="0" length="0">
      <dxf/>
    </rfmt>
    <rfmt sheetId="2" sqref="BT759" start="0" length="0">
      <dxf/>
    </rfmt>
    <rfmt sheetId="2" sqref="BU759" start="0" length="0">
      <dxf/>
    </rfmt>
    <rfmt sheetId="2" sqref="BV759" start="0" length="0">
      <dxf/>
    </rfmt>
    <rfmt sheetId="2" sqref="BW759" start="0" length="0">
      <dxf/>
    </rfmt>
    <rfmt sheetId="2" sqref="BX759" start="0" length="0">
      <dxf/>
    </rfmt>
    <rfmt sheetId="2" sqref="BY759" start="0" length="0">
      <dxf/>
    </rfmt>
    <rfmt sheetId="2" sqref="BZ759" start="0" length="0">
      <dxf/>
    </rfmt>
    <rfmt sheetId="2" sqref="CA759" start="0" length="0">
      <dxf/>
    </rfmt>
    <rfmt sheetId="2" sqref="CB759" start="0" length="0">
      <dxf/>
    </rfmt>
    <rfmt sheetId="2" sqref="CC759" start="0" length="0">
      <dxf/>
    </rfmt>
    <rfmt sheetId="2" sqref="CD759" start="0" length="0">
      <dxf/>
    </rfmt>
    <rfmt sheetId="2" sqref="CE759" start="0" length="0">
      <dxf/>
    </rfmt>
    <rfmt sheetId="2" sqref="CF759" start="0" length="0">
      <dxf/>
    </rfmt>
    <rfmt sheetId="2" sqref="CG759" start="0" length="0">
      <dxf/>
    </rfmt>
    <rfmt sheetId="2" sqref="CH759" start="0" length="0">
      <dxf/>
    </rfmt>
    <rfmt sheetId="2" sqref="CI759" start="0" length="0">
      <dxf/>
    </rfmt>
    <rfmt sheetId="2" sqref="CJ759" start="0" length="0">
      <dxf/>
    </rfmt>
    <rfmt sheetId="2" sqref="CK759" start="0" length="0">
      <dxf/>
    </rfmt>
    <rfmt sheetId="2" sqref="CL759" start="0" length="0">
      <dxf/>
    </rfmt>
    <rfmt sheetId="2" sqref="CM759" start="0" length="0">
      <dxf/>
    </rfmt>
    <rfmt sheetId="2" sqref="CN759" start="0" length="0">
      <dxf/>
    </rfmt>
    <rfmt sheetId="2" sqref="CO759" start="0" length="0">
      <dxf/>
    </rfmt>
    <rfmt sheetId="2" sqref="CP759" start="0" length="0">
      <dxf/>
    </rfmt>
    <rfmt sheetId="2" sqref="CQ759" start="0" length="0">
      <dxf/>
    </rfmt>
    <rfmt sheetId="2" sqref="CR759" start="0" length="0">
      <dxf/>
    </rfmt>
    <rfmt sheetId="2" sqref="CS759" start="0" length="0">
      <dxf/>
    </rfmt>
    <rfmt sheetId="2" sqref="CT759" start="0" length="0">
      <dxf/>
    </rfmt>
    <rfmt sheetId="2" sqref="CU759" start="0" length="0">
      <dxf/>
    </rfmt>
    <rfmt sheetId="2" sqref="CV759" start="0" length="0">
      <dxf/>
    </rfmt>
    <rfmt sheetId="2" sqref="CW759" start="0" length="0">
      <dxf/>
    </rfmt>
    <rfmt sheetId="2" sqref="CX759" start="0" length="0">
      <dxf/>
    </rfmt>
    <rfmt sheetId="2" sqref="CY759" start="0" length="0">
      <dxf/>
    </rfmt>
    <rfmt sheetId="2" sqref="CZ759" start="0" length="0">
      <dxf/>
    </rfmt>
    <rfmt sheetId="2" sqref="DA759" start="0" length="0">
      <dxf/>
    </rfmt>
    <rfmt sheetId="2" sqref="DB759" start="0" length="0">
      <dxf/>
    </rfmt>
    <rfmt sheetId="2" sqref="DC759" start="0" length="0">
      <dxf/>
    </rfmt>
    <rfmt sheetId="2" sqref="DD759" start="0" length="0">
      <dxf/>
    </rfmt>
    <rfmt sheetId="2" sqref="DE759" start="0" length="0">
      <dxf/>
    </rfmt>
    <rfmt sheetId="2" sqref="DF759" start="0" length="0">
      <dxf/>
    </rfmt>
    <rfmt sheetId="2" sqref="DG759" start="0" length="0">
      <dxf/>
    </rfmt>
    <rfmt sheetId="2" sqref="DH759" start="0" length="0">
      <dxf/>
    </rfmt>
    <rfmt sheetId="2" sqref="DI759" start="0" length="0">
      <dxf/>
    </rfmt>
    <rfmt sheetId="2" sqref="DJ759" start="0" length="0">
      <dxf/>
    </rfmt>
    <rfmt sheetId="2" sqref="DK759" start="0" length="0">
      <dxf/>
    </rfmt>
    <rfmt sheetId="2" sqref="DL759" start="0" length="0">
      <dxf/>
    </rfmt>
    <rfmt sheetId="2" sqref="DM759" start="0" length="0">
      <dxf/>
    </rfmt>
    <rfmt sheetId="2" sqref="DN759" start="0" length="0">
      <dxf/>
    </rfmt>
    <rfmt sheetId="2" sqref="DO759" start="0" length="0">
      <dxf/>
    </rfmt>
    <rfmt sheetId="2" sqref="DP759" start="0" length="0">
      <dxf/>
    </rfmt>
    <rfmt sheetId="2" sqref="DQ759" start="0" length="0">
      <dxf/>
    </rfmt>
    <rfmt sheetId="2" sqref="DR759" start="0" length="0">
      <dxf/>
    </rfmt>
    <rfmt sheetId="2" sqref="DS759" start="0" length="0">
      <dxf/>
    </rfmt>
    <rfmt sheetId="2" sqref="DT759" start="0" length="0">
      <dxf/>
    </rfmt>
    <rfmt sheetId="2" sqref="DU759" start="0" length="0">
      <dxf/>
    </rfmt>
    <rfmt sheetId="2" sqref="DV759" start="0" length="0">
      <dxf/>
    </rfmt>
    <rfmt sheetId="2" sqref="DW759" start="0" length="0">
      <dxf/>
    </rfmt>
    <rfmt sheetId="2" sqref="DX759" start="0" length="0">
      <dxf/>
    </rfmt>
    <rfmt sheetId="2" sqref="DY759" start="0" length="0">
      <dxf/>
    </rfmt>
    <rfmt sheetId="2" sqref="DZ759" start="0" length="0">
      <dxf/>
    </rfmt>
    <rfmt sheetId="2" sqref="EA759" start="0" length="0">
      <dxf/>
    </rfmt>
    <rfmt sheetId="2" sqref="EB759" start="0" length="0">
      <dxf/>
    </rfmt>
    <rfmt sheetId="2" sqref="EC759" start="0" length="0">
      <dxf/>
    </rfmt>
    <rfmt sheetId="2" sqref="ED759" start="0" length="0">
      <dxf/>
    </rfmt>
    <rfmt sheetId="2" sqref="EE759" start="0" length="0">
      <dxf/>
    </rfmt>
    <rfmt sheetId="2" sqref="EF759" start="0" length="0">
      <dxf/>
    </rfmt>
    <rfmt sheetId="2" sqref="EG759" start="0" length="0">
      <dxf/>
    </rfmt>
    <rfmt sheetId="2" sqref="EH759" start="0" length="0">
      <dxf/>
    </rfmt>
    <rfmt sheetId="2" sqref="EI759" start="0" length="0">
      <dxf/>
    </rfmt>
    <rfmt sheetId="2" sqref="EJ759" start="0" length="0">
      <dxf/>
    </rfmt>
    <rfmt sheetId="2" sqref="EK759" start="0" length="0">
      <dxf/>
    </rfmt>
    <rfmt sheetId="2" sqref="EL759" start="0" length="0">
      <dxf/>
    </rfmt>
    <rfmt sheetId="2" sqref="EM759" start="0" length="0">
      <dxf/>
    </rfmt>
    <rfmt sheetId="2" sqref="EN759" start="0" length="0">
      <dxf/>
    </rfmt>
    <rfmt sheetId="2" sqref="EO759" start="0" length="0">
      <dxf/>
    </rfmt>
    <rfmt sheetId="2" sqref="EP759" start="0" length="0">
      <dxf/>
    </rfmt>
    <rfmt sheetId="2" sqref="EQ759" start="0" length="0">
      <dxf/>
    </rfmt>
    <rfmt sheetId="2" sqref="ER759" start="0" length="0">
      <dxf/>
    </rfmt>
    <rfmt sheetId="2" sqref="ES759" start="0" length="0">
      <dxf/>
    </rfmt>
    <rfmt sheetId="2" sqref="ET759" start="0" length="0">
      <dxf/>
    </rfmt>
    <rfmt sheetId="2" sqref="EU759" start="0" length="0">
      <dxf/>
    </rfmt>
    <rfmt sheetId="2" sqref="EV759" start="0" length="0">
      <dxf/>
    </rfmt>
    <rfmt sheetId="2" sqref="EW759" start="0" length="0">
      <dxf/>
    </rfmt>
    <rfmt sheetId="2" sqref="EX759" start="0" length="0">
      <dxf/>
    </rfmt>
    <rfmt sheetId="2" sqref="EY759" start="0" length="0">
      <dxf/>
    </rfmt>
    <rfmt sheetId="2" sqref="EZ759" start="0" length="0">
      <dxf/>
    </rfmt>
    <rfmt sheetId="2" sqref="FA759" start="0" length="0">
      <dxf/>
    </rfmt>
    <rfmt sheetId="2" sqref="FB759" start="0" length="0">
      <dxf/>
    </rfmt>
    <rfmt sheetId="2" sqref="FC759" start="0" length="0">
      <dxf/>
    </rfmt>
    <rfmt sheetId="2" sqref="FD759" start="0" length="0">
      <dxf/>
    </rfmt>
    <rfmt sheetId="2" sqref="FE759" start="0" length="0">
      <dxf/>
    </rfmt>
    <rfmt sheetId="2" sqref="FF759" start="0" length="0">
      <dxf/>
    </rfmt>
    <rfmt sheetId="2" sqref="FG759" start="0" length="0">
      <dxf/>
    </rfmt>
    <rfmt sheetId="2" sqref="FH759" start="0" length="0">
      <dxf/>
    </rfmt>
    <rfmt sheetId="2" sqref="FI759" start="0" length="0">
      <dxf/>
    </rfmt>
    <rfmt sheetId="2" sqref="FJ759" start="0" length="0">
      <dxf/>
    </rfmt>
    <rfmt sheetId="2" sqref="FK759" start="0" length="0">
      <dxf/>
    </rfmt>
    <rfmt sheetId="2" sqref="FL759" start="0" length="0">
      <dxf/>
    </rfmt>
    <rfmt sheetId="2" sqref="FM759" start="0" length="0">
      <dxf/>
    </rfmt>
    <rfmt sheetId="2" sqref="FN759" start="0" length="0">
      <dxf/>
    </rfmt>
    <rfmt sheetId="2" sqref="FO759" start="0" length="0">
      <dxf/>
    </rfmt>
    <rfmt sheetId="2" sqref="FP759" start="0" length="0">
      <dxf/>
    </rfmt>
    <rfmt sheetId="2" sqref="FQ759" start="0" length="0">
      <dxf/>
    </rfmt>
    <rfmt sheetId="2" sqref="FR759" start="0" length="0">
      <dxf/>
    </rfmt>
    <rfmt sheetId="2" sqref="FS759" start="0" length="0">
      <dxf/>
    </rfmt>
    <rfmt sheetId="2" sqref="FT759" start="0" length="0">
      <dxf/>
    </rfmt>
    <rfmt sheetId="2" sqref="FU759" start="0" length="0">
      <dxf/>
    </rfmt>
    <rfmt sheetId="2" sqref="FV759" start="0" length="0">
      <dxf/>
    </rfmt>
    <rfmt sheetId="2" sqref="FW759" start="0" length="0">
      <dxf/>
    </rfmt>
    <rfmt sheetId="2" sqref="FX759" start="0" length="0">
      <dxf/>
    </rfmt>
    <rfmt sheetId="2" sqref="FY759" start="0" length="0">
      <dxf/>
    </rfmt>
    <rfmt sheetId="2" sqref="FZ759" start="0" length="0">
      <dxf/>
    </rfmt>
    <rfmt sheetId="2" sqref="GA759" start="0" length="0">
      <dxf/>
    </rfmt>
    <rfmt sheetId="2" sqref="GB759" start="0" length="0">
      <dxf/>
    </rfmt>
    <rfmt sheetId="2" sqref="GC759" start="0" length="0">
      <dxf/>
    </rfmt>
    <rfmt sheetId="2" sqref="GD759" start="0" length="0">
      <dxf/>
    </rfmt>
    <rfmt sheetId="2" sqref="GE759" start="0" length="0">
      <dxf/>
    </rfmt>
    <rfmt sheetId="2" sqref="GF759" start="0" length="0">
      <dxf/>
    </rfmt>
    <rfmt sheetId="2" sqref="GG759" start="0" length="0">
      <dxf/>
    </rfmt>
    <rfmt sheetId="2" sqref="GH759" start="0" length="0">
      <dxf/>
    </rfmt>
    <rfmt sheetId="2" sqref="GI759" start="0" length="0">
      <dxf/>
    </rfmt>
    <rfmt sheetId="2" sqref="GJ759" start="0" length="0">
      <dxf/>
    </rfmt>
    <rfmt sheetId="2" sqref="GK759" start="0" length="0">
      <dxf/>
    </rfmt>
    <rfmt sheetId="2" sqref="GL759" start="0" length="0">
      <dxf/>
    </rfmt>
    <rfmt sheetId="2" sqref="GM759" start="0" length="0">
      <dxf/>
    </rfmt>
    <rfmt sheetId="2" sqref="GN759" start="0" length="0">
      <dxf/>
    </rfmt>
    <rfmt sheetId="2" sqref="GO759" start="0" length="0">
      <dxf/>
    </rfmt>
    <rfmt sheetId="2" sqref="GP759" start="0" length="0">
      <dxf/>
    </rfmt>
    <rfmt sheetId="2" sqref="GQ759" start="0" length="0">
      <dxf/>
    </rfmt>
    <rfmt sheetId="2" sqref="GR759" start="0" length="0">
      <dxf/>
    </rfmt>
    <rfmt sheetId="2" sqref="GS759" start="0" length="0">
      <dxf/>
    </rfmt>
    <rfmt sheetId="2" sqref="GT759" start="0" length="0">
      <dxf/>
    </rfmt>
    <rfmt sheetId="2" sqref="GU759" start="0" length="0">
      <dxf/>
    </rfmt>
    <rfmt sheetId="2" sqref="GV759" start="0" length="0">
      <dxf/>
    </rfmt>
    <rfmt sheetId="2" sqref="GW759" start="0" length="0">
      <dxf/>
    </rfmt>
    <rfmt sheetId="2" sqref="GX759" start="0" length="0">
      <dxf/>
    </rfmt>
    <rfmt sheetId="2" sqref="GY759" start="0" length="0">
      <dxf/>
    </rfmt>
    <rfmt sheetId="2" sqref="GZ759" start="0" length="0">
      <dxf/>
    </rfmt>
    <rfmt sheetId="2" sqref="HA759" start="0" length="0">
      <dxf/>
    </rfmt>
    <rfmt sheetId="2" sqref="HB759" start="0" length="0">
      <dxf/>
    </rfmt>
    <rfmt sheetId="2" sqref="HC759" start="0" length="0">
      <dxf/>
    </rfmt>
    <rfmt sheetId="2" sqref="HD759" start="0" length="0">
      <dxf/>
    </rfmt>
    <rfmt sheetId="2" sqref="HE759" start="0" length="0">
      <dxf/>
    </rfmt>
    <rfmt sheetId="2" sqref="HF759" start="0" length="0">
      <dxf/>
    </rfmt>
    <rfmt sheetId="2" sqref="HG759" start="0" length="0">
      <dxf/>
    </rfmt>
    <rfmt sheetId="2" sqref="HH759" start="0" length="0">
      <dxf/>
    </rfmt>
    <rfmt sheetId="2" sqref="HI759" start="0" length="0">
      <dxf/>
    </rfmt>
    <rfmt sheetId="2" sqref="HJ759" start="0" length="0">
      <dxf/>
    </rfmt>
    <rfmt sheetId="2" sqref="HK759" start="0" length="0">
      <dxf/>
    </rfmt>
    <rfmt sheetId="2" sqref="HL759" start="0" length="0">
      <dxf/>
    </rfmt>
    <rfmt sheetId="2" sqref="HM759" start="0" length="0">
      <dxf/>
    </rfmt>
    <rfmt sheetId="2" sqref="HN759" start="0" length="0">
      <dxf/>
    </rfmt>
    <rfmt sheetId="2" sqref="HO759" start="0" length="0">
      <dxf/>
    </rfmt>
    <rfmt sheetId="2" sqref="HP759" start="0" length="0">
      <dxf/>
    </rfmt>
    <rfmt sheetId="2" sqref="HQ759" start="0" length="0">
      <dxf/>
    </rfmt>
    <rfmt sheetId="2" sqref="HR759" start="0" length="0">
      <dxf/>
    </rfmt>
    <rfmt sheetId="2" sqref="HS759" start="0" length="0">
      <dxf/>
    </rfmt>
    <rfmt sheetId="2" sqref="HT759" start="0" length="0">
      <dxf/>
    </rfmt>
    <rfmt sheetId="2" sqref="HU759" start="0" length="0">
      <dxf/>
    </rfmt>
    <rfmt sheetId="2" sqref="HV759" start="0" length="0">
      <dxf/>
    </rfmt>
    <rfmt sheetId="2" sqref="HW759" start="0" length="0">
      <dxf/>
    </rfmt>
    <rfmt sheetId="2" sqref="HX759" start="0" length="0">
      <dxf/>
    </rfmt>
    <rfmt sheetId="2" sqref="HY759" start="0" length="0">
      <dxf/>
    </rfmt>
    <rfmt sheetId="2" sqref="HZ759" start="0" length="0">
      <dxf/>
    </rfmt>
    <rfmt sheetId="2" sqref="IA759" start="0" length="0">
      <dxf/>
    </rfmt>
    <rfmt sheetId="2" sqref="IB759" start="0" length="0">
      <dxf/>
    </rfmt>
    <rfmt sheetId="2" sqref="IC759" start="0" length="0">
      <dxf/>
    </rfmt>
    <rfmt sheetId="2" sqref="ID759" start="0" length="0">
      <dxf/>
    </rfmt>
    <rfmt sheetId="2" sqref="IE759" start="0" length="0">
      <dxf/>
    </rfmt>
    <rfmt sheetId="2" sqref="IF759" start="0" length="0">
      <dxf/>
    </rfmt>
    <rfmt sheetId="2" sqref="IG759" start="0" length="0">
      <dxf/>
    </rfmt>
    <rfmt sheetId="2" sqref="IH759" start="0" length="0">
      <dxf/>
    </rfmt>
    <rfmt sheetId="2" sqref="II759" start="0" length="0">
      <dxf/>
    </rfmt>
    <rfmt sheetId="2" sqref="IJ759" start="0" length="0">
      <dxf/>
    </rfmt>
    <rfmt sheetId="2" sqref="IK759" start="0" length="0">
      <dxf/>
    </rfmt>
    <rfmt sheetId="2" sqref="IL759" start="0" length="0">
      <dxf/>
    </rfmt>
    <rfmt sheetId="2" sqref="IM759" start="0" length="0">
      <dxf/>
    </rfmt>
    <rfmt sheetId="2" sqref="IN759" start="0" length="0">
      <dxf/>
    </rfmt>
    <rfmt sheetId="2" sqref="IO759" start="0" length="0">
      <dxf/>
    </rfmt>
    <rfmt sheetId="2" sqref="IP759" start="0" length="0">
      <dxf/>
    </rfmt>
    <rfmt sheetId="2" sqref="IQ759" start="0" length="0">
      <dxf/>
    </rfmt>
    <rfmt sheetId="2" sqref="IR759" start="0" length="0">
      <dxf/>
    </rfmt>
    <rfmt sheetId="2" sqref="IS759" start="0" length="0">
      <dxf/>
    </rfmt>
    <rfmt sheetId="2" sqref="IT759" start="0" length="0">
      <dxf/>
    </rfmt>
    <rfmt sheetId="2" sqref="IU759" start="0" length="0">
      <dxf/>
    </rfmt>
    <rfmt sheetId="2" sqref="IV759" start="0" length="0">
      <dxf/>
    </rfmt>
    <rfmt sheetId="2" sqref="IW759" start="0" length="0">
      <dxf/>
    </rfmt>
    <rfmt sheetId="2" sqref="IX759" start="0" length="0">
      <dxf/>
    </rfmt>
    <rfmt sheetId="2" sqref="IY759" start="0" length="0">
      <dxf/>
    </rfmt>
    <rfmt sheetId="2" sqref="IZ759" start="0" length="0">
      <dxf/>
    </rfmt>
    <rfmt sheetId="2" sqref="JA759" start="0" length="0">
      <dxf/>
    </rfmt>
    <rfmt sheetId="2" sqref="JB759" start="0" length="0">
      <dxf/>
    </rfmt>
    <rfmt sheetId="2" sqref="JC759" start="0" length="0">
      <dxf/>
    </rfmt>
    <rfmt sheetId="2" sqref="JD759" start="0" length="0">
      <dxf/>
    </rfmt>
    <rfmt sheetId="2" sqref="JE759" start="0" length="0">
      <dxf/>
    </rfmt>
    <rfmt sheetId="2" sqref="JF759" start="0" length="0">
      <dxf/>
    </rfmt>
    <rfmt sheetId="2" sqref="JG759" start="0" length="0">
      <dxf/>
    </rfmt>
    <rfmt sheetId="2" sqref="JH759" start="0" length="0">
      <dxf/>
    </rfmt>
    <rfmt sheetId="2" sqref="JI759" start="0" length="0">
      <dxf/>
    </rfmt>
    <rfmt sheetId="2" sqref="JJ759" start="0" length="0">
      <dxf/>
    </rfmt>
    <rfmt sheetId="2" sqref="JK759" start="0" length="0">
      <dxf/>
    </rfmt>
    <rfmt sheetId="2" sqref="JL759" start="0" length="0">
      <dxf/>
    </rfmt>
    <rfmt sheetId="2" sqref="JM759" start="0" length="0">
      <dxf/>
    </rfmt>
    <rfmt sheetId="2" sqref="JN759" start="0" length="0">
      <dxf/>
    </rfmt>
    <rfmt sheetId="2" sqref="JO759" start="0" length="0">
      <dxf/>
    </rfmt>
    <rfmt sheetId="2" sqref="JP759" start="0" length="0">
      <dxf/>
    </rfmt>
    <rfmt sheetId="2" sqref="JQ759" start="0" length="0">
      <dxf/>
    </rfmt>
    <rfmt sheetId="2" sqref="JR759" start="0" length="0">
      <dxf/>
    </rfmt>
    <rfmt sheetId="2" sqref="JS759" start="0" length="0">
      <dxf/>
    </rfmt>
    <rfmt sheetId="2" sqref="JT759" start="0" length="0">
      <dxf/>
    </rfmt>
    <rfmt sheetId="2" sqref="JU759" start="0" length="0">
      <dxf/>
    </rfmt>
    <rfmt sheetId="2" sqref="JV759" start="0" length="0">
      <dxf/>
    </rfmt>
    <rfmt sheetId="2" sqref="JW759" start="0" length="0">
      <dxf/>
    </rfmt>
    <rfmt sheetId="2" sqref="JX759" start="0" length="0">
      <dxf/>
    </rfmt>
    <rfmt sheetId="2" sqref="JY759" start="0" length="0">
      <dxf/>
    </rfmt>
    <rfmt sheetId="2" sqref="JZ759" start="0" length="0">
      <dxf/>
    </rfmt>
    <rfmt sheetId="2" sqref="KA759" start="0" length="0">
      <dxf/>
    </rfmt>
    <rfmt sheetId="2" sqref="KB759" start="0" length="0">
      <dxf/>
    </rfmt>
    <rfmt sheetId="2" sqref="KC759" start="0" length="0">
      <dxf/>
    </rfmt>
    <rfmt sheetId="2" sqref="KD759" start="0" length="0">
      <dxf/>
    </rfmt>
    <rfmt sheetId="2" sqref="KE759" start="0" length="0">
      <dxf/>
    </rfmt>
    <rfmt sheetId="2" sqref="KF759" start="0" length="0">
      <dxf/>
    </rfmt>
    <rfmt sheetId="2" sqref="KG759" start="0" length="0">
      <dxf/>
    </rfmt>
    <rfmt sheetId="2" sqref="KH759" start="0" length="0">
      <dxf/>
    </rfmt>
    <rfmt sheetId="2" sqref="KI759" start="0" length="0">
      <dxf/>
    </rfmt>
    <rfmt sheetId="2" sqref="KJ759" start="0" length="0">
      <dxf/>
    </rfmt>
    <rfmt sheetId="2" sqref="KK759" start="0" length="0">
      <dxf/>
    </rfmt>
    <rfmt sheetId="2" sqref="KL759" start="0" length="0">
      <dxf/>
    </rfmt>
    <rfmt sheetId="2" sqref="KM759" start="0" length="0">
      <dxf/>
    </rfmt>
    <rfmt sheetId="2" sqref="KN759" start="0" length="0">
      <dxf/>
    </rfmt>
    <rfmt sheetId="2" sqref="KO759" start="0" length="0">
      <dxf/>
    </rfmt>
    <rfmt sheetId="2" sqref="KP759" start="0" length="0">
      <dxf/>
    </rfmt>
    <rfmt sheetId="2" sqref="KQ759" start="0" length="0">
      <dxf/>
    </rfmt>
    <rfmt sheetId="2" sqref="KR759" start="0" length="0">
      <dxf/>
    </rfmt>
    <rfmt sheetId="2" sqref="KS759" start="0" length="0">
      <dxf/>
    </rfmt>
    <rfmt sheetId="2" sqref="KT759" start="0" length="0">
      <dxf/>
    </rfmt>
    <rfmt sheetId="2" sqref="KU759" start="0" length="0">
      <dxf/>
    </rfmt>
    <rfmt sheetId="2" sqref="KV759" start="0" length="0">
      <dxf/>
    </rfmt>
    <rfmt sheetId="2" sqref="KW759" start="0" length="0">
      <dxf/>
    </rfmt>
    <rfmt sheetId="2" sqref="KX759" start="0" length="0">
      <dxf/>
    </rfmt>
    <rfmt sheetId="2" sqref="KY759" start="0" length="0">
      <dxf/>
    </rfmt>
    <rfmt sheetId="2" sqref="KZ759" start="0" length="0">
      <dxf/>
    </rfmt>
    <rfmt sheetId="2" sqref="LA759" start="0" length="0">
      <dxf/>
    </rfmt>
    <rfmt sheetId="2" sqref="LB759" start="0" length="0">
      <dxf/>
    </rfmt>
    <rfmt sheetId="2" sqref="LC759" start="0" length="0">
      <dxf/>
    </rfmt>
    <rfmt sheetId="2" sqref="LD759" start="0" length="0">
      <dxf/>
    </rfmt>
    <rfmt sheetId="2" sqref="LE759" start="0" length="0">
      <dxf/>
    </rfmt>
    <rfmt sheetId="2" sqref="LF759" start="0" length="0">
      <dxf/>
    </rfmt>
    <rfmt sheetId="2" sqref="LG759" start="0" length="0">
      <dxf/>
    </rfmt>
    <rfmt sheetId="2" sqref="LH759" start="0" length="0">
      <dxf/>
    </rfmt>
    <rfmt sheetId="2" sqref="LI759" start="0" length="0">
      <dxf/>
    </rfmt>
    <rfmt sheetId="2" sqref="LJ759" start="0" length="0">
      <dxf/>
    </rfmt>
    <rfmt sheetId="2" sqref="LK759" start="0" length="0">
      <dxf/>
    </rfmt>
    <rfmt sheetId="2" sqref="LL759" start="0" length="0">
      <dxf/>
    </rfmt>
    <rfmt sheetId="2" sqref="LM759" start="0" length="0">
      <dxf/>
    </rfmt>
    <rfmt sheetId="2" sqref="LN759" start="0" length="0">
      <dxf/>
    </rfmt>
    <rfmt sheetId="2" sqref="LO759" start="0" length="0">
      <dxf/>
    </rfmt>
    <rfmt sheetId="2" sqref="LP759" start="0" length="0">
      <dxf/>
    </rfmt>
    <rfmt sheetId="2" sqref="LQ759" start="0" length="0">
      <dxf/>
    </rfmt>
    <rfmt sheetId="2" sqref="LR759" start="0" length="0">
      <dxf/>
    </rfmt>
    <rfmt sheetId="2" sqref="LS759" start="0" length="0">
      <dxf/>
    </rfmt>
    <rfmt sheetId="2" sqref="LT759" start="0" length="0">
      <dxf/>
    </rfmt>
    <rfmt sheetId="2" sqref="LU759" start="0" length="0">
      <dxf/>
    </rfmt>
    <rfmt sheetId="2" sqref="LV759" start="0" length="0">
      <dxf/>
    </rfmt>
    <rfmt sheetId="2" sqref="LW759" start="0" length="0">
      <dxf/>
    </rfmt>
    <rfmt sheetId="2" sqref="LX759" start="0" length="0">
      <dxf/>
    </rfmt>
    <rfmt sheetId="2" sqref="LY759" start="0" length="0">
      <dxf/>
    </rfmt>
    <rfmt sheetId="2" sqref="LZ759" start="0" length="0">
      <dxf/>
    </rfmt>
    <rfmt sheetId="2" sqref="MA759" start="0" length="0">
      <dxf/>
    </rfmt>
    <rfmt sheetId="2" sqref="MB759" start="0" length="0">
      <dxf/>
    </rfmt>
  </rrc>
  <rcc rId="1702" sId="2">
    <oc r="H743">
      <f>H740-K743</f>
    </oc>
    <nc r="H743">
      <f>H742-K743</f>
    </nc>
  </rcc>
  <rcc rId="1703" sId="2">
    <oc r="H745">
      <f>H742-K745</f>
    </oc>
    <nc r="H745">
      <f>H743-K745</f>
    </nc>
  </rcc>
  <rrc rId="1704" sId="2" ref="A748:XFD749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05" sheetId="2" source="A761:XFD762" destination="A748:XFD749" sourceSheetId="2">
    <rfmt sheetId="2" xfDxf="1" sqref="A748:XFD748" start="0" length="0">
      <dxf>
        <font>
          <sz val="10"/>
          <name val="Arial"/>
          <scheme val="none"/>
        </font>
        <alignment horizontal="center" readingOrder="0"/>
      </dxf>
    </rfmt>
    <rfmt sheetId="2" xfDxf="1" sqref="A749:XFD749" start="0" length="0">
      <dxf>
        <font>
          <sz val="10"/>
          <name val="Arial"/>
          <scheme val="none"/>
        </font>
        <alignment horizontal="center" readingOrder="0"/>
      </dxf>
    </rfmt>
    <rfmt sheetId="2" sqref="A74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48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4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4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4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4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48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4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4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4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4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48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4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48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48" start="0" length="0">
      <dxf>
        <numFmt numFmtId="176" formatCode="m/d;@"/>
      </dxf>
    </rfmt>
    <rfmt sheetId="2" sqref="P74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48" start="0" length="0">
      <dxf/>
    </rfmt>
    <rfmt sheetId="2" sqref="U748" start="0" length="0">
      <dxf/>
    </rfmt>
    <rfmt sheetId="2" sqref="V748" start="0" length="0">
      <dxf/>
    </rfmt>
    <rfmt sheetId="2" sqref="W748" start="0" length="0">
      <dxf/>
    </rfmt>
    <rfmt sheetId="2" sqref="X748" start="0" length="0">
      <dxf/>
    </rfmt>
    <rfmt sheetId="2" sqref="Y748" start="0" length="0">
      <dxf/>
    </rfmt>
    <rfmt sheetId="2" sqref="Z748" start="0" length="0">
      <dxf/>
    </rfmt>
    <rfmt sheetId="2" sqref="AA748" start="0" length="0">
      <dxf/>
    </rfmt>
    <rfmt sheetId="2" sqref="AB748" start="0" length="0">
      <dxf/>
    </rfmt>
    <rfmt sheetId="2" sqref="AC748" start="0" length="0">
      <dxf/>
    </rfmt>
    <rfmt sheetId="2" sqref="AD748" start="0" length="0">
      <dxf/>
    </rfmt>
    <rfmt sheetId="2" sqref="AE748" start="0" length="0">
      <dxf/>
    </rfmt>
    <rfmt sheetId="2" sqref="AF748" start="0" length="0">
      <dxf/>
    </rfmt>
    <rfmt sheetId="2" sqref="AG748" start="0" length="0">
      <dxf/>
    </rfmt>
    <rfmt sheetId="2" sqref="AH748" start="0" length="0">
      <dxf/>
    </rfmt>
    <rfmt sheetId="2" sqref="AI748" start="0" length="0">
      <dxf/>
    </rfmt>
    <rfmt sheetId="2" sqref="AJ748" start="0" length="0">
      <dxf/>
    </rfmt>
    <rfmt sheetId="2" sqref="AK748" start="0" length="0">
      <dxf/>
    </rfmt>
    <rfmt sheetId="2" sqref="AL748" start="0" length="0">
      <dxf/>
    </rfmt>
    <rfmt sheetId="2" sqref="AM748" start="0" length="0">
      <dxf/>
    </rfmt>
    <rfmt sheetId="2" sqref="AN748" start="0" length="0">
      <dxf/>
    </rfmt>
    <rfmt sheetId="2" sqref="AO748" start="0" length="0">
      <dxf/>
    </rfmt>
    <rfmt sheetId="2" sqref="AP748" start="0" length="0">
      <dxf/>
    </rfmt>
    <rfmt sheetId="2" sqref="AQ748" start="0" length="0">
      <dxf/>
    </rfmt>
    <rfmt sheetId="2" sqref="AR748" start="0" length="0">
      <dxf/>
    </rfmt>
    <rfmt sheetId="2" sqref="AS748" start="0" length="0">
      <dxf/>
    </rfmt>
    <rfmt sheetId="2" sqref="AT748" start="0" length="0">
      <dxf/>
    </rfmt>
    <rfmt sheetId="2" sqref="AU748" start="0" length="0">
      <dxf/>
    </rfmt>
    <rfmt sheetId="2" sqref="AV748" start="0" length="0">
      <dxf/>
    </rfmt>
    <rfmt sheetId="2" sqref="AW748" start="0" length="0">
      <dxf/>
    </rfmt>
    <rfmt sheetId="2" sqref="AX748" start="0" length="0">
      <dxf/>
    </rfmt>
    <rfmt sheetId="2" sqref="AY748" start="0" length="0">
      <dxf/>
    </rfmt>
    <rfmt sheetId="2" sqref="AZ748" start="0" length="0">
      <dxf/>
    </rfmt>
    <rfmt sheetId="2" sqref="BA748" start="0" length="0">
      <dxf/>
    </rfmt>
    <rfmt sheetId="2" sqref="BB748" start="0" length="0">
      <dxf/>
    </rfmt>
    <rfmt sheetId="2" sqref="BC748" start="0" length="0">
      <dxf/>
    </rfmt>
    <rfmt sheetId="2" sqref="BD748" start="0" length="0">
      <dxf/>
    </rfmt>
    <rfmt sheetId="2" sqref="BE748" start="0" length="0">
      <dxf/>
    </rfmt>
    <rfmt sheetId="2" sqref="BF748" start="0" length="0">
      <dxf/>
    </rfmt>
    <rfmt sheetId="2" sqref="BG748" start="0" length="0">
      <dxf/>
    </rfmt>
    <rfmt sheetId="2" sqref="BH748" start="0" length="0">
      <dxf/>
    </rfmt>
    <rfmt sheetId="2" sqref="BI748" start="0" length="0">
      <dxf/>
    </rfmt>
    <rfmt sheetId="2" sqref="BJ748" start="0" length="0">
      <dxf/>
    </rfmt>
    <rfmt sheetId="2" sqref="BK748" start="0" length="0">
      <dxf/>
    </rfmt>
    <rfmt sheetId="2" sqref="BL748" start="0" length="0">
      <dxf/>
    </rfmt>
    <rfmt sheetId="2" sqref="BM748" start="0" length="0">
      <dxf/>
    </rfmt>
    <rfmt sheetId="2" sqref="BN748" start="0" length="0">
      <dxf/>
    </rfmt>
    <rfmt sheetId="2" sqref="BO748" start="0" length="0">
      <dxf/>
    </rfmt>
    <rfmt sheetId="2" sqref="BP748" start="0" length="0">
      <dxf/>
    </rfmt>
    <rfmt sheetId="2" sqref="BQ748" start="0" length="0">
      <dxf/>
    </rfmt>
    <rfmt sheetId="2" sqref="BR748" start="0" length="0">
      <dxf/>
    </rfmt>
    <rfmt sheetId="2" sqref="BS748" start="0" length="0">
      <dxf/>
    </rfmt>
    <rfmt sheetId="2" sqref="BT748" start="0" length="0">
      <dxf/>
    </rfmt>
    <rfmt sheetId="2" sqref="BU748" start="0" length="0">
      <dxf/>
    </rfmt>
    <rfmt sheetId="2" sqref="BV748" start="0" length="0">
      <dxf/>
    </rfmt>
    <rfmt sheetId="2" sqref="BW748" start="0" length="0">
      <dxf/>
    </rfmt>
    <rfmt sheetId="2" sqref="BX748" start="0" length="0">
      <dxf/>
    </rfmt>
    <rfmt sheetId="2" sqref="BY748" start="0" length="0">
      <dxf/>
    </rfmt>
    <rfmt sheetId="2" sqref="BZ748" start="0" length="0">
      <dxf/>
    </rfmt>
    <rfmt sheetId="2" sqref="CA748" start="0" length="0">
      <dxf/>
    </rfmt>
    <rfmt sheetId="2" sqref="CB748" start="0" length="0">
      <dxf/>
    </rfmt>
    <rfmt sheetId="2" sqref="CC748" start="0" length="0">
      <dxf/>
    </rfmt>
    <rfmt sheetId="2" sqref="CD748" start="0" length="0">
      <dxf/>
    </rfmt>
    <rfmt sheetId="2" sqref="CE748" start="0" length="0">
      <dxf/>
    </rfmt>
    <rfmt sheetId="2" sqref="CF748" start="0" length="0">
      <dxf/>
    </rfmt>
    <rfmt sheetId="2" sqref="CG748" start="0" length="0">
      <dxf/>
    </rfmt>
    <rfmt sheetId="2" sqref="CH748" start="0" length="0">
      <dxf/>
    </rfmt>
    <rfmt sheetId="2" sqref="CI748" start="0" length="0">
      <dxf/>
    </rfmt>
    <rfmt sheetId="2" sqref="CJ748" start="0" length="0">
      <dxf/>
    </rfmt>
    <rfmt sheetId="2" sqref="CK748" start="0" length="0">
      <dxf/>
    </rfmt>
    <rfmt sheetId="2" sqref="CL748" start="0" length="0">
      <dxf/>
    </rfmt>
    <rfmt sheetId="2" sqref="CM748" start="0" length="0">
      <dxf/>
    </rfmt>
    <rfmt sheetId="2" sqref="CN748" start="0" length="0">
      <dxf/>
    </rfmt>
    <rfmt sheetId="2" sqref="CO748" start="0" length="0">
      <dxf/>
    </rfmt>
    <rfmt sheetId="2" sqref="CP748" start="0" length="0">
      <dxf/>
    </rfmt>
    <rfmt sheetId="2" sqref="CQ748" start="0" length="0">
      <dxf/>
    </rfmt>
    <rfmt sheetId="2" sqref="CR748" start="0" length="0">
      <dxf/>
    </rfmt>
    <rfmt sheetId="2" sqref="CS748" start="0" length="0">
      <dxf/>
    </rfmt>
    <rfmt sheetId="2" sqref="CT748" start="0" length="0">
      <dxf/>
    </rfmt>
    <rfmt sheetId="2" sqref="CU748" start="0" length="0">
      <dxf/>
    </rfmt>
    <rfmt sheetId="2" sqref="CV748" start="0" length="0">
      <dxf/>
    </rfmt>
    <rfmt sheetId="2" sqref="CW748" start="0" length="0">
      <dxf/>
    </rfmt>
    <rfmt sheetId="2" sqref="CX748" start="0" length="0">
      <dxf/>
    </rfmt>
    <rfmt sheetId="2" sqref="CY748" start="0" length="0">
      <dxf/>
    </rfmt>
    <rfmt sheetId="2" sqref="CZ748" start="0" length="0">
      <dxf/>
    </rfmt>
    <rfmt sheetId="2" sqref="DA748" start="0" length="0">
      <dxf/>
    </rfmt>
    <rfmt sheetId="2" sqref="DB748" start="0" length="0">
      <dxf/>
    </rfmt>
    <rfmt sheetId="2" sqref="DC748" start="0" length="0">
      <dxf/>
    </rfmt>
    <rfmt sheetId="2" sqref="DD748" start="0" length="0">
      <dxf/>
    </rfmt>
    <rfmt sheetId="2" sqref="DE748" start="0" length="0">
      <dxf/>
    </rfmt>
    <rfmt sheetId="2" sqref="DF748" start="0" length="0">
      <dxf/>
    </rfmt>
    <rfmt sheetId="2" sqref="DG748" start="0" length="0">
      <dxf/>
    </rfmt>
    <rfmt sheetId="2" sqref="DH748" start="0" length="0">
      <dxf/>
    </rfmt>
    <rfmt sheetId="2" sqref="DI748" start="0" length="0">
      <dxf/>
    </rfmt>
    <rfmt sheetId="2" sqref="DJ748" start="0" length="0">
      <dxf/>
    </rfmt>
    <rfmt sheetId="2" sqref="DK748" start="0" length="0">
      <dxf/>
    </rfmt>
    <rfmt sheetId="2" sqref="DL748" start="0" length="0">
      <dxf/>
    </rfmt>
    <rfmt sheetId="2" sqref="DM748" start="0" length="0">
      <dxf/>
    </rfmt>
    <rfmt sheetId="2" sqref="DN748" start="0" length="0">
      <dxf/>
    </rfmt>
    <rfmt sheetId="2" sqref="DO748" start="0" length="0">
      <dxf/>
    </rfmt>
    <rfmt sheetId="2" sqref="DP748" start="0" length="0">
      <dxf/>
    </rfmt>
    <rfmt sheetId="2" sqref="DQ748" start="0" length="0">
      <dxf/>
    </rfmt>
    <rfmt sheetId="2" sqref="DR748" start="0" length="0">
      <dxf/>
    </rfmt>
    <rfmt sheetId="2" sqref="DS748" start="0" length="0">
      <dxf/>
    </rfmt>
    <rfmt sheetId="2" sqref="DT748" start="0" length="0">
      <dxf/>
    </rfmt>
    <rfmt sheetId="2" sqref="DU748" start="0" length="0">
      <dxf/>
    </rfmt>
    <rfmt sheetId="2" sqref="DV748" start="0" length="0">
      <dxf/>
    </rfmt>
    <rfmt sheetId="2" sqref="DW748" start="0" length="0">
      <dxf/>
    </rfmt>
    <rfmt sheetId="2" sqref="DX748" start="0" length="0">
      <dxf/>
    </rfmt>
    <rfmt sheetId="2" sqref="DY748" start="0" length="0">
      <dxf/>
    </rfmt>
    <rfmt sheetId="2" sqref="DZ748" start="0" length="0">
      <dxf/>
    </rfmt>
    <rfmt sheetId="2" sqref="EA748" start="0" length="0">
      <dxf/>
    </rfmt>
    <rfmt sheetId="2" sqref="EB748" start="0" length="0">
      <dxf/>
    </rfmt>
    <rfmt sheetId="2" sqref="EC748" start="0" length="0">
      <dxf/>
    </rfmt>
    <rfmt sheetId="2" sqref="ED748" start="0" length="0">
      <dxf/>
    </rfmt>
    <rfmt sheetId="2" sqref="EE748" start="0" length="0">
      <dxf/>
    </rfmt>
    <rfmt sheetId="2" sqref="EF748" start="0" length="0">
      <dxf/>
    </rfmt>
    <rfmt sheetId="2" sqref="EG748" start="0" length="0">
      <dxf/>
    </rfmt>
    <rfmt sheetId="2" sqref="EH748" start="0" length="0">
      <dxf/>
    </rfmt>
    <rfmt sheetId="2" sqref="EI748" start="0" length="0">
      <dxf/>
    </rfmt>
    <rfmt sheetId="2" sqref="EJ748" start="0" length="0">
      <dxf/>
    </rfmt>
    <rfmt sheetId="2" sqref="EK748" start="0" length="0">
      <dxf/>
    </rfmt>
    <rfmt sheetId="2" sqref="EL748" start="0" length="0">
      <dxf/>
    </rfmt>
    <rfmt sheetId="2" sqref="EM748" start="0" length="0">
      <dxf/>
    </rfmt>
    <rfmt sheetId="2" sqref="EN748" start="0" length="0">
      <dxf/>
    </rfmt>
    <rfmt sheetId="2" sqref="EO748" start="0" length="0">
      <dxf/>
    </rfmt>
    <rfmt sheetId="2" sqref="EP748" start="0" length="0">
      <dxf/>
    </rfmt>
    <rfmt sheetId="2" sqref="EQ748" start="0" length="0">
      <dxf/>
    </rfmt>
    <rfmt sheetId="2" sqref="ER748" start="0" length="0">
      <dxf/>
    </rfmt>
    <rfmt sheetId="2" sqref="ES748" start="0" length="0">
      <dxf/>
    </rfmt>
    <rfmt sheetId="2" sqref="ET748" start="0" length="0">
      <dxf/>
    </rfmt>
    <rfmt sheetId="2" sqref="EU748" start="0" length="0">
      <dxf/>
    </rfmt>
    <rfmt sheetId="2" sqref="EV748" start="0" length="0">
      <dxf/>
    </rfmt>
    <rfmt sheetId="2" sqref="EW748" start="0" length="0">
      <dxf/>
    </rfmt>
    <rfmt sheetId="2" sqref="EX748" start="0" length="0">
      <dxf/>
    </rfmt>
    <rfmt sheetId="2" sqref="EY748" start="0" length="0">
      <dxf/>
    </rfmt>
    <rfmt sheetId="2" sqref="EZ748" start="0" length="0">
      <dxf/>
    </rfmt>
    <rfmt sheetId="2" sqref="FA748" start="0" length="0">
      <dxf/>
    </rfmt>
    <rfmt sheetId="2" sqref="FB748" start="0" length="0">
      <dxf/>
    </rfmt>
    <rfmt sheetId="2" sqref="FC748" start="0" length="0">
      <dxf/>
    </rfmt>
    <rfmt sheetId="2" sqref="FD748" start="0" length="0">
      <dxf/>
    </rfmt>
    <rfmt sheetId="2" sqref="FE748" start="0" length="0">
      <dxf/>
    </rfmt>
    <rfmt sheetId="2" sqref="FF748" start="0" length="0">
      <dxf/>
    </rfmt>
    <rfmt sheetId="2" sqref="FG748" start="0" length="0">
      <dxf/>
    </rfmt>
    <rfmt sheetId="2" sqref="FH748" start="0" length="0">
      <dxf/>
    </rfmt>
    <rfmt sheetId="2" sqref="FI748" start="0" length="0">
      <dxf/>
    </rfmt>
    <rfmt sheetId="2" sqref="FJ748" start="0" length="0">
      <dxf/>
    </rfmt>
    <rfmt sheetId="2" sqref="FK748" start="0" length="0">
      <dxf/>
    </rfmt>
    <rfmt sheetId="2" sqref="FL748" start="0" length="0">
      <dxf/>
    </rfmt>
    <rfmt sheetId="2" sqref="FM748" start="0" length="0">
      <dxf/>
    </rfmt>
    <rfmt sheetId="2" sqref="FN748" start="0" length="0">
      <dxf/>
    </rfmt>
    <rfmt sheetId="2" sqref="FO748" start="0" length="0">
      <dxf/>
    </rfmt>
    <rfmt sheetId="2" sqref="FP748" start="0" length="0">
      <dxf/>
    </rfmt>
    <rfmt sheetId="2" sqref="FQ748" start="0" length="0">
      <dxf/>
    </rfmt>
    <rfmt sheetId="2" sqref="FR748" start="0" length="0">
      <dxf/>
    </rfmt>
    <rfmt sheetId="2" sqref="FS748" start="0" length="0">
      <dxf/>
    </rfmt>
    <rfmt sheetId="2" sqref="FT748" start="0" length="0">
      <dxf/>
    </rfmt>
    <rfmt sheetId="2" sqref="FU748" start="0" length="0">
      <dxf/>
    </rfmt>
    <rfmt sheetId="2" sqref="FV748" start="0" length="0">
      <dxf/>
    </rfmt>
    <rfmt sheetId="2" sqref="FW748" start="0" length="0">
      <dxf/>
    </rfmt>
    <rfmt sheetId="2" sqref="FX748" start="0" length="0">
      <dxf/>
    </rfmt>
    <rfmt sheetId="2" sqref="FY748" start="0" length="0">
      <dxf/>
    </rfmt>
    <rfmt sheetId="2" sqref="FZ748" start="0" length="0">
      <dxf/>
    </rfmt>
    <rfmt sheetId="2" sqref="GA748" start="0" length="0">
      <dxf/>
    </rfmt>
    <rfmt sheetId="2" sqref="GB748" start="0" length="0">
      <dxf/>
    </rfmt>
    <rfmt sheetId="2" sqref="GC748" start="0" length="0">
      <dxf/>
    </rfmt>
    <rfmt sheetId="2" sqref="GD748" start="0" length="0">
      <dxf/>
    </rfmt>
    <rfmt sheetId="2" sqref="GE748" start="0" length="0">
      <dxf/>
    </rfmt>
    <rfmt sheetId="2" sqref="GF748" start="0" length="0">
      <dxf/>
    </rfmt>
    <rfmt sheetId="2" sqref="GG748" start="0" length="0">
      <dxf/>
    </rfmt>
    <rfmt sheetId="2" sqref="GH748" start="0" length="0">
      <dxf/>
    </rfmt>
    <rfmt sheetId="2" sqref="GI748" start="0" length="0">
      <dxf/>
    </rfmt>
    <rfmt sheetId="2" sqref="GJ748" start="0" length="0">
      <dxf/>
    </rfmt>
    <rfmt sheetId="2" sqref="GK748" start="0" length="0">
      <dxf/>
    </rfmt>
    <rfmt sheetId="2" sqref="GL748" start="0" length="0">
      <dxf/>
    </rfmt>
    <rfmt sheetId="2" sqref="GM748" start="0" length="0">
      <dxf/>
    </rfmt>
    <rfmt sheetId="2" sqref="GN748" start="0" length="0">
      <dxf/>
    </rfmt>
    <rfmt sheetId="2" sqref="GO748" start="0" length="0">
      <dxf/>
    </rfmt>
    <rfmt sheetId="2" sqref="GP748" start="0" length="0">
      <dxf/>
    </rfmt>
    <rfmt sheetId="2" sqref="GQ748" start="0" length="0">
      <dxf/>
    </rfmt>
    <rfmt sheetId="2" sqref="GR748" start="0" length="0">
      <dxf/>
    </rfmt>
    <rfmt sheetId="2" sqref="GS748" start="0" length="0">
      <dxf/>
    </rfmt>
    <rfmt sheetId="2" sqref="GT748" start="0" length="0">
      <dxf/>
    </rfmt>
    <rfmt sheetId="2" sqref="GU748" start="0" length="0">
      <dxf/>
    </rfmt>
    <rfmt sheetId="2" sqref="GV748" start="0" length="0">
      <dxf/>
    </rfmt>
    <rfmt sheetId="2" sqref="GW748" start="0" length="0">
      <dxf/>
    </rfmt>
    <rfmt sheetId="2" sqref="GX748" start="0" length="0">
      <dxf/>
    </rfmt>
    <rfmt sheetId="2" sqref="GY748" start="0" length="0">
      <dxf/>
    </rfmt>
    <rfmt sheetId="2" sqref="GZ748" start="0" length="0">
      <dxf/>
    </rfmt>
    <rfmt sheetId="2" sqref="HA748" start="0" length="0">
      <dxf/>
    </rfmt>
    <rfmt sheetId="2" sqref="HB748" start="0" length="0">
      <dxf/>
    </rfmt>
    <rfmt sheetId="2" sqref="HC748" start="0" length="0">
      <dxf/>
    </rfmt>
    <rfmt sheetId="2" sqref="HD748" start="0" length="0">
      <dxf/>
    </rfmt>
    <rfmt sheetId="2" sqref="HE748" start="0" length="0">
      <dxf/>
    </rfmt>
    <rfmt sheetId="2" sqref="HF748" start="0" length="0">
      <dxf/>
    </rfmt>
    <rfmt sheetId="2" sqref="HG748" start="0" length="0">
      <dxf/>
    </rfmt>
    <rfmt sheetId="2" sqref="HH748" start="0" length="0">
      <dxf/>
    </rfmt>
    <rfmt sheetId="2" sqref="HI748" start="0" length="0">
      <dxf/>
    </rfmt>
    <rfmt sheetId="2" sqref="HJ748" start="0" length="0">
      <dxf/>
    </rfmt>
    <rfmt sheetId="2" sqref="HK748" start="0" length="0">
      <dxf/>
    </rfmt>
    <rfmt sheetId="2" sqref="HL748" start="0" length="0">
      <dxf/>
    </rfmt>
    <rfmt sheetId="2" sqref="HM748" start="0" length="0">
      <dxf/>
    </rfmt>
    <rfmt sheetId="2" sqref="HN748" start="0" length="0">
      <dxf/>
    </rfmt>
    <rfmt sheetId="2" sqref="HO748" start="0" length="0">
      <dxf/>
    </rfmt>
    <rfmt sheetId="2" sqref="HP748" start="0" length="0">
      <dxf/>
    </rfmt>
    <rfmt sheetId="2" sqref="HQ748" start="0" length="0">
      <dxf/>
    </rfmt>
    <rfmt sheetId="2" sqref="HR748" start="0" length="0">
      <dxf/>
    </rfmt>
    <rfmt sheetId="2" sqref="HS748" start="0" length="0">
      <dxf/>
    </rfmt>
    <rfmt sheetId="2" sqref="HT748" start="0" length="0">
      <dxf/>
    </rfmt>
    <rfmt sheetId="2" sqref="HU748" start="0" length="0">
      <dxf/>
    </rfmt>
    <rfmt sheetId="2" sqref="HV748" start="0" length="0">
      <dxf/>
    </rfmt>
    <rfmt sheetId="2" sqref="HW748" start="0" length="0">
      <dxf/>
    </rfmt>
    <rfmt sheetId="2" sqref="HX748" start="0" length="0">
      <dxf/>
    </rfmt>
    <rfmt sheetId="2" sqref="HY748" start="0" length="0">
      <dxf/>
    </rfmt>
    <rfmt sheetId="2" sqref="HZ748" start="0" length="0">
      <dxf/>
    </rfmt>
    <rfmt sheetId="2" sqref="IA748" start="0" length="0">
      <dxf/>
    </rfmt>
    <rfmt sheetId="2" sqref="IB748" start="0" length="0">
      <dxf/>
    </rfmt>
    <rfmt sheetId="2" sqref="IC748" start="0" length="0">
      <dxf/>
    </rfmt>
    <rfmt sheetId="2" sqref="ID748" start="0" length="0">
      <dxf/>
    </rfmt>
    <rfmt sheetId="2" sqref="IE748" start="0" length="0">
      <dxf/>
    </rfmt>
    <rfmt sheetId="2" sqref="IF748" start="0" length="0">
      <dxf/>
    </rfmt>
    <rfmt sheetId="2" sqref="IG748" start="0" length="0">
      <dxf/>
    </rfmt>
    <rfmt sheetId="2" sqref="IH748" start="0" length="0">
      <dxf/>
    </rfmt>
    <rfmt sheetId="2" sqref="II748" start="0" length="0">
      <dxf/>
    </rfmt>
    <rfmt sheetId="2" sqref="IJ748" start="0" length="0">
      <dxf/>
    </rfmt>
    <rfmt sheetId="2" sqref="IK748" start="0" length="0">
      <dxf/>
    </rfmt>
    <rfmt sheetId="2" sqref="IL748" start="0" length="0">
      <dxf/>
    </rfmt>
    <rfmt sheetId="2" sqref="IM748" start="0" length="0">
      <dxf/>
    </rfmt>
    <rfmt sheetId="2" sqref="IN748" start="0" length="0">
      <dxf/>
    </rfmt>
    <rfmt sheetId="2" sqref="IO748" start="0" length="0">
      <dxf/>
    </rfmt>
    <rfmt sheetId="2" sqref="IP748" start="0" length="0">
      <dxf/>
    </rfmt>
    <rfmt sheetId="2" sqref="IQ748" start="0" length="0">
      <dxf/>
    </rfmt>
    <rfmt sheetId="2" sqref="IR748" start="0" length="0">
      <dxf/>
    </rfmt>
    <rfmt sheetId="2" sqref="IS748" start="0" length="0">
      <dxf/>
    </rfmt>
    <rfmt sheetId="2" sqref="IT748" start="0" length="0">
      <dxf/>
    </rfmt>
    <rfmt sheetId="2" sqref="IU748" start="0" length="0">
      <dxf/>
    </rfmt>
    <rfmt sheetId="2" sqref="IV748" start="0" length="0">
      <dxf/>
    </rfmt>
    <rfmt sheetId="2" sqref="IW748" start="0" length="0">
      <dxf/>
    </rfmt>
    <rfmt sheetId="2" sqref="IX748" start="0" length="0">
      <dxf/>
    </rfmt>
    <rfmt sheetId="2" sqref="IY748" start="0" length="0">
      <dxf/>
    </rfmt>
    <rfmt sheetId="2" sqref="IZ748" start="0" length="0">
      <dxf/>
    </rfmt>
    <rfmt sheetId="2" sqref="JA748" start="0" length="0">
      <dxf/>
    </rfmt>
    <rfmt sheetId="2" sqref="JB748" start="0" length="0">
      <dxf/>
    </rfmt>
    <rfmt sheetId="2" sqref="JC748" start="0" length="0">
      <dxf/>
    </rfmt>
    <rfmt sheetId="2" sqref="JD748" start="0" length="0">
      <dxf/>
    </rfmt>
    <rfmt sheetId="2" sqref="JE748" start="0" length="0">
      <dxf/>
    </rfmt>
    <rfmt sheetId="2" sqref="JF748" start="0" length="0">
      <dxf/>
    </rfmt>
    <rfmt sheetId="2" sqref="JG748" start="0" length="0">
      <dxf/>
    </rfmt>
    <rfmt sheetId="2" sqref="JH748" start="0" length="0">
      <dxf/>
    </rfmt>
    <rfmt sheetId="2" sqref="JI748" start="0" length="0">
      <dxf/>
    </rfmt>
    <rfmt sheetId="2" sqref="JJ748" start="0" length="0">
      <dxf/>
    </rfmt>
    <rfmt sheetId="2" sqref="JK748" start="0" length="0">
      <dxf/>
    </rfmt>
    <rfmt sheetId="2" sqref="JL748" start="0" length="0">
      <dxf/>
    </rfmt>
    <rfmt sheetId="2" sqref="JM748" start="0" length="0">
      <dxf/>
    </rfmt>
    <rfmt sheetId="2" sqref="JN748" start="0" length="0">
      <dxf/>
    </rfmt>
    <rfmt sheetId="2" sqref="JO748" start="0" length="0">
      <dxf/>
    </rfmt>
    <rfmt sheetId="2" sqref="JP748" start="0" length="0">
      <dxf/>
    </rfmt>
    <rfmt sheetId="2" sqref="JQ748" start="0" length="0">
      <dxf/>
    </rfmt>
    <rfmt sheetId="2" sqref="JR748" start="0" length="0">
      <dxf/>
    </rfmt>
    <rfmt sheetId="2" sqref="JS748" start="0" length="0">
      <dxf/>
    </rfmt>
    <rfmt sheetId="2" sqref="JT748" start="0" length="0">
      <dxf/>
    </rfmt>
    <rfmt sheetId="2" sqref="JU748" start="0" length="0">
      <dxf/>
    </rfmt>
    <rfmt sheetId="2" sqref="JV748" start="0" length="0">
      <dxf/>
    </rfmt>
    <rfmt sheetId="2" sqref="JW748" start="0" length="0">
      <dxf/>
    </rfmt>
    <rfmt sheetId="2" sqref="JX748" start="0" length="0">
      <dxf/>
    </rfmt>
    <rfmt sheetId="2" sqref="JY748" start="0" length="0">
      <dxf/>
    </rfmt>
    <rfmt sheetId="2" sqref="JZ748" start="0" length="0">
      <dxf/>
    </rfmt>
    <rfmt sheetId="2" sqref="KA748" start="0" length="0">
      <dxf/>
    </rfmt>
    <rfmt sheetId="2" sqref="KB748" start="0" length="0">
      <dxf/>
    </rfmt>
    <rfmt sheetId="2" sqref="KC748" start="0" length="0">
      <dxf/>
    </rfmt>
    <rfmt sheetId="2" sqref="KD748" start="0" length="0">
      <dxf/>
    </rfmt>
    <rfmt sheetId="2" sqref="KE748" start="0" length="0">
      <dxf/>
    </rfmt>
    <rfmt sheetId="2" sqref="KF748" start="0" length="0">
      <dxf/>
    </rfmt>
    <rfmt sheetId="2" sqref="KG748" start="0" length="0">
      <dxf/>
    </rfmt>
    <rfmt sheetId="2" sqref="KH748" start="0" length="0">
      <dxf/>
    </rfmt>
    <rfmt sheetId="2" sqref="KI748" start="0" length="0">
      <dxf/>
    </rfmt>
    <rfmt sheetId="2" sqref="KJ748" start="0" length="0">
      <dxf/>
    </rfmt>
    <rfmt sheetId="2" sqref="KK748" start="0" length="0">
      <dxf/>
    </rfmt>
    <rfmt sheetId="2" sqref="KL748" start="0" length="0">
      <dxf/>
    </rfmt>
    <rfmt sheetId="2" sqref="KM748" start="0" length="0">
      <dxf/>
    </rfmt>
    <rfmt sheetId="2" sqref="KN748" start="0" length="0">
      <dxf/>
    </rfmt>
    <rfmt sheetId="2" sqref="KO748" start="0" length="0">
      <dxf/>
    </rfmt>
    <rfmt sheetId="2" sqref="KP748" start="0" length="0">
      <dxf/>
    </rfmt>
    <rfmt sheetId="2" sqref="KQ748" start="0" length="0">
      <dxf/>
    </rfmt>
    <rfmt sheetId="2" sqref="KR748" start="0" length="0">
      <dxf/>
    </rfmt>
    <rfmt sheetId="2" sqref="KS748" start="0" length="0">
      <dxf/>
    </rfmt>
    <rfmt sheetId="2" sqref="KT748" start="0" length="0">
      <dxf/>
    </rfmt>
    <rfmt sheetId="2" sqref="KU748" start="0" length="0">
      <dxf/>
    </rfmt>
    <rfmt sheetId="2" sqref="KV748" start="0" length="0">
      <dxf/>
    </rfmt>
    <rfmt sheetId="2" sqref="KW748" start="0" length="0">
      <dxf/>
    </rfmt>
    <rfmt sheetId="2" sqref="KX748" start="0" length="0">
      <dxf/>
    </rfmt>
    <rfmt sheetId="2" sqref="KY748" start="0" length="0">
      <dxf/>
    </rfmt>
    <rfmt sheetId="2" sqref="KZ748" start="0" length="0">
      <dxf/>
    </rfmt>
    <rfmt sheetId="2" sqref="LA748" start="0" length="0">
      <dxf/>
    </rfmt>
    <rfmt sheetId="2" sqref="LB748" start="0" length="0">
      <dxf/>
    </rfmt>
    <rfmt sheetId="2" sqref="LC748" start="0" length="0">
      <dxf/>
    </rfmt>
    <rfmt sheetId="2" sqref="LD748" start="0" length="0">
      <dxf/>
    </rfmt>
    <rfmt sheetId="2" sqref="LE748" start="0" length="0">
      <dxf/>
    </rfmt>
    <rfmt sheetId="2" sqref="LF748" start="0" length="0">
      <dxf/>
    </rfmt>
    <rfmt sheetId="2" sqref="LG748" start="0" length="0">
      <dxf/>
    </rfmt>
    <rfmt sheetId="2" sqref="LH748" start="0" length="0">
      <dxf/>
    </rfmt>
    <rfmt sheetId="2" sqref="LI748" start="0" length="0">
      <dxf/>
    </rfmt>
    <rfmt sheetId="2" sqref="LJ748" start="0" length="0">
      <dxf/>
    </rfmt>
    <rfmt sheetId="2" sqref="LK748" start="0" length="0">
      <dxf/>
    </rfmt>
    <rfmt sheetId="2" sqref="LL748" start="0" length="0">
      <dxf/>
    </rfmt>
    <rfmt sheetId="2" sqref="LM748" start="0" length="0">
      <dxf/>
    </rfmt>
    <rfmt sheetId="2" sqref="LN748" start="0" length="0">
      <dxf/>
    </rfmt>
    <rfmt sheetId="2" sqref="LO748" start="0" length="0">
      <dxf/>
    </rfmt>
    <rfmt sheetId="2" sqref="LP748" start="0" length="0">
      <dxf/>
    </rfmt>
    <rfmt sheetId="2" sqref="LQ748" start="0" length="0">
      <dxf/>
    </rfmt>
    <rfmt sheetId="2" sqref="LR748" start="0" length="0">
      <dxf/>
    </rfmt>
    <rfmt sheetId="2" sqref="LS748" start="0" length="0">
      <dxf/>
    </rfmt>
    <rfmt sheetId="2" sqref="LT748" start="0" length="0">
      <dxf/>
    </rfmt>
    <rfmt sheetId="2" sqref="LU748" start="0" length="0">
      <dxf/>
    </rfmt>
    <rfmt sheetId="2" sqref="LV748" start="0" length="0">
      <dxf/>
    </rfmt>
    <rfmt sheetId="2" sqref="LW748" start="0" length="0">
      <dxf/>
    </rfmt>
    <rfmt sheetId="2" sqref="LX748" start="0" length="0">
      <dxf/>
    </rfmt>
    <rfmt sheetId="2" sqref="LY748" start="0" length="0">
      <dxf/>
    </rfmt>
    <rfmt sheetId="2" sqref="LZ748" start="0" length="0">
      <dxf/>
    </rfmt>
    <rfmt sheetId="2" sqref="MA748" start="0" length="0">
      <dxf/>
    </rfmt>
    <rfmt sheetId="2" sqref="MB748" start="0" length="0">
      <dxf/>
    </rfmt>
    <rfmt sheetId="2" sqref="A74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49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4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4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4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4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49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4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4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4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4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49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4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49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49" start="0" length="0">
      <dxf>
        <numFmt numFmtId="176" formatCode="m/d;@"/>
      </dxf>
    </rfmt>
    <rfmt sheetId="2" sqref="P74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49" start="0" length="0">
      <dxf/>
    </rfmt>
    <rfmt sheetId="2" sqref="U749" start="0" length="0">
      <dxf/>
    </rfmt>
    <rfmt sheetId="2" sqref="V749" start="0" length="0">
      <dxf/>
    </rfmt>
    <rfmt sheetId="2" sqref="W749" start="0" length="0">
      <dxf/>
    </rfmt>
    <rfmt sheetId="2" sqref="X749" start="0" length="0">
      <dxf/>
    </rfmt>
    <rfmt sheetId="2" sqref="Y749" start="0" length="0">
      <dxf/>
    </rfmt>
    <rfmt sheetId="2" sqref="Z749" start="0" length="0">
      <dxf/>
    </rfmt>
    <rfmt sheetId="2" sqref="AA749" start="0" length="0">
      <dxf/>
    </rfmt>
    <rfmt sheetId="2" sqref="AB749" start="0" length="0">
      <dxf/>
    </rfmt>
    <rfmt sheetId="2" sqref="AC749" start="0" length="0">
      <dxf/>
    </rfmt>
    <rfmt sheetId="2" sqref="AD749" start="0" length="0">
      <dxf/>
    </rfmt>
    <rfmt sheetId="2" sqref="AE749" start="0" length="0">
      <dxf/>
    </rfmt>
    <rfmt sheetId="2" sqref="AF749" start="0" length="0">
      <dxf/>
    </rfmt>
    <rfmt sheetId="2" sqref="AG749" start="0" length="0">
      <dxf/>
    </rfmt>
    <rfmt sheetId="2" sqref="AH749" start="0" length="0">
      <dxf/>
    </rfmt>
    <rfmt sheetId="2" sqref="AI749" start="0" length="0">
      <dxf/>
    </rfmt>
    <rfmt sheetId="2" sqref="AJ749" start="0" length="0">
      <dxf/>
    </rfmt>
    <rfmt sheetId="2" sqref="AK749" start="0" length="0">
      <dxf/>
    </rfmt>
    <rfmt sheetId="2" sqref="AL749" start="0" length="0">
      <dxf/>
    </rfmt>
    <rfmt sheetId="2" sqref="AM749" start="0" length="0">
      <dxf/>
    </rfmt>
    <rfmt sheetId="2" sqref="AN749" start="0" length="0">
      <dxf/>
    </rfmt>
    <rfmt sheetId="2" sqref="AO749" start="0" length="0">
      <dxf/>
    </rfmt>
    <rfmt sheetId="2" sqref="AP749" start="0" length="0">
      <dxf/>
    </rfmt>
    <rfmt sheetId="2" sqref="AQ749" start="0" length="0">
      <dxf/>
    </rfmt>
    <rfmt sheetId="2" sqref="AR749" start="0" length="0">
      <dxf/>
    </rfmt>
    <rfmt sheetId="2" sqref="AS749" start="0" length="0">
      <dxf/>
    </rfmt>
    <rfmt sheetId="2" sqref="AT749" start="0" length="0">
      <dxf/>
    </rfmt>
    <rfmt sheetId="2" sqref="AU749" start="0" length="0">
      <dxf/>
    </rfmt>
    <rfmt sheetId="2" sqref="AV749" start="0" length="0">
      <dxf/>
    </rfmt>
    <rfmt sheetId="2" sqref="AW749" start="0" length="0">
      <dxf/>
    </rfmt>
    <rfmt sheetId="2" sqref="AX749" start="0" length="0">
      <dxf/>
    </rfmt>
    <rfmt sheetId="2" sqref="AY749" start="0" length="0">
      <dxf/>
    </rfmt>
    <rfmt sheetId="2" sqref="AZ749" start="0" length="0">
      <dxf/>
    </rfmt>
    <rfmt sheetId="2" sqref="BA749" start="0" length="0">
      <dxf/>
    </rfmt>
    <rfmt sheetId="2" sqref="BB749" start="0" length="0">
      <dxf/>
    </rfmt>
    <rfmt sheetId="2" sqref="BC749" start="0" length="0">
      <dxf/>
    </rfmt>
    <rfmt sheetId="2" sqref="BD749" start="0" length="0">
      <dxf/>
    </rfmt>
    <rfmt sheetId="2" sqref="BE749" start="0" length="0">
      <dxf/>
    </rfmt>
    <rfmt sheetId="2" sqref="BF749" start="0" length="0">
      <dxf/>
    </rfmt>
    <rfmt sheetId="2" sqref="BG749" start="0" length="0">
      <dxf/>
    </rfmt>
    <rfmt sheetId="2" sqref="BH749" start="0" length="0">
      <dxf/>
    </rfmt>
    <rfmt sheetId="2" sqref="BI749" start="0" length="0">
      <dxf/>
    </rfmt>
    <rfmt sheetId="2" sqref="BJ749" start="0" length="0">
      <dxf/>
    </rfmt>
    <rfmt sheetId="2" sqref="BK749" start="0" length="0">
      <dxf/>
    </rfmt>
    <rfmt sheetId="2" sqref="BL749" start="0" length="0">
      <dxf/>
    </rfmt>
    <rfmt sheetId="2" sqref="BM749" start="0" length="0">
      <dxf/>
    </rfmt>
    <rfmt sheetId="2" sqref="BN749" start="0" length="0">
      <dxf/>
    </rfmt>
    <rfmt sheetId="2" sqref="BO749" start="0" length="0">
      <dxf/>
    </rfmt>
    <rfmt sheetId="2" sqref="BP749" start="0" length="0">
      <dxf/>
    </rfmt>
    <rfmt sheetId="2" sqref="BQ749" start="0" length="0">
      <dxf/>
    </rfmt>
    <rfmt sheetId="2" sqref="BR749" start="0" length="0">
      <dxf/>
    </rfmt>
    <rfmt sheetId="2" sqref="BS749" start="0" length="0">
      <dxf/>
    </rfmt>
    <rfmt sheetId="2" sqref="BT749" start="0" length="0">
      <dxf/>
    </rfmt>
    <rfmt sheetId="2" sqref="BU749" start="0" length="0">
      <dxf/>
    </rfmt>
    <rfmt sheetId="2" sqref="BV749" start="0" length="0">
      <dxf/>
    </rfmt>
    <rfmt sheetId="2" sqref="BW749" start="0" length="0">
      <dxf/>
    </rfmt>
    <rfmt sheetId="2" sqref="BX749" start="0" length="0">
      <dxf/>
    </rfmt>
    <rfmt sheetId="2" sqref="BY749" start="0" length="0">
      <dxf/>
    </rfmt>
    <rfmt sheetId="2" sqref="BZ749" start="0" length="0">
      <dxf/>
    </rfmt>
    <rfmt sheetId="2" sqref="CA749" start="0" length="0">
      <dxf/>
    </rfmt>
    <rfmt sheetId="2" sqref="CB749" start="0" length="0">
      <dxf/>
    </rfmt>
    <rfmt sheetId="2" sqref="CC749" start="0" length="0">
      <dxf/>
    </rfmt>
    <rfmt sheetId="2" sqref="CD749" start="0" length="0">
      <dxf/>
    </rfmt>
    <rfmt sheetId="2" sqref="CE749" start="0" length="0">
      <dxf/>
    </rfmt>
    <rfmt sheetId="2" sqref="CF749" start="0" length="0">
      <dxf/>
    </rfmt>
    <rfmt sheetId="2" sqref="CG749" start="0" length="0">
      <dxf/>
    </rfmt>
    <rfmt sheetId="2" sqref="CH749" start="0" length="0">
      <dxf/>
    </rfmt>
    <rfmt sheetId="2" sqref="CI749" start="0" length="0">
      <dxf/>
    </rfmt>
    <rfmt sheetId="2" sqref="CJ749" start="0" length="0">
      <dxf/>
    </rfmt>
    <rfmt sheetId="2" sqref="CK749" start="0" length="0">
      <dxf/>
    </rfmt>
    <rfmt sheetId="2" sqref="CL749" start="0" length="0">
      <dxf/>
    </rfmt>
    <rfmt sheetId="2" sqref="CM749" start="0" length="0">
      <dxf/>
    </rfmt>
    <rfmt sheetId="2" sqref="CN749" start="0" length="0">
      <dxf/>
    </rfmt>
    <rfmt sheetId="2" sqref="CO749" start="0" length="0">
      <dxf/>
    </rfmt>
    <rfmt sheetId="2" sqref="CP749" start="0" length="0">
      <dxf/>
    </rfmt>
    <rfmt sheetId="2" sqref="CQ749" start="0" length="0">
      <dxf/>
    </rfmt>
    <rfmt sheetId="2" sqref="CR749" start="0" length="0">
      <dxf/>
    </rfmt>
    <rfmt sheetId="2" sqref="CS749" start="0" length="0">
      <dxf/>
    </rfmt>
    <rfmt sheetId="2" sqref="CT749" start="0" length="0">
      <dxf/>
    </rfmt>
    <rfmt sheetId="2" sqref="CU749" start="0" length="0">
      <dxf/>
    </rfmt>
    <rfmt sheetId="2" sqref="CV749" start="0" length="0">
      <dxf/>
    </rfmt>
    <rfmt sheetId="2" sqref="CW749" start="0" length="0">
      <dxf/>
    </rfmt>
    <rfmt sheetId="2" sqref="CX749" start="0" length="0">
      <dxf/>
    </rfmt>
    <rfmt sheetId="2" sqref="CY749" start="0" length="0">
      <dxf/>
    </rfmt>
    <rfmt sheetId="2" sqref="CZ749" start="0" length="0">
      <dxf/>
    </rfmt>
    <rfmt sheetId="2" sqref="DA749" start="0" length="0">
      <dxf/>
    </rfmt>
    <rfmt sheetId="2" sqref="DB749" start="0" length="0">
      <dxf/>
    </rfmt>
    <rfmt sheetId="2" sqref="DC749" start="0" length="0">
      <dxf/>
    </rfmt>
    <rfmt sheetId="2" sqref="DD749" start="0" length="0">
      <dxf/>
    </rfmt>
    <rfmt sheetId="2" sqref="DE749" start="0" length="0">
      <dxf/>
    </rfmt>
    <rfmt sheetId="2" sqref="DF749" start="0" length="0">
      <dxf/>
    </rfmt>
    <rfmt sheetId="2" sqref="DG749" start="0" length="0">
      <dxf/>
    </rfmt>
    <rfmt sheetId="2" sqref="DH749" start="0" length="0">
      <dxf/>
    </rfmt>
    <rfmt sheetId="2" sqref="DI749" start="0" length="0">
      <dxf/>
    </rfmt>
    <rfmt sheetId="2" sqref="DJ749" start="0" length="0">
      <dxf/>
    </rfmt>
    <rfmt sheetId="2" sqref="DK749" start="0" length="0">
      <dxf/>
    </rfmt>
    <rfmt sheetId="2" sqref="DL749" start="0" length="0">
      <dxf/>
    </rfmt>
    <rfmt sheetId="2" sqref="DM749" start="0" length="0">
      <dxf/>
    </rfmt>
    <rfmt sheetId="2" sqref="DN749" start="0" length="0">
      <dxf/>
    </rfmt>
    <rfmt sheetId="2" sqref="DO749" start="0" length="0">
      <dxf/>
    </rfmt>
    <rfmt sheetId="2" sqref="DP749" start="0" length="0">
      <dxf/>
    </rfmt>
    <rfmt sheetId="2" sqref="DQ749" start="0" length="0">
      <dxf/>
    </rfmt>
    <rfmt sheetId="2" sqref="DR749" start="0" length="0">
      <dxf/>
    </rfmt>
    <rfmt sheetId="2" sqref="DS749" start="0" length="0">
      <dxf/>
    </rfmt>
    <rfmt sheetId="2" sqref="DT749" start="0" length="0">
      <dxf/>
    </rfmt>
    <rfmt sheetId="2" sqref="DU749" start="0" length="0">
      <dxf/>
    </rfmt>
    <rfmt sheetId="2" sqref="DV749" start="0" length="0">
      <dxf/>
    </rfmt>
    <rfmt sheetId="2" sqref="DW749" start="0" length="0">
      <dxf/>
    </rfmt>
    <rfmt sheetId="2" sqref="DX749" start="0" length="0">
      <dxf/>
    </rfmt>
    <rfmt sheetId="2" sqref="DY749" start="0" length="0">
      <dxf/>
    </rfmt>
    <rfmt sheetId="2" sqref="DZ749" start="0" length="0">
      <dxf/>
    </rfmt>
    <rfmt sheetId="2" sqref="EA749" start="0" length="0">
      <dxf/>
    </rfmt>
    <rfmt sheetId="2" sqref="EB749" start="0" length="0">
      <dxf/>
    </rfmt>
    <rfmt sheetId="2" sqref="EC749" start="0" length="0">
      <dxf/>
    </rfmt>
    <rfmt sheetId="2" sqref="ED749" start="0" length="0">
      <dxf/>
    </rfmt>
    <rfmt sheetId="2" sqref="EE749" start="0" length="0">
      <dxf/>
    </rfmt>
    <rfmt sheetId="2" sqref="EF749" start="0" length="0">
      <dxf/>
    </rfmt>
    <rfmt sheetId="2" sqref="EG749" start="0" length="0">
      <dxf/>
    </rfmt>
    <rfmt sheetId="2" sqref="EH749" start="0" length="0">
      <dxf/>
    </rfmt>
    <rfmt sheetId="2" sqref="EI749" start="0" length="0">
      <dxf/>
    </rfmt>
    <rfmt sheetId="2" sqref="EJ749" start="0" length="0">
      <dxf/>
    </rfmt>
    <rfmt sheetId="2" sqref="EK749" start="0" length="0">
      <dxf/>
    </rfmt>
    <rfmt sheetId="2" sqref="EL749" start="0" length="0">
      <dxf/>
    </rfmt>
    <rfmt sheetId="2" sqref="EM749" start="0" length="0">
      <dxf/>
    </rfmt>
    <rfmt sheetId="2" sqref="EN749" start="0" length="0">
      <dxf/>
    </rfmt>
    <rfmt sheetId="2" sqref="EO749" start="0" length="0">
      <dxf/>
    </rfmt>
    <rfmt sheetId="2" sqref="EP749" start="0" length="0">
      <dxf/>
    </rfmt>
    <rfmt sheetId="2" sqref="EQ749" start="0" length="0">
      <dxf/>
    </rfmt>
    <rfmt sheetId="2" sqref="ER749" start="0" length="0">
      <dxf/>
    </rfmt>
    <rfmt sheetId="2" sqref="ES749" start="0" length="0">
      <dxf/>
    </rfmt>
    <rfmt sheetId="2" sqref="ET749" start="0" length="0">
      <dxf/>
    </rfmt>
    <rfmt sheetId="2" sqref="EU749" start="0" length="0">
      <dxf/>
    </rfmt>
    <rfmt sheetId="2" sqref="EV749" start="0" length="0">
      <dxf/>
    </rfmt>
    <rfmt sheetId="2" sqref="EW749" start="0" length="0">
      <dxf/>
    </rfmt>
    <rfmt sheetId="2" sqref="EX749" start="0" length="0">
      <dxf/>
    </rfmt>
    <rfmt sheetId="2" sqref="EY749" start="0" length="0">
      <dxf/>
    </rfmt>
    <rfmt sheetId="2" sqref="EZ749" start="0" length="0">
      <dxf/>
    </rfmt>
    <rfmt sheetId="2" sqref="FA749" start="0" length="0">
      <dxf/>
    </rfmt>
    <rfmt sheetId="2" sqref="FB749" start="0" length="0">
      <dxf/>
    </rfmt>
    <rfmt sheetId="2" sqref="FC749" start="0" length="0">
      <dxf/>
    </rfmt>
    <rfmt sheetId="2" sqref="FD749" start="0" length="0">
      <dxf/>
    </rfmt>
    <rfmt sheetId="2" sqref="FE749" start="0" length="0">
      <dxf/>
    </rfmt>
    <rfmt sheetId="2" sqref="FF749" start="0" length="0">
      <dxf/>
    </rfmt>
    <rfmt sheetId="2" sqref="FG749" start="0" length="0">
      <dxf/>
    </rfmt>
    <rfmt sheetId="2" sqref="FH749" start="0" length="0">
      <dxf/>
    </rfmt>
    <rfmt sheetId="2" sqref="FI749" start="0" length="0">
      <dxf/>
    </rfmt>
    <rfmt sheetId="2" sqref="FJ749" start="0" length="0">
      <dxf/>
    </rfmt>
    <rfmt sheetId="2" sqref="FK749" start="0" length="0">
      <dxf/>
    </rfmt>
    <rfmt sheetId="2" sqref="FL749" start="0" length="0">
      <dxf/>
    </rfmt>
    <rfmt sheetId="2" sqref="FM749" start="0" length="0">
      <dxf/>
    </rfmt>
    <rfmt sheetId="2" sqref="FN749" start="0" length="0">
      <dxf/>
    </rfmt>
    <rfmt sheetId="2" sqref="FO749" start="0" length="0">
      <dxf/>
    </rfmt>
    <rfmt sheetId="2" sqref="FP749" start="0" length="0">
      <dxf/>
    </rfmt>
    <rfmt sheetId="2" sqref="FQ749" start="0" length="0">
      <dxf/>
    </rfmt>
    <rfmt sheetId="2" sqref="FR749" start="0" length="0">
      <dxf/>
    </rfmt>
    <rfmt sheetId="2" sqref="FS749" start="0" length="0">
      <dxf/>
    </rfmt>
    <rfmt sheetId="2" sqref="FT749" start="0" length="0">
      <dxf/>
    </rfmt>
    <rfmt sheetId="2" sqref="FU749" start="0" length="0">
      <dxf/>
    </rfmt>
    <rfmt sheetId="2" sqref="FV749" start="0" length="0">
      <dxf/>
    </rfmt>
    <rfmt sheetId="2" sqref="FW749" start="0" length="0">
      <dxf/>
    </rfmt>
    <rfmt sheetId="2" sqref="FX749" start="0" length="0">
      <dxf/>
    </rfmt>
    <rfmt sheetId="2" sqref="FY749" start="0" length="0">
      <dxf/>
    </rfmt>
    <rfmt sheetId="2" sqref="FZ749" start="0" length="0">
      <dxf/>
    </rfmt>
    <rfmt sheetId="2" sqref="GA749" start="0" length="0">
      <dxf/>
    </rfmt>
    <rfmt sheetId="2" sqref="GB749" start="0" length="0">
      <dxf/>
    </rfmt>
    <rfmt sheetId="2" sqref="GC749" start="0" length="0">
      <dxf/>
    </rfmt>
    <rfmt sheetId="2" sqref="GD749" start="0" length="0">
      <dxf/>
    </rfmt>
    <rfmt sheetId="2" sqref="GE749" start="0" length="0">
      <dxf/>
    </rfmt>
    <rfmt sheetId="2" sqref="GF749" start="0" length="0">
      <dxf/>
    </rfmt>
    <rfmt sheetId="2" sqref="GG749" start="0" length="0">
      <dxf/>
    </rfmt>
    <rfmt sheetId="2" sqref="GH749" start="0" length="0">
      <dxf/>
    </rfmt>
    <rfmt sheetId="2" sqref="GI749" start="0" length="0">
      <dxf/>
    </rfmt>
    <rfmt sheetId="2" sqref="GJ749" start="0" length="0">
      <dxf/>
    </rfmt>
    <rfmt sheetId="2" sqref="GK749" start="0" length="0">
      <dxf/>
    </rfmt>
    <rfmt sheetId="2" sqref="GL749" start="0" length="0">
      <dxf/>
    </rfmt>
    <rfmt sheetId="2" sqref="GM749" start="0" length="0">
      <dxf/>
    </rfmt>
    <rfmt sheetId="2" sqref="GN749" start="0" length="0">
      <dxf/>
    </rfmt>
    <rfmt sheetId="2" sqref="GO749" start="0" length="0">
      <dxf/>
    </rfmt>
    <rfmt sheetId="2" sqref="GP749" start="0" length="0">
      <dxf/>
    </rfmt>
    <rfmt sheetId="2" sqref="GQ749" start="0" length="0">
      <dxf/>
    </rfmt>
    <rfmt sheetId="2" sqref="GR749" start="0" length="0">
      <dxf/>
    </rfmt>
    <rfmt sheetId="2" sqref="GS749" start="0" length="0">
      <dxf/>
    </rfmt>
    <rfmt sheetId="2" sqref="GT749" start="0" length="0">
      <dxf/>
    </rfmt>
    <rfmt sheetId="2" sqref="GU749" start="0" length="0">
      <dxf/>
    </rfmt>
    <rfmt sheetId="2" sqref="GV749" start="0" length="0">
      <dxf/>
    </rfmt>
    <rfmt sheetId="2" sqref="GW749" start="0" length="0">
      <dxf/>
    </rfmt>
    <rfmt sheetId="2" sqref="GX749" start="0" length="0">
      <dxf/>
    </rfmt>
    <rfmt sheetId="2" sqref="GY749" start="0" length="0">
      <dxf/>
    </rfmt>
    <rfmt sheetId="2" sqref="GZ749" start="0" length="0">
      <dxf/>
    </rfmt>
    <rfmt sheetId="2" sqref="HA749" start="0" length="0">
      <dxf/>
    </rfmt>
    <rfmt sheetId="2" sqref="HB749" start="0" length="0">
      <dxf/>
    </rfmt>
    <rfmt sheetId="2" sqref="HC749" start="0" length="0">
      <dxf/>
    </rfmt>
    <rfmt sheetId="2" sqref="HD749" start="0" length="0">
      <dxf/>
    </rfmt>
    <rfmt sheetId="2" sqref="HE749" start="0" length="0">
      <dxf/>
    </rfmt>
    <rfmt sheetId="2" sqref="HF749" start="0" length="0">
      <dxf/>
    </rfmt>
    <rfmt sheetId="2" sqref="HG749" start="0" length="0">
      <dxf/>
    </rfmt>
    <rfmt sheetId="2" sqref="HH749" start="0" length="0">
      <dxf/>
    </rfmt>
    <rfmt sheetId="2" sqref="HI749" start="0" length="0">
      <dxf/>
    </rfmt>
    <rfmt sheetId="2" sqref="HJ749" start="0" length="0">
      <dxf/>
    </rfmt>
    <rfmt sheetId="2" sqref="HK749" start="0" length="0">
      <dxf/>
    </rfmt>
    <rfmt sheetId="2" sqref="HL749" start="0" length="0">
      <dxf/>
    </rfmt>
    <rfmt sheetId="2" sqref="HM749" start="0" length="0">
      <dxf/>
    </rfmt>
    <rfmt sheetId="2" sqref="HN749" start="0" length="0">
      <dxf/>
    </rfmt>
    <rfmt sheetId="2" sqref="HO749" start="0" length="0">
      <dxf/>
    </rfmt>
    <rfmt sheetId="2" sqref="HP749" start="0" length="0">
      <dxf/>
    </rfmt>
    <rfmt sheetId="2" sqref="HQ749" start="0" length="0">
      <dxf/>
    </rfmt>
    <rfmt sheetId="2" sqref="HR749" start="0" length="0">
      <dxf/>
    </rfmt>
    <rfmt sheetId="2" sqref="HS749" start="0" length="0">
      <dxf/>
    </rfmt>
    <rfmt sheetId="2" sqref="HT749" start="0" length="0">
      <dxf/>
    </rfmt>
    <rfmt sheetId="2" sqref="HU749" start="0" length="0">
      <dxf/>
    </rfmt>
    <rfmt sheetId="2" sqref="HV749" start="0" length="0">
      <dxf/>
    </rfmt>
    <rfmt sheetId="2" sqref="HW749" start="0" length="0">
      <dxf/>
    </rfmt>
    <rfmt sheetId="2" sqref="HX749" start="0" length="0">
      <dxf/>
    </rfmt>
    <rfmt sheetId="2" sqref="HY749" start="0" length="0">
      <dxf/>
    </rfmt>
    <rfmt sheetId="2" sqref="HZ749" start="0" length="0">
      <dxf/>
    </rfmt>
    <rfmt sheetId="2" sqref="IA749" start="0" length="0">
      <dxf/>
    </rfmt>
    <rfmt sheetId="2" sqref="IB749" start="0" length="0">
      <dxf/>
    </rfmt>
    <rfmt sheetId="2" sqref="IC749" start="0" length="0">
      <dxf/>
    </rfmt>
    <rfmt sheetId="2" sqref="ID749" start="0" length="0">
      <dxf/>
    </rfmt>
    <rfmt sheetId="2" sqref="IE749" start="0" length="0">
      <dxf/>
    </rfmt>
    <rfmt sheetId="2" sqref="IF749" start="0" length="0">
      <dxf/>
    </rfmt>
    <rfmt sheetId="2" sqref="IG749" start="0" length="0">
      <dxf/>
    </rfmt>
    <rfmt sheetId="2" sqref="IH749" start="0" length="0">
      <dxf/>
    </rfmt>
    <rfmt sheetId="2" sqref="II749" start="0" length="0">
      <dxf/>
    </rfmt>
    <rfmt sheetId="2" sqref="IJ749" start="0" length="0">
      <dxf/>
    </rfmt>
    <rfmt sheetId="2" sqref="IK749" start="0" length="0">
      <dxf/>
    </rfmt>
    <rfmt sheetId="2" sqref="IL749" start="0" length="0">
      <dxf/>
    </rfmt>
    <rfmt sheetId="2" sqref="IM749" start="0" length="0">
      <dxf/>
    </rfmt>
    <rfmt sheetId="2" sqref="IN749" start="0" length="0">
      <dxf/>
    </rfmt>
    <rfmt sheetId="2" sqref="IO749" start="0" length="0">
      <dxf/>
    </rfmt>
    <rfmt sheetId="2" sqref="IP749" start="0" length="0">
      <dxf/>
    </rfmt>
    <rfmt sheetId="2" sqref="IQ749" start="0" length="0">
      <dxf/>
    </rfmt>
    <rfmt sheetId="2" sqref="IR749" start="0" length="0">
      <dxf/>
    </rfmt>
    <rfmt sheetId="2" sqref="IS749" start="0" length="0">
      <dxf/>
    </rfmt>
    <rfmt sheetId="2" sqref="IT749" start="0" length="0">
      <dxf/>
    </rfmt>
    <rfmt sheetId="2" sqref="IU749" start="0" length="0">
      <dxf/>
    </rfmt>
    <rfmt sheetId="2" sqref="IV749" start="0" length="0">
      <dxf/>
    </rfmt>
    <rfmt sheetId="2" sqref="IW749" start="0" length="0">
      <dxf/>
    </rfmt>
    <rfmt sheetId="2" sqref="IX749" start="0" length="0">
      <dxf/>
    </rfmt>
    <rfmt sheetId="2" sqref="IY749" start="0" length="0">
      <dxf/>
    </rfmt>
    <rfmt sheetId="2" sqref="IZ749" start="0" length="0">
      <dxf/>
    </rfmt>
    <rfmt sheetId="2" sqref="JA749" start="0" length="0">
      <dxf/>
    </rfmt>
    <rfmt sheetId="2" sqref="JB749" start="0" length="0">
      <dxf/>
    </rfmt>
    <rfmt sheetId="2" sqref="JC749" start="0" length="0">
      <dxf/>
    </rfmt>
    <rfmt sheetId="2" sqref="JD749" start="0" length="0">
      <dxf/>
    </rfmt>
    <rfmt sheetId="2" sqref="JE749" start="0" length="0">
      <dxf/>
    </rfmt>
    <rfmt sheetId="2" sqref="JF749" start="0" length="0">
      <dxf/>
    </rfmt>
    <rfmt sheetId="2" sqref="JG749" start="0" length="0">
      <dxf/>
    </rfmt>
    <rfmt sheetId="2" sqref="JH749" start="0" length="0">
      <dxf/>
    </rfmt>
    <rfmt sheetId="2" sqref="JI749" start="0" length="0">
      <dxf/>
    </rfmt>
    <rfmt sheetId="2" sqref="JJ749" start="0" length="0">
      <dxf/>
    </rfmt>
    <rfmt sheetId="2" sqref="JK749" start="0" length="0">
      <dxf/>
    </rfmt>
    <rfmt sheetId="2" sqref="JL749" start="0" length="0">
      <dxf/>
    </rfmt>
    <rfmt sheetId="2" sqref="JM749" start="0" length="0">
      <dxf/>
    </rfmt>
    <rfmt sheetId="2" sqref="JN749" start="0" length="0">
      <dxf/>
    </rfmt>
    <rfmt sheetId="2" sqref="JO749" start="0" length="0">
      <dxf/>
    </rfmt>
    <rfmt sheetId="2" sqref="JP749" start="0" length="0">
      <dxf/>
    </rfmt>
    <rfmt sheetId="2" sqref="JQ749" start="0" length="0">
      <dxf/>
    </rfmt>
    <rfmt sheetId="2" sqref="JR749" start="0" length="0">
      <dxf/>
    </rfmt>
    <rfmt sheetId="2" sqref="JS749" start="0" length="0">
      <dxf/>
    </rfmt>
    <rfmt sheetId="2" sqref="JT749" start="0" length="0">
      <dxf/>
    </rfmt>
    <rfmt sheetId="2" sqref="JU749" start="0" length="0">
      <dxf/>
    </rfmt>
    <rfmt sheetId="2" sqref="JV749" start="0" length="0">
      <dxf/>
    </rfmt>
    <rfmt sheetId="2" sqref="JW749" start="0" length="0">
      <dxf/>
    </rfmt>
    <rfmt sheetId="2" sqref="JX749" start="0" length="0">
      <dxf/>
    </rfmt>
    <rfmt sheetId="2" sqref="JY749" start="0" length="0">
      <dxf/>
    </rfmt>
    <rfmt sheetId="2" sqref="JZ749" start="0" length="0">
      <dxf/>
    </rfmt>
    <rfmt sheetId="2" sqref="KA749" start="0" length="0">
      <dxf/>
    </rfmt>
    <rfmt sheetId="2" sqref="KB749" start="0" length="0">
      <dxf/>
    </rfmt>
    <rfmt sheetId="2" sqref="KC749" start="0" length="0">
      <dxf/>
    </rfmt>
    <rfmt sheetId="2" sqref="KD749" start="0" length="0">
      <dxf/>
    </rfmt>
    <rfmt sheetId="2" sqref="KE749" start="0" length="0">
      <dxf/>
    </rfmt>
    <rfmt sheetId="2" sqref="KF749" start="0" length="0">
      <dxf/>
    </rfmt>
    <rfmt sheetId="2" sqref="KG749" start="0" length="0">
      <dxf/>
    </rfmt>
    <rfmt sheetId="2" sqref="KH749" start="0" length="0">
      <dxf/>
    </rfmt>
    <rfmt sheetId="2" sqref="KI749" start="0" length="0">
      <dxf/>
    </rfmt>
    <rfmt sheetId="2" sqref="KJ749" start="0" length="0">
      <dxf/>
    </rfmt>
    <rfmt sheetId="2" sqref="KK749" start="0" length="0">
      <dxf/>
    </rfmt>
    <rfmt sheetId="2" sqref="KL749" start="0" length="0">
      <dxf/>
    </rfmt>
    <rfmt sheetId="2" sqref="KM749" start="0" length="0">
      <dxf/>
    </rfmt>
    <rfmt sheetId="2" sqref="KN749" start="0" length="0">
      <dxf/>
    </rfmt>
    <rfmt sheetId="2" sqref="KO749" start="0" length="0">
      <dxf/>
    </rfmt>
    <rfmt sheetId="2" sqref="KP749" start="0" length="0">
      <dxf/>
    </rfmt>
    <rfmt sheetId="2" sqref="KQ749" start="0" length="0">
      <dxf/>
    </rfmt>
    <rfmt sheetId="2" sqref="KR749" start="0" length="0">
      <dxf/>
    </rfmt>
    <rfmt sheetId="2" sqref="KS749" start="0" length="0">
      <dxf/>
    </rfmt>
    <rfmt sheetId="2" sqref="KT749" start="0" length="0">
      <dxf/>
    </rfmt>
    <rfmt sheetId="2" sqref="KU749" start="0" length="0">
      <dxf/>
    </rfmt>
    <rfmt sheetId="2" sqref="KV749" start="0" length="0">
      <dxf/>
    </rfmt>
    <rfmt sheetId="2" sqref="KW749" start="0" length="0">
      <dxf/>
    </rfmt>
    <rfmt sheetId="2" sqref="KX749" start="0" length="0">
      <dxf/>
    </rfmt>
    <rfmt sheetId="2" sqref="KY749" start="0" length="0">
      <dxf/>
    </rfmt>
    <rfmt sheetId="2" sqref="KZ749" start="0" length="0">
      <dxf/>
    </rfmt>
    <rfmt sheetId="2" sqref="LA749" start="0" length="0">
      <dxf/>
    </rfmt>
    <rfmt sheetId="2" sqref="LB749" start="0" length="0">
      <dxf/>
    </rfmt>
    <rfmt sheetId="2" sqref="LC749" start="0" length="0">
      <dxf/>
    </rfmt>
    <rfmt sheetId="2" sqref="LD749" start="0" length="0">
      <dxf/>
    </rfmt>
    <rfmt sheetId="2" sqref="LE749" start="0" length="0">
      <dxf/>
    </rfmt>
    <rfmt sheetId="2" sqref="LF749" start="0" length="0">
      <dxf/>
    </rfmt>
    <rfmt sheetId="2" sqref="LG749" start="0" length="0">
      <dxf/>
    </rfmt>
    <rfmt sheetId="2" sqref="LH749" start="0" length="0">
      <dxf/>
    </rfmt>
    <rfmt sheetId="2" sqref="LI749" start="0" length="0">
      <dxf/>
    </rfmt>
    <rfmt sheetId="2" sqref="LJ749" start="0" length="0">
      <dxf/>
    </rfmt>
    <rfmt sheetId="2" sqref="LK749" start="0" length="0">
      <dxf/>
    </rfmt>
    <rfmt sheetId="2" sqref="LL749" start="0" length="0">
      <dxf/>
    </rfmt>
    <rfmt sheetId="2" sqref="LM749" start="0" length="0">
      <dxf/>
    </rfmt>
    <rfmt sheetId="2" sqref="LN749" start="0" length="0">
      <dxf/>
    </rfmt>
    <rfmt sheetId="2" sqref="LO749" start="0" length="0">
      <dxf/>
    </rfmt>
    <rfmt sheetId="2" sqref="LP749" start="0" length="0">
      <dxf/>
    </rfmt>
    <rfmt sheetId="2" sqref="LQ749" start="0" length="0">
      <dxf/>
    </rfmt>
    <rfmt sheetId="2" sqref="LR749" start="0" length="0">
      <dxf/>
    </rfmt>
    <rfmt sheetId="2" sqref="LS749" start="0" length="0">
      <dxf/>
    </rfmt>
    <rfmt sheetId="2" sqref="LT749" start="0" length="0">
      <dxf/>
    </rfmt>
    <rfmt sheetId="2" sqref="LU749" start="0" length="0">
      <dxf/>
    </rfmt>
    <rfmt sheetId="2" sqref="LV749" start="0" length="0">
      <dxf/>
    </rfmt>
    <rfmt sheetId="2" sqref="LW749" start="0" length="0">
      <dxf/>
    </rfmt>
    <rfmt sheetId="2" sqref="LX749" start="0" length="0">
      <dxf/>
    </rfmt>
    <rfmt sheetId="2" sqref="LY749" start="0" length="0">
      <dxf/>
    </rfmt>
    <rfmt sheetId="2" sqref="LZ749" start="0" length="0">
      <dxf/>
    </rfmt>
    <rfmt sheetId="2" sqref="MA749" start="0" length="0">
      <dxf/>
    </rfmt>
    <rfmt sheetId="2" sqref="MB749" start="0" length="0">
      <dxf/>
    </rfmt>
  </rm>
  <rrc rId="1706" sId="2" ref="A761:XFD761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1:XFD761" start="0" length="0">
      <dxf>
        <font>
          <sz val="10"/>
          <name val="Arial"/>
          <scheme val="none"/>
        </font>
        <alignment horizontal="center" readingOrder="0"/>
      </dxf>
    </rfmt>
    <rfmt sheetId="2" sqref="A76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1" start="0" length="0">
      <dxf>
        <numFmt numFmtId="176" formatCode="m/d;@"/>
      </dxf>
    </rfmt>
    <rfmt sheetId="2" sqref="P76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1" start="0" length="0">
      <dxf/>
    </rfmt>
    <rfmt sheetId="2" sqref="U761" start="0" length="0">
      <dxf/>
    </rfmt>
    <rfmt sheetId="2" sqref="V761" start="0" length="0">
      <dxf/>
    </rfmt>
    <rfmt sheetId="2" sqref="W761" start="0" length="0">
      <dxf/>
    </rfmt>
    <rfmt sheetId="2" sqref="X761" start="0" length="0">
      <dxf/>
    </rfmt>
    <rfmt sheetId="2" sqref="Y761" start="0" length="0">
      <dxf/>
    </rfmt>
    <rfmt sheetId="2" sqref="Z761" start="0" length="0">
      <dxf/>
    </rfmt>
    <rfmt sheetId="2" sqref="AA761" start="0" length="0">
      <dxf/>
    </rfmt>
    <rfmt sheetId="2" sqref="AB761" start="0" length="0">
      <dxf/>
    </rfmt>
    <rfmt sheetId="2" sqref="AC761" start="0" length="0">
      <dxf/>
    </rfmt>
    <rfmt sheetId="2" sqref="AD761" start="0" length="0">
      <dxf/>
    </rfmt>
    <rfmt sheetId="2" sqref="AE761" start="0" length="0">
      <dxf/>
    </rfmt>
    <rfmt sheetId="2" sqref="AF761" start="0" length="0">
      <dxf/>
    </rfmt>
    <rfmt sheetId="2" sqref="AG761" start="0" length="0">
      <dxf/>
    </rfmt>
    <rfmt sheetId="2" sqref="AH761" start="0" length="0">
      <dxf/>
    </rfmt>
    <rfmt sheetId="2" sqref="AI761" start="0" length="0">
      <dxf/>
    </rfmt>
    <rfmt sheetId="2" sqref="AJ761" start="0" length="0">
      <dxf/>
    </rfmt>
    <rfmt sheetId="2" sqref="AK761" start="0" length="0">
      <dxf/>
    </rfmt>
    <rfmt sheetId="2" sqref="AL761" start="0" length="0">
      <dxf/>
    </rfmt>
    <rfmt sheetId="2" sqref="AM761" start="0" length="0">
      <dxf/>
    </rfmt>
    <rfmt sheetId="2" sqref="AN761" start="0" length="0">
      <dxf/>
    </rfmt>
    <rfmt sheetId="2" sqref="AO761" start="0" length="0">
      <dxf/>
    </rfmt>
    <rfmt sheetId="2" sqref="AP761" start="0" length="0">
      <dxf/>
    </rfmt>
    <rfmt sheetId="2" sqref="AQ761" start="0" length="0">
      <dxf/>
    </rfmt>
    <rfmt sheetId="2" sqref="AR761" start="0" length="0">
      <dxf/>
    </rfmt>
    <rfmt sheetId="2" sqref="AS761" start="0" length="0">
      <dxf/>
    </rfmt>
    <rfmt sheetId="2" sqref="AT761" start="0" length="0">
      <dxf/>
    </rfmt>
    <rfmt sheetId="2" sqref="AU761" start="0" length="0">
      <dxf/>
    </rfmt>
    <rfmt sheetId="2" sqref="AV761" start="0" length="0">
      <dxf/>
    </rfmt>
    <rfmt sheetId="2" sqref="AW761" start="0" length="0">
      <dxf/>
    </rfmt>
    <rfmt sheetId="2" sqref="AX761" start="0" length="0">
      <dxf/>
    </rfmt>
    <rfmt sheetId="2" sqref="AY761" start="0" length="0">
      <dxf/>
    </rfmt>
    <rfmt sheetId="2" sqref="AZ761" start="0" length="0">
      <dxf/>
    </rfmt>
    <rfmt sheetId="2" sqref="BA761" start="0" length="0">
      <dxf/>
    </rfmt>
    <rfmt sheetId="2" sqref="BB761" start="0" length="0">
      <dxf/>
    </rfmt>
    <rfmt sheetId="2" sqref="BC761" start="0" length="0">
      <dxf/>
    </rfmt>
    <rfmt sheetId="2" sqref="BD761" start="0" length="0">
      <dxf/>
    </rfmt>
    <rfmt sheetId="2" sqref="BE761" start="0" length="0">
      <dxf/>
    </rfmt>
    <rfmt sheetId="2" sqref="BF761" start="0" length="0">
      <dxf/>
    </rfmt>
    <rfmt sheetId="2" sqref="BG761" start="0" length="0">
      <dxf/>
    </rfmt>
    <rfmt sheetId="2" sqref="BH761" start="0" length="0">
      <dxf/>
    </rfmt>
    <rfmt sheetId="2" sqref="BI761" start="0" length="0">
      <dxf/>
    </rfmt>
    <rfmt sheetId="2" sqref="BJ761" start="0" length="0">
      <dxf/>
    </rfmt>
    <rfmt sheetId="2" sqref="BK761" start="0" length="0">
      <dxf/>
    </rfmt>
    <rfmt sheetId="2" sqref="BL761" start="0" length="0">
      <dxf/>
    </rfmt>
    <rfmt sheetId="2" sqref="BM761" start="0" length="0">
      <dxf/>
    </rfmt>
    <rfmt sheetId="2" sqref="BN761" start="0" length="0">
      <dxf/>
    </rfmt>
    <rfmt sheetId="2" sqref="BO761" start="0" length="0">
      <dxf/>
    </rfmt>
    <rfmt sheetId="2" sqref="BP761" start="0" length="0">
      <dxf/>
    </rfmt>
    <rfmt sheetId="2" sqref="BQ761" start="0" length="0">
      <dxf/>
    </rfmt>
    <rfmt sheetId="2" sqref="BR761" start="0" length="0">
      <dxf/>
    </rfmt>
    <rfmt sheetId="2" sqref="BS761" start="0" length="0">
      <dxf/>
    </rfmt>
    <rfmt sheetId="2" sqref="BT761" start="0" length="0">
      <dxf/>
    </rfmt>
    <rfmt sheetId="2" sqref="BU761" start="0" length="0">
      <dxf/>
    </rfmt>
    <rfmt sheetId="2" sqref="BV761" start="0" length="0">
      <dxf/>
    </rfmt>
    <rfmt sheetId="2" sqref="BW761" start="0" length="0">
      <dxf/>
    </rfmt>
    <rfmt sheetId="2" sqref="BX761" start="0" length="0">
      <dxf/>
    </rfmt>
    <rfmt sheetId="2" sqref="BY761" start="0" length="0">
      <dxf/>
    </rfmt>
    <rfmt sheetId="2" sqref="BZ761" start="0" length="0">
      <dxf/>
    </rfmt>
    <rfmt sheetId="2" sqref="CA761" start="0" length="0">
      <dxf/>
    </rfmt>
    <rfmt sheetId="2" sqref="CB761" start="0" length="0">
      <dxf/>
    </rfmt>
    <rfmt sheetId="2" sqref="CC761" start="0" length="0">
      <dxf/>
    </rfmt>
    <rfmt sheetId="2" sqref="CD761" start="0" length="0">
      <dxf/>
    </rfmt>
    <rfmt sheetId="2" sqref="CE761" start="0" length="0">
      <dxf/>
    </rfmt>
    <rfmt sheetId="2" sqref="CF761" start="0" length="0">
      <dxf/>
    </rfmt>
    <rfmt sheetId="2" sqref="CG761" start="0" length="0">
      <dxf/>
    </rfmt>
    <rfmt sheetId="2" sqref="CH761" start="0" length="0">
      <dxf/>
    </rfmt>
    <rfmt sheetId="2" sqref="CI761" start="0" length="0">
      <dxf/>
    </rfmt>
    <rfmt sheetId="2" sqref="CJ761" start="0" length="0">
      <dxf/>
    </rfmt>
    <rfmt sheetId="2" sqref="CK761" start="0" length="0">
      <dxf/>
    </rfmt>
    <rfmt sheetId="2" sqref="CL761" start="0" length="0">
      <dxf/>
    </rfmt>
    <rfmt sheetId="2" sqref="CM761" start="0" length="0">
      <dxf/>
    </rfmt>
    <rfmt sheetId="2" sqref="CN761" start="0" length="0">
      <dxf/>
    </rfmt>
    <rfmt sheetId="2" sqref="CO761" start="0" length="0">
      <dxf/>
    </rfmt>
    <rfmt sheetId="2" sqref="CP761" start="0" length="0">
      <dxf/>
    </rfmt>
    <rfmt sheetId="2" sqref="CQ761" start="0" length="0">
      <dxf/>
    </rfmt>
    <rfmt sheetId="2" sqref="CR761" start="0" length="0">
      <dxf/>
    </rfmt>
    <rfmt sheetId="2" sqref="CS761" start="0" length="0">
      <dxf/>
    </rfmt>
    <rfmt sheetId="2" sqref="CT761" start="0" length="0">
      <dxf/>
    </rfmt>
    <rfmt sheetId="2" sqref="CU761" start="0" length="0">
      <dxf/>
    </rfmt>
    <rfmt sheetId="2" sqref="CV761" start="0" length="0">
      <dxf/>
    </rfmt>
    <rfmt sheetId="2" sqref="CW761" start="0" length="0">
      <dxf/>
    </rfmt>
    <rfmt sheetId="2" sqref="CX761" start="0" length="0">
      <dxf/>
    </rfmt>
    <rfmt sheetId="2" sqref="CY761" start="0" length="0">
      <dxf/>
    </rfmt>
    <rfmt sheetId="2" sqref="CZ761" start="0" length="0">
      <dxf/>
    </rfmt>
    <rfmt sheetId="2" sqref="DA761" start="0" length="0">
      <dxf/>
    </rfmt>
    <rfmt sheetId="2" sqref="DB761" start="0" length="0">
      <dxf/>
    </rfmt>
    <rfmt sheetId="2" sqref="DC761" start="0" length="0">
      <dxf/>
    </rfmt>
    <rfmt sheetId="2" sqref="DD761" start="0" length="0">
      <dxf/>
    </rfmt>
    <rfmt sheetId="2" sqref="DE761" start="0" length="0">
      <dxf/>
    </rfmt>
    <rfmt sheetId="2" sqref="DF761" start="0" length="0">
      <dxf/>
    </rfmt>
    <rfmt sheetId="2" sqref="DG761" start="0" length="0">
      <dxf/>
    </rfmt>
    <rfmt sheetId="2" sqref="DH761" start="0" length="0">
      <dxf/>
    </rfmt>
    <rfmt sheetId="2" sqref="DI761" start="0" length="0">
      <dxf/>
    </rfmt>
    <rfmt sheetId="2" sqref="DJ761" start="0" length="0">
      <dxf/>
    </rfmt>
    <rfmt sheetId="2" sqref="DK761" start="0" length="0">
      <dxf/>
    </rfmt>
    <rfmt sheetId="2" sqref="DL761" start="0" length="0">
      <dxf/>
    </rfmt>
    <rfmt sheetId="2" sqref="DM761" start="0" length="0">
      <dxf/>
    </rfmt>
    <rfmt sheetId="2" sqref="DN761" start="0" length="0">
      <dxf/>
    </rfmt>
    <rfmt sheetId="2" sqref="DO761" start="0" length="0">
      <dxf/>
    </rfmt>
    <rfmt sheetId="2" sqref="DP761" start="0" length="0">
      <dxf/>
    </rfmt>
    <rfmt sheetId="2" sqref="DQ761" start="0" length="0">
      <dxf/>
    </rfmt>
    <rfmt sheetId="2" sqref="DR761" start="0" length="0">
      <dxf/>
    </rfmt>
    <rfmt sheetId="2" sqref="DS761" start="0" length="0">
      <dxf/>
    </rfmt>
    <rfmt sheetId="2" sqref="DT761" start="0" length="0">
      <dxf/>
    </rfmt>
    <rfmt sheetId="2" sqref="DU761" start="0" length="0">
      <dxf/>
    </rfmt>
    <rfmt sheetId="2" sqref="DV761" start="0" length="0">
      <dxf/>
    </rfmt>
    <rfmt sheetId="2" sqref="DW761" start="0" length="0">
      <dxf/>
    </rfmt>
    <rfmt sheetId="2" sqref="DX761" start="0" length="0">
      <dxf/>
    </rfmt>
    <rfmt sheetId="2" sqref="DY761" start="0" length="0">
      <dxf/>
    </rfmt>
    <rfmt sheetId="2" sqref="DZ761" start="0" length="0">
      <dxf/>
    </rfmt>
    <rfmt sheetId="2" sqref="EA761" start="0" length="0">
      <dxf/>
    </rfmt>
    <rfmt sheetId="2" sqref="EB761" start="0" length="0">
      <dxf/>
    </rfmt>
    <rfmt sheetId="2" sqref="EC761" start="0" length="0">
      <dxf/>
    </rfmt>
    <rfmt sheetId="2" sqref="ED761" start="0" length="0">
      <dxf/>
    </rfmt>
    <rfmt sheetId="2" sqref="EE761" start="0" length="0">
      <dxf/>
    </rfmt>
    <rfmt sheetId="2" sqref="EF761" start="0" length="0">
      <dxf/>
    </rfmt>
    <rfmt sheetId="2" sqref="EG761" start="0" length="0">
      <dxf/>
    </rfmt>
    <rfmt sheetId="2" sqref="EH761" start="0" length="0">
      <dxf/>
    </rfmt>
    <rfmt sheetId="2" sqref="EI761" start="0" length="0">
      <dxf/>
    </rfmt>
    <rfmt sheetId="2" sqref="EJ761" start="0" length="0">
      <dxf/>
    </rfmt>
    <rfmt sheetId="2" sqref="EK761" start="0" length="0">
      <dxf/>
    </rfmt>
    <rfmt sheetId="2" sqref="EL761" start="0" length="0">
      <dxf/>
    </rfmt>
    <rfmt sheetId="2" sqref="EM761" start="0" length="0">
      <dxf/>
    </rfmt>
    <rfmt sheetId="2" sqref="EN761" start="0" length="0">
      <dxf/>
    </rfmt>
    <rfmt sheetId="2" sqref="EO761" start="0" length="0">
      <dxf/>
    </rfmt>
    <rfmt sheetId="2" sqref="EP761" start="0" length="0">
      <dxf/>
    </rfmt>
    <rfmt sheetId="2" sqref="EQ761" start="0" length="0">
      <dxf/>
    </rfmt>
    <rfmt sheetId="2" sqref="ER761" start="0" length="0">
      <dxf/>
    </rfmt>
    <rfmt sheetId="2" sqref="ES761" start="0" length="0">
      <dxf/>
    </rfmt>
    <rfmt sheetId="2" sqref="ET761" start="0" length="0">
      <dxf/>
    </rfmt>
    <rfmt sheetId="2" sqref="EU761" start="0" length="0">
      <dxf/>
    </rfmt>
    <rfmt sheetId="2" sqref="EV761" start="0" length="0">
      <dxf/>
    </rfmt>
    <rfmt sheetId="2" sqref="EW761" start="0" length="0">
      <dxf/>
    </rfmt>
    <rfmt sheetId="2" sqref="EX761" start="0" length="0">
      <dxf/>
    </rfmt>
    <rfmt sheetId="2" sqref="EY761" start="0" length="0">
      <dxf/>
    </rfmt>
    <rfmt sheetId="2" sqref="EZ761" start="0" length="0">
      <dxf/>
    </rfmt>
    <rfmt sheetId="2" sqref="FA761" start="0" length="0">
      <dxf/>
    </rfmt>
    <rfmt sheetId="2" sqref="FB761" start="0" length="0">
      <dxf/>
    </rfmt>
    <rfmt sheetId="2" sqref="FC761" start="0" length="0">
      <dxf/>
    </rfmt>
    <rfmt sheetId="2" sqref="FD761" start="0" length="0">
      <dxf/>
    </rfmt>
    <rfmt sheetId="2" sqref="FE761" start="0" length="0">
      <dxf/>
    </rfmt>
    <rfmt sheetId="2" sqref="FF761" start="0" length="0">
      <dxf/>
    </rfmt>
    <rfmt sheetId="2" sqref="FG761" start="0" length="0">
      <dxf/>
    </rfmt>
    <rfmt sheetId="2" sqref="FH761" start="0" length="0">
      <dxf/>
    </rfmt>
    <rfmt sheetId="2" sqref="FI761" start="0" length="0">
      <dxf/>
    </rfmt>
    <rfmt sheetId="2" sqref="FJ761" start="0" length="0">
      <dxf/>
    </rfmt>
    <rfmt sheetId="2" sqref="FK761" start="0" length="0">
      <dxf/>
    </rfmt>
    <rfmt sheetId="2" sqref="FL761" start="0" length="0">
      <dxf/>
    </rfmt>
    <rfmt sheetId="2" sqref="FM761" start="0" length="0">
      <dxf/>
    </rfmt>
    <rfmt sheetId="2" sqref="FN761" start="0" length="0">
      <dxf/>
    </rfmt>
    <rfmt sheetId="2" sqref="FO761" start="0" length="0">
      <dxf/>
    </rfmt>
    <rfmt sheetId="2" sqref="FP761" start="0" length="0">
      <dxf/>
    </rfmt>
    <rfmt sheetId="2" sqref="FQ761" start="0" length="0">
      <dxf/>
    </rfmt>
    <rfmt sheetId="2" sqref="FR761" start="0" length="0">
      <dxf/>
    </rfmt>
    <rfmt sheetId="2" sqref="FS761" start="0" length="0">
      <dxf/>
    </rfmt>
    <rfmt sheetId="2" sqref="FT761" start="0" length="0">
      <dxf/>
    </rfmt>
    <rfmt sheetId="2" sqref="FU761" start="0" length="0">
      <dxf/>
    </rfmt>
    <rfmt sheetId="2" sqref="FV761" start="0" length="0">
      <dxf/>
    </rfmt>
    <rfmt sheetId="2" sqref="FW761" start="0" length="0">
      <dxf/>
    </rfmt>
    <rfmt sheetId="2" sqref="FX761" start="0" length="0">
      <dxf/>
    </rfmt>
    <rfmt sheetId="2" sqref="FY761" start="0" length="0">
      <dxf/>
    </rfmt>
    <rfmt sheetId="2" sqref="FZ761" start="0" length="0">
      <dxf/>
    </rfmt>
    <rfmt sheetId="2" sqref="GA761" start="0" length="0">
      <dxf/>
    </rfmt>
    <rfmt sheetId="2" sqref="GB761" start="0" length="0">
      <dxf/>
    </rfmt>
    <rfmt sheetId="2" sqref="GC761" start="0" length="0">
      <dxf/>
    </rfmt>
    <rfmt sheetId="2" sqref="GD761" start="0" length="0">
      <dxf/>
    </rfmt>
    <rfmt sheetId="2" sqref="GE761" start="0" length="0">
      <dxf/>
    </rfmt>
    <rfmt sheetId="2" sqref="GF761" start="0" length="0">
      <dxf/>
    </rfmt>
    <rfmt sheetId="2" sqref="GG761" start="0" length="0">
      <dxf/>
    </rfmt>
    <rfmt sheetId="2" sqref="GH761" start="0" length="0">
      <dxf/>
    </rfmt>
    <rfmt sheetId="2" sqref="GI761" start="0" length="0">
      <dxf/>
    </rfmt>
    <rfmt sheetId="2" sqref="GJ761" start="0" length="0">
      <dxf/>
    </rfmt>
    <rfmt sheetId="2" sqref="GK761" start="0" length="0">
      <dxf/>
    </rfmt>
    <rfmt sheetId="2" sqref="GL761" start="0" length="0">
      <dxf/>
    </rfmt>
    <rfmt sheetId="2" sqref="GM761" start="0" length="0">
      <dxf/>
    </rfmt>
    <rfmt sheetId="2" sqref="GN761" start="0" length="0">
      <dxf/>
    </rfmt>
    <rfmt sheetId="2" sqref="GO761" start="0" length="0">
      <dxf/>
    </rfmt>
    <rfmt sheetId="2" sqref="GP761" start="0" length="0">
      <dxf/>
    </rfmt>
    <rfmt sheetId="2" sqref="GQ761" start="0" length="0">
      <dxf/>
    </rfmt>
    <rfmt sheetId="2" sqref="GR761" start="0" length="0">
      <dxf/>
    </rfmt>
    <rfmt sheetId="2" sqref="GS761" start="0" length="0">
      <dxf/>
    </rfmt>
    <rfmt sheetId="2" sqref="GT761" start="0" length="0">
      <dxf/>
    </rfmt>
    <rfmt sheetId="2" sqref="GU761" start="0" length="0">
      <dxf/>
    </rfmt>
    <rfmt sheetId="2" sqref="GV761" start="0" length="0">
      <dxf/>
    </rfmt>
    <rfmt sheetId="2" sqref="GW761" start="0" length="0">
      <dxf/>
    </rfmt>
    <rfmt sheetId="2" sqref="GX761" start="0" length="0">
      <dxf/>
    </rfmt>
    <rfmt sheetId="2" sqref="GY761" start="0" length="0">
      <dxf/>
    </rfmt>
    <rfmt sheetId="2" sqref="GZ761" start="0" length="0">
      <dxf/>
    </rfmt>
    <rfmt sheetId="2" sqref="HA761" start="0" length="0">
      <dxf/>
    </rfmt>
    <rfmt sheetId="2" sqref="HB761" start="0" length="0">
      <dxf/>
    </rfmt>
    <rfmt sheetId="2" sqref="HC761" start="0" length="0">
      <dxf/>
    </rfmt>
    <rfmt sheetId="2" sqref="HD761" start="0" length="0">
      <dxf/>
    </rfmt>
    <rfmt sheetId="2" sqref="HE761" start="0" length="0">
      <dxf/>
    </rfmt>
    <rfmt sheetId="2" sqref="HF761" start="0" length="0">
      <dxf/>
    </rfmt>
    <rfmt sheetId="2" sqref="HG761" start="0" length="0">
      <dxf/>
    </rfmt>
    <rfmt sheetId="2" sqref="HH761" start="0" length="0">
      <dxf/>
    </rfmt>
    <rfmt sheetId="2" sqref="HI761" start="0" length="0">
      <dxf/>
    </rfmt>
    <rfmt sheetId="2" sqref="HJ761" start="0" length="0">
      <dxf/>
    </rfmt>
    <rfmt sheetId="2" sqref="HK761" start="0" length="0">
      <dxf/>
    </rfmt>
    <rfmt sheetId="2" sqref="HL761" start="0" length="0">
      <dxf/>
    </rfmt>
    <rfmt sheetId="2" sqref="HM761" start="0" length="0">
      <dxf/>
    </rfmt>
    <rfmt sheetId="2" sqref="HN761" start="0" length="0">
      <dxf/>
    </rfmt>
    <rfmt sheetId="2" sqref="HO761" start="0" length="0">
      <dxf/>
    </rfmt>
    <rfmt sheetId="2" sqref="HP761" start="0" length="0">
      <dxf/>
    </rfmt>
    <rfmt sheetId="2" sqref="HQ761" start="0" length="0">
      <dxf/>
    </rfmt>
    <rfmt sheetId="2" sqref="HR761" start="0" length="0">
      <dxf/>
    </rfmt>
    <rfmt sheetId="2" sqref="HS761" start="0" length="0">
      <dxf/>
    </rfmt>
    <rfmt sheetId="2" sqref="HT761" start="0" length="0">
      <dxf/>
    </rfmt>
    <rfmt sheetId="2" sqref="HU761" start="0" length="0">
      <dxf/>
    </rfmt>
    <rfmt sheetId="2" sqref="HV761" start="0" length="0">
      <dxf/>
    </rfmt>
    <rfmt sheetId="2" sqref="HW761" start="0" length="0">
      <dxf/>
    </rfmt>
    <rfmt sheetId="2" sqref="HX761" start="0" length="0">
      <dxf/>
    </rfmt>
    <rfmt sheetId="2" sqref="HY761" start="0" length="0">
      <dxf/>
    </rfmt>
    <rfmt sheetId="2" sqref="HZ761" start="0" length="0">
      <dxf/>
    </rfmt>
    <rfmt sheetId="2" sqref="IA761" start="0" length="0">
      <dxf/>
    </rfmt>
    <rfmt sheetId="2" sqref="IB761" start="0" length="0">
      <dxf/>
    </rfmt>
    <rfmt sheetId="2" sqref="IC761" start="0" length="0">
      <dxf/>
    </rfmt>
    <rfmt sheetId="2" sqref="ID761" start="0" length="0">
      <dxf/>
    </rfmt>
    <rfmt sheetId="2" sqref="IE761" start="0" length="0">
      <dxf/>
    </rfmt>
    <rfmt sheetId="2" sqref="IF761" start="0" length="0">
      <dxf/>
    </rfmt>
    <rfmt sheetId="2" sqref="IG761" start="0" length="0">
      <dxf/>
    </rfmt>
    <rfmt sheetId="2" sqref="IH761" start="0" length="0">
      <dxf/>
    </rfmt>
    <rfmt sheetId="2" sqref="II761" start="0" length="0">
      <dxf/>
    </rfmt>
    <rfmt sheetId="2" sqref="IJ761" start="0" length="0">
      <dxf/>
    </rfmt>
    <rfmt sheetId="2" sqref="IK761" start="0" length="0">
      <dxf/>
    </rfmt>
    <rfmt sheetId="2" sqref="IL761" start="0" length="0">
      <dxf/>
    </rfmt>
    <rfmt sheetId="2" sqref="IM761" start="0" length="0">
      <dxf/>
    </rfmt>
    <rfmt sheetId="2" sqref="IN761" start="0" length="0">
      <dxf/>
    </rfmt>
    <rfmt sheetId="2" sqref="IO761" start="0" length="0">
      <dxf/>
    </rfmt>
    <rfmt sheetId="2" sqref="IP761" start="0" length="0">
      <dxf/>
    </rfmt>
    <rfmt sheetId="2" sqref="IQ761" start="0" length="0">
      <dxf/>
    </rfmt>
    <rfmt sheetId="2" sqref="IR761" start="0" length="0">
      <dxf/>
    </rfmt>
    <rfmt sheetId="2" sqref="IS761" start="0" length="0">
      <dxf/>
    </rfmt>
    <rfmt sheetId="2" sqref="IT761" start="0" length="0">
      <dxf/>
    </rfmt>
    <rfmt sheetId="2" sqref="IU761" start="0" length="0">
      <dxf/>
    </rfmt>
    <rfmt sheetId="2" sqref="IV761" start="0" length="0">
      <dxf/>
    </rfmt>
    <rfmt sheetId="2" sqref="IW761" start="0" length="0">
      <dxf/>
    </rfmt>
    <rfmt sheetId="2" sqref="IX761" start="0" length="0">
      <dxf/>
    </rfmt>
    <rfmt sheetId="2" sqref="IY761" start="0" length="0">
      <dxf/>
    </rfmt>
    <rfmt sheetId="2" sqref="IZ761" start="0" length="0">
      <dxf/>
    </rfmt>
    <rfmt sheetId="2" sqref="JA761" start="0" length="0">
      <dxf/>
    </rfmt>
    <rfmt sheetId="2" sqref="JB761" start="0" length="0">
      <dxf/>
    </rfmt>
    <rfmt sheetId="2" sqref="JC761" start="0" length="0">
      <dxf/>
    </rfmt>
    <rfmt sheetId="2" sqref="JD761" start="0" length="0">
      <dxf/>
    </rfmt>
    <rfmt sheetId="2" sqref="JE761" start="0" length="0">
      <dxf/>
    </rfmt>
    <rfmt sheetId="2" sqref="JF761" start="0" length="0">
      <dxf/>
    </rfmt>
    <rfmt sheetId="2" sqref="JG761" start="0" length="0">
      <dxf/>
    </rfmt>
    <rfmt sheetId="2" sqref="JH761" start="0" length="0">
      <dxf/>
    </rfmt>
    <rfmt sheetId="2" sqref="JI761" start="0" length="0">
      <dxf/>
    </rfmt>
    <rfmt sheetId="2" sqref="JJ761" start="0" length="0">
      <dxf/>
    </rfmt>
    <rfmt sheetId="2" sqref="JK761" start="0" length="0">
      <dxf/>
    </rfmt>
    <rfmt sheetId="2" sqref="JL761" start="0" length="0">
      <dxf/>
    </rfmt>
    <rfmt sheetId="2" sqref="JM761" start="0" length="0">
      <dxf/>
    </rfmt>
    <rfmt sheetId="2" sqref="JN761" start="0" length="0">
      <dxf/>
    </rfmt>
    <rfmt sheetId="2" sqref="JO761" start="0" length="0">
      <dxf/>
    </rfmt>
    <rfmt sheetId="2" sqref="JP761" start="0" length="0">
      <dxf/>
    </rfmt>
    <rfmt sheetId="2" sqref="JQ761" start="0" length="0">
      <dxf/>
    </rfmt>
    <rfmt sheetId="2" sqref="JR761" start="0" length="0">
      <dxf/>
    </rfmt>
    <rfmt sheetId="2" sqref="JS761" start="0" length="0">
      <dxf/>
    </rfmt>
    <rfmt sheetId="2" sqref="JT761" start="0" length="0">
      <dxf/>
    </rfmt>
    <rfmt sheetId="2" sqref="JU761" start="0" length="0">
      <dxf/>
    </rfmt>
    <rfmt sheetId="2" sqref="JV761" start="0" length="0">
      <dxf/>
    </rfmt>
    <rfmt sheetId="2" sqref="JW761" start="0" length="0">
      <dxf/>
    </rfmt>
    <rfmt sheetId="2" sqref="JX761" start="0" length="0">
      <dxf/>
    </rfmt>
    <rfmt sheetId="2" sqref="JY761" start="0" length="0">
      <dxf/>
    </rfmt>
    <rfmt sheetId="2" sqref="JZ761" start="0" length="0">
      <dxf/>
    </rfmt>
    <rfmt sheetId="2" sqref="KA761" start="0" length="0">
      <dxf/>
    </rfmt>
    <rfmt sheetId="2" sqref="KB761" start="0" length="0">
      <dxf/>
    </rfmt>
    <rfmt sheetId="2" sqref="KC761" start="0" length="0">
      <dxf/>
    </rfmt>
    <rfmt sheetId="2" sqref="KD761" start="0" length="0">
      <dxf/>
    </rfmt>
    <rfmt sheetId="2" sqref="KE761" start="0" length="0">
      <dxf/>
    </rfmt>
    <rfmt sheetId="2" sqref="KF761" start="0" length="0">
      <dxf/>
    </rfmt>
    <rfmt sheetId="2" sqref="KG761" start="0" length="0">
      <dxf/>
    </rfmt>
    <rfmt sheetId="2" sqref="KH761" start="0" length="0">
      <dxf/>
    </rfmt>
    <rfmt sheetId="2" sqref="KI761" start="0" length="0">
      <dxf/>
    </rfmt>
    <rfmt sheetId="2" sqref="KJ761" start="0" length="0">
      <dxf/>
    </rfmt>
    <rfmt sheetId="2" sqref="KK761" start="0" length="0">
      <dxf/>
    </rfmt>
    <rfmt sheetId="2" sqref="KL761" start="0" length="0">
      <dxf/>
    </rfmt>
    <rfmt sheetId="2" sqref="KM761" start="0" length="0">
      <dxf/>
    </rfmt>
    <rfmt sheetId="2" sqref="KN761" start="0" length="0">
      <dxf/>
    </rfmt>
    <rfmt sheetId="2" sqref="KO761" start="0" length="0">
      <dxf/>
    </rfmt>
    <rfmt sheetId="2" sqref="KP761" start="0" length="0">
      <dxf/>
    </rfmt>
    <rfmt sheetId="2" sqref="KQ761" start="0" length="0">
      <dxf/>
    </rfmt>
    <rfmt sheetId="2" sqref="KR761" start="0" length="0">
      <dxf/>
    </rfmt>
    <rfmt sheetId="2" sqref="KS761" start="0" length="0">
      <dxf/>
    </rfmt>
    <rfmt sheetId="2" sqref="KT761" start="0" length="0">
      <dxf/>
    </rfmt>
    <rfmt sheetId="2" sqref="KU761" start="0" length="0">
      <dxf/>
    </rfmt>
    <rfmt sheetId="2" sqref="KV761" start="0" length="0">
      <dxf/>
    </rfmt>
    <rfmt sheetId="2" sqref="KW761" start="0" length="0">
      <dxf/>
    </rfmt>
    <rfmt sheetId="2" sqref="KX761" start="0" length="0">
      <dxf/>
    </rfmt>
    <rfmt sheetId="2" sqref="KY761" start="0" length="0">
      <dxf/>
    </rfmt>
    <rfmt sheetId="2" sqref="KZ761" start="0" length="0">
      <dxf/>
    </rfmt>
    <rfmt sheetId="2" sqref="LA761" start="0" length="0">
      <dxf/>
    </rfmt>
    <rfmt sheetId="2" sqref="LB761" start="0" length="0">
      <dxf/>
    </rfmt>
    <rfmt sheetId="2" sqref="LC761" start="0" length="0">
      <dxf/>
    </rfmt>
    <rfmt sheetId="2" sqref="LD761" start="0" length="0">
      <dxf/>
    </rfmt>
    <rfmt sheetId="2" sqref="LE761" start="0" length="0">
      <dxf/>
    </rfmt>
    <rfmt sheetId="2" sqref="LF761" start="0" length="0">
      <dxf/>
    </rfmt>
    <rfmt sheetId="2" sqref="LG761" start="0" length="0">
      <dxf/>
    </rfmt>
    <rfmt sheetId="2" sqref="LH761" start="0" length="0">
      <dxf/>
    </rfmt>
    <rfmt sheetId="2" sqref="LI761" start="0" length="0">
      <dxf/>
    </rfmt>
    <rfmt sheetId="2" sqref="LJ761" start="0" length="0">
      <dxf/>
    </rfmt>
    <rfmt sheetId="2" sqref="LK761" start="0" length="0">
      <dxf/>
    </rfmt>
    <rfmt sheetId="2" sqref="LL761" start="0" length="0">
      <dxf/>
    </rfmt>
    <rfmt sheetId="2" sqref="LM761" start="0" length="0">
      <dxf/>
    </rfmt>
    <rfmt sheetId="2" sqref="LN761" start="0" length="0">
      <dxf/>
    </rfmt>
    <rfmt sheetId="2" sqref="LO761" start="0" length="0">
      <dxf/>
    </rfmt>
    <rfmt sheetId="2" sqref="LP761" start="0" length="0">
      <dxf/>
    </rfmt>
    <rfmt sheetId="2" sqref="LQ761" start="0" length="0">
      <dxf/>
    </rfmt>
    <rfmt sheetId="2" sqref="LR761" start="0" length="0">
      <dxf/>
    </rfmt>
    <rfmt sheetId="2" sqref="LS761" start="0" length="0">
      <dxf/>
    </rfmt>
    <rfmt sheetId="2" sqref="LT761" start="0" length="0">
      <dxf/>
    </rfmt>
    <rfmt sheetId="2" sqref="LU761" start="0" length="0">
      <dxf/>
    </rfmt>
    <rfmt sheetId="2" sqref="LV761" start="0" length="0">
      <dxf/>
    </rfmt>
    <rfmt sheetId="2" sqref="LW761" start="0" length="0">
      <dxf/>
    </rfmt>
    <rfmt sheetId="2" sqref="LX761" start="0" length="0">
      <dxf/>
    </rfmt>
    <rfmt sheetId="2" sqref="LY761" start="0" length="0">
      <dxf/>
    </rfmt>
    <rfmt sheetId="2" sqref="LZ761" start="0" length="0">
      <dxf/>
    </rfmt>
    <rfmt sheetId="2" sqref="MA761" start="0" length="0">
      <dxf/>
    </rfmt>
    <rfmt sheetId="2" sqref="MB761" start="0" length="0">
      <dxf/>
    </rfmt>
  </rrc>
  <rrc rId="1707" sId="2" ref="A761:XFD761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1:XFD761" start="0" length="0">
      <dxf>
        <font>
          <sz val="10"/>
          <name val="Arial"/>
          <scheme val="none"/>
        </font>
        <alignment horizontal="center" readingOrder="0"/>
      </dxf>
    </rfmt>
    <rfmt sheetId="2" sqref="A76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1" start="0" length="0">
      <dxf>
        <numFmt numFmtId="176" formatCode="m/d;@"/>
      </dxf>
    </rfmt>
    <rfmt sheetId="2" sqref="P76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1" start="0" length="0">
      <dxf/>
    </rfmt>
    <rfmt sheetId="2" sqref="U761" start="0" length="0">
      <dxf/>
    </rfmt>
    <rfmt sheetId="2" sqref="V761" start="0" length="0">
      <dxf/>
    </rfmt>
    <rfmt sheetId="2" sqref="W761" start="0" length="0">
      <dxf/>
    </rfmt>
    <rfmt sheetId="2" sqref="X761" start="0" length="0">
      <dxf/>
    </rfmt>
    <rfmt sheetId="2" sqref="Y761" start="0" length="0">
      <dxf/>
    </rfmt>
    <rfmt sheetId="2" sqref="Z761" start="0" length="0">
      <dxf/>
    </rfmt>
    <rfmt sheetId="2" sqref="AA761" start="0" length="0">
      <dxf/>
    </rfmt>
    <rfmt sheetId="2" sqref="AB761" start="0" length="0">
      <dxf/>
    </rfmt>
    <rfmt sheetId="2" sqref="AC761" start="0" length="0">
      <dxf/>
    </rfmt>
    <rfmt sheetId="2" sqref="AD761" start="0" length="0">
      <dxf/>
    </rfmt>
    <rfmt sheetId="2" sqref="AE761" start="0" length="0">
      <dxf/>
    </rfmt>
    <rfmt sheetId="2" sqref="AF761" start="0" length="0">
      <dxf/>
    </rfmt>
    <rfmt sheetId="2" sqref="AG761" start="0" length="0">
      <dxf/>
    </rfmt>
    <rfmt sheetId="2" sqref="AH761" start="0" length="0">
      <dxf/>
    </rfmt>
    <rfmt sheetId="2" sqref="AI761" start="0" length="0">
      <dxf/>
    </rfmt>
    <rfmt sheetId="2" sqref="AJ761" start="0" length="0">
      <dxf/>
    </rfmt>
    <rfmt sheetId="2" sqref="AK761" start="0" length="0">
      <dxf/>
    </rfmt>
    <rfmt sheetId="2" sqref="AL761" start="0" length="0">
      <dxf/>
    </rfmt>
    <rfmt sheetId="2" sqref="AM761" start="0" length="0">
      <dxf/>
    </rfmt>
    <rfmt sheetId="2" sqref="AN761" start="0" length="0">
      <dxf/>
    </rfmt>
    <rfmt sheetId="2" sqref="AO761" start="0" length="0">
      <dxf/>
    </rfmt>
    <rfmt sheetId="2" sqref="AP761" start="0" length="0">
      <dxf/>
    </rfmt>
    <rfmt sheetId="2" sqref="AQ761" start="0" length="0">
      <dxf/>
    </rfmt>
    <rfmt sheetId="2" sqref="AR761" start="0" length="0">
      <dxf/>
    </rfmt>
    <rfmt sheetId="2" sqref="AS761" start="0" length="0">
      <dxf/>
    </rfmt>
    <rfmt sheetId="2" sqref="AT761" start="0" length="0">
      <dxf/>
    </rfmt>
    <rfmt sheetId="2" sqref="AU761" start="0" length="0">
      <dxf/>
    </rfmt>
    <rfmt sheetId="2" sqref="AV761" start="0" length="0">
      <dxf/>
    </rfmt>
    <rfmt sheetId="2" sqref="AW761" start="0" length="0">
      <dxf/>
    </rfmt>
    <rfmt sheetId="2" sqref="AX761" start="0" length="0">
      <dxf/>
    </rfmt>
    <rfmt sheetId="2" sqref="AY761" start="0" length="0">
      <dxf/>
    </rfmt>
    <rfmt sheetId="2" sqref="AZ761" start="0" length="0">
      <dxf/>
    </rfmt>
    <rfmt sheetId="2" sqref="BA761" start="0" length="0">
      <dxf/>
    </rfmt>
    <rfmt sheetId="2" sqref="BB761" start="0" length="0">
      <dxf/>
    </rfmt>
    <rfmt sheetId="2" sqref="BC761" start="0" length="0">
      <dxf/>
    </rfmt>
    <rfmt sheetId="2" sqref="BD761" start="0" length="0">
      <dxf/>
    </rfmt>
    <rfmt sheetId="2" sqref="BE761" start="0" length="0">
      <dxf/>
    </rfmt>
    <rfmt sheetId="2" sqref="BF761" start="0" length="0">
      <dxf/>
    </rfmt>
    <rfmt sheetId="2" sqref="BG761" start="0" length="0">
      <dxf/>
    </rfmt>
    <rfmt sheetId="2" sqref="BH761" start="0" length="0">
      <dxf/>
    </rfmt>
    <rfmt sheetId="2" sqref="BI761" start="0" length="0">
      <dxf/>
    </rfmt>
    <rfmt sheetId="2" sqref="BJ761" start="0" length="0">
      <dxf/>
    </rfmt>
    <rfmt sheetId="2" sqref="BK761" start="0" length="0">
      <dxf/>
    </rfmt>
    <rfmt sheetId="2" sqref="BL761" start="0" length="0">
      <dxf/>
    </rfmt>
    <rfmt sheetId="2" sqref="BM761" start="0" length="0">
      <dxf/>
    </rfmt>
    <rfmt sheetId="2" sqref="BN761" start="0" length="0">
      <dxf/>
    </rfmt>
    <rfmt sheetId="2" sqref="BO761" start="0" length="0">
      <dxf/>
    </rfmt>
    <rfmt sheetId="2" sqref="BP761" start="0" length="0">
      <dxf/>
    </rfmt>
    <rfmt sheetId="2" sqref="BQ761" start="0" length="0">
      <dxf/>
    </rfmt>
    <rfmt sheetId="2" sqref="BR761" start="0" length="0">
      <dxf/>
    </rfmt>
    <rfmt sheetId="2" sqref="BS761" start="0" length="0">
      <dxf/>
    </rfmt>
    <rfmt sheetId="2" sqref="BT761" start="0" length="0">
      <dxf/>
    </rfmt>
    <rfmt sheetId="2" sqref="BU761" start="0" length="0">
      <dxf/>
    </rfmt>
    <rfmt sheetId="2" sqref="BV761" start="0" length="0">
      <dxf/>
    </rfmt>
    <rfmt sheetId="2" sqref="BW761" start="0" length="0">
      <dxf/>
    </rfmt>
    <rfmt sheetId="2" sqref="BX761" start="0" length="0">
      <dxf/>
    </rfmt>
    <rfmt sheetId="2" sqref="BY761" start="0" length="0">
      <dxf/>
    </rfmt>
    <rfmt sheetId="2" sqref="BZ761" start="0" length="0">
      <dxf/>
    </rfmt>
    <rfmt sheetId="2" sqref="CA761" start="0" length="0">
      <dxf/>
    </rfmt>
    <rfmt sheetId="2" sqref="CB761" start="0" length="0">
      <dxf/>
    </rfmt>
    <rfmt sheetId="2" sqref="CC761" start="0" length="0">
      <dxf/>
    </rfmt>
    <rfmt sheetId="2" sqref="CD761" start="0" length="0">
      <dxf/>
    </rfmt>
    <rfmt sheetId="2" sqref="CE761" start="0" length="0">
      <dxf/>
    </rfmt>
    <rfmt sheetId="2" sqref="CF761" start="0" length="0">
      <dxf/>
    </rfmt>
    <rfmt sheetId="2" sqref="CG761" start="0" length="0">
      <dxf/>
    </rfmt>
    <rfmt sheetId="2" sqref="CH761" start="0" length="0">
      <dxf/>
    </rfmt>
    <rfmt sheetId="2" sqref="CI761" start="0" length="0">
      <dxf/>
    </rfmt>
    <rfmt sheetId="2" sqref="CJ761" start="0" length="0">
      <dxf/>
    </rfmt>
    <rfmt sheetId="2" sqref="CK761" start="0" length="0">
      <dxf/>
    </rfmt>
    <rfmt sheetId="2" sqref="CL761" start="0" length="0">
      <dxf/>
    </rfmt>
    <rfmt sheetId="2" sqref="CM761" start="0" length="0">
      <dxf/>
    </rfmt>
    <rfmt sheetId="2" sqref="CN761" start="0" length="0">
      <dxf/>
    </rfmt>
    <rfmt sheetId="2" sqref="CO761" start="0" length="0">
      <dxf/>
    </rfmt>
    <rfmt sheetId="2" sqref="CP761" start="0" length="0">
      <dxf/>
    </rfmt>
    <rfmt sheetId="2" sqref="CQ761" start="0" length="0">
      <dxf/>
    </rfmt>
    <rfmt sheetId="2" sqref="CR761" start="0" length="0">
      <dxf/>
    </rfmt>
    <rfmt sheetId="2" sqref="CS761" start="0" length="0">
      <dxf/>
    </rfmt>
    <rfmt sheetId="2" sqref="CT761" start="0" length="0">
      <dxf/>
    </rfmt>
    <rfmt sheetId="2" sqref="CU761" start="0" length="0">
      <dxf/>
    </rfmt>
    <rfmt sheetId="2" sqref="CV761" start="0" length="0">
      <dxf/>
    </rfmt>
    <rfmt sheetId="2" sqref="CW761" start="0" length="0">
      <dxf/>
    </rfmt>
    <rfmt sheetId="2" sqref="CX761" start="0" length="0">
      <dxf/>
    </rfmt>
    <rfmt sheetId="2" sqref="CY761" start="0" length="0">
      <dxf/>
    </rfmt>
    <rfmt sheetId="2" sqref="CZ761" start="0" length="0">
      <dxf/>
    </rfmt>
    <rfmt sheetId="2" sqref="DA761" start="0" length="0">
      <dxf/>
    </rfmt>
    <rfmt sheetId="2" sqref="DB761" start="0" length="0">
      <dxf/>
    </rfmt>
    <rfmt sheetId="2" sqref="DC761" start="0" length="0">
      <dxf/>
    </rfmt>
    <rfmt sheetId="2" sqref="DD761" start="0" length="0">
      <dxf/>
    </rfmt>
    <rfmt sheetId="2" sqref="DE761" start="0" length="0">
      <dxf/>
    </rfmt>
    <rfmt sheetId="2" sqref="DF761" start="0" length="0">
      <dxf/>
    </rfmt>
    <rfmt sheetId="2" sqref="DG761" start="0" length="0">
      <dxf/>
    </rfmt>
    <rfmt sheetId="2" sqref="DH761" start="0" length="0">
      <dxf/>
    </rfmt>
    <rfmt sheetId="2" sqref="DI761" start="0" length="0">
      <dxf/>
    </rfmt>
    <rfmt sheetId="2" sqref="DJ761" start="0" length="0">
      <dxf/>
    </rfmt>
    <rfmt sheetId="2" sqref="DK761" start="0" length="0">
      <dxf/>
    </rfmt>
    <rfmt sheetId="2" sqref="DL761" start="0" length="0">
      <dxf/>
    </rfmt>
    <rfmt sheetId="2" sqref="DM761" start="0" length="0">
      <dxf/>
    </rfmt>
    <rfmt sheetId="2" sqref="DN761" start="0" length="0">
      <dxf/>
    </rfmt>
    <rfmt sheetId="2" sqref="DO761" start="0" length="0">
      <dxf/>
    </rfmt>
    <rfmt sheetId="2" sqref="DP761" start="0" length="0">
      <dxf/>
    </rfmt>
    <rfmt sheetId="2" sqref="DQ761" start="0" length="0">
      <dxf/>
    </rfmt>
    <rfmt sheetId="2" sqref="DR761" start="0" length="0">
      <dxf/>
    </rfmt>
    <rfmt sheetId="2" sqref="DS761" start="0" length="0">
      <dxf/>
    </rfmt>
    <rfmt sheetId="2" sqref="DT761" start="0" length="0">
      <dxf/>
    </rfmt>
    <rfmt sheetId="2" sqref="DU761" start="0" length="0">
      <dxf/>
    </rfmt>
    <rfmt sheetId="2" sqref="DV761" start="0" length="0">
      <dxf/>
    </rfmt>
    <rfmt sheetId="2" sqref="DW761" start="0" length="0">
      <dxf/>
    </rfmt>
    <rfmt sheetId="2" sqref="DX761" start="0" length="0">
      <dxf/>
    </rfmt>
    <rfmt sheetId="2" sqref="DY761" start="0" length="0">
      <dxf/>
    </rfmt>
    <rfmt sheetId="2" sqref="DZ761" start="0" length="0">
      <dxf/>
    </rfmt>
    <rfmt sheetId="2" sqref="EA761" start="0" length="0">
      <dxf/>
    </rfmt>
    <rfmt sheetId="2" sqref="EB761" start="0" length="0">
      <dxf/>
    </rfmt>
    <rfmt sheetId="2" sqref="EC761" start="0" length="0">
      <dxf/>
    </rfmt>
    <rfmt sheetId="2" sqref="ED761" start="0" length="0">
      <dxf/>
    </rfmt>
    <rfmt sheetId="2" sqref="EE761" start="0" length="0">
      <dxf/>
    </rfmt>
    <rfmt sheetId="2" sqref="EF761" start="0" length="0">
      <dxf/>
    </rfmt>
    <rfmt sheetId="2" sqref="EG761" start="0" length="0">
      <dxf/>
    </rfmt>
    <rfmt sheetId="2" sqref="EH761" start="0" length="0">
      <dxf/>
    </rfmt>
    <rfmt sheetId="2" sqref="EI761" start="0" length="0">
      <dxf/>
    </rfmt>
    <rfmt sheetId="2" sqref="EJ761" start="0" length="0">
      <dxf/>
    </rfmt>
    <rfmt sheetId="2" sqref="EK761" start="0" length="0">
      <dxf/>
    </rfmt>
    <rfmt sheetId="2" sqref="EL761" start="0" length="0">
      <dxf/>
    </rfmt>
    <rfmt sheetId="2" sqref="EM761" start="0" length="0">
      <dxf/>
    </rfmt>
    <rfmt sheetId="2" sqref="EN761" start="0" length="0">
      <dxf/>
    </rfmt>
    <rfmt sheetId="2" sqref="EO761" start="0" length="0">
      <dxf/>
    </rfmt>
    <rfmt sheetId="2" sqref="EP761" start="0" length="0">
      <dxf/>
    </rfmt>
    <rfmt sheetId="2" sqref="EQ761" start="0" length="0">
      <dxf/>
    </rfmt>
    <rfmt sheetId="2" sqref="ER761" start="0" length="0">
      <dxf/>
    </rfmt>
    <rfmt sheetId="2" sqref="ES761" start="0" length="0">
      <dxf/>
    </rfmt>
    <rfmt sheetId="2" sqref="ET761" start="0" length="0">
      <dxf/>
    </rfmt>
    <rfmt sheetId="2" sqref="EU761" start="0" length="0">
      <dxf/>
    </rfmt>
    <rfmt sheetId="2" sqref="EV761" start="0" length="0">
      <dxf/>
    </rfmt>
    <rfmt sheetId="2" sqref="EW761" start="0" length="0">
      <dxf/>
    </rfmt>
    <rfmt sheetId="2" sqref="EX761" start="0" length="0">
      <dxf/>
    </rfmt>
    <rfmt sheetId="2" sqref="EY761" start="0" length="0">
      <dxf/>
    </rfmt>
    <rfmt sheetId="2" sqref="EZ761" start="0" length="0">
      <dxf/>
    </rfmt>
    <rfmt sheetId="2" sqref="FA761" start="0" length="0">
      <dxf/>
    </rfmt>
    <rfmt sheetId="2" sqref="FB761" start="0" length="0">
      <dxf/>
    </rfmt>
    <rfmt sheetId="2" sqref="FC761" start="0" length="0">
      <dxf/>
    </rfmt>
    <rfmt sheetId="2" sqref="FD761" start="0" length="0">
      <dxf/>
    </rfmt>
    <rfmt sheetId="2" sqref="FE761" start="0" length="0">
      <dxf/>
    </rfmt>
    <rfmt sheetId="2" sqref="FF761" start="0" length="0">
      <dxf/>
    </rfmt>
    <rfmt sheetId="2" sqref="FG761" start="0" length="0">
      <dxf/>
    </rfmt>
    <rfmt sheetId="2" sqref="FH761" start="0" length="0">
      <dxf/>
    </rfmt>
    <rfmt sheetId="2" sqref="FI761" start="0" length="0">
      <dxf/>
    </rfmt>
    <rfmt sheetId="2" sqref="FJ761" start="0" length="0">
      <dxf/>
    </rfmt>
    <rfmt sheetId="2" sqref="FK761" start="0" length="0">
      <dxf/>
    </rfmt>
    <rfmt sheetId="2" sqref="FL761" start="0" length="0">
      <dxf/>
    </rfmt>
    <rfmt sheetId="2" sqref="FM761" start="0" length="0">
      <dxf/>
    </rfmt>
    <rfmt sheetId="2" sqref="FN761" start="0" length="0">
      <dxf/>
    </rfmt>
    <rfmt sheetId="2" sqref="FO761" start="0" length="0">
      <dxf/>
    </rfmt>
    <rfmt sheetId="2" sqref="FP761" start="0" length="0">
      <dxf/>
    </rfmt>
    <rfmt sheetId="2" sqref="FQ761" start="0" length="0">
      <dxf/>
    </rfmt>
    <rfmt sheetId="2" sqref="FR761" start="0" length="0">
      <dxf/>
    </rfmt>
    <rfmt sheetId="2" sqref="FS761" start="0" length="0">
      <dxf/>
    </rfmt>
    <rfmt sheetId="2" sqref="FT761" start="0" length="0">
      <dxf/>
    </rfmt>
    <rfmt sheetId="2" sqref="FU761" start="0" length="0">
      <dxf/>
    </rfmt>
    <rfmt sheetId="2" sqref="FV761" start="0" length="0">
      <dxf/>
    </rfmt>
    <rfmt sheetId="2" sqref="FW761" start="0" length="0">
      <dxf/>
    </rfmt>
    <rfmt sheetId="2" sqref="FX761" start="0" length="0">
      <dxf/>
    </rfmt>
    <rfmt sheetId="2" sqref="FY761" start="0" length="0">
      <dxf/>
    </rfmt>
    <rfmt sheetId="2" sqref="FZ761" start="0" length="0">
      <dxf/>
    </rfmt>
    <rfmt sheetId="2" sqref="GA761" start="0" length="0">
      <dxf/>
    </rfmt>
    <rfmt sheetId="2" sqref="GB761" start="0" length="0">
      <dxf/>
    </rfmt>
    <rfmt sheetId="2" sqref="GC761" start="0" length="0">
      <dxf/>
    </rfmt>
    <rfmt sheetId="2" sqref="GD761" start="0" length="0">
      <dxf/>
    </rfmt>
    <rfmt sheetId="2" sqref="GE761" start="0" length="0">
      <dxf/>
    </rfmt>
    <rfmt sheetId="2" sqref="GF761" start="0" length="0">
      <dxf/>
    </rfmt>
    <rfmt sheetId="2" sqref="GG761" start="0" length="0">
      <dxf/>
    </rfmt>
    <rfmt sheetId="2" sqref="GH761" start="0" length="0">
      <dxf/>
    </rfmt>
    <rfmt sheetId="2" sqref="GI761" start="0" length="0">
      <dxf/>
    </rfmt>
    <rfmt sheetId="2" sqref="GJ761" start="0" length="0">
      <dxf/>
    </rfmt>
    <rfmt sheetId="2" sqref="GK761" start="0" length="0">
      <dxf/>
    </rfmt>
    <rfmt sheetId="2" sqref="GL761" start="0" length="0">
      <dxf/>
    </rfmt>
    <rfmt sheetId="2" sqref="GM761" start="0" length="0">
      <dxf/>
    </rfmt>
    <rfmt sheetId="2" sqref="GN761" start="0" length="0">
      <dxf/>
    </rfmt>
    <rfmt sheetId="2" sqref="GO761" start="0" length="0">
      <dxf/>
    </rfmt>
    <rfmt sheetId="2" sqref="GP761" start="0" length="0">
      <dxf/>
    </rfmt>
    <rfmt sheetId="2" sqref="GQ761" start="0" length="0">
      <dxf/>
    </rfmt>
    <rfmt sheetId="2" sqref="GR761" start="0" length="0">
      <dxf/>
    </rfmt>
    <rfmt sheetId="2" sqref="GS761" start="0" length="0">
      <dxf/>
    </rfmt>
    <rfmt sheetId="2" sqref="GT761" start="0" length="0">
      <dxf/>
    </rfmt>
    <rfmt sheetId="2" sqref="GU761" start="0" length="0">
      <dxf/>
    </rfmt>
    <rfmt sheetId="2" sqref="GV761" start="0" length="0">
      <dxf/>
    </rfmt>
    <rfmt sheetId="2" sqref="GW761" start="0" length="0">
      <dxf/>
    </rfmt>
    <rfmt sheetId="2" sqref="GX761" start="0" length="0">
      <dxf/>
    </rfmt>
    <rfmt sheetId="2" sqref="GY761" start="0" length="0">
      <dxf/>
    </rfmt>
    <rfmt sheetId="2" sqref="GZ761" start="0" length="0">
      <dxf/>
    </rfmt>
    <rfmt sheetId="2" sqref="HA761" start="0" length="0">
      <dxf/>
    </rfmt>
    <rfmt sheetId="2" sqref="HB761" start="0" length="0">
      <dxf/>
    </rfmt>
    <rfmt sheetId="2" sqref="HC761" start="0" length="0">
      <dxf/>
    </rfmt>
    <rfmt sheetId="2" sqref="HD761" start="0" length="0">
      <dxf/>
    </rfmt>
    <rfmt sheetId="2" sqref="HE761" start="0" length="0">
      <dxf/>
    </rfmt>
    <rfmt sheetId="2" sqref="HF761" start="0" length="0">
      <dxf/>
    </rfmt>
    <rfmt sheetId="2" sqref="HG761" start="0" length="0">
      <dxf/>
    </rfmt>
    <rfmt sheetId="2" sqref="HH761" start="0" length="0">
      <dxf/>
    </rfmt>
    <rfmt sheetId="2" sqref="HI761" start="0" length="0">
      <dxf/>
    </rfmt>
    <rfmt sheetId="2" sqref="HJ761" start="0" length="0">
      <dxf/>
    </rfmt>
    <rfmt sheetId="2" sqref="HK761" start="0" length="0">
      <dxf/>
    </rfmt>
    <rfmt sheetId="2" sqref="HL761" start="0" length="0">
      <dxf/>
    </rfmt>
    <rfmt sheetId="2" sqref="HM761" start="0" length="0">
      <dxf/>
    </rfmt>
    <rfmt sheetId="2" sqref="HN761" start="0" length="0">
      <dxf/>
    </rfmt>
    <rfmt sheetId="2" sqref="HO761" start="0" length="0">
      <dxf/>
    </rfmt>
    <rfmt sheetId="2" sqref="HP761" start="0" length="0">
      <dxf/>
    </rfmt>
    <rfmt sheetId="2" sqref="HQ761" start="0" length="0">
      <dxf/>
    </rfmt>
    <rfmt sheetId="2" sqref="HR761" start="0" length="0">
      <dxf/>
    </rfmt>
    <rfmt sheetId="2" sqref="HS761" start="0" length="0">
      <dxf/>
    </rfmt>
    <rfmt sheetId="2" sqref="HT761" start="0" length="0">
      <dxf/>
    </rfmt>
    <rfmt sheetId="2" sqref="HU761" start="0" length="0">
      <dxf/>
    </rfmt>
    <rfmt sheetId="2" sqref="HV761" start="0" length="0">
      <dxf/>
    </rfmt>
    <rfmt sheetId="2" sqref="HW761" start="0" length="0">
      <dxf/>
    </rfmt>
    <rfmt sheetId="2" sqref="HX761" start="0" length="0">
      <dxf/>
    </rfmt>
    <rfmt sheetId="2" sqref="HY761" start="0" length="0">
      <dxf/>
    </rfmt>
    <rfmt sheetId="2" sqref="HZ761" start="0" length="0">
      <dxf/>
    </rfmt>
    <rfmt sheetId="2" sqref="IA761" start="0" length="0">
      <dxf/>
    </rfmt>
    <rfmt sheetId="2" sqref="IB761" start="0" length="0">
      <dxf/>
    </rfmt>
    <rfmt sheetId="2" sqref="IC761" start="0" length="0">
      <dxf/>
    </rfmt>
    <rfmt sheetId="2" sqref="ID761" start="0" length="0">
      <dxf/>
    </rfmt>
    <rfmt sheetId="2" sqref="IE761" start="0" length="0">
      <dxf/>
    </rfmt>
    <rfmt sheetId="2" sqref="IF761" start="0" length="0">
      <dxf/>
    </rfmt>
    <rfmt sheetId="2" sqref="IG761" start="0" length="0">
      <dxf/>
    </rfmt>
    <rfmt sheetId="2" sqref="IH761" start="0" length="0">
      <dxf/>
    </rfmt>
    <rfmt sheetId="2" sqref="II761" start="0" length="0">
      <dxf/>
    </rfmt>
    <rfmt sheetId="2" sqref="IJ761" start="0" length="0">
      <dxf/>
    </rfmt>
    <rfmt sheetId="2" sqref="IK761" start="0" length="0">
      <dxf/>
    </rfmt>
    <rfmt sheetId="2" sqref="IL761" start="0" length="0">
      <dxf/>
    </rfmt>
    <rfmt sheetId="2" sqref="IM761" start="0" length="0">
      <dxf/>
    </rfmt>
    <rfmt sheetId="2" sqref="IN761" start="0" length="0">
      <dxf/>
    </rfmt>
    <rfmt sheetId="2" sqref="IO761" start="0" length="0">
      <dxf/>
    </rfmt>
    <rfmt sheetId="2" sqref="IP761" start="0" length="0">
      <dxf/>
    </rfmt>
    <rfmt sheetId="2" sqref="IQ761" start="0" length="0">
      <dxf/>
    </rfmt>
    <rfmt sheetId="2" sqref="IR761" start="0" length="0">
      <dxf/>
    </rfmt>
    <rfmt sheetId="2" sqref="IS761" start="0" length="0">
      <dxf/>
    </rfmt>
    <rfmt sheetId="2" sqref="IT761" start="0" length="0">
      <dxf/>
    </rfmt>
    <rfmt sheetId="2" sqref="IU761" start="0" length="0">
      <dxf/>
    </rfmt>
    <rfmt sheetId="2" sqref="IV761" start="0" length="0">
      <dxf/>
    </rfmt>
    <rfmt sheetId="2" sqref="IW761" start="0" length="0">
      <dxf/>
    </rfmt>
    <rfmt sheetId="2" sqref="IX761" start="0" length="0">
      <dxf/>
    </rfmt>
    <rfmt sheetId="2" sqref="IY761" start="0" length="0">
      <dxf/>
    </rfmt>
    <rfmt sheetId="2" sqref="IZ761" start="0" length="0">
      <dxf/>
    </rfmt>
    <rfmt sheetId="2" sqref="JA761" start="0" length="0">
      <dxf/>
    </rfmt>
    <rfmt sheetId="2" sqref="JB761" start="0" length="0">
      <dxf/>
    </rfmt>
    <rfmt sheetId="2" sqref="JC761" start="0" length="0">
      <dxf/>
    </rfmt>
    <rfmt sheetId="2" sqref="JD761" start="0" length="0">
      <dxf/>
    </rfmt>
    <rfmt sheetId="2" sqref="JE761" start="0" length="0">
      <dxf/>
    </rfmt>
    <rfmt sheetId="2" sqref="JF761" start="0" length="0">
      <dxf/>
    </rfmt>
    <rfmt sheetId="2" sqref="JG761" start="0" length="0">
      <dxf/>
    </rfmt>
    <rfmt sheetId="2" sqref="JH761" start="0" length="0">
      <dxf/>
    </rfmt>
    <rfmt sheetId="2" sqref="JI761" start="0" length="0">
      <dxf/>
    </rfmt>
    <rfmt sheetId="2" sqref="JJ761" start="0" length="0">
      <dxf/>
    </rfmt>
    <rfmt sheetId="2" sqref="JK761" start="0" length="0">
      <dxf/>
    </rfmt>
    <rfmt sheetId="2" sqref="JL761" start="0" length="0">
      <dxf/>
    </rfmt>
    <rfmt sheetId="2" sqref="JM761" start="0" length="0">
      <dxf/>
    </rfmt>
    <rfmt sheetId="2" sqref="JN761" start="0" length="0">
      <dxf/>
    </rfmt>
    <rfmt sheetId="2" sqref="JO761" start="0" length="0">
      <dxf/>
    </rfmt>
    <rfmt sheetId="2" sqref="JP761" start="0" length="0">
      <dxf/>
    </rfmt>
    <rfmt sheetId="2" sqref="JQ761" start="0" length="0">
      <dxf/>
    </rfmt>
    <rfmt sheetId="2" sqref="JR761" start="0" length="0">
      <dxf/>
    </rfmt>
    <rfmt sheetId="2" sqref="JS761" start="0" length="0">
      <dxf/>
    </rfmt>
    <rfmt sheetId="2" sqref="JT761" start="0" length="0">
      <dxf/>
    </rfmt>
    <rfmt sheetId="2" sqref="JU761" start="0" length="0">
      <dxf/>
    </rfmt>
    <rfmt sheetId="2" sqref="JV761" start="0" length="0">
      <dxf/>
    </rfmt>
    <rfmt sheetId="2" sqref="JW761" start="0" length="0">
      <dxf/>
    </rfmt>
    <rfmt sheetId="2" sqref="JX761" start="0" length="0">
      <dxf/>
    </rfmt>
    <rfmt sheetId="2" sqref="JY761" start="0" length="0">
      <dxf/>
    </rfmt>
    <rfmt sheetId="2" sqref="JZ761" start="0" length="0">
      <dxf/>
    </rfmt>
    <rfmt sheetId="2" sqref="KA761" start="0" length="0">
      <dxf/>
    </rfmt>
    <rfmt sheetId="2" sqref="KB761" start="0" length="0">
      <dxf/>
    </rfmt>
    <rfmt sheetId="2" sqref="KC761" start="0" length="0">
      <dxf/>
    </rfmt>
    <rfmt sheetId="2" sqref="KD761" start="0" length="0">
      <dxf/>
    </rfmt>
    <rfmt sheetId="2" sqref="KE761" start="0" length="0">
      <dxf/>
    </rfmt>
    <rfmt sheetId="2" sqref="KF761" start="0" length="0">
      <dxf/>
    </rfmt>
    <rfmt sheetId="2" sqref="KG761" start="0" length="0">
      <dxf/>
    </rfmt>
    <rfmt sheetId="2" sqref="KH761" start="0" length="0">
      <dxf/>
    </rfmt>
    <rfmt sheetId="2" sqref="KI761" start="0" length="0">
      <dxf/>
    </rfmt>
    <rfmt sheetId="2" sqref="KJ761" start="0" length="0">
      <dxf/>
    </rfmt>
    <rfmt sheetId="2" sqref="KK761" start="0" length="0">
      <dxf/>
    </rfmt>
    <rfmt sheetId="2" sqref="KL761" start="0" length="0">
      <dxf/>
    </rfmt>
    <rfmt sheetId="2" sqref="KM761" start="0" length="0">
      <dxf/>
    </rfmt>
    <rfmt sheetId="2" sqref="KN761" start="0" length="0">
      <dxf/>
    </rfmt>
    <rfmt sheetId="2" sqref="KO761" start="0" length="0">
      <dxf/>
    </rfmt>
    <rfmt sheetId="2" sqref="KP761" start="0" length="0">
      <dxf/>
    </rfmt>
    <rfmt sheetId="2" sqref="KQ761" start="0" length="0">
      <dxf/>
    </rfmt>
    <rfmt sheetId="2" sqref="KR761" start="0" length="0">
      <dxf/>
    </rfmt>
    <rfmt sheetId="2" sqref="KS761" start="0" length="0">
      <dxf/>
    </rfmt>
    <rfmt sheetId="2" sqref="KT761" start="0" length="0">
      <dxf/>
    </rfmt>
    <rfmt sheetId="2" sqref="KU761" start="0" length="0">
      <dxf/>
    </rfmt>
    <rfmt sheetId="2" sqref="KV761" start="0" length="0">
      <dxf/>
    </rfmt>
    <rfmt sheetId="2" sqref="KW761" start="0" length="0">
      <dxf/>
    </rfmt>
    <rfmt sheetId="2" sqref="KX761" start="0" length="0">
      <dxf/>
    </rfmt>
    <rfmt sheetId="2" sqref="KY761" start="0" length="0">
      <dxf/>
    </rfmt>
    <rfmt sheetId="2" sqref="KZ761" start="0" length="0">
      <dxf/>
    </rfmt>
    <rfmt sheetId="2" sqref="LA761" start="0" length="0">
      <dxf/>
    </rfmt>
    <rfmt sheetId="2" sqref="LB761" start="0" length="0">
      <dxf/>
    </rfmt>
    <rfmt sheetId="2" sqref="LC761" start="0" length="0">
      <dxf/>
    </rfmt>
    <rfmt sheetId="2" sqref="LD761" start="0" length="0">
      <dxf/>
    </rfmt>
    <rfmt sheetId="2" sqref="LE761" start="0" length="0">
      <dxf/>
    </rfmt>
    <rfmt sheetId="2" sqref="LF761" start="0" length="0">
      <dxf/>
    </rfmt>
    <rfmt sheetId="2" sqref="LG761" start="0" length="0">
      <dxf/>
    </rfmt>
    <rfmt sheetId="2" sqref="LH761" start="0" length="0">
      <dxf/>
    </rfmt>
    <rfmt sheetId="2" sqref="LI761" start="0" length="0">
      <dxf/>
    </rfmt>
    <rfmt sheetId="2" sqref="LJ761" start="0" length="0">
      <dxf/>
    </rfmt>
    <rfmt sheetId="2" sqref="LK761" start="0" length="0">
      <dxf/>
    </rfmt>
    <rfmt sheetId="2" sqref="LL761" start="0" length="0">
      <dxf/>
    </rfmt>
    <rfmt sheetId="2" sqref="LM761" start="0" length="0">
      <dxf/>
    </rfmt>
    <rfmt sheetId="2" sqref="LN761" start="0" length="0">
      <dxf/>
    </rfmt>
    <rfmt sheetId="2" sqref="LO761" start="0" length="0">
      <dxf/>
    </rfmt>
    <rfmt sheetId="2" sqref="LP761" start="0" length="0">
      <dxf/>
    </rfmt>
    <rfmt sheetId="2" sqref="LQ761" start="0" length="0">
      <dxf/>
    </rfmt>
    <rfmt sheetId="2" sqref="LR761" start="0" length="0">
      <dxf/>
    </rfmt>
    <rfmt sheetId="2" sqref="LS761" start="0" length="0">
      <dxf/>
    </rfmt>
    <rfmt sheetId="2" sqref="LT761" start="0" length="0">
      <dxf/>
    </rfmt>
    <rfmt sheetId="2" sqref="LU761" start="0" length="0">
      <dxf/>
    </rfmt>
    <rfmt sheetId="2" sqref="LV761" start="0" length="0">
      <dxf/>
    </rfmt>
    <rfmt sheetId="2" sqref="LW761" start="0" length="0">
      <dxf/>
    </rfmt>
    <rfmt sheetId="2" sqref="LX761" start="0" length="0">
      <dxf/>
    </rfmt>
    <rfmt sheetId="2" sqref="LY761" start="0" length="0">
      <dxf/>
    </rfmt>
    <rfmt sheetId="2" sqref="LZ761" start="0" length="0">
      <dxf/>
    </rfmt>
    <rfmt sheetId="2" sqref="MA761" start="0" length="0">
      <dxf/>
    </rfmt>
    <rfmt sheetId="2" sqref="MB761" start="0" length="0">
      <dxf/>
    </rfmt>
  </rrc>
  <rrc rId="1708" sId="2" ref="A752:XFD753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09" sheetId="2" source="A763:XFD764" destination="A752:XFD753" sourceSheetId="2">
    <rfmt sheetId="2" xfDxf="1" sqref="A752:XFD752" start="0" length="0">
      <dxf>
        <font>
          <sz val="10"/>
          <name val="Arial"/>
          <scheme val="none"/>
        </font>
        <alignment horizontal="center" readingOrder="0"/>
      </dxf>
    </rfmt>
    <rfmt sheetId="2" xfDxf="1" sqref="A753:XFD753" start="0" length="0">
      <dxf>
        <font>
          <sz val="10"/>
          <name val="Arial"/>
          <scheme val="none"/>
        </font>
        <alignment horizontal="center" readingOrder="0"/>
      </dxf>
    </rfmt>
    <rfmt sheetId="2" sqref="A75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52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5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5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5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5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52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5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5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5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5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52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5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52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52" start="0" length="0">
      <dxf>
        <numFmt numFmtId="176" formatCode="m/d;@"/>
      </dxf>
    </rfmt>
    <rfmt sheetId="2" sqref="P752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52" start="0" length="0">
      <dxf/>
    </rfmt>
    <rfmt sheetId="2" sqref="U752" start="0" length="0">
      <dxf/>
    </rfmt>
    <rfmt sheetId="2" sqref="V752" start="0" length="0">
      <dxf/>
    </rfmt>
    <rfmt sheetId="2" sqref="W752" start="0" length="0">
      <dxf/>
    </rfmt>
    <rfmt sheetId="2" sqref="X752" start="0" length="0">
      <dxf/>
    </rfmt>
    <rfmt sheetId="2" sqref="Y752" start="0" length="0">
      <dxf/>
    </rfmt>
    <rfmt sheetId="2" sqref="Z752" start="0" length="0">
      <dxf/>
    </rfmt>
    <rfmt sheetId="2" sqref="AA752" start="0" length="0">
      <dxf/>
    </rfmt>
    <rfmt sheetId="2" sqref="AB752" start="0" length="0">
      <dxf/>
    </rfmt>
    <rfmt sheetId="2" sqref="AC752" start="0" length="0">
      <dxf/>
    </rfmt>
    <rfmt sheetId="2" sqref="AD752" start="0" length="0">
      <dxf/>
    </rfmt>
    <rfmt sheetId="2" sqref="AE752" start="0" length="0">
      <dxf/>
    </rfmt>
    <rfmt sheetId="2" sqref="AF752" start="0" length="0">
      <dxf/>
    </rfmt>
    <rfmt sheetId="2" sqref="AG752" start="0" length="0">
      <dxf/>
    </rfmt>
    <rfmt sheetId="2" sqref="AH752" start="0" length="0">
      <dxf/>
    </rfmt>
    <rfmt sheetId="2" sqref="AI752" start="0" length="0">
      <dxf/>
    </rfmt>
    <rfmt sheetId="2" sqref="AJ752" start="0" length="0">
      <dxf/>
    </rfmt>
    <rfmt sheetId="2" sqref="AK752" start="0" length="0">
      <dxf/>
    </rfmt>
    <rfmt sheetId="2" sqref="AL752" start="0" length="0">
      <dxf/>
    </rfmt>
    <rfmt sheetId="2" sqref="AM752" start="0" length="0">
      <dxf/>
    </rfmt>
    <rfmt sheetId="2" sqref="AN752" start="0" length="0">
      <dxf/>
    </rfmt>
    <rfmt sheetId="2" sqref="AO752" start="0" length="0">
      <dxf/>
    </rfmt>
    <rfmt sheetId="2" sqref="AP752" start="0" length="0">
      <dxf/>
    </rfmt>
    <rfmt sheetId="2" sqref="AQ752" start="0" length="0">
      <dxf/>
    </rfmt>
    <rfmt sheetId="2" sqref="AR752" start="0" length="0">
      <dxf/>
    </rfmt>
    <rfmt sheetId="2" sqref="AS752" start="0" length="0">
      <dxf/>
    </rfmt>
    <rfmt sheetId="2" sqref="AT752" start="0" length="0">
      <dxf/>
    </rfmt>
    <rfmt sheetId="2" sqref="AU752" start="0" length="0">
      <dxf/>
    </rfmt>
    <rfmt sheetId="2" sqref="AV752" start="0" length="0">
      <dxf/>
    </rfmt>
    <rfmt sheetId="2" sqref="AW752" start="0" length="0">
      <dxf/>
    </rfmt>
    <rfmt sheetId="2" sqref="AX752" start="0" length="0">
      <dxf/>
    </rfmt>
    <rfmt sheetId="2" sqref="AY752" start="0" length="0">
      <dxf/>
    </rfmt>
    <rfmt sheetId="2" sqref="AZ752" start="0" length="0">
      <dxf/>
    </rfmt>
    <rfmt sheetId="2" sqref="BA752" start="0" length="0">
      <dxf/>
    </rfmt>
    <rfmt sheetId="2" sqref="BB752" start="0" length="0">
      <dxf/>
    </rfmt>
    <rfmt sheetId="2" sqref="BC752" start="0" length="0">
      <dxf/>
    </rfmt>
    <rfmt sheetId="2" sqref="BD752" start="0" length="0">
      <dxf/>
    </rfmt>
    <rfmt sheetId="2" sqref="BE752" start="0" length="0">
      <dxf/>
    </rfmt>
    <rfmt sheetId="2" sqref="BF752" start="0" length="0">
      <dxf/>
    </rfmt>
    <rfmt sheetId="2" sqref="BG752" start="0" length="0">
      <dxf/>
    </rfmt>
    <rfmt sheetId="2" sqref="BH752" start="0" length="0">
      <dxf/>
    </rfmt>
    <rfmt sheetId="2" sqref="BI752" start="0" length="0">
      <dxf/>
    </rfmt>
    <rfmt sheetId="2" sqref="BJ752" start="0" length="0">
      <dxf/>
    </rfmt>
    <rfmt sheetId="2" sqref="BK752" start="0" length="0">
      <dxf/>
    </rfmt>
    <rfmt sheetId="2" sqref="BL752" start="0" length="0">
      <dxf/>
    </rfmt>
    <rfmt sheetId="2" sqref="BM752" start="0" length="0">
      <dxf/>
    </rfmt>
    <rfmt sheetId="2" sqref="BN752" start="0" length="0">
      <dxf/>
    </rfmt>
    <rfmt sheetId="2" sqref="BO752" start="0" length="0">
      <dxf/>
    </rfmt>
    <rfmt sheetId="2" sqref="BP752" start="0" length="0">
      <dxf/>
    </rfmt>
    <rfmt sheetId="2" sqref="BQ752" start="0" length="0">
      <dxf/>
    </rfmt>
    <rfmt sheetId="2" sqref="BR752" start="0" length="0">
      <dxf/>
    </rfmt>
    <rfmt sheetId="2" sqref="BS752" start="0" length="0">
      <dxf/>
    </rfmt>
    <rfmt sheetId="2" sqref="BT752" start="0" length="0">
      <dxf/>
    </rfmt>
    <rfmt sheetId="2" sqref="BU752" start="0" length="0">
      <dxf/>
    </rfmt>
    <rfmt sheetId="2" sqref="BV752" start="0" length="0">
      <dxf/>
    </rfmt>
    <rfmt sheetId="2" sqref="BW752" start="0" length="0">
      <dxf/>
    </rfmt>
    <rfmt sheetId="2" sqref="BX752" start="0" length="0">
      <dxf/>
    </rfmt>
    <rfmt sheetId="2" sqref="BY752" start="0" length="0">
      <dxf/>
    </rfmt>
    <rfmt sheetId="2" sqref="BZ752" start="0" length="0">
      <dxf/>
    </rfmt>
    <rfmt sheetId="2" sqref="CA752" start="0" length="0">
      <dxf/>
    </rfmt>
    <rfmt sheetId="2" sqref="CB752" start="0" length="0">
      <dxf/>
    </rfmt>
    <rfmt sheetId="2" sqref="CC752" start="0" length="0">
      <dxf/>
    </rfmt>
    <rfmt sheetId="2" sqref="CD752" start="0" length="0">
      <dxf/>
    </rfmt>
    <rfmt sheetId="2" sqref="CE752" start="0" length="0">
      <dxf/>
    </rfmt>
    <rfmt sheetId="2" sqref="CF752" start="0" length="0">
      <dxf/>
    </rfmt>
    <rfmt sheetId="2" sqref="CG752" start="0" length="0">
      <dxf/>
    </rfmt>
    <rfmt sheetId="2" sqref="CH752" start="0" length="0">
      <dxf/>
    </rfmt>
    <rfmt sheetId="2" sqref="CI752" start="0" length="0">
      <dxf/>
    </rfmt>
    <rfmt sheetId="2" sqref="CJ752" start="0" length="0">
      <dxf/>
    </rfmt>
    <rfmt sheetId="2" sqref="CK752" start="0" length="0">
      <dxf/>
    </rfmt>
    <rfmt sheetId="2" sqref="CL752" start="0" length="0">
      <dxf/>
    </rfmt>
    <rfmt sheetId="2" sqref="CM752" start="0" length="0">
      <dxf/>
    </rfmt>
    <rfmt sheetId="2" sqref="CN752" start="0" length="0">
      <dxf/>
    </rfmt>
    <rfmt sheetId="2" sqref="CO752" start="0" length="0">
      <dxf/>
    </rfmt>
    <rfmt sheetId="2" sqref="CP752" start="0" length="0">
      <dxf/>
    </rfmt>
    <rfmt sheetId="2" sqref="CQ752" start="0" length="0">
      <dxf/>
    </rfmt>
    <rfmt sheetId="2" sqref="CR752" start="0" length="0">
      <dxf/>
    </rfmt>
    <rfmt sheetId="2" sqref="CS752" start="0" length="0">
      <dxf/>
    </rfmt>
    <rfmt sheetId="2" sqref="CT752" start="0" length="0">
      <dxf/>
    </rfmt>
    <rfmt sheetId="2" sqref="CU752" start="0" length="0">
      <dxf/>
    </rfmt>
    <rfmt sheetId="2" sqref="CV752" start="0" length="0">
      <dxf/>
    </rfmt>
    <rfmt sheetId="2" sqref="CW752" start="0" length="0">
      <dxf/>
    </rfmt>
    <rfmt sheetId="2" sqref="CX752" start="0" length="0">
      <dxf/>
    </rfmt>
    <rfmt sheetId="2" sqref="CY752" start="0" length="0">
      <dxf/>
    </rfmt>
    <rfmt sheetId="2" sqref="CZ752" start="0" length="0">
      <dxf/>
    </rfmt>
    <rfmt sheetId="2" sqref="DA752" start="0" length="0">
      <dxf/>
    </rfmt>
    <rfmt sheetId="2" sqref="DB752" start="0" length="0">
      <dxf/>
    </rfmt>
    <rfmt sheetId="2" sqref="DC752" start="0" length="0">
      <dxf/>
    </rfmt>
    <rfmt sheetId="2" sqref="DD752" start="0" length="0">
      <dxf/>
    </rfmt>
    <rfmt sheetId="2" sqref="DE752" start="0" length="0">
      <dxf/>
    </rfmt>
    <rfmt sheetId="2" sqref="DF752" start="0" length="0">
      <dxf/>
    </rfmt>
    <rfmt sheetId="2" sqref="DG752" start="0" length="0">
      <dxf/>
    </rfmt>
    <rfmt sheetId="2" sqref="DH752" start="0" length="0">
      <dxf/>
    </rfmt>
    <rfmt sheetId="2" sqref="DI752" start="0" length="0">
      <dxf/>
    </rfmt>
    <rfmt sheetId="2" sqref="DJ752" start="0" length="0">
      <dxf/>
    </rfmt>
    <rfmt sheetId="2" sqref="DK752" start="0" length="0">
      <dxf/>
    </rfmt>
    <rfmt sheetId="2" sqref="DL752" start="0" length="0">
      <dxf/>
    </rfmt>
    <rfmt sheetId="2" sqref="DM752" start="0" length="0">
      <dxf/>
    </rfmt>
    <rfmt sheetId="2" sqref="DN752" start="0" length="0">
      <dxf/>
    </rfmt>
    <rfmt sheetId="2" sqref="DO752" start="0" length="0">
      <dxf/>
    </rfmt>
    <rfmt sheetId="2" sqref="DP752" start="0" length="0">
      <dxf/>
    </rfmt>
    <rfmt sheetId="2" sqref="DQ752" start="0" length="0">
      <dxf/>
    </rfmt>
    <rfmt sheetId="2" sqref="DR752" start="0" length="0">
      <dxf/>
    </rfmt>
    <rfmt sheetId="2" sqref="DS752" start="0" length="0">
      <dxf/>
    </rfmt>
    <rfmt sheetId="2" sqref="DT752" start="0" length="0">
      <dxf/>
    </rfmt>
    <rfmt sheetId="2" sqref="DU752" start="0" length="0">
      <dxf/>
    </rfmt>
    <rfmt sheetId="2" sqref="DV752" start="0" length="0">
      <dxf/>
    </rfmt>
    <rfmt sheetId="2" sqref="DW752" start="0" length="0">
      <dxf/>
    </rfmt>
    <rfmt sheetId="2" sqref="DX752" start="0" length="0">
      <dxf/>
    </rfmt>
    <rfmt sheetId="2" sqref="DY752" start="0" length="0">
      <dxf/>
    </rfmt>
    <rfmt sheetId="2" sqref="DZ752" start="0" length="0">
      <dxf/>
    </rfmt>
    <rfmt sheetId="2" sqref="EA752" start="0" length="0">
      <dxf/>
    </rfmt>
    <rfmt sheetId="2" sqref="EB752" start="0" length="0">
      <dxf/>
    </rfmt>
    <rfmt sheetId="2" sqref="EC752" start="0" length="0">
      <dxf/>
    </rfmt>
    <rfmt sheetId="2" sqref="ED752" start="0" length="0">
      <dxf/>
    </rfmt>
    <rfmt sheetId="2" sqref="EE752" start="0" length="0">
      <dxf/>
    </rfmt>
    <rfmt sheetId="2" sqref="EF752" start="0" length="0">
      <dxf/>
    </rfmt>
    <rfmt sheetId="2" sqref="EG752" start="0" length="0">
      <dxf/>
    </rfmt>
    <rfmt sheetId="2" sqref="EH752" start="0" length="0">
      <dxf/>
    </rfmt>
    <rfmt sheetId="2" sqref="EI752" start="0" length="0">
      <dxf/>
    </rfmt>
    <rfmt sheetId="2" sqref="EJ752" start="0" length="0">
      <dxf/>
    </rfmt>
    <rfmt sheetId="2" sqref="EK752" start="0" length="0">
      <dxf/>
    </rfmt>
    <rfmt sheetId="2" sqref="EL752" start="0" length="0">
      <dxf/>
    </rfmt>
    <rfmt sheetId="2" sqref="EM752" start="0" length="0">
      <dxf/>
    </rfmt>
    <rfmt sheetId="2" sqref="EN752" start="0" length="0">
      <dxf/>
    </rfmt>
    <rfmt sheetId="2" sqref="EO752" start="0" length="0">
      <dxf/>
    </rfmt>
    <rfmt sheetId="2" sqref="EP752" start="0" length="0">
      <dxf/>
    </rfmt>
    <rfmt sheetId="2" sqref="EQ752" start="0" length="0">
      <dxf/>
    </rfmt>
    <rfmt sheetId="2" sqref="ER752" start="0" length="0">
      <dxf/>
    </rfmt>
    <rfmt sheetId="2" sqref="ES752" start="0" length="0">
      <dxf/>
    </rfmt>
    <rfmt sheetId="2" sqref="ET752" start="0" length="0">
      <dxf/>
    </rfmt>
    <rfmt sheetId="2" sqref="EU752" start="0" length="0">
      <dxf/>
    </rfmt>
    <rfmt sheetId="2" sqref="EV752" start="0" length="0">
      <dxf/>
    </rfmt>
    <rfmt sheetId="2" sqref="EW752" start="0" length="0">
      <dxf/>
    </rfmt>
    <rfmt sheetId="2" sqref="EX752" start="0" length="0">
      <dxf/>
    </rfmt>
    <rfmt sheetId="2" sqref="EY752" start="0" length="0">
      <dxf/>
    </rfmt>
    <rfmt sheetId="2" sqref="EZ752" start="0" length="0">
      <dxf/>
    </rfmt>
    <rfmt sheetId="2" sqref="FA752" start="0" length="0">
      <dxf/>
    </rfmt>
    <rfmt sheetId="2" sqref="FB752" start="0" length="0">
      <dxf/>
    </rfmt>
    <rfmt sheetId="2" sqref="FC752" start="0" length="0">
      <dxf/>
    </rfmt>
    <rfmt sheetId="2" sqref="FD752" start="0" length="0">
      <dxf/>
    </rfmt>
    <rfmt sheetId="2" sqref="FE752" start="0" length="0">
      <dxf/>
    </rfmt>
    <rfmt sheetId="2" sqref="FF752" start="0" length="0">
      <dxf/>
    </rfmt>
    <rfmt sheetId="2" sqref="FG752" start="0" length="0">
      <dxf/>
    </rfmt>
    <rfmt sheetId="2" sqref="FH752" start="0" length="0">
      <dxf/>
    </rfmt>
    <rfmt sheetId="2" sqref="FI752" start="0" length="0">
      <dxf/>
    </rfmt>
    <rfmt sheetId="2" sqref="FJ752" start="0" length="0">
      <dxf/>
    </rfmt>
    <rfmt sheetId="2" sqref="FK752" start="0" length="0">
      <dxf/>
    </rfmt>
    <rfmt sheetId="2" sqref="FL752" start="0" length="0">
      <dxf/>
    </rfmt>
    <rfmt sheetId="2" sqref="FM752" start="0" length="0">
      <dxf/>
    </rfmt>
    <rfmt sheetId="2" sqref="FN752" start="0" length="0">
      <dxf/>
    </rfmt>
    <rfmt sheetId="2" sqref="FO752" start="0" length="0">
      <dxf/>
    </rfmt>
    <rfmt sheetId="2" sqref="FP752" start="0" length="0">
      <dxf/>
    </rfmt>
    <rfmt sheetId="2" sqref="FQ752" start="0" length="0">
      <dxf/>
    </rfmt>
    <rfmt sheetId="2" sqref="FR752" start="0" length="0">
      <dxf/>
    </rfmt>
    <rfmt sheetId="2" sqref="FS752" start="0" length="0">
      <dxf/>
    </rfmt>
    <rfmt sheetId="2" sqref="FT752" start="0" length="0">
      <dxf/>
    </rfmt>
    <rfmt sheetId="2" sqref="FU752" start="0" length="0">
      <dxf/>
    </rfmt>
    <rfmt sheetId="2" sqref="FV752" start="0" length="0">
      <dxf/>
    </rfmt>
    <rfmt sheetId="2" sqref="FW752" start="0" length="0">
      <dxf/>
    </rfmt>
    <rfmt sheetId="2" sqref="FX752" start="0" length="0">
      <dxf/>
    </rfmt>
    <rfmt sheetId="2" sqref="FY752" start="0" length="0">
      <dxf/>
    </rfmt>
    <rfmt sheetId="2" sqref="FZ752" start="0" length="0">
      <dxf/>
    </rfmt>
    <rfmt sheetId="2" sqref="GA752" start="0" length="0">
      <dxf/>
    </rfmt>
    <rfmt sheetId="2" sqref="GB752" start="0" length="0">
      <dxf/>
    </rfmt>
    <rfmt sheetId="2" sqref="GC752" start="0" length="0">
      <dxf/>
    </rfmt>
    <rfmt sheetId="2" sqref="GD752" start="0" length="0">
      <dxf/>
    </rfmt>
    <rfmt sheetId="2" sqref="GE752" start="0" length="0">
      <dxf/>
    </rfmt>
    <rfmt sheetId="2" sqref="GF752" start="0" length="0">
      <dxf/>
    </rfmt>
    <rfmt sheetId="2" sqref="GG752" start="0" length="0">
      <dxf/>
    </rfmt>
    <rfmt sheetId="2" sqref="GH752" start="0" length="0">
      <dxf/>
    </rfmt>
    <rfmt sheetId="2" sqref="GI752" start="0" length="0">
      <dxf/>
    </rfmt>
    <rfmt sheetId="2" sqref="GJ752" start="0" length="0">
      <dxf/>
    </rfmt>
    <rfmt sheetId="2" sqref="GK752" start="0" length="0">
      <dxf/>
    </rfmt>
    <rfmt sheetId="2" sqref="GL752" start="0" length="0">
      <dxf/>
    </rfmt>
    <rfmt sheetId="2" sqref="GM752" start="0" length="0">
      <dxf/>
    </rfmt>
    <rfmt sheetId="2" sqref="GN752" start="0" length="0">
      <dxf/>
    </rfmt>
    <rfmt sheetId="2" sqref="GO752" start="0" length="0">
      <dxf/>
    </rfmt>
    <rfmt sheetId="2" sqref="GP752" start="0" length="0">
      <dxf/>
    </rfmt>
    <rfmt sheetId="2" sqref="GQ752" start="0" length="0">
      <dxf/>
    </rfmt>
    <rfmt sheetId="2" sqref="GR752" start="0" length="0">
      <dxf/>
    </rfmt>
    <rfmt sheetId="2" sqref="GS752" start="0" length="0">
      <dxf/>
    </rfmt>
    <rfmt sheetId="2" sqref="GT752" start="0" length="0">
      <dxf/>
    </rfmt>
    <rfmt sheetId="2" sqref="GU752" start="0" length="0">
      <dxf/>
    </rfmt>
    <rfmt sheetId="2" sqref="GV752" start="0" length="0">
      <dxf/>
    </rfmt>
    <rfmt sheetId="2" sqref="GW752" start="0" length="0">
      <dxf/>
    </rfmt>
    <rfmt sheetId="2" sqref="GX752" start="0" length="0">
      <dxf/>
    </rfmt>
    <rfmt sheetId="2" sqref="GY752" start="0" length="0">
      <dxf/>
    </rfmt>
    <rfmt sheetId="2" sqref="GZ752" start="0" length="0">
      <dxf/>
    </rfmt>
    <rfmt sheetId="2" sqref="HA752" start="0" length="0">
      <dxf/>
    </rfmt>
    <rfmt sheetId="2" sqref="HB752" start="0" length="0">
      <dxf/>
    </rfmt>
    <rfmt sheetId="2" sqref="HC752" start="0" length="0">
      <dxf/>
    </rfmt>
    <rfmt sheetId="2" sqref="HD752" start="0" length="0">
      <dxf/>
    </rfmt>
    <rfmt sheetId="2" sqref="HE752" start="0" length="0">
      <dxf/>
    </rfmt>
    <rfmt sheetId="2" sqref="HF752" start="0" length="0">
      <dxf/>
    </rfmt>
    <rfmt sheetId="2" sqref="HG752" start="0" length="0">
      <dxf/>
    </rfmt>
    <rfmt sheetId="2" sqref="HH752" start="0" length="0">
      <dxf/>
    </rfmt>
    <rfmt sheetId="2" sqref="HI752" start="0" length="0">
      <dxf/>
    </rfmt>
    <rfmt sheetId="2" sqref="HJ752" start="0" length="0">
      <dxf/>
    </rfmt>
    <rfmt sheetId="2" sqref="HK752" start="0" length="0">
      <dxf/>
    </rfmt>
    <rfmt sheetId="2" sqref="HL752" start="0" length="0">
      <dxf/>
    </rfmt>
    <rfmt sheetId="2" sqref="HM752" start="0" length="0">
      <dxf/>
    </rfmt>
    <rfmt sheetId="2" sqref="HN752" start="0" length="0">
      <dxf/>
    </rfmt>
    <rfmt sheetId="2" sqref="HO752" start="0" length="0">
      <dxf/>
    </rfmt>
    <rfmt sheetId="2" sqref="HP752" start="0" length="0">
      <dxf/>
    </rfmt>
    <rfmt sheetId="2" sqref="HQ752" start="0" length="0">
      <dxf/>
    </rfmt>
    <rfmt sheetId="2" sqref="HR752" start="0" length="0">
      <dxf/>
    </rfmt>
    <rfmt sheetId="2" sqref="HS752" start="0" length="0">
      <dxf/>
    </rfmt>
    <rfmt sheetId="2" sqref="HT752" start="0" length="0">
      <dxf/>
    </rfmt>
    <rfmt sheetId="2" sqref="HU752" start="0" length="0">
      <dxf/>
    </rfmt>
    <rfmt sheetId="2" sqref="HV752" start="0" length="0">
      <dxf/>
    </rfmt>
    <rfmt sheetId="2" sqref="HW752" start="0" length="0">
      <dxf/>
    </rfmt>
    <rfmt sheetId="2" sqref="HX752" start="0" length="0">
      <dxf/>
    </rfmt>
    <rfmt sheetId="2" sqref="HY752" start="0" length="0">
      <dxf/>
    </rfmt>
    <rfmt sheetId="2" sqref="HZ752" start="0" length="0">
      <dxf/>
    </rfmt>
    <rfmt sheetId="2" sqref="IA752" start="0" length="0">
      <dxf/>
    </rfmt>
    <rfmt sheetId="2" sqref="IB752" start="0" length="0">
      <dxf/>
    </rfmt>
    <rfmt sheetId="2" sqref="IC752" start="0" length="0">
      <dxf/>
    </rfmt>
    <rfmt sheetId="2" sqref="ID752" start="0" length="0">
      <dxf/>
    </rfmt>
    <rfmt sheetId="2" sqref="IE752" start="0" length="0">
      <dxf/>
    </rfmt>
    <rfmt sheetId="2" sqref="IF752" start="0" length="0">
      <dxf/>
    </rfmt>
    <rfmt sheetId="2" sqref="IG752" start="0" length="0">
      <dxf/>
    </rfmt>
    <rfmt sheetId="2" sqref="IH752" start="0" length="0">
      <dxf/>
    </rfmt>
    <rfmt sheetId="2" sqref="II752" start="0" length="0">
      <dxf/>
    </rfmt>
    <rfmt sheetId="2" sqref="IJ752" start="0" length="0">
      <dxf/>
    </rfmt>
    <rfmt sheetId="2" sqref="IK752" start="0" length="0">
      <dxf/>
    </rfmt>
    <rfmt sheetId="2" sqref="IL752" start="0" length="0">
      <dxf/>
    </rfmt>
    <rfmt sheetId="2" sqref="IM752" start="0" length="0">
      <dxf/>
    </rfmt>
    <rfmt sheetId="2" sqref="IN752" start="0" length="0">
      <dxf/>
    </rfmt>
    <rfmt sheetId="2" sqref="IO752" start="0" length="0">
      <dxf/>
    </rfmt>
    <rfmt sheetId="2" sqref="IP752" start="0" length="0">
      <dxf/>
    </rfmt>
    <rfmt sheetId="2" sqref="IQ752" start="0" length="0">
      <dxf/>
    </rfmt>
    <rfmt sheetId="2" sqref="IR752" start="0" length="0">
      <dxf/>
    </rfmt>
    <rfmt sheetId="2" sqref="IS752" start="0" length="0">
      <dxf/>
    </rfmt>
    <rfmt sheetId="2" sqref="IT752" start="0" length="0">
      <dxf/>
    </rfmt>
    <rfmt sheetId="2" sqref="IU752" start="0" length="0">
      <dxf/>
    </rfmt>
    <rfmt sheetId="2" sqref="IV752" start="0" length="0">
      <dxf/>
    </rfmt>
    <rfmt sheetId="2" sqref="IW752" start="0" length="0">
      <dxf/>
    </rfmt>
    <rfmt sheetId="2" sqref="IX752" start="0" length="0">
      <dxf/>
    </rfmt>
    <rfmt sheetId="2" sqref="IY752" start="0" length="0">
      <dxf/>
    </rfmt>
    <rfmt sheetId="2" sqref="IZ752" start="0" length="0">
      <dxf/>
    </rfmt>
    <rfmt sheetId="2" sqref="JA752" start="0" length="0">
      <dxf/>
    </rfmt>
    <rfmt sheetId="2" sqref="JB752" start="0" length="0">
      <dxf/>
    </rfmt>
    <rfmt sheetId="2" sqref="JC752" start="0" length="0">
      <dxf/>
    </rfmt>
    <rfmt sheetId="2" sqref="JD752" start="0" length="0">
      <dxf/>
    </rfmt>
    <rfmt sheetId="2" sqref="JE752" start="0" length="0">
      <dxf/>
    </rfmt>
    <rfmt sheetId="2" sqref="JF752" start="0" length="0">
      <dxf/>
    </rfmt>
    <rfmt sheetId="2" sqref="JG752" start="0" length="0">
      <dxf/>
    </rfmt>
    <rfmt sheetId="2" sqref="JH752" start="0" length="0">
      <dxf/>
    </rfmt>
    <rfmt sheetId="2" sqref="JI752" start="0" length="0">
      <dxf/>
    </rfmt>
    <rfmt sheetId="2" sqref="JJ752" start="0" length="0">
      <dxf/>
    </rfmt>
    <rfmt sheetId="2" sqref="JK752" start="0" length="0">
      <dxf/>
    </rfmt>
    <rfmt sheetId="2" sqref="JL752" start="0" length="0">
      <dxf/>
    </rfmt>
    <rfmt sheetId="2" sqref="JM752" start="0" length="0">
      <dxf/>
    </rfmt>
    <rfmt sheetId="2" sqref="JN752" start="0" length="0">
      <dxf/>
    </rfmt>
    <rfmt sheetId="2" sqref="JO752" start="0" length="0">
      <dxf/>
    </rfmt>
    <rfmt sheetId="2" sqref="JP752" start="0" length="0">
      <dxf/>
    </rfmt>
    <rfmt sheetId="2" sqref="JQ752" start="0" length="0">
      <dxf/>
    </rfmt>
    <rfmt sheetId="2" sqref="JR752" start="0" length="0">
      <dxf/>
    </rfmt>
    <rfmt sheetId="2" sqref="JS752" start="0" length="0">
      <dxf/>
    </rfmt>
    <rfmt sheetId="2" sqref="JT752" start="0" length="0">
      <dxf/>
    </rfmt>
    <rfmt sheetId="2" sqref="JU752" start="0" length="0">
      <dxf/>
    </rfmt>
    <rfmt sheetId="2" sqref="JV752" start="0" length="0">
      <dxf/>
    </rfmt>
    <rfmt sheetId="2" sqref="JW752" start="0" length="0">
      <dxf/>
    </rfmt>
    <rfmt sheetId="2" sqref="JX752" start="0" length="0">
      <dxf/>
    </rfmt>
    <rfmt sheetId="2" sqref="JY752" start="0" length="0">
      <dxf/>
    </rfmt>
    <rfmt sheetId="2" sqref="JZ752" start="0" length="0">
      <dxf/>
    </rfmt>
    <rfmt sheetId="2" sqref="KA752" start="0" length="0">
      <dxf/>
    </rfmt>
    <rfmt sheetId="2" sqref="KB752" start="0" length="0">
      <dxf/>
    </rfmt>
    <rfmt sheetId="2" sqref="KC752" start="0" length="0">
      <dxf/>
    </rfmt>
    <rfmt sheetId="2" sqref="KD752" start="0" length="0">
      <dxf/>
    </rfmt>
    <rfmt sheetId="2" sqref="KE752" start="0" length="0">
      <dxf/>
    </rfmt>
    <rfmt sheetId="2" sqref="KF752" start="0" length="0">
      <dxf/>
    </rfmt>
    <rfmt sheetId="2" sqref="KG752" start="0" length="0">
      <dxf/>
    </rfmt>
    <rfmt sheetId="2" sqref="KH752" start="0" length="0">
      <dxf/>
    </rfmt>
    <rfmt sheetId="2" sqref="KI752" start="0" length="0">
      <dxf/>
    </rfmt>
    <rfmt sheetId="2" sqref="KJ752" start="0" length="0">
      <dxf/>
    </rfmt>
    <rfmt sheetId="2" sqref="KK752" start="0" length="0">
      <dxf/>
    </rfmt>
    <rfmt sheetId="2" sqref="KL752" start="0" length="0">
      <dxf/>
    </rfmt>
    <rfmt sheetId="2" sqref="KM752" start="0" length="0">
      <dxf/>
    </rfmt>
    <rfmt sheetId="2" sqref="KN752" start="0" length="0">
      <dxf/>
    </rfmt>
    <rfmt sheetId="2" sqref="KO752" start="0" length="0">
      <dxf/>
    </rfmt>
    <rfmt sheetId="2" sqref="KP752" start="0" length="0">
      <dxf/>
    </rfmt>
    <rfmt sheetId="2" sqref="KQ752" start="0" length="0">
      <dxf/>
    </rfmt>
    <rfmt sheetId="2" sqref="KR752" start="0" length="0">
      <dxf/>
    </rfmt>
    <rfmt sheetId="2" sqref="KS752" start="0" length="0">
      <dxf/>
    </rfmt>
    <rfmt sheetId="2" sqref="KT752" start="0" length="0">
      <dxf/>
    </rfmt>
    <rfmt sheetId="2" sqref="KU752" start="0" length="0">
      <dxf/>
    </rfmt>
    <rfmt sheetId="2" sqref="KV752" start="0" length="0">
      <dxf/>
    </rfmt>
    <rfmt sheetId="2" sqref="KW752" start="0" length="0">
      <dxf/>
    </rfmt>
    <rfmt sheetId="2" sqref="KX752" start="0" length="0">
      <dxf/>
    </rfmt>
    <rfmt sheetId="2" sqref="KY752" start="0" length="0">
      <dxf/>
    </rfmt>
    <rfmt sheetId="2" sqref="KZ752" start="0" length="0">
      <dxf/>
    </rfmt>
    <rfmt sheetId="2" sqref="LA752" start="0" length="0">
      <dxf/>
    </rfmt>
    <rfmt sheetId="2" sqref="LB752" start="0" length="0">
      <dxf/>
    </rfmt>
    <rfmt sheetId="2" sqref="LC752" start="0" length="0">
      <dxf/>
    </rfmt>
    <rfmt sheetId="2" sqref="LD752" start="0" length="0">
      <dxf/>
    </rfmt>
    <rfmt sheetId="2" sqref="LE752" start="0" length="0">
      <dxf/>
    </rfmt>
    <rfmt sheetId="2" sqref="LF752" start="0" length="0">
      <dxf/>
    </rfmt>
    <rfmt sheetId="2" sqref="LG752" start="0" length="0">
      <dxf/>
    </rfmt>
    <rfmt sheetId="2" sqref="LH752" start="0" length="0">
      <dxf/>
    </rfmt>
    <rfmt sheetId="2" sqref="LI752" start="0" length="0">
      <dxf/>
    </rfmt>
    <rfmt sheetId="2" sqref="LJ752" start="0" length="0">
      <dxf/>
    </rfmt>
    <rfmt sheetId="2" sqref="LK752" start="0" length="0">
      <dxf/>
    </rfmt>
    <rfmt sheetId="2" sqref="LL752" start="0" length="0">
      <dxf/>
    </rfmt>
    <rfmt sheetId="2" sqref="LM752" start="0" length="0">
      <dxf/>
    </rfmt>
    <rfmt sheetId="2" sqref="LN752" start="0" length="0">
      <dxf/>
    </rfmt>
    <rfmt sheetId="2" sqref="LO752" start="0" length="0">
      <dxf/>
    </rfmt>
    <rfmt sheetId="2" sqref="LP752" start="0" length="0">
      <dxf/>
    </rfmt>
    <rfmt sheetId="2" sqref="LQ752" start="0" length="0">
      <dxf/>
    </rfmt>
    <rfmt sheetId="2" sqref="LR752" start="0" length="0">
      <dxf/>
    </rfmt>
    <rfmt sheetId="2" sqref="LS752" start="0" length="0">
      <dxf/>
    </rfmt>
    <rfmt sheetId="2" sqref="LT752" start="0" length="0">
      <dxf/>
    </rfmt>
    <rfmt sheetId="2" sqref="LU752" start="0" length="0">
      <dxf/>
    </rfmt>
    <rfmt sheetId="2" sqref="LV752" start="0" length="0">
      <dxf/>
    </rfmt>
    <rfmt sheetId="2" sqref="LW752" start="0" length="0">
      <dxf/>
    </rfmt>
    <rfmt sheetId="2" sqref="LX752" start="0" length="0">
      <dxf/>
    </rfmt>
    <rfmt sheetId="2" sqref="LY752" start="0" length="0">
      <dxf/>
    </rfmt>
    <rfmt sheetId="2" sqref="LZ752" start="0" length="0">
      <dxf/>
    </rfmt>
    <rfmt sheetId="2" sqref="MA752" start="0" length="0">
      <dxf/>
    </rfmt>
    <rfmt sheetId="2" sqref="MB752" start="0" length="0">
      <dxf/>
    </rfmt>
    <rfmt sheetId="2" sqref="A75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53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5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5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5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5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53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5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5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5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5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53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5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53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53" start="0" length="0">
      <dxf>
        <numFmt numFmtId="176" formatCode="m/d;@"/>
      </dxf>
    </rfmt>
    <rfmt sheetId="2" sqref="P75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53" start="0" length="0">
      <dxf/>
    </rfmt>
    <rfmt sheetId="2" sqref="U753" start="0" length="0">
      <dxf/>
    </rfmt>
    <rfmt sheetId="2" sqref="V753" start="0" length="0">
      <dxf/>
    </rfmt>
    <rfmt sheetId="2" sqref="W753" start="0" length="0">
      <dxf/>
    </rfmt>
    <rfmt sheetId="2" sqref="X753" start="0" length="0">
      <dxf/>
    </rfmt>
    <rfmt sheetId="2" sqref="Y753" start="0" length="0">
      <dxf/>
    </rfmt>
    <rfmt sheetId="2" sqref="Z753" start="0" length="0">
      <dxf/>
    </rfmt>
    <rfmt sheetId="2" sqref="AA753" start="0" length="0">
      <dxf/>
    </rfmt>
    <rfmt sheetId="2" sqref="AB753" start="0" length="0">
      <dxf/>
    </rfmt>
    <rfmt sheetId="2" sqref="AC753" start="0" length="0">
      <dxf/>
    </rfmt>
    <rfmt sheetId="2" sqref="AD753" start="0" length="0">
      <dxf/>
    </rfmt>
    <rfmt sheetId="2" sqref="AE753" start="0" length="0">
      <dxf/>
    </rfmt>
    <rfmt sheetId="2" sqref="AF753" start="0" length="0">
      <dxf/>
    </rfmt>
    <rfmt sheetId="2" sqref="AG753" start="0" length="0">
      <dxf/>
    </rfmt>
    <rfmt sheetId="2" sqref="AH753" start="0" length="0">
      <dxf/>
    </rfmt>
    <rfmt sheetId="2" sqref="AI753" start="0" length="0">
      <dxf/>
    </rfmt>
    <rfmt sheetId="2" sqref="AJ753" start="0" length="0">
      <dxf/>
    </rfmt>
    <rfmt sheetId="2" sqref="AK753" start="0" length="0">
      <dxf/>
    </rfmt>
    <rfmt sheetId="2" sqref="AL753" start="0" length="0">
      <dxf/>
    </rfmt>
    <rfmt sheetId="2" sqref="AM753" start="0" length="0">
      <dxf/>
    </rfmt>
    <rfmt sheetId="2" sqref="AN753" start="0" length="0">
      <dxf/>
    </rfmt>
    <rfmt sheetId="2" sqref="AO753" start="0" length="0">
      <dxf/>
    </rfmt>
    <rfmt sheetId="2" sqref="AP753" start="0" length="0">
      <dxf/>
    </rfmt>
    <rfmt sheetId="2" sqref="AQ753" start="0" length="0">
      <dxf/>
    </rfmt>
    <rfmt sheetId="2" sqref="AR753" start="0" length="0">
      <dxf/>
    </rfmt>
    <rfmt sheetId="2" sqref="AS753" start="0" length="0">
      <dxf/>
    </rfmt>
    <rfmt sheetId="2" sqref="AT753" start="0" length="0">
      <dxf/>
    </rfmt>
    <rfmt sheetId="2" sqref="AU753" start="0" length="0">
      <dxf/>
    </rfmt>
    <rfmt sheetId="2" sqref="AV753" start="0" length="0">
      <dxf/>
    </rfmt>
    <rfmt sheetId="2" sqref="AW753" start="0" length="0">
      <dxf/>
    </rfmt>
    <rfmt sheetId="2" sqref="AX753" start="0" length="0">
      <dxf/>
    </rfmt>
    <rfmt sheetId="2" sqref="AY753" start="0" length="0">
      <dxf/>
    </rfmt>
    <rfmt sheetId="2" sqref="AZ753" start="0" length="0">
      <dxf/>
    </rfmt>
    <rfmt sheetId="2" sqref="BA753" start="0" length="0">
      <dxf/>
    </rfmt>
    <rfmt sheetId="2" sqref="BB753" start="0" length="0">
      <dxf/>
    </rfmt>
    <rfmt sheetId="2" sqref="BC753" start="0" length="0">
      <dxf/>
    </rfmt>
    <rfmt sheetId="2" sqref="BD753" start="0" length="0">
      <dxf/>
    </rfmt>
    <rfmt sheetId="2" sqref="BE753" start="0" length="0">
      <dxf/>
    </rfmt>
    <rfmt sheetId="2" sqref="BF753" start="0" length="0">
      <dxf/>
    </rfmt>
    <rfmt sheetId="2" sqref="BG753" start="0" length="0">
      <dxf/>
    </rfmt>
    <rfmt sheetId="2" sqref="BH753" start="0" length="0">
      <dxf/>
    </rfmt>
    <rfmt sheetId="2" sqref="BI753" start="0" length="0">
      <dxf/>
    </rfmt>
    <rfmt sheetId="2" sqref="BJ753" start="0" length="0">
      <dxf/>
    </rfmt>
    <rfmt sheetId="2" sqref="BK753" start="0" length="0">
      <dxf/>
    </rfmt>
    <rfmt sheetId="2" sqref="BL753" start="0" length="0">
      <dxf/>
    </rfmt>
    <rfmt sheetId="2" sqref="BM753" start="0" length="0">
      <dxf/>
    </rfmt>
    <rfmt sheetId="2" sqref="BN753" start="0" length="0">
      <dxf/>
    </rfmt>
    <rfmt sheetId="2" sqref="BO753" start="0" length="0">
      <dxf/>
    </rfmt>
    <rfmt sheetId="2" sqref="BP753" start="0" length="0">
      <dxf/>
    </rfmt>
    <rfmt sheetId="2" sqref="BQ753" start="0" length="0">
      <dxf/>
    </rfmt>
    <rfmt sheetId="2" sqref="BR753" start="0" length="0">
      <dxf/>
    </rfmt>
    <rfmt sheetId="2" sqref="BS753" start="0" length="0">
      <dxf/>
    </rfmt>
    <rfmt sheetId="2" sqref="BT753" start="0" length="0">
      <dxf/>
    </rfmt>
    <rfmt sheetId="2" sqref="BU753" start="0" length="0">
      <dxf/>
    </rfmt>
    <rfmt sheetId="2" sqref="BV753" start="0" length="0">
      <dxf/>
    </rfmt>
    <rfmt sheetId="2" sqref="BW753" start="0" length="0">
      <dxf/>
    </rfmt>
    <rfmt sheetId="2" sqref="BX753" start="0" length="0">
      <dxf/>
    </rfmt>
    <rfmt sheetId="2" sqref="BY753" start="0" length="0">
      <dxf/>
    </rfmt>
    <rfmt sheetId="2" sqref="BZ753" start="0" length="0">
      <dxf/>
    </rfmt>
    <rfmt sheetId="2" sqref="CA753" start="0" length="0">
      <dxf/>
    </rfmt>
    <rfmt sheetId="2" sqref="CB753" start="0" length="0">
      <dxf/>
    </rfmt>
    <rfmt sheetId="2" sqref="CC753" start="0" length="0">
      <dxf/>
    </rfmt>
    <rfmt sheetId="2" sqref="CD753" start="0" length="0">
      <dxf/>
    </rfmt>
    <rfmt sheetId="2" sqref="CE753" start="0" length="0">
      <dxf/>
    </rfmt>
    <rfmt sheetId="2" sqref="CF753" start="0" length="0">
      <dxf/>
    </rfmt>
    <rfmt sheetId="2" sqref="CG753" start="0" length="0">
      <dxf/>
    </rfmt>
    <rfmt sheetId="2" sqref="CH753" start="0" length="0">
      <dxf/>
    </rfmt>
    <rfmt sheetId="2" sqref="CI753" start="0" length="0">
      <dxf/>
    </rfmt>
    <rfmt sheetId="2" sqref="CJ753" start="0" length="0">
      <dxf/>
    </rfmt>
    <rfmt sheetId="2" sqref="CK753" start="0" length="0">
      <dxf/>
    </rfmt>
    <rfmt sheetId="2" sqref="CL753" start="0" length="0">
      <dxf/>
    </rfmt>
    <rfmt sheetId="2" sqref="CM753" start="0" length="0">
      <dxf/>
    </rfmt>
    <rfmt sheetId="2" sqref="CN753" start="0" length="0">
      <dxf/>
    </rfmt>
    <rfmt sheetId="2" sqref="CO753" start="0" length="0">
      <dxf/>
    </rfmt>
    <rfmt sheetId="2" sqref="CP753" start="0" length="0">
      <dxf/>
    </rfmt>
    <rfmt sheetId="2" sqref="CQ753" start="0" length="0">
      <dxf/>
    </rfmt>
    <rfmt sheetId="2" sqref="CR753" start="0" length="0">
      <dxf/>
    </rfmt>
    <rfmt sheetId="2" sqref="CS753" start="0" length="0">
      <dxf/>
    </rfmt>
    <rfmt sheetId="2" sqref="CT753" start="0" length="0">
      <dxf/>
    </rfmt>
    <rfmt sheetId="2" sqref="CU753" start="0" length="0">
      <dxf/>
    </rfmt>
    <rfmt sheetId="2" sqref="CV753" start="0" length="0">
      <dxf/>
    </rfmt>
    <rfmt sheetId="2" sqref="CW753" start="0" length="0">
      <dxf/>
    </rfmt>
    <rfmt sheetId="2" sqref="CX753" start="0" length="0">
      <dxf/>
    </rfmt>
    <rfmt sheetId="2" sqref="CY753" start="0" length="0">
      <dxf/>
    </rfmt>
    <rfmt sheetId="2" sqref="CZ753" start="0" length="0">
      <dxf/>
    </rfmt>
    <rfmt sheetId="2" sqref="DA753" start="0" length="0">
      <dxf/>
    </rfmt>
    <rfmt sheetId="2" sqref="DB753" start="0" length="0">
      <dxf/>
    </rfmt>
    <rfmt sheetId="2" sqref="DC753" start="0" length="0">
      <dxf/>
    </rfmt>
    <rfmt sheetId="2" sqref="DD753" start="0" length="0">
      <dxf/>
    </rfmt>
    <rfmt sheetId="2" sqref="DE753" start="0" length="0">
      <dxf/>
    </rfmt>
    <rfmt sheetId="2" sqref="DF753" start="0" length="0">
      <dxf/>
    </rfmt>
    <rfmt sheetId="2" sqref="DG753" start="0" length="0">
      <dxf/>
    </rfmt>
    <rfmt sheetId="2" sqref="DH753" start="0" length="0">
      <dxf/>
    </rfmt>
    <rfmt sheetId="2" sqref="DI753" start="0" length="0">
      <dxf/>
    </rfmt>
    <rfmt sheetId="2" sqref="DJ753" start="0" length="0">
      <dxf/>
    </rfmt>
    <rfmt sheetId="2" sqref="DK753" start="0" length="0">
      <dxf/>
    </rfmt>
    <rfmt sheetId="2" sqref="DL753" start="0" length="0">
      <dxf/>
    </rfmt>
    <rfmt sheetId="2" sqref="DM753" start="0" length="0">
      <dxf/>
    </rfmt>
    <rfmt sheetId="2" sqref="DN753" start="0" length="0">
      <dxf/>
    </rfmt>
    <rfmt sheetId="2" sqref="DO753" start="0" length="0">
      <dxf/>
    </rfmt>
    <rfmt sheetId="2" sqref="DP753" start="0" length="0">
      <dxf/>
    </rfmt>
    <rfmt sheetId="2" sqref="DQ753" start="0" length="0">
      <dxf/>
    </rfmt>
    <rfmt sheetId="2" sqref="DR753" start="0" length="0">
      <dxf/>
    </rfmt>
    <rfmt sheetId="2" sqref="DS753" start="0" length="0">
      <dxf/>
    </rfmt>
    <rfmt sheetId="2" sqref="DT753" start="0" length="0">
      <dxf/>
    </rfmt>
    <rfmt sheetId="2" sqref="DU753" start="0" length="0">
      <dxf/>
    </rfmt>
    <rfmt sheetId="2" sqref="DV753" start="0" length="0">
      <dxf/>
    </rfmt>
    <rfmt sheetId="2" sqref="DW753" start="0" length="0">
      <dxf/>
    </rfmt>
    <rfmt sheetId="2" sqref="DX753" start="0" length="0">
      <dxf/>
    </rfmt>
    <rfmt sheetId="2" sqref="DY753" start="0" length="0">
      <dxf/>
    </rfmt>
    <rfmt sheetId="2" sqref="DZ753" start="0" length="0">
      <dxf/>
    </rfmt>
    <rfmt sheetId="2" sqref="EA753" start="0" length="0">
      <dxf/>
    </rfmt>
    <rfmt sheetId="2" sqref="EB753" start="0" length="0">
      <dxf/>
    </rfmt>
    <rfmt sheetId="2" sqref="EC753" start="0" length="0">
      <dxf/>
    </rfmt>
    <rfmt sheetId="2" sqref="ED753" start="0" length="0">
      <dxf/>
    </rfmt>
    <rfmt sheetId="2" sqref="EE753" start="0" length="0">
      <dxf/>
    </rfmt>
    <rfmt sheetId="2" sqref="EF753" start="0" length="0">
      <dxf/>
    </rfmt>
    <rfmt sheetId="2" sqref="EG753" start="0" length="0">
      <dxf/>
    </rfmt>
    <rfmt sheetId="2" sqref="EH753" start="0" length="0">
      <dxf/>
    </rfmt>
    <rfmt sheetId="2" sqref="EI753" start="0" length="0">
      <dxf/>
    </rfmt>
    <rfmt sheetId="2" sqref="EJ753" start="0" length="0">
      <dxf/>
    </rfmt>
    <rfmt sheetId="2" sqref="EK753" start="0" length="0">
      <dxf/>
    </rfmt>
    <rfmt sheetId="2" sqref="EL753" start="0" length="0">
      <dxf/>
    </rfmt>
    <rfmt sheetId="2" sqref="EM753" start="0" length="0">
      <dxf/>
    </rfmt>
    <rfmt sheetId="2" sqref="EN753" start="0" length="0">
      <dxf/>
    </rfmt>
    <rfmt sheetId="2" sqref="EO753" start="0" length="0">
      <dxf/>
    </rfmt>
    <rfmt sheetId="2" sqref="EP753" start="0" length="0">
      <dxf/>
    </rfmt>
    <rfmt sheetId="2" sqref="EQ753" start="0" length="0">
      <dxf/>
    </rfmt>
    <rfmt sheetId="2" sqref="ER753" start="0" length="0">
      <dxf/>
    </rfmt>
    <rfmt sheetId="2" sqref="ES753" start="0" length="0">
      <dxf/>
    </rfmt>
    <rfmt sheetId="2" sqref="ET753" start="0" length="0">
      <dxf/>
    </rfmt>
    <rfmt sheetId="2" sqref="EU753" start="0" length="0">
      <dxf/>
    </rfmt>
    <rfmt sheetId="2" sqref="EV753" start="0" length="0">
      <dxf/>
    </rfmt>
    <rfmt sheetId="2" sqref="EW753" start="0" length="0">
      <dxf/>
    </rfmt>
    <rfmt sheetId="2" sqref="EX753" start="0" length="0">
      <dxf/>
    </rfmt>
    <rfmt sheetId="2" sqref="EY753" start="0" length="0">
      <dxf/>
    </rfmt>
    <rfmt sheetId="2" sqref="EZ753" start="0" length="0">
      <dxf/>
    </rfmt>
    <rfmt sheetId="2" sqref="FA753" start="0" length="0">
      <dxf/>
    </rfmt>
    <rfmt sheetId="2" sqref="FB753" start="0" length="0">
      <dxf/>
    </rfmt>
    <rfmt sheetId="2" sqref="FC753" start="0" length="0">
      <dxf/>
    </rfmt>
    <rfmt sheetId="2" sqref="FD753" start="0" length="0">
      <dxf/>
    </rfmt>
    <rfmt sheetId="2" sqref="FE753" start="0" length="0">
      <dxf/>
    </rfmt>
    <rfmt sheetId="2" sqref="FF753" start="0" length="0">
      <dxf/>
    </rfmt>
    <rfmt sheetId="2" sqref="FG753" start="0" length="0">
      <dxf/>
    </rfmt>
    <rfmt sheetId="2" sqref="FH753" start="0" length="0">
      <dxf/>
    </rfmt>
    <rfmt sheetId="2" sqref="FI753" start="0" length="0">
      <dxf/>
    </rfmt>
    <rfmt sheetId="2" sqref="FJ753" start="0" length="0">
      <dxf/>
    </rfmt>
    <rfmt sheetId="2" sqref="FK753" start="0" length="0">
      <dxf/>
    </rfmt>
    <rfmt sheetId="2" sqref="FL753" start="0" length="0">
      <dxf/>
    </rfmt>
    <rfmt sheetId="2" sqref="FM753" start="0" length="0">
      <dxf/>
    </rfmt>
    <rfmt sheetId="2" sqref="FN753" start="0" length="0">
      <dxf/>
    </rfmt>
    <rfmt sheetId="2" sqref="FO753" start="0" length="0">
      <dxf/>
    </rfmt>
    <rfmt sheetId="2" sqref="FP753" start="0" length="0">
      <dxf/>
    </rfmt>
    <rfmt sheetId="2" sqref="FQ753" start="0" length="0">
      <dxf/>
    </rfmt>
    <rfmt sheetId="2" sqref="FR753" start="0" length="0">
      <dxf/>
    </rfmt>
    <rfmt sheetId="2" sqref="FS753" start="0" length="0">
      <dxf/>
    </rfmt>
    <rfmt sheetId="2" sqref="FT753" start="0" length="0">
      <dxf/>
    </rfmt>
    <rfmt sheetId="2" sqref="FU753" start="0" length="0">
      <dxf/>
    </rfmt>
    <rfmt sheetId="2" sqref="FV753" start="0" length="0">
      <dxf/>
    </rfmt>
    <rfmt sheetId="2" sqref="FW753" start="0" length="0">
      <dxf/>
    </rfmt>
    <rfmt sheetId="2" sqref="FX753" start="0" length="0">
      <dxf/>
    </rfmt>
    <rfmt sheetId="2" sqref="FY753" start="0" length="0">
      <dxf/>
    </rfmt>
    <rfmt sheetId="2" sqref="FZ753" start="0" length="0">
      <dxf/>
    </rfmt>
    <rfmt sheetId="2" sqref="GA753" start="0" length="0">
      <dxf/>
    </rfmt>
    <rfmt sheetId="2" sqref="GB753" start="0" length="0">
      <dxf/>
    </rfmt>
    <rfmt sheetId="2" sqref="GC753" start="0" length="0">
      <dxf/>
    </rfmt>
    <rfmt sheetId="2" sqref="GD753" start="0" length="0">
      <dxf/>
    </rfmt>
    <rfmt sheetId="2" sqref="GE753" start="0" length="0">
      <dxf/>
    </rfmt>
    <rfmt sheetId="2" sqref="GF753" start="0" length="0">
      <dxf/>
    </rfmt>
    <rfmt sheetId="2" sqref="GG753" start="0" length="0">
      <dxf/>
    </rfmt>
    <rfmt sheetId="2" sqref="GH753" start="0" length="0">
      <dxf/>
    </rfmt>
    <rfmt sheetId="2" sqref="GI753" start="0" length="0">
      <dxf/>
    </rfmt>
    <rfmt sheetId="2" sqref="GJ753" start="0" length="0">
      <dxf/>
    </rfmt>
    <rfmt sheetId="2" sqref="GK753" start="0" length="0">
      <dxf/>
    </rfmt>
    <rfmt sheetId="2" sqref="GL753" start="0" length="0">
      <dxf/>
    </rfmt>
    <rfmt sheetId="2" sqref="GM753" start="0" length="0">
      <dxf/>
    </rfmt>
    <rfmt sheetId="2" sqref="GN753" start="0" length="0">
      <dxf/>
    </rfmt>
    <rfmt sheetId="2" sqref="GO753" start="0" length="0">
      <dxf/>
    </rfmt>
    <rfmt sheetId="2" sqref="GP753" start="0" length="0">
      <dxf/>
    </rfmt>
    <rfmt sheetId="2" sqref="GQ753" start="0" length="0">
      <dxf/>
    </rfmt>
    <rfmt sheetId="2" sqref="GR753" start="0" length="0">
      <dxf/>
    </rfmt>
    <rfmt sheetId="2" sqref="GS753" start="0" length="0">
      <dxf/>
    </rfmt>
    <rfmt sheetId="2" sqref="GT753" start="0" length="0">
      <dxf/>
    </rfmt>
    <rfmt sheetId="2" sqref="GU753" start="0" length="0">
      <dxf/>
    </rfmt>
    <rfmt sheetId="2" sqref="GV753" start="0" length="0">
      <dxf/>
    </rfmt>
    <rfmt sheetId="2" sqref="GW753" start="0" length="0">
      <dxf/>
    </rfmt>
    <rfmt sheetId="2" sqref="GX753" start="0" length="0">
      <dxf/>
    </rfmt>
    <rfmt sheetId="2" sqref="GY753" start="0" length="0">
      <dxf/>
    </rfmt>
    <rfmt sheetId="2" sqref="GZ753" start="0" length="0">
      <dxf/>
    </rfmt>
    <rfmt sheetId="2" sqref="HA753" start="0" length="0">
      <dxf/>
    </rfmt>
    <rfmt sheetId="2" sqref="HB753" start="0" length="0">
      <dxf/>
    </rfmt>
    <rfmt sheetId="2" sqref="HC753" start="0" length="0">
      <dxf/>
    </rfmt>
    <rfmt sheetId="2" sqref="HD753" start="0" length="0">
      <dxf/>
    </rfmt>
    <rfmt sheetId="2" sqref="HE753" start="0" length="0">
      <dxf/>
    </rfmt>
    <rfmt sheetId="2" sqref="HF753" start="0" length="0">
      <dxf/>
    </rfmt>
    <rfmt sheetId="2" sqref="HG753" start="0" length="0">
      <dxf/>
    </rfmt>
    <rfmt sheetId="2" sqref="HH753" start="0" length="0">
      <dxf/>
    </rfmt>
    <rfmt sheetId="2" sqref="HI753" start="0" length="0">
      <dxf/>
    </rfmt>
    <rfmt sheetId="2" sqref="HJ753" start="0" length="0">
      <dxf/>
    </rfmt>
    <rfmt sheetId="2" sqref="HK753" start="0" length="0">
      <dxf/>
    </rfmt>
    <rfmt sheetId="2" sqref="HL753" start="0" length="0">
      <dxf/>
    </rfmt>
    <rfmt sheetId="2" sqref="HM753" start="0" length="0">
      <dxf/>
    </rfmt>
    <rfmt sheetId="2" sqref="HN753" start="0" length="0">
      <dxf/>
    </rfmt>
    <rfmt sheetId="2" sqref="HO753" start="0" length="0">
      <dxf/>
    </rfmt>
    <rfmt sheetId="2" sqref="HP753" start="0" length="0">
      <dxf/>
    </rfmt>
    <rfmt sheetId="2" sqref="HQ753" start="0" length="0">
      <dxf/>
    </rfmt>
    <rfmt sheetId="2" sqref="HR753" start="0" length="0">
      <dxf/>
    </rfmt>
    <rfmt sheetId="2" sqref="HS753" start="0" length="0">
      <dxf/>
    </rfmt>
    <rfmt sheetId="2" sqref="HT753" start="0" length="0">
      <dxf/>
    </rfmt>
    <rfmt sheetId="2" sqref="HU753" start="0" length="0">
      <dxf/>
    </rfmt>
    <rfmt sheetId="2" sqref="HV753" start="0" length="0">
      <dxf/>
    </rfmt>
    <rfmt sheetId="2" sqref="HW753" start="0" length="0">
      <dxf/>
    </rfmt>
    <rfmt sheetId="2" sqref="HX753" start="0" length="0">
      <dxf/>
    </rfmt>
    <rfmt sheetId="2" sqref="HY753" start="0" length="0">
      <dxf/>
    </rfmt>
    <rfmt sheetId="2" sqref="HZ753" start="0" length="0">
      <dxf/>
    </rfmt>
    <rfmt sheetId="2" sqref="IA753" start="0" length="0">
      <dxf/>
    </rfmt>
    <rfmt sheetId="2" sqref="IB753" start="0" length="0">
      <dxf/>
    </rfmt>
    <rfmt sheetId="2" sqref="IC753" start="0" length="0">
      <dxf/>
    </rfmt>
    <rfmt sheetId="2" sqref="ID753" start="0" length="0">
      <dxf/>
    </rfmt>
    <rfmt sheetId="2" sqref="IE753" start="0" length="0">
      <dxf/>
    </rfmt>
    <rfmt sheetId="2" sqref="IF753" start="0" length="0">
      <dxf/>
    </rfmt>
    <rfmt sheetId="2" sqref="IG753" start="0" length="0">
      <dxf/>
    </rfmt>
    <rfmt sheetId="2" sqref="IH753" start="0" length="0">
      <dxf/>
    </rfmt>
    <rfmt sheetId="2" sqref="II753" start="0" length="0">
      <dxf/>
    </rfmt>
    <rfmt sheetId="2" sqref="IJ753" start="0" length="0">
      <dxf/>
    </rfmt>
    <rfmt sheetId="2" sqref="IK753" start="0" length="0">
      <dxf/>
    </rfmt>
    <rfmt sheetId="2" sqref="IL753" start="0" length="0">
      <dxf/>
    </rfmt>
    <rfmt sheetId="2" sqref="IM753" start="0" length="0">
      <dxf/>
    </rfmt>
    <rfmt sheetId="2" sqref="IN753" start="0" length="0">
      <dxf/>
    </rfmt>
    <rfmt sheetId="2" sqref="IO753" start="0" length="0">
      <dxf/>
    </rfmt>
    <rfmt sheetId="2" sqref="IP753" start="0" length="0">
      <dxf/>
    </rfmt>
    <rfmt sheetId="2" sqref="IQ753" start="0" length="0">
      <dxf/>
    </rfmt>
    <rfmt sheetId="2" sqref="IR753" start="0" length="0">
      <dxf/>
    </rfmt>
    <rfmt sheetId="2" sqref="IS753" start="0" length="0">
      <dxf/>
    </rfmt>
    <rfmt sheetId="2" sqref="IT753" start="0" length="0">
      <dxf/>
    </rfmt>
    <rfmt sheetId="2" sqref="IU753" start="0" length="0">
      <dxf/>
    </rfmt>
    <rfmt sheetId="2" sqref="IV753" start="0" length="0">
      <dxf/>
    </rfmt>
    <rfmt sheetId="2" sqref="IW753" start="0" length="0">
      <dxf/>
    </rfmt>
    <rfmt sheetId="2" sqref="IX753" start="0" length="0">
      <dxf/>
    </rfmt>
    <rfmt sheetId="2" sqref="IY753" start="0" length="0">
      <dxf/>
    </rfmt>
    <rfmt sheetId="2" sqref="IZ753" start="0" length="0">
      <dxf/>
    </rfmt>
    <rfmt sheetId="2" sqref="JA753" start="0" length="0">
      <dxf/>
    </rfmt>
    <rfmt sheetId="2" sqref="JB753" start="0" length="0">
      <dxf/>
    </rfmt>
    <rfmt sheetId="2" sqref="JC753" start="0" length="0">
      <dxf/>
    </rfmt>
    <rfmt sheetId="2" sqref="JD753" start="0" length="0">
      <dxf/>
    </rfmt>
    <rfmt sheetId="2" sqref="JE753" start="0" length="0">
      <dxf/>
    </rfmt>
    <rfmt sheetId="2" sqref="JF753" start="0" length="0">
      <dxf/>
    </rfmt>
    <rfmt sheetId="2" sqref="JG753" start="0" length="0">
      <dxf/>
    </rfmt>
    <rfmt sheetId="2" sqref="JH753" start="0" length="0">
      <dxf/>
    </rfmt>
    <rfmt sheetId="2" sqref="JI753" start="0" length="0">
      <dxf/>
    </rfmt>
    <rfmt sheetId="2" sqref="JJ753" start="0" length="0">
      <dxf/>
    </rfmt>
    <rfmt sheetId="2" sqref="JK753" start="0" length="0">
      <dxf/>
    </rfmt>
    <rfmt sheetId="2" sqref="JL753" start="0" length="0">
      <dxf/>
    </rfmt>
    <rfmt sheetId="2" sqref="JM753" start="0" length="0">
      <dxf/>
    </rfmt>
    <rfmt sheetId="2" sqref="JN753" start="0" length="0">
      <dxf/>
    </rfmt>
    <rfmt sheetId="2" sqref="JO753" start="0" length="0">
      <dxf/>
    </rfmt>
    <rfmt sheetId="2" sqref="JP753" start="0" length="0">
      <dxf/>
    </rfmt>
    <rfmt sheetId="2" sqref="JQ753" start="0" length="0">
      <dxf/>
    </rfmt>
    <rfmt sheetId="2" sqref="JR753" start="0" length="0">
      <dxf/>
    </rfmt>
    <rfmt sheetId="2" sqref="JS753" start="0" length="0">
      <dxf/>
    </rfmt>
    <rfmt sheetId="2" sqref="JT753" start="0" length="0">
      <dxf/>
    </rfmt>
    <rfmt sheetId="2" sqref="JU753" start="0" length="0">
      <dxf/>
    </rfmt>
    <rfmt sheetId="2" sqref="JV753" start="0" length="0">
      <dxf/>
    </rfmt>
    <rfmt sheetId="2" sqref="JW753" start="0" length="0">
      <dxf/>
    </rfmt>
    <rfmt sheetId="2" sqref="JX753" start="0" length="0">
      <dxf/>
    </rfmt>
    <rfmt sheetId="2" sqref="JY753" start="0" length="0">
      <dxf/>
    </rfmt>
    <rfmt sheetId="2" sqref="JZ753" start="0" length="0">
      <dxf/>
    </rfmt>
    <rfmt sheetId="2" sqref="KA753" start="0" length="0">
      <dxf/>
    </rfmt>
    <rfmt sheetId="2" sqref="KB753" start="0" length="0">
      <dxf/>
    </rfmt>
    <rfmt sheetId="2" sqref="KC753" start="0" length="0">
      <dxf/>
    </rfmt>
    <rfmt sheetId="2" sqref="KD753" start="0" length="0">
      <dxf/>
    </rfmt>
    <rfmt sheetId="2" sqref="KE753" start="0" length="0">
      <dxf/>
    </rfmt>
    <rfmt sheetId="2" sqref="KF753" start="0" length="0">
      <dxf/>
    </rfmt>
    <rfmt sheetId="2" sqref="KG753" start="0" length="0">
      <dxf/>
    </rfmt>
    <rfmt sheetId="2" sqref="KH753" start="0" length="0">
      <dxf/>
    </rfmt>
    <rfmt sheetId="2" sqref="KI753" start="0" length="0">
      <dxf/>
    </rfmt>
    <rfmt sheetId="2" sqref="KJ753" start="0" length="0">
      <dxf/>
    </rfmt>
    <rfmt sheetId="2" sqref="KK753" start="0" length="0">
      <dxf/>
    </rfmt>
    <rfmt sheetId="2" sqref="KL753" start="0" length="0">
      <dxf/>
    </rfmt>
    <rfmt sheetId="2" sqref="KM753" start="0" length="0">
      <dxf/>
    </rfmt>
    <rfmt sheetId="2" sqref="KN753" start="0" length="0">
      <dxf/>
    </rfmt>
    <rfmt sheetId="2" sqref="KO753" start="0" length="0">
      <dxf/>
    </rfmt>
    <rfmt sheetId="2" sqref="KP753" start="0" length="0">
      <dxf/>
    </rfmt>
    <rfmt sheetId="2" sqref="KQ753" start="0" length="0">
      <dxf/>
    </rfmt>
    <rfmt sheetId="2" sqref="KR753" start="0" length="0">
      <dxf/>
    </rfmt>
    <rfmt sheetId="2" sqref="KS753" start="0" length="0">
      <dxf/>
    </rfmt>
    <rfmt sheetId="2" sqref="KT753" start="0" length="0">
      <dxf/>
    </rfmt>
    <rfmt sheetId="2" sqref="KU753" start="0" length="0">
      <dxf/>
    </rfmt>
    <rfmt sheetId="2" sqref="KV753" start="0" length="0">
      <dxf/>
    </rfmt>
    <rfmt sheetId="2" sqref="KW753" start="0" length="0">
      <dxf/>
    </rfmt>
    <rfmt sheetId="2" sqref="KX753" start="0" length="0">
      <dxf/>
    </rfmt>
    <rfmt sheetId="2" sqref="KY753" start="0" length="0">
      <dxf/>
    </rfmt>
    <rfmt sheetId="2" sqref="KZ753" start="0" length="0">
      <dxf/>
    </rfmt>
    <rfmt sheetId="2" sqref="LA753" start="0" length="0">
      <dxf/>
    </rfmt>
    <rfmt sheetId="2" sqref="LB753" start="0" length="0">
      <dxf/>
    </rfmt>
    <rfmt sheetId="2" sqref="LC753" start="0" length="0">
      <dxf/>
    </rfmt>
    <rfmt sheetId="2" sqref="LD753" start="0" length="0">
      <dxf/>
    </rfmt>
    <rfmt sheetId="2" sqref="LE753" start="0" length="0">
      <dxf/>
    </rfmt>
    <rfmt sheetId="2" sqref="LF753" start="0" length="0">
      <dxf/>
    </rfmt>
    <rfmt sheetId="2" sqref="LG753" start="0" length="0">
      <dxf/>
    </rfmt>
    <rfmt sheetId="2" sqref="LH753" start="0" length="0">
      <dxf/>
    </rfmt>
    <rfmt sheetId="2" sqref="LI753" start="0" length="0">
      <dxf/>
    </rfmt>
    <rfmt sheetId="2" sqref="LJ753" start="0" length="0">
      <dxf/>
    </rfmt>
    <rfmt sheetId="2" sqref="LK753" start="0" length="0">
      <dxf/>
    </rfmt>
    <rfmt sheetId="2" sqref="LL753" start="0" length="0">
      <dxf/>
    </rfmt>
    <rfmt sheetId="2" sqref="LM753" start="0" length="0">
      <dxf/>
    </rfmt>
    <rfmt sheetId="2" sqref="LN753" start="0" length="0">
      <dxf/>
    </rfmt>
    <rfmt sheetId="2" sqref="LO753" start="0" length="0">
      <dxf/>
    </rfmt>
    <rfmt sheetId="2" sqref="LP753" start="0" length="0">
      <dxf/>
    </rfmt>
    <rfmt sheetId="2" sqref="LQ753" start="0" length="0">
      <dxf/>
    </rfmt>
    <rfmt sheetId="2" sqref="LR753" start="0" length="0">
      <dxf/>
    </rfmt>
    <rfmt sheetId="2" sqref="LS753" start="0" length="0">
      <dxf/>
    </rfmt>
    <rfmt sheetId="2" sqref="LT753" start="0" length="0">
      <dxf/>
    </rfmt>
    <rfmt sheetId="2" sqref="LU753" start="0" length="0">
      <dxf/>
    </rfmt>
    <rfmt sheetId="2" sqref="LV753" start="0" length="0">
      <dxf/>
    </rfmt>
    <rfmt sheetId="2" sqref="LW753" start="0" length="0">
      <dxf/>
    </rfmt>
    <rfmt sheetId="2" sqref="LX753" start="0" length="0">
      <dxf/>
    </rfmt>
    <rfmt sheetId="2" sqref="LY753" start="0" length="0">
      <dxf/>
    </rfmt>
    <rfmt sheetId="2" sqref="LZ753" start="0" length="0">
      <dxf/>
    </rfmt>
    <rfmt sheetId="2" sqref="MA753" start="0" length="0">
      <dxf/>
    </rfmt>
    <rfmt sheetId="2" sqref="MB753" start="0" length="0">
      <dxf/>
    </rfmt>
  </rm>
  <rrc rId="1710" sId="2" ref="A763:XFD763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3:XFD763" start="0" length="0">
      <dxf>
        <font>
          <sz val="10"/>
          <name val="Arial"/>
          <scheme val="none"/>
        </font>
        <alignment horizontal="center" readingOrder="0"/>
      </dxf>
    </rfmt>
    <rfmt sheetId="2" sqref="A76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3" start="0" length="0">
      <dxf>
        <numFmt numFmtId="176" formatCode="m/d;@"/>
      </dxf>
    </rfmt>
    <rfmt sheetId="2" sqref="P76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3" start="0" length="0">
      <dxf/>
    </rfmt>
    <rfmt sheetId="2" sqref="U763" start="0" length="0">
      <dxf/>
    </rfmt>
    <rfmt sheetId="2" sqref="V763" start="0" length="0">
      <dxf/>
    </rfmt>
    <rfmt sheetId="2" sqref="W763" start="0" length="0">
      <dxf/>
    </rfmt>
    <rfmt sheetId="2" sqref="X763" start="0" length="0">
      <dxf/>
    </rfmt>
    <rfmt sheetId="2" sqref="Y763" start="0" length="0">
      <dxf/>
    </rfmt>
    <rfmt sheetId="2" sqref="Z763" start="0" length="0">
      <dxf/>
    </rfmt>
    <rfmt sheetId="2" sqref="AA763" start="0" length="0">
      <dxf/>
    </rfmt>
    <rfmt sheetId="2" sqref="AB763" start="0" length="0">
      <dxf/>
    </rfmt>
    <rfmt sheetId="2" sqref="AC763" start="0" length="0">
      <dxf/>
    </rfmt>
    <rfmt sheetId="2" sqref="AD763" start="0" length="0">
      <dxf/>
    </rfmt>
    <rfmt sheetId="2" sqref="AE763" start="0" length="0">
      <dxf/>
    </rfmt>
    <rfmt sheetId="2" sqref="AF763" start="0" length="0">
      <dxf/>
    </rfmt>
    <rfmt sheetId="2" sqref="AG763" start="0" length="0">
      <dxf/>
    </rfmt>
    <rfmt sheetId="2" sqref="AH763" start="0" length="0">
      <dxf/>
    </rfmt>
    <rfmt sheetId="2" sqref="AI763" start="0" length="0">
      <dxf/>
    </rfmt>
    <rfmt sheetId="2" sqref="AJ763" start="0" length="0">
      <dxf/>
    </rfmt>
    <rfmt sheetId="2" sqref="AK763" start="0" length="0">
      <dxf/>
    </rfmt>
    <rfmt sheetId="2" sqref="AL763" start="0" length="0">
      <dxf/>
    </rfmt>
    <rfmt sheetId="2" sqref="AM763" start="0" length="0">
      <dxf/>
    </rfmt>
    <rfmt sheetId="2" sqref="AN763" start="0" length="0">
      <dxf/>
    </rfmt>
    <rfmt sheetId="2" sqref="AO763" start="0" length="0">
      <dxf/>
    </rfmt>
    <rfmt sheetId="2" sqref="AP763" start="0" length="0">
      <dxf/>
    </rfmt>
    <rfmt sheetId="2" sqref="AQ763" start="0" length="0">
      <dxf/>
    </rfmt>
    <rfmt sheetId="2" sqref="AR763" start="0" length="0">
      <dxf/>
    </rfmt>
    <rfmt sheetId="2" sqref="AS763" start="0" length="0">
      <dxf/>
    </rfmt>
    <rfmt sheetId="2" sqref="AT763" start="0" length="0">
      <dxf/>
    </rfmt>
    <rfmt sheetId="2" sqref="AU763" start="0" length="0">
      <dxf/>
    </rfmt>
    <rfmt sheetId="2" sqref="AV763" start="0" length="0">
      <dxf/>
    </rfmt>
    <rfmt sheetId="2" sqref="AW763" start="0" length="0">
      <dxf/>
    </rfmt>
    <rfmt sheetId="2" sqref="AX763" start="0" length="0">
      <dxf/>
    </rfmt>
    <rfmt sheetId="2" sqref="AY763" start="0" length="0">
      <dxf/>
    </rfmt>
    <rfmt sheetId="2" sqref="AZ763" start="0" length="0">
      <dxf/>
    </rfmt>
    <rfmt sheetId="2" sqref="BA763" start="0" length="0">
      <dxf/>
    </rfmt>
    <rfmt sheetId="2" sqref="BB763" start="0" length="0">
      <dxf/>
    </rfmt>
    <rfmt sheetId="2" sqref="BC763" start="0" length="0">
      <dxf/>
    </rfmt>
    <rfmt sheetId="2" sqref="BD763" start="0" length="0">
      <dxf/>
    </rfmt>
    <rfmt sheetId="2" sqref="BE763" start="0" length="0">
      <dxf/>
    </rfmt>
    <rfmt sheetId="2" sqref="BF763" start="0" length="0">
      <dxf/>
    </rfmt>
    <rfmt sheetId="2" sqref="BG763" start="0" length="0">
      <dxf/>
    </rfmt>
    <rfmt sheetId="2" sqref="BH763" start="0" length="0">
      <dxf/>
    </rfmt>
    <rfmt sheetId="2" sqref="BI763" start="0" length="0">
      <dxf/>
    </rfmt>
    <rfmt sheetId="2" sqref="BJ763" start="0" length="0">
      <dxf/>
    </rfmt>
    <rfmt sheetId="2" sqref="BK763" start="0" length="0">
      <dxf/>
    </rfmt>
    <rfmt sheetId="2" sqref="BL763" start="0" length="0">
      <dxf/>
    </rfmt>
    <rfmt sheetId="2" sqref="BM763" start="0" length="0">
      <dxf/>
    </rfmt>
    <rfmt sheetId="2" sqref="BN763" start="0" length="0">
      <dxf/>
    </rfmt>
    <rfmt sheetId="2" sqref="BO763" start="0" length="0">
      <dxf/>
    </rfmt>
    <rfmt sheetId="2" sqref="BP763" start="0" length="0">
      <dxf/>
    </rfmt>
    <rfmt sheetId="2" sqref="BQ763" start="0" length="0">
      <dxf/>
    </rfmt>
    <rfmt sheetId="2" sqref="BR763" start="0" length="0">
      <dxf/>
    </rfmt>
    <rfmt sheetId="2" sqref="BS763" start="0" length="0">
      <dxf/>
    </rfmt>
    <rfmt sheetId="2" sqref="BT763" start="0" length="0">
      <dxf/>
    </rfmt>
    <rfmt sheetId="2" sqref="BU763" start="0" length="0">
      <dxf/>
    </rfmt>
    <rfmt sheetId="2" sqref="BV763" start="0" length="0">
      <dxf/>
    </rfmt>
    <rfmt sheetId="2" sqref="BW763" start="0" length="0">
      <dxf/>
    </rfmt>
    <rfmt sheetId="2" sqref="BX763" start="0" length="0">
      <dxf/>
    </rfmt>
    <rfmt sheetId="2" sqref="BY763" start="0" length="0">
      <dxf/>
    </rfmt>
    <rfmt sheetId="2" sqref="BZ763" start="0" length="0">
      <dxf/>
    </rfmt>
    <rfmt sheetId="2" sqref="CA763" start="0" length="0">
      <dxf/>
    </rfmt>
    <rfmt sheetId="2" sqref="CB763" start="0" length="0">
      <dxf/>
    </rfmt>
    <rfmt sheetId="2" sqref="CC763" start="0" length="0">
      <dxf/>
    </rfmt>
    <rfmt sheetId="2" sqref="CD763" start="0" length="0">
      <dxf/>
    </rfmt>
    <rfmt sheetId="2" sqref="CE763" start="0" length="0">
      <dxf/>
    </rfmt>
    <rfmt sheetId="2" sqref="CF763" start="0" length="0">
      <dxf/>
    </rfmt>
    <rfmt sheetId="2" sqref="CG763" start="0" length="0">
      <dxf/>
    </rfmt>
    <rfmt sheetId="2" sqref="CH763" start="0" length="0">
      <dxf/>
    </rfmt>
    <rfmt sheetId="2" sqref="CI763" start="0" length="0">
      <dxf/>
    </rfmt>
    <rfmt sheetId="2" sqref="CJ763" start="0" length="0">
      <dxf/>
    </rfmt>
    <rfmt sheetId="2" sqref="CK763" start="0" length="0">
      <dxf/>
    </rfmt>
    <rfmt sheetId="2" sqref="CL763" start="0" length="0">
      <dxf/>
    </rfmt>
    <rfmt sheetId="2" sqref="CM763" start="0" length="0">
      <dxf/>
    </rfmt>
    <rfmt sheetId="2" sqref="CN763" start="0" length="0">
      <dxf/>
    </rfmt>
    <rfmt sheetId="2" sqref="CO763" start="0" length="0">
      <dxf/>
    </rfmt>
    <rfmt sheetId="2" sqref="CP763" start="0" length="0">
      <dxf/>
    </rfmt>
    <rfmt sheetId="2" sqref="CQ763" start="0" length="0">
      <dxf/>
    </rfmt>
    <rfmt sheetId="2" sqref="CR763" start="0" length="0">
      <dxf/>
    </rfmt>
    <rfmt sheetId="2" sqref="CS763" start="0" length="0">
      <dxf/>
    </rfmt>
    <rfmt sheetId="2" sqref="CT763" start="0" length="0">
      <dxf/>
    </rfmt>
    <rfmt sheetId="2" sqref="CU763" start="0" length="0">
      <dxf/>
    </rfmt>
    <rfmt sheetId="2" sqref="CV763" start="0" length="0">
      <dxf/>
    </rfmt>
    <rfmt sheetId="2" sqref="CW763" start="0" length="0">
      <dxf/>
    </rfmt>
    <rfmt sheetId="2" sqref="CX763" start="0" length="0">
      <dxf/>
    </rfmt>
    <rfmt sheetId="2" sqref="CY763" start="0" length="0">
      <dxf/>
    </rfmt>
    <rfmt sheetId="2" sqref="CZ763" start="0" length="0">
      <dxf/>
    </rfmt>
    <rfmt sheetId="2" sqref="DA763" start="0" length="0">
      <dxf/>
    </rfmt>
    <rfmt sheetId="2" sqref="DB763" start="0" length="0">
      <dxf/>
    </rfmt>
    <rfmt sheetId="2" sqref="DC763" start="0" length="0">
      <dxf/>
    </rfmt>
    <rfmt sheetId="2" sqref="DD763" start="0" length="0">
      <dxf/>
    </rfmt>
    <rfmt sheetId="2" sqref="DE763" start="0" length="0">
      <dxf/>
    </rfmt>
    <rfmt sheetId="2" sqref="DF763" start="0" length="0">
      <dxf/>
    </rfmt>
    <rfmt sheetId="2" sqref="DG763" start="0" length="0">
      <dxf/>
    </rfmt>
    <rfmt sheetId="2" sqref="DH763" start="0" length="0">
      <dxf/>
    </rfmt>
    <rfmt sheetId="2" sqref="DI763" start="0" length="0">
      <dxf/>
    </rfmt>
    <rfmt sheetId="2" sqref="DJ763" start="0" length="0">
      <dxf/>
    </rfmt>
    <rfmt sheetId="2" sqref="DK763" start="0" length="0">
      <dxf/>
    </rfmt>
    <rfmt sheetId="2" sqref="DL763" start="0" length="0">
      <dxf/>
    </rfmt>
    <rfmt sheetId="2" sqref="DM763" start="0" length="0">
      <dxf/>
    </rfmt>
    <rfmt sheetId="2" sqref="DN763" start="0" length="0">
      <dxf/>
    </rfmt>
    <rfmt sheetId="2" sqref="DO763" start="0" length="0">
      <dxf/>
    </rfmt>
    <rfmt sheetId="2" sqref="DP763" start="0" length="0">
      <dxf/>
    </rfmt>
    <rfmt sheetId="2" sqref="DQ763" start="0" length="0">
      <dxf/>
    </rfmt>
    <rfmt sheetId="2" sqref="DR763" start="0" length="0">
      <dxf/>
    </rfmt>
    <rfmt sheetId="2" sqref="DS763" start="0" length="0">
      <dxf/>
    </rfmt>
    <rfmt sheetId="2" sqref="DT763" start="0" length="0">
      <dxf/>
    </rfmt>
    <rfmt sheetId="2" sqref="DU763" start="0" length="0">
      <dxf/>
    </rfmt>
    <rfmt sheetId="2" sqref="DV763" start="0" length="0">
      <dxf/>
    </rfmt>
    <rfmt sheetId="2" sqref="DW763" start="0" length="0">
      <dxf/>
    </rfmt>
    <rfmt sheetId="2" sqref="DX763" start="0" length="0">
      <dxf/>
    </rfmt>
    <rfmt sheetId="2" sqref="DY763" start="0" length="0">
      <dxf/>
    </rfmt>
    <rfmt sheetId="2" sqref="DZ763" start="0" length="0">
      <dxf/>
    </rfmt>
    <rfmt sheetId="2" sqref="EA763" start="0" length="0">
      <dxf/>
    </rfmt>
    <rfmt sheetId="2" sqref="EB763" start="0" length="0">
      <dxf/>
    </rfmt>
    <rfmt sheetId="2" sqref="EC763" start="0" length="0">
      <dxf/>
    </rfmt>
    <rfmt sheetId="2" sqref="ED763" start="0" length="0">
      <dxf/>
    </rfmt>
    <rfmt sheetId="2" sqref="EE763" start="0" length="0">
      <dxf/>
    </rfmt>
    <rfmt sheetId="2" sqref="EF763" start="0" length="0">
      <dxf/>
    </rfmt>
    <rfmt sheetId="2" sqref="EG763" start="0" length="0">
      <dxf/>
    </rfmt>
    <rfmt sheetId="2" sqref="EH763" start="0" length="0">
      <dxf/>
    </rfmt>
    <rfmt sheetId="2" sqref="EI763" start="0" length="0">
      <dxf/>
    </rfmt>
    <rfmt sheetId="2" sqref="EJ763" start="0" length="0">
      <dxf/>
    </rfmt>
    <rfmt sheetId="2" sqref="EK763" start="0" length="0">
      <dxf/>
    </rfmt>
    <rfmt sheetId="2" sqref="EL763" start="0" length="0">
      <dxf/>
    </rfmt>
    <rfmt sheetId="2" sqref="EM763" start="0" length="0">
      <dxf/>
    </rfmt>
    <rfmt sheetId="2" sqref="EN763" start="0" length="0">
      <dxf/>
    </rfmt>
    <rfmt sheetId="2" sqref="EO763" start="0" length="0">
      <dxf/>
    </rfmt>
    <rfmt sheetId="2" sqref="EP763" start="0" length="0">
      <dxf/>
    </rfmt>
    <rfmt sheetId="2" sqref="EQ763" start="0" length="0">
      <dxf/>
    </rfmt>
    <rfmt sheetId="2" sqref="ER763" start="0" length="0">
      <dxf/>
    </rfmt>
    <rfmt sheetId="2" sqref="ES763" start="0" length="0">
      <dxf/>
    </rfmt>
    <rfmt sheetId="2" sqref="ET763" start="0" length="0">
      <dxf/>
    </rfmt>
    <rfmt sheetId="2" sqref="EU763" start="0" length="0">
      <dxf/>
    </rfmt>
    <rfmt sheetId="2" sqref="EV763" start="0" length="0">
      <dxf/>
    </rfmt>
    <rfmt sheetId="2" sqref="EW763" start="0" length="0">
      <dxf/>
    </rfmt>
    <rfmt sheetId="2" sqref="EX763" start="0" length="0">
      <dxf/>
    </rfmt>
    <rfmt sheetId="2" sqref="EY763" start="0" length="0">
      <dxf/>
    </rfmt>
    <rfmt sheetId="2" sqref="EZ763" start="0" length="0">
      <dxf/>
    </rfmt>
    <rfmt sheetId="2" sqref="FA763" start="0" length="0">
      <dxf/>
    </rfmt>
    <rfmt sheetId="2" sqref="FB763" start="0" length="0">
      <dxf/>
    </rfmt>
    <rfmt sheetId="2" sqref="FC763" start="0" length="0">
      <dxf/>
    </rfmt>
    <rfmt sheetId="2" sqref="FD763" start="0" length="0">
      <dxf/>
    </rfmt>
    <rfmt sheetId="2" sqref="FE763" start="0" length="0">
      <dxf/>
    </rfmt>
    <rfmt sheetId="2" sqref="FF763" start="0" length="0">
      <dxf/>
    </rfmt>
    <rfmt sheetId="2" sqref="FG763" start="0" length="0">
      <dxf/>
    </rfmt>
    <rfmt sheetId="2" sqref="FH763" start="0" length="0">
      <dxf/>
    </rfmt>
    <rfmt sheetId="2" sqref="FI763" start="0" length="0">
      <dxf/>
    </rfmt>
    <rfmt sheetId="2" sqref="FJ763" start="0" length="0">
      <dxf/>
    </rfmt>
    <rfmt sheetId="2" sqref="FK763" start="0" length="0">
      <dxf/>
    </rfmt>
    <rfmt sheetId="2" sqref="FL763" start="0" length="0">
      <dxf/>
    </rfmt>
    <rfmt sheetId="2" sqref="FM763" start="0" length="0">
      <dxf/>
    </rfmt>
    <rfmt sheetId="2" sqref="FN763" start="0" length="0">
      <dxf/>
    </rfmt>
    <rfmt sheetId="2" sqref="FO763" start="0" length="0">
      <dxf/>
    </rfmt>
    <rfmt sheetId="2" sqref="FP763" start="0" length="0">
      <dxf/>
    </rfmt>
    <rfmt sheetId="2" sqref="FQ763" start="0" length="0">
      <dxf/>
    </rfmt>
    <rfmt sheetId="2" sqref="FR763" start="0" length="0">
      <dxf/>
    </rfmt>
    <rfmt sheetId="2" sqref="FS763" start="0" length="0">
      <dxf/>
    </rfmt>
    <rfmt sheetId="2" sqref="FT763" start="0" length="0">
      <dxf/>
    </rfmt>
    <rfmt sheetId="2" sqref="FU763" start="0" length="0">
      <dxf/>
    </rfmt>
    <rfmt sheetId="2" sqref="FV763" start="0" length="0">
      <dxf/>
    </rfmt>
    <rfmt sheetId="2" sqref="FW763" start="0" length="0">
      <dxf/>
    </rfmt>
    <rfmt sheetId="2" sqref="FX763" start="0" length="0">
      <dxf/>
    </rfmt>
    <rfmt sheetId="2" sqref="FY763" start="0" length="0">
      <dxf/>
    </rfmt>
    <rfmt sheetId="2" sqref="FZ763" start="0" length="0">
      <dxf/>
    </rfmt>
    <rfmt sheetId="2" sqref="GA763" start="0" length="0">
      <dxf/>
    </rfmt>
    <rfmt sheetId="2" sqref="GB763" start="0" length="0">
      <dxf/>
    </rfmt>
    <rfmt sheetId="2" sqref="GC763" start="0" length="0">
      <dxf/>
    </rfmt>
    <rfmt sheetId="2" sqref="GD763" start="0" length="0">
      <dxf/>
    </rfmt>
    <rfmt sheetId="2" sqref="GE763" start="0" length="0">
      <dxf/>
    </rfmt>
    <rfmt sheetId="2" sqref="GF763" start="0" length="0">
      <dxf/>
    </rfmt>
    <rfmt sheetId="2" sqref="GG763" start="0" length="0">
      <dxf/>
    </rfmt>
    <rfmt sheetId="2" sqref="GH763" start="0" length="0">
      <dxf/>
    </rfmt>
    <rfmt sheetId="2" sqref="GI763" start="0" length="0">
      <dxf/>
    </rfmt>
    <rfmt sheetId="2" sqref="GJ763" start="0" length="0">
      <dxf/>
    </rfmt>
    <rfmt sheetId="2" sqref="GK763" start="0" length="0">
      <dxf/>
    </rfmt>
    <rfmt sheetId="2" sqref="GL763" start="0" length="0">
      <dxf/>
    </rfmt>
    <rfmt sheetId="2" sqref="GM763" start="0" length="0">
      <dxf/>
    </rfmt>
    <rfmt sheetId="2" sqref="GN763" start="0" length="0">
      <dxf/>
    </rfmt>
    <rfmt sheetId="2" sqref="GO763" start="0" length="0">
      <dxf/>
    </rfmt>
    <rfmt sheetId="2" sqref="GP763" start="0" length="0">
      <dxf/>
    </rfmt>
    <rfmt sheetId="2" sqref="GQ763" start="0" length="0">
      <dxf/>
    </rfmt>
    <rfmt sheetId="2" sqref="GR763" start="0" length="0">
      <dxf/>
    </rfmt>
    <rfmt sheetId="2" sqref="GS763" start="0" length="0">
      <dxf/>
    </rfmt>
    <rfmt sheetId="2" sqref="GT763" start="0" length="0">
      <dxf/>
    </rfmt>
    <rfmt sheetId="2" sqref="GU763" start="0" length="0">
      <dxf/>
    </rfmt>
    <rfmt sheetId="2" sqref="GV763" start="0" length="0">
      <dxf/>
    </rfmt>
    <rfmt sheetId="2" sqref="GW763" start="0" length="0">
      <dxf/>
    </rfmt>
    <rfmt sheetId="2" sqref="GX763" start="0" length="0">
      <dxf/>
    </rfmt>
    <rfmt sheetId="2" sqref="GY763" start="0" length="0">
      <dxf/>
    </rfmt>
    <rfmt sheetId="2" sqref="GZ763" start="0" length="0">
      <dxf/>
    </rfmt>
    <rfmt sheetId="2" sqref="HA763" start="0" length="0">
      <dxf/>
    </rfmt>
    <rfmt sheetId="2" sqref="HB763" start="0" length="0">
      <dxf/>
    </rfmt>
    <rfmt sheetId="2" sqref="HC763" start="0" length="0">
      <dxf/>
    </rfmt>
    <rfmt sheetId="2" sqref="HD763" start="0" length="0">
      <dxf/>
    </rfmt>
    <rfmt sheetId="2" sqref="HE763" start="0" length="0">
      <dxf/>
    </rfmt>
    <rfmt sheetId="2" sqref="HF763" start="0" length="0">
      <dxf/>
    </rfmt>
    <rfmt sheetId="2" sqref="HG763" start="0" length="0">
      <dxf/>
    </rfmt>
    <rfmt sheetId="2" sqref="HH763" start="0" length="0">
      <dxf/>
    </rfmt>
    <rfmt sheetId="2" sqref="HI763" start="0" length="0">
      <dxf/>
    </rfmt>
    <rfmt sheetId="2" sqref="HJ763" start="0" length="0">
      <dxf/>
    </rfmt>
    <rfmt sheetId="2" sqref="HK763" start="0" length="0">
      <dxf/>
    </rfmt>
    <rfmt sheetId="2" sqref="HL763" start="0" length="0">
      <dxf/>
    </rfmt>
    <rfmt sheetId="2" sqref="HM763" start="0" length="0">
      <dxf/>
    </rfmt>
    <rfmt sheetId="2" sqref="HN763" start="0" length="0">
      <dxf/>
    </rfmt>
    <rfmt sheetId="2" sqref="HO763" start="0" length="0">
      <dxf/>
    </rfmt>
    <rfmt sheetId="2" sqref="HP763" start="0" length="0">
      <dxf/>
    </rfmt>
    <rfmt sheetId="2" sqref="HQ763" start="0" length="0">
      <dxf/>
    </rfmt>
    <rfmt sheetId="2" sqref="HR763" start="0" length="0">
      <dxf/>
    </rfmt>
    <rfmt sheetId="2" sqref="HS763" start="0" length="0">
      <dxf/>
    </rfmt>
    <rfmt sheetId="2" sqref="HT763" start="0" length="0">
      <dxf/>
    </rfmt>
    <rfmt sheetId="2" sqref="HU763" start="0" length="0">
      <dxf/>
    </rfmt>
    <rfmt sheetId="2" sqref="HV763" start="0" length="0">
      <dxf/>
    </rfmt>
    <rfmt sheetId="2" sqref="HW763" start="0" length="0">
      <dxf/>
    </rfmt>
    <rfmt sheetId="2" sqref="HX763" start="0" length="0">
      <dxf/>
    </rfmt>
    <rfmt sheetId="2" sqref="HY763" start="0" length="0">
      <dxf/>
    </rfmt>
    <rfmt sheetId="2" sqref="HZ763" start="0" length="0">
      <dxf/>
    </rfmt>
    <rfmt sheetId="2" sqref="IA763" start="0" length="0">
      <dxf/>
    </rfmt>
    <rfmt sheetId="2" sqref="IB763" start="0" length="0">
      <dxf/>
    </rfmt>
    <rfmt sheetId="2" sqref="IC763" start="0" length="0">
      <dxf/>
    </rfmt>
    <rfmt sheetId="2" sqref="ID763" start="0" length="0">
      <dxf/>
    </rfmt>
    <rfmt sheetId="2" sqref="IE763" start="0" length="0">
      <dxf/>
    </rfmt>
    <rfmt sheetId="2" sqref="IF763" start="0" length="0">
      <dxf/>
    </rfmt>
    <rfmt sheetId="2" sqref="IG763" start="0" length="0">
      <dxf/>
    </rfmt>
    <rfmt sheetId="2" sqref="IH763" start="0" length="0">
      <dxf/>
    </rfmt>
    <rfmt sheetId="2" sqref="II763" start="0" length="0">
      <dxf/>
    </rfmt>
    <rfmt sheetId="2" sqref="IJ763" start="0" length="0">
      <dxf/>
    </rfmt>
    <rfmt sheetId="2" sqref="IK763" start="0" length="0">
      <dxf/>
    </rfmt>
    <rfmt sheetId="2" sqref="IL763" start="0" length="0">
      <dxf/>
    </rfmt>
    <rfmt sheetId="2" sqref="IM763" start="0" length="0">
      <dxf/>
    </rfmt>
    <rfmt sheetId="2" sqref="IN763" start="0" length="0">
      <dxf/>
    </rfmt>
    <rfmt sheetId="2" sqref="IO763" start="0" length="0">
      <dxf/>
    </rfmt>
    <rfmt sheetId="2" sqref="IP763" start="0" length="0">
      <dxf/>
    </rfmt>
    <rfmt sheetId="2" sqref="IQ763" start="0" length="0">
      <dxf/>
    </rfmt>
    <rfmt sheetId="2" sqref="IR763" start="0" length="0">
      <dxf/>
    </rfmt>
    <rfmt sheetId="2" sqref="IS763" start="0" length="0">
      <dxf/>
    </rfmt>
    <rfmt sheetId="2" sqref="IT763" start="0" length="0">
      <dxf/>
    </rfmt>
    <rfmt sheetId="2" sqref="IU763" start="0" length="0">
      <dxf/>
    </rfmt>
    <rfmt sheetId="2" sqref="IV763" start="0" length="0">
      <dxf/>
    </rfmt>
    <rfmt sheetId="2" sqref="IW763" start="0" length="0">
      <dxf/>
    </rfmt>
    <rfmt sheetId="2" sqref="IX763" start="0" length="0">
      <dxf/>
    </rfmt>
    <rfmt sheetId="2" sqref="IY763" start="0" length="0">
      <dxf/>
    </rfmt>
    <rfmt sheetId="2" sqref="IZ763" start="0" length="0">
      <dxf/>
    </rfmt>
    <rfmt sheetId="2" sqref="JA763" start="0" length="0">
      <dxf/>
    </rfmt>
    <rfmt sheetId="2" sqref="JB763" start="0" length="0">
      <dxf/>
    </rfmt>
    <rfmt sheetId="2" sqref="JC763" start="0" length="0">
      <dxf/>
    </rfmt>
    <rfmt sheetId="2" sqref="JD763" start="0" length="0">
      <dxf/>
    </rfmt>
    <rfmt sheetId="2" sqref="JE763" start="0" length="0">
      <dxf/>
    </rfmt>
    <rfmt sheetId="2" sqref="JF763" start="0" length="0">
      <dxf/>
    </rfmt>
    <rfmt sheetId="2" sqref="JG763" start="0" length="0">
      <dxf/>
    </rfmt>
    <rfmt sheetId="2" sqref="JH763" start="0" length="0">
      <dxf/>
    </rfmt>
    <rfmt sheetId="2" sqref="JI763" start="0" length="0">
      <dxf/>
    </rfmt>
    <rfmt sheetId="2" sqref="JJ763" start="0" length="0">
      <dxf/>
    </rfmt>
    <rfmt sheetId="2" sqref="JK763" start="0" length="0">
      <dxf/>
    </rfmt>
    <rfmt sheetId="2" sqref="JL763" start="0" length="0">
      <dxf/>
    </rfmt>
    <rfmt sheetId="2" sqref="JM763" start="0" length="0">
      <dxf/>
    </rfmt>
    <rfmt sheetId="2" sqref="JN763" start="0" length="0">
      <dxf/>
    </rfmt>
    <rfmt sheetId="2" sqref="JO763" start="0" length="0">
      <dxf/>
    </rfmt>
    <rfmt sheetId="2" sqref="JP763" start="0" length="0">
      <dxf/>
    </rfmt>
    <rfmt sheetId="2" sqref="JQ763" start="0" length="0">
      <dxf/>
    </rfmt>
    <rfmt sheetId="2" sqref="JR763" start="0" length="0">
      <dxf/>
    </rfmt>
    <rfmt sheetId="2" sqref="JS763" start="0" length="0">
      <dxf/>
    </rfmt>
    <rfmt sheetId="2" sqref="JT763" start="0" length="0">
      <dxf/>
    </rfmt>
    <rfmt sheetId="2" sqref="JU763" start="0" length="0">
      <dxf/>
    </rfmt>
    <rfmt sheetId="2" sqref="JV763" start="0" length="0">
      <dxf/>
    </rfmt>
    <rfmt sheetId="2" sqref="JW763" start="0" length="0">
      <dxf/>
    </rfmt>
    <rfmt sheetId="2" sqref="JX763" start="0" length="0">
      <dxf/>
    </rfmt>
    <rfmt sheetId="2" sqref="JY763" start="0" length="0">
      <dxf/>
    </rfmt>
    <rfmt sheetId="2" sqref="JZ763" start="0" length="0">
      <dxf/>
    </rfmt>
    <rfmt sheetId="2" sqref="KA763" start="0" length="0">
      <dxf/>
    </rfmt>
    <rfmt sheetId="2" sqref="KB763" start="0" length="0">
      <dxf/>
    </rfmt>
    <rfmt sheetId="2" sqref="KC763" start="0" length="0">
      <dxf/>
    </rfmt>
    <rfmt sheetId="2" sqref="KD763" start="0" length="0">
      <dxf/>
    </rfmt>
    <rfmt sheetId="2" sqref="KE763" start="0" length="0">
      <dxf/>
    </rfmt>
    <rfmt sheetId="2" sqref="KF763" start="0" length="0">
      <dxf/>
    </rfmt>
    <rfmt sheetId="2" sqref="KG763" start="0" length="0">
      <dxf/>
    </rfmt>
    <rfmt sheetId="2" sqref="KH763" start="0" length="0">
      <dxf/>
    </rfmt>
    <rfmt sheetId="2" sqref="KI763" start="0" length="0">
      <dxf/>
    </rfmt>
    <rfmt sheetId="2" sqref="KJ763" start="0" length="0">
      <dxf/>
    </rfmt>
    <rfmt sheetId="2" sqref="KK763" start="0" length="0">
      <dxf/>
    </rfmt>
    <rfmt sheetId="2" sqref="KL763" start="0" length="0">
      <dxf/>
    </rfmt>
    <rfmt sheetId="2" sqref="KM763" start="0" length="0">
      <dxf/>
    </rfmt>
    <rfmt sheetId="2" sqref="KN763" start="0" length="0">
      <dxf/>
    </rfmt>
    <rfmt sheetId="2" sqref="KO763" start="0" length="0">
      <dxf/>
    </rfmt>
    <rfmt sheetId="2" sqref="KP763" start="0" length="0">
      <dxf/>
    </rfmt>
    <rfmt sheetId="2" sqref="KQ763" start="0" length="0">
      <dxf/>
    </rfmt>
    <rfmt sheetId="2" sqref="KR763" start="0" length="0">
      <dxf/>
    </rfmt>
    <rfmt sheetId="2" sqref="KS763" start="0" length="0">
      <dxf/>
    </rfmt>
    <rfmt sheetId="2" sqref="KT763" start="0" length="0">
      <dxf/>
    </rfmt>
    <rfmt sheetId="2" sqref="KU763" start="0" length="0">
      <dxf/>
    </rfmt>
    <rfmt sheetId="2" sqref="KV763" start="0" length="0">
      <dxf/>
    </rfmt>
    <rfmt sheetId="2" sqref="KW763" start="0" length="0">
      <dxf/>
    </rfmt>
    <rfmt sheetId="2" sqref="KX763" start="0" length="0">
      <dxf/>
    </rfmt>
    <rfmt sheetId="2" sqref="KY763" start="0" length="0">
      <dxf/>
    </rfmt>
    <rfmt sheetId="2" sqref="KZ763" start="0" length="0">
      <dxf/>
    </rfmt>
    <rfmt sheetId="2" sqref="LA763" start="0" length="0">
      <dxf/>
    </rfmt>
    <rfmt sheetId="2" sqref="LB763" start="0" length="0">
      <dxf/>
    </rfmt>
    <rfmt sheetId="2" sqref="LC763" start="0" length="0">
      <dxf/>
    </rfmt>
    <rfmt sheetId="2" sqref="LD763" start="0" length="0">
      <dxf/>
    </rfmt>
    <rfmt sheetId="2" sqref="LE763" start="0" length="0">
      <dxf/>
    </rfmt>
    <rfmt sheetId="2" sqref="LF763" start="0" length="0">
      <dxf/>
    </rfmt>
    <rfmt sheetId="2" sqref="LG763" start="0" length="0">
      <dxf/>
    </rfmt>
    <rfmt sheetId="2" sqref="LH763" start="0" length="0">
      <dxf/>
    </rfmt>
    <rfmt sheetId="2" sqref="LI763" start="0" length="0">
      <dxf/>
    </rfmt>
    <rfmt sheetId="2" sqref="LJ763" start="0" length="0">
      <dxf/>
    </rfmt>
    <rfmt sheetId="2" sqref="LK763" start="0" length="0">
      <dxf/>
    </rfmt>
    <rfmt sheetId="2" sqref="LL763" start="0" length="0">
      <dxf/>
    </rfmt>
    <rfmt sheetId="2" sqref="LM763" start="0" length="0">
      <dxf/>
    </rfmt>
    <rfmt sheetId="2" sqref="LN763" start="0" length="0">
      <dxf/>
    </rfmt>
    <rfmt sheetId="2" sqref="LO763" start="0" length="0">
      <dxf/>
    </rfmt>
    <rfmt sheetId="2" sqref="LP763" start="0" length="0">
      <dxf/>
    </rfmt>
    <rfmt sheetId="2" sqref="LQ763" start="0" length="0">
      <dxf/>
    </rfmt>
    <rfmt sheetId="2" sqref="LR763" start="0" length="0">
      <dxf/>
    </rfmt>
    <rfmt sheetId="2" sqref="LS763" start="0" length="0">
      <dxf/>
    </rfmt>
    <rfmt sheetId="2" sqref="LT763" start="0" length="0">
      <dxf/>
    </rfmt>
    <rfmt sheetId="2" sqref="LU763" start="0" length="0">
      <dxf/>
    </rfmt>
    <rfmt sheetId="2" sqref="LV763" start="0" length="0">
      <dxf/>
    </rfmt>
    <rfmt sheetId="2" sqref="LW763" start="0" length="0">
      <dxf/>
    </rfmt>
    <rfmt sheetId="2" sqref="LX763" start="0" length="0">
      <dxf/>
    </rfmt>
    <rfmt sheetId="2" sqref="LY763" start="0" length="0">
      <dxf/>
    </rfmt>
    <rfmt sheetId="2" sqref="LZ763" start="0" length="0">
      <dxf/>
    </rfmt>
    <rfmt sheetId="2" sqref="MA763" start="0" length="0">
      <dxf/>
    </rfmt>
    <rfmt sheetId="2" sqref="MB763" start="0" length="0">
      <dxf/>
    </rfmt>
  </rrc>
  <rrc rId="1711" sId="2" ref="A763:XFD763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3:XFD763" start="0" length="0">
      <dxf>
        <font>
          <sz val="10"/>
          <name val="Arial"/>
          <scheme val="none"/>
        </font>
        <alignment horizontal="center" readingOrder="0"/>
      </dxf>
    </rfmt>
    <rfmt sheetId="2" sqref="A76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3" start="0" length="0">
      <dxf>
        <numFmt numFmtId="176" formatCode="m/d;@"/>
      </dxf>
    </rfmt>
    <rfmt sheetId="2" sqref="P76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3" start="0" length="0">
      <dxf/>
    </rfmt>
    <rfmt sheetId="2" sqref="U763" start="0" length="0">
      <dxf/>
    </rfmt>
    <rfmt sheetId="2" sqref="V763" start="0" length="0">
      <dxf/>
    </rfmt>
    <rfmt sheetId="2" sqref="W763" start="0" length="0">
      <dxf/>
    </rfmt>
    <rfmt sheetId="2" sqref="X763" start="0" length="0">
      <dxf/>
    </rfmt>
    <rfmt sheetId="2" sqref="Y763" start="0" length="0">
      <dxf/>
    </rfmt>
    <rfmt sheetId="2" sqref="Z763" start="0" length="0">
      <dxf/>
    </rfmt>
    <rfmt sheetId="2" sqref="AA763" start="0" length="0">
      <dxf/>
    </rfmt>
    <rfmt sheetId="2" sqref="AB763" start="0" length="0">
      <dxf/>
    </rfmt>
    <rfmt sheetId="2" sqref="AC763" start="0" length="0">
      <dxf/>
    </rfmt>
    <rfmt sheetId="2" sqref="AD763" start="0" length="0">
      <dxf/>
    </rfmt>
    <rfmt sheetId="2" sqref="AE763" start="0" length="0">
      <dxf/>
    </rfmt>
    <rfmt sheetId="2" sqref="AF763" start="0" length="0">
      <dxf/>
    </rfmt>
    <rfmt sheetId="2" sqref="AG763" start="0" length="0">
      <dxf/>
    </rfmt>
    <rfmt sheetId="2" sqref="AH763" start="0" length="0">
      <dxf/>
    </rfmt>
    <rfmt sheetId="2" sqref="AI763" start="0" length="0">
      <dxf/>
    </rfmt>
    <rfmt sheetId="2" sqref="AJ763" start="0" length="0">
      <dxf/>
    </rfmt>
    <rfmt sheetId="2" sqref="AK763" start="0" length="0">
      <dxf/>
    </rfmt>
    <rfmt sheetId="2" sqref="AL763" start="0" length="0">
      <dxf/>
    </rfmt>
    <rfmt sheetId="2" sqref="AM763" start="0" length="0">
      <dxf/>
    </rfmt>
    <rfmt sheetId="2" sqref="AN763" start="0" length="0">
      <dxf/>
    </rfmt>
    <rfmt sheetId="2" sqref="AO763" start="0" length="0">
      <dxf/>
    </rfmt>
    <rfmt sheetId="2" sqref="AP763" start="0" length="0">
      <dxf/>
    </rfmt>
    <rfmt sheetId="2" sqref="AQ763" start="0" length="0">
      <dxf/>
    </rfmt>
    <rfmt sheetId="2" sqref="AR763" start="0" length="0">
      <dxf/>
    </rfmt>
    <rfmt sheetId="2" sqref="AS763" start="0" length="0">
      <dxf/>
    </rfmt>
    <rfmt sheetId="2" sqref="AT763" start="0" length="0">
      <dxf/>
    </rfmt>
    <rfmt sheetId="2" sqref="AU763" start="0" length="0">
      <dxf/>
    </rfmt>
    <rfmt sheetId="2" sqref="AV763" start="0" length="0">
      <dxf/>
    </rfmt>
    <rfmt sheetId="2" sqref="AW763" start="0" length="0">
      <dxf/>
    </rfmt>
    <rfmt sheetId="2" sqref="AX763" start="0" length="0">
      <dxf/>
    </rfmt>
    <rfmt sheetId="2" sqref="AY763" start="0" length="0">
      <dxf/>
    </rfmt>
    <rfmt sheetId="2" sqref="AZ763" start="0" length="0">
      <dxf/>
    </rfmt>
    <rfmt sheetId="2" sqref="BA763" start="0" length="0">
      <dxf/>
    </rfmt>
    <rfmt sheetId="2" sqref="BB763" start="0" length="0">
      <dxf/>
    </rfmt>
    <rfmt sheetId="2" sqref="BC763" start="0" length="0">
      <dxf/>
    </rfmt>
    <rfmt sheetId="2" sqref="BD763" start="0" length="0">
      <dxf/>
    </rfmt>
    <rfmt sheetId="2" sqref="BE763" start="0" length="0">
      <dxf/>
    </rfmt>
    <rfmt sheetId="2" sqref="BF763" start="0" length="0">
      <dxf/>
    </rfmt>
    <rfmt sheetId="2" sqref="BG763" start="0" length="0">
      <dxf/>
    </rfmt>
    <rfmt sheetId="2" sqref="BH763" start="0" length="0">
      <dxf/>
    </rfmt>
    <rfmt sheetId="2" sqref="BI763" start="0" length="0">
      <dxf/>
    </rfmt>
    <rfmt sheetId="2" sqref="BJ763" start="0" length="0">
      <dxf/>
    </rfmt>
    <rfmt sheetId="2" sqref="BK763" start="0" length="0">
      <dxf/>
    </rfmt>
    <rfmt sheetId="2" sqref="BL763" start="0" length="0">
      <dxf/>
    </rfmt>
    <rfmt sheetId="2" sqref="BM763" start="0" length="0">
      <dxf/>
    </rfmt>
    <rfmt sheetId="2" sqref="BN763" start="0" length="0">
      <dxf/>
    </rfmt>
    <rfmt sheetId="2" sqref="BO763" start="0" length="0">
      <dxf/>
    </rfmt>
    <rfmt sheetId="2" sqref="BP763" start="0" length="0">
      <dxf/>
    </rfmt>
    <rfmt sheetId="2" sqref="BQ763" start="0" length="0">
      <dxf/>
    </rfmt>
    <rfmt sheetId="2" sqref="BR763" start="0" length="0">
      <dxf/>
    </rfmt>
    <rfmt sheetId="2" sqref="BS763" start="0" length="0">
      <dxf/>
    </rfmt>
    <rfmt sheetId="2" sqref="BT763" start="0" length="0">
      <dxf/>
    </rfmt>
    <rfmt sheetId="2" sqref="BU763" start="0" length="0">
      <dxf/>
    </rfmt>
    <rfmt sheetId="2" sqref="BV763" start="0" length="0">
      <dxf/>
    </rfmt>
    <rfmt sheetId="2" sqref="BW763" start="0" length="0">
      <dxf/>
    </rfmt>
    <rfmt sheetId="2" sqref="BX763" start="0" length="0">
      <dxf/>
    </rfmt>
    <rfmt sheetId="2" sqref="BY763" start="0" length="0">
      <dxf/>
    </rfmt>
    <rfmt sheetId="2" sqref="BZ763" start="0" length="0">
      <dxf/>
    </rfmt>
    <rfmt sheetId="2" sqref="CA763" start="0" length="0">
      <dxf/>
    </rfmt>
    <rfmt sheetId="2" sqref="CB763" start="0" length="0">
      <dxf/>
    </rfmt>
    <rfmt sheetId="2" sqref="CC763" start="0" length="0">
      <dxf/>
    </rfmt>
    <rfmt sheetId="2" sqref="CD763" start="0" length="0">
      <dxf/>
    </rfmt>
    <rfmt sheetId="2" sqref="CE763" start="0" length="0">
      <dxf/>
    </rfmt>
    <rfmt sheetId="2" sqref="CF763" start="0" length="0">
      <dxf/>
    </rfmt>
    <rfmt sheetId="2" sqref="CG763" start="0" length="0">
      <dxf/>
    </rfmt>
    <rfmt sheetId="2" sqref="CH763" start="0" length="0">
      <dxf/>
    </rfmt>
    <rfmt sheetId="2" sqref="CI763" start="0" length="0">
      <dxf/>
    </rfmt>
    <rfmt sheetId="2" sqref="CJ763" start="0" length="0">
      <dxf/>
    </rfmt>
    <rfmt sheetId="2" sqref="CK763" start="0" length="0">
      <dxf/>
    </rfmt>
    <rfmt sheetId="2" sqref="CL763" start="0" length="0">
      <dxf/>
    </rfmt>
    <rfmt sheetId="2" sqref="CM763" start="0" length="0">
      <dxf/>
    </rfmt>
    <rfmt sheetId="2" sqref="CN763" start="0" length="0">
      <dxf/>
    </rfmt>
    <rfmt sheetId="2" sqref="CO763" start="0" length="0">
      <dxf/>
    </rfmt>
    <rfmt sheetId="2" sqref="CP763" start="0" length="0">
      <dxf/>
    </rfmt>
    <rfmt sheetId="2" sqref="CQ763" start="0" length="0">
      <dxf/>
    </rfmt>
    <rfmt sheetId="2" sqref="CR763" start="0" length="0">
      <dxf/>
    </rfmt>
    <rfmt sheetId="2" sqref="CS763" start="0" length="0">
      <dxf/>
    </rfmt>
    <rfmt sheetId="2" sqref="CT763" start="0" length="0">
      <dxf/>
    </rfmt>
    <rfmt sheetId="2" sqref="CU763" start="0" length="0">
      <dxf/>
    </rfmt>
    <rfmt sheetId="2" sqref="CV763" start="0" length="0">
      <dxf/>
    </rfmt>
    <rfmt sheetId="2" sqref="CW763" start="0" length="0">
      <dxf/>
    </rfmt>
    <rfmt sheetId="2" sqref="CX763" start="0" length="0">
      <dxf/>
    </rfmt>
    <rfmt sheetId="2" sqref="CY763" start="0" length="0">
      <dxf/>
    </rfmt>
    <rfmt sheetId="2" sqref="CZ763" start="0" length="0">
      <dxf/>
    </rfmt>
    <rfmt sheetId="2" sqref="DA763" start="0" length="0">
      <dxf/>
    </rfmt>
    <rfmt sheetId="2" sqref="DB763" start="0" length="0">
      <dxf/>
    </rfmt>
    <rfmt sheetId="2" sqref="DC763" start="0" length="0">
      <dxf/>
    </rfmt>
    <rfmt sheetId="2" sqref="DD763" start="0" length="0">
      <dxf/>
    </rfmt>
    <rfmt sheetId="2" sqref="DE763" start="0" length="0">
      <dxf/>
    </rfmt>
    <rfmt sheetId="2" sqref="DF763" start="0" length="0">
      <dxf/>
    </rfmt>
    <rfmt sheetId="2" sqref="DG763" start="0" length="0">
      <dxf/>
    </rfmt>
    <rfmt sheetId="2" sqref="DH763" start="0" length="0">
      <dxf/>
    </rfmt>
    <rfmt sheetId="2" sqref="DI763" start="0" length="0">
      <dxf/>
    </rfmt>
    <rfmt sheetId="2" sqref="DJ763" start="0" length="0">
      <dxf/>
    </rfmt>
    <rfmt sheetId="2" sqref="DK763" start="0" length="0">
      <dxf/>
    </rfmt>
    <rfmt sheetId="2" sqref="DL763" start="0" length="0">
      <dxf/>
    </rfmt>
    <rfmt sheetId="2" sqref="DM763" start="0" length="0">
      <dxf/>
    </rfmt>
    <rfmt sheetId="2" sqref="DN763" start="0" length="0">
      <dxf/>
    </rfmt>
    <rfmt sheetId="2" sqref="DO763" start="0" length="0">
      <dxf/>
    </rfmt>
    <rfmt sheetId="2" sqref="DP763" start="0" length="0">
      <dxf/>
    </rfmt>
    <rfmt sheetId="2" sqref="DQ763" start="0" length="0">
      <dxf/>
    </rfmt>
    <rfmt sheetId="2" sqref="DR763" start="0" length="0">
      <dxf/>
    </rfmt>
    <rfmt sheetId="2" sqref="DS763" start="0" length="0">
      <dxf/>
    </rfmt>
    <rfmt sheetId="2" sqref="DT763" start="0" length="0">
      <dxf/>
    </rfmt>
    <rfmt sheetId="2" sqref="DU763" start="0" length="0">
      <dxf/>
    </rfmt>
    <rfmt sheetId="2" sqref="DV763" start="0" length="0">
      <dxf/>
    </rfmt>
    <rfmt sheetId="2" sqref="DW763" start="0" length="0">
      <dxf/>
    </rfmt>
    <rfmt sheetId="2" sqref="DX763" start="0" length="0">
      <dxf/>
    </rfmt>
    <rfmt sheetId="2" sqref="DY763" start="0" length="0">
      <dxf/>
    </rfmt>
    <rfmt sheetId="2" sqref="DZ763" start="0" length="0">
      <dxf/>
    </rfmt>
    <rfmt sheetId="2" sqref="EA763" start="0" length="0">
      <dxf/>
    </rfmt>
    <rfmt sheetId="2" sqref="EB763" start="0" length="0">
      <dxf/>
    </rfmt>
    <rfmt sheetId="2" sqref="EC763" start="0" length="0">
      <dxf/>
    </rfmt>
    <rfmt sheetId="2" sqref="ED763" start="0" length="0">
      <dxf/>
    </rfmt>
    <rfmt sheetId="2" sqref="EE763" start="0" length="0">
      <dxf/>
    </rfmt>
    <rfmt sheetId="2" sqref="EF763" start="0" length="0">
      <dxf/>
    </rfmt>
    <rfmt sheetId="2" sqref="EG763" start="0" length="0">
      <dxf/>
    </rfmt>
    <rfmt sheetId="2" sqref="EH763" start="0" length="0">
      <dxf/>
    </rfmt>
    <rfmt sheetId="2" sqref="EI763" start="0" length="0">
      <dxf/>
    </rfmt>
    <rfmt sheetId="2" sqref="EJ763" start="0" length="0">
      <dxf/>
    </rfmt>
    <rfmt sheetId="2" sqref="EK763" start="0" length="0">
      <dxf/>
    </rfmt>
    <rfmt sheetId="2" sqref="EL763" start="0" length="0">
      <dxf/>
    </rfmt>
    <rfmt sheetId="2" sqref="EM763" start="0" length="0">
      <dxf/>
    </rfmt>
    <rfmt sheetId="2" sqref="EN763" start="0" length="0">
      <dxf/>
    </rfmt>
    <rfmt sheetId="2" sqref="EO763" start="0" length="0">
      <dxf/>
    </rfmt>
    <rfmt sheetId="2" sqref="EP763" start="0" length="0">
      <dxf/>
    </rfmt>
    <rfmt sheetId="2" sqref="EQ763" start="0" length="0">
      <dxf/>
    </rfmt>
    <rfmt sheetId="2" sqref="ER763" start="0" length="0">
      <dxf/>
    </rfmt>
    <rfmt sheetId="2" sqref="ES763" start="0" length="0">
      <dxf/>
    </rfmt>
    <rfmt sheetId="2" sqref="ET763" start="0" length="0">
      <dxf/>
    </rfmt>
    <rfmt sheetId="2" sqref="EU763" start="0" length="0">
      <dxf/>
    </rfmt>
    <rfmt sheetId="2" sqref="EV763" start="0" length="0">
      <dxf/>
    </rfmt>
    <rfmt sheetId="2" sqref="EW763" start="0" length="0">
      <dxf/>
    </rfmt>
    <rfmt sheetId="2" sqref="EX763" start="0" length="0">
      <dxf/>
    </rfmt>
    <rfmt sheetId="2" sqref="EY763" start="0" length="0">
      <dxf/>
    </rfmt>
    <rfmt sheetId="2" sqref="EZ763" start="0" length="0">
      <dxf/>
    </rfmt>
    <rfmt sheetId="2" sqref="FA763" start="0" length="0">
      <dxf/>
    </rfmt>
    <rfmt sheetId="2" sqref="FB763" start="0" length="0">
      <dxf/>
    </rfmt>
    <rfmt sheetId="2" sqref="FC763" start="0" length="0">
      <dxf/>
    </rfmt>
    <rfmt sheetId="2" sqref="FD763" start="0" length="0">
      <dxf/>
    </rfmt>
    <rfmt sheetId="2" sqref="FE763" start="0" length="0">
      <dxf/>
    </rfmt>
    <rfmt sheetId="2" sqref="FF763" start="0" length="0">
      <dxf/>
    </rfmt>
    <rfmt sheetId="2" sqref="FG763" start="0" length="0">
      <dxf/>
    </rfmt>
    <rfmt sheetId="2" sqref="FH763" start="0" length="0">
      <dxf/>
    </rfmt>
    <rfmt sheetId="2" sqref="FI763" start="0" length="0">
      <dxf/>
    </rfmt>
    <rfmt sheetId="2" sqref="FJ763" start="0" length="0">
      <dxf/>
    </rfmt>
    <rfmt sheetId="2" sqref="FK763" start="0" length="0">
      <dxf/>
    </rfmt>
    <rfmt sheetId="2" sqref="FL763" start="0" length="0">
      <dxf/>
    </rfmt>
    <rfmt sheetId="2" sqref="FM763" start="0" length="0">
      <dxf/>
    </rfmt>
    <rfmt sheetId="2" sqref="FN763" start="0" length="0">
      <dxf/>
    </rfmt>
    <rfmt sheetId="2" sqref="FO763" start="0" length="0">
      <dxf/>
    </rfmt>
    <rfmt sheetId="2" sqref="FP763" start="0" length="0">
      <dxf/>
    </rfmt>
    <rfmt sheetId="2" sqref="FQ763" start="0" length="0">
      <dxf/>
    </rfmt>
    <rfmt sheetId="2" sqref="FR763" start="0" length="0">
      <dxf/>
    </rfmt>
    <rfmt sheetId="2" sqref="FS763" start="0" length="0">
      <dxf/>
    </rfmt>
    <rfmt sheetId="2" sqref="FT763" start="0" length="0">
      <dxf/>
    </rfmt>
    <rfmt sheetId="2" sqref="FU763" start="0" length="0">
      <dxf/>
    </rfmt>
    <rfmt sheetId="2" sqref="FV763" start="0" length="0">
      <dxf/>
    </rfmt>
    <rfmt sheetId="2" sqref="FW763" start="0" length="0">
      <dxf/>
    </rfmt>
    <rfmt sheetId="2" sqref="FX763" start="0" length="0">
      <dxf/>
    </rfmt>
    <rfmt sheetId="2" sqref="FY763" start="0" length="0">
      <dxf/>
    </rfmt>
    <rfmt sheetId="2" sqref="FZ763" start="0" length="0">
      <dxf/>
    </rfmt>
    <rfmt sheetId="2" sqref="GA763" start="0" length="0">
      <dxf/>
    </rfmt>
    <rfmt sheetId="2" sqref="GB763" start="0" length="0">
      <dxf/>
    </rfmt>
    <rfmt sheetId="2" sqref="GC763" start="0" length="0">
      <dxf/>
    </rfmt>
    <rfmt sheetId="2" sqref="GD763" start="0" length="0">
      <dxf/>
    </rfmt>
    <rfmt sheetId="2" sqref="GE763" start="0" length="0">
      <dxf/>
    </rfmt>
    <rfmt sheetId="2" sqref="GF763" start="0" length="0">
      <dxf/>
    </rfmt>
    <rfmt sheetId="2" sqref="GG763" start="0" length="0">
      <dxf/>
    </rfmt>
    <rfmt sheetId="2" sqref="GH763" start="0" length="0">
      <dxf/>
    </rfmt>
    <rfmt sheetId="2" sqref="GI763" start="0" length="0">
      <dxf/>
    </rfmt>
    <rfmt sheetId="2" sqref="GJ763" start="0" length="0">
      <dxf/>
    </rfmt>
    <rfmt sheetId="2" sqref="GK763" start="0" length="0">
      <dxf/>
    </rfmt>
    <rfmt sheetId="2" sqref="GL763" start="0" length="0">
      <dxf/>
    </rfmt>
    <rfmt sheetId="2" sqref="GM763" start="0" length="0">
      <dxf/>
    </rfmt>
    <rfmt sheetId="2" sqref="GN763" start="0" length="0">
      <dxf/>
    </rfmt>
    <rfmt sheetId="2" sqref="GO763" start="0" length="0">
      <dxf/>
    </rfmt>
    <rfmt sheetId="2" sqref="GP763" start="0" length="0">
      <dxf/>
    </rfmt>
    <rfmt sheetId="2" sqref="GQ763" start="0" length="0">
      <dxf/>
    </rfmt>
    <rfmt sheetId="2" sqref="GR763" start="0" length="0">
      <dxf/>
    </rfmt>
    <rfmt sheetId="2" sqref="GS763" start="0" length="0">
      <dxf/>
    </rfmt>
    <rfmt sheetId="2" sqref="GT763" start="0" length="0">
      <dxf/>
    </rfmt>
    <rfmt sheetId="2" sqref="GU763" start="0" length="0">
      <dxf/>
    </rfmt>
    <rfmt sheetId="2" sqref="GV763" start="0" length="0">
      <dxf/>
    </rfmt>
    <rfmt sheetId="2" sqref="GW763" start="0" length="0">
      <dxf/>
    </rfmt>
    <rfmt sheetId="2" sqref="GX763" start="0" length="0">
      <dxf/>
    </rfmt>
    <rfmt sheetId="2" sqref="GY763" start="0" length="0">
      <dxf/>
    </rfmt>
    <rfmt sheetId="2" sqref="GZ763" start="0" length="0">
      <dxf/>
    </rfmt>
    <rfmt sheetId="2" sqref="HA763" start="0" length="0">
      <dxf/>
    </rfmt>
    <rfmt sheetId="2" sqref="HB763" start="0" length="0">
      <dxf/>
    </rfmt>
    <rfmt sheetId="2" sqref="HC763" start="0" length="0">
      <dxf/>
    </rfmt>
    <rfmt sheetId="2" sqref="HD763" start="0" length="0">
      <dxf/>
    </rfmt>
    <rfmt sheetId="2" sqref="HE763" start="0" length="0">
      <dxf/>
    </rfmt>
    <rfmt sheetId="2" sqref="HF763" start="0" length="0">
      <dxf/>
    </rfmt>
    <rfmt sheetId="2" sqref="HG763" start="0" length="0">
      <dxf/>
    </rfmt>
    <rfmt sheetId="2" sqref="HH763" start="0" length="0">
      <dxf/>
    </rfmt>
    <rfmt sheetId="2" sqref="HI763" start="0" length="0">
      <dxf/>
    </rfmt>
    <rfmt sheetId="2" sqref="HJ763" start="0" length="0">
      <dxf/>
    </rfmt>
    <rfmt sheetId="2" sqref="HK763" start="0" length="0">
      <dxf/>
    </rfmt>
    <rfmt sheetId="2" sqref="HL763" start="0" length="0">
      <dxf/>
    </rfmt>
    <rfmt sheetId="2" sqref="HM763" start="0" length="0">
      <dxf/>
    </rfmt>
    <rfmt sheetId="2" sqref="HN763" start="0" length="0">
      <dxf/>
    </rfmt>
    <rfmt sheetId="2" sqref="HO763" start="0" length="0">
      <dxf/>
    </rfmt>
    <rfmt sheetId="2" sqref="HP763" start="0" length="0">
      <dxf/>
    </rfmt>
    <rfmt sheetId="2" sqref="HQ763" start="0" length="0">
      <dxf/>
    </rfmt>
    <rfmt sheetId="2" sqref="HR763" start="0" length="0">
      <dxf/>
    </rfmt>
    <rfmt sheetId="2" sqref="HS763" start="0" length="0">
      <dxf/>
    </rfmt>
    <rfmt sheetId="2" sqref="HT763" start="0" length="0">
      <dxf/>
    </rfmt>
    <rfmt sheetId="2" sqref="HU763" start="0" length="0">
      <dxf/>
    </rfmt>
    <rfmt sheetId="2" sqref="HV763" start="0" length="0">
      <dxf/>
    </rfmt>
    <rfmt sheetId="2" sqref="HW763" start="0" length="0">
      <dxf/>
    </rfmt>
    <rfmt sheetId="2" sqref="HX763" start="0" length="0">
      <dxf/>
    </rfmt>
    <rfmt sheetId="2" sqref="HY763" start="0" length="0">
      <dxf/>
    </rfmt>
    <rfmt sheetId="2" sqref="HZ763" start="0" length="0">
      <dxf/>
    </rfmt>
    <rfmt sheetId="2" sqref="IA763" start="0" length="0">
      <dxf/>
    </rfmt>
    <rfmt sheetId="2" sqref="IB763" start="0" length="0">
      <dxf/>
    </rfmt>
    <rfmt sheetId="2" sqref="IC763" start="0" length="0">
      <dxf/>
    </rfmt>
    <rfmt sheetId="2" sqref="ID763" start="0" length="0">
      <dxf/>
    </rfmt>
    <rfmt sheetId="2" sqref="IE763" start="0" length="0">
      <dxf/>
    </rfmt>
    <rfmt sheetId="2" sqref="IF763" start="0" length="0">
      <dxf/>
    </rfmt>
    <rfmt sheetId="2" sqref="IG763" start="0" length="0">
      <dxf/>
    </rfmt>
    <rfmt sheetId="2" sqref="IH763" start="0" length="0">
      <dxf/>
    </rfmt>
    <rfmt sheetId="2" sqref="II763" start="0" length="0">
      <dxf/>
    </rfmt>
    <rfmt sheetId="2" sqref="IJ763" start="0" length="0">
      <dxf/>
    </rfmt>
    <rfmt sheetId="2" sqref="IK763" start="0" length="0">
      <dxf/>
    </rfmt>
    <rfmt sheetId="2" sqref="IL763" start="0" length="0">
      <dxf/>
    </rfmt>
    <rfmt sheetId="2" sqref="IM763" start="0" length="0">
      <dxf/>
    </rfmt>
    <rfmt sheetId="2" sqref="IN763" start="0" length="0">
      <dxf/>
    </rfmt>
    <rfmt sheetId="2" sqref="IO763" start="0" length="0">
      <dxf/>
    </rfmt>
    <rfmt sheetId="2" sqref="IP763" start="0" length="0">
      <dxf/>
    </rfmt>
    <rfmt sheetId="2" sqref="IQ763" start="0" length="0">
      <dxf/>
    </rfmt>
    <rfmt sheetId="2" sqref="IR763" start="0" length="0">
      <dxf/>
    </rfmt>
    <rfmt sheetId="2" sqref="IS763" start="0" length="0">
      <dxf/>
    </rfmt>
    <rfmt sheetId="2" sqref="IT763" start="0" length="0">
      <dxf/>
    </rfmt>
    <rfmt sheetId="2" sqref="IU763" start="0" length="0">
      <dxf/>
    </rfmt>
    <rfmt sheetId="2" sqref="IV763" start="0" length="0">
      <dxf/>
    </rfmt>
    <rfmt sheetId="2" sqref="IW763" start="0" length="0">
      <dxf/>
    </rfmt>
    <rfmt sheetId="2" sqref="IX763" start="0" length="0">
      <dxf/>
    </rfmt>
    <rfmt sheetId="2" sqref="IY763" start="0" length="0">
      <dxf/>
    </rfmt>
    <rfmt sheetId="2" sqref="IZ763" start="0" length="0">
      <dxf/>
    </rfmt>
    <rfmt sheetId="2" sqref="JA763" start="0" length="0">
      <dxf/>
    </rfmt>
    <rfmt sheetId="2" sqref="JB763" start="0" length="0">
      <dxf/>
    </rfmt>
    <rfmt sheetId="2" sqref="JC763" start="0" length="0">
      <dxf/>
    </rfmt>
    <rfmt sheetId="2" sqref="JD763" start="0" length="0">
      <dxf/>
    </rfmt>
    <rfmt sheetId="2" sqref="JE763" start="0" length="0">
      <dxf/>
    </rfmt>
    <rfmt sheetId="2" sqref="JF763" start="0" length="0">
      <dxf/>
    </rfmt>
    <rfmt sheetId="2" sqref="JG763" start="0" length="0">
      <dxf/>
    </rfmt>
    <rfmt sheetId="2" sqref="JH763" start="0" length="0">
      <dxf/>
    </rfmt>
    <rfmt sheetId="2" sqref="JI763" start="0" length="0">
      <dxf/>
    </rfmt>
    <rfmt sheetId="2" sqref="JJ763" start="0" length="0">
      <dxf/>
    </rfmt>
    <rfmt sheetId="2" sqref="JK763" start="0" length="0">
      <dxf/>
    </rfmt>
    <rfmt sheetId="2" sqref="JL763" start="0" length="0">
      <dxf/>
    </rfmt>
    <rfmt sheetId="2" sqref="JM763" start="0" length="0">
      <dxf/>
    </rfmt>
    <rfmt sheetId="2" sqref="JN763" start="0" length="0">
      <dxf/>
    </rfmt>
    <rfmt sheetId="2" sqref="JO763" start="0" length="0">
      <dxf/>
    </rfmt>
    <rfmt sheetId="2" sqref="JP763" start="0" length="0">
      <dxf/>
    </rfmt>
    <rfmt sheetId="2" sqref="JQ763" start="0" length="0">
      <dxf/>
    </rfmt>
    <rfmt sheetId="2" sqref="JR763" start="0" length="0">
      <dxf/>
    </rfmt>
    <rfmt sheetId="2" sqref="JS763" start="0" length="0">
      <dxf/>
    </rfmt>
    <rfmt sheetId="2" sqref="JT763" start="0" length="0">
      <dxf/>
    </rfmt>
    <rfmt sheetId="2" sqref="JU763" start="0" length="0">
      <dxf/>
    </rfmt>
    <rfmt sheetId="2" sqref="JV763" start="0" length="0">
      <dxf/>
    </rfmt>
    <rfmt sheetId="2" sqref="JW763" start="0" length="0">
      <dxf/>
    </rfmt>
    <rfmt sheetId="2" sqref="JX763" start="0" length="0">
      <dxf/>
    </rfmt>
    <rfmt sheetId="2" sqref="JY763" start="0" length="0">
      <dxf/>
    </rfmt>
    <rfmt sheetId="2" sqref="JZ763" start="0" length="0">
      <dxf/>
    </rfmt>
    <rfmt sheetId="2" sqref="KA763" start="0" length="0">
      <dxf/>
    </rfmt>
    <rfmt sheetId="2" sqref="KB763" start="0" length="0">
      <dxf/>
    </rfmt>
    <rfmt sheetId="2" sqref="KC763" start="0" length="0">
      <dxf/>
    </rfmt>
    <rfmt sheetId="2" sqref="KD763" start="0" length="0">
      <dxf/>
    </rfmt>
    <rfmt sheetId="2" sqref="KE763" start="0" length="0">
      <dxf/>
    </rfmt>
    <rfmt sheetId="2" sqref="KF763" start="0" length="0">
      <dxf/>
    </rfmt>
    <rfmt sheetId="2" sqref="KG763" start="0" length="0">
      <dxf/>
    </rfmt>
    <rfmt sheetId="2" sqref="KH763" start="0" length="0">
      <dxf/>
    </rfmt>
    <rfmt sheetId="2" sqref="KI763" start="0" length="0">
      <dxf/>
    </rfmt>
    <rfmt sheetId="2" sqref="KJ763" start="0" length="0">
      <dxf/>
    </rfmt>
    <rfmt sheetId="2" sqref="KK763" start="0" length="0">
      <dxf/>
    </rfmt>
    <rfmt sheetId="2" sqref="KL763" start="0" length="0">
      <dxf/>
    </rfmt>
    <rfmt sheetId="2" sqref="KM763" start="0" length="0">
      <dxf/>
    </rfmt>
    <rfmt sheetId="2" sqref="KN763" start="0" length="0">
      <dxf/>
    </rfmt>
    <rfmt sheetId="2" sqref="KO763" start="0" length="0">
      <dxf/>
    </rfmt>
    <rfmt sheetId="2" sqref="KP763" start="0" length="0">
      <dxf/>
    </rfmt>
    <rfmt sheetId="2" sqref="KQ763" start="0" length="0">
      <dxf/>
    </rfmt>
    <rfmt sheetId="2" sqref="KR763" start="0" length="0">
      <dxf/>
    </rfmt>
    <rfmt sheetId="2" sqref="KS763" start="0" length="0">
      <dxf/>
    </rfmt>
    <rfmt sheetId="2" sqref="KT763" start="0" length="0">
      <dxf/>
    </rfmt>
    <rfmt sheetId="2" sqref="KU763" start="0" length="0">
      <dxf/>
    </rfmt>
    <rfmt sheetId="2" sqref="KV763" start="0" length="0">
      <dxf/>
    </rfmt>
    <rfmt sheetId="2" sqref="KW763" start="0" length="0">
      <dxf/>
    </rfmt>
    <rfmt sheetId="2" sqref="KX763" start="0" length="0">
      <dxf/>
    </rfmt>
    <rfmt sheetId="2" sqref="KY763" start="0" length="0">
      <dxf/>
    </rfmt>
    <rfmt sheetId="2" sqref="KZ763" start="0" length="0">
      <dxf/>
    </rfmt>
    <rfmt sheetId="2" sqref="LA763" start="0" length="0">
      <dxf/>
    </rfmt>
    <rfmt sheetId="2" sqref="LB763" start="0" length="0">
      <dxf/>
    </rfmt>
    <rfmt sheetId="2" sqref="LC763" start="0" length="0">
      <dxf/>
    </rfmt>
    <rfmt sheetId="2" sqref="LD763" start="0" length="0">
      <dxf/>
    </rfmt>
    <rfmt sheetId="2" sqref="LE763" start="0" length="0">
      <dxf/>
    </rfmt>
    <rfmt sheetId="2" sqref="LF763" start="0" length="0">
      <dxf/>
    </rfmt>
    <rfmt sheetId="2" sqref="LG763" start="0" length="0">
      <dxf/>
    </rfmt>
    <rfmt sheetId="2" sqref="LH763" start="0" length="0">
      <dxf/>
    </rfmt>
    <rfmt sheetId="2" sqref="LI763" start="0" length="0">
      <dxf/>
    </rfmt>
    <rfmt sheetId="2" sqref="LJ763" start="0" length="0">
      <dxf/>
    </rfmt>
    <rfmt sheetId="2" sqref="LK763" start="0" length="0">
      <dxf/>
    </rfmt>
    <rfmt sheetId="2" sqref="LL763" start="0" length="0">
      <dxf/>
    </rfmt>
    <rfmt sheetId="2" sqref="LM763" start="0" length="0">
      <dxf/>
    </rfmt>
    <rfmt sheetId="2" sqref="LN763" start="0" length="0">
      <dxf/>
    </rfmt>
    <rfmt sheetId="2" sqref="LO763" start="0" length="0">
      <dxf/>
    </rfmt>
    <rfmt sheetId="2" sqref="LP763" start="0" length="0">
      <dxf/>
    </rfmt>
    <rfmt sheetId="2" sqref="LQ763" start="0" length="0">
      <dxf/>
    </rfmt>
    <rfmt sheetId="2" sqref="LR763" start="0" length="0">
      <dxf/>
    </rfmt>
    <rfmt sheetId="2" sqref="LS763" start="0" length="0">
      <dxf/>
    </rfmt>
    <rfmt sheetId="2" sqref="LT763" start="0" length="0">
      <dxf/>
    </rfmt>
    <rfmt sheetId="2" sqref="LU763" start="0" length="0">
      <dxf/>
    </rfmt>
    <rfmt sheetId="2" sqref="LV763" start="0" length="0">
      <dxf/>
    </rfmt>
    <rfmt sheetId="2" sqref="LW763" start="0" length="0">
      <dxf/>
    </rfmt>
    <rfmt sheetId="2" sqref="LX763" start="0" length="0">
      <dxf/>
    </rfmt>
    <rfmt sheetId="2" sqref="LY763" start="0" length="0">
      <dxf/>
    </rfmt>
    <rfmt sheetId="2" sqref="LZ763" start="0" length="0">
      <dxf/>
    </rfmt>
    <rfmt sheetId="2" sqref="MA763" start="0" length="0">
      <dxf/>
    </rfmt>
    <rfmt sheetId="2" sqref="MB763" start="0" length="0">
      <dxf/>
    </rfmt>
  </rrc>
  <rrc rId="1712" sId="2" ref="A755:XFD756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13" sheetId="2" source="A765:XFD766" destination="A755:XFD756" sourceSheetId="2">
    <rfmt sheetId="2" xfDxf="1" sqref="A755:XFD755" start="0" length="0">
      <dxf>
        <font>
          <sz val="10"/>
          <name val="Arial"/>
          <scheme val="none"/>
        </font>
        <alignment horizontal="center" readingOrder="0"/>
      </dxf>
    </rfmt>
    <rfmt sheetId="2" xfDxf="1" sqref="A756:XFD756" start="0" length="0">
      <dxf>
        <font>
          <sz val="10"/>
          <name val="Arial"/>
          <scheme val="none"/>
        </font>
        <alignment horizontal="center" readingOrder="0"/>
      </dxf>
    </rfmt>
    <rfmt sheetId="2" sqref="A75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55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5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5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5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5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55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5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5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5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5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55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5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55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55" start="0" length="0">
      <dxf>
        <numFmt numFmtId="176" formatCode="m/d;@"/>
      </dxf>
    </rfmt>
    <rfmt sheetId="2" sqref="P75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55" start="0" length="0">
      <dxf/>
    </rfmt>
    <rfmt sheetId="2" sqref="U755" start="0" length="0">
      <dxf/>
    </rfmt>
    <rfmt sheetId="2" sqref="V755" start="0" length="0">
      <dxf/>
    </rfmt>
    <rfmt sheetId="2" sqref="W755" start="0" length="0">
      <dxf/>
    </rfmt>
    <rfmt sheetId="2" sqref="X755" start="0" length="0">
      <dxf/>
    </rfmt>
    <rfmt sheetId="2" sqref="Y755" start="0" length="0">
      <dxf/>
    </rfmt>
    <rfmt sheetId="2" sqref="Z755" start="0" length="0">
      <dxf/>
    </rfmt>
    <rfmt sheetId="2" sqref="AA755" start="0" length="0">
      <dxf/>
    </rfmt>
    <rfmt sheetId="2" sqref="AB755" start="0" length="0">
      <dxf/>
    </rfmt>
    <rfmt sheetId="2" sqref="AC755" start="0" length="0">
      <dxf/>
    </rfmt>
    <rfmt sheetId="2" sqref="AD755" start="0" length="0">
      <dxf/>
    </rfmt>
    <rfmt sheetId="2" sqref="AE755" start="0" length="0">
      <dxf/>
    </rfmt>
    <rfmt sheetId="2" sqref="AF755" start="0" length="0">
      <dxf/>
    </rfmt>
    <rfmt sheetId="2" sqref="AG755" start="0" length="0">
      <dxf/>
    </rfmt>
    <rfmt sheetId="2" sqref="AH755" start="0" length="0">
      <dxf/>
    </rfmt>
    <rfmt sheetId="2" sqref="AI755" start="0" length="0">
      <dxf/>
    </rfmt>
    <rfmt sheetId="2" sqref="AJ755" start="0" length="0">
      <dxf/>
    </rfmt>
    <rfmt sheetId="2" sqref="AK755" start="0" length="0">
      <dxf/>
    </rfmt>
    <rfmt sheetId="2" sqref="AL755" start="0" length="0">
      <dxf/>
    </rfmt>
    <rfmt sheetId="2" sqref="AM755" start="0" length="0">
      <dxf/>
    </rfmt>
    <rfmt sheetId="2" sqref="AN755" start="0" length="0">
      <dxf/>
    </rfmt>
    <rfmt sheetId="2" sqref="AO755" start="0" length="0">
      <dxf/>
    </rfmt>
    <rfmt sheetId="2" sqref="AP755" start="0" length="0">
      <dxf/>
    </rfmt>
    <rfmt sheetId="2" sqref="AQ755" start="0" length="0">
      <dxf/>
    </rfmt>
    <rfmt sheetId="2" sqref="AR755" start="0" length="0">
      <dxf/>
    </rfmt>
    <rfmt sheetId="2" sqref="AS755" start="0" length="0">
      <dxf/>
    </rfmt>
    <rfmt sheetId="2" sqref="AT755" start="0" length="0">
      <dxf/>
    </rfmt>
    <rfmt sheetId="2" sqref="AU755" start="0" length="0">
      <dxf/>
    </rfmt>
    <rfmt sheetId="2" sqref="AV755" start="0" length="0">
      <dxf/>
    </rfmt>
    <rfmt sheetId="2" sqref="AW755" start="0" length="0">
      <dxf/>
    </rfmt>
    <rfmt sheetId="2" sqref="AX755" start="0" length="0">
      <dxf/>
    </rfmt>
    <rfmt sheetId="2" sqref="AY755" start="0" length="0">
      <dxf/>
    </rfmt>
    <rfmt sheetId="2" sqref="AZ755" start="0" length="0">
      <dxf/>
    </rfmt>
    <rfmt sheetId="2" sqref="BA755" start="0" length="0">
      <dxf/>
    </rfmt>
    <rfmt sheetId="2" sqref="BB755" start="0" length="0">
      <dxf/>
    </rfmt>
    <rfmt sheetId="2" sqref="BC755" start="0" length="0">
      <dxf/>
    </rfmt>
    <rfmt sheetId="2" sqref="BD755" start="0" length="0">
      <dxf/>
    </rfmt>
    <rfmt sheetId="2" sqref="BE755" start="0" length="0">
      <dxf/>
    </rfmt>
    <rfmt sheetId="2" sqref="BF755" start="0" length="0">
      <dxf/>
    </rfmt>
    <rfmt sheetId="2" sqref="BG755" start="0" length="0">
      <dxf/>
    </rfmt>
    <rfmt sheetId="2" sqref="BH755" start="0" length="0">
      <dxf/>
    </rfmt>
    <rfmt sheetId="2" sqref="BI755" start="0" length="0">
      <dxf/>
    </rfmt>
    <rfmt sheetId="2" sqref="BJ755" start="0" length="0">
      <dxf/>
    </rfmt>
    <rfmt sheetId="2" sqref="BK755" start="0" length="0">
      <dxf/>
    </rfmt>
    <rfmt sheetId="2" sqref="BL755" start="0" length="0">
      <dxf/>
    </rfmt>
    <rfmt sheetId="2" sqref="BM755" start="0" length="0">
      <dxf/>
    </rfmt>
    <rfmt sheetId="2" sqref="BN755" start="0" length="0">
      <dxf/>
    </rfmt>
    <rfmt sheetId="2" sqref="BO755" start="0" length="0">
      <dxf/>
    </rfmt>
    <rfmt sheetId="2" sqref="BP755" start="0" length="0">
      <dxf/>
    </rfmt>
    <rfmt sheetId="2" sqref="BQ755" start="0" length="0">
      <dxf/>
    </rfmt>
    <rfmt sheetId="2" sqref="BR755" start="0" length="0">
      <dxf/>
    </rfmt>
    <rfmt sheetId="2" sqref="BS755" start="0" length="0">
      <dxf/>
    </rfmt>
    <rfmt sheetId="2" sqref="BT755" start="0" length="0">
      <dxf/>
    </rfmt>
    <rfmt sheetId="2" sqref="BU755" start="0" length="0">
      <dxf/>
    </rfmt>
    <rfmt sheetId="2" sqref="BV755" start="0" length="0">
      <dxf/>
    </rfmt>
    <rfmt sheetId="2" sqref="BW755" start="0" length="0">
      <dxf/>
    </rfmt>
    <rfmt sheetId="2" sqref="BX755" start="0" length="0">
      <dxf/>
    </rfmt>
    <rfmt sheetId="2" sqref="BY755" start="0" length="0">
      <dxf/>
    </rfmt>
    <rfmt sheetId="2" sqref="BZ755" start="0" length="0">
      <dxf/>
    </rfmt>
    <rfmt sheetId="2" sqref="CA755" start="0" length="0">
      <dxf/>
    </rfmt>
    <rfmt sheetId="2" sqref="CB755" start="0" length="0">
      <dxf/>
    </rfmt>
    <rfmt sheetId="2" sqref="CC755" start="0" length="0">
      <dxf/>
    </rfmt>
    <rfmt sheetId="2" sqref="CD755" start="0" length="0">
      <dxf/>
    </rfmt>
    <rfmt sheetId="2" sqref="CE755" start="0" length="0">
      <dxf/>
    </rfmt>
    <rfmt sheetId="2" sqref="CF755" start="0" length="0">
      <dxf/>
    </rfmt>
    <rfmt sheetId="2" sqref="CG755" start="0" length="0">
      <dxf/>
    </rfmt>
    <rfmt sheetId="2" sqref="CH755" start="0" length="0">
      <dxf/>
    </rfmt>
    <rfmt sheetId="2" sqref="CI755" start="0" length="0">
      <dxf/>
    </rfmt>
    <rfmt sheetId="2" sqref="CJ755" start="0" length="0">
      <dxf/>
    </rfmt>
    <rfmt sheetId="2" sqref="CK755" start="0" length="0">
      <dxf/>
    </rfmt>
    <rfmt sheetId="2" sqref="CL755" start="0" length="0">
      <dxf/>
    </rfmt>
    <rfmt sheetId="2" sqref="CM755" start="0" length="0">
      <dxf/>
    </rfmt>
    <rfmt sheetId="2" sqref="CN755" start="0" length="0">
      <dxf/>
    </rfmt>
    <rfmt sheetId="2" sqref="CO755" start="0" length="0">
      <dxf/>
    </rfmt>
    <rfmt sheetId="2" sqref="CP755" start="0" length="0">
      <dxf/>
    </rfmt>
    <rfmt sheetId="2" sqref="CQ755" start="0" length="0">
      <dxf/>
    </rfmt>
    <rfmt sheetId="2" sqref="CR755" start="0" length="0">
      <dxf/>
    </rfmt>
    <rfmt sheetId="2" sqref="CS755" start="0" length="0">
      <dxf/>
    </rfmt>
    <rfmt sheetId="2" sqref="CT755" start="0" length="0">
      <dxf/>
    </rfmt>
    <rfmt sheetId="2" sqref="CU755" start="0" length="0">
      <dxf/>
    </rfmt>
    <rfmt sheetId="2" sqref="CV755" start="0" length="0">
      <dxf/>
    </rfmt>
    <rfmt sheetId="2" sqref="CW755" start="0" length="0">
      <dxf/>
    </rfmt>
    <rfmt sheetId="2" sqref="CX755" start="0" length="0">
      <dxf/>
    </rfmt>
    <rfmt sheetId="2" sqref="CY755" start="0" length="0">
      <dxf/>
    </rfmt>
    <rfmt sheetId="2" sqref="CZ755" start="0" length="0">
      <dxf/>
    </rfmt>
    <rfmt sheetId="2" sqref="DA755" start="0" length="0">
      <dxf/>
    </rfmt>
    <rfmt sheetId="2" sqref="DB755" start="0" length="0">
      <dxf/>
    </rfmt>
    <rfmt sheetId="2" sqref="DC755" start="0" length="0">
      <dxf/>
    </rfmt>
    <rfmt sheetId="2" sqref="DD755" start="0" length="0">
      <dxf/>
    </rfmt>
    <rfmt sheetId="2" sqref="DE755" start="0" length="0">
      <dxf/>
    </rfmt>
    <rfmt sheetId="2" sqref="DF755" start="0" length="0">
      <dxf/>
    </rfmt>
    <rfmt sheetId="2" sqref="DG755" start="0" length="0">
      <dxf/>
    </rfmt>
    <rfmt sheetId="2" sqref="DH755" start="0" length="0">
      <dxf/>
    </rfmt>
    <rfmt sheetId="2" sqref="DI755" start="0" length="0">
      <dxf/>
    </rfmt>
    <rfmt sheetId="2" sqref="DJ755" start="0" length="0">
      <dxf/>
    </rfmt>
    <rfmt sheetId="2" sqref="DK755" start="0" length="0">
      <dxf/>
    </rfmt>
    <rfmt sheetId="2" sqref="DL755" start="0" length="0">
      <dxf/>
    </rfmt>
    <rfmt sheetId="2" sqref="DM755" start="0" length="0">
      <dxf/>
    </rfmt>
    <rfmt sheetId="2" sqref="DN755" start="0" length="0">
      <dxf/>
    </rfmt>
    <rfmt sheetId="2" sqref="DO755" start="0" length="0">
      <dxf/>
    </rfmt>
    <rfmt sheetId="2" sqref="DP755" start="0" length="0">
      <dxf/>
    </rfmt>
    <rfmt sheetId="2" sqref="DQ755" start="0" length="0">
      <dxf/>
    </rfmt>
    <rfmt sheetId="2" sqref="DR755" start="0" length="0">
      <dxf/>
    </rfmt>
    <rfmt sheetId="2" sqref="DS755" start="0" length="0">
      <dxf/>
    </rfmt>
    <rfmt sheetId="2" sqref="DT755" start="0" length="0">
      <dxf/>
    </rfmt>
    <rfmt sheetId="2" sqref="DU755" start="0" length="0">
      <dxf/>
    </rfmt>
    <rfmt sheetId="2" sqref="DV755" start="0" length="0">
      <dxf/>
    </rfmt>
    <rfmt sheetId="2" sqref="DW755" start="0" length="0">
      <dxf/>
    </rfmt>
    <rfmt sheetId="2" sqref="DX755" start="0" length="0">
      <dxf/>
    </rfmt>
    <rfmt sheetId="2" sqref="DY755" start="0" length="0">
      <dxf/>
    </rfmt>
    <rfmt sheetId="2" sqref="DZ755" start="0" length="0">
      <dxf/>
    </rfmt>
    <rfmt sheetId="2" sqref="EA755" start="0" length="0">
      <dxf/>
    </rfmt>
    <rfmt sheetId="2" sqref="EB755" start="0" length="0">
      <dxf/>
    </rfmt>
    <rfmt sheetId="2" sqref="EC755" start="0" length="0">
      <dxf/>
    </rfmt>
    <rfmt sheetId="2" sqref="ED755" start="0" length="0">
      <dxf/>
    </rfmt>
    <rfmt sheetId="2" sqref="EE755" start="0" length="0">
      <dxf/>
    </rfmt>
    <rfmt sheetId="2" sqref="EF755" start="0" length="0">
      <dxf/>
    </rfmt>
    <rfmt sheetId="2" sqref="EG755" start="0" length="0">
      <dxf/>
    </rfmt>
    <rfmt sheetId="2" sqref="EH755" start="0" length="0">
      <dxf/>
    </rfmt>
    <rfmt sheetId="2" sqref="EI755" start="0" length="0">
      <dxf/>
    </rfmt>
    <rfmt sheetId="2" sqref="EJ755" start="0" length="0">
      <dxf/>
    </rfmt>
    <rfmt sheetId="2" sqref="EK755" start="0" length="0">
      <dxf/>
    </rfmt>
    <rfmt sheetId="2" sqref="EL755" start="0" length="0">
      <dxf/>
    </rfmt>
    <rfmt sheetId="2" sqref="EM755" start="0" length="0">
      <dxf/>
    </rfmt>
    <rfmt sheetId="2" sqref="EN755" start="0" length="0">
      <dxf/>
    </rfmt>
    <rfmt sheetId="2" sqref="EO755" start="0" length="0">
      <dxf/>
    </rfmt>
    <rfmt sheetId="2" sqref="EP755" start="0" length="0">
      <dxf/>
    </rfmt>
    <rfmt sheetId="2" sqref="EQ755" start="0" length="0">
      <dxf/>
    </rfmt>
    <rfmt sheetId="2" sqref="ER755" start="0" length="0">
      <dxf/>
    </rfmt>
    <rfmt sheetId="2" sqref="ES755" start="0" length="0">
      <dxf/>
    </rfmt>
    <rfmt sheetId="2" sqref="ET755" start="0" length="0">
      <dxf/>
    </rfmt>
    <rfmt sheetId="2" sqref="EU755" start="0" length="0">
      <dxf/>
    </rfmt>
    <rfmt sheetId="2" sqref="EV755" start="0" length="0">
      <dxf/>
    </rfmt>
    <rfmt sheetId="2" sqref="EW755" start="0" length="0">
      <dxf/>
    </rfmt>
    <rfmt sheetId="2" sqref="EX755" start="0" length="0">
      <dxf/>
    </rfmt>
    <rfmt sheetId="2" sqref="EY755" start="0" length="0">
      <dxf/>
    </rfmt>
    <rfmt sheetId="2" sqref="EZ755" start="0" length="0">
      <dxf/>
    </rfmt>
    <rfmt sheetId="2" sqref="FA755" start="0" length="0">
      <dxf/>
    </rfmt>
    <rfmt sheetId="2" sqref="FB755" start="0" length="0">
      <dxf/>
    </rfmt>
    <rfmt sheetId="2" sqref="FC755" start="0" length="0">
      <dxf/>
    </rfmt>
    <rfmt sheetId="2" sqref="FD755" start="0" length="0">
      <dxf/>
    </rfmt>
    <rfmt sheetId="2" sqref="FE755" start="0" length="0">
      <dxf/>
    </rfmt>
    <rfmt sheetId="2" sqref="FF755" start="0" length="0">
      <dxf/>
    </rfmt>
    <rfmt sheetId="2" sqref="FG755" start="0" length="0">
      <dxf/>
    </rfmt>
    <rfmt sheetId="2" sqref="FH755" start="0" length="0">
      <dxf/>
    </rfmt>
    <rfmt sheetId="2" sqref="FI755" start="0" length="0">
      <dxf/>
    </rfmt>
    <rfmt sheetId="2" sqref="FJ755" start="0" length="0">
      <dxf/>
    </rfmt>
    <rfmt sheetId="2" sqref="FK755" start="0" length="0">
      <dxf/>
    </rfmt>
    <rfmt sheetId="2" sqref="FL755" start="0" length="0">
      <dxf/>
    </rfmt>
    <rfmt sheetId="2" sqref="FM755" start="0" length="0">
      <dxf/>
    </rfmt>
    <rfmt sheetId="2" sqref="FN755" start="0" length="0">
      <dxf/>
    </rfmt>
    <rfmt sheetId="2" sqref="FO755" start="0" length="0">
      <dxf/>
    </rfmt>
    <rfmt sheetId="2" sqref="FP755" start="0" length="0">
      <dxf/>
    </rfmt>
    <rfmt sheetId="2" sqref="FQ755" start="0" length="0">
      <dxf/>
    </rfmt>
    <rfmt sheetId="2" sqref="FR755" start="0" length="0">
      <dxf/>
    </rfmt>
    <rfmt sheetId="2" sqref="FS755" start="0" length="0">
      <dxf/>
    </rfmt>
    <rfmt sheetId="2" sqref="FT755" start="0" length="0">
      <dxf/>
    </rfmt>
    <rfmt sheetId="2" sqref="FU755" start="0" length="0">
      <dxf/>
    </rfmt>
    <rfmt sheetId="2" sqref="FV755" start="0" length="0">
      <dxf/>
    </rfmt>
    <rfmt sheetId="2" sqref="FW755" start="0" length="0">
      <dxf/>
    </rfmt>
    <rfmt sheetId="2" sqref="FX755" start="0" length="0">
      <dxf/>
    </rfmt>
    <rfmt sheetId="2" sqref="FY755" start="0" length="0">
      <dxf/>
    </rfmt>
    <rfmt sheetId="2" sqref="FZ755" start="0" length="0">
      <dxf/>
    </rfmt>
    <rfmt sheetId="2" sqref="GA755" start="0" length="0">
      <dxf/>
    </rfmt>
    <rfmt sheetId="2" sqref="GB755" start="0" length="0">
      <dxf/>
    </rfmt>
    <rfmt sheetId="2" sqref="GC755" start="0" length="0">
      <dxf/>
    </rfmt>
    <rfmt sheetId="2" sqref="GD755" start="0" length="0">
      <dxf/>
    </rfmt>
    <rfmt sheetId="2" sqref="GE755" start="0" length="0">
      <dxf/>
    </rfmt>
    <rfmt sheetId="2" sqref="GF755" start="0" length="0">
      <dxf/>
    </rfmt>
    <rfmt sheetId="2" sqref="GG755" start="0" length="0">
      <dxf/>
    </rfmt>
    <rfmt sheetId="2" sqref="GH755" start="0" length="0">
      <dxf/>
    </rfmt>
    <rfmt sheetId="2" sqref="GI755" start="0" length="0">
      <dxf/>
    </rfmt>
    <rfmt sheetId="2" sqref="GJ755" start="0" length="0">
      <dxf/>
    </rfmt>
    <rfmt sheetId="2" sqref="GK755" start="0" length="0">
      <dxf/>
    </rfmt>
    <rfmt sheetId="2" sqref="GL755" start="0" length="0">
      <dxf/>
    </rfmt>
    <rfmt sheetId="2" sqref="GM755" start="0" length="0">
      <dxf/>
    </rfmt>
    <rfmt sheetId="2" sqref="GN755" start="0" length="0">
      <dxf/>
    </rfmt>
    <rfmt sheetId="2" sqref="GO755" start="0" length="0">
      <dxf/>
    </rfmt>
    <rfmt sheetId="2" sqref="GP755" start="0" length="0">
      <dxf/>
    </rfmt>
    <rfmt sheetId="2" sqref="GQ755" start="0" length="0">
      <dxf/>
    </rfmt>
    <rfmt sheetId="2" sqref="GR755" start="0" length="0">
      <dxf/>
    </rfmt>
    <rfmt sheetId="2" sqref="GS755" start="0" length="0">
      <dxf/>
    </rfmt>
    <rfmt sheetId="2" sqref="GT755" start="0" length="0">
      <dxf/>
    </rfmt>
    <rfmt sheetId="2" sqref="GU755" start="0" length="0">
      <dxf/>
    </rfmt>
    <rfmt sheetId="2" sqref="GV755" start="0" length="0">
      <dxf/>
    </rfmt>
    <rfmt sheetId="2" sqref="GW755" start="0" length="0">
      <dxf/>
    </rfmt>
    <rfmt sheetId="2" sqref="GX755" start="0" length="0">
      <dxf/>
    </rfmt>
    <rfmt sheetId="2" sqref="GY755" start="0" length="0">
      <dxf/>
    </rfmt>
    <rfmt sheetId="2" sqref="GZ755" start="0" length="0">
      <dxf/>
    </rfmt>
    <rfmt sheetId="2" sqref="HA755" start="0" length="0">
      <dxf/>
    </rfmt>
    <rfmt sheetId="2" sqref="HB755" start="0" length="0">
      <dxf/>
    </rfmt>
    <rfmt sheetId="2" sqref="HC755" start="0" length="0">
      <dxf/>
    </rfmt>
    <rfmt sheetId="2" sqref="HD755" start="0" length="0">
      <dxf/>
    </rfmt>
    <rfmt sheetId="2" sqref="HE755" start="0" length="0">
      <dxf/>
    </rfmt>
    <rfmt sheetId="2" sqref="HF755" start="0" length="0">
      <dxf/>
    </rfmt>
    <rfmt sheetId="2" sqref="HG755" start="0" length="0">
      <dxf/>
    </rfmt>
    <rfmt sheetId="2" sqref="HH755" start="0" length="0">
      <dxf/>
    </rfmt>
    <rfmt sheetId="2" sqref="HI755" start="0" length="0">
      <dxf/>
    </rfmt>
    <rfmt sheetId="2" sqref="HJ755" start="0" length="0">
      <dxf/>
    </rfmt>
    <rfmt sheetId="2" sqref="HK755" start="0" length="0">
      <dxf/>
    </rfmt>
    <rfmt sheetId="2" sqref="HL755" start="0" length="0">
      <dxf/>
    </rfmt>
    <rfmt sheetId="2" sqref="HM755" start="0" length="0">
      <dxf/>
    </rfmt>
    <rfmt sheetId="2" sqref="HN755" start="0" length="0">
      <dxf/>
    </rfmt>
    <rfmt sheetId="2" sqref="HO755" start="0" length="0">
      <dxf/>
    </rfmt>
    <rfmt sheetId="2" sqref="HP755" start="0" length="0">
      <dxf/>
    </rfmt>
    <rfmt sheetId="2" sqref="HQ755" start="0" length="0">
      <dxf/>
    </rfmt>
    <rfmt sheetId="2" sqref="HR755" start="0" length="0">
      <dxf/>
    </rfmt>
    <rfmt sheetId="2" sqref="HS755" start="0" length="0">
      <dxf/>
    </rfmt>
    <rfmt sheetId="2" sqref="HT755" start="0" length="0">
      <dxf/>
    </rfmt>
    <rfmt sheetId="2" sqref="HU755" start="0" length="0">
      <dxf/>
    </rfmt>
    <rfmt sheetId="2" sqref="HV755" start="0" length="0">
      <dxf/>
    </rfmt>
    <rfmt sheetId="2" sqref="HW755" start="0" length="0">
      <dxf/>
    </rfmt>
    <rfmt sheetId="2" sqref="HX755" start="0" length="0">
      <dxf/>
    </rfmt>
    <rfmt sheetId="2" sqref="HY755" start="0" length="0">
      <dxf/>
    </rfmt>
    <rfmt sheetId="2" sqref="HZ755" start="0" length="0">
      <dxf/>
    </rfmt>
    <rfmt sheetId="2" sqref="IA755" start="0" length="0">
      <dxf/>
    </rfmt>
    <rfmt sheetId="2" sqref="IB755" start="0" length="0">
      <dxf/>
    </rfmt>
    <rfmt sheetId="2" sqref="IC755" start="0" length="0">
      <dxf/>
    </rfmt>
    <rfmt sheetId="2" sqref="ID755" start="0" length="0">
      <dxf/>
    </rfmt>
    <rfmt sheetId="2" sqref="IE755" start="0" length="0">
      <dxf/>
    </rfmt>
    <rfmt sheetId="2" sqref="IF755" start="0" length="0">
      <dxf/>
    </rfmt>
    <rfmt sheetId="2" sqref="IG755" start="0" length="0">
      <dxf/>
    </rfmt>
    <rfmt sheetId="2" sqref="IH755" start="0" length="0">
      <dxf/>
    </rfmt>
    <rfmt sheetId="2" sqref="II755" start="0" length="0">
      <dxf/>
    </rfmt>
    <rfmt sheetId="2" sqref="IJ755" start="0" length="0">
      <dxf/>
    </rfmt>
    <rfmt sheetId="2" sqref="IK755" start="0" length="0">
      <dxf/>
    </rfmt>
    <rfmt sheetId="2" sqref="IL755" start="0" length="0">
      <dxf/>
    </rfmt>
    <rfmt sheetId="2" sqref="IM755" start="0" length="0">
      <dxf/>
    </rfmt>
    <rfmt sheetId="2" sqref="IN755" start="0" length="0">
      <dxf/>
    </rfmt>
    <rfmt sheetId="2" sqref="IO755" start="0" length="0">
      <dxf/>
    </rfmt>
    <rfmt sheetId="2" sqref="IP755" start="0" length="0">
      <dxf/>
    </rfmt>
    <rfmt sheetId="2" sqref="IQ755" start="0" length="0">
      <dxf/>
    </rfmt>
    <rfmt sheetId="2" sqref="IR755" start="0" length="0">
      <dxf/>
    </rfmt>
    <rfmt sheetId="2" sqref="IS755" start="0" length="0">
      <dxf/>
    </rfmt>
    <rfmt sheetId="2" sqref="IT755" start="0" length="0">
      <dxf/>
    </rfmt>
    <rfmt sheetId="2" sqref="IU755" start="0" length="0">
      <dxf/>
    </rfmt>
    <rfmt sheetId="2" sqref="IV755" start="0" length="0">
      <dxf/>
    </rfmt>
    <rfmt sheetId="2" sqref="IW755" start="0" length="0">
      <dxf/>
    </rfmt>
    <rfmt sheetId="2" sqref="IX755" start="0" length="0">
      <dxf/>
    </rfmt>
    <rfmt sheetId="2" sqref="IY755" start="0" length="0">
      <dxf/>
    </rfmt>
    <rfmt sheetId="2" sqref="IZ755" start="0" length="0">
      <dxf/>
    </rfmt>
    <rfmt sheetId="2" sqref="JA755" start="0" length="0">
      <dxf/>
    </rfmt>
    <rfmt sheetId="2" sqref="JB755" start="0" length="0">
      <dxf/>
    </rfmt>
    <rfmt sheetId="2" sqref="JC755" start="0" length="0">
      <dxf/>
    </rfmt>
    <rfmt sheetId="2" sqref="JD755" start="0" length="0">
      <dxf/>
    </rfmt>
    <rfmt sheetId="2" sqref="JE755" start="0" length="0">
      <dxf/>
    </rfmt>
    <rfmt sheetId="2" sqref="JF755" start="0" length="0">
      <dxf/>
    </rfmt>
    <rfmt sheetId="2" sqref="JG755" start="0" length="0">
      <dxf/>
    </rfmt>
    <rfmt sheetId="2" sqref="JH755" start="0" length="0">
      <dxf/>
    </rfmt>
    <rfmt sheetId="2" sqref="JI755" start="0" length="0">
      <dxf/>
    </rfmt>
    <rfmt sheetId="2" sqref="JJ755" start="0" length="0">
      <dxf/>
    </rfmt>
    <rfmt sheetId="2" sqref="JK755" start="0" length="0">
      <dxf/>
    </rfmt>
    <rfmt sheetId="2" sqref="JL755" start="0" length="0">
      <dxf/>
    </rfmt>
    <rfmt sheetId="2" sqref="JM755" start="0" length="0">
      <dxf/>
    </rfmt>
    <rfmt sheetId="2" sqref="JN755" start="0" length="0">
      <dxf/>
    </rfmt>
    <rfmt sheetId="2" sqref="JO755" start="0" length="0">
      <dxf/>
    </rfmt>
    <rfmt sheetId="2" sqref="JP755" start="0" length="0">
      <dxf/>
    </rfmt>
    <rfmt sheetId="2" sqref="JQ755" start="0" length="0">
      <dxf/>
    </rfmt>
    <rfmt sheetId="2" sqref="JR755" start="0" length="0">
      <dxf/>
    </rfmt>
    <rfmt sheetId="2" sqref="JS755" start="0" length="0">
      <dxf/>
    </rfmt>
    <rfmt sheetId="2" sqref="JT755" start="0" length="0">
      <dxf/>
    </rfmt>
    <rfmt sheetId="2" sqref="JU755" start="0" length="0">
      <dxf/>
    </rfmt>
    <rfmt sheetId="2" sqref="JV755" start="0" length="0">
      <dxf/>
    </rfmt>
    <rfmt sheetId="2" sqref="JW755" start="0" length="0">
      <dxf/>
    </rfmt>
    <rfmt sheetId="2" sqref="JX755" start="0" length="0">
      <dxf/>
    </rfmt>
    <rfmt sheetId="2" sqref="JY755" start="0" length="0">
      <dxf/>
    </rfmt>
    <rfmt sheetId="2" sqref="JZ755" start="0" length="0">
      <dxf/>
    </rfmt>
    <rfmt sheetId="2" sqref="KA755" start="0" length="0">
      <dxf/>
    </rfmt>
    <rfmt sheetId="2" sqref="KB755" start="0" length="0">
      <dxf/>
    </rfmt>
    <rfmt sheetId="2" sqref="KC755" start="0" length="0">
      <dxf/>
    </rfmt>
    <rfmt sheetId="2" sqref="KD755" start="0" length="0">
      <dxf/>
    </rfmt>
    <rfmt sheetId="2" sqref="KE755" start="0" length="0">
      <dxf/>
    </rfmt>
    <rfmt sheetId="2" sqref="KF755" start="0" length="0">
      <dxf/>
    </rfmt>
    <rfmt sheetId="2" sqref="KG755" start="0" length="0">
      <dxf/>
    </rfmt>
    <rfmt sheetId="2" sqref="KH755" start="0" length="0">
      <dxf/>
    </rfmt>
    <rfmt sheetId="2" sqref="KI755" start="0" length="0">
      <dxf/>
    </rfmt>
    <rfmt sheetId="2" sqref="KJ755" start="0" length="0">
      <dxf/>
    </rfmt>
    <rfmt sheetId="2" sqref="KK755" start="0" length="0">
      <dxf/>
    </rfmt>
    <rfmt sheetId="2" sqref="KL755" start="0" length="0">
      <dxf/>
    </rfmt>
    <rfmt sheetId="2" sqref="KM755" start="0" length="0">
      <dxf/>
    </rfmt>
    <rfmt sheetId="2" sqref="KN755" start="0" length="0">
      <dxf/>
    </rfmt>
    <rfmt sheetId="2" sqref="KO755" start="0" length="0">
      <dxf/>
    </rfmt>
    <rfmt sheetId="2" sqref="KP755" start="0" length="0">
      <dxf/>
    </rfmt>
    <rfmt sheetId="2" sqref="KQ755" start="0" length="0">
      <dxf/>
    </rfmt>
    <rfmt sheetId="2" sqref="KR755" start="0" length="0">
      <dxf/>
    </rfmt>
    <rfmt sheetId="2" sqref="KS755" start="0" length="0">
      <dxf/>
    </rfmt>
    <rfmt sheetId="2" sqref="KT755" start="0" length="0">
      <dxf/>
    </rfmt>
    <rfmt sheetId="2" sqref="KU755" start="0" length="0">
      <dxf/>
    </rfmt>
    <rfmt sheetId="2" sqref="KV755" start="0" length="0">
      <dxf/>
    </rfmt>
    <rfmt sheetId="2" sqref="KW755" start="0" length="0">
      <dxf/>
    </rfmt>
    <rfmt sheetId="2" sqref="KX755" start="0" length="0">
      <dxf/>
    </rfmt>
    <rfmt sheetId="2" sqref="KY755" start="0" length="0">
      <dxf/>
    </rfmt>
    <rfmt sheetId="2" sqref="KZ755" start="0" length="0">
      <dxf/>
    </rfmt>
    <rfmt sheetId="2" sqref="LA755" start="0" length="0">
      <dxf/>
    </rfmt>
    <rfmt sheetId="2" sqref="LB755" start="0" length="0">
      <dxf/>
    </rfmt>
    <rfmt sheetId="2" sqref="LC755" start="0" length="0">
      <dxf/>
    </rfmt>
    <rfmt sheetId="2" sqref="LD755" start="0" length="0">
      <dxf/>
    </rfmt>
    <rfmt sheetId="2" sqref="LE755" start="0" length="0">
      <dxf/>
    </rfmt>
    <rfmt sheetId="2" sqref="LF755" start="0" length="0">
      <dxf/>
    </rfmt>
    <rfmt sheetId="2" sqref="LG755" start="0" length="0">
      <dxf/>
    </rfmt>
    <rfmt sheetId="2" sqref="LH755" start="0" length="0">
      <dxf/>
    </rfmt>
    <rfmt sheetId="2" sqref="LI755" start="0" length="0">
      <dxf/>
    </rfmt>
    <rfmt sheetId="2" sqref="LJ755" start="0" length="0">
      <dxf/>
    </rfmt>
    <rfmt sheetId="2" sqref="LK755" start="0" length="0">
      <dxf/>
    </rfmt>
    <rfmt sheetId="2" sqref="LL755" start="0" length="0">
      <dxf/>
    </rfmt>
    <rfmt sheetId="2" sqref="LM755" start="0" length="0">
      <dxf/>
    </rfmt>
    <rfmt sheetId="2" sqref="LN755" start="0" length="0">
      <dxf/>
    </rfmt>
    <rfmt sheetId="2" sqref="LO755" start="0" length="0">
      <dxf/>
    </rfmt>
    <rfmt sheetId="2" sqref="LP755" start="0" length="0">
      <dxf/>
    </rfmt>
    <rfmt sheetId="2" sqref="LQ755" start="0" length="0">
      <dxf/>
    </rfmt>
    <rfmt sheetId="2" sqref="LR755" start="0" length="0">
      <dxf/>
    </rfmt>
    <rfmt sheetId="2" sqref="LS755" start="0" length="0">
      <dxf/>
    </rfmt>
    <rfmt sheetId="2" sqref="LT755" start="0" length="0">
      <dxf/>
    </rfmt>
    <rfmt sheetId="2" sqref="LU755" start="0" length="0">
      <dxf/>
    </rfmt>
    <rfmt sheetId="2" sqref="LV755" start="0" length="0">
      <dxf/>
    </rfmt>
    <rfmt sheetId="2" sqref="LW755" start="0" length="0">
      <dxf/>
    </rfmt>
    <rfmt sheetId="2" sqref="LX755" start="0" length="0">
      <dxf/>
    </rfmt>
    <rfmt sheetId="2" sqref="LY755" start="0" length="0">
      <dxf/>
    </rfmt>
    <rfmt sheetId="2" sqref="LZ755" start="0" length="0">
      <dxf/>
    </rfmt>
    <rfmt sheetId="2" sqref="MA755" start="0" length="0">
      <dxf/>
    </rfmt>
    <rfmt sheetId="2" sqref="MB755" start="0" length="0">
      <dxf/>
    </rfmt>
    <rfmt sheetId="2" sqref="A756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56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5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5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5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5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56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56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56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56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56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56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5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56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56" start="0" length="0">
      <dxf>
        <numFmt numFmtId="176" formatCode="m/d;@"/>
      </dxf>
    </rfmt>
    <rfmt sheetId="2" sqref="P756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56" start="0" length="0">
      <dxf/>
    </rfmt>
    <rfmt sheetId="2" sqref="U756" start="0" length="0">
      <dxf/>
    </rfmt>
    <rfmt sheetId="2" sqref="V756" start="0" length="0">
      <dxf/>
    </rfmt>
    <rfmt sheetId="2" sqref="W756" start="0" length="0">
      <dxf/>
    </rfmt>
    <rfmt sheetId="2" sqref="X756" start="0" length="0">
      <dxf/>
    </rfmt>
    <rfmt sheetId="2" sqref="Y756" start="0" length="0">
      <dxf/>
    </rfmt>
    <rfmt sheetId="2" sqref="Z756" start="0" length="0">
      <dxf/>
    </rfmt>
    <rfmt sheetId="2" sqref="AA756" start="0" length="0">
      <dxf/>
    </rfmt>
    <rfmt sheetId="2" sqref="AB756" start="0" length="0">
      <dxf/>
    </rfmt>
    <rfmt sheetId="2" sqref="AC756" start="0" length="0">
      <dxf/>
    </rfmt>
    <rfmt sheetId="2" sqref="AD756" start="0" length="0">
      <dxf/>
    </rfmt>
    <rfmt sheetId="2" sqref="AE756" start="0" length="0">
      <dxf/>
    </rfmt>
    <rfmt sheetId="2" sqref="AF756" start="0" length="0">
      <dxf/>
    </rfmt>
    <rfmt sheetId="2" sqref="AG756" start="0" length="0">
      <dxf/>
    </rfmt>
    <rfmt sheetId="2" sqref="AH756" start="0" length="0">
      <dxf/>
    </rfmt>
    <rfmt sheetId="2" sqref="AI756" start="0" length="0">
      <dxf/>
    </rfmt>
    <rfmt sheetId="2" sqref="AJ756" start="0" length="0">
      <dxf/>
    </rfmt>
    <rfmt sheetId="2" sqref="AK756" start="0" length="0">
      <dxf/>
    </rfmt>
    <rfmt sheetId="2" sqref="AL756" start="0" length="0">
      <dxf/>
    </rfmt>
    <rfmt sheetId="2" sqref="AM756" start="0" length="0">
      <dxf/>
    </rfmt>
    <rfmt sheetId="2" sqref="AN756" start="0" length="0">
      <dxf/>
    </rfmt>
    <rfmt sheetId="2" sqref="AO756" start="0" length="0">
      <dxf/>
    </rfmt>
    <rfmt sheetId="2" sqref="AP756" start="0" length="0">
      <dxf/>
    </rfmt>
    <rfmt sheetId="2" sqref="AQ756" start="0" length="0">
      <dxf/>
    </rfmt>
    <rfmt sheetId="2" sqref="AR756" start="0" length="0">
      <dxf/>
    </rfmt>
    <rfmt sheetId="2" sqref="AS756" start="0" length="0">
      <dxf/>
    </rfmt>
    <rfmt sheetId="2" sqref="AT756" start="0" length="0">
      <dxf/>
    </rfmt>
    <rfmt sheetId="2" sqref="AU756" start="0" length="0">
      <dxf/>
    </rfmt>
    <rfmt sheetId="2" sqref="AV756" start="0" length="0">
      <dxf/>
    </rfmt>
    <rfmt sheetId="2" sqref="AW756" start="0" length="0">
      <dxf/>
    </rfmt>
    <rfmt sheetId="2" sqref="AX756" start="0" length="0">
      <dxf/>
    </rfmt>
    <rfmt sheetId="2" sqref="AY756" start="0" length="0">
      <dxf/>
    </rfmt>
    <rfmt sheetId="2" sqref="AZ756" start="0" length="0">
      <dxf/>
    </rfmt>
    <rfmt sheetId="2" sqref="BA756" start="0" length="0">
      <dxf/>
    </rfmt>
    <rfmt sheetId="2" sqref="BB756" start="0" length="0">
      <dxf/>
    </rfmt>
    <rfmt sheetId="2" sqref="BC756" start="0" length="0">
      <dxf/>
    </rfmt>
    <rfmt sheetId="2" sqref="BD756" start="0" length="0">
      <dxf/>
    </rfmt>
    <rfmt sheetId="2" sqref="BE756" start="0" length="0">
      <dxf/>
    </rfmt>
    <rfmt sheetId="2" sqref="BF756" start="0" length="0">
      <dxf/>
    </rfmt>
    <rfmt sheetId="2" sqref="BG756" start="0" length="0">
      <dxf/>
    </rfmt>
    <rfmt sheetId="2" sqref="BH756" start="0" length="0">
      <dxf/>
    </rfmt>
    <rfmt sheetId="2" sqref="BI756" start="0" length="0">
      <dxf/>
    </rfmt>
    <rfmt sheetId="2" sqref="BJ756" start="0" length="0">
      <dxf/>
    </rfmt>
    <rfmt sheetId="2" sqref="BK756" start="0" length="0">
      <dxf/>
    </rfmt>
    <rfmt sheetId="2" sqref="BL756" start="0" length="0">
      <dxf/>
    </rfmt>
    <rfmt sheetId="2" sqref="BM756" start="0" length="0">
      <dxf/>
    </rfmt>
    <rfmt sheetId="2" sqref="BN756" start="0" length="0">
      <dxf/>
    </rfmt>
    <rfmt sheetId="2" sqref="BO756" start="0" length="0">
      <dxf/>
    </rfmt>
    <rfmt sheetId="2" sqref="BP756" start="0" length="0">
      <dxf/>
    </rfmt>
    <rfmt sheetId="2" sqref="BQ756" start="0" length="0">
      <dxf/>
    </rfmt>
    <rfmt sheetId="2" sqref="BR756" start="0" length="0">
      <dxf/>
    </rfmt>
    <rfmt sheetId="2" sqref="BS756" start="0" length="0">
      <dxf/>
    </rfmt>
    <rfmt sheetId="2" sqref="BT756" start="0" length="0">
      <dxf/>
    </rfmt>
    <rfmt sheetId="2" sqref="BU756" start="0" length="0">
      <dxf/>
    </rfmt>
    <rfmt sheetId="2" sqref="BV756" start="0" length="0">
      <dxf/>
    </rfmt>
    <rfmt sheetId="2" sqref="BW756" start="0" length="0">
      <dxf/>
    </rfmt>
    <rfmt sheetId="2" sqref="BX756" start="0" length="0">
      <dxf/>
    </rfmt>
    <rfmt sheetId="2" sqref="BY756" start="0" length="0">
      <dxf/>
    </rfmt>
    <rfmt sheetId="2" sqref="BZ756" start="0" length="0">
      <dxf/>
    </rfmt>
    <rfmt sheetId="2" sqref="CA756" start="0" length="0">
      <dxf/>
    </rfmt>
    <rfmt sheetId="2" sqref="CB756" start="0" length="0">
      <dxf/>
    </rfmt>
    <rfmt sheetId="2" sqref="CC756" start="0" length="0">
      <dxf/>
    </rfmt>
    <rfmt sheetId="2" sqref="CD756" start="0" length="0">
      <dxf/>
    </rfmt>
    <rfmt sheetId="2" sqref="CE756" start="0" length="0">
      <dxf/>
    </rfmt>
    <rfmt sheetId="2" sqref="CF756" start="0" length="0">
      <dxf/>
    </rfmt>
    <rfmt sheetId="2" sqref="CG756" start="0" length="0">
      <dxf/>
    </rfmt>
    <rfmt sheetId="2" sqref="CH756" start="0" length="0">
      <dxf/>
    </rfmt>
    <rfmt sheetId="2" sqref="CI756" start="0" length="0">
      <dxf/>
    </rfmt>
    <rfmt sheetId="2" sqref="CJ756" start="0" length="0">
      <dxf/>
    </rfmt>
    <rfmt sheetId="2" sqref="CK756" start="0" length="0">
      <dxf/>
    </rfmt>
    <rfmt sheetId="2" sqref="CL756" start="0" length="0">
      <dxf/>
    </rfmt>
    <rfmt sheetId="2" sqref="CM756" start="0" length="0">
      <dxf/>
    </rfmt>
    <rfmt sheetId="2" sqref="CN756" start="0" length="0">
      <dxf/>
    </rfmt>
    <rfmt sheetId="2" sqref="CO756" start="0" length="0">
      <dxf/>
    </rfmt>
    <rfmt sheetId="2" sqref="CP756" start="0" length="0">
      <dxf/>
    </rfmt>
    <rfmt sheetId="2" sqref="CQ756" start="0" length="0">
      <dxf/>
    </rfmt>
    <rfmt sheetId="2" sqref="CR756" start="0" length="0">
      <dxf/>
    </rfmt>
    <rfmt sheetId="2" sqref="CS756" start="0" length="0">
      <dxf/>
    </rfmt>
    <rfmt sheetId="2" sqref="CT756" start="0" length="0">
      <dxf/>
    </rfmt>
    <rfmt sheetId="2" sqref="CU756" start="0" length="0">
      <dxf/>
    </rfmt>
    <rfmt sheetId="2" sqref="CV756" start="0" length="0">
      <dxf/>
    </rfmt>
    <rfmt sheetId="2" sqref="CW756" start="0" length="0">
      <dxf/>
    </rfmt>
    <rfmt sheetId="2" sqref="CX756" start="0" length="0">
      <dxf/>
    </rfmt>
    <rfmt sheetId="2" sqref="CY756" start="0" length="0">
      <dxf/>
    </rfmt>
    <rfmt sheetId="2" sqref="CZ756" start="0" length="0">
      <dxf/>
    </rfmt>
    <rfmt sheetId="2" sqref="DA756" start="0" length="0">
      <dxf/>
    </rfmt>
    <rfmt sheetId="2" sqref="DB756" start="0" length="0">
      <dxf/>
    </rfmt>
    <rfmt sheetId="2" sqref="DC756" start="0" length="0">
      <dxf/>
    </rfmt>
    <rfmt sheetId="2" sqref="DD756" start="0" length="0">
      <dxf/>
    </rfmt>
    <rfmt sheetId="2" sqref="DE756" start="0" length="0">
      <dxf/>
    </rfmt>
    <rfmt sheetId="2" sqref="DF756" start="0" length="0">
      <dxf/>
    </rfmt>
    <rfmt sheetId="2" sqref="DG756" start="0" length="0">
      <dxf/>
    </rfmt>
    <rfmt sheetId="2" sqref="DH756" start="0" length="0">
      <dxf/>
    </rfmt>
    <rfmt sheetId="2" sqref="DI756" start="0" length="0">
      <dxf/>
    </rfmt>
    <rfmt sheetId="2" sqref="DJ756" start="0" length="0">
      <dxf/>
    </rfmt>
    <rfmt sheetId="2" sqref="DK756" start="0" length="0">
      <dxf/>
    </rfmt>
    <rfmt sheetId="2" sqref="DL756" start="0" length="0">
      <dxf/>
    </rfmt>
    <rfmt sheetId="2" sqref="DM756" start="0" length="0">
      <dxf/>
    </rfmt>
    <rfmt sheetId="2" sqref="DN756" start="0" length="0">
      <dxf/>
    </rfmt>
    <rfmt sheetId="2" sqref="DO756" start="0" length="0">
      <dxf/>
    </rfmt>
    <rfmt sheetId="2" sqref="DP756" start="0" length="0">
      <dxf/>
    </rfmt>
    <rfmt sheetId="2" sqref="DQ756" start="0" length="0">
      <dxf/>
    </rfmt>
    <rfmt sheetId="2" sqref="DR756" start="0" length="0">
      <dxf/>
    </rfmt>
    <rfmt sheetId="2" sqref="DS756" start="0" length="0">
      <dxf/>
    </rfmt>
    <rfmt sheetId="2" sqref="DT756" start="0" length="0">
      <dxf/>
    </rfmt>
    <rfmt sheetId="2" sqref="DU756" start="0" length="0">
      <dxf/>
    </rfmt>
    <rfmt sheetId="2" sqref="DV756" start="0" length="0">
      <dxf/>
    </rfmt>
    <rfmt sheetId="2" sqref="DW756" start="0" length="0">
      <dxf/>
    </rfmt>
    <rfmt sheetId="2" sqref="DX756" start="0" length="0">
      <dxf/>
    </rfmt>
    <rfmt sheetId="2" sqref="DY756" start="0" length="0">
      <dxf/>
    </rfmt>
    <rfmt sheetId="2" sqref="DZ756" start="0" length="0">
      <dxf/>
    </rfmt>
    <rfmt sheetId="2" sqref="EA756" start="0" length="0">
      <dxf/>
    </rfmt>
    <rfmt sheetId="2" sqref="EB756" start="0" length="0">
      <dxf/>
    </rfmt>
    <rfmt sheetId="2" sqref="EC756" start="0" length="0">
      <dxf/>
    </rfmt>
    <rfmt sheetId="2" sqref="ED756" start="0" length="0">
      <dxf/>
    </rfmt>
    <rfmt sheetId="2" sqref="EE756" start="0" length="0">
      <dxf/>
    </rfmt>
    <rfmt sheetId="2" sqref="EF756" start="0" length="0">
      <dxf/>
    </rfmt>
    <rfmt sheetId="2" sqref="EG756" start="0" length="0">
      <dxf/>
    </rfmt>
    <rfmt sheetId="2" sqref="EH756" start="0" length="0">
      <dxf/>
    </rfmt>
    <rfmt sheetId="2" sqref="EI756" start="0" length="0">
      <dxf/>
    </rfmt>
    <rfmt sheetId="2" sqref="EJ756" start="0" length="0">
      <dxf/>
    </rfmt>
    <rfmt sheetId="2" sqref="EK756" start="0" length="0">
      <dxf/>
    </rfmt>
    <rfmt sheetId="2" sqref="EL756" start="0" length="0">
      <dxf/>
    </rfmt>
    <rfmt sheetId="2" sqref="EM756" start="0" length="0">
      <dxf/>
    </rfmt>
    <rfmt sheetId="2" sqref="EN756" start="0" length="0">
      <dxf/>
    </rfmt>
    <rfmt sheetId="2" sqref="EO756" start="0" length="0">
      <dxf/>
    </rfmt>
    <rfmt sheetId="2" sqref="EP756" start="0" length="0">
      <dxf/>
    </rfmt>
    <rfmt sheetId="2" sqref="EQ756" start="0" length="0">
      <dxf/>
    </rfmt>
    <rfmt sheetId="2" sqref="ER756" start="0" length="0">
      <dxf/>
    </rfmt>
    <rfmt sheetId="2" sqref="ES756" start="0" length="0">
      <dxf/>
    </rfmt>
    <rfmt sheetId="2" sqref="ET756" start="0" length="0">
      <dxf/>
    </rfmt>
    <rfmt sheetId="2" sqref="EU756" start="0" length="0">
      <dxf/>
    </rfmt>
    <rfmt sheetId="2" sqref="EV756" start="0" length="0">
      <dxf/>
    </rfmt>
    <rfmt sheetId="2" sqref="EW756" start="0" length="0">
      <dxf/>
    </rfmt>
    <rfmt sheetId="2" sqref="EX756" start="0" length="0">
      <dxf/>
    </rfmt>
    <rfmt sheetId="2" sqref="EY756" start="0" length="0">
      <dxf/>
    </rfmt>
    <rfmt sheetId="2" sqref="EZ756" start="0" length="0">
      <dxf/>
    </rfmt>
    <rfmt sheetId="2" sqref="FA756" start="0" length="0">
      <dxf/>
    </rfmt>
    <rfmt sheetId="2" sqref="FB756" start="0" length="0">
      <dxf/>
    </rfmt>
    <rfmt sheetId="2" sqref="FC756" start="0" length="0">
      <dxf/>
    </rfmt>
    <rfmt sheetId="2" sqref="FD756" start="0" length="0">
      <dxf/>
    </rfmt>
    <rfmt sheetId="2" sqref="FE756" start="0" length="0">
      <dxf/>
    </rfmt>
    <rfmt sheetId="2" sqref="FF756" start="0" length="0">
      <dxf/>
    </rfmt>
    <rfmt sheetId="2" sqref="FG756" start="0" length="0">
      <dxf/>
    </rfmt>
    <rfmt sheetId="2" sqref="FH756" start="0" length="0">
      <dxf/>
    </rfmt>
    <rfmt sheetId="2" sqref="FI756" start="0" length="0">
      <dxf/>
    </rfmt>
    <rfmt sheetId="2" sqref="FJ756" start="0" length="0">
      <dxf/>
    </rfmt>
    <rfmt sheetId="2" sqref="FK756" start="0" length="0">
      <dxf/>
    </rfmt>
    <rfmt sheetId="2" sqref="FL756" start="0" length="0">
      <dxf/>
    </rfmt>
    <rfmt sheetId="2" sqref="FM756" start="0" length="0">
      <dxf/>
    </rfmt>
    <rfmt sheetId="2" sqref="FN756" start="0" length="0">
      <dxf/>
    </rfmt>
    <rfmt sheetId="2" sqref="FO756" start="0" length="0">
      <dxf/>
    </rfmt>
    <rfmt sheetId="2" sqref="FP756" start="0" length="0">
      <dxf/>
    </rfmt>
    <rfmt sheetId="2" sqref="FQ756" start="0" length="0">
      <dxf/>
    </rfmt>
    <rfmt sheetId="2" sqref="FR756" start="0" length="0">
      <dxf/>
    </rfmt>
    <rfmt sheetId="2" sqref="FS756" start="0" length="0">
      <dxf/>
    </rfmt>
    <rfmt sheetId="2" sqref="FT756" start="0" length="0">
      <dxf/>
    </rfmt>
    <rfmt sheetId="2" sqref="FU756" start="0" length="0">
      <dxf/>
    </rfmt>
    <rfmt sheetId="2" sqref="FV756" start="0" length="0">
      <dxf/>
    </rfmt>
    <rfmt sheetId="2" sqref="FW756" start="0" length="0">
      <dxf/>
    </rfmt>
    <rfmt sheetId="2" sqref="FX756" start="0" length="0">
      <dxf/>
    </rfmt>
    <rfmt sheetId="2" sqref="FY756" start="0" length="0">
      <dxf/>
    </rfmt>
    <rfmt sheetId="2" sqref="FZ756" start="0" length="0">
      <dxf/>
    </rfmt>
    <rfmt sheetId="2" sqref="GA756" start="0" length="0">
      <dxf/>
    </rfmt>
    <rfmt sheetId="2" sqref="GB756" start="0" length="0">
      <dxf/>
    </rfmt>
    <rfmt sheetId="2" sqref="GC756" start="0" length="0">
      <dxf/>
    </rfmt>
    <rfmt sheetId="2" sqref="GD756" start="0" length="0">
      <dxf/>
    </rfmt>
    <rfmt sheetId="2" sqref="GE756" start="0" length="0">
      <dxf/>
    </rfmt>
    <rfmt sheetId="2" sqref="GF756" start="0" length="0">
      <dxf/>
    </rfmt>
    <rfmt sheetId="2" sqref="GG756" start="0" length="0">
      <dxf/>
    </rfmt>
    <rfmt sheetId="2" sqref="GH756" start="0" length="0">
      <dxf/>
    </rfmt>
    <rfmt sheetId="2" sqref="GI756" start="0" length="0">
      <dxf/>
    </rfmt>
    <rfmt sheetId="2" sqref="GJ756" start="0" length="0">
      <dxf/>
    </rfmt>
    <rfmt sheetId="2" sqref="GK756" start="0" length="0">
      <dxf/>
    </rfmt>
    <rfmt sheetId="2" sqref="GL756" start="0" length="0">
      <dxf/>
    </rfmt>
    <rfmt sheetId="2" sqref="GM756" start="0" length="0">
      <dxf/>
    </rfmt>
    <rfmt sheetId="2" sqref="GN756" start="0" length="0">
      <dxf/>
    </rfmt>
    <rfmt sheetId="2" sqref="GO756" start="0" length="0">
      <dxf/>
    </rfmt>
    <rfmt sheetId="2" sqref="GP756" start="0" length="0">
      <dxf/>
    </rfmt>
    <rfmt sheetId="2" sqref="GQ756" start="0" length="0">
      <dxf/>
    </rfmt>
    <rfmt sheetId="2" sqref="GR756" start="0" length="0">
      <dxf/>
    </rfmt>
    <rfmt sheetId="2" sqref="GS756" start="0" length="0">
      <dxf/>
    </rfmt>
    <rfmt sheetId="2" sqref="GT756" start="0" length="0">
      <dxf/>
    </rfmt>
    <rfmt sheetId="2" sqref="GU756" start="0" length="0">
      <dxf/>
    </rfmt>
    <rfmt sheetId="2" sqref="GV756" start="0" length="0">
      <dxf/>
    </rfmt>
    <rfmt sheetId="2" sqref="GW756" start="0" length="0">
      <dxf/>
    </rfmt>
    <rfmt sheetId="2" sqref="GX756" start="0" length="0">
      <dxf/>
    </rfmt>
    <rfmt sheetId="2" sqref="GY756" start="0" length="0">
      <dxf/>
    </rfmt>
    <rfmt sheetId="2" sqref="GZ756" start="0" length="0">
      <dxf/>
    </rfmt>
    <rfmt sheetId="2" sqref="HA756" start="0" length="0">
      <dxf/>
    </rfmt>
    <rfmt sheetId="2" sqref="HB756" start="0" length="0">
      <dxf/>
    </rfmt>
    <rfmt sheetId="2" sqref="HC756" start="0" length="0">
      <dxf/>
    </rfmt>
    <rfmt sheetId="2" sqref="HD756" start="0" length="0">
      <dxf/>
    </rfmt>
    <rfmt sheetId="2" sqref="HE756" start="0" length="0">
      <dxf/>
    </rfmt>
    <rfmt sheetId="2" sqref="HF756" start="0" length="0">
      <dxf/>
    </rfmt>
    <rfmt sheetId="2" sqref="HG756" start="0" length="0">
      <dxf/>
    </rfmt>
    <rfmt sheetId="2" sqref="HH756" start="0" length="0">
      <dxf/>
    </rfmt>
    <rfmt sheetId="2" sqref="HI756" start="0" length="0">
      <dxf/>
    </rfmt>
    <rfmt sheetId="2" sqref="HJ756" start="0" length="0">
      <dxf/>
    </rfmt>
    <rfmt sheetId="2" sqref="HK756" start="0" length="0">
      <dxf/>
    </rfmt>
    <rfmt sheetId="2" sqref="HL756" start="0" length="0">
      <dxf/>
    </rfmt>
    <rfmt sheetId="2" sqref="HM756" start="0" length="0">
      <dxf/>
    </rfmt>
    <rfmt sheetId="2" sqref="HN756" start="0" length="0">
      <dxf/>
    </rfmt>
    <rfmt sheetId="2" sqref="HO756" start="0" length="0">
      <dxf/>
    </rfmt>
    <rfmt sheetId="2" sqref="HP756" start="0" length="0">
      <dxf/>
    </rfmt>
    <rfmt sheetId="2" sqref="HQ756" start="0" length="0">
      <dxf/>
    </rfmt>
    <rfmt sheetId="2" sqref="HR756" start="0" length="0">
      <dxf/>
    </rfmt>
    <rfmt sheetId="2" sqref="HS756" start="0" length="0">
      <dxf/>
    </rfmt>
    <rfmt sheetId="2" sqref="HT756" start="0" length="0">
      <dxf/>
    </rfmt>
    <rfmt sheetId="2" sqref="HU756" start="0" length="0">
      <dxf/>
    </rfmt>
    <rfmt sheetId="2" sqref="HV756" start="0" length="0">
      <dxf/>
    </rfmt>
    <rfmt sheetId="2" sqref="HW756" start="0" length="0">
      <dxf/>
    </rfmt>
    <rfmt sheetId="2" sqref="HX756" start="0" length="0">
      <dxf/>
    </rfmt>
    <rfmt sheetId="2" sqref="HY756" start="0" length="0">
      <dxf/>
    </rfmt>
    <rfmt sheetId="2" sqref="HZ756" start="0" length="0">
      <dxf/>
    </rfmt>
    <rfmt sheetId="2" sqref="IA756" start="0" length="0">
      <dxf/>
    </rfmt>
    <rfmt sheetId="2" sqref="IB756" start="0" length="0">
      <dxf/>
    </rfmt>
    <rfmt sheetId="2" sqref="IC756" start="0" length="0">
      <dxf/>
    </rfmt>
    <rfmt sheetId="2" sqref="ID756" start="0" length="0">
      <dxf/>
    </rfmt>
    <rfmt sheetId="2" sqref="IE756" start="0" length="0">
      <dxf/>
    </rfmt>
    <rfmt sheetId="2" sqref="IF756" start="0" length="0">
      <dxf/>
    </rfmt>
    <rfmt sheetId="2" sqref="IG756" start="0" length="0">
      <dxf/>
    </rfmt>
    <rfmt sheetId="2" sqref="IH756" start="0" length="0">
      <dxf/>
    </rfmt>
    <rfmt sheetId="2" sqref="II756" start="0" length="0">
      <dxf/>
    </rfmt>
    <rfmt sheetId="2" sqref="IJ756" start="0" length="0">
      <dxf/>
    </rfmt>
    <rfmt sheetId="2" sqref="IK756" start="0" length="0">
      <dxf/>
    </rfmt>
    <rfmt sheetId="2" sqref="IL756" start="0" length="0">
      <dxf/>
    </rfmt>
    <rfmt sheetId="2" sqref="IM756" start="0" length="0">
      <dxf/>
    </rfmt>
    <rfmt sheetId="2" sqref="IN756" start="0" length="0">
      <dxf/>
    </rfmt>
    <rfmt sheetId="2" sqref="IO756" start="0" length="0">
      <dxf/>
    </rfmt>
    <rfmt sheetId="2" sqref="IP756" start="0" length="0">
      <dxf/>
    </rfmt>
    <rfmt sheetId="2" sqref="IQ756" start="0" length="0">
      <dxf/>
    </rfmt>
    <rfmt sheetId="2" sqref="IR756" start="0" length="0">
      <dxf/>
    </rfmt>
    <rfmt sheetId="2" sqref="IS756" start="0" length="0">
      <dxf/>
    </rfmt>
    <rfmt sheetId="2" sqref="IT756" start="0" length="0">
      <dxf/>
    </rfmt>
    <rfmt sheetId="2" sqref="IU756" start="0" length="0">
      <dxf/>
    </rfmt>
    <rfmt sheetId="2" sqref="IV756" start="0" length="0">
      <dxf/>
    </rfmt>
    <rfmt sheetId="2" sqref="IW756" start="0" length="0">
      <dxf/>
    </rfmt>
    <rfmt sheetId="2" sqref="IX756" start="0" length="0">
      <dxf/>
    </rfmt>
    <rfmt sheetId="2" sqref="IY756" start="0" length="0">
      <dxf/>
    </rfmt>
    <rfmt sheetId="2" sqref="IZ756" start="0" length="0">
      <dxf/>
    </rfmt>
    <rfmt sheetId="2" sqref="JA756" start="0" length="0">
      <dxf/>
    </rfmt>
    <rfmt sheetId="2" sqref="JB756" start="0" length="0">
      <dxf/>
    </rfmt>
    <rfmt sheetId="2" sqref="JC756" start="0" length="0">
      <dxf/>
    </rfmt>
    <rfmt sheetId="2" sqref="JD756" start="0" length="0">
      <dxf/>
    </rfmt>
    <rfmt sheetId="2" sqref="JE756" start="0" length="0">
      <dxf/>
    </rfmt>
    <rfmt sheetId="2" sqref="JF756" start="0" length="0">
      <dxf/>
    </rfmt>
    <rfmt sheetId="2" sqref="JG756" start="0" length="0">
      <dxf/>
    </rfmt>
    <rfmt sheetId="2" sqref="JH756" start="0" length="0">
      <dxf/>
    </rfmt>
    <rfmt sheetId="2" sqref="JI756" start="0" length="0">
      <dxf/>
    </rfmt>
    <rfmt sheetId="2" sqref="JJ756" start="0" length="0">
      <dxf/>
    </rfmt>
    <rfmt sheetId="2" sqref="JK756" start="0" length="0">
      <dxf/>
    </rfmt>
    <rfmt sheetId="2" sqref="JL756" start="0" length="0">
      <dxf/>
    </rfmt>
    <rfmt sheetId="2" sqref="JM756" start="0" length="0">
      <dxf/>
    </rfmt>
    <rfmt sheetId="2" sqref="JN756" start="0" length="0">
      <dxf/>
    </rfmt>
    <rfmt sheetId="2" sqref="JO756" start="0" length="0">
      <dxf/>
    </rfmt>
    <rfmt sheetId="2" sqref="JP756" start="0" length="0">
      <dxf/>
    </rfmt>
    <rfmt sheetId="2" sqref="JQ756" start="0" length="0">
      <dxf/>
    </rfmt>
    <rfmt sheetId="2" sqref="JR756" start="0" length="0">
      <dxf/>
    </rfmt>
    <rfmt sheetId="2" sqref="JS756" start="0" length="0">
      <dxf/>
    </rfmt>
    <rfmt sheetId="2" sqref="JT756" start="0" length="0">
      <dxf/>
    </rfmt>
    <rfmt sheetId="2" sqref="JU756" start="0" length="0">
      <dxf/>
    </rfmt>
    <rfmt sheetId="2" sqref="JV756" start="0" length="0">
      <dxf/>
    </rfmt>
    <rfmt sheetId="2" sqref="JW756" start="0" length="0">
      <dxf/>
    </rfmt>
    <rfmt sheetId="2" sqref="JX756" start="0" length="0">
      <dxf/>
    </rfmt>
    <rfmt sheetId="2" sqref="JY756" start="0" length="0">
      <dxf/>
    </rfmt>
    <rfmt sheetId="2" sqref="JZ756" start="0" length="0">
      <dxf/>
    </rfmt>
    <rfmt sheetId="2" sqref="KA756" start="0" length="0">
      <dxf/>
    </rfmt>
    <rfmt sheetId="2" sqref="KB756" start="0" length="0">
      <dxf/>
    </rfmt>
    <rfmt sheetId="2" sqref="KC756" start="0" length="0">
      <dxf/>
    </rfmt>
    <rfmt sheetId="2" sqref="KD756" start="0" length="0">
      <dxf/>
    </rfmt>
    <rfmt sheetId="2" sqref="KE756" start="0" length="0">
      <dxf/>
    </rfmt>
    <rfmt sheetId="2" sqref="KF756" start="0" length="0">
      <dxf/>
    </rfmt>
    <rfmt sheetId="2" sqref="KG756" start="0" length="0">
      <dxf/>
    </rfmt>
    <rfmt sheetId="2" sqref="KH756" start="0" length="0">
      <dxf/>
    </rfmt>
    <rfmt sheetId="2" sqref="KI756" start="0" length="0">
      <dxf/>
    </rfmt>
    <rfmt sheetId="2" sqref="KJ756" start="0" length="0">
      <dxf/>
    </rfmt>
    <rfmt sheetId="2" sqref="KK756" start="0" length="0">
      <dxf/>
    </rfmt>
    <rfmt sheetId="2" sqref="KL756" start="0" length="0">
      <dxf/>
    </rfmt>
    <rfmt sheetId="2" sqref="KM756" start="0" length="0">
      <dxf/>
    </rfmt>
    <rfmt sheetId="2" sqref="KN756" start="0" length="0">
      <dxf/>
    </rfmt>
    <rfmt sheetId="2" sqref="KO756" start="0" length="0">
      <dxf/>
    </rfmt>
    <rfmt sheetId="2" sqref="KP756" start="0" length="0">
      <dxf/>
    </rfmt>
    <rfmt sheetId="2" sqref="KQ756" start="0" length="0">
      <dxf/>
    </rfmt>
    <rfmt sheetId="2" sqref="KR756" start="0" length="0">
      <dxf/>
    </rfmt>
    <rfmt sheetId="2" sqref="KS756" start="0" length="0">
      <dxf/>
    </rfmt>
    <rfmt sheetId="2" sqref="KT756" start="0" length="0">
      <dxf/>
    </rfmt>
    <rfmt sheetId="2" sqref="KU756" start="0" length="0">
      <dxf/>
    </rfmt>
    <rfmt sheetId="2" sqref="KV756" start="0" length="0">
      <dxf/>
    </rfmt>
    <rfmt sheetId="2" sqref="KW756" start="0" length="0">
      <dxf/>
    </rfmt>
    <rfmt sheetId="2" sqref="KX756" start="0" length="0">
      <dxf/>
    </rfmt>
    <rfmt sheetId="2" sqref="KY756" start="0" length="0">
      <dxf/>
    </rfmt>
    <rfmt sheetId="2" sqref="KZ756" start="0" length="0">
      <dxf/>
    </rfmt>
    <rfmt sheetId="2" sqref="LA756" start="0" length="0">
      <dxf/>
    </rfmt>
    <rfmt sheetId="2" sqref="LB756" start="0" length="0">
      <dxf/>
    </rfmt>
    <rfmt sheetId="2" sqref="LC756" start="0" length="0">
      <dxf/>
    </rfmt>
    <rfmt sheetId="2" sqref="LD756" start="0" length="0">
      <dxf/>
    </rfmt>
    <rfmt sheetId="2" sqref="LE756" start="0" length="0">
      <dxf/>
    </rfmt>
    <rfmt sheetId="2" sqref="LF756" start="0" length="0">
      <dxf/>
    </rfmt>
    <rfmt sheetId="2" sqref="LG756" start="0" length="0">
      <dxf/>
    </rfmt>
    <rfmt sheetId="2" sqref="LH756" start="0" length="0">
      <dxf/>
    </rfmt>
    <rfmt sheetId="2" sqref="LI756" start="0" length="0">
      <dxf/>
    </rfmt>
    <rfmt sheetId="2" sqref="LJ756" start="0" length="0">
      <dxf/>
    </rfmt>
    <rfmt sheetId="2" sqref="LK756" start="0" length="0">
      <dxf/>
    </rfmt>
    <rfmt sheetId="2" sqref="LL756" start="0" length="0">
      <dxf/>
    </rfmt>
    <rfmt sheetId="2" sqref="LM756" start="0" length="0">
      <dxf/>
    </rfmt>
    <rfmt sheetId="2" sqref="LN756" start="0" length="0">
      <dxf/>
    </rfmt>
    <rfmt sheetId="2" sqref="LO756" start="0" length="0">
      <dxf/>
    </rfmt>
    <rfmt sheetId="2" sqref="LP756" start="0" length="0">
      <dxf/>
    </rfmt>
    <rfmt sheetId="2" sqref="LQ756" start="0" length="0">
      <dxf/>
    </rfmt>
    <rfmt sheetId="2" sqref="LR756" start="0" length="0">
      <dxf/>
    </rfmt>
    <rfmt sheetId="2" sqref="LS756" start="0" length="0">
      <dxf/>
    </rfmt>
    <rfmt sheetId="2" sqref="LT756" start="0" length="0">
      <dxf/>
    </rfmt>
    <rfmt sheetId="2" sqref="LU756" start="0" length="0">
      <dxf/>
    </rfmt>
    <rfmt sheetId="2" sqref="LV756" start="0" length="0">
      <dxf/>
    </rfmt>
    <rfmt sheetId="2" sqref="LW756" start="0" length="0">
      <dxf/>
    </rfmt>
    <rfmt sheetId="2" sqref="LX756" start="0" length="0">
      <dxf/>
    </rfmt>
    <rfmt sheetId="2" sqref="LY756" start="0" length="0">
      <dxf/>
    </rfmt>
    <rfmt sheetId="2" sqref="LZ756" start="0" length="0">
      <dxf/>
    </rfmt>
    <rfmt sheetId="2" sqref="MA756" start="0" length="0">
      <dxf/>
    </rfmt>
    <rfmt sheetId="2" sqref="MB756" start="0" length="0">
      <dxf/>
    </rfmt>
  </rm>
  <rrc rId="1714" sId="2" ref="A765:XFD765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5:XFD765" start="0" length="0">
      <dxf>
        <font>
          <sz val="10"/>
          <name val="Arial"/>
          <scheme val="none"/>
        </font>
        <alignment horizontal="center" readingOrder="0"/>
      </dxf>
    </rfmt>
    <rfmt sheetId="2" sqref="A76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5" start="0" length="0">
      <dxf>
        <numFmt numFmtId="176" formatCode="m/d;@"/>
      </dxf>
    </rfmt>
    <rfmt sheetId="2" sqref="P76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5" start="0" length="0">
      <dxf/>
    </rfmt>
    <rfmt sheetId="2" sqref="U765" start="0" length="0">
      <dxf/>
    </rfmt>
    <rfmt sheetId="2" sqref="V765" start="0" length="0">
      <dxf/>
    </rfmt>
    <rfmt sheetId="2" sqref="W765" start="0" length="0">
      <dxf/>
    </rfmt>
    <rfmt sheetId="2" sqref="X765" start="0" length="0">
      <dxf/>
    </rfmt>
    <rfmt sheetId="2" sqref="Y765" start="0" length="0">
      <dxf/>
    </rfmt>
    <rfmt sheetId="2" sqref="Z765" start="0" length="0">
      <dxf/>
    </rfmt>
    <rfmt sheetId="2" sqref="AA765" start="0" length="0">
      <dxf/>
    </rfmt>
    <rfmt sheetId="2" sqref="AB765" start="0" length="0">
      <dxf/>
    </rfmt>
    <rfmt sheetId="2" sqref="AC765" start="0" length="0">
      <dxf/>
    </rfmt>
    <rfmt sheetId="2" sqref="AD765" start="0" length="0">
      <dxf/>
    </rfmt>
    <rfmt sheetId="2" sqref="AE765" start="0" length="0">
      <dxf/>
    </rfmt>
    <rfmt sheetId="2" sqref="AF765" start="0" length="0">
      <dxf/>
    </rfmt>
    <rfmt sheetId="2" sqref="AG765" start="0" length="0">
      <dxf/>
    </rfmt>
    <rfmt sheetId="2" sqref="AH765" start="0" length="0">
      <dxf/>
    </rfmt>
    <rfmt sheetId="2" sqref="AI765" start="0" length="0">
      <dxf/>
    </rfmt>
    <rfmt sheetId="2" sqref="AJ765" start="0" length="0">
      <dxf/>
    </rfmt>
    <rfmt sheetId="2" sqref="AK765" start="0" length="0">
      <dxf/>
    </rfmt>
    <rfmt sheetId="2" sqref="AL765" start="0" length="0">
      <dxf/>
    </rfmt>
    <rfmt sheetId="2" sqref="AM765" start="0" length="0">
      <dxf/>
    </rfmt>
    <rfmt sheetId="2" sqref="AN765" start="0" length="0">
      <dxf/>
    </rfmt>
    <rfmt sheetId="2" sqref="AO765" start="0" length="0">
      <dxf/>
    </rfmt>
    <rfmt sheetId="2" sqref="AP765" start="0" length="0">
      <dxf/>
    </rfmt>
    <rfmt sheetId="2" sqref="AQ765" start="0" length="0">
      <dxf/>
    </rfmt>
    <rfmt sheetId="2" sqref="AR765" start="0" length="0">
      <dxf/>
    </rfmt>
    <rfmt sheetId="2" sqref="AS765" start="0" length="0">
      <dxf/>
    </rfmt>
    <rfmt sheetId="2" sqref="AT765" start="0" length="0">
      <dxf/>
    </rfmt>
    <rfmt sheetId="2" sqref="AU765" start="0" length="0">
      <dxf/>
    </rfmt>
    <rfmt sheetId="2" sqref="AV765" start="0" length="0">
      <dxf/>
    </rfmt>
    <rfmt sheetId="2" sqref="AW765" start="0" length="0">
      <dxf/>
    </rfmt>
    <rfmt sheetId="2" sqref="AX765" start="0" length="0">
      <dxf/>
    </rfmt>
    <rfmt sheetId="2" sqref="AY765" start="0" length="0">
      <dxf/>
    </rfmt>
    <rfmt sheetId="2" sqref="AZ765" start="0" length="0">
      <dxf/>
    </rfmt>
    <rfmt sheetId="2" sqref="BA765" start="0" length="0">
      <dxf/>
    </rfmt>
    <rfmt sheetId="2" sqref="BB765" start="0" length="0">
      <dxf/>
    </rfmt>
    <rfmt sheetId="2" sqref="BC765" start="0" length="0">
      <dxf/>
    </rfmt>
    <rfmt sheetId="2" sqref="BD765" start="0" length="0">
      <dxf/>
    </rfmt>
    <rfmt sheetId="2" sqref="BE765" start="0" length="0">
      <dxf/>
    </rfmt>
    <rfmt sheetId="2" sqref="BF765" start="0" length="0">
      <dxf/>
    </rfmt>
    <rfmt sheetId="2" sqref="BG765" start="0" length="0">
      <dxf/>
    </rfmt>
    <rfmt sheetId="2" sqref="BH765" start="0" length="0">
      <dxf/>
    </rfmt>
    <rfmt sheetId="2" sqref="BI765" start="0" length="0">
      <dxf/>
    </rfmt>
    <rfmt sheetId="2" sqref="BJ765" start="0" length="0">
      <dxf/>
    </rfmt>
    <rfmt sheetId="2" sqref="BK765" start="0" length="0">
      <dxf/>
    </rfmt>
    <rfmt sheetId="2" sqref="BL765" start="0" length="0">
      <dxf/>
    </rfmt>
    <rfmt sheetId="2" sqref="BM765" start="0" length="0">
      <dxf/>
    </rfmt>
    <rfmt sheetId="2" sqref="BN765" start="0" length="0">
      <dxf/>
    </rfmt>
    <rfmt sheetId="2" sqref="BO765" start="0" length="0">
      <dxf/>
    </rfmt>
    <rfmt sheetId="2" sqref="BP765" start="0" length="0">
      <dxf/>
    </rfmt>
    <rfmt sheetId="2" sqref="BQ765" start="0" length="0">
      <dxf/>
    </rfmt>
    <rfmt sheetId="2" sqref="BR765" start="0" length="0">
      <dxf/>
    </rfmt>
    <rfmt sheetId="2" sqref="BS765" start="0" length="0">
      <dxf/>
    </rfmt>
    <rfmt sheetId="2" sqref="BT765" start="0" length="0">
      <dxf/>
    </rfmt>
    <rfmt sheetId="2" sqref="BU765" start="0" length="0">
      <dxf/>
    </rfmt>
    <rfmt sheetId="2" sqref="BV765" start="0" length="0">
      <dxf/>
    </rfmt>
    <rfmt sheetId="2" sqref="BW765" start="0" length="0">
      <dxf/>
    </rfmt>
    <rfmt sheetId="2" sqref="BX765" start="0" length="0">
      <dxf/>
    </rfmt>
    <rfmt sheetId="2" sqref="BY765" start="0" length="0">
      <dxf/>
    </rfmt>
    <rfmt sheetId="2" sqref="BZ765" start="0" length="0">
      <dxf/>
    </rfmt>
    <rfmt sheetId="2" sqref="CA765" start="0" length="0">
      <dxf/>
    </rfmt>
    <rfmt sheetId="2" sqref="CB765" start="0" length="0">
      <dxf/>
    </rfmt>
    <rfmt sheetId="2" sqref="CC765" start="0" length="0">
      <dxf/>
    </rfmt>
    <rfmt sheetId="2" sqref="CD765" start="0" length="0">
      <dxf/>
    </rfmt>
    <rfmt sheetId="2" sqref="CE765" start="0" length="0">
      <dxf/>
    </rfmt>
    <rfmt sheetId="2" sqref="CF765" start="0" length="0">
      <dxf/>
    </rfmt>
    <rfmt sheetId="2" sqref="CG765" start="0" length="0">
      <dxf/>
    </rfmt>
    <rfmt sheetId="2" sqref="CH765" start="0" length="0">
      <dxf/>
    </rfmt>
    <rfmt sheetId="2" sqref="CI765" start="0" length="0">
      <dxf/>
    </rfmt>
    <rfmt sheetId="2" sqref="CJ765" start="0" length="0">
      <dxf/>
    </rfmt>
    <rfmt sheetId="2" sqref="CK765" start="0" length="0">
      <dxf/>
    </rfmt>
    <rfmt sheetId="2" sqref="CL765" start="0" length="0">
      <dxf/>
    </rfmt>
    <rfmt sheetId="2" sqref="CM765" start="0" length="0">
      <dxf/>
    </rfmt>
    <rfmt sheetId="2" sqref="CN765" start="0" length="0">
      <dxf/>
    </rfmt>
    <rfmt sheetId="2" sqref="CO765" start="0" length="0">
      <dxf/>
    </rfmt>
    <rfmt sheetId="2" sqref="CP765" start="0" length="0">
      <dxf/>
    </rfmt>
    <rfmt sheetId="2" sqref="CQ765" start="0" length="0">
      <dxf/>
    </rfmt>
    <rfmt sheetId="2" sqref="CR765" start="0" length="0">
      <dxf/>
    </rfmt>
    <rfmt sheetId="2" sqref="CS765" start="0" length="0">
      <dxf/>
    </rfmt>
    <rfmt sheetId="2" sqref="CT765" start="0" length="0">
      <dxf/>
    </rfmt>
    <rfmt sheetId="2" sqref="CU765" start="0" length="0">
      <dxf/>
    </rfmt>
    <rfmt sheetId="2" sqref="CV765" start="0" length="0">
      <dxf/>
    </rfmt>
    <rfmt sheetId="2" sqref="CW765" start="0" length="0">
      <dxf/>
    </rfmt>
    <rfmt sheetId="2" sqref="CX765" start="0" length="0">
      <dxf/>
    </rfmt>
    <rfmt sheetId="2" sqref="CY765" start="0" length="0">
      <dxf/>
    </rfmt>
    <rfmt sheetId="2" sqref="CZ765" start="0" length="0">
      <dxf/>
    </rfmt>
    <rfmt sheetId="2" sqref="DA765" start="0" length="0">
      <dxf/>
    </rfmt>
    <rfmt sheetId="2" sqref="DB765" start="0" length="0">
      <dxf/>
    </rfmt>
    <rfmt sheetId="2" sqref="DC765" start="0" length="0">
      <dxf/>
    </rfmt>
    <rfmt sheetId="2" sqref="DD765" start="0" length="0">
      <dxf/>
    </rfmt>
    <rfmt sheetId="2" sqref="DE765" start="0" length="0">
      <dxf/>
    </rfmt>
    <rfmt sheetId="2" sqref="DF765" start="0" length="0">
      <dxf/>
    </rfmt>
    <rfmt sheetId="2" sqref="DG765" start="0" length="0">
      <dxf/>
    </rfmt>
    <rfmt sheetId="2" sqref="DH765" start="0" length="0">
      <dxf/>
    </rfmt>
    <rfmt sheetId="2" sqref="DI765" start="0" length="0">
      <dxf/>
    </rfmt>
    <rfmt sheetId="2" sqref="DJ765" start="0" length="0">
      <dxf/>
    </rfmt>
    <rfmt sheetId="2" sqref="DK765" start="0" length="0">
      <dxf/>
    </rfmt>
    <rfmt sheetId="2" sqref="DL765" start="0" length="0">
      <dxf/>
    </rfmt>
    <rfmt sheetId="2" sqref="DM765" start="0" length="0">
      <dxf/>
    </rfmt>
    <rfmt sheetId="2" sqref="DN765" start="0" length="0">
      <dxf/>
    </rfmt>
    <rfmt sheetId="2" sqref="DO765" start="0" length="0">
      <dxf/>
    </rfmt>
    <rfmt sheetId="2" sqref="DP765" start="0" length="0">
      <dxf/>
    </rfmt>
    <rfmt sheetId="2" sqref="DQ765" start="0" length="0">
      <dxf/>
    </rfmt>
    <rfmt sheetId="2" sqref="DR765" start="0" length="0">
      <dxf/>
    </rfmt>
    <rfmt sheetId="2" sqref="DS765" start="0" length="0">
      <dxf/>
    </rfmt>
    <rfmt sheetId="2" sqref="DT765" start="0" length="0">
      <dxf/>
    </rfmt>
    <rfmt sheetId="2" sqref="DU765" start="0" length="0">
      <dxf/>
    </rfmt>
    <rfmt sheetId="2" sqref="DV765" start="0" length="0">
      <dxf/>
    </rfmt>
    <rfmt sheetId="2" sqref="DW765" start="0" length="0">
      <dxf/>
    </rfmt>
    <rfmt sheetId="2" sqref="DX765" start="0" length="0">
      <dxf/>
    </rfmt>
    <rfmt sheetId="2" sqref="DY765" start="0" length="0">
      <dxf/>
    </rfmt>
    <rfmt sheetId="2" sqref="DZ765" start="0" length="0">
      <dxf/>
    </rfmt>
    <rfmt sheetId="2" sqref="EA765" start="0" length="0">
      <dxf/>
    </rfmt>
    <rfmt sheetId="2" sqref="EB765" start="0" length="0">
      <dxf/>
    </rfmt>
    <rfmt sheetId="2" sqref="EC765" start="0" length="0">
      <dxf/>
    </rfmt>
    <rfmt sheetId="2" sqref="ED765" start="0" length="0">
      <dxf/>
    </rfmt>
    <rfmt sheetId="2" sqref="EE765" start="0" length="0">
      <dxf/>
    </rfmt>
    <rfmt sheetId="2" sqref="EF765" start="0" length="0">
      <dxf/>
    </rfmt>
    <rfmt sheetId="2" sqref="EG765" start="0" length="0">
      <dxf/>
    </rfmt>
    <rfmt sheetId="2" sqref="EH765" start="0" length="0">
      <dxf/>
    </rfmt>
    <rfmt sheetId="2" sqref="EI765" start="0" length="0">
      <dxf/>
    </rfmt>
    <rfmt sheetId="2" sqref="EJ765" start="0" length="0">
      <dxf/>
    </rfmt>
    <rfmt sheetId="2" sqref="EK765" start="0" length="0">
      <dxf/>
    </rfmt>
    <rfmt sheetId="2" sqref="EL765" start="0" length="0">
      <dxf/>
    </rfmt>
    <rfmt sheetId="2" sqref="EM765" start="0" length="0">
      <dxf/>
    </rfmt>
    <rfmt sheetId="2" sqref="EN765" start="0" length="0">
      <dxf/>
    </rfmt>
    <rfmt sheetId="2" sqref="EO765" start="0" length="0">
      <dxf/>
    </rfmt>
    <rfmt sheetId="2" sqref="EP765" start="0" length="0">
      <dxf/>
    </rfmt>
    <rfmt sheetId="2" sqref="EQ765" start="0" length="0">
      <dxf/>
    </rfmt>
    <rfmt sheetId="2" sqref="ER765" start="0" length="0">
      <dxf/>
    </rfmt>
    <rfmt sheetId="2" sqref="ES765" start="0" length="0">
      <dxf/>
    </rfmt>
    <rfmt sheetId="2" sqref="ET765" start="0" length="0">
      <dxf/>
    </rfmt>
    <rfmt sheetId="2" sqref="EU765" start="0" length="0">
      <dxf/>
    </rfmt>
    <rfmt sheetId="2" sqref="EV765" start="0" length="0">
      <dxf/>
    </rfmt>
    <rfmt sheetId="2" sqref="EW765" start="0" length="0">
      <dxf/>
    </rfmt>
    <rfmt sheetId="2" sqref="EX765" start="0" length="0">
      <dxf/>
    </rfmt>
    <rfmt sheetId="2" sqref="EY765" start="0" length="0">
      <dxf/>
    </rfmt>
    <rfmt sheetId="2" sqref="EZ765" start="0" length="0">
      <dxf/>
    </rfmt>
    <rfmt sheetId="2" sqref="FA765" start="0" length="0">
      <dxf/>
    </rfmt>
    <rfmt sheetId="2" sqref="FB765" start="0" length="0">
      <dxf/>
    </rfmt>
    <rfmt sheetId="2" sqref="FC765" start="0" length="0">
      <dxf/>
    </rfmt>
    <rfmt sheetId="2" sqref="FD765" start="0" length="0">
      <dxf/>
    </rfmt>
    <rfmt sheetId="2" sqref="FE765" start="0" length="0">
      <dxf/>
    </rfmt>
    <rfmt sheetId="2" sqref="FF765" start="0" length="0">
      <dxf/>
    </rfmt>
    <rfmt sheetId="2" sqref="FG765" start="0" length="0">
      <dxf/>
    </rfmt>
    <rfmt sheetId="2" sqref="FH765" start="0" length="0">
      <dxf/>
    </rfmt>
    <rfmt sheetId="2" sqref="FI765" start="0" length="0">
      <dxf/>
    </rfmt>
    <rfmt sheetId="2" sqref="FJ765" start="0" length="0">
      <dxf/>
    </rfmt>
    <rfmt sheetId="2" sqref="FK765" start="0" length="0">
      <dxf/>
    </rfmt>
    <rfmt sheetId="2" sqref="FL765" start="0" length="0">
      <dxf/>
    </rfmt>
    <rfmt sheetId="2" sqref="FM765" start="0" length="0">
      <dxf/>
    </rfmt>
    <rfmt sheetId="2" sqref="FN765" start="0" length="0">
      <dxf/>
    </rfmt>
    <rfmt sheetId="2" sqref="FO765" start="0" length="0">
      <dxf/>
    </rfmt>
    <rfmt sheetId="2" sqref="FP765" start="0" length="0">
      <dxf/>
    </rfmt>
    <rfmt sheetId="2" sqref="FQ765" start="0" length="0">
      <dxf/>
    </rfmt>
    <rfmt sheetId="2" sqref="FR765" start="0" length="0">
      <dxf/>
    </rfmt>
    <rfmt sheetId="2" sqref="FS765" start="0" length="0">
      <dxf/>
    </rfmt>
    <rfmt sheetId="2" sqref="FT765" start="0" length="0">
      <dxf/>
    </rfmt>
    <rfmt sheetId="2" sqref="FU765" start="0" length="0">
      <dxf/>
    </rfmt>
    <rfmt sheetId="2" sqref="FV765" start="0" length="0">
      <dxf/>
    </rfmt>
    <rfmt sheetId="2" sqref="FW765" start="0" length="0">
      <dxf/>
    </rfmt>
    <rfmt sheetId="2" sqref="FX765" start="0" length="0">
      <dxf/>
    </rfmt>
    <rfmt sheetId="2" sqref="FY765" start="0" length="0">
      <dxf/>
    </rfmt>
    <rfmt sheetId="2" sqref="FZ765" start="0" length="0">
      <dxf/>
    </rfmt>
    <rfmt sheetId="2" sqref="GA765" start="0" length="0">
      <dxf/>
    </rfmt>
    <rfmt sheetId="2" sqref="GB765" start="0" length="0">
      <dxf/>
    </rfmt>
    <rfmt sheetId="2" sqref="GC765" start="0" length="0">
      <dxf/>
    </rfmt>
    <rfmt sheetId="2" sqref="GD765" start="0" length="0">
      <dxf/>
    </rfmt>
    <rfmt sheetId="2" sqref="GE765" start="0" length="0">
      <dxf/>
    </rfmt>
    <rfmt sheetId="2" sqref="GF765" start="0" length="0">
      <dxf/>
    </rfmt>
    <rfmt sheetId="2" sqref="GG765" start="0" length="0">
      <dxf/>
    </rfmt>
    <rfmt sheetId="2" sqref="GH765" start="0" length="0">
      <dxf/>
    </rfmt>
    <rfmt sheetId="2" sqref="GI765" start="0" length="0">
      <dxf/>
    </rfmt>
    <rfmt sheetId="2" sqref="GJ765" start="0" length="0">
      <dxf/>
    </rfmt>
    <rfmt sheetId="2" sqref="GK765" start="0" length="0">
      <dxf/>
    </rfmt>
    <rfmt sheetId="2" sqref="GL765" start="0" length="0">
      <dxf/>
    </rfmt>
    <rfmt sheetId="2" sqref="GM765" start="0" length="0">
      <dxf/>
    </rfmt>
    <rfmt sheetId="2" sqref="GN765" start="0" length="0">
      <dxf/>
    </rfmt>
    <rfmt sheetId="2" sqref="GO765" start="0" length="0">
      <dxf/>
    </rfmt>
    <rfmt sheetId="2" sqref="GP765" start="0" length="0">
      <dxf/>
    </rfmt>
    <rfmt sheetId="2" sqref="GQ765" start="0" length="0">
      <dxf/>
    </rfmt>
    <rfmt sheetId="2" sqref="GR765" start="0" length="0">
      <dxf/>
    </rfmt>
    <rfmt sheetId="2" sqref="GS765" start="0" length="0">
      <dxf/>
    </rfmt>
    <rfmt sheetId="2" sqref="GT765" start="0" length="0">
      <dxf/>
    </rfmt>
    <rfmt sheetId="2" sqref="GU765" start="0" length="0">
      <dxf/>
    </rfmt>
    <rfmt sheetId="2" sqref="GV765" start="0" length="0">
      <dxf/>
    </rfmt>
    <rfmt sheetId="2" sqref="GW765" start="0" length="0">
      <dxf/>
    </rfmt>
    <rfmt sheetId="2" sqref="GX765" start="0" length="0">
      <dxf/>
    </rfmt>
    <rfmt sheetId="2" sqref="GY765" start="0" length="0">
      <dxf/>
    </rfmt>
    <rfmt sheetId="2" sqref="GZ765" start="0" length="0">
      <dxf/>
    </rfmt>
    <rfmt sheetId="2" sqref="HA765" start="0" length="0">
      <dxf/>
    </rfmt>
    <rfmt sheetId="2" sqref="HB765" start="0" length="0">
      <dxf/>
    </rfmt>
    <rfmt sheetId="2" sqref="HC765" start="0" length="0">
      <dxf/>
    </rfmt>
    <rfmt sheetId="2" sqref="HD765" start="0" length="0">
      <dxf/>
    </rfmt>
    <rfmt sheetId="2" sqref="HE765" start="0" length="0">
      <dxf/>
    </rfmt>
    <rfmt sheetId="2" sqref="HF765" start="0" length="0">
      <dxf/>
    </rfmt>
    <rfmt sheetId="2" sqref="HG765" start="0" length="0">
      <dxf/>
    </rfmt>
    <rfmt sheetId="2" sqref="HH765" start="0" length="0">
      <dxf/>
    </rfmt>
    <rfmt sheetId="2" sqref="HI765" start="0" length="0">
      <dxf/>
    </rfmt>
    <rfmt sheetId="2" sqref="HJ765" start="0" length="0">
      <dxf/>
    </rfmt>
    <rfmt sheetId="2" sqref="HK765" start="0" length="0">
      <dxf/>
    </rfmt>
    <rfmt sheetId="2" sqref="HL765" start="0" length="0">
      <dxf/>
    </rfmt>
    <rfmt sheetId="2" sqref="HM765" start="0" length="0">
      <dxf/>
    </rfmt>
    <rfmt sheetId="2" sqref="HN765" start="0" length="0">
      <dxf/>
    </rfmt>
    <rfmt sheetId="2" sqref="HO765" start="0" length="0">
      <dxf/>
    </rfmt>
    <rfmt sheetId="2" sqref="HP765" start="0" length="0">
      <dxf/>
    </rfmt>
    <rfmt sheetId="2" sqref="HQ765" start="0" length="0">
      <dxf/>
    </rfmt>
    <rfmt sheetId="2" sqref="HR765" start="0" length="0">
      <dxf/>
    </rfmt>
    <rfmt sheetId="2" sqref="HS765" start="0" length="0">
      <dxf/>
    </rfmt>
    <rfmt sheetId="2" sqref="HT765" start="0" length="0">
      <dxf/>
    </rfmt>
    <rfmt sheetId="2" sqref="HU765" start="0" length="0">
      <dxf/>
    </rfmt>
    <rfmt sheetId="2" sqref="HV765" start="0" length="0">
      <dxf/>
    </rfmt>
    <rfmt sheetId="2" sqref="HW765" start="0" length="0">
      <dxf/>
    </rfmt>
    <rfmt sheetId="2" sqref="HX765" start="0" length="0">
      <dxf/>
    </rfmt>
    <rfmt sheetId="2" sqref="HY765" start="0" length="0">
      <dxf/>
    </rfmt>
    <rfmt sheetId="2" sqref="HZ765" start="0" length="0">
      <dxf/>
    </rfmt>
    <rfmt sheetId="2" sqref="IA765" start="0" length="0">
      <dxf/>
    </rfmt>
    <rfmt sheetId="2" sqref="IB765" start="0" length="0">
      <dxf/>
    </rfmt>
    <rfmt sheetId="2" sqref="IC765" start="0" length="0">
      <dxf/>
    </rfmt>
    <rfmt sheetId="2" sqref="ID765" start="0" length="0">
      <dxf/>
    </rfmt>
    <rfmt sheetId="2" sqref="IE765" start="0" length="0">
      <dxf/>
    </rfmt>
    <rfmt sheetId="2" sqref="IF765" start="0" length="0">
      <dxf/>
    </rfmt>
    <rfmt sheetId="2" sqref="IG765" start="0" length="0">
      <dxf/>
    </rfmt>
    <rfmt sheetId="2" sqref="IH765" start="0" length="0">
      <dxf/>
    </rfmt>
    <rfmt sheetId="2" sqref="II765" start="0" length="0">
      <dxf/>
    </rfmt>
    <rfmt sheetId="2" sqref="IJ765" start="0" length="0">
      <dxf/>
    </rfmt>
    <rfmt sheetId="2" sqref="IK765" start="0" length="0">
      <dxf/>
    </rfmt>
    <rfmt sheetId="2" sqref="IL765" start="0" length="0">
      <dxf/>
    </rfmt>
    <rfmt sheetId="2" sqref="IM765" start="0" length="0">
      <dxf/>
    </rfmt>
    <rfmt sheetId="2" sqref="IN765" start="0" length="0">
      <dxf/>
    </rfmt>
    <rfmt sheetId="2" sqref="IO765" start="0" length="0">
      <dxf/>
    </rfmt>
    <rfmt sheetId="2" sqref="IP765" start="0" length="0">
      <dxf/>
    </rfmt>
    <rfmt sheetId="2" sqref="IQ765" start="0" length="0">
      <dxf/>
    </rfmt>
    <rfmt sheetId="2" sqref="IR765" start="0" length="0">
      <dxf/>
    </rfmt>
    <rfmt sheetId="2" sqref="IS765" start="0" length="0">
      <dxf/>
    </rfmt>
    <rfmt sheetId="2" sqref="IT765" start="0" length="0">
      <dxf/>
    </rfmt>
    <rfmt sheetId="2" sqref="IU765" start="0" length="0">
      <dxf/>
    </rfmt>
    <rfmt sheetId="2" sqref="IV765" start="0" length="0">
      <dxf/>
    </rfmt>
    <rfmt sheetId="2" sqref="IW765" start="0" length="0">
      <dxf/>
    </rfmt>
    <rfmt sheetId="2" sqref="IX765" start="0" length="0">
      <dxf/>
    </rfmt>
    <rfmt sheetId="2" sqref="IY765" start="0" length="0">
      <dxf/>
    </rfmt>
    <rfmt sheetId="2" sqref="IZ765" start="0" length="0">
      <dxf/>
    </rfmt>
    <rfmt sheetId="2" sqref="JA765" start="0" length="0">
      <dxf/>
    </rfmt>
    <rfmt sheetId="2" sqref="JB765" start="0" length="0">
      <dxf/>
    </rfmt>
    <rfmt sheetId="2" sqref="JC765" start="0" length="0">
      <dxf/>
    </rfmt>
    <rfmt sheetId="2" sqref="JD765" start="0" length="0">
      <dxf/>
    </rfmt>
    <rfmt sheetId="2" sqref="JE765" start="0" length="0">
      <dxf/>
    </rfmt>
    <rfmt sheetId="2" sqref="JF765" start="0" length="0">
      <dxf/>
    </rfmt>
    <rfmt sheetId="2" sqref="JG765" start="0" length="0">
      <dxf/>
    </rfmt>
    <rfmt sheetId="2" sqref="JH765" start="0" length="0">
      <dxf/>
    </rfmt>
    <rfmt sheetId="2" sqref="JI765" start="0" length="0">
      <dxf/>
    </rfmt>
    <rfmt sheetId="2" sqref="JJ765" start="0" length="0">
      <dxf/>
    </rfmt>
    <rfmt sheetId="2" sqref="JK765" start="0" length="0">
      <dxf/>
    </rfmt>
    <rfmt sheetId="2" sqref="JL765" start="0" length="0">
      <dxf/>
    </rfmt>
    <rfmt sheetId="2" sqref="JM765" start="0" length="0">
      <dxf/>
    </rfmt>
    <rfmt sheetId="2" sqref="JN765" start="0" length="0">
      <dxf/>
    </rfmt>
    <rfmt sheetId="2" sqref="JO765" start="0" length="0">
      <dxf/>
    </rfmt>
    <rfmt sheetId="2" sqref="JP765" start="0" length="0">
      <dxf/>
    </rfmt>
    <rfmt sheetId="2" sqref="JQ765" start="0" length="0">
      <dxf/>
    </rfmt>
    <rfmt sheetId="2" sqref="JR765" start="0" length="0">
      <dxf/>
    </rfmt>
    <rfmt sheetId="2" sqref="JS765" start="0" length="0">
      <dxf/>
    </rfmt>
    <rfmt sheetId="2" sqref="JT765" start="0" length="0">
      <dxf/>
    </rfmt>
    <rfmt sheetId="2" sqref="JU765" start="0" length="0">
      <dxf/>
    </rfmt>
    <rfmt sheetId="2" sqref="JV765" start="0" length="0">
      <dxf/>
    </rfmt>
    <rfmt sheetId="2" sqref="JW765" start="0" length="0">
      <dxf/>
    </rfmt>
    <rfmt sheetId="2" sqref="JX765" start="0" length="0">
      <dxf/>
    </rfmt>
    <rfmt sheetId="2" sqref="JY765" start="0" length="0">
      <dxf/>
    </rfmt>
    <rfmt sheetId="2" sqref="JZ765" start="0" length="0">
      <dxf/>
    </rfmt>
    <rfmt sheetId="2" sqref="KA765" start="0" length="0">
      <dxf/>
    </rfmt>
    <rfmt sheetId="2" sqref="KB765" start="0" length="0">
      <dxf/>
    </rfmt>
    <rfmt sheetId="2" sqref="KC765" start="0" length="0">
      <dxf/>
    </rfmt>
    <rfmt sheetId="2" sqref="KD765" start="0" length="0">
      <dxf/>
    </rfmt>
    <rfmt sheetId="2" sqref="KE765" start="0" length="0">
      <dxf/>
    </rfmt>
    <rfmt sheetId="2" sqref="KF765" start="0" length="0">
      <dxf/>
    </rfmt>
    <rfmt sheetId="2" sqref="KG765" start="0" length="0">
      <dxf/>
    </rfmt>
    <rfmt sheetId="2" sqref="KH765" start="0" length="0">
      <dxf/>
    </rfmt>
    <rfmt sheetId="2" sqref="KI765" start="0" length="0">
      <dxf/>
    </rfmt>
    <rfmt sheetId="2" sqref="KJ765" start="0" length="0">
      <dxf/>
    </rfmt>
    <rfmt sheetId="2" sqref="KK765" start="0" length="0">
      <dxf/>
    </rfmt>
    <rfmt sheetId="2" sqref="KL765" start="0" length="0">
      <dxf/>
    </rfmt>
    <rfmt sheetId="2" sqref="KM765" start="0" length="0">
      <dxf/>
    </rfmt>
    <rfmt sheetId="2" sqref="KN765" start="0" length="0">
      <dxf/>
    </rfmt>
    <rfmt sheetId="2" sqref="KO765" start="0" length="0">
      <dxf/>
    </rfmt>
    <rfmt sheetId="2" sqref="KP765" start="0" length="0">
      <dxf/>
    </rfmt>
    <rfmt sheetId="2" sqref="KQ765" start="0" length="0">
      <dxf/>
    </rfmt>
    <rfmt sheetId="2" sqref="KR765" start="0" length="0">
      <dxf/>
    </rfmt>
    <rfmt sheetId="2" sqref="KS765" start="0" length="0">
      <dxf/>
    </rfmt>
    <rfmt sheetId="2" sqref="KT765" start="0" length="0">
      <dxf/>
    </rfmt>
    <rfmt sheetId="2" sqref="KU765" start="0" length="0">
      <dxf/>
    </rfmt>
    <rfmt sheetId="2" sqref="KV765" start="0" length="0">
      <dxf/>
    </rfmt>
    <rfmt sheetId="2" sqref="KW765" start="0" length="0">
      <dxf/>
    </rfmt>
    <rfmt sheetId="2" sqref="KX765" start="0" length="0">
      <dxf/>
    </rfmt>
    <rfmt sheetId="2" sqref="KY765" start="0" length="0">
      <dxf/>
    </rfmt>
    <rfmt sheetId="2" sqref="KZ765" start="0" length="0">
      <dxf/>
    </rfmt>
    <rfmt sheetId="2" sqref="LA765" start="0" length="0">
      <dxf/>
    </rfmt>
    <rfmt sheetId="2" sqref="LB765" start="0" length="0">
      <dxf/>
    </rfmt>
    <rfmt sheetId="2" sqref="LC765" start="0" length="0">
      <dxf/>
    </rfmt>
    <rfmt sheetId="2" sqref="LD765" start="0" length="0">
      <dxf/>
    </rfmt>
    <rfmt sheetId="2" sqref="LE765" start="0" length="0">
      <dxf/>
    </rfmt>
    <rfmt sheetId="2" sqref="LF765" start="0" length="0">
      <dxf/>
    </rfmt>
    <rfmt sheetId="2" sqref="LG765" start="0" length="0">
      <dxf/>
    </rfmt>
    <rfmt sheetId="2" sqref="LH765" start="0" length="0">
      <dxf/>
    </rfmt>
    <rfmt sheetId="2" sqref="LI765" start="0" length="0">
      <dxf/>
    </rfmt>
    <rfmt sheetId="2" sqref="LJ765" start="0" length="0">
      <dxf/>
    </rfmt>
    <rfmt sheetId="2" sqref="LK765" start="0" length="0">
      <dxf/>
    </rfmt>
    <rfmt sheetId="2" sqref="LL765" start="0" length="0">
      <dxf/>
    </rfmt>
    <rfmt sheetId="2" sqref="LM765" start="0" length="0">
      <dxf/>
    </rfmt>
    <rfmt sheetId="2" sqref="LN765" start="0" length="0">
      <dxf/>
    </rfmt>
    <rfmt sheetId="2" sqref="LO765" start="0" length="0">
      <dxf/>
    </rfmt>
    <rfmt sheetId="2" sqref="LP765" start="0" length="0">
      <dxf/>
    </rfmt>
    <rfmt sheetId="2" sqref="LQ765" start="0" length="0">
      <dxf/>
    </rfmt>
    <rfmt sheetId="2" sqref="LR765" start="0" length="0">
      <dxf/>
    </rfmt>
    <rfmt sheetId="2" sqref="LS765" start="0" length="0">
      <dxf/>
    </rfmt>
    <rfmt sheetId="2" sqref="LT765" start="0" length="0">
      <dxf/>
    </rfmt>
    <rfmt sheetId="2" sqref="LU765" start="0" length="0">
      <dxf/>
    </rfmt>
    <rfmt sheetId="2" sqref="LV765" start="0" length="0">
      <dxf/>
    </rfmt>
    <rfmt sheetId="2" sqref="LW765" start="0" length="0">
      <dxf/>
    </rfmt>
    <rfmt sheetId="2" sqref="LX765" start="0" length="0">
      <dxf/>
    </rfmt>
    <rfmt sheetId="2" sqref="LY765" start="0" length="0">
      <dxf/>
    </rfmt>
    <rfmt sheetId="2" sqref="LZ765" start="0" length="0">
      <dxf/>
    </rfmt>
    <rfmt sheetId="2" sqref="MA765" start="0" length="0">
      <dxf/>
    </rfmt>
    <rfmt sheetId="2" sqref="MB765" start="0" length="0">
      <dxf/>
    </rfmt>
  </rrc>
  <rrc rId="1715" sId="2" ref="A765:XFD765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5:XFD765" start="0" length="0">
      <dxf>
        <font>
          <sz val="10"/>
          <name val="Arial"/>
          <scheme val="none"/>
        </font>
        <alignment horizontal="center" readingOrder="0"/>
      </dxf>
    </rfmt>
    <rfmt sheetId="2" sqref="A76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5" start="0" length="0">
      <dxf>
        <numFmt numFmtId="176" formatCode="m/d;@"/>
      </dxf>
    </rfmt>
    <rfmt sheetId="2" sqref="P76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5" start="0" length="0">
      <dxf/>
    </rfmt>
    <rfmt sheetId="2" sqref="U765" start="0" length="0">
      <dxf/>
    </rfmt>
    <rfmt sheetId="2" sqref="V765" start="0" length="0">
      <dxf/>
    </rfmt>
    <rfmt sheetId="2" sqref="W765" start="0" length="0">
      <dxf/>
    </rfmt>
    <rfmt sheetId="2" sqref="X765" start="0" length="0">
      <dxf/>
    </rfmt>
    <rfmt sheetId="2" sqref="Y765" start="0" length="0">
      <dxf/>
    </rfmt>
    <rfmt sheetId="2" sqref="Z765" start="0" length="0">
      <dxf/>
    </rfmt>
    <rfmt sheetId="2" sqref="AA765" start="0" length="0">
      <dxf/>
    </rfmt>
    <rfmt sheetId="2" sqref="AB765" start="0" length="0">
      <dxf/>
    </rfmt>
    <rfmt sheetId="2" sqref="AC765" start="0" length="0">
      <dxf/>
    </rfmt>
    <rfmt sheetId="2" sqref="AD765" start="0" length="0">
      <dxf/>
    </rfmt>
    <rfmt sheetId="2" sqref="AE765" start="0" length="0">
      <dxf/>
    </rfmt>
    <rfmt sheetId="2" sqref="AF765" start="0" length="0">
      <dxf/>
    </rfmt>
    <rfmt sheetId="2" sqref="AG765" start="0" length="0">
      <dxf/>
    </rfmt>
    <rfmt sheetId="2" sqref="AH765" start="0" length="0">
      <dxf/>
    </rfmt>
    <rfmt sheetId="2" sqref="AI765" start="0" length="0">
      <dxf/>
    </rfmt>
    <rfmt sheetId="2" sqref="AJ765" start="0" length="0">
      <dxf/>
    </rfmt>
    <rfmt sheetId="2" sqref="AK765" start="0" length="0">
      <dxf/>
    </rfmt>
    <rfmt sheetId="2" sqref="AL765" start="0" length="0">
      <dxf/>
    </rfmt>
    <rfmt sheetId="2" sqref="AM765" start="0" length="0">
      <dxf/>
    </rfmt>
    <rfmt sheetId="2" sqref="AN765" start="0" length="0">
      <dxf/>
    </rfmt>
    <rfmt sheetId="2" sqref="AO765" start="0" length="0">
      <dxf/>
    </rfmt>
    <rfmt sheetId="2" sqref="AP765" start="0" length="0">
      <dxf/>
    </rfmt>
    <rfmt sheetId="2" sqref="AQ765" start="0" length="0">
      <dxf/>
    </rfmt>
    <rfmt sheetId="2" sqref="AR765" start="0" length="0">
      <dxf/>
    </rfmt>
    <rfmt sheetId="2" sqref="AS765" start="0" length="0">
      <dxf/>
    </rfmt>
    <rfmt sheetId="2" sqref="AT765" start="0" length="0">
      <dxf/>
    </rfmt>
    <rfmt sheetId="2" sqref="AU765" start="0" length="0">
      <dxf/>
    </rfmt>
    <rfmt sheetId="2" sqref="AV765" start="0" length="0">
      <dxf/>
    </rfmt>
    <rfmt sheetId="2" sqref="AW765" start="0" length="0">
      <dxf/>
    </rfmt>
    <rfmt sheetId="2" sqref="AX765" start="0" length="0">
      <dxf/>
    </rfmt>
    <rfmt sheetId="2" sqref="AY765" start="0" length="0">
      <dxf/>
    </rfmt>
    <rfmt sheetId="2" sqref="AZ765" start="0" length="0">
      <dxf/>
    </rfmt>
    <rfmt sheetId="2" sqref="BA765" start="0" length="0">
      <dxf/>
    </rfmt>
    <rfmt sheetId="2" sqref="BB765" start="0" length="0">
      <dxf/>
    </rfmt>
    <rfmt sheetId="2" sqref="BC765" start="0" length="0">
      <dxf/>
    </rfmt>
    <rfmt sheetId="2" sqref="BD765" start="0" length="0">
      <dxf/>
    </rfmt>
    <rfmt sheetId="2" sqref="BE765" start="0" length="0">
      <dxf/>
    </rfmt>
    <rfmt sheetId="2" sqref="BF765" start="0" length="0">
      <dxf/>
    </rfmt>
    <rfmt sheetId="2" sqref="BG765" start="0" length="0">
      <dxf/>
    </rfmt>
    <rfmt sheetId="2" sqref="BH765" start="0" length="0">
      <dxf/>
    </rfmt>
    <rfmt sheetId="2" sqref="BI765" start="0" length="0">
      <dxf/>
    </rfmt>
    <rfmt sheetId="2" sqref="BJ765" start="0" length="0">
      <dxf/>
    </rfmt>
    <rfmt sheetId="2" sqref="BK765" start="0" length="0">
      <dxf/>
    </rfmt>
    <rfmt sheetId="2" sqref="BL765" start="0" length="0">
      <dxf/>
    </rfmt>
    <rfmt sheetId="2" sqref="BM765" start="0" length="0">
      <dxf/>
    </rfmt>
    <rfmt sheetId="2" sqref="BN765" start="0" length="0">
      <dxf/>
    </rfmt>
    <rfmt sheetId="2" sqref="BO765" start="0" length="0">
      <dxf/>
    </rfmt>
    <rfmt sheetId="2" sqref="BP765" start="0" length="0">
      <dxf/>
    </rfmt>
    <rfmt sheetId="2" sqref="BQ765" start="0" length="0">
      <dxf/>
    </rfmt>
    <rfmt sheetId="2" sqref="BR765" start="0" length="0">
      <dxf/>
    </rfmt>
    <rfmt sheetId="2" sqref="BS765" start="0" length="0">
      <dxf/>
    </rfmt>
    <rfmt sheetId="2" sqref="BT765" start="0" length="0">
      <dxf/>
    </rfmt>
    <rfmt sheetId="2" sqref="BU765" start="0" length="0">
      <dxf/>
    </rfmt>
    <rfmt sheetId="2" sqref="BV765" start="0" length="0">
      <dxf/>
    </rfmt>
    <rfmt sheetId="2" sqref="BW765" start="0" length="0">
      <dxf/>
    </rfmt>
    <rfmt sheetId="2" sqref="BX765" start="0" length="0">
      <dxf/>
    </rfmt>
    <rfmt sheetId="2" sqref="BY765" start="0" length="0">
      <dxf/>
    </rfmt>
    <rfmt sheetId="2" sqref="BZ765" start="0" length="0">
      <dxf/>
    </rfmt>
    <rfmt sheetId="2" sqref="CA765" start="0" length="0">
      <dxf/>
    </rfmt>
    <rfmt sheetId="2" sqref="CB765" start="0" length="0">
      <dxf/>
    </rfmt>
    <rfmt sheetId="2" sqref="CC765" start="0" length="0">
      <dxf/>
    </rfmt>
    <rfmt sheetId="2" sqref="CD765" start="0" length="0">
      <dxf/>
    </rfmt>
    <rfmt sheetId="2" sqref="CE765" start="0" length="0">
      <dxf/>
    </rfmt>
    <rfmt sheetId="2" sqref="CF765" start="0" length="0">
      <dxf/>
    </rfmt>
    <rfmt sheetId="2" sqref="CG765" start="0" length="0">
      <dxf/>
    </rfmt>
    <rfmt sheetId="2" sqref="CH765" start="0" length="0">
      <dxf/>
    </rfmt>
    <rfmt sheetId="2" sqref="CI765" start="0" length="0">
      <dxf/>
    </rfmt>
    <rfmt sheetId="2" sqref="CJ765" start="0" length="0">
      <dxf/>
    </rfmt>
    <rfmt sheetId="2" sqref="CK765" start="0" length="0">
      <dxf/>
    </rfmt>
    <rfmt sheetId="2" sqref="CL765" start="0" length="0">
      <dxf/>
    </rfmt>
    <rfmt sheetId="2" sqref="CM765" start="0" length="0">
      <dxf/>
    </rfmt>
    <rfmt sheetId="2" sqref="CN765" start="0" length="0">
      <dxf/>
    </rfmt>
    <rfmt sheetId="2" sqref="CO765" start="0" length="0">
      <dxf/>
    </rfmt>
    <rfmt sheetId="2" sqref="CP765" start="0" length="0">
      <dxf/>
    </rfmt>
    <rfmt sheetId="2" sqref="CQ765" start="0" length="0">
      <dxf/>
    </rfmt>
    <rfmt sheetId="2" sqref="CR765" start="0" length="0">
      <dxf/>
    </rfmt>
    <rfmt sheetId="2" sqref="CS765" start="0" length="0">
      <dxf/>
    </rfmt>
    <rfmt sheetId="2" sqref="CT765" start="0" length="0">
      <dxf/>
    </rfmt>
    <rfmt sheetId="2" sqref="CU765" start="0" length="0">
      <dxf/>
    </rfmt>
    <rfmt sheetId="2" sqref="CV765" start="0" length="0">
      <dxf/>
    </rfmt>
    <rfmt sheetId="2" sqref="CW765" start="0" length="0">
      <dxf/>
    </rfmt>
    <rfmt sheetId="2" sqref="CX765" start="0" length="0">
      <dxf/>
    </rfmt>
    <rfmt sheetId="2" sqref="CY765" start="0" length="0">
      <dxf/>
    </rfmt>
    <rfmt sheetId="2" sqref="CZ765" start="0" length="0">
      <dxf/>
    </rfmt>
    <rfmt sheetId="2" sqref="DA765" start="0" length="0">
      <dxf/>
    </rfmt>
    <rfmt sheetId="2" sqref="DB765" start="0" length="0">
      <dxf/>
    </rfmt>
    <rfmt sheetId="2" sqref="DC765" start="0" length="0">
      <dxf/>
    </rfmt>
    <rfmt sheetId="2" sqref="DD765" start="0" length="0">
      <dxf/>
    </rfmt>
    <rfmt sheetId="2" sqref="DE765" start="0" length="0">
      <dxf/>
    </rfmt>
    <rfmt sheetId="2" sqref="DF765" start="0" length="0">
      <dxf/>
    </rfmt>
    <rfmt sheetId="2" sqref="DG765" start="0" length="0">
      <dxf/>
    </rfmt>
    <rfmt sheetId="2" sqref="DH765" start="0" length="0">
      <dxf/>
    </rfmt>
    <rfmt sheetId="2" sqref="DI765" start="0" length="0">
      <dxf/>
    </rfmt>
    <rfmt sheetId="2" sqref="DJ765" start="0" length="0">
      <dxf/>
    </rfmt>
    <rfmt sheetId="2" sqref="DK765" start="0" length="0">
      <dxf/>
    </rfmt>
    <rfmt sheetId="2" sqref="DL765" start="0" length="0">
      <dxf/>
    </rfmt>
    <rfmt sheetId="2" sqref="DM765" start="0" length="0">
      <dxf/>
    </rfmt>
    <rfmt sheetId="2" sqref="DN765" start="0" length="0">
      <dxf/>
    </rfmt>
    <rfmt sheetId="2" sqref="DO765" start="0" length="0">
      <dxf/>
    </rfmt>
    <rfmt sheetId="2" sqref="DP765" start="0" length="0">
      <dxf/>
    </rfmt>
    <rfmt sheetId="2" sqref="DQ765" start="0" length="0">
      <dxf/>
    </rfmt>
    <rfmt sheetId="2" sqref="DR765" start="0" length="0">
      <dxf/>
    </rfmt>
    <rfmt sheetId="2" sqref="DS765" start="0" length="0">
      <dxf/>
    </rfmt>
    <rfmt sheetId="2" sqref="DT765" start="0" length="0">
      <dxf/>
    </rfmt>
    <rfmt sheetId="2" sqref="DU765" start="0" length="0">
      <dxf/>
    </rfmt>
    <rfmt sheetId="2" sqref="DV765" start="0" length="0">
      <dxf/>
    </rfmt>
    <rfmt sheetId="2" sqref="DW765" start="0" length="0">
      <dxf/>
    </rfmt>
    <rfmt sheetId="2" sqref="DX765" start="0" length="0">
      <dxf/>
    </rfmt>
    <rfmt sheetId="2" sqref="DY765" start="0" length="0">
      <dxf/>
    </rfmt>
    <rfmt sheetId="2" sqref="DZ765" start="0" length="0">
      <dxf/>
    </rfmt>
    <rfmt sheetId="2" sqref="EA765" start="0" length="0">
      <dxf/>
    </rfmt>
    <rfmt sheetId="2" sqref="EB765" start="0" length="0">
      <dxf/>
    </rfmt>
    <rfmt sheetId="2" sqref="EC765" start="0" length="0">
      <dxf/>
    </rfmt>
    <rfmt sheetId="2" sqref="ED765" start="0" length="0">
      <dxf/>
    </rfmt>
    <rfmt sheetId="2" sqref="EE765" start="0" length="0">
      <dxf/>
    </rfmt>
    <rfmt sheetId="2" sqref="EF765" start="0" length="0">
      <dxf/>
    </rfmt>
    <rfmt sheetId="2" sqref="EG765" start="0" length="0">
      <dxf/>
    </rfmt>
    <rfmt sheetId="2" sqref="EH765" start="0" length="0">
      <dxf/>
    </rfmt>
    <rfmt sheetId="2" sqref="EI765" start="0" length="0">
      <dxf/>
    </rfmt>
    <rfmt sheetId="2" sqref="EJ765" start="0" length="0">
      <dxf/>
    </rfmt>
    <rfmt sheetId="2" sqref="EK765" start="0" length="0">
      <dxf/>
    </rfmt>
    <rfmt sheetId="2" sqref="EL765" start="0" length="0">
      <dxf/>
    </rfmt>
    <rfmt sheetId="2" sqref="EM765" start="0" length="0">
      <dxf/>
    </rfmt>
    <rfmt sheetId="2" sqref="EN765" start="0" length="0">
      <dxf/>
    </rfmt>
    <rfmt sheetId="2" sqref="EO765" start="0" length="0">
      <dxf/>
    </rfmt>
    <rfmt sheetId="2" sqref="EP765" start="0" length="0">
      <dxf/>
    </rfmt>
    <rfmt sheetId="2" sqref="EQ765" start="0" length="0">
      <dxf/>
    </rfmt>
    <rfmt sheetId="2" sqref="ER765" start="0" length="0">
      <dxf/>
    </rfmt>
    <rfmt sheetId="2" sqref="ES765" start="0" length="0">
      <dxf/>
    </rfmt>
    <rfmt sheetId="2" sqref="ET765" start="0" length="0">
      <dxf/>
    </rfmt>
    <rfmt sheetId="2" sqref="EU765" start="0" length="0">
      <dxf/>
    </rfmt>
    <rfmt sheetId="2" sqref="EV765" start="0" length="0">
      <dxf/>
    </rfmt>
    <rfmt sheetId="2" sqref="EW765" start="0" length="0">
      <dxf/>
    </rfmt>
    <rfmt sheetId="2" sqref="EX765" start="0" length="0">
      <dxf/>
    </rfmt>
    <rfmt sheetId="2" sqref="EY765" start="0" length="0">
      <dxf/>
    </rfmt>
    <rfmt sheetId="2" sqref="EZ765" start="0" length="0">
      <dxf/>
    </rfmt>
    <rfmt sheetId="2" sqref="FA765" start="0" length="0">
      <dxf/>
    </rfmt>
    <rfmt sheetId="2" sqref="FB765" start="0" length="0">
      <dxf/>
    </rfmt>
    <rfmt sheetId="2" sqref="FC765" start="0" length="0">
      <dxf/>
    </rfmt>
    <rfmt sheetId="2" sqref="FD765" start="0" length="0">
      <dxf/>
    </rfmt>
    <rfmt sheetId="2" sqref="FE765" start="0" length="0">
      <dxf/>
    </rfmt>
    <rfmt sheetId="2" sqref="FF765" start="0" length="0">
      <dxf/>
    </rfmt>
    <rfmt sheetId="2" sqref="FG765" start="0" length="0">
      <dxf/>
    </rfmt>
    <rfmt sheetId="2" sqref="FH765" start="0" length="0">
      <dxf/>
    </rfmt>
    <rfmt sheetId="2" sqref="FI765" start="0" length="0">
      <dxf/>
    </rfmt>
    <rfmt sheetId="2" sqref="FJ765" start="0" length="0">
      <dxf/>
    </rfmt>
    <rfmt sheetId="2" sqref="FK765" start="0" length="0">
      <dxf/>
    </rfmt>
    <rfmt sheetId="2" sqref="FL765" start="0" length="0">
      <dxf/>
    </rfmt>
    <rfmt sheetId="2" sqref="FM765" start="0" length="0">
      <dxf/>
    </rfmt>
    <rfmt sheetId="2" sqref="FN765" start="0" length="0">
      <dxf/>
    </rfmt>
    <rfmt sheetId="2" sqref="FO765" start="0" length="0">
      <dxf/>
    </rfmt>
    <rfmt sheetId="2" sqref="FP765" start="0" length="0">
      <dxf/>
    </rfmt>
    <rfmt sheetId="2" sqref="FQ765" start="0" length="0">
      <dxf/>
    </rfmt>
    <rfmt sheetId="2" sqref="FR765" start="0" length="0">
      <dxf/>
    </rfmt>
    <rfmt sheetId="2" sqref="FS765" start="0" length="0">
      <dxf/>
    </rfmt>
    <rfmt sheetId="2" sqref="FT765" start="0" length="0">
      <dxf/>
    </rfmt>
    <rfmt sheetId="2" sqref="FU765" start="0" length="0">
      <dxf/>
    </rfmt>
    <rfmt sheetId="2" sqref="FV765" start="0" length="0">
      <dxf/>
    </rfmt>
    <rfmt sheetId="2" sqref="FW765" start="0" length="0">
      <dxf/>
    </rfmt>
    <rfmt sheetId="2" sqref="FX765" start="0" length="0">
      <dxf/>
    </rfmt>
    <rfmt sheetId="2" sqref="FY765" start="0" length="0">
      <dxf/>
    </rfmt>
    <rfmt sheetId="2" sqref="FZ765" start="0" length="0">
      <dxf/>
    </rfmt>
    <rfmt sheetId="2" sqref="GA765" start="0" length="0">
      <dxf/>
    </rfmt>
    <rfmt sheetId="2" sqref="GB765" start="0" length="0">
      <dxf/>
    </rfmt>
    <rfmt sheetId="2" sqref="GC765" start="0" length="0">
      <dxf/>
    </rfmt>
    <rfmt sheetId="2" sqref="GD765" start="0" length="0">
      <dxf/>
    </rfmt>
    <rfmt sheetId="2" sqref="GE765" start="0" length="0">
      <dxf/>
    </rfmt>
    <rfmt sheetId="2" sqref="GF765" start="0" length="0">
      <dxf/>
    </rfmt>
    <rfmt sheetId="2" sqref="GG765" start="0" length="0">
      <dxf/>
    </rfmt>
    <rfmt sheetId="2" sqref="GH765" start="0" length="0">
      <dxf/>
    </rfmt>
    <rfmt sheetId="2" sqref="GI765" start="0" length="0">
      <dxf/>
    </rfmt>
    <rfmt sheetId="2" sqref="GJ765" start="0" length="0">
      <dxf/>
    </rfmt>
    <rfmt sheetId="2" sqref="GK765" start="0" length="0">
      <dxf/>
    </rfmt>
    <rfmt sheetId="2" sqref="GL765" start="0" length="0">
      <dxf/>
    </rfmt>
    <rfmt sheetId="2" sqref="GM765" start="0" length="0">
      <dxf/>
    </rfmt>
    <rfmt sheetId="2" sqref="GN765" start="0" length="0">
      <dxf/>
    </rfmt>
    <rfmt sheetId="2" sqref="GO765" start="0" length="0">
      <dxf/>
    </rfmt>
    <rfmt sheetId="2" sqref="GP765" start="0" length="0">
      <dxf/>
    </rfmt>
    <rfmt sheetId="2" sqref="GQ765" start="0" length="0">
      <dxf/>
    </rfmt>
    <rfmt sheetId="2" sqref="GR765" start="0" length="0">
      <dxf/>
    </rfmt>
    <rfmt sheetId="2" sqref="GS765" start="0" length="0">
      <dxf/>
    </rfmt>
    <rfmt sheetId="2" sqref="GT765" start="0" length="0">
      <dxf/>
    </rfmt>
    <rfmt sheetId="2" sqref="GU765" start="0" length="0">
      <dxf/>
    </rfmt>
    <rfmt sheetId="2" sqref="GV765" start="0" length="0">
      <dxf/>
    </rfmt>
    <rfmt sheetId="2" sqref="GW765" start="0" length="0">
      <dxf/>
    </rfmt>
    <rfmt sheetId="2" sqref="GX765" start="0" length="0">
      <dxf/>
    </rfmt>
    <rfmt sheetId="2" sqref="GY765" start="0" length="0">
      <dxf/>
    </rfmt>
    <rfmt sheetId="2" sqref="GZ765" start="0" length="0">
      <dxf/>
    </rfmt>
    <rfmt sheetId="2" sqref="HA765" start="0" length="0">
      <dxf/>
    </rfmt>
    <rfmt sheetId="2" sqref="HB765" start="0" length="0">
      <dxf/>
    </rfmt>
    <rfmt sheetId="2" sqref="HC765" start="0" length="0">
      <dxf/>
    </rfmt>
    <rfmt sheetId="2" sqref="HD765" start="0" length="0">
      <dxf/>
    </rfmt>
    <rfmt sheetId="2" sqref="HE765" start="0" length="0">
      <dxf/>
    </rfmt>
    <rfmt sheetId="2" sqref="HF765" start="0" length="0">
      <dxf/>
    </rfmt>
    <rfmt sheetId="2" sqref="HG765" start="0" length="0">
      <dxf/>
    </rfmt>
    <rfmt sheetId="2" sqref="HH765" start="0" length="0">
      <dxf/>
    </rfmt>
    <rfmt sheetId="2" sqref="HI765" start="0" length="0">
      <dxf/>
    </rfmt>
    <rfmt sheetId="2" sqref="HJ765" start="0" length="0">
      <dxf/>
    </rfmt>
    <rfmt sheetId="2" sqref="HK765" start="0" length="0">
      <dxf/>
    </rfmt>
    <rfmt sheetId="2" sqref="HL765" start="0" length="0">
      <dxf/>
    </rfmt>
    <rfmt sheetId="2" sqref="HM765" start="0" length="0">
      <dxf/>
    </rfmt>
    <rfmt sheetId="2" sqref="HN765" start="0" length="0">
      <dxf/>
    </rfmt>
    <rfmt sheetId="2" sqref="HO765" start="0" length="0">
      <dxf/>
    </rfmt>
    <rfmt sheetId="2" sqref="HP765" start="0" length="0">
      <dxf/>
    </rfmt>
    <rfmt sheetId="2" sqref="HQ765" start="0" length="0">
      <dxf/>
    </rfmt>
    <rfmt sheetId="2" sqref="HR765" start="0" length="0">
      <dxf/>
    </rfmt>
    <rfmt sheetId="2" sqref="HS765" start="0" length="0">
      <dxf/>
    </rfmt>
    <rfmt sheetId="2" sqref="HT765" start="0" length="0">
      <dxf/>
    </rfmt>
    <rfmt sheetId="2" sqref="HU765" start="0" length="0">
      <dxf/>
    </rfmt>
    <rfmt sheetId="2" sqref="HV765" start="0" length="0">
      <dxf/>
    </rfmt>
    <rfmt sheetId="2" sqref="HW765" start="0" length="0">
      <dxf/>
    </rfmt>
    <rfmt sheetId="2" sqref="HX765" start="0" length="0">
      <dxf/>
    </rfmt>
    <rfmt sheetId="2" sqref="HY765" start="0" length="0">
      <dxf/>
    </rfmt>
    <rfmt sheetId="2" sqref="HZ765" start="0" length="0">
      <dxf/>
    </rfmt>
    <rfmt sheetId="2" sqref="IA765" start="0" length="0">
      <dxf/>
    </rfmt>
    <rfmt sheetId="2" sqref="IB765" start="0" length="0">
      <dxf/>
    </rfmt>
    <rfmt sheetId="2" sqref="IC765" start="0" length="0">
      <dxf/>
    </rfmt>
    <rfmt sheetId="2" sqref="ID765" start="0" length="0">
      <dxf/>
    </rfmt>
    <rfmt sheetId="2" sqref="IE765" start="0" length="0">
      <dxf/>
    </rfmt>
    <rfmt sheetId="2" sqref="IF765" start="0" length="0">
      <dxf/>
    </rfmt>
    <rfmt sheetId="2" sqref="IG765" start="0" length="0">
      <dxf/>
    </rfmt>
    <rfmt sheetId="2" sqref="IH765" start="0" length="0">
      <dxf/>
    </rfmt>
    <rfmt sheetId="2" sqref="II765" start="0" length="0">
      <dxf/>
    </rfmt>
    <rfmt sheetId="2" sqref="IJ765" start="0" length="0">
      <dxf/>
    </rfmt>
    <rfmt sheetId="2" sqref="IK765" start="0" length="0">
      <dxf/>
    </rfmt>
    <rfmt sheetId="2" sqref="IL765" start="0" length="0">
      <dxf/>
    </rfmt>
    <rfmt sheetId="2" sqref="IM765" start="0" length="0">
      <dxf/>
    </rfmt>
    <rfmt sheetId="2" sqref="IN765" start="0" length="0">
      <dxf/>
    </rfmt>
    <rfmt sheetId="2" sqref="IO765" start="0" length="0">
      <dxf/>
    </rfmt>
    <rfmt sheetId="2" sqref="IP765" start="0" length="0">
      <dxf/>
    </rfmt>
    <rfmt sheetId="2" sqref="IQ765" start="0" length="0">
      <dxf/>
    </rfmt>
    <rfmt sheetId="2" sqref="IR765" start="0" length="0">
      <dxf/>
    </rfmt>
    <rfmt sheetId="2" sqref="IS765" start="0" length="0">
      <dxf/>
    </rfmt>
    <rfmt sheetId="2" sqref="IT765" start="0" length="0">
      <dxf/>
    </rfmt>
    <rfmt sheetId="2" sqref="IU765" start="0" length="0">
      <dxf/>
    </rfmt>
    <rfmt sheetId="2" sqref="IV765" start="0" length="0">
      <dxf/>
    </rfmt>
    <rfmt sheetId="2" sqref="IW765" start="0" length="0">
      <dxf/>
    </rfmt>
    <rfmt sheetId="2" sqref="IX765" start="0" length="0">
      <dxf/>
    </rfmt>
    <rfmt sheetId="2" sqref="IY765" start="0" length="0">
      <dxf/>
    </rfmt>
    <rfmt sheetId="2" sqref="IZ765" start="0" length="0">
      <dxf/>
    </rfmt>
    <rfmt sheetId="2" sqref="JA765" start="0" length="0">
      <dxf/>
    </rfmt>
    <rfmt sheetId="2" sqref="JB765" start="0" length="0">
      <dxf/>
    </rfmt>
    <rfmt sheetId="2" sqref="JC765" start="0" length="0">
      <dxf/>
    </rfmt>
    <rfmt sheetId="2" sqref="JD765" start="0" length="0">
      <dxf/>
    </rfmt>
    <rfmt sheetId="2" sqref="JE765" start="0" length="0">
      <dxf/>
    </rfmt>
    <rfmt sheetId="2" sqref="JF765" start="0" length="0">
      <dxf/>
    </rfmt>
    <rfmt sheetId="2" sqref="JG765" start="0" length="0">
      <dxf/>
    </rfmt>
    <rfmt sheetId="2" sqref="JH765" start="0" length="0">
      <dxf/>
    </rfmt>
    <rfmt sheetId="2" sqref="JI765" start="0" length="0">
      <dxf/>
    </rfmt>
    <rfmt sheetId="2" sqref="JJ765" start="0" length="0">
      <dxf/>
    </rfmt>
    <rfmt sheetId="2" sqref="JK765" start="0" length="0">
      <dxf/>
    </rfmt>
    <rfmt sheetId="2" sqref="JL765" start="0" length="0">
      <dxf/>
    </rfmt>
    <rfmt sheetId="2" sqref="JM765" start="0" length="0">
      <dxf/>
    </rfmt>
    <rfmt sheetId="2" sqref="JN765" start="0" length="0">
      <dxf/>
    </rfmt>
    <rfmt sheetId="2" sqref="JO765" start="0" length="0">
      <dxf/>
    </rfmt>
    <rfmt sheetId="2" sqref="JP765" start="0" length="0">
      <dxf/>
    </rfmt>
    <rfmt sheetId="2" sqref="JQ765" start="0" length="0">
      <dxf/>
    </rfmt>
    <rfmt sheetId="2" sqref="JR765" start="0" length="0">
      <dxf/>
    </rfmt>
    <rfmt sheetId="2" sqref="JS765" start="0" length="0">
      <dxf/>
    </rfmt>
    <rfmt sheetId="2" sqref="JT765" start="0" length="0">
      <dxf/>
    </rfmt>
    <rfmt sheetId="2" sqref="JU765" start="0" length="0">
      <dxf/>
    </rfmt>
    <rfmt sheetId="2" sqref="JV765" start="0" length="0">
      <dxf/>
    </rfmt>
    <rfmt sheetId="2" sqref="JW765" start="0" length="0">
      <dxf/>
    </rfmt>
    <rfmt sheetId="2" sqref="JX765" start="0" length="0">
      <dxf/>
    </rfmt>
    <rfmt sheetId="2" sqref="JY765" start="0" length="0">
      <dxf/>
    </rfmt>
    <rfmt sheetId="2" sqref="JZ765" start="0" length="0">
      <dxf/>
    </rfmt>
    <rfmt sheetId="2" sqref="KA765" start="0" length="0">
      <dxf/>
    </rfmt>
    <rfmt sheetId="2" sqref="KB765" start="0" length="0">
      <dxf/>
    </rfmt>
    <rfmt sheetId="2" sqref="KC765" start="0" length="0">
      <dxf/>
    </rfmt>
    <rfmt sheetId="2" sqref="KD765" start="0" length="0">
      <dxf/>
    </rfmt>
    <rfmt sheetId="2" sqref="KE765" start="0" length="0">
      <dxf/>
    </rfmt>
    <rfmt sheetId="2" sqref="KF765" start="0" length="0">
      <dxf/>
    </rfmt>
    <rfmt sheetId="2" sqref="KG765" start="0" length="0">
      <dxf/>
    </rfmt>
    <rfmt sheetId="2" sqref="KH765" start="0" length="0">
      <dxf/>
    </rfmt>
    <rfmt sheetId="2" sqref="KI765" start="0" length="0">
      <dxf/>
    </rfmt>
    <rfmt sheetId="2" sqref="KJ765" start="0" length="0">
      <dxf/>
    </rfmt>
    <rfmt sheetId="2" sqref="KK765" start="0" length="0">
      <dxf/>
    </rfmt>
    <rfmt sheetId="2" sqref="KL765" start="0" length="0">
      <dxf/>
    </rfmt>
    <rfmt sheetId="2" sqref="KM765" start="0" length="0">
      <dxf/>
    </rfmt>
    <rfmt sheetId="2" sqref="KN765" start="0" length="0">
      <dxf/>
    </rfmt>
    <rfmt sheetId="2" sqref="KO765" start="0" length="0">
      <dxf/>
    </rfmt>
    <rfmt sheetId="2" sqref="KP765" start="0" length="0">
      <dxf/>
    </rfmt>
    <rfmt sheetId="2" sqref="KQ765" start="0" length="0">
      <dxf/>
    </rfmt>
    <rfmt sheetId="2" sqref="KR765" start="0" length="0">
      <dxf/>
    </rfmt>
    <rfmt sheetId="2" sqref="KS765" start="0" length="0">
      <dxf/>
    </rfmt>
    <rfmt sheetId="2" sqref="KT765" start="0" length="0">
      <dxf/>
    </rfmt>
    <rfmt sheetId="2" sqref="KU765" start="0" length="0">
      <dxf/>
    </rfmt>
    <rfmt sheetId="2" sqref="KV765" start="0" length="0">
      <dxf/>
    </rfmt>
    <rfmt sheetId="2" sqref="KW765" start="0" length="0">
      <dxf/>
    </rfmt>
    <rfmt sheetId="2" sqref="KX765" start="0" length="0">
      <dxf/>
    </rfmt>
    <rfmt sheetId="2" sqref="KY765" start="0" length="0">
      <dxf/>
    </rfmt>
    <rfmt sheetId="2" sqref="KZ765" start="0" length="0">
      <dxf/>
    </rfmt>
    <rfmt sheetId="2" sqref="LA765" start="0" length="0">
      <dxf/>
    </rfmt>
    <rfmt sheetId="2" sqref="LB765" start="0" length="0">
      <dxf/>
    </rfmt>
    <rfmt sheetId="2" sqref="LC765" start="0" length="0">
      <dxf/>
    </rfmt>
    <rfmt sheetId="2" sqref="LD765" start="0" length="0">
      <dxf/>
    </rfmt>
    <rfmt sheetId="2" sqref="LE765" start="0" length="0">
      <dxf/>
    </rfmt>
    <rfmt sheetId="2" sqref="LF765" start="0" length="0">
      <dxf/>
    </rfmt>
    <rfmt sheetId="2" sqref="LG765" start="0" length="0">
      <dxf/>
    </rfmt>
    <rfmt sheetId="2" sqref="LH765" start="0" length="0">
      <dxf/>
    </rfmt>
    <rfmt sheetId="2" sqref="LI765" start="0" length="0">
      <dxf/>
    </rfmt>
    <rfmt sheetId="2" sqref="LJ765" start="0" length="0">
      <dxf/>
    </rfmt>
    <rfmt sheetId="2" sqref="LK765" start="0" length="0">
      <dxf/>
    </rfmt>
    <rfmt sheetId="2" sqref="LL765" start="0" length="0">
      <dxf/>
    </rfmt>
    <rfmt sheetId="2" sqref="LM765" start="0" length="0">
      <dxf/>
    </rfmt>
    <rfmt sheetId="2" sqref="LN765" start="0" length="0">
      <dxf/>
    </rfmt>
    <rfmt sheetId="2" sqref="LO765" start="0" length="0">
      <dxf/>
    </rfmt>
    <rfmt sheetId="2" sqref="LP765" start="0" length="0">
      <dxf/>
    </rfmt>
    <rfmt sheetId="2" sqref="LQ765" start="0" length="0">
      <dxf/>
    </rfmt>
    <rfmt sheetId="2" sqref="LR765" start="0" length="0">
      <dxf/>
    </rfmt>
    <rfmt sheetId="2" sqref="LS765" start="0" length="0">
      <dxf/>
    </rfmt>
    <rfmt sheetId="2" sqref="LT765" start="0" length="0">
      <dxf/>
    </rfmt>
    <rfmt sheetId="2" sqref="LU765" start="0" length="0">
      <dxf/>
    </rfmt>
    <rfmt sheetId="2" sqref="LV765" start="0" length="0">
      <dxf/>
    </rfmt>
    <rfmt sheetId="2" sqref="LW765" start="0" length="0">
      <dxf/>
    </rfmt>
    <rfmt sheetId="2" sqref="LX765" start="0" length="0">
      <dxf/>
    </rfmt>
    <rfmt sheetId="2" sqref="LY765" start="0" length="0">
      <dxf/>
    </rfmt>
    <rfmt sheetId="2" sqref="LZ765" start="0" length="0">
      <dxf/>
    </rfmt>
    <rfmt sheetId="2" sqref="MA765" start="0" length="0">
      <dxf/>
    </rfmt>
    <rfmt sheetId="2" sqref="MB765" start="0" length="0">
      <dxf/>
    </rfmt>
  </rrc>
  <rrc rId="1716" sId="2" ref="A759:XFD760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17" sheetId="2" source="A767:XFD768" destination="A759:XFD760" sourceSheetId="2">
    <rfmt sheetId="2" xfDxf="1" sqref="A759:XFD759" start="0" length="0">
      <dxf>
        <font>
          <sz val="10"/>
          <name val="Arial"/>
          <scheme val="none"/>
        </font>
        <alignment horizontal="center" readingOrder="0"/>
      </dxf>
    </rfmt>
    <rfmt sheetId="2" xfDxf="1" sqref="A760:XFD760" start="0" length="0">
      <dxf>
        <font>
          <sz val="10"/>
          <name val="Arial"/>
          <scheme val="none"/>
        </font>
        <alignment horizontal="center" readingOrder="0"/>
      </dxf>
    </rfmt>
    <rfmt sheetId="2" sqref="A75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59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5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5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5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5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59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5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5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5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5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59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5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59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59" start="0" length="0">
      <dxf>
        <numFmt numFmtId="176" formatCode="m/d;@"/>
      </dxf>
    </rfmt>
    <rfmt sheetId="2" sqref="P75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59" start="0" length="0">
      <dxf/>
    </rfmt>
    <rfmt sheetId="2" sqref="U759" start="0" length="0">
      <dxf/>
    </rfmt>
    <rfmt sheetId="2" sqref="V759" start="0" length="0">
      <dxf/>
    </rfmt>
    <rfmt sheetId="2" sqref="W759" start="0" length="0">
      <dxf/>
    </rfmt>
    <rfmt sheetId="2" sqref="X759" start="0" length="0">
      <dxf/>
    </rfmt>
    <rfmt sheetId="2" sqref="Y759" start="0" length="0">
      <dxf/>
    </rfmt>
    <rfmt sheetId="2" sqref="Z759" start="0" length="0">
      <dxf/>
    </rfmt>
    <rfmt sheetId="2" sqref="AA759" start="0" length="0">
      <dxf/>
    </rfmt>
    <rfmt sheetId="2" sqref="AB759" start="0" length="0">
      <dxf/>
    </rfmt>
    <rfmt sheetId="2" sqref="AC759" start="0" length="0">
      <dxf/>
    </rfmt>
    <rfmt sheetId="2" sqref="AD759" start="0" length="0">
      <dxf/>
    </rfmt>
    <rfmt sheetId="2" sqref="AE759" start="0" length="0">
      <dxf/>
    </rfmt>
    <rfmt sheetId="2" sqref="AF759" start="0" length="0">
      <dxf/>
    </rfmt>
    <rfmt sheetId="2" sqref="AG759" start="0" length="0">
      <dxf/>
    </rfmt>
    <rfmt sheetId="2" sqref="AH759" start="0" length="0">
      <dxf/>
    </rfmt>
    <rfmt sheetId="2" sqref="AI759" start="0" length="0">
      <dxf/>
    </rfmt>
    <rfmt sheetId="2" sqref="AJ759" start="0" length="0">
      <dxf/>
    </rfmt>
    <rfmt sheetId="2" sqref="AK759" start="0" length="0">
      <dxf/>
    </rfmt>
    <rfmt sheetId="2" sqref="AL759" start="0" length="0">
      <dxf/>
    </rfmt>
    <rfmt sheetId="2" sqref="AM759" start="0" length="0">
      <dxf/>
    </rfmt>
    <rfmt sheetId="2" sqref="AN759" start="0" length="0">
      <dxf/>
    </rfmt>
    <rfmt sheetId="2" sqref="AO759" start="0" length="0">
      <dxf/>
    </rfmt>
    <rfmt sheetId="2" sqref="AP759" start="0" length="0">
      <dxf/>
    </rfmt>
    <rfmt sheetId="2" sqref="AQ759" start="0" length="0">
      <dxf/>
    </rfmt>
    <rfmt sheetId="2" sqref="AR759" start="0" length="0">
      <dxf/>
    </rfmt>
    <rfmt sheetId="2" sqref="AS759" start="0" length="0">
      <dxf/>
    </rfmt>
    <rfmt sheetId="2" sqref="AT759" start="0" length="0">
      <dxf/>
    </rfmt>
    <rfmt sheetId="2" sqref="AU759" start="0" length="0">
      <dxf/>
    </rfmt>
    <rfmt sheetId="2" sqref="AV759" start="0" length="0">
      <dxf/>
    </rfmt>
    <rfmt sheetId="2" sqref="AW759" start="0" length="0">
      <dxf/>
    </rfmt>
    <rfmt sheetId="2" sqref="AX759" start="0" length="0">
      <dxf/>
    </rfmt>
    <rfmt sheetId="2" sqref="AY759" start="0" length="0">
      <dxf/>
    </rfmt>
    <rfmt sheetId="2" sqref="AZ759" start="0" length="0">
      <dxf/>
    </rfmt>
    <rfmt sheetId="2" sqref="BA759" start="0" length="0">
      <dxf/>
    </rfmt>
    <rfmt sheetId="2" sqref="BB759" start="0" length="0">
      <dxf/>
    </rfmt>
    <rfmt sheetId="2" sqref="BC759" start="0" length="0">
      <dxf/>
    </rfmt>
    <rfmt sheetId="2" sqref="BD759" start="0" length="0">
      <dxf/>
    </rfmt>
    <rfmt sheetId="2" sqref="BE759" start="0" length="0">
      <dxf/>
    </rfmt>
    <rfmt sheetId="2" sqref="BF759" start="0" length="0">
      <dxf/>
    </rfmt>
    <rfmt sheetId="2" sqref="BG759" start="0" length="0">
      <dxf/>
    </rfmt>
    <rfmt sheetId="2" sqref="BH759" start="0" length="0">
      <dxf/>
    </rfmt>
    <rfmt sheetId="2" sqref="BI759" start="0" length="0">
      <dxf/>
    </rfmt>
    <rfmt sheetId="2" sqref="BJ759" start="0" length="0">
      <dxf/>
    </rfmt>
    <rfmt sheetId="2" sqref="BK759" start="0" length="0">
      <dxf/>
    </rfmt>
    <rfmt sheetId="2" sqref="BL759" start="0" length="0">
      <dxf/>
    </rfmt>
    <rfmt sheetId="2" sqref="BM759" start="0" length="0">
      <dxf/>
    </rfmt>
    <rfmt sheetId="2" sqref="BN759" start="0" length="0">
      <dxf/>
    </rfmt>
    <rfmt sheetId="2" sqref="BO759" start="0" length="0">
      <dxf/>
    </rfmt>
    <rfmt sheetId="2" sqref="BP759" start="0" length="0">
      <dxf/>
    </rfmt>
    <rfmt sheetId="2" sqref="BQ759" start="0" length="0">
      <dxf/>
    </rfmt>
    <rfmt sheetId="2" sqref="BR759" start="0" length="0">
      <dxf/>
    </rfmt>
    <rfmt sheetId="2" sqref="BS759" start="0" length="0">
      <dxf/>
    </rfmt>
    <rfmt sheetId="2" sqref="BT759" start="0" length="0">
      <dxf/>
    </rfmt>
    <rfmt sheetId="2" sqref="BU759" start="0" length="0">
      <dxf/>
    </rfmt>
    <rfmt sheetId="2" sqref="BV759" start="0" length="0">
      <dxf/>
    </rfmt>
    <rfmt sheetId="2" sqref="BW759" start="0" length="0">
      <dxf/>
    </rfmt>
    <rfmt sheetId="2" sqref="BX759" start="0" length="0">
      <dxf/>
    </rfmt>
    <rfmt sheetId="2" sqref="BY759" start="0" length="0">
      <dxf/>
    </rfmt>
    <rfmt sheetId="2" sqref="BZ759" start="0" length="0">
      <dxf/>
    </rfmt>
    <rfmt sheetId="2" sqref="CA759" start="0" length="0">
      <dxf/>
    </rfmt>
    <rfmt sheetId="2" sqref="CB759" start="0" length="0">
      <dxf/>
    </rfmt>
    <rfmt sheetId="2" sqref="CC759" start="0" length="0">
      <dxf/>
    </rfmt>
    <rfmt sheetId="2" sqref="CD759" start="0" length="0">
      <dxf/>
    </rfmt>
    <rfmt sheetId="2" sqref="CE759" start="0" length="0">
      <dxf/>
    </rfmt>
    <rfmt sheetId="2" sqref="CF759" start="0" length="0">
      <dxf/>
    </rfmt>
    <rfmt sheetId="2" sqref="CG759" start="0" length="0">
      <dxf/>
    </rfmt>
    <rfmt sheetId="2" sqref="CH759" start="0" length="0">
      <dxf/>
    </rfmt>
    <rfmt sheetId="2" sqref="CI759" start="0" length="0">
      <dxf/>
    </rfmt>
    <rfmt sheetId="2" sqref="CJ759" start="0" length="0">
      <dxf/>
    </rfmt>
    <rfmt sheetId="2" sqref="CK759" start="0" length="0">
      <dxf/>
    </rfmt>
    <rfmt sheetId="2" sqref="CL759" start="0" length="0">
      <dxf/>
    </rfmt>
    <rfmt sheetId="2" sqref="CM759" start="0" length="0">
      <dxf/>
    </rfmt>
    <rfmt sheetId="2" sqref="CN759" start="0" length="0">
      <dxf/>
    </rfmt>
    <rfmt sheetId="2" sqref="CO759" start="0" length="0">
      <dxf/>
    </rfmt>
    <rfmt sheetId="2" sqref="CP759" start="0" length="0">
      <dxf/>
    </rfmt>
    <rfmt sheetId="2" sqref="CQ759" start="0" length="0">
      <dxf/>
    </rfmt>
    <rfmt sheetId="2" sqref="CR759" start="0" length="0">
      <dxf/>
    </rfmt>
    <rfmt sheetId="2" sqref="CS759" start="0" length="0">
      <dxf/>
    </rfmt>
    <rfmt sheetId="2" sqref="CT759" start="0" length="0">
      <dxf/>
    </rfmt>
    <rfmt sheetId="2" sqref="CU759" start="0" length="0">
      <dxf/>
    </rfmt>
    <rfmt sheetId="2" sqref="CV759" start="0" length="0">
      <dxf/>
    </rfmt>
    <rfmt sheetId="2" sqref="CW759" start="0" length="0">
      <dxf/>
    </rfmt>
    <rfmt sheetId="2" sqref="CX759" start="0" length="0">
      <dxf/>
    </rfmt>
    <rfmt sheetId="2" sqref="CY759" start="0" length="0">
      <dxf/>
    </rfmt>
    <rfmt sheetId="2" sqref="CZ759" start="0" length="0">
      <dxf/>
    </rfmt>
    <rfmt sheetId="2" sqref="DA759" start="0" length="0">
      <dxf/>
    </rfmt>
    <rfmt sheetId="2" sqref="DB759" start="0" length="0">
      <dxf/>
    </rfmt>
    <rfmt sheetId="2" sqref="DC759" start="0" length="0">
      <dxf/>
    </rfmt>
    <rfmt sheetId="2" sqref="DD759" start="0" length="0">
      <dxf/>
    </rfmt>
    <rfmt sheetId="2" sqref="DE759" start="0" length="0">
      <dxf/>
    </rfmt>
    <rfmt sheetId="2" sqref="DF759" start="0" length="0">
      <dxf/>
    </rfmt>
    <rfmt sheetId="2" sqref="DG759" start="0" length="0">
      <dxf/>
    </rfmt>
    <rfmt sheetId="2" sqref="DH759" start="0" length="0">
      <dxf/>
    </rfmt>
    <rfmt sheetId="2" sqref="DI759" start="0" length="0">
      <dxf/>
    </rfmt>
    <rfmt sheetId="2" sqref="DJ759" start="0" length="0">
      <dxf/>
    </rfmt>
    <rfmt sheetId="2" sqref="DK759" start="0" length="0">
      <dxf/>
    </rfmt>
    <rfmt sheetId="2" sqref="DL759" start="0" length="0">
      <dxf/>
    </rfmt>
    <rfmt sheetId="2" sqref="DM759" start="0" length="0">
      <dxf/>
    </rfmt>
    <rfmt sheetId="2" sqref="DN759" start="0" length="0">
      <dxf/>
    </rfmt>
    <rfmt sheetId="2" sqref="DO759" start="0" length="0">
      <dxf/>
    </rfmt>
    <rfmt sheetId="2" sqref="DP759" start="0" length="0">
      <dxf/>
    </rfmt>
    <rfmt sheetId="2" sqref="DQ759" start="0" length="0">
      <dxf/>
    </rfmt>
    <rfmt sheetId="2" sqref="DR759" start="0" length="0">
      <dxf/>
    </rfmt>
    <rfmt sheetId="2" sqref="DS759" start="0" length="0">
      <dxf/>
    </rfmt>
    <rfmt sheetId="2" sqref="DT759" start="0" length="0">
      <dxf/>
    </rfmt>
    <rfmt sheetId="2" sqref="DU759" start="0" length="0">
      <dxf/>
    </rfmt>
    <rfmt sheetId="2" sqref="DV759" start="0" length="0">
      <dxf/>
    </rfmt>
    <rfmt sheetId="2" sqref="DW759" start="0" length="0">
      <dxf/>
    </rfmt>
    <rfmt sheetId="2" sqref="DX759" start="0" length="0">
      <dxf/>
    </rfmt>
    <rfmt sheetId="2" sqref="DY759" start="0" length="0">
      <dxf/>
    </rfmt>
    <rfmt sheetId="2" sqref="DZ759" start="0" length="0">
      <dxf/>
    </rfmt>
    <rfmt sheetId="2" sqref="EA759" start="0" length="0">
      <dxf/>
    </rfmt>
    <rfmt sheetId="2" sqref="EB759" start="0" length="0">
      <dxf/>
    </rfmt>
    <rfmt sheetId="2" sqref="EC759" start="0" length="0">
      <dxf/>
    </rfmt>
    <rfmt sheetId="2" sqref="ED759" start="0" length="0">
      <dxf/>
    </rfmt>
    <rfmt sheetId="2" sqref="EE759" start="0" length="0">
      <dxf/>
    </rfmt>
    <rfmt sheetId="2" sqref="EF759" start="0" length="0">
      <dxf/>
    </rfmt>
    <rfmt sheetId="2" sqref="EG759" start="0" length="0">
      <dxf/>
    </rfmt>
    <rfmt sheetId="2" sqref="EH759" start="0" length="0">
      <dxf/>
    </rfmt>
    <rfmt sheetId="2" sqref="EI759" start="0" length="0">
      <dxf/>
    </rfmt>
    <rfmt sheetId="2" sqref="EJ759" start="0" length="0">
      <dxf/>
    </rfmt>
    <rfmt sheetId="2" sqref="EK759" start="0" length="0">
      <dxf/>
    </rfmt>
    <rfmt sheetId="2" sqref="EL759" start="0" length="0">
      <dxf/>
    </rfmt>
    <rfmt sheetId="2" sqref="EM759" start="0" length="0">
      <dxf/>
    </rfmt>
    <rfmt sheetId="2" sqref="EN759" start="0" length="0">
      <dxf/>
    </rfmt>
    <rfmt sheetId="2" sqref="EO759" start="0" length="0">
      <dxf/>
    </rfmt>
    <rfmt sheetId="2" sqref="EP759" start="0" length="0">
      <dxf/>
    </rfmt>
    <rfmt sheetId="2" sqref="EQ759" start="0" length="0">
      <dxf/>
    </rfmt>
    <rfmt sheetId="2" sqref="ER759" start="0" length="0">
      <dxf/>
    </rfmt>
    <rfmt sheetId="2" sqref="ES759" start="0" length="0">
      <dxf/>
    </rfmt>
    <rfmt sheetId="2" sqref="ET759" start="0" length="0">
      <dxf/>
    </rfmt>
    <rfmt sheetId="2" sqref="EU759" start="0" length="0">
      <dxf/>
    </rfmt>
    <rfmt sheetId="2" sqref="EV759" start="0" length="0">
      <dxf/>
    </rfmt>
    <rfmt sheetId="2" sqref="EW759" start="0" length="0">
      <dxf/>
    </rfmt>
    <rfmt sheetId="2" sqref="EX759" start="0" length="0">
      <dxf/>
    </rfmt>
    <rfmt sheetId="2" sqref="EY759" start="0" length="0">
      <dxf/>
    </rfmt>
    <rfmt sheetId="2" sqref="EZ759" start="0" length="0">
      <dxf/>
    </rfmt>
    <rfmt sheetId="2" sqref="FA759" start="0" length="0">
      <dxf/>
    </rfmt>
    <rfmt sheetId="2" sqref="FB759" start="0" length="0">
      <dxf/>
    </rfmt>
    <rfmt sheetId="2" sqref="FC759" start="0" length="0">
      <dxf/>
    </rfmt>
    <rfmt sheetId="2" sqref="FD759" start="0" length="0">
      <dxf/>
    </rfmt>
    <rfmt sheetId="2" sqref="FE759" start="0" length="0">
      <dxf/>
    </rfmt>
    <rfmt sheetId="2" sqref="FF759" start="0" length="0">
      <dxf/>
    </rfmt>
    <rfmt sheetId="2" sqref="FG759" start="0" length="0">
      <dxf/>
    </rfmt>
    <rfmt sheetId="2" sqref="FH759" start="0" length="0">
      <dxf/>
    </rfmt>
    <rfmt sheetId="2" sqref="FI759" start="0" length="0">
      <dxf/>
    </rfmt>
    <rfmt sheetId="2" sqref="FJ759" start="0" length="0">
      <dxf/>
    </rfmt>
    <rfmt sheetId="2" sqref="FK759" start="0" length="0">
      <dxf/>
    </rfmt>
    <rfmt sheetId="2" sqref="FL759" start="0" length="0">
      <dxf/>
    </rfmt>
    <rfmt sheetId="2" sqref="FM759" start="0" length="0">
      <dxf/>
    </rfmt>
    <rfmt sheetId="2" sqref="FN759" start="0" length="0">
      <dxf/>
    </rfmt>
    <rfmt sheetId="2" sqref="FO759" start="0" length="0">
      <dxf/>
    </rfmt>
    <rfmt sheetId="2" sqref="FP759" start="0" length="0">
      <dxf/>
    </rfmt>
    <rfmt sheetId="2" sqref="FQ759" start="0" length="0">
      <dxf/>
    </rfmt>
    <rfmt sheetId="2" sqref="FR759" start="0" length="0">
      <dxf/>
    </rfmt>
    <rfmt sheetId="2" sqref="FS759" start="0" length="0">
      <dxf/>
    </rfmt>
    <rfmt sheetId="2" sqref="FT759" start="0" length="0">
      <dxf/>
    </rfmt>
    <rfmt sheetId="2" sqref="FU759" start="0" length="0">
      <dxf/>
    </rfmt>
    <rfmt sheetId="2" sqref="FV759" start="0" length="0">
      <dxf/>
    </rfmt>
    <rfmt sheetId="2" sqref="FW759" start="0" length="0">
      <dxf/>
    </rfmt>
    <rfmt sheetId="2" sqref="FX759" start="0" length="0">
      <dxf/>
    </rfmt>
    <rfmt sheetId="2" sqref="FY759" start="0" length="0">
      <dxf/>
    </rfmt>
    <rfmt sheetId="2" sqref="FZ759" start="0" length="0">
      <dxf/>
    </rfmt>
    <rfmt sheetId="2" sqref="GA759" start="0" length="0">
      <dxf/>
    </rfmt>
    <rfmt sheetId="2" sqref="GB759" start="0" length="0">
      <dxf/>
    </rfmt>
    <rfmt sheetId="2" sqref="GC759" start="0" length="0">
      <dxf/>
    </rfmt>
    <rfmt sheetId="2" sqref="GD759" start="0" length="0">
      <dxf/>
    </rfmt>
    <rfmt sheetId="2" sqref="GE759" start="0" length="0">
      <dxf/>
    </rfmt>
    <rfmt sheetId="2" sqref="GF759" start="0" length="0">
      <dxf/>
    </rfmt>
    <rfmt sheetId="2" sqref="GG759" start="0" length="0">
      <dxf/>
    </rfmt>
    <rfmt sheetId="2" sqref="GH759" start="0" length="0">
      <dxf/>
    </rfmt>
    <rfmt sheetId="2" sqref="GI759" start="0" length="0">
      <dxf/>
    </rfmt>
    <rfmt sheetId="2" sqref="GJ759" start="0" length="0">
      <dxf/>
    </rfmt>
    <rfmt sheetId="2" sqref="GK759" start="0" length="0">
      <dxf/>
    </rfmt>
    <rfmt sheetId="2" sqref="GL759" start="0" length="0">
      <dxf/>
    </rfmt>
    <rfmt sheetId="2" sqref="GM759" start="0" length="0">
      <dxf/>
    </rfmt>
    <rfmt sheetId="2" sqref="GN759" start="0" length="0">
      <dxf/>
    </rfmt>
    <rfmt sheetId="2" sqref="GO759" start="0" length="0">
      <dxf/>
    </rfmt>
    <rfmt sheetId="2" sqref="GP759" start="0" length="0">
      <dxf/>
    </rfmt>
    <rfmt sheetId="2" sqref="GQ759" start="0" length="0">
      <dxf/>
    </rfmt>
    <rfmt sheetId="2" sqref="GR759" start="0" length="0">
      <dxf/>
    </rfmt>
    <rfmt sheetId="2" sqref="GS759" start="0" length="0">
      <dxf/>
    </rfmt>
    <rfmt sheetId="2" sqref="GT759" start="0" length="0">
      <dxf/>
    </rfmt>
    <rfmt sheetId="2" sqref="GU759" start="0" length="0">
      <dxf/>
    </rfmt>
    <rfmt sheetId="2" sqref="GV759" start="0" length="0">
      <dxf/>
    </rfmt>
    <rfmt sheetId="2" sqref="GW759" start="0" length="0">
      <dxf/>
    </rfmt>
    <rfmt sheetId="2" sqref="GX759" start="0" length="0">
      <dxf/>
    </rfmt>
    <rfmt sheetId="2" sqref="GY759" start="0" length="0">
      <dxf/>
    </rfmt>
    <rfmt sheetId="2" sqref="GZ759" start="0" length="0">
      <dxf/>
    </rfmt>
    <rfmt sheetId="2" sqref="HA759" start="0" length="0">
      <dxf/>
    </rfmt>
    <rfmt sheetId="2" sqref="HB759" start="0" length="0">
      <dxf/>
    </rfmt>
    <rfmt sheetId="2" sqref="HC759" start="0" length="0">
      <dxf/>
    </rfmt>
    <rfmt sheetId="2" sqref="HD759" start="0" length="0">
      <dxf/>
    </rfmt>
    <rfmt sheetId="2" sqref="HE759" start="0" length="0">
      <dxf/>
    </rfmt>
    <rfmt sheetId="2" sqref="HF759" start="0" length="0">
      <dxf/>
    </rfmt>
    <rfmt sheetId="2" sqref="HG759" start="0" length="0">
      <dxf/>
    </rfmt>
    <rfmt sheetId="2" sqref="HH759" start="0" length="0">
      <dxf/>
    </rfmt>
    <rfmt sheetId="2" sqref="HI759" start="0" length="0">
      <dxf/>
    </rfmt>
    <rfmt sheetId="2" sqref="HJ759" start="0" length="0">
      <dxf/>
    </rfmt>
    <rfmt sheetId="2" sqref="HK759" start="0" length="0">
      <dxf/>
    </rfmt>
    <rfmt sheetId="2" sqref="HL759" start="0" length="0">
      <dxf/>
    </rfmt>
    <rfmt sheetId="2" sqref="HM759" start="0" length="0">
      <dxf/>
    </rfmt>
    <rfmt sheetId="2" sqref="HN759" start="0" length="0">
      <dxf/>
    </rfmt>
    <rfmt sheetId="2" sqref="HO759" start="0" length="0">
      <dxf/>
    </rfmt>
    <rfmt sheetId="2" sqref="HP759" start="0" length="0">
      <dxf/>
    </rfmt>
    <rfmt sheetId="2" sqref="HQ759" start="0" length="0">
      <dxf/>
    </rfmt>
    <rfmt sheetId="2" sqref="HR759" start="0" length="0">
      <dxf/>
    </rfmt>
    <rfmt sheetId="2" sqref="HS759" start="0" length="0">
      <dxf/>
    </rfmt>
    <rfmt sheetId="2" sqref="HT759" start="0" length="0">
      <dxf/>
    </rfmt>
    <rfmt sheetId="2" sqref="HU759" start="0" length="0">
      <dxf/>
    </rfmt>
    <rfmt sheetId="2" sqref="HV759" start="0" length="0">
      <dxf/>
    </rfmt>
    <rfmt sheetId="2" sqref="HW759" start="0" length="0">
      <dxf/>
    </rfmt>
    <rfmt sheetId="2" sqref="HX759" start="0" length="0">
      <dxf/>
    </rfmt>
    <rfmt sheetId="2" sqref="HY759" start="0" length="0">
      <dxf/>
    </rfmt>
    <rfmt sheetId="2" sqref="HZ759" start="0" length="0">
      <dxf/>
    </rfmt>
    <rfmt sheetId="2" sqref="IA759" start="0" length="0">
      <dxf/>
    </rfmt>
    <rfmt sheetId="2" sqref="IB759" start="0" length="0">
      <dxf/>
    </rfmt>
    <rfmt sheetId="2" sqref="IC759" start="0" length="0">
      <dxf/>
    </rfmt>
    <rfmt sheetId="2" sqref="ID759" start="0" length="0">
      <dxf/>
    </rfmt>
    <rfmt sheetId="2" sqref="IE759" start="0" length="0">
      <dxf/>
    </rfmt>
    <rfmt sheetId="2" sqref="IF759" start="0" length="0">
      <dxf/>
    </rfmt>
    <rfmt sheetId="2" sqref="IG759" start="0" length="0">
      <dxf/>
    </rfmt>
    <rfmt sheetId="2" sqref="IH759" start="0" length="0">
      <dxf/>
    </rfmt>
    <rfmt sheetId="2" sqref="II759" start="0" length="0">
      <dxf/>
    </rfmt>
    <rfmt sheetId="2" sqref="IJ759" start="0" length="0">
      <dxf/>
    </rfmt>
    <rfmt sheetId="2" sqref="IK759" start="0" length="0">
      <dxf/>
    </rfmt>
    <rfmt sheetId="2" sqref="IL759" start="0" length="0">
      <dxf/>
    </rfmt>
    <rfmt sheetId="2" sqref="IM759" start="0" length="0">
      <dxf/>
    </rfmt>
    <rfmt sheetId="2" sqref="IN759" start="0" length="0">
      <dxf/>
    </rfmt>
    <rfmt sheetId="2" sqref="IO759" start="0" length="0">
      <dxf/>
    </rfmt>
    <rfmt sheetId="2" sqref="IP759" start="0" length="0">
      <dxf/>
    </rfmt>
    <rfmt sheetId="2" sqref="IQ759" start="0" length="0">
      <dxf/>
    </rfmt>
    <rfmt sheetId="2" sqref="IR759" start="0" length="0">
      <dxf/>
    </rfmt>
    <rfmt sheetId="2" sqref="IS759" start="0" length="0">
      <dxf/>
    </rfmt>
    <rfmt sheetId="2" sqref="IT759" start="0" length="0">
      <dxf/>
    </rfmt>
    <rfmt sheetId="2" sqref="IU759" start="0" length="0">
      <dxf/>
    </rfmt>
    <rfmt sheetId="2" sqref="IV759" start="0" length="0">
      <dxf/>
    </rfmt>
    <rfmt sheetId="2" sqref="IW759" start="0" length="0">
      <dxf/>
    </rfmt>
    <rfmt sheetId="2" sqref="IX759" start="0" length="0">
      <dxf/>
    </rfmt>
    <rfmt sheetId="2" sqref="IY759" start="0" length="0">
      <dxf/>
    </rfmt>
    <rfmt sheetId="2" sqref="IZ759" start="0" length="0">
      <dxf/>
    </rfmt>
    <rfmt sheetId="2" sqref="JA759" start="0" length="0">
      <dxf/>
    </rfmt>
    <rfmt sheetId="2" sqref="JB759" start="0" length="0">
      <dxf/>
    </rfmt>
    <rfmt sheetId="2" sqref="JC759" start="0" length="0">
      <dxf/>
    </rfmt>
    <rfmt sheetId="2" sqref="JD759" start="0" length="0">
      <dxf/>
    </rfmt>
    <rfmt sheetId="2" sqref="JE759" start="0" length="0">
      <dxf/>
    </rfmt>
    <rfmt sheetId="2" sqref="JF759" start="0" length="0">
      <dxf/>
    </rfmt>
    <rfmt sheetId="2" sqref="JG759" start="0" length="0">
      <dxf/>
    </rfmt>
    <rfmt sheetId="2" sqref="JH759" start="0" length="0">
      <dxf/>
    </rfmt>
    <rfmt sheetId="2" sqref="JI759" start="0" length="0">
      <dxf/>
    </rfmt>
    <rfmt sheetId="2" sqref="JJ759" start="0" length="0">
      <dxf/>
    </rfmt>
    <rfmt sheetId="2" sqref="JK759" start="0" length="0">
      <dxf/>
    </rfmt>
    <rfmt sheetId="2" sqref="JL759" start="0" length="0">
      <dxf/>
    </rfmt>
    <rfmt sheetId="2" sqref="JM759" start="0" length="0">
      <dxf/>
    </rfmt>
    <rfmt sheetId="2" sqref="JN759" start="0" length="0">
      <dxf/>
    </rfmt>
    <rfmt sheetId="2" sqref="JO759" start="0" length="0">
      <dxf/>
    </rfmt>
    <rfmt sheetId="2" sqref="JP759" start="0" length="0">
      <dxf/>
    </rfmt>
    <rfmt sheetId="2" sqref="JQ759" start="0" length="0">
      <dxf/>
    </rfmt>
    <rfmt sheetId="2" sqref="JR759" start="0" length="0">
      <dxf/>
    </rfmt>
    <rfmt sheetId="2" sqref="JS759" start="0" length="0">
      <dxf/>
    </rfmt>
    <rfmt sheetId="2" sqref="JT759" start="0" length="0">
      <dxf/>
    </rfmt>
    <rfmt sheetId="2" sqref="JU759" start="0" length="0">
      <dxf/>
    </rfmt>
    <rfmt sheetId="2" sqref="JV759" start="0" length="0">
      <dxf/>
    </rfmt>
    <rfmt sheetId="2" sqref="JW759" start="0" length="0">
      <dxf/>
    </rfmt>
    <rfmt sheetId="2" sqref="JX759" start="0" length="0">
      <dxf/>
    </rfmt>
    <rfmt sheetId="2" sqref="JY759" start="0" length="0">
      <dxf/>
    </rfmt>
    <rfmt sheetId="2" sqref="JZ759" start="0" length="0">
      <dxf/>
    </rfmt>
    <rfmt sheetId="2" sqref="KA759" start="0" length="0">
      <dxf/>
    </rfmt>
    <rfmt sheetId="2" sqref="KB759" start="0" length="0">
      <dxf/>
    </rfmt>
    <rfmt sheetId="2" sqref="KC759" start="0" length="0">
      <dxf/>
    </rfmt>
    <rfmt sheetId="2" sqref="KD759" start="0" length="0">
      <dxf/>
    </rfmt>
    <rfmt sheetId="2" sqref="KE759" start="0" length="0">
      <dxf/>
    </rfmt>
    <rfmt sheetId="2" sqref="KF759" start="0" length="0">
      <dxf/>
    </rfmt>
    <rfmt sheetId="2" sqref="KG759" start="0" length="0">
      <dxf/>
    </rfmt>
    <rfmt sheetId="2" sqref="KH759" start="0" length="0">
      <dxf/>
    </rfmt>
    <rfmt sheetId="2" sqref="KI759" start="0" length="0">
      <dxf/>
    </rfmt>
    <rfmt sheetId="2" sqref="KJ759" start="0" length="0">
      <dxf/>
    </rfmt>
    <rfmt sheetId="2" sqref="KK759" start="0" length="0">
      <dxf/>
    </rfmt>
    <rfmt sheetId="2" sqref="KL759" start="0" length="0">
      <dxf/>
    </rfmt>
    <rfmt sheetId="2" sqref="KM759" start="0" length="0">
      <dxf/>
    </rfmt>
    <rfmt sheetId="2" sqref="KN759" start="0" length="0">
      <dxf/>
    </rfmt>
    <rfmt sheetId="2" sqref="KO759" start="0" length="0">
      <dxf/>
    </rfmt>
    <rfmt sheetId="2" sqref="KP759" start="0" length="0">
      <dxf/>
    </rfmt>
    <rfmt sheetId="2" sqref="KQ759" start="0" length="0">
      <dxf/>
    </rfmt>
    <rfmt sheetId="2" sqref="KR759" start="0" length="0">
      <dxf/>
    </rfmt>
    <rfmt sheetId="2" sqref="KS759" start="0" length="0">
      <dxf/>
    </rfmt>
    <rfmt sheetId="2" sqref="KT759" start="0" length="0">
      <dxf/>
    </rfmt>
    <rfmt sheetId="2" sqref="KU759" start="0" length="0">
      <dxf/>
    </rfmt>
    <rfmt sheetId="2" sqref="KV759" start="0" length="0">
      <dxf/>
    </rfmt>
    <rfmt sheetId="2" sqref="KW759" start="0" length="0">
      <dxf/>
    </rfmt>
    <rfmt sheetId="2" sqref="KX759" start="0" length="0">
      <dxf/>
    </rfmt>
    <rfmt sheetId="2" sqref="KY759" start="0" length="0">
      <dxf/>
    </rfmt>
    <rfmt sheetId="2" sqref="KZ759" start="0" length="0">
      <dxf/>
    </rfmt>
    <rfmt sheetId="2" sqref="LA759" start="0" length="0">
      <dxf/>
    </rfmt>
    <rfmt sheetId="2" sqref="LB759" start="0" length="0">
      <dxf/>
    </rfmt>
    <rfmt sheetId="2" sqref="LC759" start="0" length="0">
      <dxf/>
    </rfmt>
    <rfmt sheetId="2" sqref="LD759" start="0" length="0">
      <dxf/>
    </rfmt>
    <rfmt sheetId="2" sqref="LE759" start="0" length="0">
      <dxf/>
    </rfmt>
    <rfmt sheetId="2" sqref="LF759" start="0" length="0">
      <dxf/>
    </rfmt>
    <rfmt sheetId="2" sqref="LG759" start="0" length="0">
      <dxf/>
    </rfmt>
    <rfmt sheetId="2" sqref="LH759" start="0" length="0">
      <dxf/>
    </rfmt>
    <rfmt sheetId="2" sqref="LI759" start="0" length="0">
      <dxf/>
    </rfmt>
    <rfmt sheetId="2" sqref="LJ759" start="0" length="0">
      <dxf/>
    </rfmt>
    <rfmt sheetId="2" sqref="LK759" start="0" length="0">
      <dxf/>
    </rfmt>
    <rfmt sheetId="2" sqref="LL759" start="0" length="0">
      <dxf/>
    </rfmt>
    <rfmt sheetId="2" sqref="LM759" start="0" length="0">
      <dxf/>
    </rfmt>
    <rfmt sheetId="2" sqref="LN759" start="0" length="0">
      <dxf/>
    </rfmt>
    <rfmt sheetId="2" sqref="LO759" start="0" length="0">
      <dxf/>
    </rfmt>
    <rfmt sheetId="2" sqref="LP759" start="0" length="0">
      <dxf/>
    </rfmt>
    <rfmt sheetId="2" sqref="LQ759" start="0" length="0">
      <dxf/>
    </rfmt>
    <rfmt sheetId="2" sqref="LR759" start="0" length="0">
      <dxf/>
    </rfmt>
    <rfmt sheetId="2" sqref="LS759" start="0" length="0">
      <dxf/>
    </rfmt>
    <rfmt sheetId="2" sqref="LT759" start="0" length="0">
      <dxf/>
    </rfmt>
    <rfmt sheetId="2" sqref="LU759" start="0" length="0">
      <dxf/>
    </rfmt>
    <rfmt sheetId="2" sqref="LV759" start="0" length="0">
      <dxf/>
    </rfmt>
    <rfmt sheetId="2" sqref="LW759" start="0" length="0">
      <dxf/>
    </rfmt>
    <rfmt sheetId="2" sqref="LX759" start="0" length="0">
      <dxf/>
    </rfmt>
    <rfmt sheetId="2" sqref="LY759" start="0" length="0">
      <dxf/>
    </rfmt>
    <rfmt sheetId="2" sqref="LZ759" start="0" length="0">
      <dxf/>
    </rfmt>
    <rfmt sheetId="2" sqref="MA759" start="0" length="0">
      <dxf/>
    </rfmt>
    <rfmt sheetId="2" sqref="MB759" start="0" length="0">
      <dxf/>
    </rfmt>
    <rfmt sheetId="2" sqref="A76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0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0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0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0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0" start="0" length="0">
      <dxf>
        <numFmt numFmtId="176" formatCode="m/d;@"/>
      </dxf>
    </rfmt>
    <rfmt sheetId="2" sqref="P760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0" start="0" length="0">
      <dxf/>
    </rfmt>
    <rfmt sheetId="2" sqref="U760" start="0" length="0">
      <dxf/>
    </rfmt>
    <rfmt sheetId="2" sqref="V760" start="0" length="0">
      <dxf/>
    </rfmt>
    <rfmt sheetId="2" sqref="W760" start="0" length="0">
      <dxf/>
    </rfmt>
    <rfmt sheetId="2" sqref="X760" start="0" length="0">
      <dxf/>
    </rfmt>
    <rfmt sheetId="2" sqref="Y760" start="0" length="0">
      <dxf/>
    </rfmt>
    <rfmt sheetId="2" sqref="Z760" start="0" length="0">
      <dxf/>
    </rfmt>
    <rfmt sheetId="2" sqref="AA760" start="0" length="0">
      <dxf/>
    </rfmt>
    <rfmt sheetId="2" sqref="AB760" start="0" length="0">
      <dxf/>
    </rfmt>
    <rfmt sheetId="2" sqref="AC760" start="0" length="0">
      <dxf/>
    </rfmt>
    <rfmt sheetId="2" sqref="AD760" start="0" length="0">
      <dxf/>
    </rfmt>
    <rfmt sheetId="2" sqref="AE760" start="0" length="0">
      <dxf/>
    </rfmt>
    <rfmt sheetId="2" sqref="AF760" start="0" length="0">
      <dxf/>
    </rfmt>
    <rfmt sheetId="2" sqref="AG760" start="0" length="0">
      <dxf/>
    </rfmt>
    <rfmt sheetId="2" sqref="AH760" start="0" length="0">
      <dxf/>
    </rfmt>
    <rfmt sheetId="2" sqref="AI760" start="0" length="0">
      <dxf/>
    </rfmt>
    <rfmt sheetId="2" sqref="AJ760" start="0" length="0">
      <dxf/>
    </rfmt>
    <rfmt sheetId="2" sqref="AK760" start="0" length="0">
      <dxf/>
    </rfmt>
    <rfmt sheetId="2" sqref="AL760" start="0" length="0">
      <dxf/>
    </rfmt>
    <rfmt sheetId="2" sqref="AM760" start="0" length="0">
      <dxf/>
    </rfmt>
    <rfmt sheetId="2" sqref="AN760" start="0" length="0">
      <dxf/>
    </rfmt>
    <rfmt sheetId="2" sqref="AO760" start="0" length="0">
      <dxf/>
    </rfmt>
    <rfmt sheetId="2" sqref="AP760" start="0" length="0">
      <dxf/>
    </rfmt>
    <rfmt sheetId="2" sqref="AQ760" start="0" length="0">
      <dxf/>
    </rfmt>
    <rfmt sheetId="2" sqref="AR760" start="0" length="0">
      <dxf/>
    </rfmt>
    <rfmt sheetId="2" sqref="AS760" start="0" length="0">
      <dxf/>
    </rfmt>
    <rfmt sheetId="2" sqref="AT760" start="0" length="0">
      <dxf/>
    </rfmt>
    <rfmt sheetId="2" sqref="AU760" start="0" length="0">
      <dxf/>
    </rfmt>
    <rfmt sheetId="2" sqref="AV760" start="0" length="0">
      <dxf/>
    </rfmt>
    <rfmt sheetId="2" sqref="AW760" start="0" length="0">
      <dxf/>
    </rfmt>
    <rfmt sheetId="2" sqref="AX760" start="0" length="0">
      <dxf/>
    </rfmt>
    <rfmt sheetId="2" sqref="AY760" start="0" length="0">
      <dxf/>
    </rfmt>
    <rfmt sheetId="2" sqref="AZ760" start="0" length="0">
      <dxf/>
    </rfmt>
    <rfmt sheetId="2" sqref="BA760" start="0" length="0">
      <dxf/>
    </rfmt>
    <rfmt sheetId="2" sqref="BB760" start="0" length="0">
      <dxf/>
    </rfmt>
    <rfmt sheetId="2" sqref="BC760" start="0" length="0">
      <dxf/>
    </rfmt>
    <rfmt sheetId="2" sqref="BD760" start="0" length="0">
      <dxf/>
    </rfmt>
    <rfmt sheetId="2" sqref="BE760" start="0" length="0">
      <dxf/>
    </rfmt>
    <rfmt sheetId="2" sqref="BF760" start="0" length="0">
      <dxf/>
    </rfmt>
    <rfmt sheetId="2" sqref="BG760" start="0" length="0">
      <dxf/>
    </rfmt>
    <rfmt sheetId="2" sqref="BH760" start="0" length="0">
      <dxf/>
    </rfmt>
    <rfmt sheetId="2" sqref="BI760" start="0" length="0">
      <dxf/>
    </rfmt>
    <rfmt sheetId="2" sqref="BJ760" start="0" length="0">
      <dxf/>
    </rfmt>
    <rfmt sheetId="2" sqref="BK760" start="0" length="0">
      <dxf/>
    </rfmt>
    <rfmt sheetId="2" sqref="BL760" start="0" length="0">
      <dxf/>
    </rfmt>
    <rfmt sheetId="2" sqref="BM760" start="0" length="0">
      <dxf/>
    </rfmt>
    <rfmt sheetId="2" sqref="BN760" start="0" length="0">
      <dxf/>
    </rfmt>
    <rfmt sheetId="2" sqref="BO760" start="0" length="0">
      <dxf/>
    </rfmt>
    <rfmt sheetId="2" sqref="BP760" start="0" length="0">
      <dxf/>
    </rfmt>
    <rfmt sheetId="2" sqref="BQ760" start="0" length="0">
      <dxf/>
    </rfmt>
    <rfmt sheetId="2" sqref="BR760" start="0" length="0">
      <dxf/>
    </rfmt>
    <rfmt sheetId="2" sqref="BS760" start="0" length="0">
      <dxf/>
    </rfmt>
    <rfmt sheetId="2" sqref="BT760" start="0" length="0">
      <dxf/>
    </rfmt>
    <rfmt sheetId="2" sqref="BU760" start="0" length="0">
      <dxf/>
    </rfmt>
    <rfmt sheetId="2" sqref="BV760" start="0" length="0">
      <dxf/>
    </rfmt>
    <rfmt sheetId="2" sqref="BW760" start="0" length="0">
      <dxf/>
    </rfmt>
    <rfmt sheetId="2" sqref="BX760" start="0" length="0">
      <dxf/>
    </rfmt>
    <rfmt sheetId="2" sqref="BY760" start="0" length="0">
      <dxf/>
    </rfmt>
    <rfmt sheetId="2" sqref="BZ760" start="0" length="0">
      <dxf/>
    </rfmt>
    <rfmt sheetId="2" sqref="CA760" start="0" length="0">
      <dxf/>
    </rfmt>
    <rfmt sheetId="2" sqref="CB760" start="0" length="0">
      <dxf/>
    </rfmt>
    <rfmt sheetId="2" sqref="CC760" start="0" length="0">
      <dxf/>
    </rfmt>
    <rfmt sheetId="2" sqref="CD760" start="0" length="0">
      <dxf/>
    </rfmt>
    <rfmt sheetId="2" sqref="CE760" start="0" length="0">
      <dxf/>
    </rfmt>
    <rfmt sheetId="2" sqref="CF760" start="0" length="0">
      <dxf/>
    </rfmt>
    <rfmt sheetId="2" sqref="CG760" start="0" length="0">
      <dxf/>
    </rfmt>
    <rfmt sheetId="2" sqref="CH760" start="0" length="0">
      <dxf/>
    </rfmt>
    <rfmt sheetId="2" sqref="CI760" start="0" length="0">
      <dxf/>
    </rfmt>
    <rfmt sheetId="2" sqref="CJ760" start="0" length="0">
      <dxf/>
    </rfmt>
    <rfmt sheetId="2" sqref="CK760" start="0" length="0">
      <dxf/>
    </rfmt>
    <rfmt sheetId="2" sqref="CL760" start="0" length="0">
      <dxf/>
    </rfmt>
    <rfmt sheetId="2" sqref="CM760" start="0" length="0">
      <dxf/>
    </rfmt>
    <rfmt sheetId="2" sqref="CN760" start="0" length="0">
      <dxf/>
    </rfmt>
    <rfmt sheetId="2" sqref="CO760" start="0" length="0">
      <dxf/>
    </rfmt>
    <rfmt sheetId="2" sqref="CP760" start="0" length="0">
      <dxf/>
    </rfmt>
    <rfmt sheetId="2" sqref="CQ760" start="0" length="0">
      <dxf/>
    </rfmt>
    <rfmt sheetId="2" sqref="CR760" start="0" length="0">
      <dxf/>
    </rfmt>
    <rfmt sheetId="2" sqref="CS760" start="0" length="0">
      <dxf/>
    </rfmt>
    <rfmt sheetId="2" sqref="CT760" start="0" length="0">
      <dxf/>
    </rfmt>
    <rfmt sheetId="2" sqref="CU760" start="0" length="0">
      <dxf/>
    </rfmt>
    <rfmt sheetId="2" sqref="CV760" start="0" length="0">
      <dxf/>
    </rfmt>
    <rfmt sheetId="2" sqref="CW760" start="0" length="0">
      <dxf/>
    </rfmt>
    <rfmt sheetId="2" sqref="CX760" start="0" length="0">
      <dxf/>
    </rfmt>
    <rfmt sheetId="2" sqref="CY760" start="0" length="0">
      <dxf/>
    </rfmt>
    <rfmt sheetId="2" sqref="CZ760" start="0" length="0">
      <dxf/>
    </rfmt>
    <rfmt sheetId="2" sqref="DA760" start="0" length="0">
      <dxf/>
    </rfmt>
    <rfmt sheetId="2" sqref="DB760" start="0" length="0">
      <dxf/>
    </rfmt>
    <rfmt sheetId="2" sqref="DC760" start="0" length="0">
      <dxf/>
    </rfmt>
    <rfmt sheetId="2" sqref="DD760" start="0" length="0">
      <dxf/>
    </rfmt>
    <rfmt sheetId="2" sqref="DE760" start="0" length="0">
      <dxf/>
    </rfmt>
    <rfmt sheetId="2" sqref="DF760" start="0" length="0">
      <dxf/>
    </rfmt>
    <rfmt sheetId="2" sqref="DG760" start="0" length="0">
      <dxf/>
    </rfmt>
    <rfmt sheetId="2" sqref="DH760" start="0" length="0">
      <dxf/>
    </rfmt>
    <rfmt sheetId="2" sqref="DI760" start="0" length="0">
      <dxf/>
    </rfmt>
    <rfmt sheetId="2" sqref="DJ760" start="0" length="0">
      <dxf/>
    </rfmt>
    <rfmt sheetId="2" sqref="DK760" start="0" length="0">
      <dxf/>
    </rfmt>
    <rfmt sheetId="2" sqref="DL760" start="0" length="0">
      <dxf/>
    </rfmt>
    <rfmt sheetId="2" sqref="DM760" start="0" length="0">
      <dxf/>
    </rfmt>
    <rfmt sheetId="2" sqref="DN760" start="0" length="0">
      <dxf/>
    </rfmt>
    <rfmt sheetId="2" sqref="DO760" start="0" length="0">
      <dxf/>
    </rfmt>
    <rfmt sheetId="2" sqref="DP760" start="0" length="0">
      <dxf/>
    </rfmt>
    <rfmt sheetId="2" sqref="DQ760" start="0" length="0">
      <dxf/>
    </rfmt>
    <rfmt sheetId="2" sqref="DR760" start="0" length="0">
      <dxf/>
    </rfmt>
    <rfmt sheetId="2" sqref="DS760" start="0" length="0">
      <dxf/>
    </rfmt>
    <rfmt sheetId="2" sqref="DT760" start="0" length="0">
      <dxf/>
    </rfmt>
    <rfmt sheetId="2" sqref="DU760" start="0" length="0">
      <dxf/>
    </rfmt>
    <rfmt sheetId="2" sqref="DV760" start="0" length="0">
      <dxf/>
    </rfmt>
    <rfmt sheetId="2" sqref="DW760" start="0" length="0">
      <dxf/>
    </rfmt>
    <rfmt sheetId="2" sqref="DX760" start="0" length="0">
      <dxf/>
    </rfmt>
    <rfmt sheetId="2" sqref="DY760" start="0" length="0">
      <dxf/>
    </rfmt>
    <rfmt sheetId="2" sqref="DZ760" start="0" length="0">
      <dxf/>
    </rfmt>
    <rfmt sheetId="2" sqref="EA760" start="0" length="0">
      <dxf/>
    </rfmt>
    <rfmt sheetId="2" sqref="EB760" start="0" length="0">
      <dxf/>
    </rfmt>
    <rfmt sheetId="2" sqref="EC760" start="0" length="0">
      <dxf/>
    </rfmt>
    <rfmt sheetId="2" sqref="ED760" start="0" length="0">
      <dxf/>
    </rfmt>
    <rfmt sheetId="2" sqref="EE760" start="0" length="0">
      <dxf/>
    </rfmt>
    <rfmt sheetId="2" sqref="EF760" start="0" length="0">
      <dxf/>
    </rfmt>
    <rfmt sheetId="2" sqref="EG760" start="0" length="0">
      <dxf/>
    </rfmt>
    <rfmt sheetId="2" sqref="EH760" start="0" length="0">
      <dxf/>
    </rfmt>
    <rfmt sheetId="2" sqref="EI760" start="0" length="0">
      <dxf/>
    </rfmt>
    <rfmt sheetId="2" sqref="EJ760" start="0" length="0">
      <dxf/>
    </rfmt>
    <rfmt sheetId="2" sqref="EK760" start="0" length="0">
      <dxf/>
    </rfmt>
    <rfmt sheetId="2" sqref="EL760" start="0" length="0">
      <dxf/>
    </rfmt>
    <rfmt sheetId="2" sqref="EM760" start="0" length="0">
      <dxf/>
    </rfmt>
    <rfmt sheetId="2" sqref="EN760" start="0" length="0">
      <dxf/>
    </rfmt>
    <rfmt sheetId="2" sqref="EO760" start="0" length="0">
      <dxf/>
    </rfmt>
    <rfmt sheetId="2" sqref="EP760" start="0" length="0">
      <dxf/>
    </rfmt>
    <rfmt sheetId="2" sqref="EQ760" start="0" length="0">
      <dxf/>
    </rfmt>
    <rfmt sheetId="2" sqref="ER760" start="0" length="0">
      <dxf/>
    </rfmt>
    <rfmt sheetId="2" sqref="ES760" start="0" length="0">
      <dxf/>
    </rfmt>
    <rfmt sheetId="2" sqref="ET760" start="0" length="0">
      <dxf/>
    </rfmt>
    <rfmt sheetId="2" sqref="EU760" start="0" length="0">
      <dxf/>
    </rfmt>
    <rfmt sheetId="2" sqref="EV760" start="0" length="0">
      <dxf/>
    </rfmt>
    <rfmt sheetId="2" sqref="EW760" start="0" length="0">
      <dxf/>
    </rfmt>
    <rfmt sheetId="2" sqref="EX760" start="0" length="0">
      <dxf/>
    </rfmt>
    <rfmt sheetId="2" sqref="EY760" start="0" length="0">
      <dxf/>
    </rfmt>
    <rfmt sheetId="2" sqref="EZ760" start="0" length="0">
      <dxf/>
    </rfmt>
    <rfmt sheetId="2" sqref="FA760" start="0" length="0">
      <dxf/>
    </rfmt>
    <rfmt sheetId="2" sqref="FB760" start="0" length="0">
      <dxf/>
    </rfmt>
    <rfmt sheetId="2" sqref="FC760" start="0" length="0">
      <dxf/>
    </rfmt>
    <rfmt sheetId="2" sqref="FD760" start="0" length="0">
      <dxf/>
    </rfmt>
    <rfmt sheetId="2" sqref="FE760" start="0" length="0">
      <dxf/>
    </rfmt>
    <rfmt sheetId="2" sqref="FF760" start="0" length="0">
      <dxf/>
    </rfmt>
    <rfmt sheetId="2" sqref="FG760" start="0" length="0">
      <dxf/>
    </rfmt>
    <rfmt sheetId="2" sqref="FH760" start="0" length="0">
      <dxf/>
    </rfmt>
    <rfmt sheetId="2" sqref="FI760" start="0" length="0">
      <dxf/>
    </rfmt>
    <rfmt sheetId="2" sqref="FJ760" start="0" length="0">
      <dxf/>
    </rfmt>
    <rfmt sheetId="2" sqref="FK760" start="0" length="0">
      <dxf/>
    </rfmt>
    <rfmt sheetId="2" sqref="FL760" start="0" length="0">
      <dxf/>
    </rfmt>
    <rfmt sheetId="2" sqref="FM760" start="0" length="0">
      <dxf/>
    </rfmt>
    <rfmt sheetId="2" sqref="FN760" start="0" length="0">
      <dxf/>
    </rfmt>
    <rfmt sheetId="2" sqref="FO760" start="0" length="0">
      <dxf/>
    </rfmt>
    <rfmt sheetId="2" sqref="FP760" start="0" length="0">
      <dxf/>
    </rfmt>
    <rfmt sheetId="2" sqref="FQ760" start="0" length="0">
      <dxf/>
    </rfmt>
    <rfmt sheetId="2" sqref="FR760" start="0" length="0">
      <dxf/>
    </rfmt>
    <rfmt sheetId="2" sqref="FS760" start="0" length="0">
      <dxf/>
    </rfmt>
    <rfmt sheetId="2" sqref="FT760" start="0" length="0">
      <dxf/>
    </rfmt>
    <rfmt sheetId="2" sqref="FU760" start="0" length="0">
      <dxf/>
    </rfmt>
    <rfmt sheetId="2" sqref="FV760" start="0" length="0">
      <dxf/>
    </rfmt>
    <rfmt sheetId="2" sqref="FW760" start="0" length="0">
      <dxf/>
    </rfmt>
    <rfmt sheetId="2" sqref="FX760" start="0" length="0">
      <dxf/>
    </rfmt>
    <rfmt sheetId="2" sqref="FY760" start="0" length="0">
      <dxf/>
    </rfmt>
    <rfmt sheetId="2" sqref="FZ760" start="0" length="0">
      <dxf/>
    </rfmt>
    <rfmt sheetId="2" sqref="GA760" start="0" length="0">
      <dxf/>
    </rfmt>
    <rfmt sheetId="2" sqref="GB760" start="0" length="0">
      <dxf/>
    </rfmt>
    <rfmt sheetId="2" sqref="GC760" start="0" length="0">
      <dxf/>
    </rfmt>
    <rfmt sheetId="2" sqref="GD760" start="0" length="0">
      <dxf/>
    </rfmt>
    <rfmt sheetId="2" sqref="GE760" start="0" length="0">
      <dxf/>
    </rfmt>
    <rfmt sheetId="2" sqref="GF760" start="0" length="0">
      <dxf/>
    </rfmt>
    <rfmt sheetId="2" sqref="GG760" start="0" length="0">
      <dxf/>
    </rfmt>
    <rfmt sheetId="2" sqref="GH760" start="0" length="0">
      <dxf/>
    </rfmt>
    <rfmt sheetId="2" sqref="GI760" start="0" length="0">
      <dxf/>
    </rfmt>
    <rfmt sheetId="2" sqref="GJ760" start="0" length="0">
      <dxf/>
    </rfmt>
    <rfmt sheetId="2" sqref="GK760" start="0" length="0">
      <dxf/>
    </rfmt>
    <rfmt sheetId="2" sqref="GL760" start="0" length="0">
      <dxf/>
    </rfmt>
    <rfmt sheetId="2" sqref="GM760" start="0" length="0">
      <dxf/>
    </rfmt>
    <rfmt sheetId="2" sqref="GN760" start="0" length="0">
      <dxf/>
    </rfmt>
    <rfmt sheetId="2" sqref="GO760" start="0" length="0">
      <dxf/>
    </rfmt>
    <rfmt sheetId="2" sqref="GP760" start="0" length="0">
      <dxf/>
    </rfmt>
    <rfmt sheetId="2" sqref="GQ760" start="0" length="0">
      <dxf/>
    </rfmt>
    <rfmt sheetId="2" sqref="GR760" start="0" length="0">
      <dxf/>
    </rfmt>
    <rfmt sheetId="2" sqref="GS760" start="0" length="0">
      <dxf/>
    </rfmt>
    <rfmt sheetId="2" sqref="GT760" start="0" length="0">
      <dxf/>
    </rfmt>
    <rfmt sheetId="2" sqref="GU760" start="0" length="0">
      <dxf/>
    </rfmt>
    <rfmt sheetId="2" sqref="GV760" start="0" length="0">
      <dxf/>
    </rfmt>
    <rfmt sheetId="2" sqref="GW760" start="0" length="0">
      <dxf/>
    </rfmt>
    <rfmt sheetId="2" sqref="GX760" start="0" length="0">
      <dxf/>
    </rfmt>
    <rfmt sheetId="2" sqref="GY760" start="0" length="0">
      <dxf/>
    </rfmt>
    <rfmt sheetId="2" sqref="GZ760" start="0" length="0">
      <dxf/>
    </rfmt>
    <rfmt sheetId="2" sqref="HA760" start="0" length="0">
      <dxf/>
    </rfmt>
    <rfmt sheetId="2" sqref="HB760" start="0" length="0">
      <dxf/>
    </rfmt>
    <rfmt sheetId="2" sqref="HC760" start="0" length="0">
      <dxf/>
    </rfmt>
    <rfmt sheetId="2" sqref="HD760" start="0" length="0">
      <dxf/>
    </rfmt>
    <rfmt sheetId="2" sqref="HE760" start="0" length="0">
      <dxf/>
    </rfmt>
    <rfmt sheetId="2" sqref="HF760" start="0" length="0">
      <dxf/>
    </rfmt>
    <rfmt sheetId="2" sqref="HG760" start="0" length="0">
      <dxf/>
    </rfmt>
    <rfmt sheetId="2" sqref="HH760" start="0" length="0">
      <dxf/>
    </rfmt>
    <rfmt sheetId="2" sqref="HI760" start="0" length="0">
      <dxf/>
    </rfmt>
    <rfmt sheetId="2" sqref="HJ760" start="0" length="0">
      <dxf/>
    </rfmt>
    <rfmt sheetId="2" sqref="HK760" start="0" length="0">
      <dxf/>
    </rfmt>
    <rfmt sheetId="2" sqref="HL760" start="0" length="0">
      <dxf/>
    </rfmt>
    <rfmt sheetId="2" sqref="HM760" start="0" length="0">
      <dxf/>
    </rfmt>
    <rfmt sheetId="2" sqref="HN760" start="0" length="0">
      <dxf/>
    </rfmt>
    <rfmt sheetId="2" sqref="HO760" start="0" length="0">
      <dxf/>
    </rfmt>
    <rfmt sheetId="2" sqref="HP760" start="0" length="0">
      <dxf/>
    </rfmt>
    <rfmt sheetId="2" sqref="HQ760" start="0" length="0">
      <dxf/>
    </rfmt>
    <rfmt sheetId="2" sqref="HR760" start="0" length="0">
      <dxf/>
    </rfmt>
    <rfmt sheetId="2" sqref="HS760" start="0" length="0">
      <dxf/>
    </rfmt>
    <rfmt sheetId="2" sqref="HT760" start="0" length="0">
      <dxf/>
    </rfmt>
    <rfmt sheetId="2" sqref="HU760" start="0" length="0">
      <dxf/>
    </rfmt>
    <rfmt sheetId="2" sqref="HV760" start="0" length="0">
      <dxf/>
    </rfmt>
    <rfmt sheetId="2" sqref="HW760" start="0" length="0">
      <dxf/>
    </rfmt>
    <rfmt sheetId="2" sqref="HX760" start="0" length="0">
      <dxf/>
    </rfmt>
    <rfmt sheetId="2" sqref="HY760" start="0" length="0">
      <dxf/>
    </rfmt>
    <rfmt sheetId="2" sqref="HZ760" start="0" length="0">
      <dxf/>
    </rfmt>
    <rfmt sheetId="2" sqref="IA760" start="0" length="0">
      <dxf/>
    </rfmt>
    <rfmt sheetId="2" sqref="IB760" start="0" length="0">
      <dxf/>
    </rfmt>
    <rfmt sheetId="2" sqref="IC760" start="0" length="0">
      <dxf/>
    </rfmt>
    <rfmt sheetId="2" sqref="ID760" start="0" length="0">
      <dxf/>
    </rfmt>
    <rfmt sheetId="2" sqref="IE760" start="0" length="0">
      <dxf/>
    </rfmt>
    <rfmt sheetId="2" sqref="IF760" start="0" length="0">
      <dxf/>
    </rfmt>
    <rfmt sheetId="2" sqref="IG760" start="0" length="0">
      <dxf/>
    </rfmt>
    <rfmt sheetId="2" sqref="IH760" start="0" length="0">
      <dxf/>
    </rfmt>
    <rfmt sheetId="2" sqref="II760" start="0" length="0">
      <dxf/>
    </rfmt>
    <rfmt sheetId="2" sqref="IJ760" start="0" length="0">
      <dxf/>
    </rfmt>
    <rfmt sheetId="2" sqref="IK760" start="0" length="0">
      <dxf/>
    </rfmt>
    <rfmt sheetId="2" sqref="IL760" start="0" length="0">
      <dxf/>
    </rfmt>
    <rfmt sheetId="2" sqref="IM760" start="0" length="0">
      <dxf/>
    </rfmt>
    <rfmt sheetId="2" sqref="IN760" start="0" length="0">
      <dxf/>
    </rfmt>
    <rfmt sheetId="2" sqref="IO760" start="0" length="0">
      <dxf/>
    </rfmt>
    <rfmt sheetId="2" sqref="IP760" start="0" length="0">
      <dxf/>
    </rfmt>
    <rfmt sheetId="2" sqref="IQ760" start="0" length="0">
      <dxf/>
    </rfmt>
    <rfmt sheetId="2" sqref="IR760" start="0" length="0">
      <dxf/>
    </rfmt>
    <rfmt sheetId="2" sqref="IS760" start="0" length="0">
      <dxf/>
    </rfmt>
    <rfmt sheetId="2" sqref="IT760" start="0" length="0">
      <dxf/>
    </rfmt>
    <rfmt sheetId="2" sqref="IU760" start="0" length="0">
      <dxf/>
    </rfmt>
    <rfmt sheetId="2" sqref="IV760" start="0" length="0">
      <dxf/>
    </rfmt>
    <rfmt sheetId="2" sqref="IW760" start="0" length="0">
      <dxf/>
    </rfmt>
    <rfmt sheetId="2" sqref="IX760" start="0" length="0">
      <dxf/>
    </rfmt>
    <rfmt sheetId="2" sqref="IY760" start="0" length="0">
      <dxf/>
    </rfmt>
    <rfmt sheetId="2" sqref="IZ760" start="0" length="0">
      <dxf/>
    </rfmt>
    <rfmt sheetId="2" sqref="JA760" start="0" length="0">
      <dxf/>
    </rfmt>
    <rfmt sheetId="2" sqref="JB760" start="0" length="0">
      <dxf/>
    </rfmt>
    <rfmt sheetId="2" sqref="JC760" start="0" length="0">
      <dxf/>
    </rfmt>
    <rfmt sheetId="2" sqref="JD760" start="0" length="0">
      <dxf/>
    </rfmt>
    <rfmt sheetId="2" sqref="JE760" start="0" length="0">
      <dxf/>
    </rfmt>
    <rfmt sheetId="2" sqref="JF760" start="0" length="0">
      <dxf/>
    </rfmt>
    <rfmt sheetId="2" sqref="JG760" start="0" length="0">
      <dxf/>
    </rfmt>
    <rfmt sheetId="2" sqref="JH760" start="0" length="0">
      <dxf/>
    </rfmt>
    <rfmt sheetId="2" sqref="JI760" start="0" length="0">
      <dxf/>
    </rfmt>
    <rfmt sheetId="2" sqref="JJ760" start="0" length="0">
      <dxf/>
    </rfmt>
    <rfmt sheetId="2" sqref="JK760" start="0" length="0">
      <dxf/>
    </rfmt>
    <rfmt sheetId="2" sqref="JL760" start="0" length="0">
      <dxf/>
    </rfmt>
    <rfmt sheetId="2" sqref="JM760" start="0" length="0">
      <dxf/>
    </rfmt>
    <rfmt sheetId="2" sqref="JN760" start="0" length="0">
      <dxf/>
    </rfmt>
    <rfmt sheetId="2" sqref="JO760" start="0" length="0">
      <dxf/>
    </rfmt>
    <rfmt sheetId="2" sqref="JP760" start="0" length="0">
      <dxf/>
    </rfmt>
    <rfmt sheetId="2" sqref="JQ760" start="0" length="0">
      <dxf/>
    </rfmt>
    <rfmt sheetId="2" sqref="JR760" start="0" length="0">
      <dxf/>
    </rfmt>
    <rfmt sheetId="2" sqref="JS760" start="0" length="0">
      <dxf/>
    </rfmt>
    <rfmt sheetId="2" sqref="JT760" start="0" length="0">
      <dxf/>
    </rfmt>
    <rfmt sheetId="2" sqref="JU760" start="0" length="0">
      <dxf/>
    </rfmt>
    <rfmt sheetId="2" sqref="JV760" start="0" length="0">
      <dxf/>
    </rfmt>
    <rfmt sheetId="2" sqref="JW760" start="0" length="0">
      <dxf/>
    </rfmt>
    <rfmt sheetId="2" sqref="JX760" start="0" length="0">
      <dxf/>
    </rfmt>
    <rfmt sheetId="2" sqref="JY760" start="0" length="0">
      <dxf/>
    </rfmt>
    <rfmt sheetId="2" sqref="JZ760" start="0" length="0">
      <dxf/>
    </rfmt>
    <rfmt sheetId="2" sqref="KA760" start="0" length="0">
      <dxf/>
    </rfmt>
    <rfmt sheetId="2" sqref="KB760" start="0" length="0">
      <dxf/>
    </rfmt>
    <rfmt sheetId="2" sqref="KC760" start="0" length="0">
      <dxf/>
    </rfmt>
    <rfmt sheetId="2" sqref="KD760" start="0" length="0">
      <dxf/>
    </rfmt>
    <rfmt sheetId="2" sqref="KE760" start="0" length="0">
      <dxf/>
    </rfmt>
    <rfmt sheetId="2" sqref="KF760" start="0" length="0">
      <dxf/>
    </rfmt>
    <rfmt sheetId="2" sqref="KG760" start="0" length="0">
      <dxf/>
    </rfmt>
    <rfmt sheetId="2" sqref="KH760" start="0" length="0">
      <dxf/>
    </rfmt>
    <rfmt sheetId="2" sqref="KI760" start="0" length="0">
      <dxf/>
    </rfmt>
    <rfmt sheetId="2" sqref="KJ760" start="0" length="0">
      <dxf/>
    </rfmt>
    <rfmt sheetId="2" sqref="KK760" start="0" length="0">
      <dxf/>
    </rfmt>
    <rfmt sheetId="2" sqref="KL760" start="0" length="0">
      <dxf/>
    </rfmt>
    <rfmt sheetId="2" sqref="KM760" start="0" length="0">
      <dxf/>
    </rfmt>
    <rfmt sheetId="2" sqref="KN760" start="0" length="0">
      <dxf/>
    </rfmt>
    <rfmt sheetId="2" sqref="KO760" start="0" length="0">
      <dxf/>
    </rfmt>
    <rfmt sheetId="2" sqref="KP760" start="0" length="0">
      <dxf/>
    </rfmt>
    <rfmt sheetId="2" sqref="KQ760" start="0" length="0">
      <dxf/>
    </rfmt>
    <rfmt sheetId="2" sqref="KR760" start="0" length="0">
      <dxf/>
    </rfmt>
    <rfmt sheetId="2" sqref="KS760" start="0" length="0">
      <dxf/>
    </rfmt>
    <rfmt sheetId="2" sqref="KT760" start="0" length="0">
      <dxf/>
    </rfmt>
    <rfmt sheetId="2" sqref="KU760" start="0" length="0">
      <dxf/>
    </rfmt>
    <rfmt sheetId="2" sqref="KV760" start="0" length="0">
      <dxf/>
    </rfmt>
    <rfmt sheetId="2" sqref="KW760" start="0" length="0">
      <dxf/>
    </rfmt>
    <rfmt sheetId="2" sqref="KX760" start="0" length="0">
      <dxf/>
    </rfmt>
    <rfmt sheetId="2" sqref="KY760" start="0" length="0">
      <dxf/>
    </rfmt>
    <rfmt sheetId="2" sqref="KZ760" start="0" length="0">
      <dxf/>
    </rfmt>
    <rfmt sheetId="2" sqref="LA760" start="0" length="0">
      <dxf/>
    </rfmt>
    <rfmt sheetId="2" sqref="LB760" start="0" length="0">
      <dxf/>
    </rfmt>
    <rfmt sheetId="2" sqref="LC760" start="0" length="0">
      <dxf/>
    </rfmt>
    <rfmt sheetId="2" sqref="LD760" start="0" length="0">
      <dxf/>
    </rfmt>
    <rfmt sheetId="2" sqref="LE760" start="0" length="0">
      <dxf/>
    </rfmt>
    <rfmt sheetId="2" sqref="LF760" start="0" length="0">
      <dxf/>
    </rfmt>
    <rfmt sheetId="2" sqref="LG760" start="0" length="0">
      <dxf/>
    </rfmt>
    <rfmt sheetId="2" sqref="LH760" start="0" length="0">
      <dxf/>
    </rfmt>
    <rfmt sheetId="2" sqref="LI760" start="0" length="0">
      <dxf/>
    </rfmt>
    <rfmt sheetId="2" sqref="LJ760" start="0" length="0">
      <dxf/>
    </rfmt>
    <rfmt sheetId="2" sqref="LK760" start="0" length="0">
      <dxf/>
    </rfmt>
    <rfmt sheetId="2" sqref="LL760" start="0" length="0">
      <dxf/>
    </rfmt>
    <rfmt sheetId="2" sqref="LM760" start="0" length="0">
      <dxf/>
    </rfmt>
    <rfmt sheetId="2" sqref="LN760" start="0" length="0">
      <dxf/>
    </rfmt>
    <rfmt sheetId="2" sqref="LO760" start="0" length="0">
      <dxf/>
    </rfmt>
    <rfmt sheetId="2" sqref="LP760" start="0" length="0">
      <dxf/>
    </rfmt>
    <rfmt sheetId="2" sqref="LQ760" start="0" length="0">
      <dxf/>
    </rfmt>
    <rfmt sheetId="2" sqref="LR760" start="0" length="0">
      <dxf/>
    </rfmt>
    <rfmt sheetId="2" sqref="LS760" start="0" length="0">
      <dxf/>
    </rfmt>
    <rfmt sheetId="2" sqref="LT760" start="0" length="0">
      <dxf/>
    </rfmt>
    <rfmt sheetId="2" sqref="LU760" start="0" length="0">
      <dxf/>
    </rfmt>
    <rfmt sheetId="2" sqref="LV760" start="0" length="0">
      <dxf/>
    </rfmt>
    <rfmt sheetId="2" sqref="LW760" start="0" length="0">
      <dxf/>
    </rfmt>
    <rfmt sheetId="2" sqref="LX760" start="0" length="0">
      <dxf/>
    </rfmt>
    <rfmt sheetId="2" sqref="LY760" start="0" length="0">
      <dxf/>
    </rfmt>
    <rfmt sheetId="2" sqref="LZ760" start="0" length="0">
      <dxf/>
    </rfmt>
    <rfmt sheetId="2" sqref="MA760" start="0" length="0">
      <dxf/>
    </rfmt>
    <rfmt sheetId="2" sqref="MB760" start="0" length="0">
      <dxf/>
    </rfmt>
  </rm>
  <rrc rId="1718" sId="2" ref="A767:XFD767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7:XFD767" start="0" length="0">
      <dxf>
        <font>
          <sz val="10"/>
          <name val="Arial"/>
          <scheme val="none"/>
        </font>
        <alignment horizontal="center" readingOrder="0"/>
      </dxf>
    </rfmt>
    <rfmt sheetId="2" sqref="A76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7" start="0" length="0">
      <dxf>
        <numFmt numFmtId="176" formatCode="m/d;@"/>
      </dxf>
    </rfmt>
    <rfmt sheetId="2" sqref="P76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7" start="0" length="0">
      <dxf/>
    </rfmt>
    <rfmt sheetId="2" sqref="U767" start="0" length="0">
      <dxf/>
    </rfmt>
    <rfmt sheetId="2" sqref="V767" start="0" length="0">
      <dxf/>
    </rfmt>
    <rfmt sheetId="2" sqref="W767" start="0" length="0">
      <dxf/>
    </rfmt>
    <rfmt sheetId="2" sqref="X767" start="0" length="0">
      <dxf/>
    </rfmt>
    <rfmt sheetId="2" sqref="Y767" start="0" length="0">
      <dxf/>
    </rfmt>
    <rfmt sheetId="2" sqref="Z767" start="0" length="0">
      <dxf/>
    </rfmt>
    <rfmt sheetId="2" sqref="AA767" start="0" length="0">
      <dxf/>
    </rfmt>
    <rfmt sheetId="2" sqref="AB767" start="0" length="0">
      <dxf/>
    </rfmt>
    <rfmt sheetId="2" sqref="AC767" start="0" length="0">
      <dxf/>
    </rfmt>
    <rfmt sheetId="2" sqref="AD767" start="0" length="0">
      <dxf/>
    </rfmt>
    <rfmt sheetId="2" sqref="AE767" start="0" length="0">
      <dxf/>
    </rfmt>
    <rfmt sheetId="2" sqref="AF767" start="0" length="0">
      <dxf/>
    </rfmt>
    <rfmt sheetId="2" sqref="AG767" start="0" length="0">
      <dxf/>
    </rfmt>
    <rfmt sheetId="2" sqref="AH767" start="0" length="0">
      <dxf/>
    </rfmt>
    <rfmt sheetId="2" sqref="AI767" start="0" length="0">
      <dxf/>
    </rfmt>
    <rfmt sheetId="2" sqref="AJ767" start="0" length="0">
      <dxf/>
    </rfmt>
    <rfmt sheetId="2" sqref="AK767" start="0" length="0">
      <dxf/>
    </rfmt>
    <rfmt sheetId="2" sqref="AL767" start="0" length="0">
      <dxf/>
    </rfmt>
    <rfmt sheetId="2" sqref="AM767" start="0" length="0">
      <dxf/>
    </rfmt>
    <rfmt sheetId="2" sqref="AN767" start="0" length="0">
      <dxf/>
    </rfmt>
    <rfmt sheetId="2" sqref="AO767" start="0" length="0">
      <dxf/>
    </rfmt>
    <rfmt sheetId="2" sqref="AP767" start="0" length="0">
      <dxf/>
    </rfmt>
    <rfmt sheetId="2" sqref="AQ767" start="0" length="0">
      <dxf/>
    </rfmt>
    <rfmt sheetId="2" sqref="AR767" start="0" length="0">
      <dxf/>
    </rfmt>
    <rfmt sheetId="2" sqref="AS767" start="0" length="0">
      <dxf/>
    </rfmt>
    <rfmt sheetId="2" sqref="AT767" start="0" length="0">
      <dxf/>
    </rfmt>
    <rfmt sheetId="2" sqref="AU767" start="0" length="0">
      <dxf/>
    </rfmt>
    <rfmt sheetId="2" sqref="AV767" start="0" length="0">
      <dxf/>
    </rfmt>
    <rfmt sheetId="2" sqref="AW767" start="0" length="0">
      <dxf/>
    </rfmt>
    <rfmt sheetId="2" sqref="AX767" start="0" length="0">
      <dxf/>
    </rfmt>
    <rfmt sheetId="2" sqref="AY767" start="0" length="0">
      <dxf/>
    </rfmt>
    <rfmt sheetId="2" sqref="AZ767" start="0" length="0">
      <dxf/>
    </rfmt>
    <rfmt sheetId="2" sqref="BA767" start="0" length="0">
      <dxf/>
    </rfmt>
    <rfmt sheetId="2" sqref="BB767" start="0" length="0">
      <dxf/>
    </rfmt>
    <rfmt sheetId="2" sqref="BC767" start="0" length="0">
      <dxf/>
    </rfmt>
    <rfmt sheetId="2" sqref="BD767" start="0" length="0">
      <dxf/>
    </rfmt>
    <rfmt sheetId="2" sqref="BE767" start="0" length="0">
      <dxf/>
    </rfmt>
    <rfmt sheetId="2" sqref="BF767" start="0" length="0">
      <dxf/>
    </rfmt>
    <rfmt sheetId="2" sqref="BG767" start="0" length="0">
      <dxf/>
    </rfmt>
    <rfmt sheetId="2" sqref="BH767" start="0" length="0">
      <dxf/>
    </rfmt>
    <rfmt sheetId="2" sqref="BI767" start="0" length="0">
      <dxf/>
    </rfmt>
    <rfmt sheetId="2" sqref="BJ767" start="0" length="0">
      <dxf/>
    </rfmt>
    <rfmt sheetId="2" sqref="BK767" start="0" length="0">
      <dxf/>
    </rfmt>
    <rfmt sheetId="2" sqref="BL767" start="0" length="0">
      <dxf/>
    </rfmt>
    <rfmt sheetId="2" sqref="BM767" start="0" length="0">
      <dxf/>
    </rfmt>
    <rfmt sheetId="2" sqref="BN767" start="0" length="0">
      <dxf/>
    </rfmt>
    <rfmt sheetId="2" sqref="BO767" start="0" length="0">
      <dxf/>
    </rfmt>
    <rfmt sheetId="2" sqref="BP767" start="0" length="0">
      <dxf/>
    </rfmt>
    <rfmt sheetId="2" sqref="BQ767" start="0" length="0">
      <dxf/>
    </rfmt>
    <rfmt sheetId="2" sqref="BR767" start="0" length="0">
      <dxf/>
    </rfmt>
    <rfmt sheetId="2" sqref="BS767" start="0" length="0">
      <dxf/>
    </rfmt>
    <rfmt sheetId="2" sqref="BT767" start="0" length="0">
      <dxf/>
    </rfmt>
    <rfmt sheetId="2" sqref="BU767" start="0" length="0">
      <dxf/>
    </rfmt>
    <rfmt sheetId="2" sqref="BV767" start="0" length="0">
      <dxf/>
    </rfmt>
    <rfmt sheetId="2" sqref="BW767" start="0" length="0">
      <dxf/>
    </rfmt>
    <rfmt sheetId="2" sqref="BX767" start="0" length="0">
      <dxf/>
    </rfmt>
    <rfmt sheetId="2" sqref="BY767" start="0" length="0">
      <dxf/>
    </rfmt>
    <rfmt sheetId="2" sqref="BZ767" start="0" length="0">
      <dxf/>
    </rfmt>
    <rfmt sheetId="2" sqref="CA767" start="0" length="0">
      <dxf/>
    </rfmt>
    <rfmt sheetId="2" sqref="CB767" start="0" length="0">
      <dxf/>
    </rfmt>
    <rfmt sheetId="2" sqref="CC767" start="0" length="0">
      <dxf/>
    </rfmt>
    <rfmt sheetId="2" sqref="CD767" start="0" length="0">
      <dxf/>
    </rfmt>
    <rfmt sheetId="2" sqref="CE767" start="0" length="0">
      <dxf/>
    </rfmt>
    <rfmt sheetId="2" sqref="CF767" start="0" length="0">
      <dxf/>
    </rfmt>
    <rfmt sheetId="2" sqref="CG767" start="0" length="0">
      <dxf/>
    </rfmt>
    <rfmt sheetId="2" sqref="CH767" start="0" length="0">
      <dxf/>
    </rfmt>
    <rfmt sheetId="2" sqref="CI767" start="0" length="0">
      <dxf/>
    </rfmt>
    <rfmt sheetId="2" sqref="CJ767" start="0" length="0">
      <dxf/>
    </rfmt>
    <rfmt sheetId="2" sqref="CK767" start="0" length="0">
      <dxf/>
    </rfmt>
    <rfmt sheetId="2" sqref="CL767" start="0" length="0">
      <dxf/>
    </rfmt>
    <rfmt sheetId="2" sqref="CM767" start="0" length="0">
      <dxf/>
    </rfmt>
    <rfmt sheetId="2" sqref="CN767" start="0" length="0">
      <dxf/>
    </rfmt>
    <rfmt sheetId="2" sqref="CO767" start="0" length="0">
      <dxf/>
    </rfmt>
    <rfmt sheetId="2" sqref="CP767" start="0" length="0">
      <dxf/>
    </rfmt>
    <rfmt sheetId="2" sqref="CQ767" start="0" length="0">
      <dxf/>
    </rfmt>
    <rfmt sheetId="2" sqref="CR767" start="0" length="0">
      <dxf/>
    </rfmt>
    <rfmt sheetId="2" sqref="CS767" start="0" length="0">
      <dxf/>
    </rfmt>
    <rfmt sheetId="2" sqref="CT767" start="0" length="0">
      <dxf/>
    </rfmt>
    <rfmt sheetId="2" sqref="CU767" start="0" length="0">
      <dxf/>
    </rfmt>
    <rfmt sheetId="2" sqref="CV767" start="0" length="0">
      <dxf/>
    </rfmt>
    <rfmt sheetId="2" sqref="CW767" start="0" length="0">
      <dxf/>
    </rfmt>
    <rfmt sheetId="2" sqref="CX767" start="0" length="0">
      <dxf/>
    </rfmt>
    <rfmt sheetId="2" sqref="CY767" start="0" length="0">
      <dxf/>
    </rfmt>
    <rfmt sheetId="2" sqref="CZ767" start="0" length="0">
      <dxf/>
    </rfmt>
    <rfmt sheetId="2" sqref="DA767" start="0" length="0">
      <dxf/>
    </rfmt>
    <rfmt sheetId="2" sqref="DB767" start="0" length="0">
      <dxf/>
    </rfmt>
    <rfmt sheetId="2" sqref="DC767" start="0" length="0">
      <dxf/>
    </rfmt>
    <rfmt sheetId="2" sqref="DD767" start="0" length="0">
      <dxf/>
    </rfmt>
    <rfmt sheetId="2" sqref="DE767" start="0" length="0">
      <dxf/>
    </rfmt>
    <rfmt sheetId="2" sqref="DF767" start="0" length="0">
      <dxf/>
    </rfmt>
    <rfmt sheetId="2" sqref="DG767" start="0" length="0">
      <dxf/>
    </rfmt>
    <rfmt sheetId="2" sqref="DH767" start="0" length="0">
      <dxf/>
    </rfmt>
    <rfmt sheetId="2" sqref="DI767" start="0" length="0">
      <dxf/>
    </rfmt>
    <rfmt sheetId="2" sqref="DJ767" start="0" length="0">
      <dxf/>
    </rfmt>
    <rfmt sheetId="2" sqref="DK767" start="0" length="0">
      <dxf/>
    </rfmt>
    <rfmt sheetId="2" sqref="DL767" start="0" length="0">
      <dxf/>
    </rfmt>
    <rfmt sheetId="2" sqref="DM767" start="0" length="0">
      <dxf/>
    </rfmt>
    <rfmt sheetId="2" sqref="DN767" start="0" length="0">
      <dxf/>
    </rfmt>
    <rfmt sheetId="2" sqref="DO767" start="0" length="0">
      <dxf/>
    </rfmt>
    <rfmt sheetId="2" sqref="DP767" start="0" length="0">
      <dxf/>
    </rfmt>
    <rfmt sheetId="2" sqref="DQ767" start="0" length="0">
      <dxf/>
    </rfmt>
    <rfmt sheetId="2" sqref="DR767" start="0" length="0">
      <dxf/>
    </rfmt>
    <rfmt sheetId="2" sqref="DS767" start="0" length="0">
      <dxf/>
    </rfmt>
    <rfmt sheetId="2" sqref="DT767" start="0" length="0">
      <dxf/>
    </rfmt>
    <rfmt sheetId="2" sqref="DU767" start="0" length="0">
      <dxf/>
    </rfmt>
    <rfmt sheetId="2" sqref="DV767" start="0" length="0">
      <dxf/>
    </rfmt>
    <rfmt sheetId="2" sqref="DW767" start="0" length="0">
      <dxf/>
    </rfmt>
    <rfmt sheetId="2" sqref="DX767" start="0" length="0">
      <dxf/>
    </rfmt>
    <rfmt sheetId="2" sqref="DY767" start="0" length="0">
      <dxf/>
    </rfmt>
    <rfmt sheetId="2" sqref="DZ767" start="0" length="0">
      <dxf/>
    </rfmt>
    <rfmt sheetId="2" sqref="EA767" start="0" length="0">
      <dxf/>
    </rfmt>
    <rfmt sheetId="2" sqref="EB767" start="0" length="0">
      <dxf/>
    </rfmt>
    <rfmt sheetId="2" sqref="EC767" start="0" length="0">
      <dxf/>
    </rfmt>
    <rfmt sheetId="2" sqref="ED767" start="0" length="0">
      <dxf/>
    </rfmt>
    <rfmt sheetId="2" sqref="EE767" start="0" length="0">
      <dxf/>
    </rfmt>
    <rfmt sheetId="2" sqref="EF767" start="0" length="0">
      <dxf/>
    </rfmt>
    <rfmt sheetId="2" sqref="EG767" start="0" length="0">
      <dxf/>
    </rfmt>
    <rfmt sheetId="2" sqref="EH767" start="0" length="0">
      <dxf/>
    </rfmt>
    <rfmt sheetId="2" sqref="EI767" start="0" length="0">
      <dxf/>
    </rfmt>
    <rfmt sheetId="2" sqref="EJ767" start="0" length="0">
      <dxf/>
    </rfmt>
    <rfmt sheetId="2" sqref="EK767" start="0" length="0">
      <dxf/>
    </rfmt>
    <rfmt sheetId="2" sqref="EL767" start="0" length="0">
      <dxf/>
    </rfmt>
    <rfmt sheetId="2" sqref="EM767" start="0" length="0">
      <dxf/>
    </rfmt>
    <rfmt sheetId="2" sqref="EN767" start="0" length="0">
      <dxf/>
    </rfmt>
    <rfmt sheetId="2" sqref="EO767" start="0" length="0">
      <dxf/>
    </rfmt>
    <rfmt sheetId="2" sqref="EP767" start="0" length="0">
      <dxf/>
    </rfmt>
    <rfmt sheetId="2" sqref="EQ767" start="0" length="0">
      <dxf/>
    </rfmt>
    <rfmt sheetId="2" sqref="ER767" start="0" length="0">
      <dxf/>
    </rfmt>
    <rfmt sheetId="2" sqref="ES767" start="0" length="0">
      <dxf/>
    </rfmt>
    <rfmt sheetId="2" sqref="ET767" start="0" length="0">
      <dxf/>
    </rfmt>
    <rfmt sheetId="2" sqref="EU767" start="0" length="0">
      <dxf/>
    </rfmt>
    <rfmt sheetId="2" sqref="EV767" start="0" length="0">
      <dxf/>
    </rfmt>
    <rfmt sheetId="2" sqref="EW767" start="0" length="0">
      <dxf/>
    </rfmt>
    <rfmt sheetId="2" sqref="EX767" start="0" length="0">
      <dxf/>
    </rfmt>
    <rfmt sheetId="2" sqref="EY767" start="0" length="0">
      <dxf/>
    </rfmt>
    <rfmt sheetId="2" sqref="EZ767" start="0" length="0">
      <dxf/>
    </rfmt>
    <rfmt sheetId="2" sqref="FA767" start="0" length="0">
      <dxf/>
    </rfmt>
    <rfmt sheetId="2" sqref="FB767" start="0" length="0">
      <dxf/>
    </rfmt>
    <rfmt sheetId="2" sqref="FC767" start="0" length="0">
      <dxf/>
    </rfmt>
    <rfmt sheetId="2" sqref="FD767" start="0" length="0">
      <dxf/>
    </rfmt>
    <rfmt sheetId="2" sqref="FE767" start="0" length="0">
      <dxf/>
    </rfmt>
    <rfmt sheetId="2" sqref="FF767" start="0" length="0">
      <dxf/>
    </rfmt>
    <rfmt sheetId="2" sqref="FG767" start="0" length="0">
      <dxf/>
    </rfmt>
    <rfmt sheetId="2" sqref="FH767" start="0" length="0">
      <dxf/>
    </rfmt>
    <rfmt sheetId="2" sqref="FI767" start="0" length="0">
      <dxf/>
    </rfmt>
    <rfmt sheetId="2" sqref="FJ767" start="0" length="0">
      <dxf/>
    </rfmt>
    <rfmt sheetId="2" sqref="FK767" start="0" length="0">
      <dxf/>
    </rfmt>
    <rfmt sheetId="2" sqref="FL767" start="0" length="0">
      <dxf/>
    </rfmt>
    <rfmt sheetId="2" sqref="FM767" start="0" length="0">
      <dxf/>
    </rfmt>
    <rfmt sheetId="2" sqref="FN767" start="0" length="0">
      <dxf/>
    </rfmt>
    <rfmt sheetId="2" sqref="FO767" start="0" length="0">
      <dxf/>
    </rfmt>
    <rfmt sheetId="2" sqref="FP767" start="0" length="0">
      <dxf/>
    </rfmt>
    <rfmt sheetId="2" sqref="FQ767" start="0" length="0">
      <dxf/>
    </rfmt>
    <rfmt sheetId="2" sqref="FR767" start="0" length="0">
      <dxf/>
    </rfmt>
    <rfmt sheetId="2" sqref="FS767" start="0" length="0">
      <dxf/>
    </rfmt>
    <rfmt sheetId="2" sqref="FT767" start="0" length="0">
      <dxf/>
    </rfmt>
    <rfmt sheetId="2" sqref="FU767" start="0" length="0">
      <dxf/>
    </rfmt>
    <rfmt sheetId="2" sqref="FV767" start="0" length="0">
      <dxf/>
    </rfmt>
    <rfmt sheetId="2" sqref="FW767" start="0" length="0">
      <dxf/>
    </rfmt>
    <rfmt sheetId="2" sqref="FX767" start="0" length="0">
      <dxf/>
    </rfmt>
    <rfmt sheetId="2" sqref="FY767" start="0" length="0">
      <dxf/>
    </rfmt>
    <rfmt sheetId="2" sqref="FZ767" start="0" length="0">
      <dxf/>
    </rfmt>
    <rfmt sheetId="2" sqref="GA767" start="0" length="0">
      <dxf/>
    </rfmt>
    <rfmt sheetId="2" sqref="GB767" start="0" length="0">
      <dxf/>
    </rfmt>
    <rfmt sheetId="2" sqref="GC767" start="0" length="0">
      <dxf/>
    </rfmt>
    <rfmt sheetId="2" sqref="GD767" start="0" length="0">
      <dxf/>
    </rfmt>
    <rfmt sheetId="2" sqref="GE767" start="0" length="0">
      <dxf/>
    </rfmt>
    <rfmt sheetId="2" sqref="GF767" start="0" length="0">
      <dxf/>
    </rfmt>
    <rfmt sheetId="2" sqref="GG767" start="0" length="0">
      <dxf/>
    </rfmt>
    <rfmt sheetId="2" sqref="GH767" start="0" length="0">
      <dxf/>
    </rfmt>
    <rfmt sheetId="2" sqref="GI767" start="0" length="0">
      <dxf/>
    </rfmt>
    <rfmt sheetId="2" sqref="GJ767" start="0" length="0">
      <dxf/>
    </rfmt>
    <rfmt sheetId="2" sqref="GK767" start="0" length="0">
      <dxf/>
    </rfmt>
    <rfmt sheetId="2" sqref="GL767" start="0" length="0">
      <dxf/>
    </rfmt>
    <rfmt sheetId="2" sqref="GM767" start="0" length="0">
      <dxf/>
    </rfmt>
    <rfmt sheetId="2" sqref="GN767" start="0" length="0">
      <dxf/>
    </rfmt>
    <rfmt sheetId="2" sqref="GO767" start="0" length="0">
      <dxf/>
    </rfmt>
    <rfmt sheetId="2" sqref="GP767" start="0" length="0">
      <dxf/>
    </rfmt>
    <rfmt sheetId="2" sqref="GQ767" start="0" length="0">
      <dxf/>
    </rfmt>
    <rfmt sheetId="2" sqref="GR767" start="0" length="0">
      <dxf/>
    </rfmt>
    <rfmt sheetId="2" sqref="GS767" start="0" length="0">
      <dxf/>
    </rfmt>
    <rfmt sheetId="2" sqref="GT767" start="0" length="0">
      <dxf/>
    </rfmt>
    <rfmt sheetId="2" sqref="GU767" start="0" length="0">
      <dxf/>
    </rfmt>
    <rfmt sheetId="2" sqref="GV767" start="0" length="0">
      <dxf/>
    </rfmt>
    <rfmt sheetId="2" sqref="GW767" start="0" length="0">
      <dxf/>
    </rfmt>
    <rfmt sheetId="2" sqref="GX767" start="0" length="0">
      <dxf/>
    </rfmt>
    <rfmt sheetId="2" sqref="GY767" start="0" length="0">
      <dxf/>
    </rfmt>
    <rfmt sheetId="2" sqref="GZ767" start="0" length="0">
      <dxf/>
    </rfmt>
    <rfmt sheetId="2" sqref="HA767" start="0" length="0">
      <dxf/>
    </rfmt>
    <rfmt sheetId="2" sqref="HB767" start="0" length="0">
      <dxf/>
    </rfmt>
    <rfmt sheetId="2" sqref="HC767" start="0" length="0">
      <dxf/>
    </rfmt>
    <rfmt sheetId="2" sqref="HD767" start="0" length="0">
      <dxf/>
    </rfmt>
    <rfmt sheetId="2" sqref="HE767" start="0" length="0">
      <dxf/>
    </rfmt>
    <rfmt sheetId="2" sqref="HF767" start="0" length="0">
      <dxf/>
    </rfmt>
    <rfmt sheetId="2" sqref="HG767" start="0" length="0">
      <dxf/>
    </rfmt>
    <rfmt sheetId="2" sqref="HH767" start="0" length="0">
      <dxf/>
    </rfmt>
    <rfmt sheetId="2" sqref="HI767" start="0" length="0">
      <dxf/>
    </rfmt>
    <rfmt sheetId="2" sqref="HJ767" start="0" length="0">
      <dxf/>
    </rfmt>
    <rfmt sheetId="2" sqref="HK767" start="0" length="0">
      <dxf/>
    </rfmt>
    <rfmt sheetId="2" sqref="HL767" start="0" length="0">
      <dxf/>
    </rfmt>
    <rfmt sheetId="2" sqref="HM767" start="0" length="0">
      <dxf/>
    </rfmt>
    <rfmt sheetId="2" sqref="HN767" start="0" length="0">
      <dxf/>
    </rfmt>
    <rfmt sheetId="2" sqref="HO767" start="0" length="0">
      <dxf/>
    </rfmt>
    <rfmt sheetId="2" sqref="HP767" start="0" length="0">
      <dxf/>
    </rfmt>
    <rfmt sheetId="2" sqref="HQ767" start="0" length="0">
      <dxf/>
    </rfmt>
    <rfmt sheetId="2" sqref="HR767" start="0" length="0">
      <dxf/>
    </rfmt>
    <rfmt sheetId="2" sqref="HS767" start="0" length="0">
      <dxf/>
    </rfmt>
    <rfmt sheetId="2" sqref="HT767" start="0" length="0">
      <dxf/>
    </rfmt>
    <rfmt sheetId="2" sqref="HU767" start="0" length="0">
      <dxf/>
    </rfmt>
    <rfmt sheetId="2" sqref="HV767" start="0" length="0">
      <dxf/>
    </rfmt>
    <rfmt sheetId="2" sqref="HW767" start="0" length="0">
      <dxf/>
    </rfmt>
    <rfmt sheetId="2" sqref="HX767" start="0" length="0">
      <dxf/>
    </rfmt>
    <rfmt sheetId="2" sqref="HY767" start="0" length="0">
      <dxf/>
    </rfmt>
    <rfmt sheetId="2" sqref="HZ767" start="0" length="0">
      <dxf/>
    </rfmt>
    <rfmt sheetId="2" sqref="IA767" start="0" length="0">
      <dxf/>
    </rfmt>
    <rfmt sheetId="2" sqref="IB767" start="0" length="0">
      <dxf/>
    </rfmt>
    <rfmt sheetId="2" sqref="IC767" start="0" length="0">
      <dxf/>
    </rfmt>
    <rfmt sheetId="2" sqref="ID767" start="0" length="0">
      <dxf/>
    </rfmt>
    <rfmt sheetId="2" sqref="IE767" start="0" length="0">
      <dxf/>
    </rfmt>
    <rfmt sheetId="2" sqref="IF767" start="0" length="0">
      <dxf/>
    </rfmt>
    <rfmt sheetId="2" sqref="IG767" start="0" length="0">
      <dxf/>
    </rfmt>
    <rfmt sheetId="2" sqref="IH767" start="0" length="0">
      <dxf/>
    </rfmt>
    <rfmt sheetId="2" sqref="II767" start="0" length="0">
      <dxf/>
    </rfmt>
    <rfmt sheetId="2" sqref="IJ767" start="0" length="0">
      <dxf/>
    </rfmt>
    <rfmt sheetId="2" sqref="IK767" start="0" length="0">
      <dxf/>
    </rfmt>
    <rfmt sheetId="2" sqref="IL767" start="0" length="0">
      <dxf/>
    </rfmt>
    <rfmt sheetId="2" sqref="IM767" start="0" length="0">
      <dxf/>
    </rfmt>
    <rfmt sheetId="2" sqref="IN767" start="0" length="0">
      <dxf/>
    </rfmt>
    <rfmt sheetId="2" sqref="IO767" start="0" length="0">
      <dxf/>
    </rfmt>
    <rfmt sheetId="2" sqref="IP767" start="0" length="0">
      <dxf/>
    </rfmt>
    <rfmt sheetId="2" sqref="IQ767" start="0" length="0">
      <dxf/>
    </rfmt>
    <rfmt sheetId="2" sqref="IR767" start="0" length="0">
      <dxf/>
    </rfmt>
    <rfmt sheetId="2" sqref="IS767" start="0" length="0">
      <dxf/>
    </rfmt>
    <rfmt sheetId="2" sqref="IT767" start="0" length="0">
      <dxf/>
    </rfmt>
    <rfmt sheetId="2" sqref="IU767" start="0" length="0">
      <dxf/>
    </rfmt>
    <rfmt sheetId="2" sqref="IV767" start="0" length="0">
      <dxf/>
    </rfmt>
    <rfmt sheetId="2" sqref="IW767" start="0" length="0">
      <dxf/>
    </rfmt>
    <rfmt sheetId="2" sqref="IX767" start="0" length="0">
      <dxf/>
    </rfmt>
    <rfmt sheetId="2" sqref="IY767" start="0" length="0">
      <dxf/>
    </rfmt>
    <rfmt sheetId="2" sqref="IZ767" start="0" length="0">
      <dxf/>
    </rfmt>
    <rfmt sheetId="2" sqref="JA767" start="0" length="0">
      <dxf/>
    </rfmt>
    <rfmt sheetId="2" sqref="JB767" start="0" length="0">
      <dxf/>
    </rfmt>
    <rfmt sheetId="2" sqref="JC767" start="0" length="0">
      <dxf/>
    </rfmt>
    <rfmt sheetId="2" sqref="JD767" start="0" length="0">
      <dxf/>
    </rfmt>
    <rfmt sheetId="2" sqref="JE767" start="0" length="0">
      <dxf/>
    </rfmt>
    <rfmt sheetId="2" sqref="JF767" start="0" length="0">
      <dxf/>
    </rfmt>
    <rfmt sheetId="2" sqref="JG767" start="0" length="0">
      <dxf/>
    </rfmt>
    <rfmt sheetId="2" sqref="JH767" start="0" length="0">
      <dxf/>
    </rfmt>
    <rfmt sheetId="2" sqref="JI767" start="0" length="0">
      <dxf/>
    </rfmt>
    <rfmt sheetId="2" sqref="JJ767" start="0" length="0">
      <dxf/>
    </rfmt>
    <rfmt sheetId="2" sqref="JK767" start="0" length="0">
      <dxf/>
    </rfmt>
    <rfmt sheetId="2" sqref="JL767" start="0" length="0">
      <dxf/>
    </rfmt>
    <rfmt sheetId="2" sqref="JM767" start="0" length="0">
      <dxf/>
    </rfmt>
    <rfmt sheetId="2" sqref="JN767" start="0" length="0">
      <dxf/>
    </rfmt>
    <rfmt sheetId="2" sqref="JO767" start="0" length="0">
      <dxf/>
    </rfmt>
    <rfmt sheetId="2" sqref="JP767" start="0" length="0">
      <dxf/>
    </rfmt>
    <rfmt sheetId="2" sqref="JQ767" start="0" length="0">
      <dxf/>
    </rfmt>
    <rfmt sheetId="2" sqref="JR767" start="0" length="0">
      <dxf/>
    </rfmt>
    <rfmt sheetId="2" sqref="JS767" start="0" length="0">
      <dxf/>
    </rfmt>
    <rfmt sheetId="2" sqref="JT767" start="0" length="0">
      <dxf/>
    </rfmt>
    <rfmt sheetId="2" sqref="JU767" start="0" length="0">
      <dxf/>
    </rfmt>
    <rfmt sheetId="2" sqref="JV767" start="0" length="0">
      <dxf/>
    </rfmt>
    <rfmt sheetId="2" sqref="JW767" start="0" length="0">
      <dxf/>
    </rfmt>
    <rfmt sheetId="2" sqref="JX767" start="0" length="0">
      <dxf/>
    </rfmt>
    <rfmt sheetId="2" sqref="JY767" start="0" length="0">
      <dxf/>
    </rfmt>
    <rfmt sheetId="2" sqref="JZ767" start="0" length="0">
      <dxf/>
    </rfmt>
    <rfmt sheetId="2" sqref="KA767" start="0" length="0">
      <dxf/>
    </rfmt>
    <rfmt sheetId="2" sqref="KB767" start="0" length="0">
      <dxf/>
    </rfmt>
    <rfmt sheetId="2" sqref="KC767" start="0" length="0">
      <dxf/>
    </rfmt>
    <rfmt sheetId="2" sqref="KD767" start="0" length="0">
      <dxf/>
    </rfmt>
    <rfmt sheetId="2" sqref="KE767" start="0" length="0">
      <dxf/>
    </rfmt>
    <rfmt sheetId="2" sqref="KF767" start="0" length="0">
      <dxf/>
    </rfmt>
    <rfmt sheetId="2" sqref="KG767" start="0" length="0">
      <dxf/>
    </rfmt>
    <rfmt sheetId="2" sqref="KH767" start="0" length="0">
      <dxf/>
    </rfmt>
    <rfmt sheetId="2" sqref="KI767" start="0" length="0">
      <dxf/>
    </rfmt>
    <rfmt sheetId="2" sqref="KJ767" start="0" length="0">
      <dxf/>
    </rfmt>
    <rfmt sheetId="2" sqref="KK767" start="0" length="0">
      <dxf/>
    </rfmt>
    <rfmt sheetId="2" sqref="KL767" start="0" length="0">
      <dxf/>
    </rfmt>
    <rfmt sheetId="2" sqref="KM767" start="0" length="0">
      <dxf/>
    </rfmt>
    <rfmt sheetId="2" sqref="KN767" start="0" length="0">
      <dxf/>
    </rfmt>
    <rfmt sheetId="2" sqref="KO767" start="0" length="0">
      <dxf/>
    </rfmt>
    <rfmt sheetId="2" sqref="KP767" start="0" length="0">
      <dxf/>
    </rfmt>
    <rfmt sheetId="2" sqref="KQ767" start="0" length="0">
      <dxf/>
    </rfmt>
    <rfmt sheetId="2" sqref="KR767" start="0" length="0">
      <dxf/>
    </rfmt>
    <rfmt sheetId="2" sqref="KS767" start="0" length="0">
      <dxf/>
    </rfmt>
    <rfmt sheetId="2" sqref="KT767" start="0" length="0">
      <dxf/>
    </rfmt>
    <rfmt sheetId="2" sqref="KU767" start="0" length="0">
      <dxf/>
    </rfmt>
    <rfmt sheetId="2" sqref="KV767" start="0" length="0">
      <dxf/>
    </rfmt>
    <rfmt sheetId="2" sqref="KW767" start="0" length="0">
      <dxf/>
    </rfmt>
    <rfmt sheetId="2" sqref="KX767" start="0" length="0">
      <dxf/>
    </rfmt>
    <rfmt sheetId="2" sqref="KY767" start="0" length="0">
      <dxf/>
    </rfmt>
    <rfmt sheetId="2" sqref="KZ767" start="0" length="0">
      <dxf/>
    </rfmt>
    <rfmt sheetId="2" sqref="LA767" start="0" length="0">
      <dxf/>
    </rfmt>
    <rfmt sheetId="2" sqref="LB767" start="0" length="0">
      <dxf/>
    </rfmt>
    <rfmt sheetId="2" sqref="LC767" start="0" length="0">
      <dxf/>
    </rfmt>
    <rfmt sheetId="2" sqref="LD767" start="0" length="0">
      <dxf/>
    </rfmt>
    <rfmt sheetId="2" sqref="LE767" start="0" length="0">
      <dxf/>
    </rfmt>
    <rfmt sheetId="2" sqref="LF767" start="0" length="0">
      <dxf/>
    </rfmt>
    <rfmt sheetId="2" sqref="LG767" start="0" length="0">
      <dxf/>
    </rfmt>
    <rfmt sheetId="2" sqref="LH767" start="0" length="0">
      <dxf/>
    </rfmt>
    <rfmt sheetId="2" sqref="LI767" start="0" length="0">
      <dxf/>
    </rfmt>
    <rfmt sheetId="2" sqref="LJ767" start="0" length="0">
      <dxf/>
    </rfmt>
    <rfmt sheetId="2" sqref="LK767" start="0" length="0">
      <dxf/>
    </rfmt>
    <rfmt sheetId="2" sqref="LL767" start="0" length="0">
      <dxf/>
    </rfmt>
    <rfmt sheetId="2" sqref="LM767" start="0" length="0">
      <dxf/>
    </rfmt>
    <rfmt sheetId="2" sqref="LN767" start="0" length="0">
      <dxf/>
    </rfmt>
    <rfmt sheetId="2" sqref="LO767" start="0" length="0">
      <dxf/>
    </rfmt>
    <rfmt sheetId="2" sqref="LP767" start="0" length="0">
      <dxf/>
    </rfmt>
    <rfmt sheetId="2" sqref="LQ767" start="0" length="0">
      <dxf/>
    </rfmt>
    <rfmt sheetId="2" sqref="LR767" start="0" length="0">
      <dxf/>
    </rfmt>
    <rfmt sheetId="2" sqref="LS767" start="0" length="0">
      <dxf/>
    </rfmt>
    <rfmt sheetId="2" sqref="LT767" start="0" length="0">
      <dxf/>
    </rfmt>
    <rfmt sheetId="2" sqref="LU767" start="0" length="0">
      <dxf/>
    </rfmt>
    <rfmt sheetId="2" sqref="LV767" start="0" length="0">
      <dxf/>
    </rfmt>
    <rfmt sheetId="2" sqref="LW767" start="0" length="0">
      <dxf/>
    </rfmt>
    <rfmt sheetId="2" sqref="LX767" start="0" length="0">
      <dxf/>
    </rfmt>
    <rfmt sheetId="2" sqref="LY767" start="0" length="0">
      <dxf/>
    </rfmt>
    <rfmt sheetId="2" sqref="LZ767" start="0" length="0">
      <dxf/>
    </rfmt>
    <rfmt sheetId="2" sqref="MA767" start="0" length="0">
      <dxf/>
    </rfmt>
    <rfmt sheetId="2" sqref="MB767" start="0" length="0">
      <dxf/>
    </rfmt>
  </rrc>
  <rrc rId="1719" sId="2" ref="A767:XFD767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7:XFD767" start="0" length="0">
      <dxf>
        <font>
          <sz val="10"/>
          <name val="Arial"/>
          <scheme val="none"/>
        </font>
        <alignment horizontal="center" readingOrder="0"/>
      </dxf>
    </rfmt>
    <rfmt sheetId="2" sqref="A76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7" start="0" length="0">
      <dxf>
        <numFmt numFmtId="176" formatCode="m/d;@"/>
      </dxf>
    </rfmt>
    <rfmt sheetId="2" sqref="P76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7" start="0" length="0">
      <dxf/>
    </rfmt>
    <rfmt sheetId="2" sqref="U767" start="0" length="0">
      <dxf/>
    </rfmt>
    <rfmt sheetId="2" sqref="V767" start="0" length="0">
      <dxf/>
    </rfmt>
    <rfmt sheetId="2" sqref="W767" start="0" length="0">
      <dxf/>
    </rfmt>
    <rfmt sheetId="2" sqref="X767" start="0" length="0">
      <dxf/>
    </rfmt>
    <rfmt sheetId="2" sqref="Y767" start="0" length="0">
      <dxf/>
    </rfmt>
    <rfmt sheetId="2" sqref="Z767" start="0" length="0">
      <dxf/>
    </rfmt>
    <rfmt sheetId="2" sqref="AA767" start="0" length="0">
      <dxf/>
    </rfmt>
    <rfmt sheetId="2" sqref="AB767" start="0" length="0">
      <dxf/>
    </rfmt>
    <rfmt sheetId="2" sqref="AC767" start="0" length="0">
      <dxf/>
    </rfmt>
    <rfmt sheetId="2" sqref="AD767" start="0" length="0">
      <dxf/>
    </rfmt>
    <rfmt sheetId="2" sqref="AE767" start="0" length="0">
      <dxf/>
    </rfmt>
    <rfmt sheetId="2" sqref="AF767" start="0" length="0">
      <dxf/>
    </rfmt>
    <rfmt sheetId="2" sqref="AG767" start="0" length="0">
      <dxf/>
    </rfmt>
    <rfmt sheetId="2" sqref="AH767" start="0" length="0">
      <dxf/>
    </rfmt>
    <rfmt sheetId="2" sqref="AI767" start="0" length="0">
      <dxf/>
    </rfmt>
    <rfmt sheetId="2" sqref="AJ767" start="0" length="0">
      <dxf/>
    </rfmt>
    <rfmt sheetId="2" sqref="AK767" start="0" length="0">
      <dxf/>
    </rfmt>
    <rfmt sheetId="2" sqref="AL767" start="0" length="0">
      <dxf/>
    </rfmt>
    <rfmt sheetId="2" sqref="AM767" start="0" length="0">
      <dxf/>
    </rfmt>
    <rfmt sheetId="2" sqref="AN767" start="0" length="0">
      <dxf/>
    </rfmt>
    <rfmt sheetId="2" sqref="AO767" start="0" length="0">
      <dxf/>
    </rfmt>
    <rfmt sheetId="2" sqref="AP767" start="0" length="0">
      <dxf/>
    </rfmt>
    <rfmt sheetId="2" sqref="AQ767" start="0" length="0">
      <dxf/>
    </rfmt>
    <rfmt sheetId="2" sqref="AR767" start="0" length="0">
      <dxf/>
    </rfmt>
    <rfmt sheetId="2" sqref="AS767" start="0" length="0">
      <dxf/>
    </rfmt>
    <rfmt sheetId="2" sqref="AT767" start="0" length="0">
      <dxf/>
    </rfmt>
    <rfmt sheetId="2" sqref="AU767" start="0" length="0">
      <dxf/>
    </rfmt>
    <rfmt sheetId="2" sqref="AV767" start="0" length="0">
      <dxf/>
    </rfmt>
    <rfmt sheetId="2" sqref="AW767" start="0" length="0">
      <dxf/>
    </rfmt>
    <rfmt sheetId="2" sqref="AX767" start="0" length="0">
      <dxf/>
    </rfmt>
    <rfmt sheetId="2" sqref="AY767" start="0" length="0">
      <dxf/>
    </rfmt>
    <rfmt sheetId="2" sqref="AZ767" start="0" length="0">
      <dxf/>
    </rfmt>
    <rfmt sheetId="2" sqref="BA767" start="0" length="0">
      <dxf/>
    </rfmt>
    <rfmt sheetId="2" sqref="BB767" start="0" length="0">
      <dxf/>
    </rfmt>
    <rfmt sheetId="2" sqref="BC767" start="0" length="0">
      <dxf/>
    </rfmt>
    <rfmt sheetId="2" sqref="BD767" start="0" length="0">
      <dxf/>
    </rfmt>
    <rfmt sheetId="2" sqref="BE767" start="0" length="0">
      <dxf/>
    </rfmt>
    <rfmt sheetId="2" sqref="BF767" start="0" length="0">
      <dxf/>
    </rfmt>
    <rfmt sheetId="2" sqref="BG767" start="0" length="0">
      <dxf/>
    </rfmt>
    <rfmt sheetId="2" sqref="BH767" start="0" length="0">
      <dxf/>
    </rfmt>
    <rfmt sheetId="2" sqref="BI767" start="0" length="0">
      <dxf/>
    </rfmt>
    <rfmt sheetId="2" sqref="BJ767" start="0" length="0">
      <dxf/>
    </rfmt>
    <rfmt sheetId="2" sqref="BK767" start="0" length="0">
      <dxf/>
    </rfmt>
    <rfmt sheetId="2" sqref="BL767" start="0" length="0">
      <dxf/>
    </rfmt>
    <rfmt sheetId="2" sqref="BM767" start="0" length="0">
      <dxf/>
    </rfmt>
    <rfmt sheetId="2" sqref="BN767" start="0" length="0">
      <dxf/>
    </rfmt>
    <rfmt sheetId="2" sqref="BO767" start="0" length="0">
      <dxf/>
    </rfmt>
    <rfmt sheetId="2" sqref="BP767" start="0" length="0">
      <dxf/>
    </rfmt>
    <rfmt sheetId="2" sqref="BQ767" start="0" length="0">
      <dxf/>
    </rfmt>
    <rfmt sheetId="2" sqref="BR767" start="0" length="0">
      <dxf/>
    </rfmt>
    <rfmt sheetId="2" sqref="BS767" start="0" length="0">
      <dxf/>
    </rfmt>
    <rfmt sheetId="2" sqref="BT767" start="0" length="0">
      <dxf/>
    </rfmt>
    <rfmt sheetId="2" sqref="BU767" start="0" length="0">
      <dxf/>
    </rfmt>
    <rfmt sheetId="2" sqref="BV767" start="0" length="0">
      <dxf/>
    </rfmt>
    <rfmt sheetId="2" sqref="BW767" start="0" length="0">
      <dxf/>
    </rfmt>
    <rfmt sheetId="2" sqref="BX767" start="0" length="0">
      <dxf/>
    </rfmt>
    <rfmt sheetId="2" sqref="BY767" start="0" length="0">
      <dxf/>
    </rfmt>
    <rfmt sheetId="2" sqref="BZ767" start="0" length="0">
      <dxf/>
    </rfmt>
    <rfmt sheetId="2" sqref="CA767" start="0" length="0">
      <dxf/>
    </rfmt>
    <rfmt sheetId="2" sqref="CB767" start="0" length="0">
      <dxf/>
    </rfmt>
    <rfmt sheetId="2" sqref="CC767" start="0" length="0">
      <dxf/>
    </rfmt>
    <rfmt sheetId="2" sqref="CD767" start="0" length="0">
      <dxf/>
    </rfmt>
    <rfmt sheetId="2" sqref="CE767" start="0" length="0">
      <dxf/>
    </rfmt>
    <rfmt sheetId="2" sqref="CF767" start="0" length="0">
      <dxf/>
    </rfmt>
    <rfmt sheetId="2" sqref="CG767" start="0" length="0">
      <dxf/>
    </rfmt>
    <rfmt sheetId="2" sqref="CH767" start="0" length="0">
      <dxf/>
    </rfmt>
    <rfmt sheetId="2" sqref="CI767" start="0" length="0">
      <dxf/>
    </rfmt>
    <rfmt sheetId="2" sqref="CJ767" start="0" length="0">
      <dxf/>
    </rfmt>
    <rfmt sheetId="2" sqref="CK767" start="0" length="0">
      <dxf/>
    </rfmt>
    <rfmt sheetId="2" sqref="CL767" start="0" length="0">
      <dxf/>
    </rfmt>
    <rfmt sheetId="2" sqref="CM767" start="0" length="0">
      <dxf/>
    </rfmt>
    <rfmt sheetId="2" sqref="CN767" start="0" length="0">
      <dxf/>
    </rfmt>
    <rfmt sheetId="2" sqref="CO767" start="0" length="0">
      <dxf/>
    </rfmt>
    <rfmt sheetId="2" sqref="CP767" start="0" length="0">
      <dxf/>
    </rfmt>
    <rfmt sheetId="2" sqref="CQ767" start="0" length="0">
      <dxf/>
    </rfmt>
    <rfmt sheetId="2" sqref="CR767" start="0" length="0">
      <dxf/>
    </rfmt>
    <rfmt sheetId="2" sqref="CS767" start="0" length="0">
      <dxf/>
    </rfmt>
    <rfmt sheetId="2" sqref="CT767" start="0" length="0">
      <dxf/>
    </rfmt>
    <rfmt sheetId="2" sqref="CU767" start="0" length="0">
      <dxf/>
    </rfmt>
    <rfmt sheetId="2" sqref="CV767" start="0" length="0">
      <dxf/>
    </rfmt>
    <rfmt sheetId="2" sqref="CW767" start="0" length="0">
      <dxf/>
    </rfmt>
    <rfmt sheetId="2" sqref="CX767" start="0" length="0">
      <dxf/>
    </rfmt>
    <rfmt sheetId="2" sqref="CY767" start="0" length="0">
      <dxf/>
    </rfmt>
    <rfmt sheetId="2" sqref="CZ767" start="0" length="0">
      <dxf/>
    </rfmt>
    <rfmt sheetId="2" sqref="DA767" start="0" length="0">
      <dxf/>
    </rfmt>
    <rfmt sheetId="2" sqref="DB767" start="0" length="0">
      <dxf/>
    </rfmt>
    <rfmt sheetId="2" sqref="DC767" start="0" length="0">
      <dxf/>
    </rfmt>
    <rfmt sheetId="2" sqref="DD767" start="0" length="0">
      <dxf/>
    </rfmt>
    <rfmt sheetId="2" sqref="DE767" start="0" length="0">
      <dxf/>
    </rfmt>
    <rfmt sheetId="2" sqref="DF767" start="0" length="0">
      <dxf/>
    </rfmt>
    <rfmt sheetId="2" sqref="DG767" start="0" length="0">
      <dxf/>
    </rfmt>
    <rfmt sheetId="2" sqref="DH767" start="0" length="0">
      <dxf/>
    </rfmt>
    <rfmt sheetId="2" sqref="DI767" start="0" length="0">
      <dxf/>
    </rfmt>
    <rfmt sheetId="2" sqref="DJ767" start="0" length="0">
      <dxf/>
    </rfmt>
    <rfmt sheetId="2" sqref="DK767" start="0" length="0">
      <dxf/>
    </rfmt>
    <rfmt sheetId="2" sqref="DL767" start="0" length="0">
      <dxf/>
    </rfmt>
    <rfmt sheetId="2" sqref="DM767" start="0" length="0">
      <dxf/>
    </rfmt>
    <rfmt sheetId="2" sqref="DN767" start="0" length="0">
      <dxf/>
    </rfmt>
    <rfmt sheetId="2" sqref="DO767" start="0" length="0">
      <dxf/>
    </rfmt>
    <rfmt sheetId="2" sqref="DP767" start="0" length="0">
      <dxf/>
    </rfmt>
    <rfmt sheetId="2" sqref="DQ767" start="0" length="0">
      <dxf/>
    </rfmt>
    <rfmt sheetId="2" sqref="DR767" start="0" length="0">
      <dxf/>
    </rfmt>
    <rfmt sheetId="2" sqref="DS767" start="0" length="0">
      <dxf/>
    </rfmt>
    <rfmt sheetId="2" sqref="DT767" start="0" length="0">
      <dxf/>
    </rfmt>
    <rfmt sheetId="2" sqref="DU767" start="0" length="0">
      <dxf/>
    </rfmt>
    <rfmt sheetId="2" sqref="DV767" start="0" length="0">
      <dxf/>
    </rfmt>
    <rfmt sheetId="2" sqref="DW767" start="0" length="0">
      <dxf/>
    </rfmt>
    <rfmt sheetId="2" sqref="DX767" start="0" length="0">
      <dxf/>
    </rfmt>
    <rfmt sheetId="2" sqref="DY767" start="0" length="0">
      <dxf/>
    </rfmt>
    <rfmt sheetId="2" sqref="DZ767" start="0" length="0">
      <dxf/>
    </rfmt>
    <rfmt sheetId="2" sqref="EA767" start="0" length="0">
      <dxf/>
    </rfmt>
    <rfmt sheetId="2" sqref="EB767" start="0" length="0">
      <dxf/>
    </rfmt>
    <rfmt sheetId="2" sqref="EC767" start="0" length="0">
      <dxf/>
    </rfmt>
    <rfmt sheetId="2" sqref="ED767" start="0" length="0">
      <dxf/>
    </rfmt>
    <rfmt sheetId="2" sqref="EE767" start="0" length="0">
      <dxf/>
    </rfmt>
    <rfmt sheetId="2" sqref="EF767" start="0" length="0">
      <dxf/>
    </rfmt>
    <rfmt sheetId="2" sqref="EG767" start="0" length="0">
      <dxf/>
    </rfmt>
    <rfmt sheetId="2" sqref="EH767" start="0" length="0">
      <dxf/>
    </rfmt>
    <rfmt sheetId="2" sqref="EI767" start="0" length="0">
      <dxf/>
    </rfmt>
    <rfmt sheetId="2" sqref="EJ767" start="0" length="0">
      <dxf/>
    </rfmt>
    <rfmt sheetId="2" sqref="EK767" start="0" length="0">
      <dxf/>
    </rfmt>
    <rfmt sheetId="2" sqref="EL767" start="0" length="0">
      <dxf/>
    </rfmt>
    <rfmt sheetId="2" sqref="EM767" start="0" length="0">
      <dxf/>
    </rfmt>
    <rfmt sheetId="2" sqref="EN767" start="0" length="0">
      <dxf/>
    </rfmt>
    <rfmt sheetId="2" sqref="EO767" start="0" length="0">
      <dxf/>
    </rfmt>
    <rfmt sheetId="2" sqref="EP767" start="0" length="0">
      <dxf/>
    </rfmt>
    <rfmt sheetId="2" sqref="EQ767" start="0" length="0">
      <dxf/>
    </rfmt>
    <rfmt sheetId="2" sqref="ER767" start="0" length="0">
      <dxf/>
    </rfmt>
    <rfmt sheetId="2" sqref="ES767" start="0" length="0">
      <dxf/>
    </rfmt>
    <rfmt sheetId="2" sqref="ET767" start="0" length="0">
      <dxf/>
    </rfmt>
    <rfmt sheetId="2" sqref="EU767" start="0" length="0">
      <dxf/>
    </rfmt>
    <rfmt sheetId="2" sqref="EV767" start="0" length="0">
      <dxf/>
    </rfmt>
    <rfmt sheetId="2" sqref="EW767" start="0" length="0">
      <dxf/>
    </rfmt>
    <rfmt sheetId="2" sqref="EX767" start="0" length="0">
      <dxf/>
    </rfmt>
    <rfmt sheetId="2" sqref="EY767" start="0" length="0">
      <dxf/>
    </rfmt>
    <rfmt sheetId="2" sqref="EZ767" start="0" length="0">
      <dxf/>
    </rfmt>
    <rfmt sheetId="2" sqref="FA767" start="0" length="0">
      <dxf/>
    </rfmt>
    <rfmt sheetId="2" sqref="FB767" start="0" length="0">
      <dxf/>
    </rfmt>
    <rfmt sheetId="2" sqref="FC767" start="0" length="0">
      <dxf/>
    </rfmt>
    <rfmt sheetId="2" sqref="FD767" start="0" length="0">
      <dxf/>
    </rfmt>
    <rfmt sheetId="2" sqref="FE767" start="0" length="0">
      <dxf/>
    </rfmt>
    <rfmt sheetId="2" sqref="FF767" start="0" length="0">
      <dxf/>
    </rfmt>
    <rfmt sheetId="2" sqref="FG767" start="0" length="0">
      <dxf/>
    </rfmt>
    <rfmt sheetId="2" sqref="FH767" start="0" length="0">
      <dxf/>
    </rfmt>
    <rfmt sheetId="2" sqref="FI767" start="0" length="0">
      <dxf/>
    </rfmt>
    <rfmt sheetId="2" sqref="FJ767" start="0" length="0">
      <dxf/>
    </rfmt>
    <rfmt sheetId="2" sqref="FK767" start="0" length="0">
      <dxf/>
    </rfmt>
    <rfmt sheetId="2" sqref="FL767" start="0" length="0">
      <dxf/>
    </rfmt>
    <rfmt sheetId="2" sqref="FM767" start="0" length="0">
      <dxf/>
    </rfmt>
    <rfmt sheetId="2" sqref="FN767" start="0" length="0">
      <dxf/>
    </rfmt>
    <rfmt sheetId="2" sqref="FO767" start="0" length="0">
      <dxf/>
    </rfmt>
    <rfmt sheetId="2" sqref="FP767" start="0" length="0">
      <dxf/>
    </rfmt>
    <rfmt sheetId="2" sqref="FQ767" start="0" length="0">
      <dxf/>
    </rfmt>
    <rfmt sheetId="2" sqref="FR767" start="0" length="0">
      <dxf/>
    </rfmt>
    <rfmt sheetId="2" sqref="FS767" start="0" length="0">
      <dxf/>
    </rfmt>
    <rfmt sheetId="2" sqref="FT767" start="0" length="0">
      <dxf/>
    </rfmt>
    <rfmt sheetId="2" sqref="FU767" start="0" length="0">
      <dxf/>
    </rfmt>
    <rfmt sheetId="2" sqref="FV767" start="0" length="0">
      <dxf/>
    </rfmt>
    <rfmt sheetId="2" sqref="FW767" start="0" length="0">
      <dxf/>
    </rfmt>
    <rfmt sheetId="2" sqref="FX767" start="0" length="0">
      <dxf/>
    </rfmt>
    <rfmt sheetId="2" sqref="FY767" start="0" length="0">
      <dxf/>
    </rfmt>
    <rfmt sheetId="2" sqref="FZ767" start="0" length="0">
      <dxf/>
    </rfmt>
    <rfmt sheetId="2" sqref="GA767" start="0" length="0">
      <dxf/>
    </rfmt>
    <rfmt sheetId="2" sqref="GB767" start="0" length="0">
      <dxf/>
    </rfmt>
    <rfmt sheetId="2" sqref="GC767" start="0" length="0">
      <dxf/>
    </rfmt>
    <rfmt sheetId="2" sqref="GD767" start="0" length="0">
      <dxf/>
    </rfmt>
    <rfmt sheetId="2" sqref="GE767" start="0" length="0">
      <dxf/>
    </rfmt>
    <rfmt sheetId="2" sqref="GF767" start="0" length="0">
      <dxf/>
    </rfmt>
    <rfmt sheetId="2" sqref="GG767" start="0" length="0">
      <dxf/>
    </rfmt>
    <rfmt sheetId="2" sqref="GH767" start="0" length="0">
      <dxf/>
    </rfmt>
    <rfmt sheetId="2" sqref="GI767" start="0" length="0">
      <dxf/>
    </rfmt>
    <rfmt sheetId="2" sqref="GJ767" start="0" length="0">
      <dxf/>
    </rfmt>
    <rfmt sheetId="2" sqref="GK767" start="0" length="0">
      <dxf/>
    </rfmt>
    <rfmt sheetId="2" sqref="GL767" start="0" length="0">
      <dxf/>
    </rfmt>
    <rfmt sheetId="2" sqref="GM767" start="0" length="0">
      <dxf/>
    </rfmt>
    <rfmt sheetId="2" sqref="GN767" start="0" length="0">
      <dxf/>
    </rfmt>
    <rfmt sheetId="2" sqref="GO767" start="0" length="0">
      <dxf/>
    </rfmt>
    <rfmt sheetId="2" sqref="GP767" start="0" length="0">
      <dxf/>
    </rfmt>
    <rfmt sheetId="2" sqref="GQ767" start="0" length="0">
      <dxf/>
    </rfmt>
    <rfmt sheetId="2" sqref="GR767" start="0" length="0">
      <dxf/>
    </rfmt>
    <rfmt sheetId="2" sqref="GS767" start="0" length="0">
      <dxf/>
    </rfmt>
    <rfmt sheetId="2" sqref="GT767" start="0" length="0">
      <dxf/>
    </rfmt>
    <rfmt sheetId="2" sqref="GU767" start="0" length="0">
      <dxf/>
    </rfmt>
    <rfmt sheetId="2" sqref="GV767" start="0" length="0">
      <dxf/>
    </rfmt>
    <rfmt sheetId="2" sqref="GW767" start="0" length="0">
      <dxf/>
    </rfmt>
    <rfmt sheetId="2" sqref="GX767" start="0" length="0">
      <dxf/>
    </rfmt>
    <rfmt sheetId="2" sqref="GY767" start="0" length="0">
      <dxf/>
    </rfmt>
    <rfmt sheetId="2" sqref="GZ767" start="0" length="0">
      <dxf/>
    </rfmt>
    <rfmt sheetId="2" sqref="HA767" start="0" length="0">
      <dxf/>
    </rfmt>
    <rfmt sheetId="2" sqref="HB767" start="0" length="0">
      <dxf/>
    </rfmt>
    <rfmt sheetId="2" sqref="HC767" start="0" length="0">
      <dxf/>
    </rfmt>
    <rfmt sheetId="2" sqref="HD767" start="0" length="0">
      <dxf/>
    </rfmt>
    <rfmt sheetId="2" sqref="HE767" start="0" length="0">
      <dxf/>
    </rfmt>
    <rfmt sheetId="2" sqref="HF767" start="0" length="0">
      <dxf/>
    </rfmt>
    <rfmt sheetId="2" sqref="HG767" start="0" length="0">
      <dxf/>
    </rfmt>
    <rfmt sheetId="2" sqref="HH767" start="0" length="0">
      <dxf/>
    </rfmt>
    <rfmt sheetId="2" sqref="HI767" start="0" length="0">
      <dxf/>
    </rfmt>
    <rfmt sheetId="2" sqref="HJ767" start="0" length="0">
      <dxf/>
    </rfmt>
    <rfmt sheetId="2" sqref="HK767" start="0" length="0">
      <dxf/>
    </rfmt>
    <rfmt sheetId="2" sqref="HL767" start="0" length="0">
      <dxf/>
    </rfmt>
    <rfmt sheetId="2" sqref="HM767" start="0" length="0">
      <dxf/>
    </rfmt>
    <rfmt sheetId="2" sqref="HN767" start="0" length="0">
      <dxf/>
    </rfmt>
    <rfmt sheetId="2" sqref="HO767" start="0" length="0">
      <dxf/>
    </rfmt>
    <rfmt sheetId="2" sqref="HP767" start="0" length="0">
      <dxf/>
    </rfmt>
    <rfmt sheetId="2" sqref="HQ767" start="0" length="0">
      <dxf/>
    </rfmt>
    <rfmt sheetId="2" sqref="HR767" start="0" length="0">
      <dxf/>
    </rfmt>
    <rfmt sheetId="2" sqref="HS767" start="0" length="0">
      <dxf/>
    </rfmt>
    <rfmt sheetId="2" sqref="HT767" start="0" length="0">
      <dxf/>
    </rfmt>
    <rfmt sheetId="2" sqref="HU767" start="0" length="0">
      <dxf/>
    </rfmt>
    <rfmt sheetId="2" sqref="HV767" start="0" length="0">
      <dxf/>
    </rfmt>
    <rfmt sheetId="2" sqref="HW767" start="0" length="0">
      <dxf/>
    </rfmt>
    <rfmt sheetId="2" sqref="HX767" start="0" length="0">
      <dxf/>
    </rfmt>
    <rfmt sheetId="2" sqref="HY767" start="0" length="0">
      <dxf/>
    </rfmt>
    <rfmt sheetId="2" sqref="HZ767" start="0" length="0">
      <dxf/>
    </rfmt>
    <rfmt sheetId="2" sqref="IA767" start="0" length="0">
      <dxf/>
    </rfmt>
    <rfmt sheetId="2" sqref="IB767" start="0" length="0">
      <dxf/>
    </rfmt>
    <rfmt sheetId="2" sqref="IC767" start="0" length="0">
      <dxf/>
    </rfmt>
    <rfmt sheetId="2" sqref="ID767" start="0" length="0">
      <dxf/>
    </rfmt>
    <rfmt sheetId="2" sqref="IE767" start="0" length="0">
      <dxf/>
    </rfmt>
    <rfmt sheetId="2" sqref="IF767" start="0" length="0">
      <dxf/>
    </rfmt>
    <rfmt sheetId="2" sqref="IG767" start="0" length="0">
      <dxf/>
    </rfmt>
    <rfmt sheetId="2" sqref="IH767" start="0" length="0">
      <dxf/>
    </rfmt>
    <rfmt sheetId="2" sqref="II767" start="0" length="0">
      <dxf/>
    </rfmt>
    <rfmt sheetId="2" sqref="IJ767" start="0" length="0">
      <dxf/>
    </rfmt>
    <rfmt sheetId="2" sqref="IK767" start="0" length="0">
      <dxf/>
    </rfmt>
    <rfmt sheetId="2" sqref="IL767" start="0" length="0">
      <dxf/>
    </rfmt>
    <rfmt sheetId="2" sqref="IM767" start="0" length="0">
      <dxf/>
    </rfmt>
    <rfmt sheetId="2" sqref="IN767" start="0" length="0">
      <dxf/>
    </rfmt>
    <rfmt sheetId="2" sqref="IO767" start="0" length="0">
      <dxf/>
    </rfmt>
    <rfmt sheetId="2" sqref="IP767" start="0" length="0">
      <dxf/>
    </rfmt>
    <rfmt sheetId="2" sqref="IQ767" start="0" length="0">
      <dxf/>
    </rfmt>
    <rfmt sheetId="2" sqref="IR767" start="0" length="0">
      <dxf/>
    </rfmt>
    <rfmt sheetId="2" sqref="IS767" start="0" length="0">
      <dxf/>
    </rfmt>
    <rfmt sheetId="2" sqref="IT767" start="0" length="0">
      <dxf/>
    </rfmt>
    <rfmt sheetId="2" sqref="IU767" start="0" length="0">
      <dxf/>
    </rfmt>
    <rfmt sheetId="2" sqref="IV767" start="0" length="0">
      <dxf/>
    </rfmt>
    <rfmt sheetId="2" sqref="IW767" start="0" length="0">
      <dxf/>
    </rfmt>
    <rfmt sheetId="2" sqref="IX767" start="0" length="0">
      <dxf/>
    </rfmt>
    <rfmt sheetId="2" sqref="IY767" start="0" length="0">
      <dxf/>
    </rfmt>
    <rfmt sheetId="2" sqref="IZ767" start="0" length="0">
      <dxf/>
    </rfmt>
    <rfmt sheetId="2" sqref="JA767" start="0" length="0">
      <dxf/>
    </rfmt>
    <rfmt sheetId="2" sqref="JB767" start="0" length="0">
      <dxf/>
    </rfmt>
    <rfmt sheetId="2" sqref="JC767" start="0" length="0">
      <dxf/>
    </rfmt>
    <rfmt sheetId="2" sqref="JD767" start="0" length="0">
      <dxf/>
    </rfmt>
    <rfmt sheetId="2" sqref="JE767" start="0" length="0">
      <dxf/>
    </rfmt>
    <rfmt sheetId="2" sqref="JF767" start="0" length="0">
      <dxf/>
    </rfmt>
    <rfmt sheetId="2" sqref="JG767" start="0" length="0">
      <dxf/>
    </rfmt>
    <rfmt sheetId="2" sqref="JH767" start="0" length="0">
      <dxf/>
    </rfmt>
    <rfmt sheetId="2" sqref="JI767" start="0" length="0">
      <dxf/>
    </rfmt>
    <rfmt sheetId="2" sqref="JJ767" start="0" length="0">
      <dxf/>
    </rfmt>
    <rfmt sheetId="2" sqref="JK767" start="0" length="0">
      <dxf/>
    </rfmt>
    <rfmt sheetId="2" sqref="JL767" start="0" length="0">
      <dxf/>
    </rfmt>
    <rfmt sheetId="2" sqref="JM767" start="0" length="0">
      <dxf/>
    </rfmt>
    <rfmt sheetId="2" sqref="JN767" start="0" length="0">
      <dxf/>
    </rfmt>
    <rfmt sheetId="2" sqref="JO767" start="0" length="0">
      <dxf/>
    </rfmt>
    <rfmt sheetId="2" sqref="JP767" start="0" length="0">
      <dxf/>
    </rfmt>
    <rfmt sheetId="2" sqref="JQ767" start="0" length="0">
      <dxf/>
    </rfmt>
    <rfmt sheetId="2" sqref="JR767" start="0" length="0">
      <dxf/>
    </rfmt>
    <rfmt sheetId="2" sqref="JS767" start="0" length="0">
      <dxf/>
    </rfmt>
    <rfmt sheetId="2" sqref="JT767" start="0" length="0">
      <dxf/>
    </rfmt>
    <rfmt sheetId="2" sqref="JU767" start="0" length="0">
      <dxf/>
    </rfmt>
    <rfmt sheetId="2" sqref="JV767" start="0" length="0">
      <dxf/>
    </rfmt>
    <rfmt sheetId="2" sqref="JW767" start="0" length="0">
      <dxf/>
    </rfmt>
    <rfmt sheetId="2" sqref="JX767" start="0" length="0">
      <dxf/>
    </rfmt>
    <rfmt sheetId="2" sqref="JY767" start="0" length="0">
      <dxf/>
    </rfmt>
    <rfmt sheetId="2" sqref="JZ767" start="0" length="0">
      <dxf/>
    </rfmt>
    <rfmt sheetId="2" sqref="KA767" start="0" length="0">
      <dxf/>
    </rfmt>
    <rfmt sheetId="2" sqref="KB767" start="0" length="0">
      <dxf/>
    </rfmt>
    <rfmt sheetId="2" sqref="KC767" start="0" length="0">
      <dxf/>
    </rfmt>
    <rfmt sheetId="2" sqref="KD767" start="0" length="0">
      <dxf/>
    </rfmt>
    <rfmt sheetId="2" sqref="KE767" start="0" length="0">
      <dxf/>
    </rfmt>
    <rfmt sheetId="2" sqref="KF767" start="0" length="0">
      <dxf/>
    </rfmt>
    <rfmt sheetId="2" sqref="KG767" start="0" length="0">
      <dxf/>
    </rfmt>
    <rfmt sheetId="2" sqref="KH767" start="0" length="0">
      <dxf/>
    </rfmt>
    <rfmt sheetId="2" sqref="KI767" start="0" length="0">
      <dxf/>
    </rfmt>
    <rfmt sheetId="2" sqref="KJ767" start="0" length="0">
      <dxf/>
    </rfmt>
    <rfmt sheetId="2" sqref="KK767" start="0" length="0">
      <dxf/>
    </rfmt>
    <rfmt sheetId="2" sqref="KL767" start="0" length="0">
      <dxf/>
    </rfmt>
    <rfmt sheetId="2" sqref="KM767" start="0" length="0">
      <dxf/>
    </rfmt>
    <rfmt sheetId="2" sqref="KN767" start="0" length="0">
      <dxf/>
    </rfmt>
    <rfmt sheetId="2" sqref="KO767" start="0" length="0">
      <dxf/>
    </rfmt>
    <rfmt sheetId="2" sqref="KP767" start="0" length="0">
      <dxf/>
    </rfmt>
    <rfmt sheetId="2" sqref="KQ767" start="0" length="0">
      <dxf/>
    </rfmt>
    <rfmt sheetId="2" sqref="KR767" start="0" length="0">
      <dxf/>
    </rfmt>
    <rfmt sheetId="2" sqref="KS767" start="0" length="0">
      <dxf/>
    </rfmt>
    <rfmt sheetId="2" sqref="KT767" start="0" length="0">
      <dxf/>
    </rfmt>
    <rfmt sheetId="2" sqref="KU767" start="0" length="0">
      <dxf/>
    </rfmt>
    <rfmt sheetId="2" sqref="KV767" start="0" length="0">
      <dxf/>
    </rfmt>
    <rfmt sheetId="2" sqref="KW767" start="0" length="0">
      <dxf/>
    </rfmt>
    <rfmt sheetId="2" sqref="KX767" start="0" length="0">
      <dxf/>
    </rfmt>
    <rfmt sheetId="2" sqref="KY767" start="0" length="0">
      <dxf/>
    </rfmt>
    <rfmt sheetId="2" sqref="KZ767" start="0" length="0">
      <dxf/>
    </rfmt>
    <rfmt sheetId="2" sqref="LA767" start="0" length="0">
      <dxf/>
    </rfmt>
    <rfmt sheetId="2" sqref="LB767" start="0" length="0">
      <dxf/>
    </rfmt>
    <rfmt sheetId="2" sqref="LC767" start="0" length="0">
      <dxf/>
    </rfmt>
    <rfmt sheetId="2" sqref="LD767" start="0" length="0">
      <dxf/>
    </rfmt>
    <rfmt sheetId="2" sqref="LE767" start="0" length="0">
      <dxf/>
    </rfmt>
    <rfmt sheetId="2" sqref="LF767" start="0" length="0">
      <dxf/>
    </rfmt>
    <rfmt sheetId="2" sqref="LG767" start="0" length="0">
      <dxf/>
    </rfmt>
    <rfmt sheetId="2" sqref="LH767" start="0" length="0">
      <dxf/>
    </rfmt>
    <rfmt sheetId="2" sqref="LI767" start="0" length="0">
      <dxf/>
    </rfmt>
    <rfmt sheetId="2" sqref="LJ767" start="0" length="0">
      <dxf/>
    </rfmt>
    <rfmt sheetId="2" sqref="LK767" start="0" length="0">
      <dxf/>
    </rfmt>
    <rfmt sheetId="2" sqref="LL767" start="0" length="0">
      <dxf/>
    </rfmt>
    <rfmt sheetId="2" sqref="LM767" start="0" length="0">
      <dxf/>
    </rfmt>
    <rfmt sheetId="2" sqref="LN767" start="0" length="0">
      <dxf/>
    </rfmt>
    <rfmt sheetId="2" sqref="LO767" start="0" length="0">
      <dxf/>
    </rfmt>
    <rfmt sheetId="2" sqref="LP767" start="0" length="0">
      <dxf/>
    </rfmt>
    <rfmt sheetId="2" sqref="LQ767" start="0" length="0">
      <dxf/>
    </rfmt>
    <rfmt sheetId="2" sqref="LR767" start="0" length="0">
      <dxf/>
    </rfmt>
    <rfmt sheetId="2" sqref="LS767" start="0" length="0">
      <dxf/>
    </rfmt>
    <rfmt sheetId="2" sqref="LT767" start="0" length="0">
      <dxf/>
    </rfmt>
    <rfmt sheetId="2" sqref="LU767" start="0" length="0">
      <dxf/>
    </rfmt>
    <rfmt sheetId="2" sqref="LV767" start="0" length="0">
      <dxf/>
    </rfmt>
    <rfmt sheetId="2" sqref="LW767" start="0" length="0">
      <dxf/>
    </rfmt>
    <rfmt sheetId="2" sqref="LX767" start="0" length="0">
      <dxf/>
    </rfmt>
    <rfmt sheetId="2" sqref="LY767" start="0" length="0">
      <dxf/>
    </rfmt>
    <rfmt sheetId="2" sqref="LZ767" start="0" length="0">
      <dxf/>
    </rfmt>
    <rfmt sheetId="2" sqref="MA767" start="0" length="0">
      <dxf/>
    </rfmt>
    <rfmt sheetId="2" sqref="MB767" start="0" length="0">
      <dxf/>
    </rfmt>
  </rrc>
  <rrc rId="1720" sId="2" ref="A762:XFD763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21" sheetId="2" source="A769:XFD770" destination="A762:XFD763" sourceSheetId="2">
    <rfmt sheetId="2" xfDxf="1" sqref="A762:XFD762" start="0" length="0">
      <dxf>
        <font>
          <sz val="10"/>
          <name val="Arial"/>
          <scheme val="none"/>
        </font>
        <alignment horizontal="center" readingOrder="0"/>
      </dxf>
    </rfmt>
    <rfmt sheetId="2" xfDxf="1" sqref="A763:XFD763" start="0" length="0">
      <dxf>
        <font>
          <sz val="10"/>
          <name val="Arial"/>
          <scheme val="none"/>
        </font>
        <alignment horizontal="center" readingOrder="0"/>
      </dxf>
    </rfmt>
    <rfmt sheetId="2" sqref="A76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2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2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2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2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2" start="0" length="0">
      <dxf>
        <numFmt numFmtId="176" formatCode="m/d;@"/>
      </dxf>
    </rfmt>
    <rfmt sheetId="2" sqref="P762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2" start="0" length="0">
      <dxf/>
    </rfmt>
    <rfmt sheetId="2" sqref="U762" start="0" length="0">
      <dxf/>
    </rfmt>
    <rfmt sheetId="2" sqref="V762" start="0" length="0">
      <dxf/>
    </rfmt>
    <rfmt sheetId="2" sqref="W762" start="0" length="0">
      <dxf/>
    </rfmt>
    <rfmt sheetId="2" sqref="X762" start="0" length="0">
      <dxf/>
    </rfmt>
    <rfmt sheetId="2" sqref="Y762" start="0" length="0">
      <dxf/>
    </rfmt>
    <rfmt sheetId="2" sqref="Z762" start="0" length="0">
      <dxf/>
    </rfmt>
    <rfmt sheetId="2" sqref="AA762" start="0" length="0">
      <dxf/>
    </rfmt>
    <rfmt sheetId="2" sqref="AB762" start="0" length="0">
      <dxf/>
    </rfmt>
    <rfmt sheetId="2" sqref="AC762" start="0" length="0">
      <dxf/>
    </rfmt>
    <rfmt sheetId="2" sqref="AD762" start="0" length="0">
      <dxf/>
    </rfmt>
    <rfmt sheetId="2" sqref="AE762" start="0" length="0">
      <dxf/>
    </rfmt>
    <rfmt sheetId="2" sqref="AF762" start="0" length="0">
      <dxf/>
    </rfmt>
    <rfmt sheetId="2" sqref="AG762" start="0" length="0">
      <dxf/>
    </rfmt>
    <rfmt sheetId="2" sqref="AH762" start="0" length="0">
      <dxf/>
    </rfmt>
    <rfmt sheetId="2" sqref="AI762" start="0" length="0">
      <dxf/>
    </rfmt>
    <rfmt sheetId="2" sqref="AJ762" start="0" length="0">
      <dxf/>
    </rfmt>
    <rfmt sheetId="2" sqref="AK762" start="0" length="0">
      <dxf/>
    </rfmt>
    <rfmt sheetId="2" sqref="AL762" start="0" length="0">
      <dxf/>
    </rfmt>
    <rfmt sheetId="2" sqref="AM762" start="0" length="0">
      <dxf/>
    </rfmt>
    <rfmt sheetId="2" sqref="AN762" start="0" length="0">
      <dxf/>
    </rfmt>
    <rfmt sheetId="2" sqref="AO762" start="0" length="0">
      <dxf/>
    </rfmt>
    <rfmt sheetId="2" sqref="AP762" start="0" length="0">
      <dxf/>
    </rfmt>
    <rfmt sheetId="2" sqref="AQ762" start="0" length="0">
      <dxf/>
    </rfmt>
    <rfmt sheetId="2" sqref="AR762" start="0" length="0">
      <dxf/>
    </rfmt>
    <rfmt sheetId="2" sqref="AS762" start="0" length="0">
      <dxf/>
    </rfmt>
    <rfmt sheetId="2" sqref="AT762" start="0" length="0">
      <dxf/>
    </rfmt>
    <rfmt sheetId="2" sqref="AU762" start="0" length="0">
      <dxf/>
    </rfmt>
    <rfmt sheetId="2" sqref="AV762" start="0" length="0">
      <dxf/>
    </rfmt>
    <rfmt sheetId="2" sqref="AW762" start="0" length="0">
      <dxf/>
    </rfmt>
    <rfmt sheetId="2" sqref="AX762" start="0" length="0">
      <dxf/>
    </rfmt>
    <rfmt sheetId="2" sqref="AY762" start="0" length="0">
      <dxf/>
    </rfmt>
    <rfmt sheetId="2" sqref="AZ762" start="0" length="0">
      <dxf/>
    </rfmt>
    <rfmt sheetId="2" sqref="BA762" start="0" length="0">
      <dxf/>
    </rfmt>
    <rfmt sheetId="2" sqref="BB762" start="0" length="0">
      <dxf/>
    </rfmt>
    <rfmt sheetId="2" sqref="BC762" start="0" length="0">
      <dxf/>
    </rfmt>
    <rfmt sheetId="2" sqref="BD762" start="0" length="0">
      <dxf/>
    </rfmt>
    <rfmt sheetId="2" sqref="BE762" start="0" length="0">
      <dxf/>
    </rfmt>
    <rfmt sheetId="2" sqref="BF762" start="0" length="0">
      <dxf/>
    </rfmt>
    <rfmt sheetId="2" sqref="BG762" start="0" length="0">
      <dxf/>
    </rfmt>
    <rfmt sheetId="2" sqref="BH762" start="0" length="0">
      <dxf/>
    </rfmt>
    <rfmt sheetId="2" sqref="BI762" start="0" length="0">
      <dxf/>
    </rfmt>
    <rfmt sheetId="2" sqref="BJ762" start="0" length="0">
      <dxf/>
    </rfmt>
    <rfmt sheetId="2" sqref="BK762" start="0" length="0">
      <dxf/>
    </rfmt>
    <rfmt sheetId="2" sqref="BL762" start="0" length="0">
      <dxf/>
    </rfmt>
    <rfmt sheetId="2" sqref="BM762" start="0" length="0">
      <dxf/>
    </rfmt>
    <rfmt sheetId="2" sqref="BN762" start="0" length="0">
      <dxf/>
    </rfmt>
    <rfmt sheetId="2" sqref="BO762" start="0" length="0">
      <dxf/>
    </rfmt>
    <rfmt sheetId="2" sqref="BP762" start="0" length="0">
      <dxf/>
    </rfmt>
    <rfmt sheetId="2" sqref="BQ762" start="0" length="0">
      <dxf/>
    </rfmt>
    <rfmt sheetId="2" sqref="BR762" start="0" length="0">
      <dxf/>
    </rfmt>
    <rfmt sheetId="2" sqref="BS762" start="0" length="0">
      <dxf/>
    </rfmt>
    <rfmt sheetId="2" sqref="BT762" start="0" length="0">
      <dxf/>
    </rfmt>
    <rfmt sheetId="2" sqref="BU762" start="0" length="0">
      <dxf/>
    </rfmt>
    <rfmt sheetId="2" sqref="BV762" start="0" length="0">
      <dxf/>
    </rfmt>
    <rfmt sheetId="2" sqref="BW762" start="0" length="0">
      <dxf/>
    </rfmt>
    <rfmt sheetId="2" sqref="BX762" start="0" length="0">
      <dxf/>
    </rfmt>
    <rfmt sheetId="2" sqref="BY762" start="0" length="0">
      <dxf/>
    </rfmt>
    <rfmt sheetId="2" sqref="BZ762" start="0" length="0">
      <dxf/>
    </rfmt>
    <rfmt sheetId="2" sqref="CA762" start="0" length="0">
      <dxf/>
    </rfmt>
    <rfmt sheetId="2" sqref="CB762" start="0" length="0">
      <dxf/>
    </rfmt>
    <rfmt sheetId="2" sqref="CC762" start="0" length="0">
      <dxf/>
    </rfmt>
    <rfmt sheetId="2" sqref="CD762" start="0" length="0">
      <dxf/>
    </rfmt>
    <rfmt sheetId="2" sqref="CE762" start="0" length="0">
      <dxf/>
    </rfmt>
    <rfmt sheetId="2" sqref="CF762" start="0" length="0">
      <dxf/>
    </rfmt>
    <rfmt sheetId="2" sqref="CG762" start="0" length="0">
      <dxf/>
    </rfmt>
    <rfmt sheetId="2" sqref="CH762" start="0" length="0">
      <dxf/>
    </rfmt>
    <rfmt sheetId="2" sqref="CI762" start="0" length="0">
      <dxf/>
    </rfmt>
    <rfmt sheetId="2" sqref="CJ762" start="0" length="0">
      <dxf/>
    </rfmt>
    <rfmt sheetId="2" sqref="CK762" start="0" length="0">
      <dxf/>
    </rfmt>
    <rfmt sheetId="2" sqref="CL762" start="0" length="0">
      <dxf/>
    </rfmt>
    <rfmt sheetId="2" sqref="CM762" start="0" length="0">
      <dxf/>
    </rfmt>
    <rfmt sheetId="2" sqref="CN762" start="0" length="0">
      <dxf/>
    </rfmt>
    <rfmt sheetId="2" sqref="CO762" start="0" length="0">
      <dxf/>
    </rfmt>
    <rfmt sheetId="2" sqref="CP762" start="0" length="0">
      <dxf/>
    </rfmt>
    <rfmt sheetId="2" sqref="CQ762" start="0" length="0">
      <dxf/>
    </rfmt>
    <rfmt sheetId="2" sqref="CR762" start="0" length="0">
      <dxf/>
    </rfmt>
    <rfmt sheetId="2" sqref="CS762" start="0" length="0">
      <dxf/>
    </rfmt>
    <rfmt sheetId="2" sqref="CT762" start="0" length="0">
      <dxf/>
    </rfmt>
    <rfmt sheetId="2" sqref="CU762" start="0" length="0">
      <dxf/>
    </rfmt>
    <rfmt sheetId="2" sqref="CV762" start="0" length="0">
      <dxf/>
    </rfmt>
    <rfmt sheetId="2" sqref="CW762" start="0" length="0">
      <dxf/>
    </rfmt>
    <rfmt sheetId="2" sqref="CX762" start="0" length="0">
      <dxf/>
    </rfmt>
    <rfmt sheetId="2" sqref="CY762" start="0" length="0">
      <dxf/>
    </rfmt>
    <rfmt sheetId="2" sqref="CZ762" start="0" length="0">
      <dxf/>
    </rfmt>
    <rfmt sheetId="2" sqref="DA762" start="0" length="0">
      <dxf/>
    </rfmt>
    <rfmt sheetId="2" sqref="DB762" start="0" length="0">
      <dxf/>
    </rfmt>
    <rfmt sheetId="2" sqref="DC762" start="0" length="0">
      <dxf/>
    </rfmt>
    <rfmt sheetId="2" sqref="DD762" start="0" length="0">
      <dxf/>
    </rfmt>
    <rfmt sheetId="2" sqref="DE762" start="0" length="0">
      <dxf/>
    </rfmt>
    <rfmt sheetId="2" sqref="DF762" start="0" length="0">
      <dxf/>
    </rfmt>
    <rfmt sheetId="2" sqref="DG762" start="0" length="0">
      <dxf/>
    </rfmt>
    <rfmt sheetId="2" sqref="DH762" start="0" length="0">
      <dxf/>
    </rfmt>
    <rfmt sheetId="2" sqref="DI762" start="0" length="0">
      <dxf/>
    </rfmt>
    <rfmt sheetId="2" sqref="DJ762" start="0" length="0">
      <dxf/>
    </rfmt>
    <rfmt sheetId="2" sqref="DK762" start="0" length="0">
      <dxf/>
    </rfmt>
    <rfmt sheetId="2" sqref="DL762" start="0" length="0">
      <dxf/>
    </rfmt>
    <rfmt sheetId="2" sqref="DM762" start="0" length="0">
      <dxf/>
    </rfmt>
    <rfmt sheetId="2" sqref="DN762" start="0" length="0">
      <dxf/>
    </rfmt>
    <rfmt sheetId="2" sqref="DO762" start="0" length="0">
      <dxf/>
    </rfmt>
    <rfmt sheetId="2" sqref="DP762" start="0" length="0">
      <dxf/>
    </rfmt>
    <rfmt sheetId="2" sqref="DQ762" start="0" length="0">
      <dxf/>
    </rfmt>
    <rfmt sheetId="2" sqref="DR762" start="0" length="0">
      <dxf/>
    </rfmt>
    <rfmt sheetId="2" sqref="DS762" start="0" length="0">
      <dxf/>
    </rfmt>
    <rfmt sheetId="2" sqref="DT762" start="0" length="0">
      <dxf/>
    </rfmt>
    <rfmt sheetId="2" sqref="DU762" start="0" length="0">
      <dxf/>
    </rfmt>
    <rfmt sheetId="2" sqref="DV762" start="0" length="0">
      <dxf/>
    </rfmt>
    <rfmt sheetId="2" sqref="DW762" start="0" length="0">
      <dxf/>
    </rfmt>
    <rfmt sheetId="2" sqref="DX762" start="0" length="0">
      <dxf/>
    </rfmt>
    <rfmt sheetId="2" sqref="DY762" start="0" length="0">
      <dxf/>
    </rfmt>
    <rfmt sheetId="2" sqref="DZ762" start="0" length="0">
      <dxf/>
    </rfmt>
    <rfmt sheetId="2" sqref="EA762" start="0" length="0">
      <dxf/>
    </rfmt>
    <rfmt sheetId="2" sqref="EB762" start="0" length="0">
      <dxf/>
    </rfmt>
    <rfmt sheetId="2" sqref="EC762" start="0" length="0">
      <dxf/>
    </rfmt>
    <rfmt sheetId="2" sqref="ED762" start="0" length="0">
      <dxf/>
    </rfmt>
    <rfmt sheetId="2" sqref="EE762" start="0" length="0">
      <dxf/>
    </rfmt>
    <rfmt sheetId="2" sqref="EF762" start="0" length="0">
      <dxf/>
    </rfmt>
    <rfmt sheetId="2" sqref="EG762" start="0" length="0">
      <dxf/>
    </rfmt>
    <rfmt sheetId="2" sqref="EH762" start="0" length="0">
      <dxf/>
    </rfmt>
    <rfmt sheetId="2" sqref="EI762" start="0" length="0">
      <dxf/>
    </rfmt>
    <rfmt sheetId="2" sqref="EJ762" start="0" length="0">
      <dxf/>
    </rfmt>
    <rfmt sheetId="2" sqref="EK762" start="0" length="0">
      <dxf/>
    </rfmt>
    <rfmt sheetId="2" sqref="EL762" start="0" length="0">
      <dxf/>
    </rfmt>
    <rfmt sheetId="2" sqref="EM762" start="0" length="0">
      <dxf/>
    </rfmt>
    <rfmt sheetId="2" sqref="EN762" start="0" length="0">
      <dxf/>
    </rfmt>
    <rfmt sheetId="2" sqref="EO762" start="0" length="0">
      <dxf/>
    </rfmt>
    <rfmt sheetId="2" sqref="EP762" start="0" length="0">
      <dxf/>
    </rfmt>
    <rfmt sheetId="2" sqref="EQ762" start="0" length="0">
      <dxf/>
    </rfmt>
    <rfmt sheetId="2" sqref="ER762" start="0" length="0">
      <dxf/>
    </rfmt>
    <rfmt sheetId="2" sqref="ES762" start="0" length="0">
      <dxf/>
    </rfmt>
    <rfmt sheetId="2" sqref="ET762" start="0" length="0">
      <dxf/>
    </rfmt>
    <rfmt sheetId="2" sqref="EU762" start="0" length="0">
      <dxf/>
    </rfmt>
    <rfmt sheetId="2" sqref="EV762" start="0" length="0">
      <dxf/>
    </rfmt>
    <rfmt sheetId="2" sqref="EW762" start="0" length="0">
      <dxf/>
    </rfmt>
    <rfmt sheetId="2" sqref="EX762" start="0" length="0">
      <dxf/>
    </rfmt>
    <rfmt sheetId="2" sqref="EY762" start="0" length="0">
      <dxf/>
    </rfmt>
    <rfmt sheetId="2" sqref="EZ762" start="0" length="0">
      <dxf/>
    </rfmt>
    <rfmt sheetId="2" sqref="FA762" start="0" length="0">
      <dxf/>
    </rfmt>
    <rfmt sheetId="2" sqref="FB762" start="0" length="0">
      <dxf/>
    </rfmt>
    <rfmt sheetId="2" sqref="FC762" start="0" length="0">
      <dxf/>
    </rfmt>
    <rfmt sheetId="2" sqref="FD762" start="0" length="0">
      <dxf/>
    </rfmt>
    <rfmt sheetId="2" sqref="FE762" start="0" length="0">
      <dxf/>
    </rfmt>
    <rfmt sheetId="2" sqref="FF762" start="0" length="0">
      <dxf/>
    </rfmt>
    <rfmt sheetId="2" sqref="FG762" start="0" length="0">
      <dxf/>
    </rfmt>
    <rfmt sheetId="2" sqref="FH762" start="0" length="0">
      <dxf/>
    </rfmt>
    <rfmt sheetId="2" sqref="FI762" start="0" length="0">
      <dxf/>
    </rfmt>
    <rfmt sheetId="2" sqref="FJ762" start="0" length="0">
      <dxf/>
    </rfmt>
    <rfmt sheetId="2" sqref="FK762" start="0" length="0">
      <dxf/>
    </rfmt>
    <rfmt sheetId="2" sqref="FL762" start="0" length="0">
      <dxf/>
    </rfmt>
    <rfmt sheetId="2" sqref="FM762" start="0" length="0">
      <dxf/>
    </rfmt>
    <rfmt sheetId="2" sqref="FN762" start="0" length="0">
      <dxf/>
    </rfmt>
    <rfmt sheetId="2" sqref="FO762" start="0" length="0">
      <dxf/>
    </rfmt>
    <rfmt sheetId="2" sqref="FP762" start="0" length="0">
      <dxf/>
    </rfmt>
    <rfmt sheetId="2" sqref="FQ762" start="0" length="0">
      <dxf/>
    </rfmt>
    <rfmt sheetId="2" sqref="FR762" start="0" length="0">
      <dxf/>
    </rfmt>
    <rfmt sheetId="2" sqref="FS762" start="0" length="0">
      <dxf/>
    </rfmt>
    <rfmt sheetId="2" sqref="FT762" start="0" length="0">
      <dxf/>
    </rfmt>
    <rfmt sheetId="2" sqref="FU762" start="0" length="0">
      <dxf/>
    </rfmt>
    <rfmt sheetId="2" sqref="FV762" start="0" length="0">
      <dxf/>
    </rfmt>
    <rfmt sheetId="2" sqref="FW762" start="0" length="0">
      <dxf/>
    </rfmt>
    <rfmt sheetId="2" sqref="FX762" start="0" length="0">
      <dxf/>
    </rfmt>
    <rfmt sheetId="2" sqref="FY762" start="0" length="0">
      <dxf/>
    </rfmt>
    <rfmt sheetId="2" sqref="FZ762" start="0" length="0">
      <dxf/>
    </rfmt>
    <rfmt sheetId="2" sqref="GA762" start="0" length="0">
      <dxf/>
    </rfmt>
    <rfmt sheetId="2" sqref="GB762" start="0" length="0">
      <dxf/>
    </rfmt>
    <rfmt sheetId="2" sqref="GC762" start="0" length="0">
      <dxf/>
    </rfmt>
    <rfmt sheetId="2" sqref="GD762" start="0" length="0">
      <dxf/>
    </rfmt>
    <rfmt sheetId="2" sqref="GE762" start="0" length="0">
      <dxf/>
    </rfmt>
    <rfmt sheetId="2" sqref="GF762" start="0" length="0">
      <dxf/>
    </rfmt>
    <rfmt sheetId="2" sqref="GG762" start="0" length="0">
      <dxf/>
    </rfmt>
    <rfmt sheetId="2" sqref="GH762" start="0" length="0">
      <dxf/>
    </rfmt>
    <rfmt sheetId="2" sqref="GI762" start="0" length="0">
      <dxf/>
    </rfmt>
    <rfmt sheetId="2" sqref="GJ762" start="0" length="0">
      <dxf/>
    </rfmt>
    <rfmt sheetId="2" sqref="GK762" start="0" length="0">
      <dxf/>
    </rfmt>
    <rfmt sheetId="2" sqref="GL762" start="0" length="0">
      <dxf/>
    </rfmt>
    <rfmt sheetId="2" sqref="GM762" start="0" length="0">
      <dxf/>
    </rfmt>
    <rfmt sheetId="2" sqref="GN762" start="0" length="0">
      <dxf/>
    </rfmt>
    <rfmt sheetId="2" sqref="GO762" start="0" length="0">
      <dxf/>
    </rfmt>
    <rfmt sheetId="2" sqref="GP762" start="0" length="0">
      <dxf/>
    </rfmt>
    <rfmt sheetId="2" sqref="GQ762" start="0" length="0">
      <dxf/>
    </rfmt>
    <rfmt sheetId="2" sqref="GR762" start="0" length="0">
      <dxf/>
    </rfmt>
    <rfmt sheetId="2" sqref="GS762" start="0" length="0">
      <dxf/>
    </rfmt>
    <rfmt sheetId="2" sqref="GT762" start="0" length="0">
      <dxf/>
    </rfmt>
    <rfmt sheetId="2" sqref="GU762" start="0" length="0">
      <dxf/>
    </rfmt>
    <rfmt sheetId="2" sqref="GV762" start="0" length="0">
      <dxf/>
    </rfmt>
    <rfmt sheetId="2" sqref="GW762" start="0" length="0">
      <dxf/>
    </rfmt>
    <rfmt sheetId="2" sqref="GX762" start="0" length="0">
      <dxf/>
    </rfmt>
    <rfmt sheetId="2" sqref="GY762" start="0" length="0">
      <dxf/>
    </rfmt>
    <rfmt sheetId="2" sqref="GZ762" start="0" length="0">
      <dxf/>
    </rfmt>
    <rfmt sheetId="2" sqref="HA762" start="0" length="0">
      <dxf/>
    </rfmt>
    <rfmt sheetId="2" sqref="HB762" start="0" length="0">
      <dxf/>
    </rfmt>
    <rfmt sheetId="2" sqref="HC762" start="0" length="0">
      <dxf/>
    </rfmt>
    <rfmt sheetId="2" sqref="HD762" start="0" length="0">
      <dxf/>
    </rfmt>
    <rfmt sheetId="2" sqref="HE762" start="0" length="0">
      <dxf/>
    </rfmt>
    <rfmt sheetId="2" sqref="HF762" start="0" length="0">
      <dxf/>
    </rfmt>
    <rfmt sheetId="2" sqref="HG762" start="0" length="0">
      <dxf/>
    </rfmt>
    <rfmt sheetId="2" sqref="HH762" start="0" length="0">
      <dxf/>
    </rfmt>
    <rfmt sheetId="2" sqref="HI762" start="0" length="0">
      <dxf/>
    </rfmt>
    <rfmt sheetId="2" sqref="HJ762" start="0" length="0">
      <dxf/>
    </rfmt>
    <rfmt sheetId="2" sqref="HK762" start="0" length="0">
      <dxf/>
    </rfmt>
    <rfmt sheetId="2" sqref="HL762" start="0" length="0">
      <dxf/>
    </rfmt>
    <rfmt sheetId="2" sqref="HM762" start="0" length="0">
      <dxf/>
    </rfmt>
    <rfmt sheetId="2" sqref="HN762" start="0" length="0">
      <dxf/>
    </rfmt>
    <rfmt sheetId="2" sqref="HO762" start="0" length="0">
      <dxf/>
    </rfmt>
    <rfmt sheetId="2" sqref="HP762" start="0" length="0">
      <dxf/>
    </rfmt>
    <rfmt sheetId="2" sqref="HQ762" start="0" length="0">
      <dxf/>
    </rfmt>
    <rfmt sheetId="2" sqref="HR762" start="0" length="0">
      <dxf/>
    </rfmt>
    <rfmt sheetId="2" sqref="HS762" start="0" length="0">
      <dxf/>
    </rfmt>
    <rfmt sheetId="2" sqref="HT762" start="0" length="0">
      <dxf/>
    </rfmt>
    <rfmt sheetId="2" sqref="HU762" start="0" length="0">
      <dxf/>
    </rfmt>
    <rfmt sheetId="2" sqref="HV762" start="0" length="0">
      <dxf/>
    </rfmt>
    <rfmt sheetId="2" sqref="HW762" start="0" length="0">
      <dxf/>
    </rfmt>
    <rfmt sheetId="2" sqref="HX762" start="0" length="0">
      <dxf/>
    </rfmt>
    <rfmt sheetId="2" sqref="HY762" start="0" length="0">
      <dxf/>
    </rfmt>
    <rfmt sheetId="2" sqref="HZ762" start="0" length="0">
      <dxf/>
    </rfmt>
    <rfmt sheetId="2" sqref="IA762" start="0" length="0">
      <dxf/>
    </rfmt>
    <rfmt sheetId="2" sqref="IB762" start="0" length="0">
      <dxf/>
    </rfmt>
    <rfmt sheetId="2" sqref="IC762" start="0" length="0">
      <dxf/>
    </rfmt>
    <rfmt sheetId="2" sqref="ID762" start="0" length="0">
      <dxf/>
    </rfmt>
    <rfmt sheetId="2" sqref="IE762" start="0" length="0">
      <dxf/>
    </rfmt>
    <rfmt sheetId="2" sqref="IF762" start="0" length="0">
      <dxf/>
    </rfmt>
    <rfmt sheetId="2" sqref="IG762" start="0" length="0">
      <dxf/>
    </rfmt>
    <rfmt sheetId="2" sqref="IH762" start="0" length="0">
      <dxf/>
    </rfmt>
    <rfmt sheetId="2" sqref="II762" start="0" length="0">
      <dxf/>
    </rfmt>
    <rfmt sheetId="2" sqref="IJ762" start="0" length="0">
      <dxf/>
    </rfmt>
    <rfmt sheetId="2" sqref="IK762" start="0" length="0">
      <dxf/>
    </rfmt>
    <rfmt sheetId="2" sqref="IL762" start="0" length="0">
      <dxf/>
    </rfmt>
    <rfmt sheetId="2" sqref="IM762" start="0" length="0">
      <dxf/>
    </rfmt>
    <rfmt sheetId="2" sqref="IN762" start="0" length="0">
      <dxf/>
    </rfmt>
    <rfmt sheetId="2" sqref="IO762" start="0" length="0">
      <dxf/>
    </rfmt>
    <rfmt sheetId="2" sqref="IP762" start="0" length="0">
      <dxf/>
    </rfmt>
    <rfmt sheetId="2" sqref="IQ762" start="0" length="0">
      <dxf/>
    </rfmt>
    <rfmt sheetId="2" sqref="IR762" start="0" length="0">
      <dxf/>
    </rfmt>
    <rfmt sheetId="2" sqref="IS762" start="0" length="0">
      <dxf/>
    </rfmt>
    <rfmt sheetId="2" sqref="IT762" start="0" length="0">
      <dxf/>
    </rfmt>
    <rfmt sheetId="2" sqref="IU762" start="0" length="0">
      <dxf/>
    </rfmt>
    <rfmt sheetId="2" sqref="IV762" start="0" length="0">
      <dxf/>
    </rfmt>
    <rfmt sheetId="2" sqref="IW762" start="0" length="0">
      <dxf/>
    </rfmt>
    <rfmt sheetId="2" sqref="IX762" start="0" length="0">
      <dxf/>
    </rfmt>
    <rfmt sheetId="2" sqref="IY762" start="0" length="0">
      <dxf/>
    </rfmt>
    <rfmt sheetId="2" sqref="IZ762" start="0" length="0">
      <dxf/>
    </rfmt>
    <rfmt sheetId="2" sqref="JA762" start="0" length="0">
      <dxf/>
    </rfmt>
    <rfmt sheetId="2" sqref="JB762" start="0" length="0">
      <dxf/>
    </rfmt>
    <rfmt sheetId="2" sqref="JC762" start="0" length="0">
      <dxf/>
    </rfmt>
    <rfmt sheetId="2" sqref="JD762" start="0" length="0">
      <dxf/>
    </rfmt>
    <rfmt sheetId="2" sqref="JE762" start="0" length="0">
      <dxf/>
    </rfmt>
    <rfmt sheetId="2" sqref="JF762" start="0" length="0">
      <dxf/>
    </rfmt>
    <rfmt sheetId="2" sqref="JG762" start="0" length="0">
      <dxf/>
    </rfmt>
    <rfmt sheetId="2" sqref="JH762" start="0" length="0">
      <dxf/>
    </rfmt>
    <rfmt sheetId="2" sqref="JI762" start="0" length="0">
      <dxf/>
    </rfmt>
    <rfmt sheetId="2" sqref="JJ762" start="0" length="0">
      <dxf/>
    </rfmt>
    <rfmt sheetId="2" sqref="JK762" start="0" length="0">
      <dxf/>
    </rfmt>
    <rfmt sheetId="2" sqref="JL762" start="0" length="0">
      <dxf/>
    </rfmt>
    <rfmt sheetId="2" sqref="JM762" start="0" length="0">
      <dxf/>
    </rfmt>
    <rfmt sheetId="2" sqref="JN762" start="0" length="0">
      <dxf/>
    </rfmt>
    <rfmt sheetId="2" sqref="JO762" start="0" length="0">
      <dxf/>
    </rfmt>
    <rfmt sheetId="2" sqref="JP762" start="0" length="0">
      <dxf/>
    </rfmt>
    <rfmt sheetId="2" sqref="JQ762" start="0" length="0">
      <dxf/>
    </rfmt>
    <rfmt sheetId="2" sqref="JR762" start="0" length="0">
      <dxf/>
    </rfmt>
    <rfmt sheetId="2" sqref="JS762" start="0" length="0">
      <dxf/>
    </rfmt>
    <rfmt sheetId="2" sqref="JT762" start="0" length="0">
      <dxf/>
    </rfmt>
    <rfmt sheetId="2" sqref="JU762" start="0" length="0">
      <dxf/>
    </rfmt>
    <rfmt sheetId="2" sqref="JV762" start="0" length="0">
      <dxf/>
    </rfmt>
    <rfmt sheetId="2" sqref="JW762" start="0" length="0">
      <dxf/>
    </rfmt>
    <rfmt sheetId="2" sqref="JX762" start="0" length="0">
      <dxf/>
    </rfmt>
    <rfmt sheetId="2" sqref="JY762" start="0" length="0">
      <dxf/>
    </rfmt>
    <rfmt sheetId="2" sqref="JZ762" start="0" length="0">
      <dxf/>
    </rfmt>
    <rfmt sheetId="2" sqref="KA762" start="0" length="0">
      <dxf/>
    </rfmt>
    <rfmt sheetId="2" sqref="KB762" start="0" length="0">
      <dxf/>
    </rfmt>
    <rfmt sheetId="2" sqref="KC762" start="0" length="0">
      <dxf/>
    </rfmt>
    <rfmt sheetId="2" sqref="KD762" start="0" length="0">
      <dxf/>
    </rfmt>
    <rfmt sheetId="2" sqref="KE762" start="0" length="0">
      <dxf/>
    </rfmt>
    <rfmt sheetId="2" sqref="KF762" start="0" length="0">
      <dxf/>
    </rfmt>
    <rfmt sheetId="2" sqref="KG762" start="0" length="0">
      <dxf/>
    </rfmt>
    <rfmt sheetId="2" sqref="KH762" start="0" length="0">
      <dxf/>
    </rfmt>
    <rfmt sheetId="2" sqref="KI762" start="0" length="0">
      <dxf/>
    </rfmt>
    <rfmt sheetId="2" sqref="KJ762" start="0" length="0">
      <dxf/>
    </rfmt>
    <rfmt sheetId="2" sqref="KK762" start="0" length="0">
      <dxf/>
    </rfmt>
    <rfmt sheetId="2" sqref="KL762" start="0" length="0">
      <dxf/>
    </rfmt>
    <rfmt sheetId="2" sqref="KM762" start="0" length="0">
      <dxf/>
    </rfmt>
    <rfmt sheetId="2" sqref="KN762" start="0" length="0">
      <dxf/>
    </rfmt>
    <rfmt sheetId="2" sqref="KO762" start="0" length="0">
      <dxf/>
    </rfmt>
    <rfmt sheetId="2" sqref="KP762" start="0" length="0">
      <dxf/>
    </rfmt>
    <rfmt sheetId="2" sqref="KQ762" start="0" length="0">
      <dxf/>
    </rfmt>
    <rfmt sheetId="2" sqref="KR762" start="0" length="0">
      <dxf/>
    </rfmt>
    <rfmt sheetId="2" sqref="KS762" start="0" length="0">
      <dxf/>
    </rfmt>
    <rfmt sheetId="2" sqref="KT762" start="0" length="0">
      <dxf/>
    </rfmt>
    <rfmt sheetId="2" sqref="KU762" start="0" length="0">
      <dxf/>
    </rfmt>
    <rfmt sheetId="2" sqref="KV762" start="0" length="0">
      <dxf/>
    </rfmt>
    <rfmt sheetId="2" sqref="KW762" start="0" length="0">
      <dxf/>
    </rfmt>
    <rfmt sheetId="2" sqref="KX762" start="0" length="0">
      <dxf/>
    </rfmt>
    <rfmt sheetId="2" sqref="KY762" start="0" length="0">
      <dxf/>
    </rfmt>
    <rfmt sheetId="2" sqref="KZ762" start="0" length="0">
      <dxf/>
    </rfmt>
    <rfmt sheetId="2" sqref="LA762" start="0" length="0">
      <dxf/>
    </rfmt>
    <rfmt sheetId="2" sqref="LB762" start="0" length="0">
      <dxf/>
    </rfmt>
    <rfmt sheetId="2" sqref="LC762" start="0" length="0">
      <dxf/>
    </rfmt>
    <rfmt sheetId="2" sqref="LD762" start="0" length="0">
      <dxf/>
    </rfmt>
    <rfmt sheetId="2" sqref="LE762" start="0" length="0">
      <dxf/>
    </rfmt>
    <rfmt sheetId="2" sqref="LF762" start="0" length="0">
      <dxf/>
    </rfmt>
    <rfmt sheetId="2" sqref="LG762" start="0" length="0">
      <dxf/>
    </rfmt>
    <rfmt sheetId="2" sqref="LH762" start="0" length="0">
      <dxf/>
    </rfmt>
    <rfmt sheetId="2" sqref="LI762" start="0" length="0">
      <dxf/>
    </rfmt>
    <rfmt sheetId="2" sqref="LJ762" start="0" length="0">
      <dxf/>
    </rfmt>
    <rfmt sheetId="2" sqref="LK762" start="0" length="0">
      <dxf/>
    </rfmt>
    <rfmt sheetId="2" sqref="LL762" start="0" length="0">
      <dxf/>
    </rfmt>
    <rfmt sheetId="2" sqref="LM762" start="0" length="0">
      <dxf/>
    </rfmt>
    <rfmt sheetId="2" sqref="LN762" start="0" length="0">
      <dxf/>
    </rfmt>
    <rfmt sheetId="2" sqref="LO762" start="0" length="0">
      <dxf/>
    </rfmt>
    <rfmt sheetId="2" sqref="LP762" start="0" length="0">
      <dxf/>
    </rfmt>
    <rfmt sheetId="2" sqref="LQ762" start="0" length="0">
      <dxf/>
    </rfmt>
    <rfmt sheetId="2" sqref="LR762" start="0" length="0">
      <dxf/>
    </rfmt>
    <rfmt sheetId="2" sqref="LS762" start="0" length="0">
      <dxf/>
    </rfmt>
    <rfmt sheetId="2" sqref="LT762" start="0" length="0">
      <dxf/>
    </rfmt>
    <rfmt sheetId="2" sqref="LU762" start="0" length="0">
      <dxf/>
    </rfmt>
    <rfmt sheetId="2" sqref="LV762" start="0" length="0">
      <dxf/>
    </rfmt>
    <rfmt sheetId="2" sqref="LW762" start="0" length="0">
      <dxf/>
    </rfmt>
    <rfmt sheetId="2" sqref="LX762" start="0" length="0">
      <dxf/>
    </rfmt>
    <rfmt sheetId="2" sqref="LY762" start="0" length="0">
      <dxf/>
    </rfmt>
    <rfmt sheetId="2" sqref="LZ762" start="0" length="0">
      <dxf/>
    </rfmt>
    <rfmt sheetId="2" sqref="MA762" start="0" length="0">
      <dxf/>
    </rfmt>
    <rfmt sheetId="2" sqref="MB762" start="0" length="0">
      <dxf/>
    </rfmt>
    <rfmt sheetId="2" sqref="A76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3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3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3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3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3" start="0" length="0">
      <dxf>
        <numFmt numFmtId="176" formatCode="m/d;@"/>
      </dxf>
    </rfmt>
    <rfmt sheetId="2" sqref="P76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3" start="0" length="0">
      <dxf/>
    </rfmt>
    <rfmt sheetId="2" sqref="U763" start="0" length="0">
      <dxf/>
    </rfmt>
    <rfmt sheetId="2" sqref="V763" start="0" length="0">
      <dxf/>
    </rfmt>
    <rfmt sheetId="2" sqref="W763" start="0" length="0">
      <dxf/>
    </rfmt>
    <rfmt sheetId="2" sqref="X763" start="0" length="0">
      <dxf/>
    </rfmt>
    <rfmt sheetId="2" sqref="Y763" start="0" length="0">
      <dxf/>
    </rfmt>
    <rfmt sheetId="2" sqref="Z763" start="0" length="0">
      <dxf/>
    </rfmt>
    <rfmt sheetId="2" sqref="AA763" start="0" length="0">
      <dxf/>
    </rfmt>
    <rfmt sheetId="2" sqref="AB763" start="0" length="0">
      <dxf/>
    </rfmt>
    <rfmt sheetId="2" sqref="AC763" start="0" length="0">
      <dxf/>
    </rfmt>
    <rfmt sheetId="2" sqref="AD763" start="0" length="0">
      <dxf/>
    </rfmt>
    <rfmt sheetId="2" sqref="AE763" start="0" length="0">
      <dxf/>
    </rfmt>
    <rfmt sheetId="2" sqref="AF763" start="0" length="0">
      <dxf/>
    </rfmt>
    <rfmt sheetId="2" sqref="AG763" start="0" length="0">
      <dxf/>
    </rfmt>
    <rfmt sheetId="2" sqref="AH763" start="0" length="0">
      <dxf/>
    </rfmt>
    <rfmt sheetId="2" sqref="AI763" start="0" length="0">
      <dxf/>
    </rfmt>
    <rfmt sheetId="2" sqref="AJ763" start="0" length="0">
      <dxf/>
    </rfmt>
    <rfmt sheetId="2" sqref="AK763" start="0" length="0">
      <dxf/>
    </rfmt>
    <rfmt sheetId="2" sqref="AL763" start="0" length="0">
      <dxf/>
    </rfmt>
    <rfmt sheetId="2" sqref="AM763" start="0" length="0">
      <dxf/>
    </rfmt>
    <rfmt sheetId="2" sqref="AN763" start="0" length="0">
      <dxf/>
    </rfmt>
    <rfmt sheetId="2" sqref="AO763" start="0" length="0">
      <dxf/>
    </rfmt>
    <rfmt sheetId="2" sqref="AP763" start="0" length="0">
      <dxf/>
    </rfmt>
    <rfmt sheetId="2" sqref="AQ763" start="0" length="0">
      <dxf/>
    </rfmt>
    <rfmt sheetId="2" sqref="AR763" start="0" length="0">
      <dxf/>
    </rfmt>
    <rfmt sheetId="2" sqref="AS763" start="0" length="0">
      <dxf/>
    </rfmt>
    <rfmt sheetId="2" sqref="AT763" start="0" length="0">
      <dxf/>
    </rfmt>
    <rfmt sheetId="2" sqref="AU763" start="0" length="0">
      <dxf/>
    </rfmt>
    <rfmt sheetId="2" sqref="AV763" start="0" length="0">
      <dxf/>
    </rfmt>
    <rfmt sheetId="2" sqref="AW763" start="0" length="0">
      <dxf/>
    </rfmt>
    <rfmt sheetId="2" sqref="AX763" start="0" length="0">
      <dxf/>
    </rfmt>
    <rfmt sheetId="2" sqref="AY763" start="0" length="0">
      <dxf/>
    </rfmt>
    <rfmt sheetId="2" sqref="AZ763" start="0" length="0">
      <dxf/>
    </rfmt>
    <rfmt sheetId="2" sqref="BA763" start="0" length="0">
      <dxf/>
    </rfmt>
    <rfmt sheetId="2" sqref="BB763" start="0" length="0">
      <dxf/>
    </rfmt>
    <rfmt sheetId="2" sqref="BC763" start="0" length="0">
      <dxf/>
    </rfmt>
    <rfmt sheetId="2" sqref="BD763" start="0" length="0">
      <dxf/>
    </rfmt>
    <rfmt sheetId="2" sqref="BE763" start="0" length="0">
      <dxf/>
    </rfmt>
    <rfmt sheetId="2" sqref="BF763" start="0" length="0">
      <dxf/>
    </rfmt>
    <rfmt sheetId="2" sqref="BG763" start="0" length="0">
      <dxf/>
    </rfmt>
    <rfmt sheetId="2" sqref="BH763" start="0" length="0">
      <dxf/>
    </rfmt>
    <rfmt sheetId="2" sqref="BI763" start="0" length="0">
      <dxf/>
    </rfmt>
    <rfmt sheetId="2" sqref="BJ763" start="0" length="0">
      <dxf/>
    </rfmt>
    <rfmt sheetId="2" sqref="BK763" start="0" length="0">
      <dxf/>
    </rfmt>
    <rfmt sheetId="2" sqref="BL763" start="0" length="0">
      <dxf/>
    </rfmt>
    <rfmt sheetId="2" sqref="BM763" start="0" length="0">
      <dxf/>
    </rfmt>
    <rfmt sheetId="2" sqref="BN763" start="0" length="0">
      <dxf/>
    </rfmt>
    <rfmt sheetId="2" sqref="BO763" start="0" length="0">
      <dxf/>
    </rfmt>
    <rfmt sheetId="2" sqref="BP763" start="0" length="0">
      <dxf/>
    </rfmt>
    <rfmt sheetId="2" sqref="BQ763" start="0" length="0">
      <dxf/>
    </rfmt>
    <rfmt sheetId="2" sqref="BR763" start="0" length="0">
      <dxf/>
    </rfmt>
    <rfmt sheetId="2" sqref="BS763" start="0" length="0">
      <dxf/>
    </rfmt>
    <rfmt sheetId="2" sqref="BT763" start="0" length="0">
      <dxf/>
    </rfmt>
    <rfmt sheetId="2" sqref="BU763" start="0" length="0">
      <dxf/>
    </rfmt>
    <rfmt sheetId="2" sqref="BV763" start="0" length="0">
      <dxf/>
    </rfmt>
    <rfmt sheetId="2" sqref="BW763" start="0" length="0">
      <dxf/>
    </rfmt>
    <rfmt sheetId="2" sqref="BX763" start="0" length="0">
      <dxf/>
    </rfmt>
    <rfmt sheetId="2" sqref="BY763" start="0" length="0">
      <dxf/>
    </rfmt>
    <rfmt sheetId="2" sqref="BZ763" start="0" length="0">
      <dxf/>
    </rfmt>
    <rfmt sheetId="2" sqref="CA763" start="0" length="0">
      <dxf/>
    </rfmt>
    <rfmt sheetId="2" sqref="CB763" start="0" length="0">
      <dxf/>
    </rfmt>
    <rfmt sheetId="2" sqref="CC763" start="0" length="0">
      <dxf/>
    </rfmt>
    <rfmt sheetId="2" sqref="CD763" start="0" length="0">
      <dxf/>
    </rfmt>
    <rfmt sheetId="2" sqref="CE763" start="0" length="0">
      <dxf/>
    </rfmt>
    <rfmt sheetId="2" sqref="CF763" start="0" length="0">
      <dxf/>
    </rfmt>
    <rfmt sheetId="2" sqref="CG763" start="0" length="0">
      <dxf/>
    </rfmt>
    <rfmt sheetId="2" sqref="CH763" start="0" length="0">
      <dxf/>
    </rfmt>
    <rfmt sheetId="2" sqref="CI763" start="0" length="0">
      <dxf/>
    </rfmt>
    <rfmt sheetId="2" sqref="CJ763" start="0" length="0">
      <dxf/>
    </rfmt>
    <rfmt sheetId="2" sqref="CK763" start="0" length="0">
      <dxf/>
    </rfmt>
    <rfmt sheetId="2" sqref="CL763" start="0" length="0">
      <dxf/>
    </rfmt>
    <rfmt sheetId="2" sqref="CM763" start="0" length="0">
      <dxf/>
    </rfmt>
    <rfmt sheetId="2" sqref="CN763" start="0" length="0">
      <dxf/>
    </rfmt>
    <rfmt sheetId="2" sqref="CO763" start="0" length="0">
      <dxf/>
    </rfmt>
    <rfmt sheetId="2" sqref="CP763" start="0" length="0">
      <dxf/>
    </rfmt>
    <rfmt sheetId="2" sqref="CQ763" start="0" length="0">
      <dxf/>
    </rfmt>
    <rfmt sheetId="2" sqref="CR763" start="0" length="0">
      <dxf/>
    </rfmt>
    <rfmt sheetId="2" sqref="CS763" start="0" length="0">
      <dxf/>
    </rfmt>
    <rfmt sheetId="2" sqref="CT763" start="0" length="0">
      <dxf/>
    </rfmt>
    <rfmt sheetId="2" sqref="CU763" start="0" length="0">
      <dxf/>
    </rfmt>
    <rfmt sheetId="2" sqref="CV763" start="0" length="0">
      <dxf/>
    </rfmt>
    <rfmt sheetId="2" sqref="CW763" start="0" length="0">
      <dxf/>
    </rfmt>
    <rfmt sheetId="2" sqref="CX763" start="0" length="0">
      <dxf/>
    </rfmt>
    <rfmt sheetId="2" sqref="CY763" start="0" length="0">
      <dxf/>
    </rfmt>
    <rfmt sheetId="2" sqref="CZ763" start="0" length="0">
      <dxf/>
    </rfmt>
    <rfmt sheetId="2" sqref="DA763" start="0" length="0">
      <dxf/>
    </rfmt>
    <rfmt sheetId="2" sqref="DB763" start="0" length="0">
      <dxf/>
    </rfmt>
    <rfmt sheetId="2" sqref="DC763" start="0" length="0">
      <dxf/>
    </rfmt>
    <rfmt sheetId="2" sqref="DD763" start="0" length="0">
      <dxf/>
    </rfmt>
    <rfmt sheetId="2" sqref="DE763" start="0" length="0">
      <dxf/>
    </rfmt>
    <rfmt sheetId="2" sqref="DF763" start="0" length="0">
      <dxf/>
    </rfmt>
    <rfmt sheetId="2" sqref="DG763" start="0" length="0">
      <dxf/>
    </rfmt>
    <rfmt sheetId="2" sqref="DH763" start="0" length="0">
      <dxf/>
    </rfmt>
    <rfmt sheetId="2" sqref="DI763" start="0" length="0">
      <dxf/>
    </rfmt>
    <rfmt sheetId="2" sqref="DJ763" start="0" length="0">
      <dxf/>
    </rfmt>
    <rfmt sheetId="2" sqref="DK763" start="0" length="0">
      <dxf/>
    </rfmt>
    <rfmt sheetId="2" sqref="DL763" start="0" length="0">
      <dxf/>
    </rfmt>
    <rfmt sheetId="2" sqref="DM763" start="0" length="0">
      <dxf/>
    </rfmt>
    <rfmt sheetId="2" sqref="DN763" start="0" length="0">
      <dxf/>
    </rfmt>
    <rfmt sheetId="2" sqref="DO763" start="0" length="0">
      <dxf/>
    </rfmt>
    <rfmt sheetId="2" sqref="DP763" start="0" length="0">
      <dxf/>
    </rfmt>
    <rfmt sheetId="2" sqref="DQ763" start="0" length="0">
      <dxf/>
    </rfmt>
    <rfmt sheetId="2" sqref="DR763" start="0" length="0">
      <dxf/>
    </rfmt>
    <rfmt sheetId="2" sqref="DS763" start="0" length="0">
      <dxf/>
    </rfmt>
    <rfmt sheetId="2" sqref="DT763" start="0" length="0">
      <dxf/>
    </rfmt>
    <rfmt sheetId="2" sqref="DU763" start="0" length="0">
      <dxf/>
    </rfmt>
    <rfmt sheetId="2" sqref="DV763" start="0" length="0">
      <dxf/>
    </rfmt>
    <rfmt sheetId="2" sqref="DW763" start="0" length="0">
      <dxf/>
    </rfmt>
    <rfmt sheetId="2" sqref="DX763" start="0" length="0">
      <dxf/>
    </rfmt>
    <rfmt sheetId="2" sqref="DY763" start="0" length="0">
      <dxf/>
    </rfmt>
    <rfmt sheetId="2" sqref="DZ763" start="0" length="0">
      <dxf/>
    </rfmt>
    <rfmt sheetId="2" sqref="EA763" start="0" length="0">
      <dxf/>
    </rfmt>
    <rfmt sheetId="2" sqref="EB763" start="0" length="0">
      <dxf/>
    </rfmt>
    <rfmt sheetId="2" sqref="EC763" start="0" length="0">
      <dxf/>
    </rfmt>
    <rfmt sheetId="2" sqref="ED763" start="0" length="0">
      <dxf/>
    </rfmt>
    <rfmt sheetId="2" sqref="EE763" start="0" length="0">
      <dxf/>
    </rfmt>
    <rfmt sheetId="2" sqref="EF763" start="0" length="0">
      <dxf/>
    </rfmt>
    <rfmt sheetId="2" sqref="EG763" start="0" length="0">
      <dxf/>
    </rfmt>
    <rfmt sheetId="2" sqref="EH763" start="0" length="0">
      <dxf/>
    </rfmt>
    <rfmt sheetId="2" sqref="EI763" start="0" length="0">
      <dxf/>
    </rfmt>
    <rfmt sheetId="2" sqref="EJ763" start="0" length="0">
      <dxf/>
    </rfmt>
    <rfmt sheetId="2" sqref="EK763" start="0" length="0">
      <dxf/>
    </rfmt>
    <rfmt sheetId="2" sqref="EL763" start="0" length="0">
      <dxf/>
    </rfmt>
    <rfmt sheetId="2" sqref="EM763" start="0" length="0">
      <dxf/>
    </rfmt>
    <rfmt sheetId="2" sqref="EN763" start="0" length="0">
      <dxf/>
    </rfmt>
    <rfmt sheetId="2" sqref="EO763" start="0" length="0">
      <dxf/>
    </rfmt>
    <rfmt sheetId="2" sqref="EP763" start="0" length="0">
      <dxf/>
    </rfmt>
    <rfmt sheetId="2" sqref="EQ763" start="0" length="0">
      <dxf/>
    </rfmt>
    <rfmt sheetId="2" sqref="ER763" start="0" length="0">
      <dxf/>
    </rfmt>
    <rfmt sheetId="2" sqref="ES763" start="0" length="0">
      <dxf/>
    </rfmt>
    <rfmt sheetId="2" sqref="ET763" start="0" length="0">
      <dxf/>
    </rfmt>
    <rfmt sheetId="2" sqref="EU763" start="0" length="0">
      <dxf/>
    </rfmt>
    <rfmt sheetId="2" sqref="EV763" start="0" length="0">
      <dxf/>
    </rfmt>
    <rfmt sheetId="2" sqref="EW763" start="0" length="0">
      <dxf/>
    </rfmt>
    <rfmt sheetId="2" sqref="EX763" start="0" length="0">
      <dxf/>
    </rfmt>
    <rfmt sheetId="2" sqref="EY763" start="0" length="0">
      <dxf/>
    </rfmt>
    <rfmt sheetId="2" sqref="EZ763" start="0" length="0">
      <dxf/>
    </rfmt>
    <rfmt sheetId="2" sqref="FA763" start="0" length="0">
      <dxf/>
    </rfmt>
    <rfmt sheetId="2" sqref="FB763" start="0" length="0">
      <dxf/>
    </rfmt>
    <rfmt sheetId="2" sqref="FC763" start="0" length="0">
      <dxf/>
    </rfmt>
    <rfmt sheetId="2" sqref="FD763" start="0" length="0">
      <dxf/>
    </rfmt>
    <rfmt sheetId="2" sqref="FE763" start="0" length="0">
      <dxf/>
    </rfmt>
    <rfmt sheetId="2" sqref="FF763" start="0" length="0">
      <dxf/>
    </rfmt>
    <rfmt sheetId="2" sqref="FG763" start="0" length="0">
      <dxf/>
    </rfmt>
    <rfmt sheetId="2" sqref="FH763" start="0" length="0">
      <dxf/>
    </rfmt>
    <rfmt sheetId="2" sqref="FI763" start="0" length="0">
      <dxf/>
    </rfmt>
    <rfmt sheetId="2" sqref="FJ763" start="0" length="0">
      <dxf/>
    </rfmt>
    <rfmt sheetId="2" sqref="FK763" start="0" length="0">
      <dxf/>
    </rfmt>
    <rfmt sheetId="2" sqref="FL763" start="0" length="0">
      <dxf/>
    </rfmt>
    <rfmt sheetId="2" sqref="FM763" start="0" length="0">
      <dxf/>
    </rfmt>
    <rfmt sheetId="2" sqref="FN763" start="0" length="0">
      <dxf/>
    </rfmt>
    <rfmt sheetId="2" sqref="FO763" start="0" length="0">
      <dxf/>
    </rfmt>
    <rfmt sheetId="2" sqref="FP763" start="0" length="0">
      <dxf/>
    </rfmt>
    <rfmt sheetId="2" sqref="FQ763" start="0" length="0">
      <dxf/>
    </rfmt>
    <rfmt sheetId="2" sqref="FR763" start="0" length="0">
      <dxf/>
    </rfmt>
    <rfmt sheetId="2" sqref="FS763" start="0" length="0">
      <dxf/>
    </rfmt>
    <rfmt sheetId="2" sqref="FT763" start="0" length="0">
      <dxf/>
    </rfmt>
    <rfmt sheetId="2" sqref="FU763" start="0" length="0">
      <dxf/>
    </rfmt>
    <rfmt sheetId="2" sqref="FV763" start="0" length="0">
      <dxf/>
    </rfmt>
    <rfmt sheetId="2" sqref="FW763" start="0" length="0">
      <dxf/>
    </rfmt>
    <rfmt sheetId="2" sqref="FX763" start="0" length="0">
      <dxf/>
    </rfmt>
    <rfmt sheetId="2" sqref="FY763" start="0" length="0">
      <dxf/>
    </rfmt>
    <rfmt sheetId="2" sqref="FZ763" start="0" length="0">
      <dxf/>
    </rfmt>
    <rfmt sheetId="2" sqref="GA763" start="0" length="0">
      <dxf/>
    </rfmt>
    <rfmt sheetId="2" sqref="GB763" start="0" length="0">
      <dxf/>
    </rfmt>
    <rfmt sheetId="2" sqref="GC763" start="0" length="0">
      <dxf/>
    </rfmt>
    <rfmt sheetId="2" sqref="GD763" start="0" length="0">
      <dxf/>
    </rfmt>
    <rfmt sheetId="2" sqref="GE763" start="0" length="0">
      <dxf/>
    </rfmt>
    <rfmt sheetId="2" sqref="GF763" start="0" length="0">
      <dxf/>
    </rfmt>
    <rfmt sheetId="2" sqref="GG763" start="0" length="0">
      <dxf/>
    </rfmt>
    <rfmt sheetId="2" sqref="GH763" start="0" length="0">
      <dxf/>
    </rfmt>
    <rfmt sheetId="2" sqref="GI763" start="0" length="0">
      <dxf/>
    </rfmt>
    <rfmt sheetId="2" sqref="GJ763" start="0" length="0">
      <dxf/>
    </rfmt>
    <rfmt sheetId="2" sqref="GK763" start="0" length="0">
      <dxf/>
    </rfmt>
    <rfmt sheetId="2" sqref="GL763" start="0" length="0">
      <dxf/>
    </rfmt>
    <rfmt sheetId="2" sqref="GM763" start="0" length="0">
      <dxf/>
    </rfmt>
    <rfmt sheetId="2" sqref="GN763" start="0" length="0">
      <dxf/>
    </rfmt>
    <rfmt sheetId="2" sqref="GO763" start="0" length="0">
      <dxf/>
    </rfmt>
    <rfmt sheetId="2" sqref="GP763" start="0" length="0">
      <dxf/>
    </rfmt>
    <rfmt sheetId="2" sqref="GQ763" start="0" length="0">
      <dxf/>
    </rfmt>
    <rfmt sheetId="2" sqref="GR763" start="0" length="0">
      <dxf/>
    </rfmt>
    <rfmt sheetId="2" sqref="GS763" start="0" length="0">
      <dxf/>
    </rfmt>
    <rfmt sheetId="2" sqref="GT763" start="0" length="0">
      <dxf/>
    </rfmt>
    <rfmt sheetId="2" sqref="GU763" start="0" length="0">
      <dxf/>
    </rfmt>
    <rfmt sheetId="2" sqref="GV763" start="0" length="0">
      <dxf/>
    </rfmt>
    <rfmt sheetId="2" sqref="GW763" start="0" length="0">
      <dxf/>
    </rfmt>
    <rfmt sheetId="2" sqref="GX763" start="0" length="0">
      <dxf/>
    </rfmt>
    <rfmt sheetId="2" sqref="GY763" start="0" length="0">
      <dxf/>
    </rfmt>
    <rfmt sheetId="2" sqref="GZ763" start="0" length="0">
      <dxf/>
    </rfmt>
    <rfmt sheetId="2" sqref="HA763" start="0" length="0">
      <dxf/>
    </rfmt>
    <rfmt sheetId="2" sqref="HB763" start="0" length="0">
      <dxf/>
    </rfmt>
    <rfmt sheetId="2" sqref="HC763" start="0" length="0">
      <dxf/>
    </rfmt>
    <rfmt sheetId="2" sqref="HD763" start="0" length="0">
      <dxf/>
    </rfmt>
    <rfmt sheetId="2" sqref="HE763" start="0" length="0">
      <dxf/>
    </rfmt>
    <rfmt sheetId="2" sqref="HF763" start="0" length="0">
      <dxf/>
    </rfmt>
    <rfmt sheetId="2" sqref="HG763" start="0" length="0">
      <dxf/>
    </rfmt>
    <rfmt sheetId="2" sqref="HH763" start="0" length="0">
      <dxf/>
    </rfmt>
    <rfmt sheetId="2" sqref="HI763" start="0" length="0">
      <dxf/>
    </rfmt>
    <rfmt sheetId="2" sqref="HJ763" start="0" length="0">
      <dxf/>
    </rfmt>
    <rfmt sheetId="2" sqref="HK763" start="0" length="0">
      <dxf/>
    </rfmt>
    <rfmt sheetId="2" sqref="HL763" start="0" length="0">
      <dxf/>
    </rfmt>
    <rfmt sheetId="2" sqref="HM763" start="0" length="0">
      <dxf/>
    </rfmt>
    <rfmt sheetId="2" sqref="HN763" start="0" length="0">
      <dxf/>
    </rfmt>
    <rfmt sheetId="2" sqref="HO763" start="0" length="0">
      <dxf/>
    </rfmt>
    <rfmt sheetId="2" sqref="HP763" start="0" length="0">
      <dxf/>
    </rfmt>
    <rfmt sheetId="2" sqref="HQ763" start="0" length="0">
      <dxf/>
    </rfmt>
    <rfmt sheetId="2" sqref="HR763" start="0" length="0">
      <dxf/>
    </rfmt>
    <rfmt sheetId="2" sqref="HS763" start="0" length="0">
      <dxf/>
    </rfmt>
    <rfmt sheetId="2" sqref="HT763" start="0" length="0">
      <dxf/>
    </rfmt>
    <rfmt sheetId="2" sqref="HU763" start="0" length="0">
      <dxf/>
    </rfmt>
    <rfmt sheetId="2" sqref="HV763" start="0" length="0">
      <dxf/>
    </rfmt>
    <rfmt sheetId="2" sqref="HW763" start="0" length="0">
      <dxf/>
    </rfmt>
    <rfmt sheetId="2" sqref="HX763" start="0" length="0">
      <dxf/>
    </rfmt>
    <rfmt sheetId="2" sqref="HY763" start="0" length="0">
      <dxf/>
    </rfmt>
    <rfmt sheetId="2" sqref="HZ763" start="0" length="0">
      <dxf/>
    </rfmt>
    <rfmt sheetId="2" sqref="IA763" start="0" length="0">
      <dxf/>
    </rfmt>
    <rfmt sheetId="2" sqref="IB763" start="0" length="0">
      <dxf/>
    </rfmt>
    <rfmt sheetId="2" sqref="IC763" start="0" length="0">
      <dxf/>
    </rfmt>
    <rfmt sheetId="2" sqref="ID763" start="0" length="0">
      <dxf/>
    </rfmt>
    <rfmt sheetId="2" sqref="IE763" start="0" length="0">
      <dxf/>
    </rfmt>
    <rfmt sheetId="2" sqref="IF763" start="0" length="0">
      <dxf/>
    </rfmt>
    <rfmt sheetId="2" sqref="IG763" start="0" length="0">
      <dxf/>
    </rfmt>
    <rfmt sheetId="2" sqref="IH763" start="0" length="0">
      <dxf/>
    </rfmt>
    <rfmt sheetId="2" sqref="II763" start="0" length="0">
      <dxf/>
    </rfmt>
    <rfmt sheetId="2" sqref="IJ763" start="0" length="0">
      <dxf/>
    </rfmt>
    <rfmt sheetId="2" sqref="IK763" start="0" length="0">
      <dxf/>
    </rfmt>
    <rfmt sheetId="2" sqref="IL763" start="0" length="0">
      <dxf/>
    </rfmt>
    <rfmt sheetId="2" sqref="IM763" start="0" length="0">
      <dxf/>
    </rfmt>
    <rfmt sheetId="2" sqref="IN763" start="0" length="0">
      <dxf/>
    </rfmt>
    <rfmt sheetId="2" sqref="IO763" start="0" length="0">
      <dxf/>
    </rfmt>
    <rfmt sheetId="2" sqref="IP763" start="0" length="0">
      <dxf/>
    </rfmt>
    <rfmt sheetId="2" sqref="IQ763" start="0" length="0">
      <dxf/>
    </rfmt>
    <rfmt sheetId="2" sqref="IR763" start="0" length="0">
      <dxf/>
    </rfmt>
    <rfmt sheetId="2" sqref="IS763" start="0" length="0">
      <dxf/>
    </rfmt>
    <rfmt sheetId="2" sqref="IT763" start="0" length="0">
      <dxf/>
    </rfmt>
    <rfmt sheetId="2" sqref="IU763" start="0" length="0">
      <dxf/>
    </rfmt>
    <rfmt sheetId="2" sqref="IV763" start="0" length="0">
      <dxf/>
    </rfmt>
    <rfmt sheetId="2" sqref="IW763" start="0" length="0">
      <dxf/>
    </rfmt>
    <rfmt sheetId="2" sqref="IX763" start="0" length="0">
      <dxf/>
    </rfmt>
    <rfmt sheetId="2" sqref="IY763" start="0" length="0">
      <dxf/>
    </rfmt>
    <rfmt sheetId="2" sqref="IZ763" start="0" length="0">
      <dxf/>
    </rfmt>
    <rfmt sheetId="2" sqref="JA763" start="0" length="0">
      <dxf/>
    </rfmt>
    <rfmt sheetId="2" sqref="JB763" start="0" length="0">
      <dxf/>
    </rfmt>
    <rfmt sheetId="2" sqref="JC763" start="0" length="0">
      <dxf/>
    </rfmt>
    <rfmt sheetId="2" sqref="JD763" start="0" length="0">
      <dxf/>
    </rfmt>
    <rfmt sheetId="2" sqref="JE763" start="0" length="0">
      <dxf/>
    </rfmt>
    <rfmt sheetId="2" sqref="JF763" start="0" length="0">
      <dxf/>
    </rfmt>
    <rfmt sheetId="2" sqref="JG763" start="0" length="0">
      <dxf/>
    </rfmt>
    <rfmt sheetId="2" sqref="JH763" start="0" length="0">
      <dxf/>
    </rfmt>
    <rfmt sheetId="2" sqref="JI763" start="0" length="0">
      <dxf/>
    </rfmt>
    <rfmt sheetId="2" sqref="JJ763" start="0" length="0">
      <dxf/>
    </rfmt>
    <rfmt sheetId="2" sqref="JK763" start="0" length="0">
      <dxf/>
    </rfmt>
    <rfmt sheetId="2" sqref="JL763" start="0" length="0">
      <dxf/>
    </rfmt>
    <rfmt sheetId="2" sqref="JM763" start="0" length="0">
      <dxf/>
    </rfmt>
    <rfmt sheetId="2" sqref="JN763" start="0" length="0">
      <dxf/>
    </rfmt>
    <rfmt sheetId="2" sqref="JO763" start="0" length="0">
      <dxf/>
    </rfmt>
    <rfmt sheetId="2" sqref="JP763" start="0" length="0">
      <dxf/>
    </rfmt>
    <rfmt sheetId="2" sqref="JQ763" start="0" length="0">
      <dxf/>
    </rfmt>
    <rfmt sheetId="2" sqref="JR763" start="0" length="0">
      <dxf/>
    </rfmt>
    <rfmt sheetId="2" sqref="JS763" start="0" length="0">
      <dxf/>
    </rfmt>
    <rfmt sheetId="2" sqref="JT763" start="0" length="0">
      <dxf/>
    </rfmt>
    <rfmt sheetId="2" sqref="JU763" start="0" length="0">
      <dxf/>
    </rfmt>
    <rfmt sheetId="2" sqref="JV763" start="0" length="0">
      <dxf/>
    </rfmt>
    <rfmt sheetId="2" sqref="JW763" start="0" length="0">
      <dxf/>
    </rfmt>
    <rfmt sheetId="2" sqref="JX763" start="0" length="0">
      <dxf/>
    </rfmt>
    <rfmt sheetId="2" sqref="JY763" start="0" length="0">
      <dxf/>
    </rfmt>
    <rfmt sheetId="2" sqref="JZ763" start="0" length="0">
      <dxf/>
    </rfmt>
    <rfmt sheetId="2" sqref="KA763" start="0" length="0">
      <dxf/>
    </rfmt>
    <rfmt sheetId="2" sqref="KB763" start="0" length="0">
      <dxf/>
    </rfmt>
    <rfmt sheetId="2" sqref="KC763" start="0" length="0">
      <dxf/>
    </rfmt>
    <rfmt sheetId="2" sqref="KD763" start="0" length="0">
      <dxf/>
    </rfmt>
    <rfmt sheetId="2" sqref="KE763" start="0" length="0">
      <dxf/>
    </rfmt>
    <rfmt sheetId="2" sqref="KF763" start="0" length="0">
      <dxf/>
    </rfmt>
    <rfmt sheetId="2" sqref="KG763" start="0" length="0">
      <dxf/>
    </rfmt>
    <rfmt sheetId="2" sqref="KH763" start="0" length="0">
      <dxf/>
    </rfmt>
    <rfmt sheetId="2" sqref="KI763" start="0" length="0">
      <dxf/>
    </rfmt>
    <rfmt sheetId="2" sqref="KJ763" start="0" length="0">
      <dxf/>
    </rfmt>
    <rfmt sheetId="2" sqref="KK763" start="0" length="0">
      <dxf/>
    </rfmt>
    <rfmt sheetId="2" sqref="KL763" start="0" length="0">
      <dxf/>
    </rfmt>
    <rfmt sheetId="2" sqref="KM763" start="0" length="0">
      <dxf/>
    </rfmt>
    <rfmt sheetId="2" sqref="KN763" start="0" length="0">
      <dxf/>
    </rfmt>
    <rfmt sheetId="2" sqref="KO763" start="0" length="0">
      <dxf/>
    </rfmt>
    <rfmt sheetId="2" sqref="KP763" start="0" length="0">
      <dxf/>
    </rfmt>
    <rfmt sheetId="2" sqref="KQ763" start="0" length="0">
      <dxf/>
    </rfmt>
    <rfmt sheetId="2" sqref="KR763" start="0" length="0">
      <dxf/>
    </rfmt>
    <rfmt sheetId="2" sqref="KS763" start="0" length="0">
      <dxf/>
    </rfmt>
    <rfmt sheetId="2" sqref="KT763" start="0" length="0">
      <dxf/>
    </rfmt>
    <rfmt sheetId="2" sqref="KU763" start="0" length="0">
      <dxf/>
    </rfmt>
    <rfmt sheetId="2" sqref="KV763" start="0" length="0">
      <dxf/>
    </rfmt>
    <rfmt sheetId="2" sqref="KW763" start="0" length="0">
      <dxf/>
    </rfmt>
    <rfmt sheetId="2" sqref="KX763" start="0" length="0">
      <dxf/>
    </rfmt>
    <rfmt sheetId="2" sqref="KY763" start="0" length="0">
      <dxf/>
    </rfmt>
    <rfmt sheetId="2" sqref="KZ763" start="0" length="0">
      <dxf/>
    </rfmt>
    <rfmt sheetId="2" sqref="LA763" start="0" length="0">
      <dxf/>
    </rfmt>
    <rfmt sheetId="2" sqref="LB763" start="0" length="0">
      <dxf/>
    </rfmt>
    <rfmt sheetId="2" sqref="LC763" start="0" length="0">
      <dxf/>
    </rfmt>
    <rfmt sheetId="2" sqref="LD763" start="0" length="0">
      <dxf/>
    </rfmt>
    <rfmt sheetId="2" sqref="LE763" start="0" length="0">
      <dxf/>
    </rfmt>
    <rfmt sheetId="2" sqref="LF763" start="0" length="0">
      <dxf/>
    </rfmt>
    <rfmt sheetId="2" sqref="LG763" start="0" length="0">
      <dxf/>
    </rfmt>
    <rfmt sheetId="2" sqref="LH763" start="0" length="0">
      <dxf/>
    </rfmt>
    <rfmt sheetId="2" sqref="LI763" start="0" length="0">
      <dxf/>
    </rfmt>
    <rfmt sheetId="2" sqref="LJ763" start="0" length="0">
      <dxf/>
    </rfmt>
    <rfmt sheetId="2" sqref="LK763" start="0" length="0">
      <dxf/>
    </rfmt>
    <rfmt sheetId="2" sqref="LL763" start="0" length="0">
      <dxf/>
    </rfmt>
    <rfmt sheetId="2" sqref="LM763" start="0" length="0">
      <dxf/>
    </rfmt>
    <rfmt sheetId="2" sqref="LN763" start="0" length="0">
      <dxf/>
    </rfmt>
    <rfmt sheetId="2" sqref="LO763" start="0" length="0">
      <dxf/>
    </rfmt>
    <rfmt sheetId="2" sqref="LP763" start="0" length="0">
      <dxf/>
    </rfmt>
    <rfmt sheetId="2" sqref="LQ763" start="0" length="0">
      <dxf/>
    </rfmt>
    <rfmt sheetId="2" sqref="LR763" start="0" length="0">
      <dxf/>
    </rfmt>
    <rfmt sheetId="2" sqref="LS763" start="0" length="0">
      <dxf/>
    </rfmt>
    <rfmt sheetId="2" sqref="LT763" start="0" length="0">
      <dxf/>
    </rfmt>
    <rfmt sheetId="2" sqref="LU763" start="0" length="0">
      <dxf/>
    </rfmt>
    <rfmt sheetId="2" sqref="LV763" start="0" length="0">
      <dxf/>
    </rfmt>
    <rfmt sheetId="2" sqref="LW763" start="0" length="0">
      <dxf/>
    </rfmt>
    <rfmt sheetId="2" sqref="LX763" start="0" length="0">
      <dxf/>
    </rfmt>
    <rfmt sheetId="2" sqref="LY763" start="0" length="0">
      <dxf/>
    </rfmt>
    <rfmt sheetId="2" sqref="LZ763" start="0" length="0">
      <dxf/>
    </rfmt>
    <rfmt sheetId="2" sqref="MA763" start="0" length="0">
      <dxf/>
    </rfmt>
    <rfmt sheetId="2" sqref="MB763" start="0" length="0">
      <dxf/>
    </rfmt>
  </rm>
  <rrc rId="1722" sId="2" ref="A769:XFD769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9:XFD769" start="0" length="0">
      <dxf>
        <font>
          <sz val="10"/>
          <name val="Arial"/>
          <scheme val="none"/>
        </font>
        <alignment horizontal="center" readingOrder="0"/>
      </dxf>
    </rfmt>
    <rfmt sheetId="2" sqref="A76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9" start="0" length="0">
      <dxf>
        <numFmt numFmtId="176" formatCode="m/d;@"/>
      </dxf>
    </rfmt>
    <rfmt sheetId="2" sqref="P76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9" start="0" length="0">
      <dxf/>
    </rfmt>
    <rfmt sheetId="2" sqref="U769" start="0" length="0">
      <dxf/>
    </rfmt>
    <rfmt sheetId="2" sqref="V769" start="0" length="0">
      <dxf/>
    </rfmt>
    <rfmt sheetId="2" sqref="W769" start="0" length="0">
      <dxf/>
    </rfmt>
    <rfmt sheetId="2" sqref="X769" start="0" length="0">
      <dxf/>
    </rfmt>
    <rfmt sheetId="2" sqref="Y769" start="0" length="0">
      <dxf/>
    </rfmt>
    <rfmt sheetId="2" sqref="Z769" start="0" length="0">
      <dxf/>
    </rfmt>
    <rfmt sheetId="2" sqref="AA769" start="0" length="0">
      <dxf/>
    </rfmt>
    <rfmt sheetId="2" sqref="AB769" start="0" length="0">
      <dxf/>
    </rfmt>
    <rfmt sheetId="2" sqref="AC769" start="0" length="0">
      <dxf/>
    </rfmt>
    <rfmt sheetId="2" sqref="AD769" start="0" length="0">
      <dxf/>
    </rfmt>
    <rfmt sheetId="2" sqref="AE769" start="0" length="0">
      <dxf/>
    </rfmt>
    <rfmt sheetId="2" sqref="AF769" start="0" length="0">
      <dxf/>
    </rfmt>
    <rfmt sheetId="2" sqref="AG769" start="0" length="0">
      <dxf/>
    </rfmt>
    <rfmt sheetId="2" sqref="AH769" start="0" length="0">
      <dxf/>
    </rfmt>
    <rfmt sheetId="2" sqref="AI769" start="0" length="0">
      <dxf/>
    </rfmt>
    <rfmt sheetId="2" sqref="AJ769" start="0" length="0">
      <dxf/>
    </rfmt>
    <rfmt sheetId="2" sqref="AK769" start="0" length="0">
      <dxf/>
    </rfmt>
    <rfmt sheetId="2" sqref="AL769" start="0" length="0">
      <dxf/>
    </rfmt>
    <rfmt sheetId="2" sqref="AM769" start="0" length="0">
      <dxf/>
    </rfmt>
    <rfmt sheetId="2" sqref="AN769" start="0" length="0">
      <dxf/>
    </rfmt>
    <rfmt sheetId="2" sqref="AO769" start="0" length="0">
      <dxf/>
    </rfmt>
    <rfmt sheetId="2" sqref="AP769" start="0" length="0">
      <dxf/>
    </rfmt>
    <rfmt sheetId="2" sqref="AQ769" start="0" length="0">
      <dxf/>
    </rfmt>
    <rfmt sheetId="2" sqref="AR769" start="0" length="0">
      <dxf/>
    </rfmt>
    <rfmt sheetId="2" sqref="AS769" start="0" length="0">
      <dxf/>
    </rfmt>
    <rfmt sheetId="2" sqref="AT769" start="0" length="0">
      <dxf/>
    </rfmt>
    <rfmt sheetId="2" sqref="AU769" start="0" length="0">
      <dxf/>
    </rfmt>
    <rfmt sheetId="2" sqref="AV769" start="0" length="0">
      <dxf/>
    </rfmt>
    <rfmt sheetId="2" sqref="AW769" start="0" length="0">
      <dxf/>
    </rfmt>
    <rfmt sheetId="2" sqref="AX769" start="0" length="0">
      <dxf/>
    </rfmt>
    <rfmt sheetId="2" sqref="AY769" start="0" length="0">
      <dxf/>
    </rfmt>
    <rfmt sheetId="2" sqref="AZ769" start="0" length="0">
      <dxf/>
    </rfmt>
    <rfmt sheetId="2" sqref="BA769" start="0" length="0">
      <dxf/>
    </rfmt>
    <rfmt sheetId="2" sqref="BB769" start="0" length="0">
      <dxf/>
    </rfmt>
    <rfmt sheetId="2" sqref="BC769" start="0" length="0">
      <dxf/>
    </rfmt>
    <rfmt sheetId="2" sqref="BD769" start="0" length="0">
      <dxf/>
    </rfmt>
    <rfmt sheetId="2" sqref="BE769" start="0" length="0">
      <dxf/>
    </rfmt>
    <rfmt sheetId="2" sqref="BF769" start="0" length="0">
      <dxf/>
    </rfmt>
    <rfmt sheetId="2" sqref="BG769" start="0" length="0">
      <dxf/>
    </rfmt>
    <rfmt sheetId="2" sqref="BH769" start="0" length="0">
      <dxf/>
    </rfmt>
    <rfmt sheetId="2" sqref="BI769" start="0" length="0">
      <dxf/>
    </rfmt>
    <rfmt sheetId="2" sqref="BJ769" start="0" length="0">
      <dxf/>
    </rfmt>
    <rfmt sheetId="2" sqref="BK769" start="0" length="0">
      <dxf/>
    </rfmt>
    <rfmt sheetId="2" sqref="BL769" start="0" length="0">
      <dxf/>
    </rfmt>
    <rfmt sheetId="2" sqref="BM769" start="0" length="0">
      <dxf/>
    </rfmt>
    <rfmt sheetId="2" sqref="BN769" start="0" length="0">
      <dxf/>
    </rfmt>
    <rfmt sheetId="2" sqref="BO769" start="0" length="0">
      <dxf/>
    </rfmt>
    <rfmt sheetId="2" sqref="BP769" start="0" length="0">
      <dxf/>
    </rfmt>
    <rfmt sheetId="2" sqref="BQ769" start="0" length="0">
      <dxf/>
    </rfmt>
    <rfmt sheetId="2" sqref="BR769" start="0" length="0">
      <dxf/>
    </rfmt>
    <rfmt sheetId="2" sqref="BS769" start="0" length="0">
      <dxf/>
    </rfmt>
    <rfmt sheetId="2" sqref="BT769" start="0" length="0">
      <dxf/>
    </rfmt>
    <rfmt sheetId="2" sqref="BU769" start="0" length="0">
      <dxf/>
    </rfmt>
    <rfmt sheetId="2" sqref="BV769" start="0" length="0">
      <dxf/>
    </rfmt>
    <rfmt sheetId="2" sqref="BW769" start="0" length="0">
      <dxf/>
    </rfmt>
    <rfmt sheetId="2" sqref="BX769" start="0" length="0">
      <dxf/>
    </rfmt>
    <rfmt sheetId="2" sqref="BY769" start="0" length="0">
      <dxf/>
    </rfmt>
    <rfmt sheetId="2" sqref="BZ769" start="0" length="0">
      <dxf/>
    </rfmt>
    <rfmt sheetId="2" sqref="CA769" start="0" length="0">
      <dxf/>
    </rfmt>
    <rfmt sheetId="2" sqref="CB769" start="0" length="0">
      <dxf/>
    </rfmt>
    <rfmt sheetId="2" sqref="CC769" start="0" length="0">
      <dxf/>
    </rfmt>
    <rfmt sheetId="2" sqref="CD769" start="0" length="0">
      <dxf/>
    </rfmt>
    <rfmt sheetId="2" sqref="CE769" start="0" length="0">
      <dxf/>
    </rfmt>
    <rfmt sheetId="2" sqref="CF769" start="0" length="0">
      <dxf/>
    </rfmt>
    <rfmt sheetId="2" sqref="CG769" start="0" length="0">
      <dxf/>
    </rfmt>
    <rfmt sheetId="2" sqref="CH769" start="0" length="0">
      <dxf/>
    </rfmt>
    <rfmt sheetId="2" sqref="CI769" start="0" length="0">
      <dxf/>
    </rfmt>
    <rfmt sheetId="2" sqref="CJ769" start="0" length="0">
      <dxf/>
    </rfmt>
    <rfmt sheetId="2" sqref="CK769" start="0" length="0">
      <dxf/>
    </rfmt>
    <rfmt sheetId="2" sqref="CL769" start="0" length="0">
      <dxf/>
    </rfmt>
    <rfmt sheetId="2" sqref="CM769" start="0" length="0">
      <dxf/>
    </rfmt>
    <rfmt sheetId="2" sqref="CN769" start="0" length="0">
      <dxf/>
    </rfmt>
    <rfmt sheetId="2" sqref="CO769" start="0" length="0">
      <dxf/>
    </rfmt>
    <rfmt sheetId="2" sqref="CP769" start="0" length="0">
      <dxf/>
    </rfmt>
    <rfmt sheetId="2" sqref="CQ769" start="0" length="0">
      <dxf/>
    </rfmt>
    <rfmt sheetId="2" sqref="CR769" start="0" length="0">
      <dxf/>
    </rfmt>
    <rfmt sheetId="2" sqref="CS769" start="0" length="0">
      <dxf/>
    </rfmt>
    <rfmt sheetId="2" sqref="CT769" start="0" length="0">
      <dxf/>
    </rfmt>
    <rfmt sheetId="2" sqref="CU769" start="0" length="0">
      <dxf/>
    </rfmt>
    <rfmt sheetId="2" sqref="CV769" start="0" length="0">
      <dxf/>
    </rfmt>
    <rfmt sheetId="2" sqref="CW769" start="0" length="0">
      <dxf/>
    </rfmt>
    <rfmt sheetId="2" sqref="CX769" start="0" length="0">
      <dxf/>
    </rfmt>
    <rfmt sheetId="2" sqref="CY769" start="0" length="0">
      <dxf/>
    </rfmt>
    <rfmt sheetId="2" sqref="CZ769" start="0" length="0">
      <dxf/>
    </rfmt>
    <rfmt sheetId="2" sqref="DA769" start="0" length="0">
      <dxf/>
    </rfmt>
    <rfmt sheetId="2" sqref="DB769" start="0" length="0">
      <dxf/>
    </rfmt>
    <rfmt sheetId="2" sqref="DC769" start="0" length="0">
      <dxf/>
    </rfmt>
    <rfmt sheetId="2" sqref="DD769" start="0" length="0">
      <dxf/>
    </rfmt>
    <rfmt sheetId="2" sqref="DE769" start="0" length="0">
      <dxf/>
    </rfmt>
    <rfmt sheetId="2" sqref="DF769" start="0" length="0">
      <dxf/>
    </rfmt>
    <rfmt sheetId="2" sqref="DG769" start="0" length="0">
      <dxf/>
    </rfmt>
    <rfmt sheetId="2" sqref="DH769" start="0" length="0">
      <dxf/>
    </rfmt>
    <rfmt sheetId="2" sqref="DI769" start="0" length="0">
      <dxf/>
    </rfmt>
    <rfmt sheetId="2" sqref="DJ769" start="0" length="0">
      <dxf/>
    </rfmt>
    <rfmt sheetId="2" sqref="DK769" start="0" length="0">
      <dxf/>
    </rfmt>
    <rfmt sheetId="2" sqref="DL769" start="0" length="0">
      <dxf/>
    </rfmt>
    <rfmt sheetId="2" sqref="DM769" start="0" length="0">
      <dxf/>
    </rfmt>
    <rfmt sheetId="2" sqref="DN769" start="0" length="0">
      <dxf/>
    </rfmt>
    <rfmt sheetId="2" sqref="DO769" start="0" length="0">
      <dxf/>
    </rfmt>
    <rfmt sheetId="2" sqref="DP769" start="0" length="0">
      <dxf/>
    </rfmt>
    <rfmt sheetId="2" sqref="DQ769" start="0" length="0">
      <dxf/>
    </rfmt>
    <rfmt sheetId="2" sqref="DR769" start="0" length="0">
      <dxf/>
    </rfmt>
    <rfmt sheetId="2" sqref="DS769" start="0" length="0">
      <dxf/>
    </rfmt>
    <rfmt sheetId="2" sqref="DT769" start="0" length="0">
      <dxf/>
    </rfmt>
    <rfmt sheetId="2" sqref="DU769" start="0" length="0">
      <dxf/>
    </rfmt>
    <rfmt sheetId="2" sqref="DV769" start="0" length="0">
      <dxf/>
    </rfmt>
    <rfmt sheetId="2" sqref="DW769" start="0" length="0">
      <dxf/>
    </rfmt>
    <rfmt sheetId="2" sqref="DX769" start="0" length="0">
      <dxf/>
    </rfmt>
    <rfmt sheetId="2" sqref="DY769" start="0" length="0">
      <dxf/>
    </rfmt>
    <rfmt sheetId="2" sqref="DZ769" start="0" length="0">
      <dxf/>
    </rfmt>
    <rfmt sheetId="2" sqref="EA769" start="0" length="0">
      <dxf/>
    </rfmt>
    <rfmt sheetId="2" sqref="EB769" start="0" length="0">
      <dxf/>
    </rfmt>
    <rfmt sheetId="2" sqref="EC769" start="0" length="0">
      <dxf/>
    </rfmt>
    <rfmt sheetId="2" sqref="ED769" start="0" length="0">
      <dxf/>
    </rfmt>
    <rfmt sheetId="2" sqref="EE769" start="0" length="0">
      <dxf/>
    </rfmt>
    <rfmt sheetId="2" sqref="EF769" start="0" length="0">
      <dxf/>
    </rfmt>
    <rfmt sheetId="2" sqref="EG769" start="0" length="0">
      <dxf/>
    </rfmt>
    <rfmt sheetId="2" sqref="EH769" start="0" length="0">
      <dxf/>
    </rfmt>
    <rfmt sheetId="2" sqref="EI769" start="0" length="0">
      <dxf/>
    </rfmt>
    <rfmt sheetId="2" sqref="EJ769" start="0" length="0">
      <dxf/>
    </rfmt>
    <rfmt sheetId="2" sqref="EK769" start="0" length="0">
      <dxf/>
    </rfmt>
    <rfmt sheetId="2" sqref="EL769" start="0" length="0">
      <dxf/>
    </rfmt>
    <rfmt sheetId="2" sqref="EM769" start="0" length="0">
      <dxf/>
    </rfmt>
    <rfmt sheetId="2" sqref="EN769" start="0" length="0">
      <dxf/>
    </rfmt>
    <rfmt sheetId="2" sqref="EO769" start="0" length="0">
      <dxf/>
    </rfmt>
    <rfmt sheetId="2" sqref="EP769" start="0" length="0">
      <dxf/>
    </rfmt>
    <rfmt sheetId="2" sqref="EQ769" start="0" length="0">
      <dxf/>
    </rfmt>
    <rfmt sheetId="2" sqref="ER769" start="0" length="0">
      <dxf/>
    </rfmt>
    <rfmt sheetId="2" sqref="ES769" start="0" length="0">
      <dxf/>
    </rfmt>
    <rfmt sheetId="2" sqref="ET769" start="0" length="0">
      <dxf/>
    </rfmt>
    <rfmt sheetId="2" sqref="EU769" start="0" length="0">
      <dxf/>
    </rfmt>
    <rfmt sheetId="2" sqref="EV769" start="0" length="0">
      <dxf/>
    </rfmt>
    <rfmt sheetId="2" sqref="EW769" start="0" length="0">
      <dxf/>
    </rfmt>
    <rfmt sheetId="2" sqref="EX769" start="0" length="0">
      <dxf/>
    </rfmt>
    <rfmt sheetId="2" sqref="EY769" start="0" length="0">
      <dxf/>
    </rfmt>
    <rfmt sheetId="2" sqref="EZ769" start="0" length="0">
      <dxf/>
    </rfmt>
    <rfmt sheetId="2" sqref="FA769" start="0" length="0">
      <dxf/>
    </rfmt>
    <rfmt sheetId="2" sqref="FB769" start="0" length="0">
      <dxf/>
    </rfmt>
    <rfmt sheetId="2" sqref="FC769" start="0" length="0">
      <dxf/>
    </rfmt>
    <rfmt sheetId="2" sqref="FD769" start="0" length="0">
      <dxf/>
    </rfmt>
    <rfmt sheetId="2" sqref="FE769" start="0" length="0">
      <dxf/>
    </rfmt>
    <rfmt sheetId="2" sqref="FF769" start="0" length="0">
      <dxf/>
    </rfmt>
    <rfmt sheetId="2" sqref="FG769" start="0" length="0">
      <dxf/>
    </rfmt>
    <rfmt sheetId="2" sqref="FH769" start="0" length="0">
      <dxf/>
    </rfmt>
    <rfmt sheetId="2" sqref="FI769" start="0" length="0">
      <dxf/>
    </rfmt>
    <rfmt sheetId="2" sqref="FJ769" start="0" length="0">
      <dxf/>
    </rfmt>
    <rfmt sheetId="2" sqref="FK769" start="0" length="0">
      <dxf/>
    </rfmt>
    <rfmt sheetId="2" sqref="FL769" start="0" length="0">
      <dxf/>
    </rfmt>
    <rfmt sheetId="2" sqref="FM769" start="0" length="0">
      <dxf/>
    </rfmt>
    <rfmt sheetId="2" sqref="FN769" start="0" length="0">
      <dxf/>
    </rfmt>
    <rfmt sheetId="2" sqref="FO769" start="0" length="0">
      <dxf/>
    </rfmt>
    <rfmt sheetId="2" sqref="FP769" start="0" length="0">
      <dxf/>
    </rfmt>
    <rfmt sheetId="2" sqref="FQ769" start="0" length="0">
      <dxf/>
    </rfmt>
    <rfmt sheetId="2" sqref="FR769" start="0" length="0">
      <dxf/>
    </rfmt>
    <rfmt sheetId="2" sqref="FS769" start="0" length="0">
      <dxf/>
    </rfmt>
    <rfmt sheetId="2" sqref="FT769" start="0" length="0">
      <dxf/>
    </rfmt>
    <rfmt sheetId="2" sqref="FU769" start="0" length="0">
      <dxf/>
    </rfmt>
    <rfmt sheetId="2" sqref="FV769" start="0" length="0">
      <dxf/>
    </rfmt>
    <rfmt sheetId="2" sqref="FW769" start="0" length="0">
      <dxf/>
    </rfmt>
    <rfmt sheetId="2" sqref="FX769" start="0" length="0">
      <dxf/>
    </rfmt>
    <rfmt sheetId="2" sqref="FY769" start="0" length="0">
      <dxf/>
    </rfmt>
    <rfmt sheetId="2" sqref="FZ769" start="0" length="0">
      <dxf/>
    </rfmt>
    <rfmt sheetId="2" sqref="GA769" start="0" length="0">
      <dxf/>
    </rfmt>
    <rfmt sheetId="2" sqref="GB769" start="0" length="0">
      <dxf/>
    </rfmt>
    <rfmt sheetId="2" sqref="GC769" start="0" length="0">
      <dxf/>
    </rfmt>
    <rfmt sheetId="2" sqref="GD769" start="0" length="0">
      <dxf/>
    </rfmt>
    <rfmt sheetId="2" sqref="GE769" start="0" length="0">
      <dxf/>
    </rfmt>
    <rfmt sheetId="2" sqref="GF769" start="0" length="0">
      <dxf/>
    </rfmt>
    <rfmt sheetId="2" sqref="GG769" start="0" length="0">
      <dxf/>
    </rfmt>
    <rfmt sheetId="2" sqref="GH769" start="0" length="0">
      <dxf/>
    </rfmt>
    <rfmt sheetId="2" sqref="GI769" start="0" length="0">
      <dxf/>
    </rfmt>
    <rfmt sheetId="2" sqref="GJ769" start="0" length="0">
      <dxf/>
    </rfmt>
    <rfmt sheetId="2" sqref="GK769" start="0" length="0">
      <dxf/>
    </rfmt>
    <rfmt sheetId="2" sqref="GL769" start="0" length="0">
      <dxf/>
    </rfmt>
    <rfmt sheetId="2" sqref="GM769" start="0" length="0">
      <dxf/>
    </rfmt>
    <rfmt sheetId="2" sqref="GN769" start="0" length="0">
      <dxf/>
    </rfmt>
    <rfmt sheetId="2" sqref="GO769" start="0" length="0">
      <dxf/>
    </rfmt>
    <rfmt sheetId="2" sqref="GP769" start="0" length="0">
      <dxf/>
    </rfmt>
    <rfmt sheetId="2" sqref="GQ769" start="0" length="0">
      <dxf/>
    </rfmt>
    <rfmt sheetId="2" sqref="GR769" start="0" length="0">
      <dxf/>
    </rfmt>
    <rfmt sheetId="2" sqref="GS769" start="0" length="0">
      <dxf/>
    </rfmt>
    <rfmt sheetId="2" sqref="GT769" start="0" length="0">
      <dxf/>
    </rfmt>
    <rfmt sheetId="2" sqref="GU769" start="0" length="0">
      <dxf/>
    </rfmt>
    <rfmt sheetId="2" sqref="GV769" start="0" length="0">
      <dxf/>
    </rfmt>
    <rfmt sheetId="2" sqref="GW769" start="0" length="0">
      <dxf/>
    </rfmt>
    <rfmt sheetId="2" sqref="GX769" start="0" length="0">
      <dxf/>
    </rfmt>
    <rfmt sheetId="2" sqref="GY769" start="0" length="0">
      <dxf/>
    </rfmt>
    <rfmt sheetId="2" sqref="GZ769" start="0" length="0">
      <dxf/>
    </rfmt>
    <rfmt sheetId="2" sqref="HA769" start="0" length="0">
      <dxf/>
    </rfmt>
    <rfmt sheetId="2" sqref="HB769" start="0" length="0">
      <dxf/>
    </rfmt>
    <rfmt sheetId="2" sqref="HC769" start="0" length="0">
      <dxf/>
    </rfmt>
    <rfmt sheetId="2" sqref="HD769" start="0" length="0">
      <dxf/>
    </rfmt>
    <rfmt sheetId="2" sqref="HE769" start="0" length="0">
      <dxf/>
    </rfmt>
    <rfmt sheetId="2" sqref="HF769" start="0" length="0">
      <dxf/>
    </rfmt>
    <rfmt sheetId="2" sqref="HG769" start="0" length="0">
      <dxf/>
    </rfmt>
    <rfmt sheetId="2" sqref="HH769" start="0" length="0">
      <dxf/>
    </rfmt>
    <rfmt sheetId="2" sqref="HI769" start="0" length="0">
      <dxf/>
    </rfmt>
    <rfmt sheetId="2" sqref="HJ769" start="0" length="0">
      <dxf/>
    </rfmt>
    <rfmt sheetId="2" sqref="HK769" start="0" length="0">
      <dxf/>
    </rfmt>
    <rfmt sheetId="2" sqref="HL769" start="0" length="0">
      <dxf/>
    </rfmt>
    <rfmt sheetId="2" sqref="HM769" start="0" length="0">
      <dxf/>
    </rfmt>
    <rfmt sheetId="2" sqref="HN769" start="0" length="0">
      <dxf/>
    </rfmt>
    <rfmt sheetId="2" sqref="HO769" start="0" length="0">
      <dxf/>
    </rfmt>
    <rfmt sheetId="2" sqref="HP769" start="0" length="0">
      <dxf/>
    </rfmt>
    <rfmt sheetId="2" sqref="HQ769" start="0" length="0">
      <dxf/>
    </rfmt>
    <rfmt sheetId="2" sqref="HR769" start="0" length="0">
      <dxf/>
    </rfmt>
    <rfmt sheetId="2" sqref="HS769" start="0" length="0">
      <dxf/>
    </rfmt>
    <rfmt sheetId="2" sqref="HT769" start="0" length="0">
      <dxf/>
    </rfmt>
    <rfmt sheetId="2" sqref="HU769" start="0" length="0">
      <dxf/>
    </rfmt>
    <rfmt sheetId="2" sqref="HV769" start="0" length="0">
      <dxf/>
    </rfmt>
    <rfmt sheetId="2" sqref="HW769" start="0" length="0">
      <dxf/>
    </rfmt>
    <rfmt sheetId="2" sqref="HX769" start="0" length="0">
      <dxf/>
    </rfmt>
    <rfmt sheetId="2" sqref="HY769" start="0" length="0">
      <dxf/>
    </rfmt>
    <rfmt sheetId="2" sqref="HZ769" start="0" length="0">
      <dxf/>
    </rfmt>
    <rfmt sheetId="2" sqref="IA769" start="0" length="0">
      <dxf/>
    </rfmt>
    <rfmt sheetId="2" sqref="IB769" start="0" length="0">
      <dxf/>
    </rfmt>
    <rfmt sheetId="2" sqref="IC769" start="0" length="0">
      <dxf/>
    </rfmt>
    <rfmt sheetId="2" sqref="ID769" start="0" length="0">
      <dxf/>
    </rfmt>
    <rfmt sheetId="2" sqref="IE769" start="0" length="0">
      <dxf/>
    </rfmt>
    <rfmt sheetId="2" sqref="IF769" start="0" length="0">
      <dxf/>
    </rfmt>
    <rfmt sheetId="2" sqref="IG769" start="0" length="0">
      <dxf/>
    </rfmt>
    <rfmt sheetId="2" sqref="IH769" start="0" length="0">
      <dxf/>
    </rfmt>
    <rfmt sheetId="2" sqref="II769" start="0" length="0">
      <dxf/>
    </rfmt>
    <rfmt sheetId="2" sqref="IJ769" start="0" length="0">
      <dxf/>
    </rfmt>
    <rfmt sheetId="2" sqref="IK769" start="0" length="0">
      <dxf/>
    </rfmt>
    <rfmt sheetId="2" sqref="IL769" start="0" length="0">
      <dxf/>
    </rfmt>
    <rfmt sheetId="2" sqref="IM769" start="0" length="0">
      <dxf/>
    </rfmt>
    <rfmt sheetId="2" sqref="IN769" start="0" length="0">
      <dxf/>
    </rfmt>
    <rfmt sheetId="2" sqref="IO769" start="0" length="0">
      <dxf/>
    </rfmt>
    <rfmt sheetId="2" sqref="IP769" start="0" length="0">
      <dxf/>
    </rfmt>
    <rfmt sheetId="2" sqref="IQ769" start="0" length="0">
      <dxf/>
    </rfmt>
    <rfmt sheetId="2" sqref="IR769" start="0" length="0">
      <dxf/>
    </rfmt>
    <rfmt sheetId="2" sqref="IS769" start="0" length="0">
      <dxf/>
    </rfmt>
    <rfmt sheetId="2" sqref="IT769" start="0" length="0">
      <dxf/>
    </rfmt>
    <rfmt sheetId="2" sqref="IU769" start="0" length="0">
      <dxf/>
    </rfmt>
    <rfmt sheetId="2" sqref="IV769" start="0" length="0">
      <dxf/>
    </rfmt>
    <rfmt sheetId="2" sqref="IW769" start="0" length="0">
      <dxf/>
    </rfmt>
    <rfmt sheetId="2" sqref="IX769" start="0" length="0">
      <dxf/>
    </rfmt>
    <rfmt sheetId="2" sqref="IY769" start="0" length="0">
      <dxf/>
    </rfmt>
    <rfmt sheetId="2" sqref="IZ769" start="0" length="0">
      <dxf/>
    </rfmt>
    <rfmt sheetId="2" sqref="JA769" start="0" length="0">
      <dxf/>
    </rfmt>
    <rfmt sheetId="2" sqref="JB769" start="0" length="0">
      <dxf/>
    </rfmt>
    <rfmt sheetId="2" sqref="JC769" start="0" length="0">
      <dxf/>
    </rfmt>
    <rfmt sheetId="2" sqref="JD769" start="0" length="0">
      <dxf/>
    </rfmt>
    <rfmt sheetId="2" sqref="JE769" start="0" length="0">
      <dxf/>
    </rfmt>
    <rfmt sheetId="2" sqref="JF769" start="0" length="0">
      <dxf/>
    </rfmt>
    <rfmt sheetId="2" sqref="JG769" start="0" length="0">
      <dxf/>
    </rfmt>
    <rfmt sheetId="2" sqref="JH769" start="0" length="0">
      <dxf/>
    </rfmt>
    <rfmt sheetId="2" sqref="JI769" start="0" length="0">
      <dxf/>
    </rfmt>
    <rfmt sheetId="2" sqref="JJ769" start="0" length="0">
      <dxf/>
    </rfmt>
    <rfmt sheetId="2" sqref="JK769" start="0" length="0">
      <dxf/>
    </rfmt>
    <rfmt sheetId="2" sqref="JL769" start="0" length="0">
      <dxf/>
    </rfmt>
    <rfmt sheetId="2" sqref="JM769" start="0" length="0">
      <dxf/>
    </rfmt>
    <rfmt sheetId="2" sqref="JN769" start="0" length="0">
      <dxf/>
    </rfmt>
    <rfmt sheetId="2" sqref="JO769" start="0" length="0">
      <dxf/>
    </rfmt>
    <rfmt sheetId="2" sqref="JP769" start="0" length="0">
      <dxf/>
    </rfmt>
    <rfmt sheetId="2" sqref="JQ769" start="0" length="0">
      <dxf/>
    </rfmt>
    <rfmt sheetId="2" sqref="JR769" start="0" length="0">
      <dxf/>
    </rfmt>
    <rfmt sheetId="2" sqref="JS769" start="0" length="0">
      <dxf/>
    </rfmt>
    <rfmt sheetId="2" sqref="JT769" start="0" length="0">
      <dxf/>
    </rfmt>
    <rfmt sheetId="2" sqref="JU769" start="0" length="0">
      <dxf/>
    </rfmt>
    <rfmt sheetId="2" sqref="JV769" start="0" length="0">
      <dxf/>
    </rfmt>
    <rfmt sheetId="2" sqref="JW769" start="0" length="0">
      <dxf/>
    </rfmt>
    <rfmt sheetId="2" sqref="JX769" start="0" length="0">
      <dxf/>
    </rfmt>
    <rfmt sheetId="2" sqref="JY769" start="0" length="0">
      <dxf/>
    </rfmt>
    <rfmt sheetId="2" sqref="JZ769" start="0" length="0">
      <dxf/>
    </rfmt>
    <rfmt sheetId="2" sqref="KA769" start="0" length="0">
      <dxf/>
    </rfmt>
    <rfmt sheetId="2" sqref="KB769" start="0" length="0">
      <dxf/>
    </rfmt>
    <rfmt sheetId="2" sqref="KC769" start="0" length="0">
      <dxf/>
    </rfmt>
    <rfmt sheetId="2" sqref="KD769" start="0" length="0">
      <dxf/>
    </rfmt>
    <rfmt sheetId="2" sqref="KE769" start="0" length="0">
      <dxf/>
    </rfmt>
    <rfmt sheetId="2" sqref="KF769" start="0" length="0">
      <dxf/>
    </rfmt>
    <rfmt sheetId="2" sqref="KG769" start="0" length="0">
      <dxf/>
    </rfmt>
    <rfmt sheetId="2" sqref="KH769" start="0" length="0">
      <dxf/>
    </rfmt>
    <rfmt sheetId="2" sqref="KI769" start="0" length="0">
      <dxf/>
    </rfmt>
    <rfmt sheetId="2" sqref="KJ769" start="0" length="0">
      <dxf/>
    </rfmt>
    <rfmt sheetId="2" sqref="KK769" start="0" length="0">
      <dxf/>
    </rfmt>
    <rfmt sheetId="2" sqref="KL769" start="0" length="0">
      <dxf/>
    </rfmt>
    <rfmt sheetId="2" sqref="KM769" start="0" length="0">
      <dxf/>
    </rfmt>
    <rfmt sheetId="2" sqref="KN769" start="0" length="0">
      <dxf/>
    </rfmt>
    <rfmt sheetId="2" sqref="KO769" start="0" length="0">
      <dxf/>
    </rfmt>
    <rfmt sheetId="2" sqref="KP769" start="0" length="0">
      <dxf/>
    </rfmt>
    <rfmt sheetId="2" sqref="KQ769" start="0" length="0">
      <dxf/>
    </rfmt>
    <rfmt sheetId="2" sqref="KR769" start="0" length="0">
      <dxf/>
    </rfmt>
    <rfmt sheetId="2" sqref="KS769" start="0" length="0">
      <dxf/>
    </rfmt>
    <rfmt sheetId="2" sqref="KT769" start="0" length="0">
      <dxf/>
    </rfmt>
    <rfmt sheetId="2" sqref="KU769" start="0" length="0">
      <dxf/>
    </rfmt>
    <rfmt sheetId="2" sqref="KV769" start="0" length="0">
      <dxf/>
    </rfmt>
    <rfmt sheetId="2" sqref="KW769" start="0" length="0">
      <dxf/>
    </rfmt>
    <rfmt sheetId="2" sqref="KX769" start="0" length="0">
      <dxf/>
    </rfmt>
    <rfmt sheetId="2" sqref="KY769" start="0" length="0">
      <dxf/>
    </rfmt>
    <rfmt sheetId="2" sqref="KZ769" start="0" length="0">
      <dxf/>
    </rfmt>
    <rfmt sheetId="2" sqref="LA769" start="0" length="0">
      <dxf/>
    </rfmt>
    <rfmt sheetId="2" sqref="LB769" start="0" length="0">
      <dxf/>
    </rfmt>
    <rfmt sheetId="2" sqref="LC769" start="0" length="0">
      <dxf/>
    </rfmt>
    <rfmt sheetId="2" sqref="LD769" start="0" length="0">
      <dxf/>
    </rfmt>
    <rfmt sheetId="2" sqref="LE769" start="0" length="0">
      <dxf/>
    </rfmt>
    <rfmt sheetId="2" sqref="LF769" start="0" length="0">
      <dxf/>
    </rfmt>
    <rfmt sheetId="2" sqref="LG769" start="0" length="0">
      <dxf/>
    </rfmt>
    <rfmt sheetId="2" sqref="LH769" start="0" length="0">
      <dxf/>
    </rfmt>
    <rfmt sheetId="2" sqref="LI769" start="0" length="0">
      <dxf/>
    </rfmt>
    <rfmt sheetId="2" sqref="LJ769" start="0" length="0">
      <dxf/>
    </rfmt>
    <rfmt sheetId="2" sqref="LK769" start="0" length="0">
      <dxf/>
    </rfmt>
    <rfmt sheetId="2" sqref="LL769" start="0" length="0">
      <dxf/>
    </rfmt>
    <rfmt sheetId="2" sqref="LM769" start="0" length="0">
      <dxf/>
    </rfmt>
    <rfmt sheetId="2" sqref="LN769" start="0" length="0">
      <dxf/>
    </rfmt>
    <rfmt sheetId="2" sqref="LO769" start="0" length="0">
      <dxf/>
    </rfmt>
    <rfmt sheetId="2" sqref="LP769" start="0" length="0">
      <dxf/>
    </rfmt>
    <rfmt sheetId="2" sqref="LQ769" start="0" length="0">
      <dxf/>
    </rfmt>
    <rfmt sheetId="2" sqref="LR769" start="0" length="0">
      <dxf/>
    </rfmt>
    <rfmt sheetId="2" sqref="LS769" start="0" length="0">
      <dxf/>
    </rfmt>
    <rfmt sheetId="2" sqref="LT769" start="0" length="0">
      <dxf/>
    </rfmt>
    <rfmt sheetId="2" sqref="LU769" start="0" length="0">
      <dxf/>
    </rfmt>
    <rfmt sheetId="2" sqref="LV769" start="0" length="0">
      <dxf/>
    </rfmt>
    <rfmt sheetId="2" sqref="LW769" start="0" length="0">
      <dxf/>
    </rfmt>
    <rfmt sheetId="2" sqref="LX769" start="0" length="0">
      <dxf/>
    </rfmt>
    <rfmt sheetId="2" sqref="LY769" start="0" length="0">
      <dxf/>
    </rfmt>
    <rfmt sheetId="2" sqref="LZ769" start="0" length="0">
      <dxf/>
    </rfmt>
    <rfmt sheetId="2" sqref="MA769" start="0" length="0">
      <dxf/>
    </rfmt>
    <rfmt sheetId="2" sqref="MB769" start="0" length="0">
      <dxf/>
    </rfmt>
  </rrc>
  <rrc rId="1723" sId="2" ref="A769:XFD769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9:XFD769" start="0" length="0">
      <dxf>
        <font>
          <sz val="10"/>
          <name val="Arial"/>
          <scheme val="none"/>
        </font>
        <alignment horizontal="center" readingOrder="0"/>
      </dxf>
    </rfmt>
    <rfmt sheetId="2" sqref="A76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9" start="0" length="0">
      <dxf>
        <numFmt numFmtId="176" formatCode="m/d;@"/>
      </dxf>
    </rfmt>
    <rfmt sheetId="2" sqref="P76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9" start="0" length="0">
      <dxf/>
    </rfmt>
    <rfmt sheetId="2" sqref="U769" start="0" length="0">
      <dxf/>
    </rfmt>
    <rfmt sheetId="2" sqref="V769" start="0" length="0">
      <dxf/>
    </rfmt>
    <rfmt sheetId="2" sqref="W769" start="0" length="0">
      <dxf/>
    </rfmt>
    <rfmt sheetId="2" sqref="X769" start="0" length="0">
      <dxf/>
    </rfmt>
    <rfmt sheetId="2" sqref="Y769" start="0" length="0">
      <dxf/>
    </rfmt>
    <rfmt sheetId="2" sqref="Z769" start="0" length="0">
      <dxf/>
    </rfmt>
    <rfmt sheetId="2" sqref="AA769" start="0" length="0">
      <dxf/>
    </rfmt>
    <rfmt sheetId="2" sqref="AB769" start="0" length="0">
      <dxf/>
    </rfmt>
    <rfmt sheetId="2" sqref="AC769" start="0" length="0">
      <dxf/>
    </rfmt>
    <rfmt sheetId="2" sqref="AD769" start="0" length="0">
      <dxf/>
    </rfmt>
    <rfmt sheetId="2" sqref="AE769" start="0" length="0">
      <dxf/>
    </rfmt>
    <rfmt sheetId="2" sqref="AF769" start="0" length="0">
      <dxf/>
    </rfmt>
    <rfmt sheetId="2" sqref="AG769" start="0" length="0">
      <dxf/>
    </rfmt>
    <rfmt sheetId="2" sqref="AH769" start="0" length="0">
      <dxf/>
    </rfmt>
    <rfmt sheetId="2" sqref="AI769" start="0" length="0">
      <dxf/>
    </rfmt>
    <rfmt sheetId="2" sqref="AJ769" start="0" length="0">
      <dxf/>
    </rfmt>
    <rfmt sheetId="2" sqref="AK769" start="0" length="0">
      <dxf/>
    </rfmt>
    <rfmt sheetId="2" sqref="AL769" start="0" length="0">
      <dxf/>
    </rfmt>
    <rfmt sheetId="2" sqref="AM769" start="0" length="0">
      <dxf/>
    </rfmt>
    <rfmt sheetId="2" sqref="AN769" start="0" length="0">
      <dxf/>
    </rfmt>
    <rfmt sheetId="2" sqref="AO769" start="0" length="0">
      <dxf/>
    </rfmt>
    <rfmt sheetId="2" sqref="AP769" start="0" length="0">
      <dxf/>
    </rfmt>
    <rfmt sheetId="2" sqref="AQ769" start="0" length="0">
      <dxf/>
    </rfmt>
    <rfmt sheetId="2" sqref="AR769" start="0" length="0">
      <dxf/>
    </rfmt>
    <rfmt sheetId="2" sqref="AS769" start="0" length="0">
      <dxf/>
    </rfmt>
    <rfmt sheetId="2" sqref="AT769" start="0" length="0">
      <dxf/>
    </rfmt>
    <rfmt sheetId="2" sqref="AU769" start="0" length="0">
      <dxf/>
    </rfmt>
    <rfmt sheetId="2" sqref="AV769" start="0" length="0">
      <dxf/>
    </rfmt>
    <rfmt sheetId="2" sqref="AW769" start="0" length="0">
      <dxf/>
    </rfmt>
    <rfmt sheetId="2" sqref="AX769" start="0" length="0">
      <dxf/>
    </rfmt>
    <rfmt sheetId="2" sqref="AY769" start="0" length="0">
      <dxf/>
    </rfmt>
    <rfmt sheetId="2" sqref="AZ769" start="0" length="0">
      <dxf/>
    </rfmt>
    <rfmt sheetId="2" sqref="BA769" start="0" length="0">
      <dxf/>
    </rfmt>
    <rfmt sheetId="2" sqref="BB769" start="0" length="0">
      <dxf/>
    </rfmt>
    <rfmt sheetId="2" sqref="BC769" start="0" length="0">
      <dxf/>
    </rfmt>
    <rfmt sheetId="2" sqref="BD769" start="0" length="0">
      <dxf/>
    </rfmt>
    <rfmt sheetId="2" sqref="BE769" start="0" length="0">
      <dxf/>
    </rfmt>
    <rfmt sheetId="2" sqref="BF769" start="0" length="0">
      <dxf/>
    </rfmt>
    <rfmt sheetId="2" sqref="BG769" start="0" length="0">
      <dxf/>
    </rfmt>
    <rfmt sheetId="2" sqref="BH769" start="0" length="0">
      <dxf/>
    </rfmt>
    <rfmt sheetId="2" sqref="BI769" start="0" length="0">
      <dxf/>
    </rfmt>
    <rfmt sheetId="2" sqref="BJ769" start="0" length="0">
      <dxf/>
    </rfmt>
    <rfmt sheetId="2" sqref="BK769" start="0" length="0">
      <dxf/>
    </rfmt>
    <rfmt sheetId="2" sqref="BL769" start="0" length="0">
      <dxf/>
    </rfmt>
    <rfmt sheetId="2" sqref="BM769" start="0" length="0">
      <dxf/>
    </rfmt>
    <rfmt sheetId="2" sqref="BN769" start="0" length="0">
      <dxf/>
    </rfmt>
    <rfmt sheetId="2" sqref="BO769" start="0" length="0">
      <dxf/>
    </rfmt>
    <rfmt sheetId="2" sqref="BP769" start="0" length="0">
      <dxf/>
    </rfmt>
    <rfmt sheetId="2" sqref="BQ769" start="0" length="0">
      <dxf/>
    </rfmt>
    <rfmt sheetId="2" sqref="BR769" start="0" length="0">
      <dxf/>
    </rfmt>
    <rfmt sheetId="2" sqref="BS769" start="0" length="0">
      <dxf/>
    </rfmt>
    <rfmt sheetId="2" sqref="BT769" start="0" length="0">
      <dxf/>
    </rfmt>
    <rfmt sheetId="2" sqref="BU769" start="0" length="0">
      <dxf/>
    </rfmt>
    <rfmt sheetId="2" sqref="BV769" start="0" length="0">
      <dxf/>
    </rfmt>
    <rfmt sheetId="2" sqref="BW769" start="0" length="0">
      <dxf/>
    </rfmt>
    <rfmt sheetId="2" sqref="BX769" start="0" length="0">
      <dxf/>
    </rfmt>
    <rfmt sheetId="2" sqref="BY769" start="0" length="0">
      <dxf/>
    </rfmt>
    <rfmt sheetId="2" sqref="BZ769" start="0" length="0">
      <dxf/>
    </rfmt>
    <rfmt sheetId="2" sqref="CA769" start="0" length="0">
      <dxf/>
    </rfmt>
    <rfmt sheetId="2" sqref="CB769" start="0" length="0">
      <dxf/>
    </rfmt>
    <rfmt sheetId="2" sqref="CC769" start="0" length="0">
      <dxf/>
    </rfmt>
    <rfmt sheetId="2" sqref="CD769" start="0" length="0">
      <dxf/>
    </rfmt>
    <rfmt sheetId="2" sqref="CE769" start="0" length="0">
      <dxf/>
    </rfmt>
    <rfmt sheetId="2" sqref="CF769" start="0" length="0">
      <dxf/>
    </rfmt>
    <rfmt sheetId="2" sqref="CG769" start="0" length="0">
      <dxf/>
    </rfmt>
    <rfmt sheetId="2" sqref="CH769" start="0" length="0">
      <dxf/>
    </rfmt>
    <rfmt sheetId="2" sqref="CI769" start="0" length="0">
      <dxf/>
    </rfmt>
    <rfmt sheetId="2" sqref="CJ769" start="0" length="0">
      <dxf/>
    </rfmt>
    <rfmt sheetId="2" sqref="CK769" start="0" length="0">
      <dxf/>
    </rfmt>
    <rfmt sheetId="2" sqref="CL769" start="0" length="0">
      <dxf/>
    </rfmt>
    <rfmt sheetId="2" sqref="CM769" start="0" length="0">
      <dxf/>
    </rfmt>
    <rfmt sheetId="2" sqref="CN769" start="0" length="0">
      <dxf/>
    </rfmt>
    <rfmt sheetId="2" sqref="CO769" start="0" length="0">
      <dxf/>
    </rfmt>
    <rfmt sheetId="2" sqref="CP769" start="0" length="0">
      <dxf/>
    </rfmt>
    <rfmt sheetId="2" sqref="CQ769" start="0" length="0">
      <dxf/>
    </rfmt>
    <rfmt sheetId="2" sqref="CR769" start="0" length="0">
      <dxf/>
    </rfmt>
    <rfmt sheetId="2" sqref="CS769" start="0" length="0">
      <dxf/>
    </rfmt>
    <rfmt sheetId="2" sqref="CT769" start="0" length="0">
      <dxf/>
    </rfmt>
    <rfmt sheetId="2" sqref="CU769" start="0" length="0">
      <dxf/>
    </rfmt>
    <rfmt sheetId="2" sqref="CV769" start="0" length="0">
      <dxf/>
    </rfmt>
    <rfmt sheetId="2" sqref="CW769" start="0" length="0">
      <dxf/>
    </rfmt>
    <rfmt sheetId="2" sqref="CX769" start="0" length="0">
      <dxf/>
    </rfmt>
    <rfmt sheetId="2" sqref="CY769" start="0" length="0">
      <dxf/>
    </rfmt>
    <rfmt sheetId="2" sqref="CZ769" start="0" length="0">
      <dxf/>
    </rfmt>
    <rfmt sheetId="2" sqref="DA769" start="0" length="0">
      <dxf/>
    </rfmt>
    <rfmt sheetId="2" sqref="DB769" start="0" length="0">
      <dxf/>
    </rfmt>
    <rfmt sheetId="2" sqref="DC769" start="0" length="0">
      <dxf/>
    </rfmt>
    <rfmt sheetId="2" sqref="DD769" start="0" length="0">
      <dxf/>
    </rfmt>
    <rfmt sheetId="2" sqref="DE769" start="0" length="0">
      <dxf/>
    </rfmt>
    <rfmt sheetId="2" sqref="DF769" start="0" length="0">
      <dxf/>
    </rfmt>
    <rfmt sheetId="2" sqref="DG769" start="0" length="0">
      <dxf/>
    </rfmt>
    <rfmt sheetId="2" sqref="DH769" start="0" length="0">
      <dxf/>
    </rfmt>
    <rfmt sheetId="2" sqref="DI769" start="0" length="0">
      <dxf/>
    </rfmt>
    <rfmt sheetId="2" sqref="DJ769" start="0" length="0">
      <dxf/>
    </rfmt>
    <rfmt sheetId="2" sqref="DK769" start="0" length="0">
      <dxf/>
    </rfmt>
    <rfmt sheetId="2" sqref="DL769" start="0" length="0">
      <dxf/>
    </rfmt>
    <rfmt sheetId="2" sqref="DM769" start="0" length="0">
      <dxf/>
    </rfmt>
    <rfmt sheetId="2" sqref="DN769" start="0" length="0">
      <dxf/>
    </rfmt>
    <rfmt sheetId="2" sqref="DO769" start="0" length="0">
      <dxf/>
    </rfmt>
    <rfmt sheetId="2" sqref="DP769" start="0" length="0">
      <dxf/>
    </rfmt>
    <rfmt sheetId="2" sqref="DQ769" start="0" length="0">
      <dxf/>
    </rfmt>
    <rfmt sheetId="2" sqref="DR769" start="0" length="0">
      <dxf/>
    </rfmt>
    <rfmt sheetId="2" sqref="DS769" start="0" length="0">
      <dxf/>
    </rfmt>
    <rfmt sheetId="2" sqref="DT769" start="0" length="0">
      <dxf/>
    </rfmt>
    <rfmt sheetId="2" sqref="DU769" start="0" length="0">
      <dxf/>
    </rfmt>
    <rfmt sheetId="2" sqref="DV769" start="0" length="0">
      <dxf/>
    </rfmt>
    <rfmt sheetId="2" sqref="DW769" start="0" length="0">
      <dxf/>
    </rfmt>
    <rfmt sheetId="2" sqref="DX769" start="0" length="0">
      <dxf/>
    </rfmt>
    <rfmt sheetId="2" sqref="DY769" start="0" length="0">
      <dxf/>
    </rfmt>
    <rfmt sheetId="2" sqref="DZ769" start="0" length="0">
      <dxf/>
    </rfmt>
    <rfmt sheetId="2" sqref="EA769" start="0" length="0">
      <dxf/>
    </rfmt>
    <rfmt sheetId="2" sqref="EB769" start="0" length="0">
      <dxf/>
    </rfmt>
    <rfmt sheetId="2" sqref="EC769" start="0" length="0">
      <dxf/>
    </rfmt>
    <rfmt sheetId="2" sqref="ED769" start="0" length="0">
      <dxf/>
    </rfmt>
    <rfmt sheetId="2" sqref="EE769" start="0" length="0">
      <dxf/>
    </rfmt>
    <rfmt sheetId="2" sqref="EF769" start="0" length="0">
      <dxf/>
    </rfmt>
    <rfmt sheetId="2" sqref="EG769" start="0" length="0">
      <dxf/>
    </rfmt>
    <rfmt sheetId="2" sqref="EH769" start="0" length="0">
      <dxf/>
    </rfmt>
    <rfmt sheetId="2" sqref="EI769" start="0" length="0">
      <dxf/>
    </rfmt>
    <rfmt sheetId="2" sqref="EJ769" start="0" length="0">
      <dxf/>
    </rfmt>
    <rfmt sheetId="2" sqref="EK769" start="0" length="0">
      <dxf/>
    </rfmt>
    <rfmt sheetId="2" sqref="EL769" start="0" length="0">
      <dxf/>
    </rfmt>
    <rfmt sheetId="2" sqref="EM769" start="0" length="0">
      <dxf/>
    </rfmt>
    <rfmt sheetId="2" sqref="EN769" start="0" length="0">
      <dxf/>
    </rfmt>
    <rfmt sheetId="2" sqref="EO769" start="0" length="0">
      <dxf/>
    </rfmt>
    <rfmt sheetId="2" sqref="EP769" start="0" length="0">
      <dxf/>
    </rfmt>
    <rfmt sheetId="2" sqref="EQ769" start="0" length="0">
      <dxf/>
    </rfmt>
    <rfmt sheetId="2" sqref="ER769" start="0" length="0">
      <dxf/>
    </rfmt>
    <rfmt sheetId="2" sqref="ES769" start="0" length="0">
      <dxf/>
    </rfmt>
    <rfmt sheetId="2" sqref="ET769" start="0" length="0">
      <dxf/>
    </rfmt>
    <rfmt sheetId="2" sqref="EU769" start="0" length="0">
      <dxf/>
    </rfmt>
    <rfmt sheetId="2" sqref="EV769" start="0" length="0">
      <dxf/>
    </rfmt>
    <rfmt sheetId="2" sqref="EW769" start="0" length="0">
      <dxf/>
    </rfmt>
    <rfmt sheetId="2" sqref="EX769" start="0" length="0">
      <dxf/>
    </rfmt>
    <rfmt sheetId="2" sqref="EY769" start="0" length="0">
      <dxf/>
    </rfmt>
    <rfmt sheetId="2" sqref="EZ769" start="0" length="0">
      <dxf/>
    </rfmt>
    <rfmt sheetId="2" sqref="FA769" start="0" length="0">
      <dxf/>
    </rfmt>
    <rfmt sheetId="2" sqref="FB769" start="0" length="0">
      <dxf/>
    </rfmt>
    <rfmt sheetId="2" sqref="FC769" start="0" length="0">
      <dxf/>
    </rfmt>
    <rfmt sheetId="2" sqref="FD769" start="0" length="0">
      <dxf/>
    </rfmt>
    <rfmt sheetId="2" sqref="FE769" start="0" length="0">
      <dxf/>
    </rfmt>
    <rfmt sheetId="2" sqref="FF769" start="0" length="0">
      <dxf/>
    </rfmt>
    <rfmt sheetId="2" sqref="FG769" start="0" length="0">
      <dxf/>
    </rfmt>
    <rfmt sheetId="2" sqref="FH769" start="0" length="0">
      <dxf/>
    </rfmt>
    <rfmt sheetId="2" sqref="FI769" start="0" length="0">
      <dxf/>
    </rfmt>
    <rfmt sheetId="2" sqref="FJ769" start="0" length="0">
      <dxf/>
    </rfmt>
    <rfmt sheetId="2" sqref="FK769" start="0" length="0">
      <dxf/>
    </rfmt>
    <rfmt sheetId="2" sqref="FL769" start="0" length="0">
      <dxf/>
    </rfmt>
    <rfmt sheetId="2" sqref="FM769" start="0" length="0">
      <dxf/>
    </rfmt>
    <rfmt sheetId="2" sqref="FN769" start="0" length="0">
      <dxf/>
    </rfmt>
    <rfmt sheetId="2" sqref="FO769" start="0" length="0">
      <dxf/>
    </rfmt>
    <rfmt sheetId="2" sqref="FP769" start="0" length="0">
      <dxf/>
    </rfmt>
    <rfmt sheetId="2" sqref="FQ769" start="0" length="0">
      <dxf/>
    </rfmt>
    <rfmt sheetId="2" sqref="FR769" start="0" length="0">
      <dxf/>
    </rfmt>
    <rfmt sheetId="2" sqref="FS769" start="0" length="0">
      <dxf/>
    </rfmt>
    <rfmt sheetId="2" sqref="FT769" start="0" length="0">
      <dxf/>
    </rfmt>
    <rfmt sheetId="2" sqref="FU769" start="0" length="0">
      <dxf/>
    </rfmt>
    <rfmt sheetId="2" sqref="FV769" start="0" length="0">
      <dxf/>
    </rfmt>
    <rfmt sheetId="2" sqref="FW769" start="0" length="0">
      <dxf/>
    </rfmt>
    <rfmt sheetId="2" sqref="FX769" start="0" length="0">
      <dxf/>
    </rfmt>
    <rfmt sheetId="2" sqref="FY769" start="0" length="0">
      <dxf/>
    </rfmt>
    <rfmt sheetId="2" sqref="FZ769" start="0" length="0">
      <dxf/>
    </rfmt>
    <rfmt sheetId="2" sqref="GA769" start="0" length="0">
      <dxf/>
    </rfmt>
    <rfmt sheetId="2" sqref="GB769" start="0" length="0">
      <dxf/>
    </rfmt>
    <rfmt sheetId="2" sqref="GC769" start="0" length="0">
      <dxf/>
    </rfmt>
    <rfmt sheetId="2" sqref="GD769" start="0" length="0">
      <dxf/>
    </rfmt>
    <rfmt sheetId="2" sqref="GE769" start="0" length="0">
      <dxf/>
    </rfmt>
    <rfmt sheetId="2" sqref="GF769" start="0" length="0">
      <dxf/>
    </rfmt>
    <rfmt sheetId="2" sqref="GG769" start="0" length="0">
      <dxf/>
    </rfmt>
    <rfmt sheetId="2" sqref="GH769" start="0" length="0">
      <dxf/>
    </rfmt>
    <rfmt sheetId="2" sqref="GI769" start="0" length="0">
      <dxf/>
    </rfmt>
    <rfmt sheetId="2" sqref="GJ769" start="0" length="0">
      <dxf/>
    </rfmt>
    <rfmt sheetId="2" sqref="GK769" start="0" length="0">
      <dxf/>
    </rfmt>
    <rfmt sheetId="2" sqref="GL769" start="0" length="0">
      <dxf/>
    </rfmt>
    <rfmt sheetId="2" sqref="GM769" start="0" length="0">
      <dxf/>
    </rfmt>
    <rfmt sheetId="2" sqref="GN769" start="0" length="0">
      <dxf/>
    </rfmt>
    <rfmt sheetId="2" sqref="GO769" start="0" length="0">
      <dxf/>
    </rfmt>
    <rfmt sheetId="2" sqref="GP769" start="0" length="0">
      <dxf/>
    </rfmt>
    <rfmt sheetId="2" sqref="GQ769" start="0" length="0">
      <dxf/>
    </rfmt>
    <rfmt sheetId="2" sqref="GR769" start="0" length="0">
      <dxf/>
    </rfmt>
    <rfmt sheetId="2" sqref="GS769" start="0" length="0">
      <dxf/>
    </rfmt>
    <rfmt sheetId="2" sqref="GT769" start="0" length="0">
      <dxf/>
    </rfmt>
    <rfmt sheetId="2" sqref="GU769" start="0" length="0">
      <dxf/>
    </rfmt>
    <rfmt sheetId="2" sqref="GV769" start="0" length="0">
      <dxf/>
    </rfmt>
    <rfmt sheetId="2" sqref="GW769" start="0" length="0">
      <dxf/>
    </rfmt>
    <rfmt sheetId="2" sqref="GX769" start="0" length="0">
      <dxf/>
    </rfmt>
    <rfmt sheetId="2" sqref="GY769" start="0" length="0">
      <dxf/>
    </rfmt>
    <rfmt sheetId="2" sqref="GZ769" start="0" length="0">
      <dxf/>
    </rfmt>
    <rfmt sheetId="2" sqref="HA769" start="0" length="0">
      <dxf/>
    </rfmt>
    <rfmt sheetId="2" sqref="HB769" start="0" length="0">
      <dxf/>
    </rfmt>
    <rfmt sheetId="2" sqref="HC769" start="0" length="0">
      <dxf/>
    </rfmt>
    <rfmt sheetId="2" sqref="HD769" start="0" length="0">
      <dxf/>
    </rfmt>
    <rfmt sheetId="2" sqref="HE769" start="0" length="0">
      <dxf/>
    </rfmt>
    <rfmt sheetId="2" sqref="HF769" start="0" length="0">
      <dxf/>
    </rfmt>
    <rfmt sheetId="2" sqref="HG769" start="0" length="0">
      <dxf/>
    </rfmt>
    <rfmt sheetId="2" sqref="HH769" start="0" length="0">
      <dxf/>
    </rfmt>
    <rfmt sheetId="2" sqref="HI769" start="0" length="0">
      <dxf/>
    </rfmt>
    <rfmt sheetId="2" sqref="HJ769" start="0" length="0">
      <dxf/>
    </rfmt>
    <rfmt sheetId="2" sqref="HK769" start="0" length="0">
      <dxf/>
    </rfmt>
    <rfmt sheetId="2" sqref="HL769" start="0" length="0">
      <dxf/>
    </rfmt>
    <rfmt sheetId="2" sqref="HM769" start="0" length="0">
      <dxf/>
    </rfmt>
    <rfmt sheetId="2" sqref="HN769" start="0" length="0">
      <dxf/>
    </rfmt>
    <rfmt sheetId="2" sqref="HO769" start="0" length="0">
      <dxf/>
    </rfmt>
    <rfmt sheetId="2" sqref="HP769" start="0" length="0">
      <dxf/>
    </rfmt>
    <rfmt sheetId="2" sqref="HQ769" start="0" length="0">
      <dxf/>
    </rfmt>
    <rfmt sheetId="2" sqref="HR769" start="0" length="0">
      <dxf/>
    </rfmt>
    <rfmt sheetId="2" sqref="HS769" start="0" length="0">
      <dxf/>
    </rfmt>
    <rfmt sheetId="2" sqref="HT769" start="0" length="0">
      <dxf/>
    </rfmt>
    <rfmt sheetId="2" sqref="HU769" start="0" length="0">
      <dxf/>
    </rfmt>
    <rfmt sheetId="2" sqref="HV769" start="0" length="0">
      <dxf/>
    </rfmt>
    <rfmt sheetId="2" sqref="HW769" start="0" length="0">
      <dxf/>
    </rfmt>
    <rfmt sheetId="2" sqref="HX769" start="0" length="0">
      <dxf/>
    </rfmt>
    <rfmt sheetId="2" sqref="HY769" start="0" length="0">
      <dxf/>
    </rfmt>
    <rfmt sheetId="2" sqref="HZ769" start="0" length="0">
      <dxf/>
    </rfmt>
    <rfmt sheetId="2" sqref="IA769" start="0" length="0">
      <dxf/>
    </rfmt>
    <rfmt sheetId="2" sqref="IB769" start="0" length="0">
      <dxf/>
    </rfmt>
    <rfmt sheetId="2" sqref="IC769" start="0" length="0">
      <dxf/>
    </rfmt>
    <rfmt sheetId="2" sqref="ID769" start="0" length="0">
      <dxf/>
    </rfmt>
    <rfmt sheetId="2" sqref="IE769" start="0" length="0">
      <dxf/>
    </rfmt>
    <rfmt sheetId="2" sqref="IF769" start="0" length="0">
      <dxf/>
    </rfmt>
    <rfmt sheetId="2" sqref="IG769" start="0" length="0">
      <dxf/>
    </rfmt>
    <rfmt sheetId="2" sqref="IH769" start="0" length="0">
      <dxf/>
    </rfmt>
    <rfmt sheetId="2" sqref="II769" start="0" length="0">
      <dxf/>
    </rfmt>
    <rfmt sheetId="2" sqref="IJ769" start="0" length="0">
      <dxf/>
    </rfmt>
    <rfmt sheetId="2" sqref="IK769" start="0" length="0">
      <dxf/>
    </rfmt>
    <rfmt sheetId="2" sqref="IL769" start="0" length="0">
      <dxf/>
    </rfmt>
    <rfmt sheetId="2" sqref="IM769" start="0" length="0">
      <dxf/>
    </rfmt>
    <rfmt sheetId="2" sqref="IN769" start="0" length="0">
      <dxf/>
    </rfmt>
    <rfmt sheetId="2" sqref="IO769" start="0" length="0">
      <dxf/>
    </rfmt>
    <rfmt sheetId="2" sqref="IP769" start="0" length="0">
      <dxf/>
    </rfmt>
    <rfmt sheetId="2" sqref="IQ769" start="0" length="0">
      <dxf/>
    </rfmt>
    <rfmt sheetId="2" sqref="IR769" start="0" length="0">
      <dxf/>
    </rfmt>
    <rfmt sheetId="2" sqref="IS769" start="0" length="0">
      <dxf/>
    </rfmt>
    <rfmt sheetId="2" sqref="IT769" start="0" length="0">
      <dxf/>
    </rfmt>
    <rfmt sheetId="2" sqref="IU769" start="0" length="0">
      <dxf/>
    </rfmt>
    <rfmt sheetId="2" sqref="IV769" start="0" length="0">
      <dxf/>
    </rfmt>
    <rfmt sheetId="2" sqref="IW769" start="0" length="0">
      <dxf/>
    </rfmt>
    <rfmt sheetId="2" sqref="IX769" start="0" length="0">
      <dxf/>
    </rfmt>
    <rfmt sheetId="2" sqref="IY769" start="0" length="0">
      <dxf/>
    </rfmt>
    <rfmt sheetId="2" sqref="IZ769" start="0" length="0">
      <dxf/>
    </rfmt>
    <rfmt sheetId="2" sqref="JA769" start="0" length="0">
      <dxf/>
    </rfmt>
    <rfmt sheetId="2" sqref="JB769" start="0" length="0">
      <dxf/>
    </rfmt>
    <rfmt sheetId="2" sqref="JC769" start="0" length="0">
      <dxf/>
    </rfmt>
    <rfmt sheetId="2" sqref="JD769" start="0" length="0">
      <dxf/>
    </rfmt>
    <rfmt sheetId="2" sqref="JE769" start="0" length="0">
      <dxf/>
    </rfmt>
    <rfmt sheetId="2" sqref="JF769" start="0" length="0">
      <dxf/>
    </rfmt>
    <rfmt sheetId="2" sqref="JG769" start="0" length="0">
      <dxf/>
    </rfmt>
    <rfmt sheetId="2" sqref="JH769" start="0" length="0">
      <dxf/>
    </rfmt>
    <rfmt sheetId="2" sqref="JI769" start="0" length="0">
      <dxf/>
    </rfmt>
    <rfmt sheetId="2" sqref="JJ769" start="0" length="0">
      <dxf/>
    </rfmt>
    <rfmt sheetId="2" sqref="JK769" start="0" length="0">
      <dxf/>
    </rfmt>
    <rfmt sheetId="2" sqref="JL769" start="0" length="0">
      <dxf/>
    </rfmt>
    <rfmt sheetId="2" sqref="JM769" start="0" length="0">
      <dxf/>
    </rfmt>
    <rfmt sheetId="2" sqref="JN769" start="0" length="0">
      <dxf/>
    </rfmt>
    <rfmt sheetId="2" sqref="JO769" start="0" length="0">
      <dxf/>
    </rfmt>
    <rfmt sheetId="2" sqref="JP769" start="0" length="0">
      <dxf/>
    </rfmt>
    <rfmt sheetId="2" sqref="JQ769" start="0" length="0">
      <dxf/>
    </rfmt>
    <rfmt sheetId="2" sqref="JR769" start="0" length="0">
      <dxf/>
    </rfmt>
    <rfmt sheetId="2" sqref="JS769" start="0" length="0">
      <dxf/>
    </rfmt>
    <rfmt sheetId="2" sqref="JT769" start="0" length="0">
      <dxf/>
    </rfmt>
    <rfmt sheetId="2" sqref="JU769" start="0" length="0">
      <dxf/>
    </rfmt>
    <rfmt sheetId="2" sqref="JV769" start="0" length="0">
      <dxf/>
    </rfmt>
    <rfmt sheetId="2" sqref="JW769" start="0" length="0">
      <dxf/>
    </rfmt>
    <rfmt sheetId="2" sqref="JX769" start="0" length="0">
      <dxf/>
    </rfmt>
    <rfmt sheetId="2" sqref="JY769" start="0" length="0">
      <dxf/>
    </rfmt>
    <rfmt sheetId="2" sqref="JZ769" start="0" length="0">
      <dxf/>
    </rfmt>
    <rfmt sheetId="2" sqref="KA769" start="0" length="0">
      <dxf/>
    </rfmt>
    <rfmt sheetId="2" sqref="KB769" start="0" length="0">
      <dxf/>
    </rfmt>
    <rfmt sheetId="2" sqref="KC769" start="0" length="0">
      <dxf/>
    </rfmt>
    <rfmt sheetId="2" sqref="KD769" start="0" length="0">
      <dxf/>
    </rfmt>
    <rfmt sheetId="2" sqref="KE769" start="0" length="0">
      <dxf/>
    </rfmt>
    <rfmt sheetId="2" sqref="KF769" start="0" length="0">
      <dxf/>
    </rfmt>
    <rfmt sheetId="2" sqref="KG769" start="0" length="0">
      <dxf/>
    </rfmt>
    <rfmt sheetId="2" sqref="KH769" start="0" length="0">
      <dxf/>
    </rfmt>
    <rfmt sheetId="2" sqref="KI769" start="0" length="0">
      <dxf/>
    </rfmt>
    <rfmt sheetId="2" sqref="KJ769" start="0" length="0">
      <dxf/>
    </rfmt>
    <rfmt sheetId="2" sqref="KK769" start="0" length="0">
      <dxf/>
    </rfmt>
    <rfmt sheetId="2" sqref="KL769" start="0" length="0">
      <dxf/>
    </rfmt>
    <rfmt sheetId="2" sqref="KM769" start="0" length="0">
      <dxf/>
    </rfmt>
    <rfmt sheetId="2" sqref="KN769" start="0" length="0">
      <dxf/>
    </rfmt>
    <rfmt sheetId="2" sqref="KO769" start="0" length="0">
      <dxf/>
    </rfmt>
    <rfmt sheetId="2" sqref="KP769" start="0" length="0">
      <dxf/>
    </rfmt>
    <rfmt sheetId="2" sqref="KQ769" start="0" length="0">
      <dxf/>
    </rfmt>
    <rfmt sheetId="2" sqref="KR769" start="0" length="0">
      <dxf/>
    </rfmt>
    <rfmt sheetId="2" sqref="KS769" start="0" length="0">
      <dxf/>
    </rfmt>
    <rfmt sheetId="2" sqref="KT769" start="0" length="0">
      <dxf/>
    </rfmt>
    <rfmt sheetId="2" sqref="KU769" start="0" length="0">
      <dxf/>
    </rfmt>
    <rfmt sheetId="2" sqref="KV769" start="0" length="0">
      <dxf/>
    </rfmt>
    <rfmt sheetId="2" sqref="KW769" start="0" length="0">
      <dxf/>
    </rfmt>
    <rfmt sheetId="2" sqref="KX769" start="0" length="0">
      <dxf/>
    </rfmt>
    <rfmt sheetId="2" sqref="KY769" start="0" length="0">
      <dxf/>
    </rfmt>
    <rfmt sheetId="2" sqref="KZ769" start="0" length="0">
      <dxf/>
    </rfmt>
    <rfmt sheetId="2" sqref="LA769" start="0" length="0">
      <dxf/>
    </rfmt>
    <rfmt sheetId="2" sqref="LB769" start="0" length="0">
      <dxf/>
    </rfmt>
    <rfmt sheetId="2" sqref="LC769" start="0" length="0">
      <dxf/>
    </rfmt>
    <rfmt sheetId="2" sqref="LD769" start="0" length="0">
      <dxf/>
    </rfmt>
    <rfmt sheetId="2" sqref="LE769" start="0" length="0">
      <dxf/>
    </rfmt>
    <rfmt sheetId="2" sqref="LF769" start="0" length="0">
      <dxf/>
    </rfmt>
    <rfmt sheetId="2" sqref="LG769" start="0" length="0">
      <dxf/>
    </rfmt>
    <rfmt sheetId="2" sqref="LH769" start="0" length="0">
      <dxf/>
    </rfmt>
    <rfmt sheetId="2" sqref="LI769" start="0" length="0">
      <dxf/>
    </rfmt>
    <rfmt sheetId="2" sqref="LJ769" start="0" length="0">
      <dxf/>
    </rfmt>
    <rfmt sheetId="2" sqref="LK769" start="0" length="0">
      <dxf/>
    </rfmt>
    <rfmt sheetId="2" sqref="LL769" start="0" length="0">
      <dxf/>
    </rfmt>
    <rfmt sheetId="2" sqref="LM769" start="0" length="0">
      <dxf/>
    </rfmt>
    <rfmt sheetId="2" sqref="LN769" start="0" length="0">
      <dxf/>
    </rfmt>
    <rfmt sheetId="2" sqref="LO769" start="0" length="0">
      <dxf/>
    </rfmt>
    <rfmt sheetId="2" sqref="LP769" start="0" length="0">
      <dxf/>
    </rfmt>
    <rfmt sheetId="2" sqref="LQ769" start="0" length="0">
      <dxf/>
    </rfmt>
    <rfmt sheetId="2" sqref="LR769" start="0" length="0">
      <dxf/>
    </rfmt>
    <rfmt sheetId="2" sqref="LS769" start="0" length="0">
      <dxf/>
    </rfmt>
    <rfmt sheetId="2" sqref="LT769" start="0" length="0">
      <dxf/>
    </rfmt>
    <rfmt sheetId="2" sqref="LU769" start="0" length="0">
      <dxf/>
    </rfmt>
    <rfmt sheetId="2" sqref="LV769" start="0" length="0">
      <dxf/>
    </rfmt>
    <rfmt sheetId="2" sqref="LW769" start="0" length="0">
      <dxf/>
    </rfmt>
    <rfmt sheetId="2" sqref="LX769" start="0" length="0">
      <dxf/>
    </rfmt>
    <rfmt sheetId="2" sqref="LY769" start="0" length="0">
      <dxf/>
    </rfmt>
    <rfmt sheetId="2" sqref="LZ769" start="0" length="0">
      <dxf/>
    </rfmt>
    <rfmt sheetId="2" sqref="MA769" start="0" length="0">
      <dxf/>
    </rfmt>
    <rfmt sheetId="2" sqref="MB769" start="0" length="0">
      <dxf/>
    </rfmt>
  </rrc>
  <rrc rId="1724" sId="2" ref="A766:XFD767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25" sheetId="2" source="A771:XFD772" destination="A766:XFD767" sourceSheetId="2">
    <rfmt sheetId="2" xfDxf="1" sqref="A766:XFD766" start="0" length="0">
      <dxf>
        <font>
          <sz val="10"/>
          <name val="Arial"/>
          <scheme val="none"/>
        </font>
        <alignment horizontal="center" readingOrder="0"/>
      </dxf>
    </rfmt>
    <rfmt sheetId="2" xfDxf="1" sqref="A767:XFD767" start="0" length="0">
      <dxf>
        <font>
          <sz val="10"/>
          <name val="Arial"/>
          <scheme val="none"/>
        </font>
        <alignment horizontal="center" readingOrder="0"/>
      </dxf>
    </rfmt>
    <rfmt sheetId="2" sqref="A766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6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6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6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6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6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6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6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6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6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6" start="0" length="0">
      <dxf>
        <numFmt numFmtId="176" formatCode="m/d;@"/>
      </dxf>
    </rfmt>
    <rfmt sheetId="2" sqref="P766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6" start="0" length="0">
      <dxf/>
    </rfmt>
    <rfmt sheetId="2" sqref="U766" start="0" length="0">
      <dxf/>
    </rfmt>
    <rfmt sheetId="2" sqref="V766" start="0" length="0">
      <dxf/>
    </rfmt>
    <rfmt sheetId="2" sqref="W766" start="0" length="0">
      <dxf/>
    </rfmt>
    <rfmt sheetId="2" sqref="X766" start="0" length="0">
      <dxf/>
    </rfmt>
    <rfmt sheetId="2" sqref="Y766" start="0" length="0">
      <dxf/>
    </rfmt>
    <rfmt sheetId="2" sqref="Z766" start="0" length="0">
      <dxf/>
    </rfmt>
    <rfmt sheetId="2" sqref="AA766" start="0" length="0">
      <dxf/>
    </rfmt>
    <rfmt sheetId="2" sqref="AB766" start="0" length="0">
      <dxf/>
    </rfmt>
    <rfmt sheetId="2" sqref="AC766" start="0" length="0">
      <dxf/>
    </rfmt>
    <rfmt sheetId="2" sqref="AD766" start="0" length="0">
      <dxf/>
    </rfmt>
    <rfmt sheetId="2" sqref="AE766" start="0" length="0">
      <dxf/>
    </rfmt>
    <rfmt sheetId="2" sqref="AF766" start="0" length="0">
      <dxf/>
    </rfmt>
    <rfmt sheetId="2" sqref="AG766" start="0" length="0">
      <dxf/>
    </rfmt>
    <rfmt sheetId="2" sqref="AH766" start="0" length="0">
      <dxf/>
    </rfmt>
    <rfmt sheetId="2" sqref="AI766" start="0" length="0">
      <dxf/>
    </rfmt>
    <rfmt sheetId="2" sqref="AJ766" start="0" length="0">
      <dxf/>
    </rfmt>
    <rfmt sheetId="2" sqref="AK766" start="0" length="0">
      <dxf/>
    </rfmt>
    <rfmt sheetId="2" sqref="AL766" start="0" length="0">
      <dxf/>
    </rfmt>
    <rfmt sheetId="2" sqref="AM766" start="0" length="0">
      <dxf/>
    </rfmt>
    <rfmt sheetId="2" sqref="AN766" start="0" length="0">
      <dxf/>
    </rfmt>
    <rfmt sheetId="2" sqref="AO766" start="0" length="0">
      <dxf/>
    </rfmt>
    <rfmt sheetId="2" sqref="AP766" start="0" length="0">
      <dxf/>
    </rfmt>
    <rfmt sheetId="2" sqref="AQ766" start="0" length="0">
      <dxf/>
    </rfmt>
    <rfmt sheetId="2" sqref="AR766" start="0" length="0">
      <dxf/>
    </rfmt>
    <rfmt sheetId="2" sqref="AS766" start="0" length="0">
      <dxf/>
    </rfmt>
    <rfmt sheetId="2" sqref="AT766" start="0" length="0">
      <dxf/>
    </rfmt>
    <rfmt sheetId="2" sqref="AU766" start="0" length="0">
      <dxf/>
    </rfmt>
    <rfmt sheetId="2" sqref="AV766" start="0" length="0">
      <dxf/>
    </rfmt>
    <rfmt sheetId="2" sqref="AW766" start="0" length="0">
      <dxf/>
    </rfmt>
    <rfmt sheetId="2" sqref="AX766" start="0" length="0">
      <dxf/>
    </rfmt>
    <rfmt sheetId="2" sqref="AY766" start="0" length="0">
      <dxf/>
    </rfmt>
    <rfmt sheetId="2" sqref="AZ766" start="0" length="0">
      <dxf/>
    </rfmt>
    <rfmt sheetId="2" sqref="BA766" start="0" length="0">
      <dxf/>
    </rfmt>
    <rfmt sheetId="2" sqref="BB766" start="0" length="0">
      <dxf/>
    </rfmt>
    <rfmt sheetId="2" sqref="BC766" start="0" length="0">
      <dxf/>
    </rfmt>
    <rfmt sheetId="2" sqref="BD766" start="0" length="0">
      <dxf/>
    </rfmt>
    <rfmt sheetId="2" sqref="BE766" start="0" length="0">
      <dxf/>
    </rfmt>
    <rfmt sheetId="2" sqref="BF766" start="0" length="0">
      <dxf/>
    </rfmt>
    <rfmt sheetId="2" sqref="BG766" start="0" length="0">
      <dxf/>
    </rfmt>
    <rfmt sheetId="2" sqref="BH766" start="0" length="0">
      <dxf/>
    </rfmt>
    <rfmt sheetId="2" sqref="BI766" start="0" length="0">
      <dxf/>
    </rfmt>
    <rfmt sheetId="2" sqref="BJ766" start="0" length="0">
      <dxf/>
    </rfmt>
    <rfmt sheetId="2" sqref="BK766" start="0" length="0">
      <dxf/>
    </rfmt>
    <rfmt sheetId="2" sqref="BL766" start="0" length="0">
      <dxf/>
    </rfmt>
    <rfmt sheetId="2" sqref="BM766" start="0" length="0">
      <dxf/>
    </rfmt>
    <rfmt sheetId="2" sqref="BN766" start="0" length="0">
      <dxf/>
    </rfmt>
    <rfmt sheetId="2" sqref="BO766" start="0" length="0">
      <dxf/>
    </rfmt>
    <rfmt sheetId="2" sqref="BP766" start="0" length="0">
      <dxf/>
    </rfmt>
    <rfmt sheetId="2" sqref="BQ766" start="0" length="0">
      <dxf/>
    </rfmt>
    <rfmt sheetId="2" sqref="BR766" start="0" length="0">
      <dxf/>
    </rfmt>
    <rfmt sheetId="2" sqref="BS766" start="0" length="0">
      <dxf/>
    </rfmt>
    <rfmt sheetId="2" sqref="BT766" start="0" length="0">
      <dxf/>
    </rfmt>
    <rfmt sheetId="2" sqref="BU766" start="0" length="0">
      <dxf/>
    </rfmt>
    <rfmt sheetId="2" sqref="BV766" start="0" length="0">
      <dxf/>
    </rfmt>
    <rfmt sheetId="2" sqref="BW766" start="0" length="0">
      <dxf/>
    </rfmt>
    <rfmt sheetId="2" sqref="BX766" start="0" length="0">
      <dxf/>
    </rfmt>
    <rfmt sheetId="2" sqref="BY766" start="0" length="0">
      <dxf/>
    </rfmt>
    <rfmt sheetId="2" sqref="BZ766" start="0" length="0">
      <dxf/>
    </rfmt>
    <rfmt sheetId="2" sqref="CA766" start="0" length="0">
      <dxf/>
    </rfmt>
    <rfmt sheetId="2" sqref="CB766" start="0" length="0">
      <dxf/>
    </rfmt>
    <rfmt sheetId="2" sqref="CC766" start="0" length="0">
      <dxf/>
    </rfmt>
    <rfmt sheetId="2" sqref="CD766" start="0" length="0">
      <dxf/>
    </rfmt>
    <rfmt sheetId="2" sqref="CE766" start="0" length="0">
      <dxf/>
    </rfmt>
    <rfmt sheetId="2" sqref="CF766" start="0" length="0">
      <dxf/>
    </rfmt>
    <rfmt sheetId="2" sqref="CG766" start="0" length="0">
      <dxf/>
    </rfmt>
    <rfmt sheetId="2" sqref="CH766" start="0" length="0">
      <dxf/>
    </rfmt>
    <rfmt sheetId="2" sqref="CI766" start="0" length="0">
      <dxf/>
    </rfmt>
    <rfmt sheetId="2" sqref="CJ766" start="0" length="0">
      <dxf/>
    </rfmt>
    <rfmt sheetId="2" sqref="CK766" start="0" length="0">
      <dxf/>
    </rfmt>
    <rfmt sheetId="2" sqref="CL766" start="0" length="0">
      <dxf/>
    </rfmt>
    <rfmt sheetId="2" sqref="CM766" start="0" length="0">
      <dxf/>
    </rfmt>
    <rfmt sheetId="2" sqref="CN766" start="0" length="0">
      <dxf/>
    </rfmt>
    <rfmt sheetId="2" sqref="CO766" start="0" length="0">
      <dxf/>
    </rfmt>
    <rfmt sheetId="2" sqref="CP766" start="0" length="0">
      <dxf/>
    </rfmt>
    <rfmt sheetId="2" sqref="CQ766" start="0" length="0">
      <dxf/>
    </rfmt>
    <rfmt sheetId="2" sqref="CR766" start="0" length="0">
      <dxf/>
    </rfmt>
    <rfmt sheetId="2" sqref="CS766" start="0" length="0">
      <dxf/>
    </rfmt>
    <rfmt sheetId="2" sqref="CT766" start="0" length="0">
      <dxf/>
    </rfmt>
    <rfmt sheetId="2" sqref="CU766" start="0" length="0">
      <dxf/>
    </rfmt>
    <rfmt sheetId="2" sqref="CV766" start="0" length="0">
      <dxf/>
    </rfmt>
    <rfmt sheetId="2" sqref="CW766" start="0" length="0">
      <dxf/>
    </rfmt>
    <rfmt sheetId="2" sqref="CX766" start="0" length="0">
      <dxf/>
    </rfmt>
    <rfmt sheetId="2" sqref="CY766" start="0" length="0">
      <dxf/>
    </rfmt>
    <rfmt sheetId="2" sqref="CZ766" start="0" length="0">
      <dxf/>
    </rfmt>
    <rfmt sheetId="2" sqref="DA766" start="0" length="0">
      <dxf/>
    </rfmt>
    <rfmt sheetId="2" sqref="DB766" start="0" length="0">
      <dxf/>
    </rfmt>
    <rfmt sheetId="2" sqref="DC766" start="0" length="0">
      <dxf/>
    </rfmt>
    <rfmt sheetId="2" sqref="DD766" start="0" length="0">
      <dxf/>
    </rfmt>
    <rfmt sheetId="2" sqref="DE766" start="0" length="0">
      <dxf/>
    </rfmt>
    <rfmt sheetId="2" sqref="DF766" start="0" length="0">
      <dxf/>
    </rfmt>
    <rfmt sheetId="2" sqref="DG766" start="0" length="0">
      <dxf/>
    </rfmt>
    <rfmt sheetId="2" sqref="DH766" start="0" length="0">
      <dxf/>
    </rfmt>
    <rfmt sheetId="2" sqref="DI766" start="0" length="0">
      <dxf/>
    </rfmt>
    <rfmt sheetId="2" sqref="DJ766" start="0" length="0">
      <dxf/>
    </rfmt>
    <rfmt sheetId="2" sqref="DK766" start="0" length="0">
      <dxf/>
    </rfmt>
    <rfmt sheetId="2" sqref="DL766" start="0" length="0">
      <dxf/>
    </rfmt>
    <rfmt sheetId="2" sqref="DM766" start="0" length="0">
      <dxf/>
    </rfmt>
    <rfmt sheetId="2" sqref="DN766" start="0" length="0">
      <dxf/>
    </rfmt>
    <rfmt sheetId="2" sqref="DO766" start="0" length="0">
      <dxf/>
    </rfmt>
    <rfmt sheetId="2" sqref="DP766" start="0" length="0">
      <dxf/>
    </rfmt>
    <rfmt sheetId="2" sqref="DQ766" start="0" length="0">
      <dxf/>
    </rfmt>
    <rfmt sheetId="2" sqref="DR766" start="0" length="0">
      <dxf/>
    </rfmt>
    <rfmt sheetId="2" sqref="DS766" start="0" length="0">
      <dxf/>
    </rfmt>
    <rfmt sheetId="2" sqref="DT766" start="0" length="0">
      <dxf/>
    </rfmt>
    <rfmt sheetId="2" sqref="DU766" start="0" length="0">
      <dxf/>
    </rfmt>
    <rfmt sheetId="2" sqref="DV766" start="0" length="0">
      <dxf/>
    </rfmt>
    <rfmt sheetId="2" sqref="DW766" start="0" length="0">
      <dxf/>
    </rfmt>
    <rfmt sheetId="2" sqref="DX766" start="0" length="0">
      <dxf/>
    </rfmt>
    <rfmt sheetId="2" sqref="DY766" start="0" length="0">
      <dxf/>
    </rfmt>
    <rfmt sheetId="2" sqref="DZ766" start="0" length="0">
      <dxf/>
    </rfmt>
    <rfmt sheetId="2" sqref="EA766" start="0" length="0">
      <dxf/>
    </rfmt>
    <rfmt sheetId="2" sqref="EB766" start="0" length="0">
      <dxf/>
    </rfmt>
    <rfmt sheetId="2" sqref="EC766" start="0" length="0">
      <dxf/>
    </rfmt>
    <rfmt sheetId="2" sqref="ED766" start="0" length="0">
      <dxf/>
    </rfmt>
    <rfmt sheetId="2" sqref="EE766" start="0" length="0">
      <dxf/>
    </rfmt>
    <rfmt sheetId="2" sqref="EF766" start="0" length="0">
      <dxf/>
    </rfmt>
    <rfmt sheetId="2" sqref="EG766" start="0" length="0">
      <dxf/>
    </rfmt>
    <rfmt sheetId="2" sqref="EH766" start="0" length="0">
      <dxf/>
    </rfmt>
    <rfmt sheetId="2" sqref="EI766" start="0" length="0">
      <dxf/>
    </rfmt>
    <rfmt sheetId="2" sqref="EJ766" start="0" length="0">
      <dxf/>
    </rfmt>
    <rfmt sheetId="2" sqref="EK766" start="0" length="0">
      <dxf/>
    </rfmt>
    <rfmt sheetId="2" sqref="EL766" start="0" length="0">
      <dxf/>
    </rfmt>
    <rfmt sheetId="2" sqref="EM766" start="0" length="0">
      <dxf/>
    </rfmt>
    <rfmt sheetId="2" sqref="EN766" start="0" length="0">
      <dxf/>
    </rfmt>
    <rfmt sheetId="2" sqref="EO766" start="0" length="0">
      <dxf/>
    </rfmt>
    <rfmt sheetId="2" sqref="EP766" start="0" length="0">
      <dxf/>
    </rfmt>
    <rfmt sheetId="2" sqref="EQ766" start="0" length="0">
      <dxf/>
    </rfmt>
    <rfmt sheetId="2" sqref="ER766" start="0" length="0">
      <dxf/>
    </rfmt>
    <rfmt sheetId="2" sqref="ES766" start="0" length="0">
      <dxf/>
    </rfmt>
    <rfmt sheetId="2" sqref="ET766" start="0" length="0">
      <dxf/>
    </rfmt>
    <rfmt sheetId="2" sqref="EU766" start="0" length="0">
      <dxf/>
    </rfmt>
    <rfmt sheetId="2" sqref="EV766" start="0" length="0">
      <dxf/>
    </rfmt>
    <rfmt sheetId="2" sqref="EW766" start="0" length="0">
      <dxf/>
    </rfmt>
    <rfmt sheetId="2" sqref="EX766" start="0" length="0">
      <dxf/>
    </rfmt>
    <rfmt sheetId="2" sqref="EY766" start="0" length="0">
      <dxf/>
    </rfmt>
    <rfmt sheetId="2" sqref="EZ766" start="0" length="0">
      <dxf/>
    </rfmt>
    <rfmt sheetId="2" sqref="FA766" start="0" length="0">
      <dxf/>
    </rfmt>
    <rfmt sheetId="2" sqref="FB766" start="0" length="0">
      <dxf/>
    </rfmt>
    <rfmt sheetId="2" sqref="FC766" start="0" length="0">
      <dxf/>
    </rfmt>
    <rfmt sheetId="2" sqref="FD766" start="0" length="0">
      <dxf/>
    </rfmt>
    <rfmt sheetId="2" sqref="FE766" start="0" length="0">
      <dxf/>
    </rfmt>
    <rfmt sheetId="2" sqref="FF766" start="0" length="0">
      <dxf/>
    </rfmt>
    <rfmt sheetId="2" sqref="FG766" start="0" length="0">
      <dxf/>
    </rfmt>
    <rfmt sheetId="2" sqref="FH766" start="0" length="0">
      <dxf/>
    </rfmt>
    <rfmt sheetId="2" sqref="FI766" start="0" length="0">
      <dxf/>
    </rfmt>
    <rfmt sheetId="2" sqref="FJ766" start="0" length="0">
      <dxf/>
    </rfmt>
    <rfmt sheetId="2" sqref="FK766" start="0" length="0">
      <dxf/>
    </rfmt>
    <rfmt sheetId="2" sqref="FL766" start="0" length="0">
      <dxf/>
    </rfmt>
    <rfmt sheetId="2" sqref="FM766" start="0" length="0">
      <dxf/>
    </rfmt>
    <rfmt sheetId="2" sqref="FN766" start="0" length="0">
      <dxf/>
    </rfmt>
    <rfmt sheetId="2" sqref="FO766" start="0" length="0">
      <dxf/>
    </rfmt>
    <rfmt sheetId="2" sqref="FP766" start="0" length="0">
      <dxf/>
    </rfmt>
    <rfmt sheetId="2" sqref="FQ766" start="0" length="0">
      <dxf/>
    </rfmt>
    <rfmt sheetId="2" sqref="FR766" start="0" length="0">
      <dxf/>
    </rfmt>
    <rfmt sheetId="2" sqref="FS766" start="0" length="0">
      <dxf/>
    </rfmt>
    <rfmt sheetId="2" sqref="FT766" start="0" length="0">
      <dxf/>
    </rfmt>
    <rfmt sheetId="2" sqref="FU766" start="0" length="0">
      <dxf/>
    </rfmt>
    <rfmt sheetId="2" sqref="FV766" start="0" length="0">
      <dxf/>
    </rfmt>
    <rfmt sheetId="2" sqref="FW766" start="0" length="0">
      <dxf/>
    </rfmt>
    <rfmt sheetId="2" sqref="FX766" start="0" length="0">
      <dxf/>
    </rfmt>
    <rfmt sheetId="2" sqref="FY766" start="0" length="0">
      <dxf/>
    </rfmt>
    <rfmt sheetId="2" sqref="FZ766" start="0" length="0">
      <dxf/>
    </rfmt>
    <rfmt sheetId="2" sqref="GA766" start="0" length="0">
      <dxf/>
    </rfmt>
    <rfmt sheetId="2" sqref="GB766" start="0" length="0">
      <dxf/>
    </rfmt>
    <rfmt sheetId="2" sqref="GC766" start="0" length="0">
      <dxf/>
    </rfmt>
    <rfmt sheetId="2" sqref="GD766" start="0" length="0">
      <dxf/>
    </rfmt>
    <rfmt sheetId="2" sqref="GE766" start="0" length="0">
      <dxf/>
    </rfmt>
    <rfmt sheetId="2" sqref="GF766" start="0" length="0">
      <dxf/>
    </rfmt>
    <rfmt sheetId="2" sqref="GG766" start="0" length="0">
      <dxf/>
    </rfmt>
    <rfmt sheetId="2" sqref="GH766" start="0" length="0">
      <dxf/>
    </rfmt>
    <rfmt sheetId="2" sqref="GI766" start="0" length="0">
      <dxf/>
    </rfmt>
    <rfmt sheetId="2" sqref="GJ766" start="0" length="0">
      <dxf/>
    </rfmt>
    <rfmt sheetId="2" sqref="GK766" start="0" length="0">
      <dxf/>
    </rfmt>
    <rfmt sheetId="2" sqref="GL766" start="0" length="0">
      <dxf/>
    </rfmt>
    <rfmt sheetId="2" sqref="GM766" start="0" length="0">
      <dxf/>
    </rfmt>
    <rfmt sheetId="2" sqref="GN766" start="0" length="0">
      <dxf/>
    </rfmt>
    <rfmt sheetId="2" sqref="GO766" start="0" length="0">
      <dxf/>
    </rfmt>
    <rfmt sheetId="2" sqref="GP766" start="0" length="0">
      <dxf/>
    </rfmt>
    <rfmt sheetId="2" sqref="GQ766" start="0" length="0">
      <dxf/>
    </rfmt>
    <rfmt sheetId="2" sqref="GR766" start="0" length="0">
      <dxf/>
    </rfmt>
    <rfmt sheetId="2" sqref="GS766" start="0" length="0">
      <dxf/>
    </rfmt>
    <rfmt sheetId="2" sqref="GT766" start="0" length="0">
      <dxf/>
    </rfmt>
    <rfmt sheetId="2" sqref="GU766" start="0" length="0">
      <dxf/>
    </rfmt>
    <rfmt sheetId="2" sqref="GV766" start="0" length="0">
      <dxf/>
    </rfmt>
    <rfmt sheetId="2" sqref="GW766" start="0" length="0">
      <dxf/>
    </rfmt>
    <rfmt sheetId="2" sqref="GX766" start="0" length="0">
      <dxf/>
    </rfmt>
    <rfmt sheetId="2" sqref="GY766" start="0" length="0">
      <dxf/>
    </rfmt>
    <rfmt sheetId="2" sqref="GZ766" start="0" length="0">
      <dxf/>
    </rfmt>
    <rfmt sheetId="2" sqref="HA766" start="0" length="0">
      <dxf/>
    </rfmt>
    <rfmt sheetId="2" sqref="HB766" start="0" length="0">
      <dxf/>
    </rfmt>
    <rfmt sheetId="2" sqref="HC766" start="0" length="0">
      <dxf/>
    </rfmt>
    <rfmt sheetId="2" sqref="HD766" start="0" length="0">
      <dxf/>
    </rfmt>
    <rfmt sheetId="2" sqref="HE766" start="0" length="0">
      <dxf/>
    </rfmt>
    <rfmt sheetId="2" sqref="HF766" start="0" length="0">
      <dxf/>
    </rfmt>
    <rfmt sheetId="2" sqref="HG766" start="0" length="0">
      <dxf/>
    </rfmt>
    <rfmt sheetId="2" sqref="HH766" start="0" length="0">
      <dxf/>
    </rfmt>
    <rfmt sheetId="2" sqref="HI766" start="0" length="0">
      <dxf/>
    </rfmt>
    <rfmt sheetId="2" sqref="HJ766" start="0" length="0">
      <dxf/>
    </rfmt>
    <rfmt sheetId="2" sqref="HK766" start="0" length="0">
      <dxf/>
    </rfmt>
    <rfmt sheetId="2" sqref="HL766" start="0" length="0">
      <dxf/>
    </rfmt>
    <rfmt sheetId="2" sqref="HM766" start="0" length="0">
      <dxf/>
    </rfmt>
    <rfmt sheetId="2" sqref="HN766" start="0" length="0">
      <dxf/>
    </rfmt>
    <rfmt sheetId="2" sqref="HO766" start="0" length="0">
      <dxf/>
    </rfmt>
    <rfmt sheetId="2" sqref="HP766" start="0" length="0">
      <dxf/>
    </rfmt>
    <rfmt sheetId="2" sqref="HQ766" start="0" length="0">
      <dxf/>
    </rfmt>
    <rfmt sheetId="2" sqref="HR766" start="0" length="0">
      <dxf/>
    </rfmt>
    <rfmt sheetId="2" sqref="HS766" start="0" length="0">
      <dxf/>
    </rfmt>
    <rfmt sheetId="2" sqref="HT766" start="0" length="0">
      <dxf/>
    </rfmt>
    <rfmt sheetId="2" sqref="HU766" start="0" length="0">
      <dxf/>
    </rfmt>
    <rfmt sheetId="2" sqref="HV766" start="0" length="0">
      <dxf/>
    </rfmt>
    <rfmt sheetId="2" sqref="HW766" start="0" length="0">
      <dxf/>
    </rfmt>
    <rfmt sheetId="2" sqref="HX766" start="0" length="0">
      <dxf/>
    </rfmt>
    <rfmt sheetId="2" sqref="HY766" start="0" length="0">
      <dxf/>
    </rfmt>
    <rfmt sheetId="2" sqref="HZ766" start="0" length="0">
      <dxf/>
    </rfmt>
    <rfmt sheetId="2" sqref="IA766" start="0" length="0">
      <dxf/>
    </rfmt>
    <rfmt sheetId="2" sqref="IB766" start="0" length="0">
      <dxf/>
    </rfmt>
    <rfmt sheetId="2" sqref="IC766" start="0" length="0">
      <dxf/>
    </rfmt>
    <rfmt sheetId="2" sqref="ID766" start="0" length="0">
      <dxf/>
    </rfmt>
    <rfmt sheetId="2" sqref="IE766" start="0" length="0">
      <dxf/>
    </rfmt>
    <rfmt sheetId="2" sqref="IF766" start="0" length="0">
      <dxf/>
    </rfmt>
    <rfmt sheetId="2" sqref="IG766" start="0" length="0">
      <dxf/>
    </rfmt>
    <rfmt sheetId="2" sqref="IH766" start="0" length="0">
      <dxf/>
    </rfmt>
    <rfmt sheetId="2" sqref="II766" start="0" length="0">
      <dxf/>
    </rfmt>
    <rfmt sheetId="2" sqref="IJ766" start="0" length="0">
      <dxf/>
    </rfmt>
    <rfmt sheetId="2" sqref="IK766" start="0" length="0">
      <dxf/>
    </rfmt>
    <rfmt sheetId="2" sqref="IL766" start="0" length="0">
      <dxf/>
    </rfmt>
    <rfmt sheetId="2" sqref="IM766" start="0" length="0">
      <dxf/>
    </rfmt>
    <rfmt sheetId="2" sqref="IN766" start="0" length="0">
      <dxf/>
    </rfmt>
    <rfmt sheetId="2" sqref="IO766" start="0" length="0">
      <dxf/>
    </rfmt>
    <rfmt sheetId="2" sqref="IP766" start="0" length="0">
      <dxf/>
    </rfmt>
    <rfmt sheetId="2" sqref="IQ766" start="0" length="0">
      <dxf/>
    </rfmt>
    <rfmt sheetId="2" sqref="IR766" start="0" length="0">
      <dxf/>
    </rfmt>
    <rfmt sheetId="2" sqref="IS766" start="0" length="0">
      <dxf/>
    </rfmt>
    <rfmt sheetId="2" sqref="IT766" start="0" length="0">
      <dxf/>
    </rfmt>
    <rfmt sheetId="2" sqref="IU766" start="0" length="0">
      <dxf/>
    </rfmt>
    <rfmt sheetId="2" sqref="IV766" start="0" length="0">
      <dxf/>
    </rfmt>
    <rfmt sheetId="2" sqref="IW766" start="0" length="0">
      <dxf/>
    </rfmt>
    <rfmt sheetId="2" sqref="IX766" start="0" length="0">
      <dxf/>
    </rfmt>
    <rfmt sheetId="2" sqref="IY766" start="0" length="0">
      <dxf/>
    </rfmt>
    <rfmt sheetId="2" sqref="IZ766" start="0" length="0">
      <dxf/>
    </rfmt>
    <rfmt sheetId="2" sqref="JA766" start="0" length="0">
      <dxf/>
    </rfmt>
    <rfmt sheetId="2" sqref="JB766" start="0" length="0">
      <dxf/>
    </rfmt>
    <rfmt sheetId="2" sqref="JC766" start="0" length="0">
      <dxf/>
    </rfmt>
    <rfmt sheetId="2" sqref="JD766" start="0" length="0">
      <dxf/>
    </rfmt>
    <rfmt sheetId="2" sqref="JE766" start="0" length="0">
      <dxf/>
    </rfmt>
    <rfmt sheetId="2" sqref="JF766" start="0" length="0">
      <dxf/>
    </rfmt>
    <rfmt sheetId="2" sqref="JG766" start="0" length="0">
      <dxf/>
    </rfmt>
    <rfmt sheetId="2" sqref="JH766" start="0" length="0">
      <dxf/>
    </rfmt>
    <rfmt sheetId="2" sqref="JI766" start="0" length="0">
      <dxf/>
    </rfmt>
    <rfmt sheetId="2" sqref="JJ766" start="0" length="0">
      <dxf/>
    </rfmt>
    <rfmt sheetId="2" sqref="JK766" start="0" length="0">
      <dxf/>
    </rfmt>
    <rfmt sheetId="2" sqref="JL766" start="0" length="0">
      <dxf/>
    </rfmt>
    <rfmt sheetId="2" sqref="JM766" start="0" length="0">
      <dxf/>
    </rfmt>
    <rfmt sheetId="2" sqref="JN766" start="0" length="0">
      <dxf/>
    </rfmt>
    <rfmt sheetId="2" sqref="JO766" start="0" length="0">
      <dxf/>
    </rfmt>
    <rfmt sheetId="2" sqref="JP766" start="0" length="0">
      <dxf/>
    </rfmt>
    <rfmt sheetId="2" sqref="JQ766" start="0" length="0">
      <dxf/>
    </rfmt>
    <rfmt sheetId="2" sqref="JR766" start="0" length="0">
      <dxf/>
    </rfmt>
    <rfmt sheetId="2" sqref="JS766" start="0" length="0">
      <dxf/>
    </rfmt>
    <rfmt sheetId="2" sqref="JT766" start="0" length="0">
      <dxf/>
    </rfmt>
    <rfmt sheetId="2" sqref="JU766" start="0" length="0">
      <dxf/>
    </rfmt>
    <rfmt sheetId="2" sqref="JV766" start="0" length="0">
      <dxf/>
    </rfmt>
    <rfmt sheetId="2" sqref="JW766" start="0" length="0">
      <dxf/>
    </rfmt>
    <rfmt sheetId="2" sqref="JX766" start="0" length="0">
      <dxf/>
    </rfmt>
    <rfmt sheetId="2" sqref="JY766" start="0" length="0">
      <dxf/>
    </rfmt>
    <rfmt sheetId="2" sqref="JZ766" start="0" length="0">
      <dxf/>
    </rfmt>
    <rfmt sheetId="2" sqref="KA766" start="0" length="0">
      <dxf/>
    </rfmt>
    <rfmt sheetId="2" sqref="KB766" start="0" length="0">
      <dxf/>
    </rfmt>
    <rfmt sheetId="2" sqref="KC766" start="0" length="0">
      <dxf/>
    </rfmt>
    <rfmt sheetId="2" sqref="KD766" start="0" length="0">
      <dxf/>
    </rfmt>
    <rfmt sheetId="2" sqref="KE766" start="0" length="0">
      <dxf/>
    </rfmt>
    <rfmt sheetId="2" sqref="KF766" start="0" length="0">
      <dxf/>
    </rfmt>
    <rfmt sheetId="2" sqref="KG766" start="0" length="0">
      <dxf/>
    </rfmt>
    <rfmt sheetId="2" sqref="KH766" start="0" length="0">
      <dxf/>
    </rfmt>
    <rfmt sheetId="2" sqref="KI766" start="0" length="0">
      <dxf/>
    </rfmt>
    <rfmt sheetId="2" sqref="KJ766" start="0" length="0">
      <dxf/>
    </rfmt>
    <rfmt sheetId="2" sqref="KK766" start="0" length="0">
      <dxf/>
    </rfmt>
    <rfmt sheetId="2" sqref="KL766" start="0" length="0">
      <dxf/>
    </rfmt>
    <rfmt sheetId="2" sqref="KM766" start="0" length="0">
      <dxf/>
    </rfmt>
    <rfmt sheetId="2" sqref="KN766" start="0" length="0">
      <dxf/>
    </rfmt>
    <rfmt sheetId="2" sqref="KO766" start="0" length="0">
      <dxf/>
    </rfmt>
    <rfmt sheetId="2" sqref="KP766" start="0" length="0">
      <dxf/>
    </rfmt>
    <rfmt sheetId="2" sqref="KQ766" start="0" length="0">
      <dxf/>
    </rfmt>
    <rfmt sheetId="2" sqref="KR766" start="0" length="0">
      <dxf/>
    </rfmt>
    <rfmt sheetId="2" sqref="KS766" start="0" length="0">
      <dxf/>
    </rfmt>
    <rfmt sheetId="2" sqref="KT766" start="0" length="0">
      <dxf/>
    </rfmt>
    <rfmt sheetId="2" sqref="KU766" start="0" length="0">
      <dxf/>
    </rfmt>
    <rfmt sheetId="2" sqref="KV766" start="0" length="0">
      <dxf/>
    </rfmt>
    <rfmt sheetId="2" sqref="KW766" start="0" length="0">
      <dxf/>
    </rfmt>
    <rfmt sheetId="2" sqref="KX766" start="0" length="0">
      <dxf/>
    </rfmt>
    <rfmt sheetId="2" sqref="KY766" start="0" length="0">
      <dxf/>
    </rfmt>
    <rfmt sheetId="2" sqref="KZ766" start="0" length="0">
      <dxf/>
    </rfmt>
    <rfmt sheetId="2" sqref="LA766" start="0" length="0">
      <dxf/>
    </rfmt>
    <rfmt sheetId="2" sqref="LB766" start="0" length="0">
      <dxf/>
    </rfmt>
    <rfmt sheetId="2" sqref="LC766" start="0" length="0">
      <dxf/>
    </rfmt>
    <rfmt sheetId="2" sqref="LD766" start="0" length="0">
      <dxf/>
    </rfmt>
    <rfmt sheetId="2" sqref="LE766" start="0" length="0">
      <dxf/>
    </rfmt>
    <rfmt sheetId="2" sqref="LF766" start="0" length="0">
      <dxf/>
    </rfmt>
    <rfmt sheetId="2" sqref="LG766" start="0" length="0">
      <dxf/>
    </rfmt>
    <rfmt sheetId="2" sqref="LH766" start="0" length="0">
      <dxf/>
    </rfmt>
    <rfmt sheetId="2" sqref="LI766" start="0" length="0">
      <dxf/>
    </rfmt>
    <rfmt sheetId="2" sqref="LJ766" start="0" length="0">
      <dxf/>
    </rfmt>
    <rfmt sheetId="2" sqref="LK766" start="0" length="0">
      <dxf/>
    </rfmt>
    <rfmt sheetId="2" sqref="LL766" start="0" length="0">
      <dxf/>
    </rfmt>
    <rfmt sheetId="2" sqref="LM766" start="0" length="0">
      <dxf/>
    </rfmt>
    <rfmt sheetId="2" sqref="LN766" start="0" length="0">
      <dxf/>
    </rfmt>
    <rfmt sheetId="2" sqref="LO766" start="0" length="0">
      <dxf/>
    </rfmt>
    <rfmt sheetId="2" sqref="LP766" start="0" length="0">
      <dxf/>
    </rfmt>
    <rfmt sheetId="2" sqref="LQ766" start="0" length="0">
      <dxf/>
    </rfmt>
    <rfmt sheetId="2" sqref="LR766" start="0" length="0">
      <dxf/>
    </rfmt>
    <rfmt sheetId="2" sqref="LS766" start="0" length="0">
      <dxf/>
    </rfmt>
    <rfmt sheetId="2" sqref="LT766" start="0" length="0">
      <dxf/>
    </rfmt>
    <rfmt sheetId="2" sqref="LU766" start="0" length="0">
      <dxf/>
    </rfmt>
    <rfmt sheetId="2" sqref="LV766" start="0" length="0">
      <dxf/>
    </rfmt>
    <rfmt sheetId="2" sqref="LW766" start="0" length="0">
      <dxf/>
    </rfmt>
    <rfmt sheetId="2" sqref="LX766" start="0" length="0">
      <dxf/>
    </rfmt>
    <rfmt sheetId="2" sqref="LY766" start="0" length="0">
      <dxf/>
    </rfmt>
    <rfmt sheetId="2" sqref="LZ766" start="0" length="0">
      <dxf/>
    </rfmt>
    <rfmt sheetId="2" sqref="MA766" start="0" length="0">
      <dxf/>
    </rfmt>
    <rfmt sheetId="2" sqref="MB766" start="0" length="0">
      <dxf/>
    </rfmt>
    <rfmt sheetId="2" sqref="A76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7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7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7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7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7" start="0" length="0">
      <dxf>
        <numFmt numFmtId="176" formatCode="m/d;@"/>
      </dxf>
    </rfmt>
    <rfmt sheetId="2" sqref="P76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7" start="0" length="0">
      <dxf/>
    </rfmt>
    <rfmt sheetId="2" sqref="U767" start="0" length="0">
      <dxf/>
    </rfmt>
    <rfmt sheetId="2" sqref="V767" start="0" length="0">
      <dxf/>
    </rfmt>
    <rfmt sheetId="2" sqref="W767" start="0" length="0">
      <dxf/>
    </rfmt>
    <rfmt sheetId="2" sqref="X767" start="0" length="0">
      <dxf/>
    </rfmt>
    <rfmt sheetId="2" sqref="Y767" start="0" length="0">
      <dxf/>
    </rfmt>
    <rfmt sheetId="2" sqref="Z767" start="0" length="0">
      <dxf/>
    </rfmt>
    <rfmt sheetId="2" sqref="AA767" start="0" length="0">
      <dxf/>
    </rfmt>
    <rfmt sheetId="2" sqref="AB767" start="0" length="0">
      <dxf/>
    </rfmt>
    <rfmt sheetId="2" sqref="AC767" start="0" length="0">
      <dxf/>
    </rfmt>
    <rfmt sheetId="2" sqref="AD767" start="0" length="0">
      <dxf/>
    </rfmt>
    <rfmt sheetId="2" sqref="AE767" start="0" length="0">
      <dxf/>
    </rfmt>
    <rfmt sheetId="2" sqref="AF767" start="0" length="0">
      <dxf/>
    </rfmt>
    <rfmt sheetId="2" sqref="AG767" start="0" length="0">
      <dxf/>
    </rfmt>
    <rfmt sheetId="2" sqref="AH767" start="0" length="0">
      <dxf/>
    </rfmt>
    <rfmt sheetId="2" sqref="AI767" start="0" length="0">
      <dxf/>
    </rfmt>
    <rfmt sheetId="2" sqref="AJ767" start="0" length="0">
      <dxf/>
    </rfmt>
    <rfmt sheetId="2" sqref="AK767" start="0" length="0">
      <dxf/>
    </rfmt>
    <rfmt sheetId="2" sqref="AL767" start="0" length="0">
      <dxf/>
    </rfmt>
    <rfmt sheetId="2" sqref="AM767" start="0" length="0">
      <dxf/>
    </rfmt>
    <rfmt sheetId="2" sqref="AN767" start="0" length="0">
      <dxf/>
    </rfmt>
    <rfmt sheetId="2" sqref="AO767" start="0" length="0">
      <dxf/>
    </rfmt>
    <rfmt sheetId="2" sqref="AP767" start="0" length="0">
      <dxf/>
    </rfmt>
    <rfmt sheetId="2" sqref="AQ767" start="0" length="0">
      <dxf/>
    </rfmt>
    <rfmt sheetId="2" sqref="AR767" start="0" length="0">
      <dxf/>
    </rfmt>
    <rfmt sheetId="2" sqref="AS767" start="0" length="0">
      <dxf/>
    </rfmt>
    <rfmt sheetId="2" sqref="AT767" start="0" length="0">
      <dxf/>
    </rfmt>
    <rfmt sheetId="2" sqref="AU767" start="0" length="0">
      <dxf/>
    </rfmt>
    <rfmt sheetId="2" sqref="AV767" start="0" length="0">
      <dxf/>
    </rfmt>
    <rfmt sheetId="2" sqref="AW767" start="0" length="0">
      <dxf/>
    </rfmt>
    <rfmt sheetId="2" sqref="AX767" start="0" length="0">
      <dxf/>
    </rfmt>
    <rfmt sheetId="2" sqref="AY767" start="0" length="0">
      <dxf/>
    </rfmt>
    <rfmt sheetId="2" sqref="AZ767" start="0" length="0">
      <dxf/>
    </rfmt>
    <rfmt sheetId="2" sqref="BA767" start="0" length="0">
      <dxf/>
    </rfmt>
    <rfmt sheetId="2" sqref="BB767" start="0" length="0">
      <dxf/>
    </rfmt>
    <rfmt sheetId="2" sqref="BC767" start="0" length="0">
      <dxf/>
    </rfmt>
    <rfmt sheetId="2" sqref="BD767" start="0" length="0">
      <dxf/>
    </rfmt>
    <rfmt sheetId="2" sqref="BE767" start="0" length="0">
      <dxf/>
    </rfmt>
    <rfmt sheetId="2" sqref="BF767" start="0" length="0">
      <dxf/>
    </rfmt>
    <rfmt sheetId="2" sqref="BG767" start="0" length="0">
      <dxf/>
    </rfmt>
    <rfmt sheetId="2" sqref="BH767" start="0" length="0">
      <dxf/>
    </rfmt>
    <rfmt sheetId="2" sqref="BI767" start="0" length="0">
      <dxf/>
    </rfmt>
    <rfmt sheetId="2" sqref="BJ767" start="0" length="0">
      <dxf/>
    </rfmt>
    <rfmt sheetId="2" sqref="BK767" start="0" length="0">
      <dxf/>
    </rfmt>
    <rfmt sheetId="2" sqref="BL767" start="0" length="0">
      <dxf/>
    </rfmt>
    <rfmt sheetId="2" sqref="BM767" start="0" length="0">
      <dxf/>
    </rfmt>
    <rfmt sheetId="2" sqref="BN767" start="0" length="0">
      <dxf/>
    </rfmt>
    <rfmt sheetId="2" sqref="BO767" start="0" length="0">
      <dxf/>
    </rfmt>
    <rfmt sheetId="2" sqref="BP767" start="0" length="0">
      <dxf/>
    </rfmt>
    <rfmt sheetId="2" sqref="BQ767" start="0" length="0">
      <dxf/>
    </rfmt>
    <rfmt sheetId="2" sqref="BR767" start="0" length="0">
      <dxf/>
    </rfmt>
    <rfmt sheetId="2" sqref="BS767" start="0" length="0">
      <dxf/>
    </rfmt>
    <rfmt sheetId="2" sqref="BT767" start="0" length="0">
      <dxf/>
    </rfmt>
    <rfmt sheetId="2" sqref="BU767" start="0" length="0">
      <dxf/>
    </rfmt>
    <rfmt sheetId="2" sqref="BV767" start="0" length="0">
      <dxf/>
    </rfmt>
    <rfmt sheetId="2" sqref="BW767" start="0" length="0">
      <dxf/>
    </rfmt>
    <rfmt sheetId="2" sqref="BX767" start="0" length="0">
      <dxf/>
    </rfmt>
    <rfmt sheetId="2" sqref="BY767" start="0" length="0">
      <dxf/>
    </rfmt>
    <rfmt sheetId="2" sqref="BZ767" start="0" length="0">
      <dxf/>
    </rfmt>
    <rfmt sheetId="2" sqref="CA767" start="0" length="0">
      <dxf/>
    </rfmt>
    <rfmt sheetId="2" sqref="CB767" start="0" length="0">
      <dxf/>
    </rfmt>
    <rfmt sheetId="2" sqref="CC767" start="0" length="0">
      <dxf/>
    </rfmt>
    <rfmt sheetId="2" sqref="CD767" start="0" length="0">
      <dxf/>
    </rfmt>
    <rfmt sheetId="2" sqref="CE767" start="0" length="0">
      <dxf/>
    </rfmt>
    <rfmt sheetId="2" sqref="CF767" start="0" length="0">
      <dxf/>
    </rfmt>
    <rfmt sheetId="2" sqref="CG767" start="0" length="0">
      <dxf/>
    </rfmt>
    <rfmt sheetId="2" sqref="CH767" start="0" length="0">
      <dxf/>
    </rfmt>
    <rfmt sheetId="2" sqref="CI767" start="0" length="0">
      <dxf/>
    </rfmt>
    <rfmt sheetId="2" sqref="CJ767" start="0" length="0">
      <dxf/>
    </rfmt>
    <rfmt sheetId="2" sqref="CK767" start="0" length="0">
      <dxf/>
    </rfmt>
    <rfmt sheetId="2" sqref="CL767" start="0" length="0">
      <dxf/>
    </rfmt>
    <rfmt sheetId="2" sqref="CM767" start="0" length="0">
      <dxf/>
    </rfmt>
    <rfmt sheetId="2" sqref="CN767" start="0" length="0">
      <dxf/>
    </rfmt>
    <rfmt sheetId="2" sqref="CO767" start="0" length="0">
      <dxf/>
    </rfmt>
    <rfmt sheetId="2" sqref="CP767" start="0" length="0">
      <dxf/>
    </rfmt>
    <rfmt sheetId="2" sqref="CQ767" start="0" length="0">
      <dxf/>
    </rfmt>
    <rfmt sheetId="2" sqref="CR767" start="0" length="0">
      <dxf/>
    </rfmt>
    <rfmt sheetId="2" sqref="CS767" start="0" length="0">
      <dxf/>
    </rfmt>
    <rfmt sheetId="2" sqref="CT767" start="0" length="0">
      <dxf/>
    </rfmt>
    <rfmt sheetId="2" sqref="CU767" start="0" length="0">
      <dxf/>
    </rfmt>
    <rfmt sheetId="2" sqref="CV767" start="0" length="0">
      <dxf/>
    </rfmt>
    <rfmt sheetId="2" sqref="CW767" start="0" length="0">
      <dxf/>
    </rfmt>
    <rfmt sheetId="2" sqref="CX767" start="0" length="0">
      <dxf/>
    </rfmt>
    <rfmt sheetId="2" sqref="CY767" start="0" length="0">
      <dxf/>
    </rfmt>
    <rfmt sheetId="2" sqref="CZ767" start="0" length="0">
      <dxf/>
    </rfmt>
    <rfmt sheetId="2" sqref="DA767" start="0" length="0">
      <dxf/>
    </rfmt>
    <rfmt sheetId="2" sqref="DB767" start="0" length="0">
      <dxf/>
    </rfmt>
    <rfmt sheetId="2" sqref="DC767" start="0" length="0">
      <dxf/>
    </rfmt>
    <rfmt sheetId="2" sqref="DD767" start="0" length="0">
      <dxf/>
    </rfmt>
    <rfmt sheetId="2" sqref="DE767" start="0" length="0">
      <dxf/>
    </rfmt>
    <rfmt sheetId="2" sqref="DF767" start="0" length="0">
      <dxf/>
    </rfmt>
    <rfmt sheetId="2" sqref="DG767" start="0" length="0">
      <dxf/>
    </rfmt>
    <rfmt sheetId="2" sqref="DH767" start="0" length="0">
      <dxf/>
    </rfmt>
    <rfmt sheetId="2" sqref="DI767" start="0" length="0">
      <dxf/>
    </rfmt>
    <rfmt sheetId="2" sqref="DJ767" start="0" length="0">
      <dxf/>
    </rfmt>
    <rfmt sheetId="2" sqref="DK767" start="0" length="0">
      <dxf/>
    </rfmt>
    <rfmt sheetId="2" sqref="DL767" start="0" length="0">
      <dxf/>
    </rfmt>
    <rfmt sheetId="2" sqref="DM767" start="0" length="0">
      <dxf/>
    </rfmt>
    <rfmt sheetId="2" sqref="DN767" start="0" length="0">
      <dxf/>
    </rfmt>
    <rfmt sheetId="2" sqref="DO767" start="0" length="0">
      <dxf/>
    </rfmt>
    <rfmt sheetId="2" sqref="DP767" start="0" length="0">
      <dxf/>
    </rfmt>
    <rfmt sheetId="2" sqref="DQ767" start="0" length="0">
      <dxf/>
    </rfmt>
    <rfmt sheetId="2" sqref="DR767" start="0" length="0">
      <dxf/>
    </rfmt>
    <rfmt sheetId="2" sqref="DS767" start="0" length="0">
      <dxf/>
    </rfmt>
    <rfmt sheetId="2" sqref="DT767" start="0" length="0">
      <dxf/>
    </rfmt>
    <rfmt sheetId="2" sqref="DU767" start="0" length="0">
      <dxf/>
    </rfmt>
    <rfmt sheetId="2" sqref="DV767" start="0" length="0">
      <dxf/>
    </rfmt>
    <rfmt sheetId="2" sqref="DW767" start="0" length="0">
      <dxf/>
    </rfmt>
    <rfmt sheetId="2" sqref="DX767" start="0" length="0">
      <dxf/>
    </rfmt>
    <rfmt sheetId="2" sqref="DY767" start="0" length="0">
      <dxf/>
    </rfmt>
    <rfmt sheetId="2" sqref="DZ767" start="0" length="0">
      <dxf/>
    </rfmt>
    <rfmt sheetId="2" sqref="EA767" start="0" length="0">
      <dxf/>
    </rfmt>
    <rfmt sheetId="2" sqref="EB767" start="0" length="0">
      <dxf/>
    </rfmt>
    <rfmt sheetId="2" sqref="EC767" start="0" length="0">
      <dxf/>
    </rfmt>
    <rfmt sheetId="2" sqref="ED767" start="0" length="0">
      <dxf/>
    </rfmt>
    <rfmt sheetId="2" sqref="EE767" start="0" length="0">
      <dxf/>
    </rfmt>
    <rfmt sheetId="2" sqref="EF767" start="0" length="0">
      <dxf/>
    </rfmt>
    <rfmt sheetId="2" sqref="EG767" start="0" length="0">
      <dxf/>
    </rfmt>
    <rfmt sheetId="2" sqref="EH767" start="0" length="0">
      <dxf/>
    </rfmt>
    <rfmt sheetId="2" sqref="EI767" start="0" length="0">
      <dxf/>
    </rfmt>
    <rfmt sheetId="2" sqref="EJ767" start="0" length="0">
      <dxf/>
    </rfmt>
    <rfmt sheetId="2" sqref="EK767" start="0" length="0">
      <dxf/>
    </rfmt>
    <rfmt sheetId="2" sqref="EL767" start="0" length="0">
      <dxf/>
    </rfmt>
    <rfmt sheetId="2" sqref="EM767" start="0" length="0">
      <dxf/>
    </rfmt>
    <rfmt sheetId="2" sqref="EN767" start="0" length="0">
      <dxf/>
    </rfmt>
    <rfmt sheetId="2" sqref="EO767" start="0" length="0">
      <dxf/>
    </rfmt>
    <rfmt sheetId="2" sqref="EP767" start="0" length="0">
      <dxf/>
    </rfmt>
    <rfmt sheetId="2" sqref="EQ767" start="0" length="0">
      <dxf/>
    </rfmt>
    <rfmt sheetId="2" sqref="ER767" start="0" length="0">
      <dxf/>
    </rfmt>
    <rfmt sheetId="2" sqref="ES767" start="0" length="0">
      <dxf/>
    </rfmt>
    <rfmt sheetId="2" sqref="ET767" start="0" length="0">
      <dxf/>
    </rfmt>
    <rfmt sheetId="2" sqref="EU767" start="0" length="0">
      <dxf/>
    </rfmt>
    <rfmt sheetId="2" sqref="EV767" start="0" length="0">
      <dxf/>
    </rfmt>
    <rfmt sheetId="2" sqref="EW767" start="0" length="0">
      <dxf/>
    </rfmt>
    <rfmt sheetId="2" sqref="EX767" start="0" length="0">
      <dxf/>
    </rfmt>
    <rfmt sheetId="2" sqref="EY767" start="0" length="0">
      <dxf/>
    </rfmt>
    <rfmt sheetId="2" sqref="EZ767" start="0" length="0">
      <dxf/>
    </rfmt>
    <rfmt sheetId="2" sqref="FA767" start="0" length="0">
      <dxf/>
    </rfmt>
    <rfmt sheetId="2" sqref="FB767" start="0" length="0">
      <dxf/>
    </rfmt>
    <rfmt sheetId="2" sqref="FC767" start="0" length="0">
      <dxf/>
    </rfmt>
    <rfmt sheetId="2" sqref="FD767" start="0" length="0">
      <dxf/>
    </rfmt>
    <rfmt sheetId="2" sqref="FE767" start="0" length="0">
      <dxf/>
    </rfmt>
    <rfmt sheetId="2" sqref="FF767" start="0" length="0">
      <dxf/>
    </rfmt>
    <rfmt sheetId="2" sqref="FG767" start="0" length="0">
      <dxf/>
    </rfmt>
    <rfmt sheetId="2" sqref="FH767" start="0" length="0">
      <dxf/>
    </rfmt>
    <rfmt sheetId="2" sqref="FI767" start="0" length="0">
      <dxf/>
    </rfmt>
    <rfmt sheetId="2" sqref="FJ767" start="0" length="0">
      <dxf/>
    </rfmt>
    <rfmt sheetId="2" sqref="FK767" start="0" length="0">
      <dxf/>
    </rfmt>
    <rfmt sheetId="2" sqref="FL767" start="0" length="0">
      <dxf/>
    </rfmt>
    <rfmt sheetId="2" sqref="FM767" start="0" length="0">
      <dxf/>
    </rfmt>
    <rfmt sheetId="2" sqref="FN767" start="0" length="0">
      <dxf/>
    </rfmt>
    <rfmt sheetId="2" sqref="FO767" start="0" length="0">
      <dxf/>
    </rfmt>
    <rfmt sheetId="2" sqref="FP767" start="0" length="0">
      <dxf/>
    </rfmt>
    <rfmt sheetId="2" sqref="FQ767" start="0" length="0">
      <dxf/>
    </rfmt>
    <rfmt sheetId="2" sqref="FR767" start="0" length="0">
      <dxf/>
    </rfmt>
    <rfmt sheetId="2" sqref="FS767" start="0" length="0">
      <dxf/>
    </rfmt>
    <rfmt sheetId="2" sqref="FT767" start="0" length="0">
      <dxf/>
    </rfmt>
    <rfmt sheetId="2" sqref="FU767" start="0" length="0">
      <dxf/>
    </rfmt>
    <rfmt sheetId="2" sqref="FV767" start="0" length="0">
      <dxf/>
    </rfmt>
    <rfmt sheetId="2" sqref="FW767" start="0" length="0">
      <dxf/>
    </rfmt>
    <rfmt sheetId="2" sqref="FX767" start="0" length="0">
      <dxf/>
    </rfmt>
    <rfmt sheetId="2" sqref="FY767" start="0" length="0">
      <dxf/>
    </rfmt>
    <rfmt sheetId="2" sqref="FZ767" start="0" length="0">
      <dxf/>
    </rfmt>
    <rfmt sheetId="2" sqref="GA767" start="0" length="0">
      <dxf/>
    </rfmt>
    <rfmt sheetId="2" sqref="GB767" start="0" length="0">
      <dxf/>
    </rfmt>
    <rfmt sheetId="2" sqref="GC767" start="0" length="0">
      <dxf/>
    </rfmt>
    <rfmt sheetId="2" sqref="GD767" start="0" length="0">
      <dxf/>
    </rfmt>
    <rfmt sheetId="2" sqref="GE767" start="0" length="0">
      <dxf/>
    </rfmt>
    <rfmt sheetId="2" sqref="GF767" start="0" length="0">
      <dxf/>
    </rfmt>
    <rfmt sheetId="2" sqref="GG767" start="0" length="0">
      <dxf/>
    </rfmt>
    <rfmt sheetId="2" sqref="GH767" start="0" length="0">
      <dxf/>
    </rfmt>
    <rfmt sheetId="2" sqref="GI767" start="0" length="0">
      <dxf/>
    </rfmt>
    <rfmt sheetId="2" sqref="GJ767" start="0" length="0">
      <dxf/>
    </rfmt>
    <rfmt sheetId="2" sqref="GK767" start="0" length="0">
      <dxf/>
    </rfmt>
    <rfmt sheetId="2" sqref="GL767" start="0" length="0">
      <dxf/>
    </rfmt>
    <rfmt sheetId="2" sqref="GM767" start="0" length="0">
      <dxf/>
    </rfmt>
    <rfmt sheetId="2" sqref="GN767" start="0" length="0">
      <dxf/>
    </rfmt>
    <rfmt sheetId="2" sqref="GO767" start="0" length="0">
      <dxf/>
    </rfmt>
    <rfmt sheetId="2" sqref="GP767" start="0" length="0">
      <dxf/>
    </rfmt>
    <rfmt sheetId="2" sqref="GQ767" start="0" length="0">
      <dxf/>
    </rfmt>
    <rfmt sheetId="2" sqref="GR767" start="0" length="0">
      <dxf/>
    </rfmt>
    <rfmt sheetId="2" sqref="GS767" start="0" length="0">
      <dxf/>
    </rfmt>
    <rfmt sheetId="2" sqref="GT767" start="0" length="0">
      <dxf/>
    </rfmt>
    <rfmt sheetId="2" sqref="GU767" start="0" length="0">
      <dxf/>
    </rfmt>
    <rfmt sheetId="2" sqref="GV767" start="0" length="0">
      <dxf/>
    </rfmt>
    <rfmt sheetId="2" sqref="GW767" start="0" length="0">
      <dxf/>
    </rfmt>
    <rfmt sheetId="2" sqref="GX767" start="0" length="0">
      <dxf/>
    </rfmt>
    <rfmt sheetId="2" sqref="GY767" start="0" length="0">
      <dxf/>
    </rfmt>
    <rfmt sheetId="2" sqref="GZ767" start="0" length="0">
      <dxf/>
    </rfmt>
    <rfmt sheetId="2" sqref="HA767" start="0" length="0">
      <dxf/>
    </rfmt>
    <rfmt sheetId="2" sqref="HB767" start="0" length="0">
      <dxf/>
    </rfmt>
    <rfmt sheetId="2" sqref="HC767" start="0" length="0">
      <dxf/>
    </rfmt>
    <rfmt sheetId="2" sqref="HD767" start="0" length="0">
      <dxf/>
    </rfmt>
    <rfmt sheetId="2" sqref="HE767" start="0" length="0">
      <dxf/>
    </rfmt>
    <rfmt sheetId="2" sqref="HF767" start="0" length="0">
      <dxf/>
    </rfmt>
    <rfmt sheetId="2" sqref="HG767" start="0" length="0">
      <dxf/>
    </rfmt>
    <rfmt sheetId="2" sqref="HH767" start="0" length="0">
      <dxf/>
    </rfmt>
    <rfmt sheetId="2" sqref="HI767" start="0" length="0">
      <dxf/>
    </rfmt>
    <rfmt sheetId="2" sqref="HJ767" start="0" length="0">
      <dxf/>
    </rfmt>
    <rfmt sheetId="2" sqref="HK767" start="0" length="0">
      <dxf/>
    </rfmt>
    <rfmt sheetId="2" sqref="HL767" start="0" length="0">
      <dxf/>
    </rfmt>
    <rfmt sheetId="2" sqref="HM767" start="0" length="0">
      <dxf/>
    </rfmt>
    <rfmt sheetId="2" sqref="HN767" start="0" length="0">
      <dxf/>
    </rfmt>
    <rfmt sheetId="2" sqref="HO767" start="0" length="0">
      <dxf/>
    </rfmt>
    <rfmt sheetId="2" sqref="HP767" start="0" length="0">
      <dxf/>
    </rfmt>
    <rfmt sheetId="2" sqref="HQ767" start="0" length="0">
      <dxf/>
    </rfmt>
    <rfmt sheetId="2" sqref="HR767" start="0" length="0">
      <dxf/>
    </rfmt>
    <rfmt sheetId="2" sqref="HS767" start="0" length="0">
      <dxf/>
    </rfmt>
    <rfmt sheetId="2" sqref="HT767" start="0" length="0">
      <dxf/>
    </rfmt>
    <rfmt sheetId="2" sqref="HU767" start="0" length="0">
      <dxf/>
    </rfmt>
    <rfmt sheetId="2" sqref="HV767" start="0" length="0">
      <dxf/>
    </rfmt>
    <rfmt sheetId="2" sqref="HW767" start="0" length="0">
      <dxf/>
    </rfmt>
    <rfmt sheetId="2" sqref="HX767" start="0" length="0">
      <dxf/>
    </rfmt>
    <rfmt sheetId="2" sqref="HY767" start="0" length="0">
      <dxf/>
    </rfmt>
    <rfmt sheetId="2" sqref="HZ767" start="0" length="0">
      <dxf/>
    </rfmt>
    <rfmt sheetId="2" sqref="IA767" start="0" length="0">
      <dxf/>
    </rfmt>
    <rfmt sheetId="2" sqref="IB767" start="0" length="0">
      <dxf/>
    </rfmt>
    <rfmt sheetId="2" sqref="IC767" start="0" length="0">
      <dxf/>
    </rfmt>
    <rfmt sheetId="2" sqref="ID767" start="0" length="0">
      <dxf/>
    </rfmt>
    <rfmt sheetId="2" sqref="IE767" start="0" length="0">
      <dxf/>
    </rfmt>
    <rfmt sheetId="2" sqref="IF767" start="0" length="0">
      <dxf/>
    </rfmt>
    <rfmt sheetId="2" sqref="IG767" start="0" length="0">
      <dxf/>
    </rfmt>
    <rfmt sheetId="2" sqref="IH767" start="0" length="0">
      <dxf/>
    </rfmt>
    <rfmt sheetId="2" sqref="II767" start="0" length="0">
      <dxf/>
    </rfmt>
    <rfmt sheetId="2" sqref="IJ767" start="0" length="0">
      <dxf/>
    </rfmt>
    <rfmt sheetId="2" sqref="IK767" start="0" length="0">
      <dxf/>
    </rfmt>
    <rfmt sheetId="2" sqref="IL767" start="0" length="0">
      <dxf/>
    </rfmt>
    <rfmt sheetId="2" sqref="IM767" start="0" length="0">
      <dxf/>
    </rfmt>
    <rfmt sheetId="2" sqref="IN767" start="0" length="0">
      <dxf/>
    </rfmt>
    <rfmt sheetId="2" sqref="IO767" start="0" length="0">
      <dxf/>
    </rfmt>
    <rfmt sheetId="2" sqref="IP767" start="0" length="0">
      <dxf/>
    </rfmt>
    <rfmt sheetId="2" sqref="IQ767" start="0" length="0">
      <dxf/>
    </rfmt>
    <rfmt sheetId="2" sqref="IR767" start="0" length="0">
      <dxf/>
    </rfmt>
    <rfmt sheetId="2" sqref="IS767" start="0" length="0">
      <dxf/>
    </rfmt>
    <rfmt sheetId="2" sqref="IT767" start="0" length="0">
      <dxf/>
    </rfmt>
    <rfmt sheetId="2" sqref="IU767" start="0" length="0">
      <dxf/>
    </rfmt>
    <rfmt sheetId="2" sqref="IV767" start="0" length="0">
      <dxf/>
    </rfmt>
    <rfmt sheetId="2" sqref="IW767" start="0" length="0">
      <dxf/>
    </rfmt>
    <rfmt sheetId="2" sqref="IX767" start="0" length="0">
      <dxf/>
    </rfmt>
    <rfmt sheetId="2" sqref="IY767" start="0" length="0">
      <dxf/>
    </rfmt>
    <rfmt sheetId="2" sqref="IZ767" start="0" length="0">
      <dxf/>
    </rfmt>
    <rfmt sheetId="2" sqref="JA767" start="0" length="0">
      <dxf/>
    </rfmt>
    <rfmt sheetId="2" sqref="JB767" start="0" length="0">
      <dxf/>
    </rfmt>
    <rfmt sheetId="2" sqref="JC767" start="0" length="0">
      <dxf/>
    </rfmt>
    <rfmt sheetId="2" sqref="JD767" start="0" length="0">
      <dxf/>
    </rfmt>
    <rfmt sheetId="2" sqref="JE767" start="0" length="0">
      <dxf/>
    </rfmt>
    <rfmt sheetId="2" sqref="JF767" start="0" length="0">
      <dxf/>
    </rfmt>
    <rfmt sheetId="2" sqref="JG767" start="0" length="0">
      <dxf/>
    </rfmt>
    <rfmt sheetId="2" sqref="JH767" start="0" length="0">
      <dxf/>
    </rfmt>
    <rfmt sheetId="2" sqref="JI767" start="0" length="0">
      <dxf/>
    </rfmt>
    <rfmt sheetId="2" sqref="JJ767" start="0" length="0">
      <dxf/>
    </rfmt>
    <rfmt sheetId="2" sqref="JK767" start="0" length="0">
      <dxf/>
    </rfmt>
    <rfmt sheetId="2" sqref="JL767" start="0" length="0">
      <dxf/>
    </rfmt>
    <rfmt sheetId="2" sqref="JM767" start="0" length="0">
      <dxf/>
    </rfmt>
    <rfmt sheetId="2" sqref="JN767" start="0" length="0">
      <dxf/>
    </rfmt>
    <rfmt sheetId="2" sqref="JO767" start="0" length="0">
      <dxf/>
    </rfmt>
    <rfmt sheetId="2" sqref="JP767" start="0" length="0">
      <dxf/>
    </rfmt>
    <rfmt sheetId="2" sqref="JQ767" start="0" length="0">
      <dxf/>
    </rfmt>
    <rfmt sheetId="2" sqref="JR767" start="0" length="0">
      <dxf/>
    </rfmt>
    <rfmt sheetId="2" sqref="JS767" start="0" length="0">
      <dxf/>
    </rfmt>
    <rfmt sheetId="2" sqref="JT767" start="0" length="0">
      <dxf/>
    </rfmt>
    <rfmt sheetId="2" sqref="JU767" start="0" length="0">
      <dxf/>
    </rfmt>
    <rfmt sheetId="2" sqref="JV767" start="0" length="0">
      <dxf/>
    </rfmt>
    <rfmt sheetId="2" sqref="JW767" start="0" length="0">
      <dxf/>
    </rfmt>
    <rfmt sheetId="2" sqref="JX767" start="0" length="0">
      <dxf/>
    </rfmt>
    <rfmt sheetId="2" sqref="JY767" start="0" length="0">
      <dxf/>
    </rfmt>
    <rfmt sheetId="2" sqref="JZ767" start="0" length="0">
      <dxf/>
    </rfmt>
    <rfmt sheetId="2" sqref="KA767" start="0" length="0">
      <dxf/>
    </rfmt>
    <rfmt sheetId="2" sqref="KB767" start="0" length="0">
      <dxf/>
    </rfmt>
    <rfmt sheetId="2" sqref="KC767" start="0" length="0">
      <dxf/>
    </rfmt>
    <rfmt sheetId="2" sqref="KD767" start="0" length="0">
      <dxf/>
    </rfmt>
    <rfmt sheetId="2" sqref="KE767" start="0" length="0">
      <dxf/>
    </rfmt>
    <rfmt sheetId="2" sqref="KF767" start="0" length="0">
      <dxf/>
    </rfmt>
    <rfmt sheetId="2" sqref="KG767" start="0" length="0">
      <dxf/>
    </rfmt>
    <rfmt sheetId="2" sqref="KH767" start="0" length="0">
      <dxf/>
    </rfmt>
    <rfmt sheetId="2" sqref="KI767" start="0" length="0">
      <dxf/>
    </rfmt>
    <rfmt sheetId="2" sqref="KJ767" start="0" length="0">
      <dxf/>
    </rfmt>
    <rfmt sheetId="2" sqref="KK767" start="0" length="0">
      <dxf/>
    </rfmt>
    <rfmt sheetId="2" sqref="KL767" start="0" length="0">
      <dxf/>
    </rfmt>
    <rfmt sheetId="2" sqref="KM767" start="0" length="0">
      <dxf/>
    </rfmt>
    <rfmt sheetId="2" sqref="KN767" start="0" length="0">
      <dxf/>
    </rfmt>
    <rfmt sheetId="2" sqref="KO767" start="0" length="0">
      <dxf/>
    </rfmt>
    <rfmt sheetId="2" sqref="KP767" start="0" length="0">
      <dxf/>
    </rfmt>
    <rfmt sheetId="2" sqref="KQ767" start="0" length="0">
      <dxf/>
    </rfmt>
    <rfmt sheetId="2" sqref="KR767" start="0" length="0">
      <dxf/>
    </rfmt>
    <rfmt sheetId="2" sqref="KS767" start="0" length="0">
      <dxf/>
    </rfmt>
    <rfmt sheetId="2" sqref="KT767" start="0" length="0">
      <dxf/>
    </rfmt>
    <rfmt sheetId="2" sqref="KU767" start="0" length="0">
      <dxf/>
    </rfmt>
    <rfmt sheetId="2" sqref="KV767" start="0" length="0">
      <dxf/>
    </rfmt>
    <rfmt sheetId="2" sqref="KW767" start="0" length="0">
      <dxf/>
    </rfmt>
    <rfmt sheetId="2" sqref="KX767" start="0" length="0">
      <dxf/>
    </rfmt>
    <rfmt sheetId="2" sqref="KY767" start="0" length="0">
      <dxf/>
    </rfmt>
    <rfmt sheetId="2" sqref="KZ767" start="0" length="0">
      <dxf/>
    </rfmt>
    <rfmt sheetId="2" sqref="LA767" start="0" length="0">
      <dxf/>
    </rfmt>
    <rfmt sheetId="2" sqref="LB767" start="0" length="0">
      <dxf/>
    </rfmt>
    <rfmt sheetId="2" sqref="LC767" start="0" length="0">
      <dxf/>
    </rfmt>
    <rfmt sheetId="2" sqref="LD767" start="0" length="0">
      <dxf/>
    </rfmt>
    <rfmt sheetId="2" sqref="LE767" start="0" length="0">
      <dxf/>
    </rfmt>
    <rfmt sheetId="2" sqref="LF767" start="0" length="0">
      <dxf/>
    </rfmt>
    <rfmt sheetId="2" sqref="LG767" start="0" length="0">
      <dxf/>
    </rfmt>
    <rfmt sheetId="2" sqref="LH767" start="0" length="0">
      <dxf/>
    </rfmt>
    <rfmt sheetId="2" sqref="LI767" start="0" length="0">
      <dxf/>
    </rfmt>
    <rfmt sheetId="2" sqref="LJ767" start="0" length="0">
      <dxf/>
    </rfmt>
    <rfmt sheetId="2" sqref="LK767" start="0" length="0">
      <dxf/>
    </rfmt>
    <rfmt sheetId="2" sqref="LL767" start="0" length="0">
      <dxf/>
    </rfmt>
    <rfmt sheetId="2" sqref="LM767" start="0" length="0">
      <dxf/>
    </rfmt>
    <rfmt sheetId="2" sqref="LN767" start="0" length="0">
      <dxf/>
    </rfmt>
    <rfmt sheetId="2" sqref="LO767" start="0" length="0">
      <dxf/>
    </rfmt>
    <rfmt sheetId="2" sqref="LP767" start="0" length="0">
      <dxf/>
    </rfmt>
    <rfmt sheetId="2" sqref="LQ767" start="0" length="0">
      <dxf/>
    </rfmt>
    <rfmt sheetId="2" sqref="LR767" start="0" length="0">
      <dxf/>
    </rfmt>
    <rfmt sheetId="2" sqref="LS767" start="0" length="0">
      <dxf/>
    </rfmt>
    <rfmt sheetId="2" sqref="LT767" start="0" length="0">
      <dxf/>
    </rfmt>
    <rfmt sheetId="2" sqref="LU767" start="0" length="0">
      <dxf/>
    </rfmt>
    <rfmt sheetId="2" sqref="LV767" start="0" length="0">
      <dxf/>
    </rfmt>
    <rfmt sheetId="2" sqref="LW767" start="0" length="0">
      <dxf/>
    </rfmt>
    <rfmt sheetId="2" sqref="LX767" start="0" length="0">
      <dxf/>
    </rfmt>
    <rfmt sheetId="2" sqref="LY767" start="0" length="0">
      <dxf/>
    </rfmt>
    <rfmt sheetId="2" sqref="LZ767" start="0" length="0">
      <dxf/>
    </rfmt>
    <rfmt sheetId="2" sqref="MA767" start="0" length="0">
      <dxf/>
    </rfmt>
    <rfmt sheetId="2" sqref="MB767" start="0" length="0">
      <dxf/>
    </rfmt>
  </rm>
  <rrc rId="1726" sId="2" ref="A771:XFD771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71:XFD771" start="0" length="0">
      <dxf>
        <font>
          <sz val="10"/>
          <name val="Arial"/>
          <scheme val="none"/>
        </font>
        <alignment horizontal="center" readingOrder="0"/>
      </dxf>
    </rfmt>
    <rfmt sheetId="2" sqref="A77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1" start="0" length="0">
      <dxf>
        <numFmt numFmtId="176" formatCode="m/d;@"/>
      </dxf>
    </rfmt>
    <rfmt sheetId="2" sqref="P77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1" start="0" length="0">
      <dxf/>
    </rfmt>
    <rfmt sheetId="2" sqref="U771" start="0" length="0">
      <dxf/>
    </rfmt>
    <rfmt sheetId="2" sqref="V771" start="0" length="0">
      <dxf/>
    </rfmt>
    <rfmt sheetId="2" sqref="W771" start="0" length="0">
      <dxf/>
    </rfmt>
    <rfmt sheetId="2" sqref="X771" start="0" length="0">
      <dxf/>
    </rfmt>
    <rfmt sheetId="2" sqref="Y771" start="0" length="0">
      <dxf/>
    </rfmt>
    <rfmt sheetId="2" sqref="Z771" start="0" length="0">
      <dxf/>
    </rfmt>
    <rfmt sheetId="2" sqref="AA771" start="0" length="0">
      <dxf/>
    </rfmt>
    <rfmt sheetId="2" sqref="AB771" start="0" length="0">
      <dxf/>
    </rfmt>
    <rfmt sheetId="2" sqref="AC771" start="0" length="0">
      <dxf/>
    </rfmt>
    <rfmt sheetId="2" sqref="AD771" start="0" length="0">
      <dxf/>
    </rfmt>
    <rfmt sheetId="2" sqref="AE771" start="0" length="0">
      <dxf/>
    </rfmt>
    <rfmt sheetId="2" sqref="AF771" start="0" length="0">
      <dxf/>
    </rfmt>
    <rfmt sheetId="2" sqref="AG771" start="0" length="0">
      <dxf/>
    </rfmt>
    <rfmt sheetId="2" sqref="AH771" start="0" length="0">
      <dxf/>
    </rfmt>
    <rfmt sheetId="2" sqref="AI771" start="0" length="0">
      <dxf/>
    </rfmt>
    <rfmt sheetId="2" sqref="AJ771" start="0" length="0">
      <dxf/>
    </rfmt>
    <rfmt sheetId="2" sqref="AK771" start="0" length="0">
      <dxf/>
    </rfmt>
    <rfmt sheetId="2" sqref="AL771" start="0" length="0">
      <dxf/>
    </rfmt>
    <rfmt sheetId="2" sqref="AM771" start="0" length="0">
      <dxf/>
    </rfmt>
    <rfmt sheetId="2" sqref="AN771" start="0" length="0">
      <dxf/>
    </rfmt>
    <rfmt sheetId="2" sqref="AO771" start="0" length="0">
      <dxf/>
    </rfmt>
    <rfmt sheetId="2" sqref="AP771" start="0" length="0">
      <dxf/>
    </rfmt>
    <rfmt sheetId="2" sqref="AQ771" start="0" length="0">
      <dxf/>
    </rfmt>
    <rfmt sheetId="2" sqref="AR771" start="0" length="0">
      <dxf/>
    </rfmt>
    <rfmt sheetId="2" sqref="AS771" start="0" length="0">
      <dxf/>
    </rfmt>
    <rfmt sheetId="2" sqref="AT771" start="0" length="0">
      <dxf/>
    </rfmt>
    <rfmt sheetId="2" sqref="AU771" start="0" length="0">
      <dxf/>
    </rfmt>
    <rfmt sheetId="2" sqref="AV771" start="0" length="0">
      <dxf/>
    </rfmt>
    <rfmt sheetId="2" sqref="AW771" start="0" length="0">
      <dxf/>
    </rfmt>
    <rfmt sheetId="2" sqref="AX771" start="0" length="0">
      <dxf/>
    </rfmt>
    <rfmt sheetId="2" sqref="AY771" start="0" length="0">
      <dxf/>
    </rfmt>
    <rfmt sheetId="2" sqref="AZ771" start="0" length="0">
      <dxf/>
    </rfmt>
    <rfmt sheetId="2" sqref="BA771" start="0" length="0">
      <dxf/>
    </rfmt>
    <rfmt sheetId="2" sqref="BB771" start="0" length="0">
      <dxf/>
    </rfmt>
    <rfmt sheetId="2" sqref="BC771" start="0" length="0">
      <dxf/>
    </rfmt>
    <rfmt sheetId="2" sqref="BD771" start="0" length="0">
      <dxf/>
    </rfmt>
    <rfmt sheetId="2" sqref="BE771" start="0" length="0">
      <dxf/>
    </rfmt>
    <rfmt sheetId="2" sqref="BF771" start="0" length="0">
      <dxf/>
    </rfmt>
    <rfmt sheetId="2" sqref="BG771" start="0" length="0">
      <dxf/>
    </rfmt>
    <rfmt sheetId="2" sqref="BH771" start="0" length="0">
      <dxf/>
    </rfmt>
    <rfmt sheetId="2" sqref="BI771" start="0" length="0">
      <dxf/>
    </rfmt>
    <rfmt sheetId="2" sqref="BJ771" start="0" length="0">
      <dxf/>
    </rfmt>
    <rfmt sheetId="2" sqref="BK771" start="0" length="0">
      <dxf/>
    </rfmt>
    <rfmt sheetId="2" sqref="BL771" start="0" length="0">
      <dxf/>
    </rfmt>
    <rfmt sheetId="2" sqref="BM771" start="0" length="0">
      <dxf/>
    </rfmt>
    <rfmt sheetId="2" sqref="BN771" start="0" length="0">
      <dxf/>
    </rfmt>
    <rfmt sheetId="2" sqref="BO771" start="0" length="0">
      <dxf/>
    </rfmt>
    <rfmt sheetId="2" sqref="BP771" start="0" length="0">
      <dxf/>
    </rfmt>
    <rfmt sheetId="2" sqref="BQ771" start="0" length="0">
      <dxf/>
    </rfmt>
    <rfmt sheetId="2" sqref="BR771" start="0" length="0">
      <dxf/>
    </rfmt>
    <rfmt sheetId="2" sqref="BS771" start="0" length="0">
      <dxf/>
    </rfmt>
    <rfmt sheetId="2" sqref="BT771" start="0" length="0">
      <dxf/>
    </rfmt>
    <rfmt sheetId="2" sqref="BU771" start="0" length="0">
      <dxf/>
    </rfmt>
    <rfmt sheetId="2" sqref="BV771" start="0" length="0">
      <dxf/>
    </rfmt>
    <rfmt sheetId="2" sqref="BW771" start="0" length="0">
      <dxf/>
    </rfmt>
    <rfmt sheetId="2" sqref="BX771" start="0" length="0">
      <dxf/>
    </rfmt>
    <rfmt sheetId="2" sqref="BY771" start="0" length="0">
      <dxf/>
    </rfmt>
    <rfmt sheetId="2" sqref="BZ771" start="0" length="0">
      <dxf/>
    </rfmt>
    <rfmt sheetId="2" sqref="CA771" start="0" length="0">
      <dxf/>
    </rfmt>
    <rfmt sheetId="2" sqref="CB771" start="0" length="0">
      <dxf/>
    </rfmt>
    <rfmt sheetId="2" sqref="CC771" start="0" length="0">
      <dxf/>
    </rfmt>
    <rfmt sheetId="2" sqref="CD771" start="0" length="0">
      <dxf/>
    </rfmt>
    <rfmt sheetId="2" sqref="CE771" start="0" length="0">
      <dxf/>
    </rfmt>
    <rfmt sheetId="2" sqref="CF771" start="0" length="0">
      <dxf/>
    </rfmt>
    <rfmt sheetId="2" sqref="CG771" start="0" length="0">
      <dxf/>
    </rfmt>
    <rfmt sheetId="2" sqref="CH771" start="0" length="0">
      <dxf/>
    </rfmt>
    <rfmt sheetId="2" sqref="CI771" start="0" length="0">
      <dxf/>
    </rfmt>
    <rfmt sheetId="2" sqref="CJ771" start="0" length="0">
      <dxf/>
    </rfmt>
    <rfmt sheetId="2" sqref="CK771" start="0" length="0">
      <dxf/>
    </rfmt>
    <rfmt sheetId="2" sqref="CL771" start="0" length="0">
      <dxf/>
    </rfmt>
    <rfmt sheetId="2" sqref="CM771" start="0" length="0">
      <dxf/>
    </rfmt>
    <rfmt sheetId="2" sqref="CN771" start="0" length="0">
      <dxf/>
    </rfmt>
    <rfmt sheetId="2" sqref="CO771" start="0" length="0">
      <dxf/>
    </rfmt>
    <rfmt sheetId="2" sqref="CP771" start="0" length="0">
      <dxf/>
    </rfmt>
    <rfmt sheetId="2" sqref="CQ771" start="0" length="0">
      <dxf/>
    </rfmt>
    <rfmt sheetId="2" sqref="CR771" start="0" length="0">
      <dxf/>
    </rfmt>
    <rfmt sheetId="2" sqref="CS771" start="0" length="0">
      <dxf/>
    </rfmt>
    <rfmt sheetId="2" sqref="CT771" start="0" length="0">
      <dxf/>
    </rfmt>
    <rfmt sheetId="2" sqref="CU771" start="0" length="0">
      <dxf/>
    </rfmt>
    <rfmt sheetId="2" sqref="CV771" start="0" length="0">
      <dxf/>
    </rfmt>
    <rfmt sheetId="2" sqref="CW771" start="0" length="0">
      <dxf/>
    </rfmt>
    <rfmt sheetId="2" sqref="CX771" start="0" length="0">
      <dxf/>
    </rfmt>
    <rfmt sheetId="2" sqref="CY771" start="0" length="0">
      <dxf/>
    </rfmt>
    <rfmt sheetId="2" sqref="CZ771" start="0" length="0">
      <dxf/>
    </rfmt>
    <rfmt sheetId="2" sqref="DA771" start="0" length="0">
      <dxf/>
    </rfmt>
    <rfmt sheetId="2" sqref="DB771" start="0" length="0">
      <dxf/>
    </rfmt>
    <rfmt sheetId="2" sqref="DC771" start="0" length="0">
      <dxf/>
    </rfmt>
    <rfmt sheetId="2" sqref="DD771" start="0" length="0">
      <dxf/>
    </rfmt>
    <rfmt sheetId="2" sqref="DE771" start="0" length="0">
      <dxf/>
    </rfmt>
    <rfmt sheetId="2" sqref="DF771" start="0" length="0">
      <dxf/>
    </rfmt>
    <rfmt sheetId="2" sqref="DG771" start="0" length="0">
      <dxf/>
    </rfmt>
    <rfmt sheetId="2" sqref="DH771" start="0" length="0">
      <dxf/>
    </rfmt>
    <rfmt sheetId="2" sqref="DI771" start="0" length="0">
      <dxf/>
    </rfmt>
    <rfmt sheetId="2" sqref="DJ771" start="0" length="0">
      <dxf/>
    </rfmt>
    <rfmt sheetId="2" sqref="DK771" start="0" length="0">
      <dxf/>
    </rfmt>
    <rfmt sheetId="2" sqref="DL771" start="0" length="0">
      <dxf/>
    </rfmt>
    <rfmt sheetId="2" sqref="DM771" start="0" length="0">
      <dxf/>
    </rfmt>
    <rfmt sheetId="2" sqref="DN771" start="0" length="0">
      <dxf/>
    </rfmt>
    <rfmt sheetId="2" sqref="DO771" start="0" length="0">
      <dxf/>
    </rfmt>
    <rfmt sheetId="2" sqref="DP771" start="0" length="0">
      <dxf/>
    </rfmt>
    <rfmt sheetId="2" sqref="DQ771" start="0" length="0">
      <dxf/>
    </rfmt>
    <rfmt sheetId="2" sqref="DR771" start="0" length="0">
      <dxf/>
    </rfmt>
    <rfmt sheetId="2" sqref="DS771" start="0" length="0">
      <dxf/>
    </rfmt>
    <rfmt sheetId="2" sqref="DT771" start="0" length="0">
      <dxf/>
    </rfmt>
    <rfmt sheetId="2" sqref="DU771" start="0" length="0">
      <dxf/>
    </rfmt>
    <rfmt sheetId="2" sqref="DV771" start="0" length="0">
      <dxf/>
    </rfmt>
    <rfmt sheetId="2" sqref="DW771" start="0" length="0">
      <dxf/>
    </rfmt>
    <rfmt sheetId="2" sqref="DX771" start="0" length="0">
      <dxf/>
    </rfmt>
    <rfmt sheetId="2" sqref="DY771" start="0" length="0">
      <dxf/>
    </rfmt>
    <rfmt sheetId="2" sqref="DZ771" start="0" length="0">
      <dxf/>
    </rfmt>
    <rfmt sheetId="2" sqref="EA771" start="0" length="0">
      <dxf/>
    </rfmt>
    <rfmt sheetId="2" sqref="EB771" start="0" length="0">
      <dxf/>
    </rfmt>
    <rfmt sheetId="2" sqref="EC771" start="0" length="0">
      <dxf/>
    </rfmt>
    <rfmt sheetId="2" sqref="ED771" start="0" length="0">
      <dxf/>
    </rfmt>
    <rfmt sheetId="2" sqref="EE771" start="0" length="0">
      <dxf/>
    </rfmt>
    <rfmt sheetId="2" sqref="EF771" start="0" length="0">
      <dxf/>
    </rfmt>
    <rfmt sheetId="2" sqref="EG771" start="0" length="0">
      <dxf/>
    </rfmt>
    <rfmt sheetId="2" sqref="EH771" start="0" length="0">
      <dxf/>
    </rfmt>
    <rfmt sheetId="2" sqref="EI771" start="0" length="0">
      <dxf/>
    </rfmt>
    <rfmt sheetId="2" sqref="EJ771" start="0" length="0">
      <dxf/>
    </rfmt>
    <rfmt sheetId="2" sqref="EK771" start="0" length="0">
      <dxf/>
    </rfmt>
    <rfmt sheetId="2" sqref="EL771" start="0" length="0">
      <dxf/>
    </rfmt>
    <rfmt sheetId="2" sqref="EM771" start="0" length="0">
      <dxf/>
    </rfmt>
    <rfmt sheetId="2" sqref="EN771" start="0" length="0">
      <dxf/>
    </rfmt>
    <rfmt sheetId="2" sqref="EO771" start="0" length="0">
      <dxf/>
    </rfmt>
    <rfmt sheetId="2" sqref="EP771" start="0" length="0">
      <dxf/>
    </rfmt>
    <rfmt sheetId="2" sqref="EQ771" start="0" length="0">
      <dxf/>
    </rfmt>
    <rfmt sheetId="2" sqref="ER771" start="0" length="0">
      <dxf/>
    </rfmt>
    <rfmt sheetId="2" sqref="ES771" start="0" length="0">
      <dxf/>
    </rfmt>
    <rfmt sheetId="2" sqref="ET771" start="0" length="0">
      <dxf/>
    </rfmt>
    <rfmt sheetId="2" sqref="EU771" start="0" length="0">
      <dxf/>
    </rfmt>
    <rfmt sheetId="2" sqref="EV771" start="0" length="0">
      <dxf/>
    </rfmt>
    <rfmt sheetId="2" sqref="EW771" start="0" length="0">
      <dxf/>
    </rfmt>
    <rfmt sheetId="2" sqref="EX771" start="0" length="0">
      <dxf/>
    </rfmt>
    <rfmt sheetId="2" sqref="EY771" start="0" length="0">
      <dxf/>
    </rfmt>
    <rfmt sheetId="2" sqref="EZ771" start="0" length="0">
      <dxf/>
    </rfmt>
    <rfmt sheetId="2" sqref="FA771" start="0" length="0">
      <dxf/>
    </rfmt>
    <rfmt sheetId="2" sqref="FB771" start="0" length="0">
      <dxf/>
    </rfmt>
    <rfmt sheetId="2" sqref="FC771" start="0" length="0">
      <dxf/>
    </rfmt>
    <rfmt sheetId="2" sqref="FD771" start="0" length="0">
      <dxf/>
    </rfmt>
    <rfmt sheetId="2" sqref="FE771" start="0" length="0">
      <dxf/>
    </rfmt>
    <rfmt sheetId="2" sqref="FF771" start="0" length="0">
      <dxf/>
    </rfmt>
    <rfmt sheetId="2" sqref="FG771" start="0" length="0">
      <dxf/>
    </rfmt>
    <rfmt sheetId="2" sqref="FH771" start="0" length="0">
      <dxf/>
    </rfmt>
    <rfmt sheetId="2" sqref="FI771" start="0" length="0">
      <dxf/>
    </rfmt>
    <rfmt sheetId="2" sqref="FJ771" start="0" length="0">
      <dxf/>
    </rfmt>
    <rfmt sheetId="2" sqref="FK771" start="0" length="0">
      <dxf/>
    </rfmt>
    <rfmt sheetId="2" sqref="FL771" start="0" length="0">
      <dxf/>
    </rfmt>
    <rfmt sheetId="2" sqref="FM771" start="0" length="0">
      <dxf/>
    </rfmt>
    <rfmt sheetId="2" sqref="FN771" start="0" length="0">
      <dxf/>
    </rfmt>
    <rfmt sheetId="2" sqref="FO771" start="0" length="0">
      <dxf/>
    </rfmt>
    <rfmt sheetId="2" sqref="FP771" start="0" length="0">
      <dxf/>
    </rfmt>
    <rfmt sheetId="2" sqref="FQ771" start="0" length="0">
      <dxf/>
    </rfmt>
    <rfmt sheetId="2" sqref="FR771" start="0" length="0">
      <dxf/>
    </rfmt>
    <rfmt sheetId="2" sqref="FS771" start="0" length="0">
      <dxf/>
    </rfmt>
    <rfmt sheetId="2" sqref="FT771" start="0" length="0">
      <dxf/>
    </rfmt>
    <rfmt sheetId="2" sqref="FU771" start="0" length="0">
      <dxf/>
    </rfmt>
    <rfmt sheetId="2" sqref="FV771" start="0" length="0">
      <dxf/>
    </rfmt>
    <rfmt sheetId="2" sqref="FW771" start="0" length="0">
      <dxf/>
    </rfmt>
    <rfmt sheetId="2" sqref="FX771" start="0" length="0">
      <dxf/>
    </rfmt>
    <rfmt sheetId="2" sqref="FY771" start="0" length="0">
      <dxf/>
    </rfmt>
    <rfmt sheetId="2" sqref="FZ771" start="0" length="0">
      <dxf/>
    </rfmt>
    <rfmt sheetId="2" sqref="GA771" start="0" length="0">
      <dxf/>
    </rfmt>
    <rfmt sheetId="2" sqref="GB771" start="0" length="0">
      <dxf/>
    </rfmt>
    <rfmt sheetId="2" sqref="GC771" start="0" length="0">
      <dxf/>
    </rfmt>
    <rfmt sheetId="2" sqref="GD771" start="0" length="0">
      <dxf/>
    </rfmt>
    <rfmt sheetId="2" sqref="GE771" start="0" length="0">
      <dxf/>
    </rfmt>
    <rfmt sheetId="2" sqref="GF771" start="0" length="0">
      <dxf/>
    </rfmt>
    <rfmt sheetId="2" sqref="GG771" start="0" length="0">
      <dxf/>
    </rfmt>
    <rfmt sheetId="2" sqref="GH771" start="0" length="0">
      <dxf/>
    </rfmt>
    <rfmt sheetId="2" sqref="GI771" start="0" length="0">
      <dxf/>
    </rfmt>
    <rfmt sheetId="2" sqref="GJ771" start="0" length="0">
      <dxf/>
    </rfmt>
    <rfmt sheetId="2" sqref="GK771" start="0" length="0">
      <dxf/>
    </rfmt>
    <rfmt sheetId="2" sqref="GL771" start="0" length="0">
      <dxf/>
    </rfmt>
    <rfmt sheetId="2" sqref="GM771" start="0" length="0">
      <dxf/>
    </rfmt>
    <rfmt sheetId="2" sqref="GN771" start="0" length="0">
      <dxf/>
    </rfmt>
    <rfmt sheetId="2" sqref="GO771" start="0" length="0">
      <dxf/>
    </rfmt>
    <rfmt sheetId="2" sqref="GP771" start="0" length="0">
      <dxf/>
    </rfmt>
    <rfmt sheetId="2" sqref="GQ771" start="0" length="0">
      <dxf/>
    </rfmt>
    <rfmt sheetId="2" sqref="GR771" start="0" length="0">
      <dxf/>
    </rfmt>
    <rfmt sheetId="2" sqref="GS771" start="0" length="0">
      <dxf/>
    </rfmt>
    <rfmt sheetId="2" sqref="GT771" start="0" length="0">
      <dxf/>
    </rfmt>
    <rfmt sheetId="2" sqref="GU771" start="0" length="0">
      <dxf/>
    </rfmt>
    <rfmt sheetId="2" sqref="GV771" start="0" length="0">
      <dxf/>
    </rfmt>
    <rfmt sheetId="2" sqref="GW771" start="0" length="0">
      <dxf/>
    </rfmt>
    <rfmt sheetId="2" sqref="GX771" start="0" length="0">
      <dxf/>
    </rfmt>
    <rfmt sheetId="2" sqref="GY771" start="0" length="0">
      <dxf/>
    </rfmt>
    <rfmt sheetId="2" sqref="GZ771" start="0" length="0">
      <dxf/>
    </rfmt>
    <rfmt sheetId="2" sqref="HA771" start="0" length="0">
      <dxf/>
    </rfmt>
    <rfmt sheetId="2" sqref="HB771" start="0" length="0">
      <dxf/>
    </rfmt>
    <rfmt sheetId="2" sqref="HC771" start="0" length="0">
      <dxf/>
    </rfmt>
    <rfmt sheetId="2" sqref="HD771" start="0" length="0">
      <dxf/>
    </rfmt>
    <rfmt sheetId="2" sqref="HE771" start="0" length="0">
      <dxf/>
    </rfmt>
    <rfmt sheetId="2" sqref="HF771" start="0" length="0">
      <dxf/>
    </rfmt>
    <rfmt sheetId="2" sqref="HG771" start="0" length="0">
      <dxf/>
    </rfmt>
    <rfmt sheetId="2" sqref="HH771" start="0" length="0">
      <dxf/>
    </rfmt>
    <rfmt sheetId="2" sqref="HI771" start="0" length="0">
      <dxf/>
    </rfmt>
    <rfmt sheetId="2" sqref="HJ771" start="0" length="0">
      <dxf/>
    </rfmt>
    <rfmt sheetId="2" sqref="HK771" start="0" length="0">
      <dxf/>
    </rfmt>
    <rfmt sheetId="2" sqref="HL771" start="0" length="0">
      <dxf/>
    </rfmt>
    <rfmt sheetId="2" sqref="HM771" start="0" length="0">
      <dxf/>
    </rfmt>
    <rfmt sheetId="2" sqref="HN771" start="0" length="0">
      <dxf/>
    </rfmt>
    <rfmt sheetId="2" sqref="HO771" start="0" length="0">
      <dxf/>
    </rfmt>
    <rfmt sheetId="2" sqref="HP771" start="0" length="0">
      <dxf/>
    </rfmt>
    <rfmt sheetId="2" sqref="HQ771" start="0" length="0">
      <dxf/>
    </rfmt>
    <rfmt sheetId="2" sqref="HR771" start="0" length="0">
      <dxf/>
    </rfmt>
    <rfmt sheetId="2" sqref="HS771" start="0" length="0">
      <dxf/>
    </rfmt>
    <rfmt sheetId="2" sqref="HT771" start="0" length="0">
      <dxf/>
    </rfmt>
    <rfmt sheetId="2" sqref="HU771" start="0" length="0">
      <dxf/>
    </rfmt>
    <rfmt sheetId="2" sqref="HV771" start="0" length="0">
      <dxf/>
    </rfmt>
    <rfmt sheetId="2" sqref="HW771" start="0" length="0">
      <dxf/>
    </rfmt>
    <rfmt sheetId="2" sqref="HX771" start="0" length="0">
      <dxf/>
    </rfmt>
    <rfmt sheetId="2" sqref="HY771" start="0" length="0">
      <dxf/>
    </rfmt>
    <rfmt sheetId="2" sqref="HZ771" start="0" length="0">
      <dxf/>
    </rfmt>
    <rfmt sheetId="2" sqref="IA771" start="0" length="0">
      <dxf/>
    </rfmt>
    <rfmt sheetId="2" sqref="IB771" start="0" length="0">
      <dxf/>
    </rfmt>
    <rfmt sheetId="2" sqref="IC771" start="0" length="0">
      <dxf/>
    </rfmt>
    <rfmt sheetId="2" sqref="ID771" start="0" length="0">
      <dxf/>
    </rfmt>
    <rfmt sheetId="2" sqref="IE771" start="0" length="0">
      <dxf/>
    </rfmt>
    <rfmt sheetId="2" sqref="IF771" start="0" length="0">
      <dxf/>
    </rfmt>
    <rfmt sheetId="2" sqref="IG771" start="0" length="0">
      <dxf/>
    </rfmt>
    <rfmt sheetId="2" sqref="IH771" start="0" length="0">
      <dxf/>
    </rfmt>
    <rfmt sheetId="2" sqref="II771" start="0" length="0">
      <dxf/>
    </rfmt>
    <rfmt sheetId="2" sqref="IJ771" start="0" length="0">
      <dxf/>
    </rfmt>
    <rfmt sheetId="2" sqref="IK771" start="0" length="0">
      <dxf/>
    </rfmt>
    <rfmt sheetId="2" sqref="IL771" start="0" length="0">
      <dxf/>
    </rfmt>
    <rfmt sheetId="2" sqref="IM771" start="0" length="0">
      <dxf/>
    </rfmt>
    <rfmt sheetId="2" sqref="IN771" start="0" length="0">
      <dxf/>
    </rfmt>
    <rfmt sheetId="2" sqref="IO771" start="0" length="0">
      <dxf/>
    </rfmt>
    <rfmt sheetId="2" sqref="IP771" start="0" length="0">
      <dxf/>
    </rfmt>
    <rfmt sheetId="2" sqref="IQ771" start="0" length="0">
      <dxf/>
    </rfmt>
    <rfmt sheetId="2" sqref="IR771" start="0" length="0">
      <dxf/>
    </rfmt>
    <rfmt sheetId="2" sqref="IS771" start="0" length="0">
      <dxf/>
    </rfmt>
    <rfmt sheetId="2" sqref="IT771" start="0" length="0">
      <dxf/>
    </rfmt>
    <rfmt sheetId="2" sqref="IU771" start="0" length="0">
      <dxf/>
    </rfmt>
    <rfmt sheetId="2" sqref="IV771" start="0" length="0">
      <dxf/>
    </rfmt>
    <rfmt sheetId="2" sqref="IW771" start="0" length="0">
      <dxf/>
    </rfmt>
    <rfmt sheetId="2" sqref="IX771" start="0" length="0">
      <dxf/>
    </rfmt>
    <rfmt sheetId="2" sqref="IY771" start="0" length="0">
      <dxf/>
    </rfmt>
    <rfmt sheetId="2" sqref="IZ771" start="0" length="0">
      <dxf/>
    </rfmt>
    <rfmt sheetId="2" sqref="JA771" start="0" length="0">
      <dxf/>
    </rfmt>
    <rfmt sheetId="2" sqref="JB771" start="0" length="0">
      <dxf/>
    </rfmt>
    <rfmt sheetId="2" sqref="JC771" start="0" length="0">
      <dxf/>
    </rfmt>
    <rfmt sheetId="2" sqref="JD771" start="0" length="0">
      <dxf/>
    </rfmt>
    <rfmt sheetId="2" sqref="JE771" start="0" length="0">
      <dxf/>
    </rfmt>
    <rfmt sheetId="2" sqref="JF771" start="0" length="0">
      <dxf/>
    </rfmt>
    <rfmt sheetId="2" sqref="JG771" start="0" length="0">
      <dxf/>
    </rfmt>
    <rfmt sheetId="2" sqref="JH771" start="0" length="0">
      <dxf/>
    </rfmt>
    <rfmt sheetId="2" sqref="JI771" start="0" length="0">
      <dxf/>
    </rfmt>
    <rfmt sheetId="2" sqref="JJ771" start="0" length="0">
      <dxf/>
    </rfmt>
    <rfmt sheetId="2" sqref="JK771" start="0" length="0">
      <dxf/>
    </rfmt>
    <rfmt sheetId="2" sqref="JL771" start="0" length="0">
      <dxf/>
    </rfmt>
    <rfmt sheetId="2" sqref="JM771" start="0" length="0">
      <dxf/>
    </rfmt>
    <rfmt sheetId="2" sqref="JN771" start="0" length="0">
      <dxf/>
    </rfmt>
    <rfmt sheetId="2" sqref="JO771" start="0" length="0">
      <dxf/>
    </rfmt>
    <rfmt sheetId="2" sqref="JP771" start="0" length="0">
      <dxf/>
    </rfmt>
    <rfmt sheetId="2" sqref="JQ771" start="0" length="0">
      <dxf/>
    </rfmt>
    <rfmt sheetId="2" sqref="JR771" start="0" length="0">
      <dxf/>
    </rfmt>
    <rfmt sheetId="2" sqref="JS771" start="0" length="0">
      <dxf/>
    </rfmt>
    <rfmt sheetId="2" sqref="JT771" start="0" length="0">
      <dxf/>
    </rfmt>
    <rfmt sheetId="2" sqref="JU771" start="0" length="0">
      <dxf/>
    </rfmt>
    <rfmt sheetId="2" sqref="JV771" start="0" length="0">
      <dxf/>
    </rfmt>
    <rfmt sheetId="2" sqref="JW771" start="0" length="0">
      <dxf/>
    </rfmt>
    <rfmt sheetId="2" sqref="JX771" start="0" length="0">
      <dxf/>
    </rfmt>
    <rfmt sheetId="2" sqref="JY771" start="0" length="0">
      <dxf/>
    </rfmt>
    <rfmt sheetId="2" sqref="JZ771" start="0" length="0">
      <dxf/>
    </rfmt>
    <rfmt sheetId="2" sqref="KA771" start="0" length="0">
      <dxf/>
    </rfmt>
    <rfmt sheetId="2" sqref="KB771" start="0" length="0">
      <dxf/>
    </rfmt>
    <rfmt sheetId="2" sqref="KC771" start="0" length="0">
      <dxf/>
    </rfmt>
    <rfmt sheetId="2" sqref="KD771" start="0" length="0">
      <dxf/>
    </rfmt>
    <rfmt sheetId="2" sqref="KE771" start="0" length="0">
      <dxf/>
    </rfmt>
    <rfmt sheetId="2" sqref="KF771" start="0" length="0">
      <dxf/>
    </rfmt>
    <rfmt sheetId="2" sqref="KG771" start="0" length="0">
      <dxf/>
    </rfmt>
    <rfmt sheetId="2" sqref="KH771" start="0" length="0">
      <dxf/>
    </rfmt>
    <rfmt sheetId="2" sqref="KI771" start="0" length="0">
      <dxf/>
    </rfmt>
    <rfmt sheetId="2" sqref="KJ771" start="0" length="0">
      <dxf/>
    </rfmt>
    <rfmt sheetId="2" sqref="KK771" start="0" length="0">
      <dxf/>
    </rfmt>
    <rfmt sheetId="2" sqref="KL771" start="0" length="0">
      <dxf/>
    </rfmt>
    <rfmt sheetId="2" sqref="KM771" start="0" length="0">
      <dxf/>
    </rfmt>
    <rfmt sheetId="2" sqref="KN771" start="0" length="0">
      <dxf/>
    </rfmt>
    <rfmt sheetId="2" sqref="KO771" start="0" length="0">
      <dxf/>
    </rfmt>
    <rfmt sheetId="2" sqref="KP771" start="0" length="0">
      <dxf/>
    </rfmt>
    <rfmt sheetId="2" sqref="KQ771" start="0" length="0">
      <dxf/>
    </rfmt>
    <rfmt sheetId="2" sqref="KR771" start="0" length="0">
      <dxf/>
    </rfmt>
    <rfmt sheetId="2" sqref="KS771" start="0" length="0">
      <dxf/>
    </rfmt>
    <rfmt sheetId="2" sqref="KT771" start="0" length="0">
      <dxf/>
    </rfmt>
    <rfmt sheetId="2" sqref="KU771" start="0" length="0">
      <dxf/>
    </rfmt>
    <rfmt sheetId="2" sqref="KV771" start="0" length="0">
      <dxf/>
    </rfmt>
    <rfmt sheetId="2" sqref="KW771" start="0" length="0">
      <dxf/>
    </rfmt>
    <rfmt sheetId="2" sqref="KX771" start="0" length="0">
      <dxf/>
    </rfmt>
    <rfmt sheetId="2" sqref="KY771" start="0" length="0">
      <dxf/>
    </rfmt>
    <rfmt sheetId="2" sqref="KZ771" start="0" length="0">
      <dxf/>
    </rfmt>
    <rfmt sheetId="2" sqref="LA771" start="0" length="0">
      <dxf/>
    </rfmt>
    <rfmt sheetId="2" sqref="LB771" start="0" length="0">
      <dxf/>
    </rfmt>
    <rfmt sheetId="2" sqref="LC771" start="0" length="0">
      <dxf/>
    </rfmt>
    <rfmt sheetId="2" sqref="LD771" start="0" length="0">
      <dxf/>
    </rfmt>
    <rfmt sheetId="2" sqref="LE771" start="0" length="0">
      <dxf/>
    </rfmt>
    <rfmt sheetId="2" sqref="LF771" start="0" length="0">
      <dxf/>
    </rfmt>
    <rfmt sheetId="2" sqref="LG771" start="0" length="0">
      <dxf/>
    </rfmt>
    <rfmt sheetId="2" sqref="LH771" start="0" length="0">
      <dxf/>
    </rfmt>
    <rfmt sheetId="2" sqref="LI771" start="0" length="0">
      <dxf/>
    </rfmt>
    <rfmt sheetId="2" sqref="LJ771" start="0" length="0">
      <dxf/>
    </rfmt>
    <rfmt sheetId="2" sqref="LK771" start="0" length="0">
      <dxf/>
    </rfmt>
    <rfmt sheetId="2" sqref="LL771" start="0" length="0">
      <dxf/>
    </rfmt>
    <rfmt sheetId="2" sqref="LM771" start="0" length="0">
      <dxf/>
    </rfmt>
    <rfmt sheetId="2" sqref="LN771" start="0" length="0">
      <dxf/>
    </rfmt>
    <rfmt sheetId="2" sqref="LO771" start="0" length="0">
      <dxf/>
    </rfmt>
    <rfmt sheetId="2" sqref="LP771" start="0" length="0">
      <dxf/>
    </rfmt>
    <rfmt sheetId="2" sqref="LQ771" start="0" length="0">
      <dxf/>
    </rfmt>
    <rfmt sheetId="2" sqref="LR771" start="0" length="0">
      <dxf/>
    </rfmt>
    <rfmt sheetId="2" sqref="LS771" start="0" length="0">
      <dxf/>
    </rfmt>
    <rfmt sheetId="2" sqref="LT771" start="0" length="0">
      <dxf/>
    </rfmt>
    <rfmt sheetId="2" sqref="LU771" start="0" length="0">
      <dxf/>
    </rfmt>
    <rfmt sheetId="2" sqref="LV771" start="0" length="0">
      <dxf/>
    </rfmt>
    <rfmt sheetId="2" sqref="LW771" start="0" length="0">
      <dxf/>
    </rfmt>
    <rfmt sheetId="2" sqref="LX771" start="0" length="0">
      <dxf/>
    </rfmt>
    <rfmt sheetId="2" sqref="LY771" start="0" length="0">
      <dxf/>
    </rfmt>
    <rfmt sheetId="2" sqref="LZ771" start="0" length="0">
      <dxf/>
    </rfmt>
    <rfmt sheetId="2" sqref="MA771" start="0" length="0">
      <dxf/>
    </rfmt>
    <rfmt sheetId="2" sqref="MB771" start="0" length="0">
      <dxf/>
    </rfmt>
  </rrc>
  <rrc rId="1727" sId="2" ref="A771:XFD771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71:XFD771" start="0" length="0">
      <dxf>
        <font>
          <sz val="10"/>
          <name val="Arial"/>
          <scheme val="none"/>
        </font>
        <alignment horizontal="center" readingOrder="0"/>
      </dxf>
    </rfmt>
    <rfmt sheetId="2" sqref="A77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1" start="0" length="0">
      <dxf>
        <numFmt numFmtId="176" formatCode="m/d;@"/>
      </dxf>
    </rfmt>
    <rfmt sheetId="2" sqref="P77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1" start="0" length="0">
      <dxf/>
    </rfmt>
    <rfmt sheetId="2" sqref="U771" start="0" length="0">
      <dxf/>
    </rfmt>
    <rfmt sheetId="2" sqref="V771" start="0" length="0">
      <dxf/>
    </rfmt>
    <rfmt sheetId="2" sqref="W771" start="0" length="0">
      <dxf/>
    </rfmt>
    <rfmt sheetId="2" sqref="X771" start="0" length="0">
      <dxf/>
    </rfmt>
    <rfmt sheetId="2" sqref="Y771" start="0" length="0">
      <dxf/>
    </rfmt>
    <rfmt sheetId="2" sqref="Z771" start="0" length="0">
      <dxf/>
    </rfmt>
    <rfmt sheetId="2" sqref="AA771" start="0" length="0">
      <dxf/>
    </rfmt>
    <rfmt sheetId="2" sqref="AB771" start="0" length="0">
      <dxf/>
    </rfmt>
    <rfmt sheetId="2" sqref="AC771" start="0" length="0">
      <dxf/>
    </rfmt>
    <rfmt sheetId="2" sqref="AD771" start="0" length="0">
      <dxf/>
    </rfmt>
    <rfmt sheetId="2" sqref="AE771" start="0" length="0">
      <dxf/>
    </rfmt>
    <rfmt sheetId="2" sqref="AF771" start="0" length="0">
      <dxf/>
    </rfmt>
    <rfmt sheetId="2" sqref="AG771" start="0" length="0">
      <dxf/>
    </rfmt>
    <rfmt sheetId="2" sqref="AH771" start="0" length="0">
      <dxf/>
    </rfmt>
    <rfmt sheetId="2" sqref="AI771" start="0" length="0">
      <dxf/>
    </rfmt>
    <rfmt sheetId="2" sqref="AJ771" start="0" length="0">
      <dxf/>
    </rfmt>
    <rfmt sheetId="2" sqref="AK771" start="0" length="0">
      <dxf/>
    </rfmt>
    <rfmt sheetId="2" sqref="AL771" start="0" length="0">
      <dxf/>
    </rfmt>
    <rfmt sheetId="2" sqref="AM771" start="0" length="0">
      <dxf/>
    </rfmt>
    <rfmt sheetId="2" sqref="AN771" start="0" length="0">
      <dxf/>
    </rfmt>
    <rfmt sheetId="2" sqref="AO771" start="0" length="0">
      <dxf/>
    </rfmt>
    <rfmt sheetId="2" sqref="AP771" start="0" length="0">
      <dxf/>
    </rfmt>
    <rfmt sheetId="2" sqref="AQ771" start="0" length="0">
      <dxf/>
    </rfmt>
    <rfmt sheetId="2" sqref="AR771" start="0" length="0">
      <dxf/>
    </rfmt>
    <rfmt sheetId="2" sqref="AS771" start="0" length="0">
      <dxf/>
    </rfmt>
    <rfmt sheetId="2" sqref="AT771" start="0" length="0">
      <dxf/>
    </rfmt>
    <rfmt sheetId="2" sqref="AU771" start="0" length="0">
      <dxf/>
    </rfmt>
    <rfmt sheetId="2" sqref="AV771" start="0" length="0">
      <dxf/>
    </rfmt>
    <rfmt sheetId="2" sqref="AW771" start="0" length="0">
      <dxf/>
    </rfmt>
    <rfmt sheetId="2" sqref="AX771" start="0" length="0">
      <dxf/>
    </rfmt>
    <rfmt sheetId="2" sqref="AY771" start="0" length="0">
      <dxf/>
    </rfmt>
    <rfmt sheetId="2" sqref="AZ771" start="0" length="0">
      <dxf/>
    </rfmt>
    <rfmt sheetId="2" sqref="BA771" start="0" length="0">
      <dxf/>
    </rfmt>
    <rfmt sheetId="2" sqref="BB771" start="0" length="0">
      <dxf/>
    </rfmt>
    <rfmt sheetId="2" sqref="BC771" start="0" length="0">
      <dxf/>
    </rfmt>
    <rfmt sheetId="2" sqref="BD771" start="0" length="0">
      <dxf/>
    </rfmt>
    <rfmt sheetId="2" sqref="BE771" start="0" length="0">
      <dxf/>
    </rfmt>
    <rfmt sheetId="2" sqref="BF771" start="0" length="0">
      <dxf/>
    </rfmt>
    <rfmt sheetId="2" sqref="BG771" start="0" length="0">
      <dxf/>
    </rfmt>
    <rfmt sheetId="2" sqref="BH771" start="0" length="0">
      <dxf/>
    </rfmt>
    <rfmt sheetId="2" sqref="BI771" start="0" length="0">
      <dxf/>
    </rfmt>
    <rfmt sheetId="2" sqref="BJ771" start="0" length="0">
      <dxf/>
    </rfmt>
    <rfmt sheetId="2" sqref="BK771" start="0" length="0">
      <dxf/>
    </rfmt>
    <rfmt sheetId="2" sqref="BL771" start="0" length="0">
      <dxf/>
    </rfmt>
    <rfmt sheetId="2" sqref="BM771" start="0" length="0">
      <dxf/>
    </rfmt>
    <rfmt sheetId="2" sqref="BN771" start="0" length="0">
      <dxf/>
    </rfmt>
    <rfmt sheetId="2" sqref="BO771" start="0" length="0">
      <dxf/>
    </rfmt>
    <rfmt sheetId="2" sqref="BP771" start="0" length="0">
      <dxf/>
    </rfmt>
    <rfmt sheetId="2" sqref="BQ771" start="0" length="0">
      <dxf/>
    </rfmt>
    <rfmt sheetId="2" sqref="BR771" start="0" length="0">
      <dxf/>
    </rfmt>
    <rfmt sheetId="2" sqref="BS771" start="0" length="0">
      <dxf/>
    </rfmt>
    <rfmt sheetId="2" sqref="BT771" start="0" length="0">
      <dxf/>
    </rfmt>
    <rfmt sheetId="2" sqref="BU771" start="0" length="0">
      <dxf/>
    </rfmt>
    <rfmt sheetId="2" sqref="BV771" start="0" length="0">
      <dxf/>
    </rfmt>
    <rfmt sheetId="2" sqref="BW771" start="0" length="0">
      <dxf/>
    </rfmt>
    <rfmt sheetId="2" sqref="BX771" start="0" length="0">
      <dxf/>
    </rfmt>
    <rfmt sheetId="2" sqref="BY771" start="0" length="0">
      <dxf/>
    </rfmt>
    <rfmt sheetId="2" sqref="BZ771" start="0" length="0">
      <dxf/>
    </rfmt>
    <rfmt sheetId="2" sqref="CA771" start="0" length="0">
      <dxf/>
    </rfmt>
    <rfmt sheetId="2" sqref="CB771" start="0" length="0">
      <dxf/>
    </rfmt>
    <rfmt sheetId="2" sqref="CC771" start="0" length="0">
      <dxf/>
    </rfmt>
    <rfmt sheetId="2" sqref="CD771" start="0" length="0">
      <dxf/>
    </rfmt>
    <rfmt sheetId="2" sqref="CE771" start="0" length="0">
      <dxf/>
    </rfmt>
    <rfmt sheetId="2" sqref="CF771" start="0" length="0">
      <dxf/>
    </rfmt>
    <rfmt sheetId="2" sqref="CG771" start="0" length="0">
      <dxf/>
    </rfmt>
    <rfmt sheetId="2" sqref="CH771" start="0" length="0">
      <dxf/>
    </rfmt>
    <rfmt sheetId="2" sqref="CI771" start="0" length="0">
      <dxf/>
    </rfmt>
    <rfmt sheetId="2" sqref="CJ771" start="0" length="0">
      <dxf/>
    </rfmt>
    <rfmt sheetId="2" sqref="CK771" start="0" length="0">
      <dxf/>
    </rfmt>
    <rfmt sheetId="2" sqref="CL771" start="0" length="0">
      <dxf/>
    </rfmt>
    <rfmt sheetId="2" sqref="CM771" start="0" length="0">
      <dxf/>
    </rfmt>
    <rfmt sheetId="2" sqref="CN771" start="0" length="0">
      <dxf/>
    </rfmt>
    <rfmt sheetId="2" sqref="CO771" start="0" length="0">
      <dxf/>
    </rfmt>
    <rfmt sheetId="2" sqref="CP771" start="0" length="0">
      <dxf/>
    </rfmt>
    <rfmt sheetId="2" sqref="CQ771" start="0" length="0">
      <dxf/>
    </rfmt>
    <rfmt sheetId="2" sqref="CR771" start="0" length="0">
      <dxf/>
    </rfmt>
    <rfmt sheetId="2" sqref="CS771" start="0" length="0">
      <dxf/>
    </rfmt>
    <rfmt sheetId="2" sqref="CT771" start="0" length="0">
      <dxf/>
    </rfmt>
    <rfmt sheetId="2" sqref="CU771" start="0" length="0">
      <dxf/>
    </rfmt>
    <rfmt sheetId="2" sqref="CV771" start="0" length="0">
      <dxf/>
    </rfmt>
    <rfmt sheetId="2" sqref="CW771" start="0" length="0">
      <dxf/>
    </rfmt>
    <rfmt sheetId="2" sqref="CX771" start="0" length="0">
      <dxf/>
    </rfmt>
    <rfmt sheetId="2" sqref="CY771" start="0" length="0">
      <dxf/>
    </rfmt>
    <rfmt sheetId="2" sqref="CZ771" start="0" length="0">
      <dxf/>
    </rfmt>
    <rfmt sheetId="2" sqref="DA771" start="0" length="0">
      <dxf/>
    </rfmt>
    <rfmt sheetId="2" sqref="DB771" start="0" length="0">
      <dxf/>
    </rfmt>
    <rfmt sheetId="2" sqref="DC771" start="0" length="0">
      <dxf/>
    </rfmt>
    <rfmt sheetId="2" sqref="DD771" start="0" length="0">
      <dxf/>
    </rfmt>
    <rfmt sheetId="2" sqref="DE771" start="0" length="0">
      <dxf/>
    </rfmt>
    <rfmt sheetId="2" sqref="DF771" start="0" length="0">
      <dxf/>
    </rfmt>
    <rfmt sheetId="2" sqref="DG771" start="0" length="0">
      <dxf/>
    </rfmt>
    <rfmt sheetId="2" sqref="DH771" start="0" length="0">
      <dxf/>
    </rfmt>
    <rfmt sheetId="2" sqref="DI771" start="0" length="0">
      <dxf/>
    </rfmt>
    <rfmt sheetId="2" sqref="DJ771" start="0" length="0">
      <dxf/>
    </rfmt>
    <rfmt sheetId="2" sqref="DK771" start="0" length="0">
      <dxf/>
    </rfmt>
    <rfmt sheetId="2" sqref="DL771" start="0" length="0">
      <dxf/>
    </rfmt>
    <rfmt sheetId="2" sqref="DM771" start="0" length="0">
      <dxf/>
    </rfmt>
    <rfmt sheetId="2" sqref="DN771" start="0" length="0">
      <dxf/>
    </rfmt>
    <rfmt sheetId="2" sqref="DO771" start="0" length="0">
      <dxf/>
    </rfmt>
    <rfmt sheetId="2" sqref="DP771" start="0" length="0">
      <dxf/>
    </rfmt>
    <rfmt sheetId="2" sqref="DQ771" start="0" length="0">
      <dxf/>
    </rfmt>
    <rfmt sheetId="2" sqref="DR771" start="0" length="0">
      <dxf/>
    </rfmt>
    <rfmt sheetId="2" sqref="DS771" start="0" length="0">
      <dxf/>
    </rfmt>
    <rfmt sheetId="2" sqref="DT771" start="0" length="0">
      <dxf/>
    </rfmt>
    <rfmt sheetId="2" sqref="DU771" start="0" length="0">
      <dxf/>
    </rfmt>
    <rfmt sheetId="2" sqref="DV771" start="0" length="0">
      <dxf/>
    </rfmt>
    <rfmt sheetId="2" sqref="DW771" start="0" length="0">
      <dxf/>
    </rfmt>
    <rfmt sheetId="2" sqref="DX771" start="0" length="0">
      <dxf/>
    </rfmt>
    <rfmt sheetId="2" sqref="DY771" start="0" length="0">
      <dxf/>
    </rfmt>
    <rfmt sheetId="2" sqref="DZ771" start="0" length="0">
      <dxf/>
    </rfmt>
    <rfmt sheetId="2" sqref="EA771" start="0" length="0">
      <dxf/>
    </rfmt>
    <rfmt sheetId="2" sqref="EB771" start="0" length="0">
      <dxf/>
    </rfmt>
    <rfmt sheetId="2" sqref="EC771" start="0" length="0">
      <dxf/>
    </rfmt>
    <rfmt sheetId="2" sqref="ED771" start="0" length="0">
      <dxf/>
    </rfmt>
    <rfmt sheetId="2" sqref="EE771" start="0" length="0">
      <dxf/>
    </rfmt>
    <rfmt sheetId="2" sqref="EF771" start="0" length="0">
      <dxf/>
    </rfmt>
    <rfmt sheetId="2" sqref="EG771" start="0" length="0">
      <dxf/>
    </rfmt>
    <rfmt sheetId="2" sqref="EH771" start="0" length="0">
      <dxf/>
    </rfmt>
    <rfmt sheetId="2" sqref="EI771" start="0" length="0">
      <dxf/>
    </rfmt>
    <rfmt sheetId="2" sqref="EJ771" start="0" length="0">
      <dxf/>
    </rfmt>
    <rfmt sheetId="2" sqref="EK771" start="0" length="0">
      <dxf/>
    </rfmt>
    <rfmt sheetId="2" sqref="EL771" start="0" length="0">
      <dxf/>
    </rfmt>
    <rfmt sheetId="2" sqref="EM771" start="0" length="0">
      <dxf/>
    </rfmt>
    <rfmt sheetId="2" sqref="EN771" start="0" length="0">
      <dxf/>
    </rfmt>
    <rfmt sheetId="2" sqref="EO771" start="0" length="0">
      <dxf/>
    </rfmt>
    <rfmt sheetId="2" sqref="EP771" start="0" length="0">
      <dxf/>
    </rfmt>
    <rfmt sheetId="2" sqref="EQ771" start="0" length="0">
      <dxf/>
    </rfmt>
    <rfmt sheetId="2" sqref="ER771" start="0" length="0">
      <dxf/>
    </rfmt>
    <rfmt sheetId="2" sqref="ES771" start="0" length="0">
      <dxf/>
    </rfmt>
    <rfmt sheetId="2" sqref="ET771" start="0" length="0">
      <dxf/>
    </rfmt>
    <rfmt sheetId="2" sqref="EU771" start="0" length="0">
      <dxf/>
    </rfmt>
    <rfmt sheetId="2" sqref="EV771" start="0" length="0">
      <dxf/>
    </rfmt>
    <rfmt sheetId="2" sqref="EW771" start="0" length="0">
      <dxf/>
    </rfmt>
    <rfmt sheetId="2" sqref="EX771" start="0" length="0">
      <dxf/>
    </rfmt>
    <rfmt sheetId="2" sqref="EY771" start="0" length="0">
      <dxf/>
    </rfmt>
    <rfmt sheetId="2" sqref="EZ771" start="0" length="0">
      <dxf/>
    </rfmt>
    <rfmt sheetId="2" sqref="FA771" start="0" length="0">
      <dxf/>
    </rfmt>
    <rfmt sheetId="2" sqref="FB771" start="0" length="0">
      <dxf/>
    </rfmt>
    <rfmt sheetId="2" sqref="FC771" start="0" length="0">
      <dxf/>
    </rfmt>
    <rfmt sheetId="2" sqref="FD771" start="0" length="0">
      <dxf/>
    </rfmt>
    <rfmt sheetId="2" sqref="FE771" start="0" length="0">
      <dxf/>
    </rfmt>
    <rfmt sheetId="2" sqref="FF771" start="0" length="0">
      <dxf/>
    </rfmt>
    <rfmt sheetId="2" sqref="FG771" start="0" length="0">
      <dxf/>
    </rfmt>
    <rfmt sheetId="2" sqref="FH771" start="0" length="0">
      <dxf/>
    </rfmt>
    <rfmt sheetId="2" sqref="FI771" start="0" length="0">
      <dxf/>
    </rfmt>
    <rfmt sheetId="2" sqref="FJ771" start="0" length="0">
      <dxf/>
    </rfmt>
    <rfmt sheetId="2" sqref="FK771" start="0" length="0">
      <dxf/>
    </rfmt>
    <rfmt sheetId="2" sqref="FL771" start="0" length="0">
      <dxf/>
    </rfmt>
    <rfmt sheetId="2" sqref="FM771" start="0" length="0">
      <dxf/>
    </rfmt>
    <rfmt sheetId="2" sqref="FN771" start="0" length="0">
      <dxf/>
    </rfmt>
    <rfmt sheetId="2" sqref="FO771" start="0" length="0">
      <dxf/>
    </rfmt>
    <rfmt sheetId="2" sqref="FP771" start="0" length="0">
      <dxf/>
    </rfmt>
    <rfmt sheetId="2" sqref="FQ771" start="0" length="0">
      <dxf/>
    </rfmt>
    <rfmt sheetId="2" sqref="FR771" start="0" length="0">
      <dxf/>
    </rfmt>
    <rfmt sheetId="2" sqref="FS771" start="0" length="0">
      <dxf/>
    </rfmt>
    <rfmt sheetId="2" sqref="FT771" start="0" length="0">
      <dxf/>
    </rfmt>
    <rfmt sheetId="2" sqref="FU771" start="0" length="0">
      <dxf/>
    </rfmt>
    <rfmt sheetId="2" sqref="FV771" start="0" length="0">
      <dxf/>
    </rfmt>
    <rfmt sheetId="2" sqref="FW771" start="0" length="0">
      <dxf/>
    </rfmt>
    <rfmt sheetId="2" sqref="FX771" start="0" length="0">
      <dxf/>
    </rfmt>
    <rfmt sheetId="2" sqref="FY771" start="0" length="0">
      <dxf/>
    </rfmt>
    <rfmt sheetId="2" sqref="FZ771" start="0" length="0">
      <dxf/>
    </rfmt>
    <rfmt sheetId="2" sqref="GA771" start="0" length="0">
      <dxf/>
    </rfmt>
    <rfmt sheetId="2" sqref="GB771" start="0" length="0">
      <dxf/>
    </rfmt>
    <rfmt sheetId="2" sqref="GC771" start="0" length="0">
      <dxf/>
    </rfmt>
    <rfmt sheetId="2" sqref="GD771" start="0" length="0">
      <dxf/>
    </rfmt>
    <rfmt sheetId="2" sqref="GE771" start="0" length="0">
      <dxf/>
    </rfmt>
    <rfmt sheetId="2" sqref="GF771" start="0" length="0">
      <dxf/>
    </rfmt>
    <rfmt sheetId="2" sqref="GG771" start="0" length="0">
      <dxf/>
    </rfmt>
    <rfmt sheetId="2" sqref="GH771" start="0" length="0">
      <dxf/>
    </rfmt>
    <rfmt sheetId="2" sqref="GI771" start="0" length="0">
      <dxf/>
    </rfmt>
    <rfmt sheetId="2" sqref="GJ771" start="0" length="0">
      <dxf/>
    </rfmt>
    <rfmt sheetId="2" sqref="GK771" start="0" length="0">
      <dxf/>
    </rfmt>
    <rfmt sheetId="2" sqref="GL771" start="0" length="0">
      <dxf/>
    </rfmt>
    <rfmt sheetId="2" sqref="GM771" start="0" length="0">
      <dxf/>
    </rfmt>
    <rfmt sheetId="2" sqref="GN771" start="0" length="0">
      <dxf/>
    </rfmt>
    <rfmt sheetId="2" sqref="GO771" start="0" length="0">
      <dxf/>
    </rfmt>
    <rfmt sheetId="2" sqref="GP771" start="0" length="0">
      <dxf/>
    </rfmt>
    <rfmt sheetId="2" sqref="GQ771" start="0" length="0">
      <dxf/>
    </rfmt>
    <rfmt sheetId="2" sqref="GR771" start="0" length="0">
      <dxf/>
    </rfmt>
    <rfmt sheetId="2" sqref="GS771" start="0" length="0">
      <dxf/>
    </rfmt>
    <rfmt sheetId="2" sqref="GT771" start="0" length="0">
      <dxf/>
    </rfmt>
    <rfmt sheetId="2" sqref="GU771" start="0" length="0">
      <dxf/>
    </rfmt>
    <rfmt sheetId="2" sqref="GV771" start="0" length="0">
      <dxf/>
    </rfmt>
    <rfmt sheetId="2" sqref="GW771" start="0" length="0">
      <dxf/>
    </rfmt>
    <rfmt sheetId="2" sqref="GX771" start="0" length="0">
      <dxf/>
    </rfmt>
    <rfmt sheetId="2" sqref="GY771" start="0" length="0">
      <dxf/>
    </rfmt>
    <rfmt sheetId="2" sqref="GZ771" start="0" length="0">
      <dxf/>
    </rfmt>
    <rfmt sheetId="2" sqref="HA771" start="0" length="0">
      <dxf/>
    </rfmt>
    <rfmt sheetId="2" sqref="HB771" start="0" length="0">
      <dxf/>
    </rfmt>
    <rfmt sheetId="2" sqref="HC771" start="0" length="0">
      <dxf/>
    </rfmt>
    <rfmt sheetId="2" sqref="HD771" start="0" length="0">
      <dxf/>
    </rfmt>
    <rfmt sheetId="2" sqref="HE771" start="0" length="0">
      <dxf/>
    </rfmt>
    <rfmt sheetId="2" sqref="HF771" start="0" length="0">
      <dxf/>
    </rfmt>
    <rfmt sheetId="2" sqref="HG771" start="0" length="0">
      <dxf/>
    </rfmt>
    <rfmt sheetId="2" sqref="HH771" start="0" length="0">
      <dxf/>
    </rfmt>
    <rfmt sheetId="2" sqref="HI771" start="0" length="0">
      <dxf/>
    </rfmt>
    <rfmt sheetId="2" sqref="HJ771" start="0" length="0">
      <dxf/>
    </rfmt>
    <rfmt sheetId="2" sqref="HK771" start="0" length="0">
      <dxf/>
    </rfmt>
    <rfmt sheetId="2" sqref="HL771" start="0" length="0">
      <dxf/>
    </rfmt>
    <rfmt sheetId="2" sqref="HM771" start="0" length="0">
      <dxf/>
    </rfmt>
    <rfmt sheetId="2" sqref="HN771" start="0" length="0">
      <dxf/>
    </rfmt>
    <rfmt sheetId="2" sqref="HO771" start="0" length="0">
      <dxf/>
    </rfmt>
    <rfmt sheetId="2" sqref="HP771" start="0" length="0">
      <dxf/>
    </rfmt>
    <rfmt sheetId="2" sqref="HQ771" start="0" length="0">
      <dxf/>
    </rfmt>
    <rfmt sheetId="2" sqref="HR771" start="0" length="0">
      <dxf/>
    </rfmt>
    <rfmt sheetId="2" sqref="HS771" start="0" length="0">
      <dxf/>
    </rfmt>
    <rfmt sheetId="2" sqref="HT771" start="0" length="0">
      <dxf/>
    </rfmt>
    <rfmt sheetId="2" sqref="HU771" start="0" length="0">
      <dxf/>
    </rfmt>
    <rfmt sheetId="2" sqref="HV771" start="0" length="0">
      <dxf/>
    </rfmt>
    <rfmt sheetId="2" sqref="HW771" start="0" length="0">
      <dxf/>
    </rfmt>
    <rfmt sheetId="2" sqref="HX771" start="0" length="0">
      <dxf/>
    </rfmt>
    <rfmt sheetId="2" sqref="HY771" start="0" length="0">
      <dxf/>
    </rfmt>
    <rfmt sheetId="2" sqref="HZ771" start="0" length="0">
      <dxf/>
    </rfmt>
    <rfmt sheetId="2" sqref="IA771" start="0" length="0">
      <dxf/>
    </rfmt>
    <rfmt sheetId="2" sqref="IB771" start="0" length="0">
      <dxf/>
    </rfmt>
    <rfmt sheetId="2" sqref="IC771" start="0" length="0">
      <dxf/>
    </rfmt>
    <rfmt sheetId="2" sqref="ID771" start="0" length="0">
      <dxf/>
    </rfmt>
    <rfmt sheetId="2" sqref="IE771" start="0" length="0">
      <dxf/>
    </rfmt>
    <rfmt sheetId="2" sqref="IF771" start="0" length="0">
      <dxf/>
    </rfmt>
    <rfmt sheetId="2" sqref="IG771" start="0" length="0">
      <dxf/>
    </rfmt>
    <rfmt sheetId="2" sqref="IH771" start="0" length="0">
      <dxf/>
    </rfmt>
    <rfmt sheetId="2" sqref="II771" start="0" length="0">
      <dxf/>
    </rfmt>
    <rfmt sheetId="2" sqref="IJ771" start="0" length="0">
      <dxf/>
    </rfmt>
    <rfmt sheetId="2" sqref="IK771" start="0" length="0">
      <dxf/>
    </rfmt>
    <rfmt sheetId="2" sqref="IL771" start="0" length="0">
      <dxf/>
    </rfmt>
    <rfmt sheetId="2" sqref="IM771" start="0" length="0">
      <dxf/>
    </rfmt>
    <rfmt sheetId="2" sqref="IN771" start="0" length="0">
      <dxf/>
    </rfmt>
    <rfmt sheetId="2" sqref="IO771" start="0" length="0">
      <dxf/>
    </rfmt>
    <rfmt sheetId="2" sqref="IP771" start="0" length="0">
      <dxf/>
    </rfmt>
    <rfmt sheetId="2" sqref="IQ771" start="0" length="0">
      <dxf/>
    </rfmt>
    <rfmt sheetId="2" sqref="IR771" start="0" length="0">
      <dxf/>
    </rfmt>
    <rfmt sheetId="2" sqref="IS771" start="0" length="0">
      <dxf/>
    </rfmt>
    <rfmt sheetId="2" sqref="IT771" start="0" length="0">
      <dxf/>
    </rfmt>
    <rfmt sheetId="2" sqref="IU771" start="0" length="0">
      <dxf/>
    </rfmt>
    <rfmt sheetId="2" sqref="IV771" start="0" length="0">
      <dxf/>
    </rfmt>
    <rfmt sheetId="2" sqref="IW771" start="0" length="0">
      <dxf/>
    </rfmt>
    <rfmt sheetId="2" sqref="IX771" start="0" length="0">
      <dxf/>
    </rfmt>
    <rfmt sheetId="2" sqref="IY771" start="0" length="0">
      <dxf/>
    </rfmt>
    <rfmt sheetId="2" sqref="IZ771" start="0" length="0">
      <dxf/>
    </rfmt>
    <rfmt sheetId="2" sqref="JA771" start="0" length="0">
      <dxf/>
    </rfmt>
    <rfmt sheetId="2" sqref="JB771" start="0" length="0">
      <dxf/>
    </rfmt>
    <rfmt sheetId="2" sqref="JC771" start="0" length="0">
      <dxf/>
    </rfmt>
    <rfmt sheetId="2" sqref="JD771" start="0" length="0">
      <dxf/>
    </rfmt>
    <rfmt sheetId="2" sqref="JE771" start="0" length="0">
      <dxf/>
    </rfmt>
    <rfmt sheetId="2" sqref="JF771" start="0" length="0">
      <dxf/>
    </rfmt>
    <rfmt sheetId="2" sqref="JG771" start="0" length="0">
      <dxf/>
    </rfmt>
    <rfmt sheetId="2" sqref="JH771" start="0" length="0">
      <dxf/>
    </rfmt>
    <rfmt sheetId="2" sqref="JI771" start="0" length="0">
      <dxf/>
    </rfmt>
    <rfmt sheetId="2" sqref="JJ771" start="0" length="0">
      <dxf/>
    </rfmt>
    <rfmt sheetId="2" sqref="JK771" start="0" length="0">
      <dxf/>
    </rfmt>
    <rfmt sheetId="2" sqref="JL771" start="0" length="0">
      <dxf/>
    </rfmt>
    <rfmt sheetId="2" sqref="JM771" start="0" length="0">
      <dxf/>
    </rfmt>
    <rfmt sheetId="2" sqref="JN771" start="0" length="0">
      <dxf/>
    </rfmt>
    <rfmt sheetId="2" sqref="JO771" start="0" length="0">
      <dxf/>
    </rfmt>
    <rfmt sheetId="2" sqref="JP771" start="0" length="0">
      <dxf/>
    </rfmt>
    <rfmt sheetId="2" sqref="JQ771" start="0" length="0">
      <dxf/>
    </rfmt>
    <rfmt sheetId="2" sqref="JR771" start="0" length="0">
      <dxf/>
    </rfmt>
    <rfmt sheetId="2" sqref="JS771" start="0" length="0">
      <dxf/>
    </rfmt>
    <rfmt sheetId="2" sqref="JT771" start="0" length="0">
      <dxf/>
    </rfmt>
    <rfmt sheetId="2" sqref="JU771" start="0" length="0">
      <dxf/>
    </rfmt>
    <rfmt sheetId="2" sqref="JV771" start="0" length="0">
      <dxf/>
    </rfmt>
    <rfmt sheetId="2" sqref="JW771" start="0" length="0">
      <dxf/>
    </rfmt>
    <rfmt sheetId="2" sqref="JX771" start="0" length="0">
      <dxf/>
    </rfmt>
    <rfmt sheetId="2" sqref="JY771" start="0" length="0">
      <dxf/>
    </rfmt>
    <rfmt sheetId="2" sqref="JZ771" start="0" length="0">
      <dxf/>
    </rfmt>
    <rfmt sheetId="2" sqref="KA771" start="0" length="0">
      <dxf/>
    </rfmt>
    <rfmt sheetId="2" sqref="KB771" start="0" length="0">
      <dxf/>
    </rfmt>
    <rfmt sheetId="2" sqref="KC771" start="0" length="0">
      <dxf/>
    </rfmt>
    <rfmt sheetId="2" sqref="KD771" start="0" length="0">
      <dxf/>
    </rfmt>
    <rfmt sheetId="2" sqref="KE771" start="0" length="0">
      <dxf/>
    </rfmt>
    <rfmt sheetId="2" sqref="KF771" start="0" length="0">
      <dxf/>
    </rfmt>
    <rfmt sheetId="2" sqref="KG771" start="0" length="0">
      <dxf/>
    </rfmt>
    <rfmt sheetId="2" sqref="KH771" start="0" length="0">
      <dxf/>
    </rfmt>
    <rfmt sheetId="2" sqref="KI771" start="0" length="0">
      <dxf/>
    </rfmt>
    <rfmt sheetId="2" sqref="KJ771" start="0" length="0">
      <dxf/>
    </rfmt>
    <rfmt sheetId="2" sqref="KK771" start="0" length="0">
      <dxf/>
    </rfmt>
    <rfmt sheetId="2" sqref="KL771" start="0" length="0">
      <dxf/>
    </rfmt>
    <rfmt sheetId="2" sqref="KM771" start="0" length="0">
      <dxf/>
    </rfmt>
    <rfmt sheetId="2" sqref="KN771" start="0" length="0">
      <dxf/>
    </rfmt>
    <rfmt sheetId="2" sqref="KO771" start="0" length="0">
      <dxf/>
    </rfmt>
    <rfmt sheetId="2" sqref="KP771" start="0" length="0">
      <dxf/>
    </rfmt>
    <rfmt sheetId="2" sqref="KQ771" start="0" length="0">
      <dxf/>
    </rfmt>
    <rfmt sheetId="2" sqref="KR771" start="0" length="0">
      <dxf/>
    </rfmt>
    <rfmt sheetId="2" sqref="KS771" start="0" length="0">
      <dxf/>
    </rfmt>
    <rfmt sheetId="2" sqref="KT771" start="0" length="0">
      <dxf/>
    </rfmt>
    <rfmt sheetId="2" sqref="KU771" start="0" length="0">
      <dxf/>
    </rfmt>
    <rfmt sheetId="2" sqref="KV771" start="0" length="0">
      <dxf/>
    </rfmt>
    <rfmt sheetId="2" sqref="KW771" start="0" length="0">
      <dxf/>
    </rfmt>
    <rfmt sheetId="2" sqref="KX771" start="0" length="0">
      <dxf/>
    </rfmt>
    <rfmt sheetId="2" sqref="KY771" start="0" length="0">
      <dxf/>
    </rfmt>
    <rfmt sheetId="2" sqref="KZ771" start="0" length="0">
      <dxf/>
    </rfmt>
    <rfmt sheetId="2" sqref="LA771" start="0" length="0">
      <dxf/>
    </rfmt>
    <rfmt sheetId="2" sqref="LB771" start="0" length="0">
      <dxf/>
    </rfmt>
    <rfmt sheetId="2" sqref="LC771" start="0" length="0">
      <dxf/>
    </rfmt>
    <rfmt sheetId="2" sqref="LD771" start="0" length="0">
      <dxf/>
    </rfmt>
    <rfmt sheetId="2" sqref="LE771" start="0" length="0">
      <dxf/>
    </rfmt>
    <rfmt sheetId="2" sqref="LF771" start="0" length="0">
      <dxf/>
    </rfmt>
    <rfmt sheetId="2" sqref="LG771" start="0" length="0">
      <dxf/>
    </rfmt>
    <rfmt sheetId="2" sqref="LH771" start="0" length="0">
      <dxf/>
    </rfmt>
    <rfmt sheetId="2" sqref="LI771" start="0" length="0">
      <dxf/>
    </rfmt>
    <rfmt sheetId="2" sqref="LJ771" start="0" length="0">
      <dxf/>
    </rfmt>
    <rfmt sheetId="2" sqref="LK771" start="0" length="0">
      <dxf/>
    </rfmt>
    <rfmt sheetId="2" sqref="LL771" start="0" length="0">
      <dxf/>
    </rfmt>
    <rfmt sheetId="2" sqref="LM771" start="0" length="0">
      <dxf/>
    </rfmt>
    <rfmt sheetId="2" sqref="LN771" start="0" length="0">
      <dxf/>
    </rfmt>
    <rfmt sheetId="2" sqref="LO771" start="0" length="0">
      <dxf/>
    </rfmt>
    <rfmt sheetId="2" sqref="LP771" start="0" length="0">
      <dxf/>
    </rfmt>
    <rfmt sheetId="2" sqref="LQ771" start="0" length="0">
      <dxf/>
    </rfmt>
    <rfmt sheetId="2" sqref="LR771" start="0" length="0">
      <dxf/>
    </rfmt>
    <rfmt sheetId="2" sqref="LS771" start="0" length="0">
      <dxf/>
    </rfmt>
    <rfmt sheetId="2" sqref="LT771" start="0" length="0">
      <dxf/>
    </rfmt>
    <rfmt sheetId="2" sqref="LU771" start="0" length="0">
      <dxf/>
    </rfmt>
    <rfmt sheetId="2" sqref="LV771" start="0" length="0">
      <dxf/>
    </rfmt>
    <rfmt sheetId="2" sqref="LW771" start="0" length="0">
      <dxf/>
    </rfmt>
    <rfmt sheetId="2" sqref="LX771" start="0" length="0">
      <dxf/>
    </rfmt>
    <rfmt sheetId="2" sqref="LY771" start="0" length="0">
      <dxf/>
    </rfmt>
    <rfmt sheetId="2" sqref="LZ771" start="0" length="0">
      <dxf/>
    </rfmt>
    <rfmt sheetId="2" sqref="MA771" start="0" length="0">
      <dxf/>
    </rfmt>
    <rfmt sheetId="2" sqref="MB771" start="0" length="0">
      <dxf/>
    </rfmt>
  </rrc>
  <rrc rId="1728" sId="2" ref="A770:XFD771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29" sheetId="2" source="A773:XFD774" destination="A770:XFD771" sourceSheetId="2">
    <rfmt sheetId="2" xfDxf="1" sqref="A770:XFD770" start="0" length="0">
      <dxf>
        <font>
          <sz val="10"/>
          <name val="Arial"/>
          <scheme val="none"/>
        </font>
        <alignment horizontal="center" readingOrder="0"/>
      </dxf>
    </rfmt>
    <rfmt sheetId="2" xfDxf="1" sqref="A771:XFD771" start="0" length="0">
      <dxf>
        <font>
          <sz val="10"/>
          <name val="Arial"/>
          <scheme val="none"/>
        </font>
        <alignment horizontal="center" readingOrder="0"/>
      </dxf>
    </rfmt>
    <rfmt sheetId="2" sqref="A77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0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0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7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7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7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7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0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0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0" start="0" length="0">
      <dxf>
        <numFmt numFmtId="176" formatCode="m/d;@"/>
      </dxf>
    </rfmt>
    <rfmt sheetId="2" sqref="P770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0" start="0" length="0">
      <dxf/>
    </rfmt>
    <rfmt sheetId="2" sqref="U770" start="0" length="0">
      <dxf/>
    </rfmt>
    <rfmt sheetId="2" sqref="V770" start="0" length="0">
      <dxf/>
    </rfmt>
    <rfmt sheetId="2" sqref="W770" start="0" length="0">
      <dxf/>
    </rfmt>
    <rfmt sheetId="2" sqref="X770" start="0" length="0">
      <dxf/>
    </rfmt>
    <rfmt sheetId="2" sqref="Y770" start="0" length="0">
      <dxf/>
    </rfmt>
    <rfmt sheetId="2" sqref="Z770" start="0" length="0">
      <dxf/>
    </rfmt>
    <rfmt sheetId="2" sqref="AA770" start="0" length="0">
      <dxf/>
    </rfmt>
    <rfmt sheetId="2" sqref="AB770" start="0" length="0">
      <dxf/>
    </rfmt>
    <rfmt sheetId="2" sqref="AC770" start="0" length="0">
      <dxf/>
    </rfmt>
    <rfmt sheetId="2" sqref="AD770" start="0" length="0">
      <dxf/>
    </rfmt>
    <rfmt sheetId="2" sqref="AE770" start="0" length="0">
      <dxf/>
    </rfmt>
    <rfmt sheetId="2" sqref="AF770" start="0" length="0">
      <dxf/>
    </rfmt>
    <rfmt sheetId="2" sqref="AG770" start="0" length="0">
      <dxf/>
    </rfmt>
    <rfmt sheetId="2" sqref="AH770" start="0" length="0">
      <dxf/>
    </rfmt>
    <rfmt sheetId="2" sqref="AI770" start="0" length="0">
      <dxf/>
    </rfmt>
    <rfmt sheetId="2" sqref="AJ770" start="0" length="0">
      <dxf/>
    </rfmt>
    <rfmt sheetId="2" sqref="AK770" start="0" length="0">
      <dxf/>
    </rfmt>
    <rfmt sheetId="2" sqref="AL770" start="0" length="0">
      <dxf/>
    </rfmt>
    <rfmt sheetId="2" sqref="AM770" start="0" length="0">
      <dxf/>
    </rfmt>
    <rfmt sheetId="2" sqref="AN770" start="0" length="0">
      <dxf/>
    </rfmt>
    <rfmt sheetId="2" sqref="AO770" start="0" length="0">
      <dxf/>
    </rfmt>
    <rfmt sheetId="2" sqref="AP770" start="0" length="0">
      <dxf/>
    </rfmt>
    <rfmt sheetId="2" sqref="AQ770" start="0" length="0">
      <dxf/>
    </rfmt>
    <rfmt sheetId="2" sqref="AR770" start="0" length="0">
      <dxf/>
    </rfmt>
    <rfmt sheetId="2" sqref="AS770" start="0" length="0">
      <dxf/>
    </rfmt>
    <rfmt sheetId="2" sqref="AT770" start="0" length="0">
      <dxf/>
    </rfmt>
    <rfmt sheetId="2" sqref="AU770" start="0" length="0">
      <dxf/>
    </rfmt>
    <rfmt sheetId="2" sqref="AV770" start="0" length="0">
      <dxf/>
    </rfmt>
    <rfmt sheetId="2" sqref="AW770" start="0" length="0">
      <dxf/>
    </rfmt>
    <rfmt sheetId="2" sqref="AX770" start="0" length="0">
      <dxf/>
    </rfmt>
    <rfmt sheetId="2" sqref="AY770" start="0" length="0">
      <dxf/>
    </rfmt>
    <rfmt sheetId="2" sqref="AZ770" start="0" length="0">
      <dxf/>
    </rfmt>
    <rfmt sheetId="2" sqref="BA770" start="0" length="0">
      <dxf/>
    </rfmt>
    <rfmt sheetId="2" sqref="BB770" start="0" length="0">
      <dxf/>
    </rfmt>
    <rfmt sheetId="2" sqref="BC770" start="0" length="0">
      <dxf/>
    </rfmt>
    <rfmt sheetId="2" sqref="BD770" start="0" length="0">
      <dxf/>
    </rfmt>
    <rfmt sheetId="2" sqref="BE770" start="0" length="0">
      <dxf/>
    </rfmt>
    <rfmt sheetId="2" sqref="BF770" start="0" length="0">
      <dxf/>
    </rfmt>
    <rfmt sheetId="2" sqref="BG770" start="0" length="0">
      <dxf/>
    </rfmt>
    <rfmt sheetId="2" sqref="BH770" start="0" length="0">
      <dxf/>
    </rfmt>
    <rfmt sheetId="2" sqref="BI770" start="0" length="0">
      <dxf/>
    </rfmt>
    <rfmt sheetId="2" sqref="BJ770" start="0" length="0">
      <dxf/>
    </rfmt>
    <rfmt sheetId="2" sqref="BK770" start="0" length="0">
      <dxf/>
    </rfmt>
    <rfmt sheetId="2" sqref="BL770" start="0" length="0">
      <dxf/>
    </rfmt>
    <rfmt sheetId="2" sqref="BM770" start="0" length="0">
      <dxf/>
    </rfmt>
    <rfmt sheetId="2" sqref="BN770" start="0" length="0">
      <dxf/>
    </rfmt>
    <rfmt sheetId="2" sqref="BO770" start="0" length="0">
      <dxf/>
    </rfmt>
    <rfmt sheetId="2" sqref="BP770" start="0" length="0">
      <dxf/>
    </rfmt>
    <rfmt sheetId="2" sqref="BQ770" start="0" length="0">
      <dxf/>
    </rfmt>
    <rfmt sheetId="2" sqref="BR770" start="0" length="0">
      <dxf/>
    </rfmt>
    <rfmt sheetId="2" sqref="BS770" start="0" length="0">
      <dxf/>
    </rfmt>
    <rfmt sheetId="2" sqref="BT770" start="0" length="0">
      <dxf/>
    </rfmt>
    <rfmt sheetId="2" sqref="BU770" start="0" length="0">
      <dxf/>
    </rfmt>
    <rfmt sheetId="2" sqref="BV770" start="0" length="0">
      <dxf/>
    </rfmt>
    <rfmt sheetId="2" sqref="BW770" start="0" length="0">
      <dxf/>
    </rfmt>
    <rfmt sheetId="2" sqref="BX770" start="0" length="0">
      <dxf/>
    </rfmt>
    <rfmt sheetId="2" sqref="BY770" start="0" length="0">
      <dxf/>
    </rfmt>
    <rfmt sheetId="2" sqref="BZ770" start="0" length="0">
      <dxf/>
    </rfmt>
    <rfmt sheetId="2" sqref="CA770" start="0" length="0">
      <dxf/>
    </rfmt>
    <rfmt sheetId="2" sqref="CB770" start="0" length="0">
      <dxf/>
    </rfmt>
    <rfmt sheetId="2" sqref="CC770" start="0" length="0">
      <dxf/>
    </rfmt>
    <rfmt sheetId="2" sqref="CD770" start="0" length="0">
      <dxf/>
    </rfmt>
    <rfmt sheetId="2" sqref="CE770" start="0" length="0">
      <dxf/>
    </rfmt>
    <rfmt sheetId="2" sqref="CF770" start="0" length="0">
      <dxf/>
    </rfmt>
    <rfmt sheetId="2" sqref="CG770" start="0" length="0">
      <dxf/>
    </rfmt>
    <rfmt sheetId="2" sqref="CH770" start="0" length="0">
      <dxf/>
    </rfmt>
    <rfmt sheetId="2" sqref="CI770" start="0" length="0">
      <dxf/>
    </rfmt>
    <rfmt sheetId="2" sqref="CJ770" start="0" length="0">
      <dxf/>
    </rfmt>
    <rfmt sheetId="2" sqref="CK770" start="0" length="0">
      <dxf/>
    </rfmt>
    <rfmt sheetId="2" sqref="CL770" start="0" length="0">
      <dxf/>
    </rfmt>
    <rfmt sheetId="2" sqref="CM770" start="0" length="0">
      <dxf/>
    </rfmt>
    <rfmt sheetId="2" sqref="CN770" start="0" length="0">
      <dxf/>
    </rfmt>
    <rfmt sheetId="2" sqref="CO770" start="0" length="0">
      <dxf/>
    </rfmt>
    <rfmt sheetId="2" sqref="CP770" start="0" length="0">
      <dxf/>
    </rfmt>
    <rfmt sheetId="2" sqref="CQ770" start="0" length="0">
      <dxf/>
    </rfmt>
    <rfmt sheetId="2" sqref="CR770" start="0" length="0">
      <dxf/>
    </rfmt>
    <rfmt sheetId="2" sqref="CS770" start="0" length="0">
      <dxf/>
    </rfmt>
    <rfmt sheetId="2" sqref="CT770" start="0" length="0">
      <dxf/>
    </rfmt>
    <rfmt sheetId="2" sqref="CU770" start="0" length="0">
      <dxf/>
    </rfmt>
    <rfmt sheetId="2" sqref="CV770" start="0" length="0">
      <dxf/>
    </rfmt>
    <rfmt sheetId="2" sqref="CW770" start="0" length="0">
      <dxf/>
    </rfmt>
    <rfmt sheetId="2" sqref="CX770" start="0" length="0">
      <dxf/>
    </rfmt>
    <rfmt sheetId="2" sqref="CY770" start="0" length="0">
      <dxf/>
    </rfmt>
    <rfmt sheetId="2" sqref="CZ770" start="0" length="0">
      <dxf/>
    </rfmt>
    <rfmt sheetId="2" sqref="DA770" start="0" length="0">
      <dxf/>
    </rfmt>
    <rfmt sheetId="2" sqref="DB770" start="0" length="0">
      <dxf/>
    </rfmt>
    <rfmt sheetId="2" sqref="DC770" start="0" length="0">
      <dxf/>
    </rfmt>
    <rfmt sheetId="2" sqref="DD770" start="0" length="0">
      <dxf/>
    </rfmt>
    <rfmt sheetId="2" sqref="DE770" start="0" length="0">
      <dxf/>
    </rfmt>
    <rfmt sheetId="2" sqref="DF770" start="0" length="0">
      <dxf/>
    </rfmt>
    <rfmt sheetId="2" sqref="DG770" start="0" length="0">
      <dxf/>
    </rfmt>
    <rfmt sheetId="2" sqref="DH770" start="0" length="0">
      <dxf/>
    </rfmt>
    <rfmt sheetId="2" sqref="DI770" start="0" length="0">
      <dxf/>
    </rfmt>
    <rfmt sheetId="2" sqref="DJ770" start="0" length="0">
      <dxf/>
    </rfmt>
    <rfmt sheetId="2" sqref="DK770" start="0" length="0">
      <dxf/>
    </rfmt>
    <rfmt sheetId="2" sqref="DL770" start="0" length="0">
      <dxf/>
    </rfmt>
    <rfmt sheetId="2" sqref="DM770" start="0" length="0">
      <dxf/>
    </rfmt>
    <rfmt sheetId="2" sqref="DN770" start="0" length="0">
      <dxf/>
    </rfmt>
    <rfmt sheetId="2" sqref="DO770" start="0" length="0">
      <dxf/>
    </rfmt>
    <rfmt sheetId="2" sqref="DP770" start="0" length="0">
      <dxf/>
    </rfmt>
    <rfmt sheetId="2" sqref="DQ770" start="0" length="0">
      <dxf/>
    </rfmt>
    <rfmt sheetId="2" sqref="DR770" start="0" length="0">
      <dxf/>
    </rfmt>
    <rfmt sheetId="2" sqref="DS770" start="0" length="0">
      <dxf/>
    </rfmt>
    <rfmt sheetId="2" sqref="DT770" start="0" length="0">
      <dxf/>
    </rfmt>
    <rfmt sheetId="2" sqref="DU770" start="0" length="0">
      <dxf/>
    </rfmt>
    <rfmt sheetId="2" sqref="DV770" start="0" length="0">
      <dxf/>
    </rfmt>
    <rfmt sheetId="2" sqref="DW770" start="0" length="0">
      <dxf/>
    </rfmt>
    <rfmt sheetId="2" sqref="DX770" start="0" length="0">
      <dxf/>
    </rfmt>
    <rfmt sheetId="2" sqref="DY770" start="0" length="0">
      <dxf/>
    </rfmt>
    <rfmt sheetId="2" sqref="DZ770" start="0" length="0">
      <dxf/>
    </rfmt>
    <rfmt sheetId="2" sqref="EA770" start="0" length="0">
      <dxf/>
    </rfmt>
    <rfmt sheetId="2" sqref="EB770" start="0" length="0">
      <dxf/>
    </rfmt>
    <rfmt sheetId="2" sqref="EC770" start="0" length="0">
      <dxf/>
    </rfmt>
    <rfmt sheetId="2" sqref="ED770" start="0" length="0">
      <dxf/>
    </rfmt>
    <rfmt sheetId="2" sqref="EE770" start="0" length="0">
      <dxf/>
    </rfmt>
    <rfmt sheetId="2" sqref="EF770" start="0" length="0">
      <dxf/>
    </rfmt>
    <rfmt sheetId="2" sqref="EG770" start="0" length="0">
      <dxf/>
    </rfmt>
    <rfmt sheetId="2" sqref="EH770" start="0" length="0">
      <dxf/>
    </rfmt>
    <rfmt sheetId="2" sqref="EI770" start="0" length="0">
      <dxf/>
    </rfmt>
    <rfmt sheetId="2" sqref="EJ770" start="0" length="0">
      <dxf/>
    </rfmt>
    <rfmt sheetId="2" sqref="EK770" start="0" length="0">
      <dxf/>
    </rfmt>
    <rfmt sheetId="2" sqref="EL770" start="0" length="0">
      <dxf/>
    </rfmt>
    <rfmt sheetId="2" sqref="EM770" start="0" length="0">
      <dxf/>
    </rfmt>
    <rfmt sheetId="2" sqref="EN770" start="0" length="0">
      <dxf/>
    </rfmt>
    <rfmt sheetId="2" sqref="EO770" start="0" length="0">
      <dxf/>
    </rfmt>
    <rfmt sheetId="2" sqref="EP770" start="0" length="0">
      <dxf/>
    </rfmt>
    <rfmt sheetId="2" sqref="EQ770" start="0" length="0">
      <dxf/>
    </rfmt>
    <rfmt sheetId="2" sqref="ER770" start="0" length="0">
      <dxf/>
    </rfmt>
    <rfmt sheetId="2" sqref="ES770" start="0" length="0">
      <dxf/>
    </rfmt>
    <rfmt sheetId="2" sqref="ET770" start="0" length="0">
      <dxf/>
    </rfmt>
    <rfmt sheetId="2" sqref="EU770" start="0" length="0">
      <dxf/>
    </rfmt>
    <rfmt sheetId="2" sqref="EV770" start="0" length="0">
      <dxf/>
    </rfmt>
    <rfmt sheetId="2" sqref="EW770" start="0" length="0">
      <dxf/>
    </rfmt>
    <rfmt sheetId="2" sqref="EX770" start="0" length="0">
      <dxf/>
    </rfmt>
    <rfmt sheetId="2" sqref="EY770" start="0" length="0">
      <dxf/>
    </rfmt>
    <rfmt sheetId="2" sqref="EZ770" start="0" length="0">
      <dxf/>
    </rfmt>
    <rfmt sheetId="2" sqref="FA770" start="0" length="0">
      <dxf/>
    </rfmt>
    <rfmt sheetId="2" sqref="FB770" start="0" length="0">
      <dxf/>
    </rfmt>
    <rfmt sheetId="2" sqref="FC770" start="0" length="0">
      <dxf/>
    </rfmt>
    <rfmt sheetId="2" sqref="FD770" start="0" length="0">
      <dxf/>
    </rfmt>
    <rfmt sheetId="2" sqref="FE770" start="0" length="0">
      <dxf/>
    </rfmt>
    <rfmt sheetId="2" sqref="FF770" start="0" length="0">
      <dxf/>
    </rfmt>
    <rfmt sheetId="2" sqref="FG770" start="0" length="0">
      <dxf/>
    </rfmt>
    <rfmt sheetId="2" sqref="FH770" start="0" length="0">
      <dxf/>
    </rfmt>
    <rfmt sheetId="2" sqref="FI770" start="0" length="0">
      <dxf/>
    </rfmt>
    <rfmt sheetId="2" sqref="FJ770" start="0" length="0">
      <dxf/>
    </rfmt>
    <rfmt sheetId="2" sqref="FK770" start="0" length="0">
      <dxf/>
    </rfmt>
    <rfmt sheetId="2" sqref="FL770" start="0" length="0">
      <dxf/>
    </rfmt>
    <rfmt sheetId="2" sqref="FM770" start="0" length="0">
      <dxf/>
    </rfmt>
    <rfmt sheetId="2" sqref="FN770" start="0" length="0">
      <dxf/>
    </rfmt>
    <rfmt sheetId="2" sqref="FO770" start="0" length="0">
      <dxf/>
    </rfmt>
    <rfmt sheetId="2" sqref="FP770" start="0" length="0">
      <dxf/>
    </rfmt>
    <rfmt sheetId="2" sqref="FQ770" start="0" length="0">
      <dxf/>
    </rfmt>
    <rfmt sheetId="2" sqref="FR770" start="0" length="0">
      <dxf/>
    </rfmt>
    <rfmt sheetId="2" sqref="FS770" start="0" length="0">
      <dxf/>
    </rfmt>
    <rfmt sheetId="2" sqref="FT770" start="0" length="0">
      <dxf/>
    </rfmt>
    <rfmt sheetId="2" sqref="FU770" start="0" length="0">
      <dxf/>
    </rfmt>
    <rfmt sheetId="2" sqref="FV770" start="0" length="0">
      <dxf/>
    </rfmt>
    <rfmt sheetId="2" sqref="FW770" start="0" length="0">
      <dxf/>
    </rfmt>
    <rfmt sheetId="2" sqref="FX770" start="0" length="0">
      <dxf/>
    </rfmt>
    <rfmt sheetId="2" sqref="FY770" start="0" length="0">
      <dxf/>
    </rfmt>
    <rfmt sheetId="2" sqref="FZ770" start="0" length="0">
      <dxf/>
    </rfmt>
    <rfmt sheetId="2" sqref="GA770" start="0" length="0">
      <dxf/>
    </rfmt>
    <rfmt sheetId="2" sqref="GB770" start="0" length="0">
      <dxf/>
    </rfmt>
    <rfmt sheetId="2" sqref="GC770" start="0" length="0">
      <dxf/>
    </rfmt>
    <rfmt sheetId="2" sqref="GD770" start="0" length="0">
      <dxf/>
    </rfmt>
    <rfmt sheetId="2" sqref="GE770" start="0" length="0">
      <dxf/>
    </rfmt>
    <rfmt sheetId="2" sqref="GF770" start="0" length="0">
      <dxf/>
    </rfmt>
    <rfmt sheetId="2" sqref="GG770" start="0" length="0">
      <dxf/>
    </rfmt>
    <rfmt sheetId="2" sqref="GH770" start="0" length="0">
      <dxf/>
    </rfmt>
    <rfmt sheetId="2" sqref="GI770" start="0" length="0">
      <dxf/>
    </rfmt>
    <rfmt sheetId="2" sqref="GJ770" start="0" length="0">
      <dxf/>
    </rfmt>
    <rfmt sheetId="2" sqref="GK770" start="0" length="0">
      <dxf/>
    </rfmt>
    <rfmt sheetId="2" sqref="GL770" start="0" length="0">
      <dxf/>
    </rfmt>
    <rfmt sheetId="2" sqref="GM770" start="0" length="0">
      <dxf/>
    </rfmt>
    <rfmt sheetId="2" sqref="GN770" start="0" length="0">
      <dxf/>
    </rfmt>
    <rfmt sheetId="2" sqref="GO770" start="0" length="0">
      <dxf/>
    </rfmt>
    <rfmt sheetId="2" sqref="GP770" start="0" length="0">
      <dxf/>
    </rfmt>
    <rfmt sheetId="2" sqref="GQ770" start="0" length="0">
      <dxf/>
    </rfmt>
    <rfmt sheetId="2" sqref="GR770" start="0" length="0">
      <dxf/>
    </rfmt>
    <rfmt sheetId="2" sqref="GS770" start="0" length="0">
      <dxf/>
    </rfmt>
    <rfmt sheetId="2" sqref="GT770" start="0" length="0">
      <dxf/>
    </rfmt>
    <rfmt sheetId="2" sqref="GU770" start="0" length="0">
      <dxf/>
    </rfmt>
    <rfmt sheetId="2" sqref="GV770" start="0" length="0">
      <dxf/>
    </rfmt>
    <rfmt sheetId="2" sqref="GW770" start="0" length="0">
      <dxf/>
    </rfmt>
    <rfmt sheetId="2" sqref="GX770" start="0" length="0">
      <dxf/>
    </rfmt>
    <rfmt sheetId="2" sqref="GY770" start="0" length="0">
      <dxf/>
    </rfmt>
    <rfmt sheetId="2" sqref="GZ770" start="0" length="0">
      <dxf/>
    </rfmt>
    <rfmt sheetId="2" sqref="HA770" start="0" length="0">
      <dxf/>
    </rfmt>
    <rfmt sheetId="2" sqref="HB770" start="0" length="0">
      <dxf/>
    </rfmt>
    <rfmt sheetId="2" sqref="HC770" start="0" length="0">
      <dxf/>
    </rfmt>
    <rfmt sheetId="2" sqref="HD770" start="0" length="0">
      <dxf/>
    </rfmt>
    <rfmt sheetId="2" sqref="HE770" start="0" length="0">
      <dxf/>
    </rfmt>
    <rfmt sheetId="2" sqref="HF770" start="0" length="0">
      <dxf/>
    </rfmt>
    <rfmt sheetId="2" sqref="HG770" start="0" length="0">
      <dxf/>
    </rfmt>
    <rfmt sheetId="2" sqref="HH770" start="0" length="0">
      <dxf/>
    </rfmt>
    <rfmt sheetId="2" sqref="HI770" start="0" length="0">
      <dxf/>
    </rfmt>
    <rfmt sheetId="2" sqref="HJ770" start="0" length="0">
      <dxf/>
    </rfmt>
    <rfmt sheetId="2" sqref="HK770" start="0" length="0">
      <dxf/>
    </rfmt>
    <rfmt sheetId="2" sqref="HL770" start="0" length="0">
      <dxf/>
    </rfmt>
    <rfmt sheetId="2" sqref="HM770" start="0" length="0">
      <dxf/>
    </rfmt>
    <rfmt sheetId="2" sqref="HN770" start="0" length="0">
      <dxf/>
    </rfmt>
    <rfmt sheetId="2" sqref="HO770" start="0" length="0">
      <dxf/>
    </rfmt>
    <rfmt sheetId="2" sqref="HP770" start="0" length="0">
      <dxf/>
    </rfmt>
    <rfmt sheetId="2" sqref="HQ770" start="0" length="0">
      <dxf/>
    </rfmt>
    <rfmt sheetId="2" sqref="HR770" start="0" length="0">
      <dxf/>
    </rfmt>
    <rfmt sheetId="2" sqref="HS770" start="0" length="0">
      <dxf/>
    </rfmt>
    <rfmt sheetId="2" sqref="HT770" start="0" length="0">
      <dxf/>
    </rfmt>
    <rfmt sheetId="2" sqref="HU770" start="0" length="0">
      <dxf/>
    </rfmt>
    <rfmt sheetId="2" sqref="HV770" start="0" length="0">
      <dxf/>
    </rfmt>
    <rfmt sheetId="2" sqref="HW770" start="0" length="0">
      <dxf/>
    </rfmt>
    <rfmt sheetId="2" sqref="HX770" start="0" length="0">
      <dxf/>
    </rfmt>
    <rfmt sheetId="2" sqref="HY770" start="0" length="0">
      <dxf/>
    </rfmt>
    <rfmt sheetId="2" sqref="HZ770" start="0" length="0">
      <dxf/>
    </rfmt>
    <rfmt sheetId="2" sqref="IA770" start="0" length="0">
      <dxf/>
    </rfmt>
    <rfmt sheetId="2" sqref="IB770" start="0" length="0">
      <dxf/>
    </rfmt>
    <rfmt sheetId="2" sqref="IC770" start="0" length="0">
      <dxf/>
    </rfmt>
    <rfmt sheetId="2" sqref="ID770" start="0" length="0">
      <dxf/>
    </rfmt>
    <rfmt sheetId="2" sqref="IE770" start="0" length="0">
      <dxf/>
    </rfmt>
    <rfmt sheetId="2" sqref="IF770" start="0" length="0">
      <dxf/>
    </rfmt>
    <rfmt sheetId="2" sqref="IG770" start="0" length="0">
      <dxf/>
    </rfmt>
    <rfmt sheetId="2" sqref="IH770" start="0" length="0">
      <dxf/>
    </rfmt>
    <rfmt sheetId="2" sqref="II770" start="0" length="0">
      <dxf/>
    </rfmt>
    <rfmt sheetId="2" sqref="IJ770" start="0" length="0">
      <dxf/>
    </rfmt>
    <rfmt sheetId="2" sqref="IK770" start="0" length="0">
      <dxf/>
    </rfmt>
    <rfmt sheetId="2" sqref="IL770" start="0" length="0">
      <dxf/>
    </rfmt>
    <rfmt sheetId="2" sqref="IM770" start="0" length="0">
      <dxf/>
    </rfmt>
    <rfmt sheetId="2" sqref="IN770" start="0" length="0">
      <dxf/>
    </rfmt>
    <rfmt sheetId="2" sqref="IO770" start="0" length="0">
      <dxf/>
    </rfmt>
    <rfmt sheetId="2" sqref="IP770" start="0" length="0">
      <dxf/>
    </rfmt>
    <rfmt sheetId="2" sqref="IQ770" start="0" length="0">
      <dxf/>
    </rfmt>
    <rfmt sheetId="2" sqref="IR770" start="0" length="0">
      <dxf/>
    </rfmt>
    <rfmt sheetId="2" sqref="IS770" start="0" length="0">
      <dxf/>
    </rfmt>
    <rfmt sheetId="2" sqref="IT770" start="0" length="0">
      <dxf/>
    </rfmt>
    <rfmt sheetId="2" sqref="IU770" start="0" length="0">
      <dxf/>
    </rfmt>
    <rfmt sheetId="2" sqref="IV770" start="0" length="0">
      <dxf/>
    </rfmt>
    <rfmt sheetId="2" sqref="IW770" start="0" length="0">
      <dxf/>
    </rfmt>
    <rfmt sheetId="2" sqref="IX770" start="0" length="0">
      <dxf/>
    </rfmt>
    <rfmt sheetId="2" sqref="IY770" start="0" length="0">
      <dxf/>
    </rfmt>
    <rfmt sheetId="2" sqref="IZ770" start="0" length="0">
      <dxf/>
    </rfmt>
    <rfmt sheetId="2" sqref="JA770" start="0" length="0">
      <dxf/>
    </rfmt>
    <rfmt sheetId="2" sqref="JB770" start="0" length="0">
      <dxf/>
    </rfmt>
    <rfmt sheetId="2" sqref="JC770" start="0" length="0">
      <dxf/>
    </rfmt>
    <rfmt sheetId="2" sqref="JD770" start="0" length="0">
      <dxf/>
    </rfmt>
    <rfmt sheetId="2" sqref="JE770" start="0" length="0">
      <dxf/>
    </rfmt>
    <rfmt sheetId="2" sqref="JF770" start="0" length="0">
      <dxf/>
    </rfmt>
    <rfmt sheetId="2" sqref="JG770" start="0" length="0">
      <dxf/>
    </rfmt>
    <rfmt sheetId="2" sqref="JH770" start="0" length="0">
      <dxf/>
    </rfmt>
    <rfmt sheetId="2" sqref="JI770" start="0" length="0">
      <dxf/>
    </rfmt>
    <rfmt sheetId="2" sqref="JJ770" start="0" length="0">
      <dxf/>
    </rfmt>
    <rfmt sheetId="2" sqref="JK770" start="0" length="0">
      <dxf/>
    </rfmt>
    <rfmt sheetId="2" sqref="JL770" start="0" length="0">
      <dxf/>
    </rfmt>
    <rfmt sheetId="2" sqref="JM770" start="0" length="0">
      <dxf/>
    </rfmt>
    <rfmt sheetId="2" sqref="JN770" start="0" length="0">
      <dxf/>
    </rfmt>
    <rfmt sheetId="2" sqref="JO770" start="0" length="0">
      <dxf/>
    </rfmt>
    <rfmt sheetId="2" sqref="JP770" start="0" length="0">
      <dxf/>
    </rfmt>
    <rfmt sheetId="2" sqref="JQ770" start="0" length="0">
      <dxf/>
    </rfmt>
    <rfmt sheetId="2" sqref="JR770" start="0" length="0">
      <dxf/>
    </rfmt>
    <rfmt sheetId="2" sqref="JS770" start="0" length="0">
      <dxf/>
    </rfmt>
    <rfmt sheetId="2" sqref="JT770" start="0" length="0">
      <dxf/>
    </rfmt>
    <rfmt sheetId="2" sqref="JU770" start="0" length="0">
      <dxf/>
    </rfmt>
    <rfmt sheetId="2" sqref="JV770" start="0" length="0">
      <dxf/>
    </rfmt>
    <rfmt sheetId="2" sqref="JW770" start="0" length="0">
      <dxf/>
    </rfmt>
    <rfmt sheetId="2" sqref="JX770" start="0" length="0">
      <dxf/>
    </rfmt>
    <rfmt sheetId="2" sqref="JY770" start="0" length="0">
      <dxf/>
    </rfmt>
    <rfmt sheetId="2" sqref="JZ770" start="0" length="0">
      <dxf/>
    </rfmt>
    <rfmt sheetId="2" sqref="KA770" start="0" length="0">
      <dxf/>
    </rfmt>
    <rfmt sheetId="2" sqref="KB770" start="0" length="0">
      <dxf/>
    </rfmt>
    <rfmt sheetId="2" sqref="KC770" start="0" length="0">
      <dxf/>
    </rfmt>
    <rfmt sheetId="2" sqref="KD770" start="0" length="0">
      <dxf/>
    </rfmt>
    <rfmt sheetId="2" sqref="KE770" start="0" length="0">
      <dxf/>
    </rfmt>
    <rfmt sheetId="2" sqref="KF770" start="0" length="0">
      <dxf/>
    </rfmt>
    <rfmt sheetId="2" sqref="KG770" start="0" length="0">
      <dxf/>
    </rfmt>
    <rfmt sheetId="2" sqref="KH770" start="0" length="0">
      <dxf/>
    </rfmt>
    <rfmt sheetId="2" sqref="KI770" start="0" length="0">
      <dxf/>
    </rfmt>
    <rfmt sheetId="2" sqref="KJ770" start="0" length="0">
      <dxf/>
    </rfmt>
    <rfmt sheetId="2" sqref="KK770" start="0" length="0">
      <dxf/>
    </rfmt>
    <rfmt sheetId="2" sqref="KL770" start="0" length="0">
      <dxf/>
    </rfmt>
    <rfmt sheetId="2" sqref="KM770" start="0" length="0">
      <dxf/>
    </rfmt>
    <rfmt sheetId="2" sqref="KN770" start="0" length="0">
      <dxf/>
    </rfmt>
    <rfmt sheetId="2" sqref="KO770" start="0" length="0">
      <dxf/>
    </rfmt>
    <rfmt sheetId="2" sqref="KP770" start="0" length="0">
      <dxf/>
    </rfmt>
    <rfmt sheetId="2" sqref="KQ770" start="0" length="0">
      <dxf/>
    </rfmt>
    <rfmt sheetId="2" sqref="KR770" start="0" length="0">
      <dxf/>
    </rfmt>
    <rfmt sheetId="2" sqref="KS770" start="0" length="0">
      <dxf/>
    </rfmt>
    <rfmt sheetId="2" sqref="KT770" start="0" length="0">
      <dxf/>
    </rfmt>
    <rfmt sheetId="2" sqref="KU770" start="0" length="0">
      <dxf/>
    </rfmt>
    <rfmt sheetId="2" sqref="KV770" start="0" length="0">
      <dxf/>
    </rfmt>
    <rfmt sheetId="2" sqref="KW770" start="0" length="0">
      <dxf/>
    </rfmt>
    <rfmt sheetId="2" sqref="KX770" start="0" length="0">
      <dxf/>
    </rfmt>
    <rfmt sheetId="2" sqref="KY770" start="0" length="0">
      <dxf/>
    </rfmt>
    <rfmt sheetId="2" sqref="KZ770" start="0" length="0">
      <dxf/>
    </rfmt>
    <rfmt sheetId="2" sqref="LA770" start="0" length="0">
      <dxf/>
    </rfmt>
    <rfmt sheetId="2" sqref="LB770" start="0" length="0">
      <dxf/>
    </rfmt>
    <rfmt sheetId="2" sqref="LC770" start="0" length="0">
      <dxf/>
    </rfmt>
    <rfmt sheetId="2" sqref="LD770" start="0" length="0">
      <dxf/>
    </rfmt>
    <rfmt sheetId="2" sqref="LE770" start="0" length="0">
      <dxf/>
    </rfmt>
    <rfmt sheetId="2" sqref="LF770" start="0" length="0">
      <dxf/>
    </rfmt>
    <rfmt sheetId="2" sqref="LG770" start="0" length="0">
      <dxf/>
    </rfmt>
    <rfmt sheetId="2" sqref="LH770" start="0" length="0">
      <dxf/>
    </rfmt>
    <rfmt sheetId="2" sqref="LI770" start="0" length="0">
      <dxf/>
    </rfmt>
    <rfmt sheetId="2" sqref="LJ770" start="0" length="0">
      <dxf/>
    </rfmt>
    <rfmt sheetId="2" sqref="LK770" start="0" length="0">
      <dxf/>
    </rfmt>
    <rfmt sheetId="2" sqref="LL770" start="0" length="0">
      <dxf/>
    </rfmt>
    <rfmt sheetId="2" sqref="LM770" start="0" length="0">
      <dxf/>
    </rfmt>
    <rfmt sheetId="2" sqref="LN770" start="0" length="0">
      <dxf/>
    </rfmt>
    <rfmt sheetId="2" sqref="LO770" start="0" length="0">
      <dxf/>
    </rfmt>
    <rfmt sheetId="2" sqref="LP770" start="0" length="0">
      <dxf/>
    </rfmt>
    <rfmt sheetId="2" sqref="LQ770" start="0" length="0">
      <dxf/>
    </rfmt>
    <rfmt sheetId="2" sqref="LR770" start="0" length="0">
      <dxf/>
    </rfmt>
    <rfmt sheetId="2" sqref="LS770" start="0" length="0">
      <dxf/>
    </rfmt>
    <rfmt sheetId="2" sqref="LT770" start="0" length="0">
      <dxf/>
    </rfmt>
    <rfmt sheetId="2" sqref="LU770" start="0" length="0">
      <dxf/>
    </rfmt>
    <rfmt sheetId="2" sqref="LV770" start="0" length="0">
      <dxf/>
    </rfmt>
    <rfmt sheetId="2" sqref="LW770" start="0" length="0">
      <dxf/>
    </rfmt>
    <rfmt sheetId="2" sqref="LX770" start="0" length="0">
      <dxf/>
    </rfmt>
    <rfmt sheetId="2" sqref="LY770" start="0" length="0">
      <dxf/>
    </rfmt>
    <rfmt sheetId="2" sqref="LZ770" start="0" length="0">
      <dxf/>
    </rfmt>
    <rfmt sheetId="2" sqref="MA770" start="0" length="0">
      <dxf/>
    </rfmt>
    <rfmt sheetId="2" sqref="MB770" start="0" length="0">
      <dxf/>
    </rfmt>
    <rfmt sheetId="2" sqref="A77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1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1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7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7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7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7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1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1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1" start="0" length="0">
      <dxf>
        <numFmt numFmtId="176" formatCode="m/d;@"/>
      </dxf>
    </rfmt>
    <rfmt sheetId="2" sqref="P77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1" start="0" length="0">
      <dxf/>
    </rfmt>
    <rfmt sheetId="2" sqref="U771" start="0" length="0">
      <dxf/>
    </rfmt>
    <rfmt sheetId="2" sqref="V771" start="0" length="0">
      <dxf/>
    </rfmt>
    <rfmt sheetId="2" sqref="W771" start="0" length="0">
      <dxf/>
    </rfmt>
    <rfmt sheetId="2" sqref="X771" start="0" length="0">
      <dxf/>
    </rfmt>
    <rfmt sheetId="2" sqref="Y771" start="0" length="0">
      <dxf/>
    </rfmt>
    <rfmt sheetId="2" sqref="Z771" start="0" length="0">
      <dxf/>
    </rfmt>
    <rfmt sheetId="2" sqref="AA771" start="0" length="0">
      <dxf/>
    </rfmt>
    <rfmt sheetId="2" sqref="AB771" start="0" length="0">
      <dxf/>
    </rfmt>
    <rfmt sheetId="2" sqref="AC771" start="0" length="0">
      <dxf/>
    </rfmt>
    <rfmt sheetId="2" sqref="AD771" start="0" length="0">
      <dxf/>
    </rfmt>
    <rfmt sheetId="2" sqref="AE771" start="0" length="0">
      <dxf/>
    </rfmt>
    <rfmt sheetId="2" sqref="AF771" start="0" length="0">
      <dxf/>
    </rfmt>
    <rfmt sheetId="2" sqref="AG771" start="0" length="0">
      <dxf/>
    </rfmt>
    <rfmt sheetId="2" sqref="AH771" start="0" length="0">
      <dxf/>
    </rfmt>
    <rfmt sheetId="2" sqref="AI771" start="0" length="0">
      <dxf/>
    </rfmt>
    <rfmt sheetId="2" sqref="AJ771" start="0" length="0">
      <dxf/>
    </rfmt>
    <rfmt sheetId="2" sqref="AK771" start="0" length="0">
      <dxf/>
    </rfmt>
    <rfmt sheetId="2" sqref="AL771" start="0" length="0">
      <dxf/>
    </rfmt>
    <rfmt sheetId="2" sqref="AM771" start="0" length="0">
      <dxf/>
    </rfmt>
    <rfmt sheetId="2" sqref="AN771" start="0" length="0">
      <dxf/>
    </rfmt>
    <rfmt sheetId="2" sqref="AO771" start="0" length="0">
      <dxf/>
    </rfmt>
    <rfmt sheetId="2" sqref="AP771" start="0" length="0">
      <dxf/>
    </rfmt>
    <rfmt sheetId="2" sqref="AQ771" start="0" length="0">
      <dxf/>
    </rfmt>
    <rfmt sheetId="2" sqref="AR771" start="0" length="0">
      <dxf/>
    </rfmt>
    <rfmt sheetId="2" sqref="AS771" start="0" length="0">
      <dxf/>
    </rfmt>
    <rfmt sheetId="2" sqref="AT771" start="0" length="0">
      <dxf/>
    </rfmt>
    <rfmt sheetId="2" sqref="AU771" start="0" length="0">
      <dxf/>
    </rfmt>
    <rfmt sheetId="2" sqref="AV771" start="0" length="0">
      <dxf/>
    </rfmt>
    <rfmt sheetId="2" sqref="AW771" start="0" length="0">
      <dxf/>
    </rfmt>
    <rfmt sheetId="2" sqref="AX771" start="0" length="0">
      <dxf/>
    </rfmt>
    <rfmt sheetId="2" sqref="AY771" start="0" length="0">
      <dxf/>
    </rfmt>
    <rfmt sheetId="2" sqref="AZ771" start="0" length="0">
      <dxf/>
    </rfmt>
    <rfmt sheetId="2" sqref="BA771" start="0" length="0">
      <dxf/>
    </rfmt>
    <rfmt sheetId="2" sqref="BB771" start="0" length="0">
      <dxf/>
    </rfmt>
    <rfmt sheetId="2" sqref="BC771" start="0" length="0">
      <dxf/>
    </rfmt>
    <rfmt sheetId="2" sqref="BD771" start="0" length="0">
      <dxf/>
    </rfmt>
    <rfmt sheetId="2" sqref="BE771" start="0" length="0">
      <dxf/>
    </rfmt>
    <rfmt sheetId="2" sqref="BF771" start="0" length="0">
      <dxf/>
    </rfmt>
    <rfmt sheetId="2" sqref="BG771" start="0" length="0">
      <dxf/>
    </rfmt>
    <rfmt sheetId="2" sqref="BH771" start="0" length="0">
      <dxf/>
    </rfmt>
    <rfmt sheetId="2" sqref="BI771" start="0" length="0">
      <dxf/>
    </rfmt>
    <rfmt sheetId="2" sqref="BJ771" start="0" length="0">
      <dxf/>
    </rfmt>
    <rfmt sheetId="2" sqref="BK771" start="0" length="0">
      <dxf/>
    </rfmt>
    <rfmt sheetId="2" sqref="BL771" start="0" length="0">
      <dxf/>
    </rfmt>
    <rfmt sheetId="2" sqref="BM771" start="0" length="0">
      <dxf/>
    </rfmt>
    <rfmt sheetId="2" sqref="BN771" start="0" length="0">
      <dxf/>
    </rfmt>
    <rfmt sheetId="2" sqref="BO771" start="0" length="0">
      <dxf/>
    </rfmt>
    <rfmt sheetId="2" sqref="BP771" start="0" length="0">
      <dxf/>
    </rfmt>
    <rfmt sheetId="2" sqref="BQ771" start="0" length="0">
      <dxf/>
    </rfmt>
    <rfmt sheetId="2" sqref="BR771" start="0" length="0">
      <dxf/>
    </rfmt>
    <rfmt sheetId="2" sqref="BS771" start="0" length="0">
      <dxf/>
    </rfmt>
    <rfmt sheetId="2" sqref="BT771" start="0" length="0">
      <dxf/>
    </rfmt>
    <rfmt sheetId="2" sqref="BU771" start="0" length="0">
      <dxf/>
    </rfmt>
    <rfmt sheetId="2" sqref="BV771" start="0" length="0">
      <dxf/>
    </rfmt>
    <rfmt sheetId="2" sqref="BW771" start="0" length="0">
      <dxf/>
    </rfmt>
    <rfmt sheetId="2" sqref="BX771" start="0" length="0">
      <dxf/>
    </rfmt>
    <rfmt sheetId="2" sqref="BY771" start="0" length="0">
      <dxf/>
    </rfmt>
    <rfmt sheetId="2" sqref="BZ771" start="0" length="0">
      <dxf/>
    </rfmt>
    <rfmt sheetId="2" sqref="CA771" start="0" length="0">
      <dxf/>
    </rfmt>
    <rfmt sheetId="2" sqref="CB771" start="0" length="0">
      <dxf/>
    </rfmt>
    <rfmt sheetId="2" sqref="CC771" start="0" length="0">
      <dxf/>
    </rfmt>
    <rfmt sheetId="2" sqref="CD771" start="0" length="0">
      <dxf/>
    </rfmt>
    <rfmt sheetId="2" sqref="CE771" start="0" length="0">
      <dxf/>
    </rfmt>
    <rfmt sheetId="2" sqref="CF771" start="0" length="0">
      <dxf/>
    </rfmt>
    <rfmt sheetId="2" sqref="CG771" start="0" length="0">
      <dxf/>
    </rfmt>
    <rfmt sheetId="2" sqref="CH771" start="0" length="0">
      <dxf/>
    </rfmt>
    <rfmt sheetId="2" sqref="CI771" start="0" length="0">
      <dxf/>
    </rfmt>
    <rfmt sheetId="2" sqref="CJ771" start="0" length="0">
      <dxf/>
    </rfmt>
    <rfmt sheetId="2" sqref="CK771" start="0" length="0">
      <dxf/>
    </rfmt>
    <rfmt sheetId="2" sqref="CL771" start="0" length="0">
      <dxf/>
    </rfmt>
    <rfmt sheetId="2" sqref="CM771" start="0" length="0">
      <dxf/>
    </rfmt>
    <rfmt sheetId="2" sqref="CN771" start="0" length="0">
      <dxf/>
    </rfmt>
    <rfmt sheetId="2" sqref="CO771" start="0" length="0">
      <dxf/>
    </rfmt>
    <rfmt sheetId="2" sqref="CP771" start="0" length="0">
      <dxf/>
    </rfmt>
    <rfmt sheetId="2" sqref="CQ771" start="0" length="0">
      <dxf/>
    </rfmt>
    <rfmt sheetId="2" sqref="CR771" start="0" length="0">
      <dxf/>
    </rfmt>
    <rfmt sheetId="2" sqref="CS771" start="0" length="0">
      <dxf/>
    </rfmt>
    <rfmt sheetId="2" sqref="CT771" start="0" length="0">
      <dxf/>
    </rfmt>
    <rfmt sheetId="2" sqref="CU771" start="0" length="0">
      <dxf/>
    </rfmt>
    <rfmt sheetId="2" sqref="CV771" start="0" length="0">
      <dxf/>
    </rfmt>
    <rfmt sheetId="2" sqref="CW771" start="0" length="0">
      <dxf/>
    </rfmt>
    <rfmt sheetId="2" sqref="CX771" start="0" length="0">
      <dxf/>
    </rfmt>
    <rfmt sheetId="2" sqref="CY771" start="0" length="0">
      <dxf/>
    </rfmt>
    <rfmt sheetId="2" sqref="CZ771" start="0" length="0">
      <dxf/>
    </rfmt>
    <rfmt sheetId="2" sqref="DA771" start="0" length="0">
      <dxf/>
    </rfmt>
    <rfmt sheetId="2" sqref="DB771" start="0" length="0">
      <dxf/>
    </rfmt>
    <rfmt sheetId="2" sqref="DC771" start="0" length="0">
      <dxf/>
    </rfmt>
    <rfmt sheetId="2" sqref="DD771" start="0" length="0">
      <dxf/>
    </rfmt>
    <rfmt sheetId="2" sqref="DE771" start="0" length="0">
      <dxf/>
    </rfmt>
    <rfmt sheetId="2" sqref="DF771" start="0" length="0">
      <dxf/>
    </rfmt>
    <rfmt sheetId="2" sqref="DG771" start="0" length="0">
      <dxf/>
    </rfmt>
    <rfmt sheetId="2" sqref="DH771" start="0" length="0">
      <dxf/>
    </rfmt>
    <rfmt sheetId="2" sqref="DI771" start="0" length="0">
      <dxf/>
    </rfmt>
    <rfmt sheetId="2" sqref="DJ771" start="0" length="0">
      <dxf/>
    </rfmt>
    <rfmt sheetId="2" sqref="DK771" start="0" length="0">
      <dxf/>
    </rfmt>
    <rfmt sheetId="2" sqref="DL771" start="0" length="0">
      <dxf/>
    </rfmt>
    <rfmt sheetId="2" sqref="DM771" start="0" length="0">
      <dxf/>
    </rfmt>
    <rfmt sheetId="2" sqref="DN771" start="0" length="0">
      <dxf/>
    </rfmt>
    <rfmt sheetId="2" sqref="DO771" start="0" length="0">
      <dxf/>
    </rfmt>
    <rfmt sheetId="2" sqref="DP771" start="0" length="0">
      <dxf/>
    </rfmt>
    <rfmt sheetId="2" sqref="DQ771" start="0" length="0">
      <dxf/>
    </rfmt>
    <rfmt sheetId="2" sqref="DR771" start="0" length="0">
      <dxf/>
    </rfmt>
    <rfmt sheetId="2" sqref="DS771" start="0" length="0">
      <dxf/>
    </rfmt>
    <rfmt sheetId="2" sqref="DT771" start="0" length="0">
      <dxf/>
    </rfmt>
    <rfmt sheetId="2" sqref="DU771" start="0" length="0">
      <dxf/>
    </rfmt>
    <rfmt sheetId="2" sqref="DV771" start="0" length="0">
      <dxf/>
    </rfmt>
    <rfmt sheetId="2" sqref="DW771" start="0" length="0">
      <dxf/>
    </rfmt>
    <rfmt sheetId="2" sqref="DX771" start="0" length="0">
      <dxf/>
    </rfmt>
    <rfmt sheetId="2" sqref="DY771" start="0" length="0">
      <dxf/>
    </rfmt>
    <rfmt sheetId="2" sqref="DZ771" start="0" length="0">
      <dxf/>
    </rfmt>
    <rfmt sheetId="2" sqref="EA771" start="0" length="0">
      <dxf/>
    </rfmt>
    <rfmt sheetId="2" sqref="EB771" start="0" length="0">
      <dxf/>
    </rfmt>
    <rfmt sheetId="2" sqref="EC771" start="0" length="0">
      <dxf/>
    </rfmt>
    <rfmt sheetId="2" sqref="ED771" start="0" length="0">
      <dxf/>
    </rfmt>
    <rfmt sheetId="2" sqref="EE771" start="0" length="0">
      <dxf/>
    </rfmt>
    <rfmt sheetId="2" sqref="EF771" start="0" length="0">
      <dxf/>
    </rfmt>
    <rfmt sheetId="2" sqref="EG771" start="0" length="0">
      <dxf/>
    </rfmt>
    <rfmt sheetId="2" sqref="EH771" start="0" length="0">
      <dxf/>
    </rfmt>
    <rfmt sheetId="2" sqref="EI771" start="0" length="0">
      <dxf/>
    </rfmt>
    <rfmt sheetId="2" sqref="EJ771" start="0" length="0">
      <dxf/>
    </rfmt>
    <rfmt sheetId="2" sqref="EK771" start="0" length="0">
      <dxf/>
    </rfmt>
    <rfmt sheetId="2" sqref="EL771" start="0" length="0">
      <dxf/>
    </rfmt>
    <rfmt sheetId="2" sqref="EM771" start="0" length="0">
      <dxf/>
    </rfmt>
    <rfmt sheetId="2" sqref="EN771" start="0" length="0">
      <dxf/>
    </rfmt>
    <rfmt sheetId="2" sqref="EO771" start="0" length="0">
      <dxf/>
    </rfmt>
    <rfmt sheetId="2" sqref="EP771" start="0" length="0">
      <dxf/>
    </rfmt>
    <rfmt sheetId="2" sqref="EQ771" start="0" length="0">
      <dxf/>
    </rfmt>
    <rfmt sheetId="2" sqref="ER771" start="0" length="0">
      <dxf/>
    </rfmt>
    <rfmt sheetId="2" sqref="ES771" start="0" length="0">
      <dxf/>
    </rfmt>
    <rfmt sheetId="2" sqref="ET771" start="0" length="0">
      <dxf/>
    </rfmt>
    <rfmt sheetId="2" sqref="EU771" start="0" length="0">
      <dxf/>
    </rfmt>
    <rfmt sheetId="2" sqref="EV771" start="0" length="0">
      <dxf/>
    </rfmt>
    <rfmt sheetId="2" sqref="EW771" start="0" length="0">
      <dxf/>
    </rfmt>
    <rfmt sheetId="2" sqref="EX771" start="0" length="0">
      <dxf/>
    </rfmt>
    <rfmt sheetId="2" sqref="EY771" start="0" length="0">
      <dxf/>
    </rfmt>
    <rfmt sheetId="2" sqref="EZ771" start="0" length="0">
      <dxf/>
    </rfmt>
    <rfmt sheetId="2" sqref="FA771" start="0" length="0">
      <dxf/>
    </rfmt>
    <rfmt sheetId="2" sqref="FB771" start="0" length="0">
      <dxf/>
    </rfmt>
    <rfmt sheetId="2" sqref="FC771" start="0" length="0">
      <dxf/>
    </rfmt>
    <rfmt sheetId="2" sqref="FD771" start="0" length="0">
      <dxf/>
    </rfmt>
    <rfmt sheetId="2" sqref="FE771" start="0" length="0">
      <dxf/>
    </rfmt>
    <rfmt sheetId="2" sqref="FF771" start="0" length="0">
      <dxf/>
    </rfmt>
    <rfmt sheetId="2" sqref="FG771" start="0" length="0">
      <dxf/>
    </rfmt>
    <rfmt sheetId="2" sqref="FH771" start="0" length="0">
      <dxf/>
    </rfmt>
    <rfmt sheetId="2" sqref="FI771" start="0" length="0">
      <dxf/>
    </rfmt>
    <rfmt sheetId="2" sqref="FJ771" start="0" length="0">
      <dxf/>
    </rfmt>
    <rfmt sheetId="2" sqref="FK771" start="0" length="0">
      <dxf/>
    </rfmt>
    <rfmt sheetId="2" sqref="FL771" start="0" length="0">
      <dxf/>
    </rfmt>
    <rfmt sheetId="2" sqref="FM771" start="0" length="0">
      <dxf/>
    </rfmt>
    <rfmt sheetId="2" sqref="FN771" start="0" length="0">
      <dxf/>
    </rfmt>
    <rfmt sheetId="2" sqref="FO771" start="0" length="0">
      <dxf/>
    </rfmt>
    <rfmt sheetId="2" sqref="FP771" start="0" length="0">
      <dxf/>
    </rfmt>
    <rfmt sheetId="2" sqref="FQ771" start="0" length="0">
      <dxf/>
    </rfmt>
    <rfmt sheetId="2" sqref="FR771" start="0" length="0">
      <dxf/>
    </rfmt>
    <rfmt sheetId="2" sqref="FS771" start="0" length="0">
      <dxf/>
    </rfmt>
    <rfmt sheetId="2" sqref="FT771" start="0" length="0">
      <dxf/>
    </rfmt>
    <rfmt sheetId="2" sqref="FU771" start="0" length="0">
      <dxf/>
    </rfmt>
    <rfmt sheetId="2" sqref="FV771" start="0" length="0">
      <dxf/>
    </rfmt>
    <rfmt sheetId="2" sqref="FW771" start="0" length="0">
      <dxf/>
    </rfmt>
    <rfmt sheetId="2" sqref="FX771" start="0" length="0">
      <dxf/>
    </rfmt>
    <rfmt sheetId="2" sqref="FY771" start="0" length="0">
      <dxf/>
    </rfmt>
    <rfmt sheetId="2" sqref="FZ771" start="0" length="0">
      <dxf/>
    </rfmt>
    <rfmt sheetId="2" sqref="GA771" start="0" length="0">
      <dxf/>
    </rfmt>
    <rfmt sheetId="2" sqref="GB771" start="0" length="0">
      <dxf/>
    </rfmt>
    <rfmt sheetId="2" sqref="GC771" start="0" length="0">
      <dxf/>
    </rfmt>
    <rfmt sheetId="2" sqref="GD771" start="0" length="0">
      <dxf/>
    </rfmt>
    <rfmt sheetId="2" sqref="GE771" start="0" length="0">
      <dxf/>
    </rfmt>
    <rfmt sheetId="2" sqref="GF771" start="0" length="0">
      <dxf/>
    </rfmt>
    <rfmt sheetId="2" sqref="GG771" start="0" length="0">
      <dxf/>
    </rfmt>
    <rfmt sheetId="2" sqref="GH771" start="0" length="0">
      <dxf/>
    </rfmt>
    <rfmt sheetId="2" sqref="GI771" start="0" length="0">
      <dxf/>
    </rfmt>
    <rfmt sheetId="2" sqref="GJ771" start="0" length="0">
      <dxf/>
    </rfmt>
    <rfmt sheetId="2" sqref="GK771" start="0" length="0">
      <dxf/>
    </rfmt>
    <rfmt sheetId="2" sqref="GL771" start="0" length="0">
      <dxf/>
    </rfmt>
    <rfmt sheetId="2" sqref="GM771" start="0" length="0">
      <dxf/>
    </rfmt>
    <rfmt sheetId="2" sqref="GN771" start="0" length="0">
      <dxf/>
    </rfmt>
    <rfmt sheetId="2" sqref="GO771" start="0" length="0">
      <dxf/>
    </rfmt>
    <rfmt sheetId="2" sqref="GP771" start="0" length="0">
      <dxf/>
    </rfmt>
    <rfmt sheetId="2" sqref="GQ771" start="0" length="0">
      <dxf/>
    </rfmt>
    <rfmt sheetId="2" sqref="GR771" start="0" length="0">
      <dxf/>
    </rfmt>
    <rfmt sheetId="2" sqref="GS771" start="0" length="0">
      <dxf/>
    </rfmt>
    <rfmt sheetId="2" sqref="GT771" start="0" length="0">
      <dxf/>
    </rfmt>
    <rfmt sheetId="2" sqref="GU771" start="0" length="0">
      <dxf/>
    </rfmt>
    <rfmt sheetId="2" sqref="GV771" start="0" length="0">
      <dxf/>
    </rfmt>
    <rfmt sheetId="2" sqref="GW771" start="0" length="0">
      <dxf/>
    </rfmt>
    <rfmt sheetId="2" sqref="GX771" start="0" length="0">
      <dxf/>
    </rfmt>
    <rfmt sheetId="2" sqref="GY771" start="0" length="0">
      <dxf/>
    </rfmt>
    <rfmt sheetId="2" sqref="GZ771" start="0" length="0">
      <dxf/>
    </rfmt>
    <rfmt sheetId="2" sqref="HA771" start="0" length="0">
      <dxf/>
    </rfmt>
    <rfmt sheetId="2" sqref="HB771" start="0" length="0">
      <dxf/>
    </rfmt>
    <rfmt sheetId="2" sqref="HC771" start="0" length="0">
      <dxf/>
    </rfmt>
    <rfmt sheetId="2" sqref="HD771" start="0" length="0">
      <dxf/>
    </rfmt>
    <rfmt sheetId="2" sqref="HE771" start="0" length="0">
      <dxf/>
    </rfmt>
    <rfmt sheetId="2" sqref="HF771" start="0" length="0">
      <dxf/>
    </rfmt>
    <rfmt sheetId="2" sqref="HG771" start="0" length="0">
      <dxf/>
    </rfmt>
    <rfmt sheetId="2" sqref="HH771" start="0" length="0">
      <dxf/>
    </rfmt>
    <rfmt sheetId="2" sqref="HI771" start="0" length="0">
      <dxf/>
    </rfmt>
    <rfmt sheetId="2" sqref="HJ771" start="0" length="0">
      <dxf/>
    </rfmt>
    <rfmt sheetId="2" sqref="HK771" start="0" length="0">
      <dxf/>
    </rfmt>
    <rfmt sheetId="2" sqref="HL771" start="0" length="0">
      <dxf/>
    </rfmt>
    <rfmt sheetId="2" sqref="HM771" start="0" length="0">
      <dxf/>
    </rfmt>
    <rfmt sheetId="2" sqref="HN771" start="0" length="0">
      <dxf/>
    </rfmt>
    <rfmt sheetId="2" sqref="HO771" start="0" length="0">
      <dxf/>
    </rfmt>
    <rfmt sheetId="2" sqref="HP771" start="0" length="0">
      <dxf/>
    </rfmt>
    <rfmt sheetId="2" sqref="HQ771" start="0" length="0">
      <dxf/>
    </rfmt>
    <rfmt sheetId="2" sqref="HR771" start="0" length="0">
      <dxf/>
    </rfmt>
    <rfmt sheetId="2" sqref="HS771" start="0" length="0">
      <dxf/>
    </rfmt>
    <rfmt sheetId="2" sqref="HT771" start="0" length="0">
      <dxf/>
    </rfmt>
    <rfmt sheetId="2" sqref="HU771" start="0" length="0">
      <dxf/>
    </rfmt>
    <rfmt sheetId="2" sqref="HV771" start="0" length="0">
      <dxf/>
    </rfmt>
    <rfmt sheetId="2" sqref="HW771" start="0" length="0">
      <dxf/>
    </rfmt>
    <rfmt sheetId="2" sqref="HX771" start="0" length="0">
      <dxf/>
    </rfmt>
    <rfmt sheetId="2" sqref="HY771" start="0" length="0">
      <dxf/>
    </rfmt>
    <rfmt sheetId="2" sqref="HZ771" start="0" length="0">
      <dxf/>
    </rfmt>
    <rfmt sheetId="2" sqref="IA771" start="0" length="0">
      <dxf/>
    </rfmt>
    <rfmt sheetId="2" sqref="IB771" start="0" length="0">
      <dxf/>
    </rfmt>
    <rfmt sheetId="2" sqref="IC771" start="0" length="0">
      <dxf/>
    </rfmt>
    <rfmt sheetId="2" sqref="ID771" start="0" length="0">
      <dxf/>
    </rfmt>
    <rfmt sheetId="2" sqref="IE771" start="0" length="0">
      <dxf/>
    </rfmt>
    <rfmt sheetId="2" sqref="IF771" start="0" length="0">
      <dxf/>
    </rfmt>
    <rfmt sheetId="2" sqref="IG771" start="0" length="0">
      <dxf/>
    </rfmt>
    <rfmt sheetId="2" sqref="IH771" start="0" length="0">
      <dxf/>
    </rfmt>
    <rfmt sheetId="2" sqref="II771" start="0" length="0">
      <dxf/>
    </rfmt>
    <rfmt sheetId="2" sqref="IJ771" start="0" length="0">
      <dxf/>
    </rfmt>
    <rfmt sheetId="2" sqref="IK771" start="0" length="0">
      <dxf/>
    </rfmt>
    <rfmt sheetId="2" sqref="IL771" start="0" length="0">
      <dxf/>
    </rfmt>
    <rfmt sheetId="2" sqref="IM771" start="0" length="0">
      <dxf/>
    </rfmt>
    <rfmt sheetId="2" sqref="IN771" start="0" length="0">
      <dxf/>
    </rfmt>
    <rfmt sheetId="2" sqref="IO771" start="0" length="0">
      <dxf/>
    </rfmt>
    <rfmt sheetId="2" sqref="IP771" start="0" length="0">
      <dxf/>
    </rfmt>
    <rfmt sheetId="2" sqref="IQ771" start="0" length="0">
      <dxf/>
    </rfmt>
    <rfmt sheetId="2" sqref="IR771" start="0" length="0">
      <dxf/>
    </rfmt>
    <rfmt sheetId="2" sqref="IS771" start="0" length="0">
      <dxf/>
    </rfmt>
    <rfmt sheetId="2" sqref="IT771" start="0" length="0">
      <dxf/>
    </rfmt>
    <rfmt sheetId="2" sqref="IU771" start="0" length="0">
      <dxf/>
    </rfmt>
    <rfmt sheetId="2" sqref="IV771" start="0" length="0">
      <dxf/>
    </rfmt>
    <rfmt sheetId="2" sqref="IW771" start="0" length="0">
      <dxf/>
    </rfmt>
    <rfmt sheetId="2" sqref="IX771" start="0" length="0">
      <dxf/>
    </rfmt>
    <rfmt sheetId="2" sqref="IY771" start="0" length="0">
      <dxf/>
    </rfmt>
    <rfmt sheetId="2" sqref="IZ771" start="0" length="0">
      <dxf/>
    </rfmt>
    <rfmt sheetId="2" sqref="JA771" start="0" length="0">
      <dxf/>
    </rfmt>
    <rfmt sheetId="2" sqref="JB771" start="0" length="0">
      <dxf/>
    </rfmt>
    <rfmt sheetId="2" sqref="JC771" start="0" length="0">
      <dxf/>
    </rfmt>
    <rfmt sheetId="2" sqref="JD771" start="0" length="0">
      <dxf/>
    </rfmt>
    <rfmt sheetId="2" sqref="JE771" start="0" length="0">
      <dxf/>
    </rfmt>
    <rfmt sheetId="2" sqref="JF771" start="0" length="0">
      <dxf/>
    </rfmt>
    <rfmt sheetId="2" sqref="JG771" start="0" length="0">
      <dxf/>
    </rfmt>
    <rfmt sheetId="2" sqref="JH771" start="0" length="0">
      <dxf/>
    </rfmt>
    <rfmt sheetId="2" sqref="JI771" start="0" length="0">
      <dxf/>
    </rfmt>
    <rfmt sheetId="2" sqref="JJ771" start="0" length="0">
      <dxf/>
    </rfmt>
    <rfmt sheetId="2" sqref="JK771" start="0" length="0">
      <dxf/>
    </rfmt>
    <rfmt sheetId="2" sqref="JL771" start="0" length="0">
      <dxf/>
    </rfmt>
    <rfmt sheetId="2" sqref="JM771" start="0" length="0">
      <dxf/>
    </rfmt>
    <rfmt sheetId="2" sqref="JN771" start="0" length="0">
      <dxf/>
    </rfmt>
    <rfmt sheetId="2" sqref="JO771" start="0" length="0">
      <dxf/>
    </rfmt>
    <rfmt sheetId="2" sqref="JP771" start="0" length="0">
      <dxf/>
    </rfmt>
    <rfmt sheetId="2" sqref="JQ771" start="0" length="0">
      <dxf/>
    </rfmt>
    <rfmt sheetId="2" sqref="JR771" start="0" length="0">
      <dxf/>
    </rfmt>
    <rfmt sheetId="2" sqref="JS771" start="0" length="0">
      <dxf/>
    </rfmt>
    <rfmt sheetId="2" sqref="JT771" start="0" length="0">
      <dxf/>
    </rfmt>
    <rfmt sheetId="2" sqref="JU771" start="0" length="0">
      <dxf/>
    </rfmt>
    <rfmt sheetId="2" sqref="JV771" start="0" length="0">
      <dxf/>
    </rfmt>
    <rfmt sheetId="2" sqref="JW771" start="0" length="0">
      <dxf/>
    </rfmt>
    <rfmt sheetId="2" sqref="JX771" start="0" length="0">
      <dxf/>
    </rfmt>
    <rfmt sheetId="2" sqref="JY771" start="0" length="0">
      <dxf/>
    </rfmt>
    <rfmt sheetId="2" sqref="JZ771" start="0" length="0">
      <dxf/>
    </rfmt>
    <rfmt sheetId="2" sqref="KA771" start="0" length="0">
      <dxf/>
    </rfmt>
    <rfmt sheetId="2" sqref="KB771" start="0" length="0">
      <dxf/>
    </rfmt>
    <rfmt sheetId="2" sqref="KC771" start="0" length="0">
      <dxf/>
    </rfmt>
    <rfmt sheetId="2" sqref="KD771" start="0" length="0">
      <dxf/>
    </rfmt>
    <rfmt sheetId="2" sqref="KE771" start="0" length="0">
      <dxf/>
    </rfmt>
    <rfmt sheetId="2" sqref="KF771" start="0" length="0">
      <dxf/>
    </rfmt>
    <rfmt sheetId="2" sqref="KG771" start="0" length="0">
      <dxf/>
    </rfmt>
    <rfmt sheetId="2" sqref="KH771" start="0" length="0">
      <dxf/>
    </rfmt>
    <rfmt sheetId="2" sqref="KI771" start="0" length="0">
      <dxf/>
    </rfmt>
    <rfmt sheetId="2" sqref="KJ771" start="0" length="0">
      <dxf/>
    </rfmt>
    <rfmt sheetId="2" sqref="KK771" start="0" length="0">
      <dxf/>
    </rfmt>
    <rfmt sheetId="2" sqref="KL771" start="0" length="0">
      <dxf/>
    </rfmt>
    <rfmt sheetId="2" sqref="KM771" start="0" length="0">
      <dxf/>
    </rfmt>
    <rfmt sheetId="2" sqref="KN771" start="0" length="0">
      <dxf/>
    </rfmt>
    <rfmt sheetId="2" sqref="KO771" start="0" length="0">
      <dxf/>
    </rfmt>
    <rfmt sheetId="2" sqref="KP771" start="0" length="0">
      <dxf/>
    </rfmt>
    <rfmt sheetId="2" sqref="KQ771" start="0" length="0">
      <dxf/>
    </rfmt>
    <rfmt sheetId="2" sqref="KR771" start="0" length="0">
      <dxf/>
    </rfmt>
    <rfmt sheetId="2" sqref="KS771" start="0" length="0">
      <dxf/>
    </rfmt>
    <rfmt sheetId="2" sqref="KT771" start="0" length="0">
      <dxf/>
    </rfmt>
    <rfmt sheetId="2" sqref="KU771" start="0" length="0">
      <dxf/>
    </rfmt>
    <rfmt sheetId="2" sqref="KV771" start="0" length="0">
      <dxf/>
    </rfmt>
    <rfmt sheetId="2" sqref="KW771" start="0" length="0">
      <dxf/>
    </rfmt>
    <rfmt sheetId="2" sqref="KX771" start="0" length="0">
      <dxf/>
    </rfmt>
    <rfmt sheetId="2" sqref="KY771" start="0" length="0">
      <dxf/>
    </rfmt>
    <rfmt sheetId="2" sqref="KZ771" start="0" length="0">
      <dxf/>
    </rfmt>
    <rfmt sheetId="2" sqref="LA771" start="0" length="0">
      <dxf/>
    </rfmt>
    <rfmt sheetId="2" sqref="LB771" start="0" length="0">
      <dxf/>
    </rfmt>
    <rfmt sheetId="2" sqref="LC771" start="0" length="0">
      <dxf/>
    </rfmt>
    <rfmt sheetId="2" sqref="LD771" start="0" length="0">
      <dxf/>
    </rfmt>
    <rfmt sheetId="2" sqref="LE771" start="0" length="0">
      <dxf/>
    </rfmt>
    <rfmt sheetId="2" sqref="LF771" start="0" length="0">
      <dxf/>
    </rfmt>
    <rfmt sheetId="2" sqref="LG771" start="0" length="0">
      <dxf/>
    </rfmt>
    <rfmt sheetId="2" sqref="LH771" start="0" length="0">
      <dxf/>
    </rfmt>
    <rfmt sheetId="2" sqref="LI771" start="0" length="0">
      <dxf/>
    </rfmt>
    <rfmt sheetId="2" sqref="LJ771" start="0" length="0">
      <dxf/>
    </rfmt>
    <rfmt sheetId="2" sqref="LK771" start="0" length="0">
      <dxf/>
    </rfmt>
    <rfmt sheetId="2" sqref="LL771" start="0" length="0">
      <dxf/>
    </rfmt>
    <rfmt sheetId="2" sqref="LM771" start="0" length="0">
      <dxf/>
    </rfmt>
    <rfmt sheetId="2" sqref="LN771" start="0" length="0">
      <dxf/>
    </rfmt>
    <rfmt sheetId="2" sqref="LO771" start="0" length="0">
      <dxf/>
    </rfmt>
    <rfmt sheetId="2" sqref="LP771" start="0" length="0">
      <dxf/>
    </rfmt>
    <rfmt sheetId="2" sqref="LQ771" start="0" length="0">
      <dxf/>
    </rfmt>
    <rfmt sheetId="2" sqref="LR771" start="0" length="0">
      <dxf/>
    </rfmt>
    <rfmt sheetId="2" sqref="LS771" start="0" length="0">
      <dxf/>
    </rfmt>
    <rfmt sheetId="2" sqref="LT771" start="0" length="0">
      <dxf/>
    </rfmt>
    <rfmt sheetId="2" sqref="LU771" start="0" length="0">
      <dxf/>
    </rfmt>
    <rfmt sheetId="2" sqref="LV771" start="0" length="0">
      <dxf/>
    </rfmt>
    <rfmt sheetId="2" sqref="LW771" start="0" length="0">
      <dxf/>
    </rfmt>
    <rfmt sheetId="2" sqref="LX771" start="0" length="0">
      <dxf/>
    </rfmt>
    <rfmt sheetId="2" sqref="LY771" start="0" length="0">
      <dxf/>
    </rfmt>
    <rfmt sheetId="2" sqref="LZ771" start="0" length="0">
      <dxf/>
    </rfmt>
    <rfmt sheetId="2" sqref="MA771" start="0" length="0">
      <dxf/>
    </rfmt>
    <rfmt sheetId="2" sqref="MB771" start="0" length="0">
      <dxf/>
    </rfmt>
  </rm>
  <rrc rId="1730" sId="2" ref="A773:XFD773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73:XFD773" start="0" length="0">
      <dxf>
        <font>
          <sz val="10"/>
          <name val="Arial"/>
          <scheme val="none"/>
        </font>
        <alignment horizontal="center" readingOrder="0"/>
      </dxf>
    </rfmt>
    <rfmt sheetId="2" sqref="A77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3" start="0" length="0">
      <dxf>
        <numFmt numFmtId="176" formatCode="m/d;@"/>
      </dxf>
    </rfmt>
    <rfmt sheetId="2" sqref="P77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3" start="0" length="0">
      <dxf/>
    </rfmt>
    <rfmt sheetId="2" sqref="U773" start="0" length="0">
      <dxf/>
    </rfmt>
    <rfmt sheetId="2" sqref="V773" start="0" length="0">
      <dxf/>
    </rfmt>
    <rfmt sheetId="2" sqref="W773" start="0" length="0">
      <dxf/>
    </rfmt>
    <rfmt sheetId="2" sqref="X773" start="0" length="0">
      <dxf/>
    </rfmt>
    <rfmt sheetId="2" sqref="Y773" start="0" length="0">
      <dxf/>
    </rfmt>
    <rfmt sheetId="2" sqref="Z773" start="0" length="0">
      <dxf/>
    </rfmt>
    <rfmt sheetId="2" sqref="AA773" start="0" length="0">
      <dxf/>
    </rfmt>
    <rfmt sheetId="2" sqref="AB773" start="0" length="0">
      <dxf/>
    </rfmt>
    <rfmt sheetId="2" sqref="AC773" start="0" length="0">
      <dxf/>
    </rfmt>
    <rfmt sheetId="2" sqref="AD773" start="0" length="0">
      <dxf/>
    </rfmt>
    <rfmt sheetId="2" sqref="AE773" start="0" length="0">
      <dxf/>
    </rfmt>
    <rfmt sheetId="2" sqref="AF773" start="0" length="0">
      <dxf/>
    </rfmt>
    <rfmt sheetId="2" sqref="AG773" start="0" length="0">
      <dxf/>
    </rfmt>
    <rfmt sheetId="2" sqref="AH773" start="0" length="0">
      <dxf/>
    </rfmt>
    <rfmt sheetId="2" sqref="AI773" start="0" length="0">
      <dxf/>
    </rfmt>
    <rfmt sheetId="2" sqref="AJ773" start="0" length="0">
      <dxf/>
    </rfmt>
    <rfmt sheetId="2" sqref="AK773" start="0" length="0">
      <dxf/>
    </rfmt>
    <rfmt sheetId="2" sqref="AL773" start="0" length="0">
      <dxf/>
    </rfmt>
    <rfmt sheetId="2" sqref="AM773" start="0" length="0">
      <dxf/>
    </rfmt>
    <rfmt sheetId="2" sqref="AN773" start="0" length="0">
      <dxf/>
    </rfmt>
    <rfmt sheetId="2" sqref="AO773" start="0" length="0">
      <dxf/>
    </rfmt>
    <rfmt sheetId="2" sqref="AP773" start="0" length="0">
      <dxf/>
    </rfmt>
    <rfmt sheetId="2" sqref="AQ773" start="0" length="0">
      <dxf/>
    </rfmt>
    <rfmt sheetId="2" sqref="AR773" start="0" length="0">
      <dxf/>
    </rfmt>
    <rfmt sheetId="2" sqref="AS773" start="0" length="0">
      <dxf/>
    </rfmt>
    <rfmt sheetId="2" sqref="AT773" start="0" length="0">
      <dxf/>
    </rfmt>
    <rfmt sheetId="2" sqref="AU773" start="0" length="0">
      <dxf/>
    </rfmt>
    <rfmt sheetId="2" sqref="AV773" start="0" length="0">
      <dxf/>
    </rfmt>
    <rfmt sheetId="2" sqref="AW773" start="0" length="0">
      <dxf/>
    </rfmt>
    <rfmt sheetId="2" sqref="AX773" start="0" length="0">
      <dxf/>
    </rfmt>
    <rfmt sheetId="2" sqref="AY773" start="0" length="0">
      <dxf/>
    </rfmt>
    <rfmt sheetId="2" sqref="AZ773" start="0" length="0">
      <dxf/>
    </rfmt>
    <rfmt sheetId="2" sqref="BA773" start="0" length="0">
      <dxf/>
    </rfmt>
    <rfmt sheetId="2" sqref="BB773" start="0" length="0">
      <dxf/>
    </rfmt>
    <rfmt sheetId="2" sqref="BC773" start="0" length="0">
      <dxf/>
    </rfmt>
    <rfmt sheetId="2" sqref="BD773" start="0" length="0">
      <dxf/>
    </rfmt>
    <rfmt sheetId="2" sqref="BE773" start="0" length="0">
      <dxf/>
    </rfmt>
    <rfmt sheetId="2" sqref="BF773" start="0" length="0">
      <dxf/>
    </rfmt>
    <rfmt sheetId="2" sqref="BG773" start="0" length="0">
      <dxf/>
    </rfmt>
    <rfmt sheetId="2" sqref="BH773" start="0" length="0">
      <dxf/>
    </rfmt>
    <rfmt sheetId="2" sqref="BI773" start="0" length="0">
      <dxf/>
    </rfmt>
    <rfmt sheetId="2" sqref="BJ773" start="0" length="0">
      <dxf/>
    </rfmt>
    <rfmt sheetId="2" sqref="BK773" start="0" length="0">
      <dxf/>
    </rfmt>
    <rfmt sheetId="2" sqref="BL773" start="0" length="0">
      <dxf/>
    </rfmt>
    <rfmt sheetId="2" sqref="BM773" start="0" length="0">
      <dxf/>
    </rfmt>
    <rfmt sheetId="2" sqref="BN773" start="0" length="0">
      <dxf/>
    </rfmt>
    <rfmt sheetId="2" sqref="BO773" start="0" length="0">
      <dxf/>
    </rfmt>
    <rfmt sheetId="2" sqref="BP773" start="0" length="0">
      <dxf/>
    </rfmt>
    <rfmt sheetId="2" sqref="BQ773" start="0" length="0">
      <dxf/>
    </rfmt>
    <rfmt sheetId="2" sqref="BR773" start="0" length="0">
      <dxf/>
    </rfmt>
    <rfmt sheetId="2" sqref="BS773" start="0" length="0">
      <dxf/>
    </rfmt>
    <rfmt sheetId="2" sqref="BT773" start="0" length="0">
      <dxf/>
    </rfmt>
    <rfmt sheetId="2" sqref="BU773" start="0" length="0">
      <dxf/>
    </rfmt>
    <rfmt sheetId="2" sqref="BV773" start="0" length="0">
      <dxf/>
    </rfmt>
    <rfmt sheetId="2" sqref="BW773" start="0" length="0">
      <dxf/>
    </rfmt>
    <rfmt sheetId="2" sqref="BX773" start="0" length="0">
      <dxf/>
    </rfmt>
    <rfmt sheetId="2" sqref="BY773" start="0" length="0">
      <dxf/>
    </rfmt>
    <rfmt sheetId="2" sqref="BZ773" start="0" length="0">
      <dxf/>
    </rfmt>
    <rfmt sheetId="2" sqref="CA773" start="0" length="0">
      <dxf/>
    </rfmt>
    <rfmt sheetId="2" sqref="CB773" start="0" length="0">
      <dxf/>
    </rfmt>
    <rfmt sheetId="2" sqref="CC773" start="0" length="0">
      <dxf/>
    </rfmt>
    <rfmt sheetId="2" sqref="CD773" start="0" length="0">
      <dxf/>
    </rfmt>
    <rfmt sheetId="2" sqref="CE773" start="0" length="0">
      <dxf/>
    </rfmt>
    <rfmt sheetId="2" sqref="CF773" start="0" length="0">
      <dxf/>
    </rfmt>
    <rfmt sheetId="2" sqref="CG773" start="0" length="0">
      <dxf/>
    </rfmt>
    <rfmt sheetId="2" sqref="CH773" start="0" length="0">
      <dxf/>
    </rfmt>
    <rfmt sheetId="2" sqref="CI773" start="0" length="0">
      <dxf/>
    </rfmt>
    <rfmt sheetId="2" sqref="CJ773" start="0" length="0">
      <dxf/>
    </rfmt>
    <rfmt sheetId="2" sqref="CK773" start="0" length="0">
      <dxf/>
    </rfmt>
    <rfmt sheetId="2" sqref="CL773" start="0" length="0">
      <dxf/>
    </rfmt>
    <rfmt sheetId="2" sqref="CM773" start="0" length="0">
      <dxf/>
    </rfmt>
    <rfmt sheetId="2" sqref="CN773" start="0" length="0">
      <dxf/>
    </rfmt>
    <rfmt sheetId="2" sqref="CO773" start="0" length="0">
      <dxf/>
    </rfmt>
    <rfmt sheetId="2" sqref="CP773" start="0" length="0">
      <dxf/>
    </rfmt>
    <rfmt sheetId="2" sqref="CQ773" start="0" length="0">
      <dxf/>
    </rfmt>
    <rfmt sheetId="2" sqref="CR773" start="0" length="0">
      <dxf/>
    </rfmt>
    <rfmt sheetId="2" sqref="CS773" start="0" length="0">
      <dxf/>
    </rfmt>
    <rfmt sheetId="2" sqref="CT773" start="0" length="0">
      <dxf/>
    </rfmt>
    <rfmt sheetId="2" sqref="CU773" start="0" length="0">
      <dxf/>
    </rfmt>
    <rfmt sheetId="2" sqref="CV773" start="0" length="0">
      <dxf/>
    </rfmt>
    <rfmt sheetId="2" sqref="CW773" start="0" length="0">
      <dxf/>
    </rfmt>
    <rfmt sheetId="2" sqref="CX773" start="0" length="0">
      <dxf/>
    </rfmt>
    <rfmt sheetId="2" sqref="CY773" start="0" length="0">
      <dxf/>
    </rfmt>
    <rfmt sheetId="2" sqref="CZ773" start="0" length="0">
      <dxf/>
    </rfmt>
    <rfmt sheetId="2" sqref="DA773" start="0" length="0">
      <dxf/>
    </rfmt>
    <rfmt sheetId="2" sqref="DB773" start="0" length="0">
      <dxf/>
    </rfmt>
    <rfmt sheetId="2" sqref="DC773" start="0" length="0">
      <dxf/>
    </rfmt>
    <rfmt sheetId="2" sqref="DD773" start="0" length="0">
      <dxf/>
    </rfmt>
    <rfmt sheetId="2" sqref="DE773" start="0" length="0">
      <dxf/>
    </rfmt>
    <rfmt sheetId="2" sqref="DF773" start="0" length="0">
      <dxf/>
    </rfmt>
    <rfmt sheetId="2" sqref="DG773" start="0" length="0">
      <dxf/>
    </rfmt>
    <rfmt sheetId="2" sqref="DH773" start="0" length="0">
      <dxf/>
    </rfmt>
    <rfmt sheetId="2" sqref="DI773" start="0" length="0">
      <dxf/>
    </rfmt>
    <rfmt sheetId="2" sqref="DJ773" start="0" length="0">
      <dxf/>
    </rfmt>
    <rfmt sheetId="2" sqref="DK773" start="0" length="0">
      <dxf/>
    </rfmt>
    <rfmt sheetId="2" sqref="DL773" start="0" length="0">
      <dxf/>
    </rfmt>
    <rfmt sheetId="2" sqref="DM773" start="0" length="0">
      <dxf/>
    </rfmt>
    <rfmt sheetId="2" sqref="DN773" start="0" length="0">
      <dxf/>
    </rfmt>
    <rfmt sheetId="2" sqref="DO773" start="0" length="0">
      <dxf/>
    </rfmt>
    <rfmt sheetId="2" sqref="DP773" start="0" length="0">
      <dxf/>
    </rfmt>
    <rfmt sheetId="2" sqref="DQ773" start="0" length="0">
      <dxf/>
    </rfmt>
    <rfmt sheetId="2" sqref="DR773" start="0" length="0">
      <dxf/>
    </rfmt>
    <rfmt sheetId="2" sqref="DS773" start="0" length="0">
      <dxf/>
    </rfmt>
    <rfmt sheetId="2" sqref="DT773" start="0" length="0">
      <dxf/>
    </rfmt>
    <rfmt sheetId="2" sqref="DU773" start="0" length="0">
      <dxf/>
    </rfmt>
    <rfmt sheetId="2" sqref="DV773" start="0" length="0">
      <dxf/>
    </rfmt>
    <rfmt sheetId="2" sqref="DW773" start="0" length="0">
      <dxf/>
    </rfmt>
    <rfmt sheetId="2" sqref="DX773" start="0" length="0">
      <dxf/>
    </rfmt>
    <rfmt sheetId="2" sqref="DY773" start="0" length="0">
      <dxf/>
    </rfmt>
    <rfmt sheetId="2" sqref="DZ773" start="0" length="0">
      <dxf/>
    </rfmt>
    <rfmt sheetId="2" sqref="EA773" start="0" length="0">
      <dxf/>
    </rfmt>
    <rfmt sheetId="2" sqref="EB773" start="0" length="0">
      <dxf/>
    </rfmt>
    <rfmt sheetId="2" sqref="EC773" start="0" length="0">
      <dxf/>
    </rfmt>
    <rfmt sheetId="2" sqref="ED773" start="0" length="0">
      <dxf/>
    </rfmt>
    <rfmt sheetId="2" sqref="EE773" start="0" length="0">
      <dxf/>
    </rfmt>
    <rfmt sheetId="2" sqref="EF773" start="0" length="0">
      <dxf/>
    </rfmt>
    <rfmt sheetId="2" sqref="EG773" start="0" length="0">
      <dxf/>
    </rfmt>
    <rfmt sheetId="2" sqref="EH773" start="0" length="0">
      <dxf/>
    </rfmt>
    <rfmt sheetId="2" sqref="EI773" start="0" length="0">
      <dxf/>
    </rfmt>
    <rfmt sheetId="2" sqref="EJ773" start="0" length="0">
      <dxf/>
    </rfmt>
    <rfmt sheetId="2" sqref="EK773" start="0" length="0">
      <dxf/>
    </rfmt>
    <rfmt sheetId="2" sqref="EL773" start="0" length="0">
      <dxf/>
    </rfmt>
    <rfmt sheetId="2" sqref="EM773" start="0" length="0">
      <dxf/>
    </rfmt>
    <rfmt sheetId="2" sqref="EN773" start="0" length="0">
      <dxf/>
    </rfmt>
    <rfmt sheetId="2" sqref="EO773" start="0" length="0">
      <dxf/>
    </rfmt>
    <rfmt sheetId="2" sqref="EP773" start="0" length="0">
      <dxf/>
    </rfmt>
    <rfmt sheetId="2" sqref="EQ773" start="0" length="0">
      <dxf/>
    </rfmt>
    <rfmt sheetId="2" sqref="ER773" start="0" length="0">
      <dxf/>
    </rfmt>
    <rfmt sheetId="2" sqref="ES773" start="0" length="0">
      <dxf/>
    </rfmt>
    <rfmt sheetId="2" sqref="ET773" start="0" length="0">
      <dxf/>
    </rfmt>
    <rfmt sheetId="2" sqref="EU773" start="0" length="0">
      <dxf/>
    </rfmt>
    <rfmt sheetId="2" sqref="EV773" start="0" length="0">
      <dxf/>
    </rfmt>
    <rfmt sheetId="2" sqref="EW773" start="0" length="0">
      <dxf/>
    </rfmt>
    <rfmt sheetId="2" sqref="EX773" start="0" length="0">
      <dxf/>
    </rfmt>
    <rfmt sheetId="2" sqref="EY773" start="0" length="0">
      <dxf/>
    </rfmt>
    <rfmt sheetId="2" sqref="EZ773" start="0" length="0">
      <dxf/>
    </rfmt>
    <rfmt sheetId="2" sqref="FA773" start="0" length="0">
      <dxf/>
    </rfmt>
    <rfmt sheetId="2" sqref="FB773" start="0" length="0">
      <dxf/>
    </rfmt>
    <rfmt sheetId="2" sqref="FC773" start="0" length="0">
      <dxf/>
    </rfmt>
    <rfmt sheetId="2" sqref="FD773" start="0" length="0">
      <dxf/>
    </rfmt>
    <rfmt sheetId="2" sqref="FE773" start="0" length="0">
      <dxf/>
    </rfmt>
    <rfmt sheetId="2" sqref="FF773" start="0" length="0">
      <dxf/>
    </rfmt>
    <rfmt sheetId="2" sqref="FG773" start="0" length="0">
      <dxf/>
    </rfmt>
    <rfmt sheetId="2" sqref="FH773" start="0" length="0">
      <dxf/>
    </rfmt>
    <rfmt sheetId="2" sqref="FI773" start="0" length="0">
      <dxf/>
    </rfmt>
    <rfmt sheetId="2" sqref="FJ773" start="0" length="0">
      <dxf/>
    </rfmt>
    <rfmt sheetId="2" sqref="FK773" start="0" length="0">
      <dxf/>
    </rfmt>
    <rfmt sheetId="2" sqref="FL773" start="0" length="0">
      <dxf/>
    </rfmt>
    <rfmt sheetId="2" sqref="FM773" start="0" length="0">
      <dxf/>
    </rfmt>
    <rfmt sheetId="2" sqref="FN773" start="0" length="0">
      <dxf/>
    </rfmt>
    <rfmt sheetId="2" sqref="FO773" start="0" length="0">
      <dxf/>
    </rfmt>
    <rfmt sheetId="2" sqref="FP773" start="0" length="0">
      <dxf/>
    </rfmt>
    <rfmt sheetId="2" sqref="FQ773" start="0" length="0">
      <dxf/>
    </rfmt>
    <rfmt sheetId="2" sqref="FR773" start="0" length="0">
      <dxf/>
    </rfmt>
    <rfmt sheetId="2" sqref="FS773" start="0" length="0">
      <dxf/>
    </rfmt>
    <rfmt sheetId="2" sqref="FT773" start="0" length="0">
      <dxf/>
    </rfmt>
    <rfmt sheetId="2" sqref="FU773" start="0" length="0">
      <dxf/>
    </rfmt>
    <rfmt sheetId="2" sqref="FV773" start="0" length="0">
      <dxf/>
    </rfmt>
    <rfmt sheetId="2" sqref="FW773" start="0" length="0">
      <dxf/>
    </rfmt>
    <rfmt sheetId="2" sqref="FX773" start="0" length="0">
      <dxf/>
    </rfmt>
    <rfmt sheetId="2" sqref="FY773" start="0" length="0">
      <dxf/>
    </rfmt>
    <rfmt sheetId="2" sqref="FZ773" start="0" length="0">
      <dxf/>
    </rfmt>
    <rfmt sheetId="2" sqref="GA773" start="0" length="0">
      <dxf/>
    </rfmt>
    <rfmt sheetId="2" sqref="GB773" start="0" length="0">
      <dxf/>
    </rfmt>
    <rfmt sheetId="2" sqref="GC773" start="0" length="0">
      <dxf/>
    </rfmt>
    <rfmt sheetId="2" sqref="GD773" start="0" length="0">
      <dxf/>
    </rfmt>
    <rfmt sheetId="2" sqref="GE773" start="0" length="0">
      <dxf/>
    </rfmt>
    <rfmt sheetId="2" sqref="GF773" start="0" length="0">
      <dxf/>
    </rfmt>
    <rfmt sheetId="2" sqref="GG773" start="0" length="0">
      <dxf/>
    </rfmt>
    <rfmt sheetId="2" sqref="GH773" start="0" length="0">
      <dxf/>
    </rfmt>
    <rfmt sheetId="2" sqref="GI773" start="0" length="0">
      <dxf/>
    </rfmt>
    <rfmt sheetId="2" sqref="GJ773" start="0" length="0">
      <dxf/>
    </rfmt>
    <rfmt sheetId="2" sqref="GK773" start="0" length="0">
      <dxf/>
    </rfmt>
    <rfmt sheetId="2" sqref="GL773" start="0" length="0">
      <dxf/>
    </rfmt>
    <rfmt sheetId="2" sqref="GM773" start="0" length="0">
      <dxf/>
    </rfmt>
    <rfmt sheetId="2" sqref="GN773" start="0" length="0">
      <dxf/>
    </rfmt>
    <rfmt sheetId="2" sqref="GO773" start="0" length="0">
      <dxf/>
    </rfmt>
    <rfmt sheetId="2" sqref="GP773" start="0" length="0">
      <dxf/>
    </rfmt>
    <rfmt sheetId="2" sqref="GQ773" start="0" length="0">
      <dxf/>
    </rfmt>
    <rfmt sheetId="2" sqref="GR773" start="0" length="0">
      <dxf/>
    </rfmt>
    <rfmt sheetId="2" sqref="GS773" start="0" length="0">
      <dxf/>
    </rfmt>
    <rfmt sheetId="2" sqref="GT773" start="0" length="0">
      <dxf/>
    </rfmt>
    <rfmt sheetId="2" sqref="GU773" start="0" length="0">
      <dxf/>
    </rfmt>
    <rfmt sheetId="2" sqref="GV773" start="0" length="0">
      <dxf/>
    </rfmt>
    <rfmt sheetId="2" sqref="GW773" start="0" length="0">
      <dxf/>
    </rfmt>
    <rfmt sheetId="2" sqref="GX773" start="0" length="0">
      <dxf/>
    </rfmt>
    <rfmt sheetId="2" sqref="GY773" start="0" length="0">
      <dxf/>
    </rfmt>
    <rfmt sheetId="2" sqref="GZ773" start="0" length="0">
      <dxf/>
    </rfmt>
    <rfmt sheetId="2" sqref="HA773" start="0" length="0">
      <dxf/>
    </rfmt>
    <rfmt sheetId="2" sqref="HB773" start="0" length="0">
      <dxf/>
    </rfmt>
    <rfmt sheetId="2" sqref="HC773" start="0" length="0">
      <dxf/>
    </rfmt>
    <rfmt sheetId="2" sqref="HD773" start="0" length="0">
      <dxf/>
    </rfmt>
    <rfmt sheetId="2" sqref="HE773" start="0" length="0">
      <dxf/>
    </rfmt>
    <rfmt sheetId="2" sqref="HF773" start="0" length="0">
      <dxf/>
    </rfmt>
    <rfmt sheetId="2" sqref="HG773" start="0" length="0">
      <dxf/>
    </rfmt>
    <rfmt sheetId="2" sqref="HH773" start="0" length="0">
      <dxf/>
    </rfmt>
    <rfmt sheetId="2" sqref="HI773" start="0" length="0">
      <dxf/>
    </rfmt>
    <rfmt sheetId="2" sqref="HJ773" start="0" length="0">
      <dxf/>
    </rfmt>
    <rfmt sheetId="2" sqref="HK773" start="0" length="0">
      <dxf/>
    </rfmt>
    <rfmt sheetId="2" sqref="HL773" start="0" length="0">
      <dxf/>
    </rfmt>
    <rfmt sheetId="2" sqref="HM773" start="0" length="0">
      <dxf/>
    </rfmt>
    <rfmt sheetId="2" sqref="HN773" start="0" length="0">
      <dxf/>
    </rfmt>
    <rfmt sheetId="2" sqref="HO773" start="0" length="0">
      <dxf/>
    </rfmt>
    <rfmt sheetId="2" sqref="HP773" start="0" length="0">
      <dxf/>
    </rfmt>
    <rfmt sheetId="2" sqref="HQ773" start="0" length="0">
      <dxf/>
    </rfmt>
    <rfmt sheetId="2" sqref="HR773" start="0" length="0">
      <dxf/>
    </rfmt>
    <rfmt sheetId="2" sqref="HS773" start="0" length="0">
      <dxf/>
    </rfmt>
    <rfmt sheetId="2" sqref="HT773" start="0" length="0">
      <dxf/>
    </rfmt>
    <rfmt sheetId="2" sqref="HU773" start="0" length="0">
      <dxf/>
    </rfmt>
    <rfmt sheetId="2" sqref="HV773" start="0" length="0">
      <dxf/>
    </rfmt>
    <rfmt sheetId="2" sqref="HW773" start="0" length="0">
      <dxf/>
    </rfmt>
    <rfmt sheetId="2" sqref="HX773" start="0" length="0">
      <dxf/>
    </rfmt>
    <rfmt sheetId="2" sqref="HY773" start="0" length="0">
      <dxf/>
    </rfmt>
    <rfmt sheetId="2" sqref="HZ773" start="0" length="0">
      <dxf/>
    </rfmt>
    <rfmt sheetId="2" sqref="IA773" start="0" length="0">
      <dxf/>
    </rfmt>
    <rfmt sheetId="2" sqref="IB773" start="0" length="0">
      <dxf/>
    </rfmt>
    <rfmt sheetId="2" sqref="IC773" start="0" length="0">
      <dxf/>
    </rfmt>
    <rfmt sheetId="2" sqref="ID773" start="0" length="0">
      <dxf/>
    </rfmt>
    <rfmt sheetId="2" sqref="IE773" start="0" length="0">
      <dxf/>
    </rfmt>
    <rfmt sheetId="2" sqref="IF773" start="0" length="0">
      <dxf/>
    </rfmt>
    <rfmt sheetId="2" sqref="IG773" start="0" length="0">
      <dxf/>
    </rfmt>
    <rfmt sheetId="2" sqref="IH773" start="0" length="0">
      <dxf/>
    </rfmt>
    <rfmt sheetId="2" sqref="II773" start="0" length="0">
      <dxf/>
    </rfmt>
    <rfmt sheetId="2" sqref="IJ773" start="0" length="0">
      <dxf/>
    </rfmt>
    <rfmt sheetId="2" sqref="IK773" start="0" length="0">
      <dxf/>
    </rfmt>
    <rfmt sheetId="2" sqref="IL773" start="0" length="0">
      <dxf/>
    </rfmt>
    <rfmt sheetId="2" sqref="IM773" start="0" length="0">
      <dxf/>
    </rfmt>
    <rfmt sheetId="2" sqref="IN773" start="0" length="0">
      <dxf/>
    </rfmt>
    <rfmt sheetId="2" sqref="IO773" start="0" length="0">
      <dxf/>
    </rfmt>
    <rfmt sheetId="2" sqref="IP773" start="0" length="0">
      <dxf/>
    </rfmt>
    <rfmt sheetId="2" sqref="IQ773" start="0" length="0">
      <dxf/>
    </rfmt>
    <rfmt sheetId="2" sqref="IR773" start="0" length="0">
      <dxf/>
    </rfmt>
    <rfmt sheetId="2" sqref="IS773" start="0" length="0">
      <dxf/>
    </rfmt>
    <rfmt sheetId="2" sqref="IT773" start="0" length="0">
      <dxf/>
    </rfmt>
    <rfmt sheetId="2" sqref="IU773" start="0" length="0">
      <dxf/>
    </rfmt>
    <rfmt sheetId="2" sqref="IV773" start="0" length="0">
      <dxf/>
    </rfmt>
    <rfmt sheetId="2" sqref="IW773" start="0" length="0">
      <dxf/>
    </rfmt>
    <rfmt sheetId="2" sqref="IX773" start="0" length="0">
      <dxf/>
    </rfmt>
    <rfmt sheetId="2" sqref="IY773" start="0" length="0">
      <dxf/>
    </rfmt>
    <rfmt sheetId="2" sqref="IZ773" start="0" length="0">
      <dxf/>
    </rfmt>
    <rfmt sheetId="2" sqref="JA773" start="0" length="0">
      <dxf/>
    </rfmt>
    <rfmt sheetId="2" sqref="JB773" start="0" length="0">
      <dxf/>
    </rfmt>
    <rfmt sheetId="2" sqref="JC773" start="0" length="0">
      <dxf/>
    </rfmt>
    <rfmt sheetId="2" sqref="JD773" start="0" length="0">
      <dxf/>
    </rfmt>
    <rfmt sheetId="2" sqref="JE773" start="0" length="0">
      <dxf/>
    </rfmt>
    <rfmt sheetId="2" sqref="JF773" start="0" length="0">
      <dxf/>
    </rfmt>
    <rfmt sheetId="2" sqref="JG773" start="0" length="0">
      <dxf/>
    </rfmt>
    <rfmt sheetId="2" sqref="JH773" start="0" length="0">
      <dxf/>
    </rfmt>
    <rfmt sheetId="2" sqref="JI773" start="0" length="0">
      <dxf/>
    </rfmt>
    <rfmt sheetId="2" sqref="JJ773" start="0" length="0">
      <dxf/>
    </rfmt>
    <rfmt sheetId="2" sqref="JK773" start="0" length="0">
      <dxf/>
    </rfmt>
    <rfmt sheetId="2" sqref="JL773" start="0" length="0">
      <dxf/>
    </rfmt>
    <rfmt sheetId="2" sqref="JM773" start="0" length="0">
      <dxf/>
    </rfmt>
    <rfmt sheetId="2" sqref="JN773" start="0" length="0">
      <dxf/>
    </rfmt>
    <rfmt sheetId="2" sqref="JO773" start="0" length="0">
      <dxf/>
    </rfmt>
    <rfmt sheetId="2" sqref="JP773" start="0" length="0">
      <dxf/>
    </rfmt>
    <rfmt sheetId="2" sqref="JQ773" start="0" length="0">
      <dxf/>
    </rfmt>
    <rfmt sheetId="2" sqref="JR773" start="0" length="0">
      <dxf/>
    </rfmt>
    <rfmt sheetId="2" sqref="JS773" start="0" length="0">
      <dxf/>
    </rfmt>
    <rfmt sheetId="2" sqref="JT773" start="0" length="0">
      <dxf/>
    </rfmt>
    <rfmt sheetId="2" sqref="JU773" start="0" length="0">
      <dxf/>
    </rfmt>
    <rfmt sheetId="2" sqref="JV773" start="0" length="0">
      <dxf/>
    </rfmt>
    <rfmt sheetId="2" sqref="JW773" start="0" length="0">
      <dxf/>
    </rfmt>
    <rfmt sheetId="2" sqref="JX773" start="0" length="0">
      <dxf/>
    </rfmt>
    <rfmt sheetId="2" sqref="JY773" start="0" length="0">
      <dxf/>
    </rfmt>
    <rfmt sheetId="2" sqref="JZ773" start="0" length="0">
      <dxf/>
    </rfmt>
    <rfmt sheetId="2" sqref="KA773" start="0" length="0">
      <dxf/>
    </rfmt>
    <rfmt sheetId="2" sqref="KB773" start="0" length="0">
      <dxf/>
    </rfmt>
    <rfmt sheetId="2" sqref="KC773" start="0" length="0">
      <dxf/>
    </rfmt>
    <rfmt sheetId="2" sqref="KD773" start="0" length="0">
      <dxf/>
    </rfmt>
    <rfmt sheetId="2" sqref="KE773" start="0" length="0">
      <dxf/>
    </rfmt>
    <rfmt sheetId="2" sqref="KF773" start="0" length="0">
      <dxf/>
    </rfmt>
    <rfmt sheetId="2" sqref="KG773" start="0" length="0">
      <dxf/>
    </rfmt>
    <rfmt sheetId="2" sqref="KH773" start="0" length="0">
      <dxf/>
    </rfmt>
    <rfmt sheetId="2" sqref="KI773" start="0" length="0">
      <dxf/>
    </rfmt>
    <rfmt sheetId="2" sqref="KJ773" start="0" length="0">
      <dxf/>
    </rfmt>
    <rfmt sheetId="2" sqref="KK773" start="0" length="0">
      <dxf/>
    </rfmt>
    <rfmt sheetId="2" sqref="KL773" start="0" length="0">
      <dxf/>
    </rfmt>
    <rfmt sheetId="2" sqref="KM773" start="0" length="0">
      <dxf/>
    </rfmt>
    <rfmt sheetId="2" sqref="KN773" start="0" length="0">
      <dxf/>
    </rfmt>
    <rfmt sheetId="2" sqref="KO773" start="0" length="0">
      <dxf/>
    </rfmt>
    <rfmt sheetId="2" sqref="KP773" start="0" length="0">
      <dxf/>
    </rfmt>
    <rfmt sheetId="2" sqref="KQ773" start="0" length="0">
      <dxf/>
    </rfmt>
    <rfmt sheetId="2" sqref="KR773" start="0" length="0">
      <dxf/>
    </rfmt>
    <rfmt sheetId="2" sqref="KS773" start="0" length="0">
      <dxf/>
    </rfmt>
    <rfmt sheetId="2" sqref="KT773" start="0" length="0">
      <dxf/>
    </rfmt>
    <rfmt sheetId="2" sqref="KU773" start="0" length="0">
      <dxf/>
    </rfmt>
    <rfmt sheetId="2" sqref="KV773" start="0" length="0">
      <dxf/>
    </rfmt>
    <rfmt sheetId="2" sqref="KW773" start="0" length="0">
      <dxf/>
    </rfmt>
    <rfmt sheetId="2" sqref="KX773" start="0" length="0">
      <dxf/>
    </rfmt>
    <rfmt sheetId="2" sqref="KY773" start="0" length="0">
      <dxf/>
    </rfmt>
    <rfmt sheetId="2" sqref="KZ773" start="0" length="0">
      <dxf/>
    </rfmt>
    <rfmt sheetId="2" sqref="LA773" start="0" length="0">
      <dxf/>
    </rfmt>
    <rfmt sheetId="2" sqref="LB773" start="0" length="0">
      <dxf/>
    </rfmt>
    <rfmt sheetId="2" sqref="LC773" start="0" length="0">
      <dxf/>
    </rfmt>
    <rfmt sheetId="2" sqref="LD773" start="0" length="0">
      <dxf/>
    </rfmt>
    <rfmt sheetId="2" sqref="LE773" start="0" length="0">
      <dxf/>
    </rfmt>
    <rfmt sheetId="2" sqref="LF773" start="0" length="0">
      <dxf/>
    </rfmt>
    <rfmt sheetId="2" sqref="LG773" start="0" length="0">
      <dxf/>
    </rfmt>
    <rfmt sheetId="2" sqref="LH773" start="0" length="0">
      <dxf/>
    </rfmt>
    <rfmt sheetId="2" sqref="LI773" start="0" length="0">
      <dxf/>
    </rfmt>
    <rfmt sheetId="2" sqref="LJ773" start="0" length="0">
      <dxf/>
    </rfmt>
    <rfmt sheetId="2" sqref="LK773" start="0" length="0">
      <dxf/>
    </rfmt>
    <rfmt sheetId="2" sqref="LL773" start="0" length="0">
      <dxf/>
    </rfmt>
    <rfmt sheetId="2" sqref="LM773" start="0" length="0">
      <dxf/>
    </rfmt>
    <rfmt sheetId="2" sqref="LN773" start="0" length="0">
      <dxf/>
    </rfmt>
    <rfmt sheetId="2" sqref="LO773" start="0" length="0">
      <dxf/>
    </rfmt>
    <rfmt sheetId="2" sqref="LP773" start="0" length="0">
      <dxf/>
    </rfmt>
    <rfmt sheetId="2" sqref="LQ773" start="0" length="0">
      <dxf/>
    </rfmt>
    <rfmt sheetId="2" sqref="LR773" start="0" length="0">
      <dxf/>
    </rfmt>
    <rfmt sheetId="2" sqref="LS773" start="0" length="0">
      <dxf/>
    </rfmt>
    <rfmt sheetId="2" sqref="LT773" start="0" length="0">
      <dxf/>
    </rfmt>
    <rfmt sheetId="2" sqref="LU773" start="0" length="0">
      <dxf/>
    </rfmt>
    <rfmt sheetId="2" sqref="LV773" start="0" length="0">
      <dxf/>
    </rfmt>
    <rfmt sheetId="2" sqref="LW773" start="0" length="0">
      <dxf/>
    </rfmt>
    <rfmt sheetId="2" sqref="LX773" start="0" length="0">
      <dxf/>
    </rfmt>
    <rfmt sheetId="2" sqref="LY773" start="0" length="0">
      <dxf/>
    </rfmt>
    <rfmt sheetId="2" sqref="LZ773" start="0" length="0">
      <dxf/>
    </rfmt>
    <rfmt sheetId="2" sqref="MA773" start="0" length="0">
      <dxf/>
    </rfmt>
    <rfmt sheetId="2" sqref="MB773" start="0" length="0">
      <dxf/>
    </rfmt>
  </rrc>
  <rrc rId="1731" sId="2" ref="A773:XFD773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73:XFD773" start="0" length="0">
      <dxf>
        <font>
          <sz val="10"/>
          <name val="Arial"/>
          <scheme val="none"/>
        </font>
        <alignment horizontal="center" readingOrder="0"/>
      </dxf>
    </rfmt>
    <rfmt sheetId="2" sqref="A77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3" start="0" length="0">
      <dxf>
        <numFmt numFmtId="176" formatCode="m/d;@"/>
      </dxf>
    </rfmt>
    <rfmt sheetId="2" sqref="P77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3" start="0" length="0">
      <dxf/>
    </rfmt>
    <rfmt sheetId="2" sqref="U773" start="0" length="0">
      <dxf/>
    </rfmt>
    <rfmt sheetId="2" sqref="V773" start="0" length="0">
      <dxf/>
    </rfmt>
    <rfmt sheetId="2" sqref="W773" start="0" length="0">
      <dxf/>
    </rfmt>
    <rfmt sheetId="2" sqref="X773" start="0" length="0">
      <dxf/>
    </rfmt>
    <rfmt sheetId="2" sqref="Y773" start="0" length="0">
      <dxf/>
    </rfmt>
    <rfmt sheetId="2" sqref="Z773" start="0" length="0">
      <dxf/>
    </rfmt>
    <rfmt sheetId="2" sqref="AA773" start="0" length="0">
      <dxf/>
    </rfmt>
    <rfmt sheetId="2" sqref="AB773" start="0" length="0">
      <dxf/>
    </rfmt>
    <rfmt sheetId="2" sqref="AC773" start="0" length="0">
      <dxf/>
    </rfmt>
    <rfmt sheetId="2" sqref="AD773" start="0" length="0">
      <dxf/>
    </rfmt>
    <rfmt sheetId="2" sqref="AE773" start="0" length="0">
      <dxf/>
    </rfmt>
    <rfmt sheetId="2" sqref="AF773" start="0" length="0">
      <dxf/>
    </rfmt>
    <rfmt sheetId="2" sqref="AG773" start="0" length="0">
      <dxf/>
    </rfmt>
    <rfmt sheetId="2" sqref="AH773" start="0" length="0">
      <dxf/>
    </rfmt>
    <rfmt sheetId="2" sqref="AI773" start="0" length="0">
      <dxf/>
    </rfmt>
    <rfmt sheetId="2" sqref="AJ773" start="0" length="0">
      <dxf/>
    </rfmt>
    <rfmt sheetId="2" sqref="AK773" start="0" length="0">
      <dxf/>
    </rfmt>
    <rfmt sheetId="2" sqref="AL773" start="0" length="0">
      <dxf/>
    </rfmt>
    <rfmt sheetId="2" sqref="AM773" start="0" length="0">
      <dxf/>
    </rfmt>
    <rfmt sheetId="2" sqref="AN773" start="0" length="0">
      <dxf/>
    </rfmt>
    <rfmt sheetId="2" sqref="AO773" start="0" length="0">
      <dxf/>
    </rfmt>
    <rfmt sheetId="2" sqref="AP773" start="0" length="0">
      <dxf/>
    </rfmt>
    <rfmt sheetId="2" sqref="AQ773" start="0" length="0">
      <dxf/>
    </rfmt>
    <rfmt sheetId="2" sqref="AR773" start="0" length="0">
      <dxf/>
    </rfmt>
    <rfmt sheetId="2" sqref="AS773" start="0" length="0">
      <dxf/>
    </rfmt>
    <rfmt sheetId="2" sqref="AT773" start="0" length="0">
      <dxf/>
    </rfmt>
    <rfmt sheetId="2" sqref="AU773" start="0" length="0">
      <dxf/>
    </rfmt>
    <rfmt sheetId="2" sqref="AV773" start="0" length="0">
      <dxf/>
    </rfmt>
    <rfmt sheetId="2" sqref="AW773" start="0" length="0">
      <dxf/>
    </rfmt>
    <rfmt sheetId="2" sqref="AX773" start="0" length="0">
      <dxf/>
    </rfmt>
    <rfmt sheetId="2" sqref="AY773" start="0" length="0">
      <dxf/>
    </rfmt>
    <rfmt sheetId="2" sqref="AZ773" start="0" length="0">
      <dxf/>
    </rfmt>
    <rfmt sheetId="2" sqref="BA773" start="0" length="0">
      <dxf/>
    </rfmt>
    <rfmt sheetId="2" sqref="BB773" start="0" length="0">
      <dxf/>
    </rfmt>
    <rfmt sheetId="2" sqref="BC773" start="0" length="0">
      <dxf/>
    </rfmt>
    <rfmt sheetId="2" sqref="BD773" start="0" length="0">
      <dxf/>
    </rfmt>
    <rfmt sheetId="2" sqref="BE773" start="0" length="0">
      <dxf/>
    </rfmt>
    <rfmt sheetId="2" sqref="BF773" start="0" length="0">
      <dxf/>
    </rfmt>
    <rfmt sheetId="2" sqref="BG773" start="0" length="0">
      <dxf/>
    </rfmt>
    <rfmt sheetId="2" sqref="BH773" start="0" length="0">
      <dxf/>
    </rfmt>
    <rfmt sheetId="2" sqref="BI773" start="0" length="0">
      <dxf/>
    </rfmt>
    <rfmt sheetId="2" sqref="BJ773" start="0" length="0">
      <dxf/>
    </rfmt>
    <rfmt sheetId="2" sqref="BK773" start="0" length="0">
      <dxf/>
    </rfmt>
    <rfmt sheetId="2" sqref="BL773" start="0" length="0">
      <dxf/>
    </rfmt>
    <rfmt sheetId="2" sqref="BM773" start="0" length="0">
      <dxf/>
    </rfmt>
    <rfmt sheetId="2" sqref="BN773" start="0" length="0">
      <dxf/>
    </rfmt>
    <rfmt sheetId="2" sqref="BO773" start="0" length="0">
      <dxf/>
    </rfmt>
    <rfmt sheetId="2" sqref="BP773" start="0" length="0">
      <dxf/>
    </rfmt>
    <rfmt sheetId="2" sqref="BQ773" start="0" length="0">
      <dxf/>
    </rfmt>
    <rfmt sheetId="2" sqref="BR773" start="0" length="0">
      <dxf/>
    </rfmt>
    <rfmt sheetId="2" sqref="BS773" start="0" length="0">
      <dxf/>
    </rfmt>
    <rfmt sheetId="2" sqref="BT773" start="0" length="0">
      <dxf/>
    </rfmt>
    <rfmt sheetId="2" sqref="BU773" start="0" length="0">
      <dxf/>
    </rfmt>
    <rfmt sheetId="2" sqref="BV773" start="0" length="0">
      <dxf/>
    </rfmt>
    <rfmt sheetId="2" sqref="BW773" start="0" length="0">
      <dxf/>
    </rfmt>
    <rfmt sheetId="2" sqref="BX773" start="0" length="0">
      <dxf/>
    </rfmt>
    <rfmt sheetId="2" sqref="BY773" start="0" length="0">
      <dxf/>
    </rfmt>
    <rfmt sheetId="2" sqref="BZ773" start="0" length="0">
      <dxf/>
    </rfmt>
    <rfmt sheetId="2" sqref="CA773" start="0" length="0">
      <dxf/>
    </rfmt>
    <rfmt sheetId="2" sqref="CB773" start="0" length="0">
      <dxf/>
    </rfmt>
    <rfmt sheetId="2" sqref="CC773" start="0" length="0">
      <dxf/>
    </rfmt>
    <rfmt sheetId="2" sqref="CD773" start="0" length="0">
      <dxf/>
    </rfmt>
    <rfmt sheetId="2" sqref="CE773" start="0" length="0">
      <dxf/>
    </rfmt>
    <rfmt sheetId="2" sqref="CF773" start="0" length="0">
      <dxf/>
    </rfmt>
    <rfmt sheetId="2" sqref="CG773" start="0" length="0">
      <dxf/>
    </rfmt>
    <rfmt sheetId="2" sqref="CH773" start="0" length="0">
      <dxf/>
    </rfmt>
    <rfmt sheetId="2" sqref="CI773" start="0" length="0">
      <dxf/>
    </rfmt>
    <rfmt sheetId="2" sqref="CJ773" start="0" length="0">
      <dxf/>
    </rfmt>
    <rfmt sheetId="2" sqref="CK773" start="0" length="0">
      <dxf/>
    </rfmt>
    <rfmt sheetId="2" sqref="CL773" start="0" length="0">
      <dxf/>
    </rfmt>
    <rfmt sheetId="2" sqref="CM773" start="0" length="0">
      <dxf/>
    </rfmt>
    <rfmt sheetId="2" sqref="CN773" start="0" length="0">
      <dxf/>
    </rfmt>
    <rfmt sheetId="2" sqref="CO773" start="0" length="0">
      <dxf/>
    </rfmt>
    <rfmt sheetId="2" sqref="CP773" start="0" length="0">
      <dxf/>
    </rfmt>
    <rfmt sheetId="2" sqref="CQ773" start="0" length="0">
      <dxf/>
    </rfmt>
    <rfmt sheetId="2" sqref="CR773" start="0" length="0">
      <dxf/>
    </rfmt>
    <rfmt sheetId="2" sqref="CS773" start="0" length="0">
      <dxf/>
    </rfmt>
    <rfmt sheetId="2" sqref="CT773" start="0" length="0">
      <dxf/>
    </rfmt>
    <rfmt sheetId="2" sqref="CU773" start="0" length="0">
      <dxf/>
    </rfmt>
    <rfmt sheetId="2" sqref="CV773" start="0" length="0">
      <dxf/>
    </rfmt>
    <rfmt sheetId="2" sqref="CW773" start="0" length="0">
      <dxf/>
    </rfmt>
    <rfmt sheetId="2" sqref="CX773" start="0" length="0">
      <dxf/>
    </rfmt>
    <rfmt sheetId="2" sqref="CY773" start="0" length="0">
      <dxf/>
    </rfmt>
    <rfmt sheetId="2" sqref="CZ773" start="0" length="0">
      <dxf/>
    </rfmt>
    <rfmt sheetId="2" sqref="DA773" start="0" length="0">
      <dxf/>
    </rfmt>
    <rfmt sheetId="2" sqref="DB773" start="0" length="0">
      <dxf/>
    </rfmt>
    <rfmt sheetId="2" sqref="DC773" start="0" length="0">
      <dxf/>
    </rfmt>
    <rfmt sheetId="2" sqref="DD773" start="0" length="0">
      <dxf/>
    </rfmt>
    <rfmt sheetId="2" sqref="DE773" start="0" length="0">
      <dxf/>
    </rfmt>
    <rfmt sheetId="2" sqref="DF773" start="0" length="0">
      <dxf/>
    </rfmt>
    <rfmt sheetId="2" sqref="DG773" start="0" length="0">
      <dxf/>
    </rfmt>
    <rfmt sheetId="2" sqref="DH773" start="0" length="0">
      <dxf/>
    </rfmt>
    <rfmt sheetId="2" sqref="DI773" start="0" length="0">
      <dxf/>
    </rfmt>
    <rfmt sheetId="2" sqref="DJ773" start="0" length="0">
      <dxf/>
    </rfmt>
    <rfmt sheetId="2" sqref="DK773" start="0" length="0">
      <dxf/>
    </rfmt>
    <rfmt sheetId="2" sqref="DL773" start="0" length="0">
      <dxf/>
    </rfmt>
    <rfmt sheetId="2" sqref="DM773" start="0" length="0">
      <dxf/>
    </rfmt>
    <rfmt sheetId="2" sqref="DN773" start="0" length="0">
      <dxf/>
    </rfmt>
    <rfmt sheetId="2" sqref="DO773" start="0" length="0">
      <dxf/>
    </rfmt>
    <rfmt sheetId="2" sqref="DP773" start="0" length="0">
      <dxf/>
    </rfmt>
    <rfmt sheetId="2" sqref="DQ773" start="0" length="0">
      <dxf/>
    </rfmt>
    <rfmt sheetId="2" sqref="DR773" start="0" length="0">
      <dxf/>
    </rfmt>
    <rfmt sheetId="2" sqref="DS773" start="0" length="0">
      <dxf/>
    </rfmt>
    <rfmt sheetId="2" sqref="DT773" start="0" length="0">
      <dxf/>
    </rfmt>
    <rfmt sheetId="2" sqref="DU773" start="0" length="0">
      <dxf/>
    </rfmt>
    <rfmt sheetId="2" sqref="DV773" start="0" length="0">
      <dxf/>
    </rfmt>
    <rfmt sheetId="2" sqref="DW773" start="0" length="0">
      <dxf/>
    </rfmt>
    <rfmt sheetId="2" sqref="DX773" start="0" length="0">
      <dxf/>
    </rfmt>
    <rfmt sheetId="2" sqref="DY773" start="0" length="0">
      <dxf/>
    </rfmt>
    <rfmt sheetId="2" sqref="DZ773" start="0" length="0">
      <dxf/>
    </rfmt>
    <rfmt sheetId="2" sqref="EA773" start="0" length="0">
      <dxf/>
    </rfmt>
    <rfmt sheetId="2" sqref="EB773" start="0" length="0">
      <dxf/>
    </rfmt>
    <rfmt sheetId="2" sqref="EC773" start="0" length="0">
      <dxf/>
    </rfmt>
    <rfmt sheetId="2" sqref="ED773" start="0" length="0">
      <dxf/>
    </rfmt>
    <rfmt sheetId="2" sqref="EE773" start="0" length="0">
      <dxf/>
    </rfmt>
    <rfmt sheetId="2" sqref="EF773" start="0" length="0">
      <dxf/>
    </rfmt>
    <rfmt sheetId="2" sqref="EG773" start="0" length="0">
      <dxf/>
    </rfmt>
    <rfmt sheetId="2" sqref="EH773" start="0" length="0">
      <dxf/>
    </rfmt>
    <rfmt sheetId="2" sqref="EI773" start="0" length="0">
      <dxf/>
    </rfmt>
    <rfmt sheetId="2" sqref="EJ773" start="0" length="0">
      <dxf/>
    </rfmt>
    <rfmt sheetId="2" sqref="EK773" start="0" length="0">
      <dxf/>
    </rfmt>
    <rfmt sheetId="2" sqref="EL773" start="0" length="0">
      <dxf/>
    </rfmt>
    <rfmt sheetId="2" sqref="EM773" start="0" length="0">
      <dxf/>
    </rfmt>
    <rfmt sheetId="2" sqref="EN773" start="0" length="0">
      <dxf/>
    </rfmt>
    <rfmt sheetId="2" sqref="EO773" start="0" length="0">
      <dxf/>
    </rfmt>
    <rfmt sheetId="2" sqref="EP773" start="0" length="0">
      <dxf/>
    </rfmt>
    <rfmt sheetId="2" sqref="EQ773" start="0" length="0">
      <dxf/>
    </rfmt>
    <rfmt sheetId="2" sqref="ER773" start="0" length="0">
      <dxf/>
    </rfmt>
    <rfmt sheetId="2" sqref="ES773" start="0" length="0">
      <dxf/>
    </rfmt>
    <rfmt sheetId="2" sqref="ET773" start="0" length="0">
      <dxf/>
    </rfmt>
    <rfmt sheetId="2" sqref="EU773" start="0" length="0">
      <dxf/>
    </rfmt>
    <rfmt sheetId="2" sqref="EV773" start="0" length="0">
      <dxf/>
    </rfmt>
    <rfmt sheetId="2" sqref="EW773" start="0" length="0">
      <dxf/>
    </rfmt>
    <rfmt sheetId="2" sqref="EX773" start="0" length="0">
      <dxf/>
    </rfmt>
    <rfmt sheetId="2" sqref="EY773" start="0" length="0">
      <dxf/>
    </rfmt>
    <rfmt sheetId="2" sqref="EZ773" start="0" length="0">
      <dxf/>
    </rfmt>
    <rfmt sheetId="2" sqref="FA773" start="0" length="0">
      <dxf/>
    </rfmt>
    <rfmt sheetId="2" sqref="FB773" start="0" length="0">
      <dxf/>
    </rfmt>
    <rfmt sheetId="2" sqref="FC773" start="0" length="0">
      <dxf/>
    </rfmt>
    <rfmt sheetId="2" sqref="FD773" start="0" length="0">
      <dxf/>
    </rfmt>
    <rfmt sheetId="2" sqref="FE773" start="0" length="0">
      <dxf/>
    </rfmt>
    <rfmt sheetId="2" sqref="FF773" start="0" length="0">
      <dxf/>
    </rfmt>
    <rfmt sheetId="2" sqref="FG773" start="0" length="0">
      <dxf/>
    </rfmt>
    <rfmt sheetId="2" sqref="FH773" start="0" length="0">
      <dxf/>
    </rfmt>
    <rfmt sheetId="2" sqref="FI773" start="0" length="0">
      <dxf/>
    </rfmt>
    <rfmt sheetId="2" sqref="FJ773" start="0" length="0">
      <dxf/>
    </rfmt>
    <rfmt sheetId="2" sqref="FK773" start="0" length="0">
      <dxf/>
    </rfmt>
    <rfmt sheetId="2" sqref="FL773" start="0" length="0">
      <dxf/>
    </rfmt>
    <rfmt sheetId="2" sqref="FM773" start="0" length="0">
      <dxf/>
    </rfmt>
    <rfmt sheetId="2" sqref="FN773" start="0" length="0">
      <dxf/>
    </rfmt>
    <rfmt sheetId="2" sqref="FO773" start="0" length="0">
      <dxf/>
    </rfmt>
    <rfmt sheetId="2" sqref="FP773" start="0" length="0">
      <dxf/>
    </rfmt>
    <rfmt sheetId="2" sqref="FQ773" start="0" length="0">
      <dxf/>
    </rfmt>
    <rfmt sheetId="2" sqref="FR773" start="0" length="0">
      <dxf/>
    </rfmt>
    <rfmt sheetId="2" sqref="FS773" start="0" length="0">
      <dxf/>
    </rfmt>
    <rfmt sheetId="2" sqref="FT773" start="0" length="0">
      <dxf/>
    </rfmt>
    <rfmt sheetId="2" sqref="FU773" start="0" length="0">
      <dxf/>
    </rfmt>
    <rfmt sheetId="2" sqref="FV773" start="0" length="0">
      <dxf/>
    </rfmt>
    <rfmt sheetId="2" sqref="FW773" start="0" length="0">
      <dxf/>
    </rfmt>
    <rfmt sheetId="2" sqref="FX773" start="0" length="0">
      <dxf/>
    </rfmt>
    <rfmt sheetId="2" sqref="FY773" start="0" length="0">
      <dxf/>
    </rfmt>
    <rfmt sheetId="2" sqref="FZ773" start="0" length="0">
      <dxf/>
    </rfmt>
    <rfmt sheetId="2" sqref="GA773" start="0" length="0">
      <dxf/>
    </rfmt>
    <rfmt sheetId="2" sqref="GB773" start="0" length="0">
      <dxf/>
    </rfmt>
    <rfmt sheetId="2" sqref="GC773" start="0" length="0">
      <dxf/>
    </rfmt>
    <rfmt sheetId="2" sqref="GD773" start="0" length="0">
      <dxf/>
    </rfmt>
    <rfmt sheetId="2" sqref="GE773" start="0" length="0">
      <dxf/>
    </rfmt>
    <rfmt sheetId="2" sqref="GF773" start="0" length="0">
      <dxf/>
    </rfmt>
    <rfmt sheetId="2" sqref="GG773" start="0" length="0">
      <dxf/>
    </rfmt>
    <rfmt sheetId="2" sqref="GH773" start="0" length="0">
      <dxf/>
    </rfmt>
    <rfmt sheetId="2" sqref="GI773" start="0" length="0">
      <dxf/>
    </rfmt>
    <rfmt sheetId="2" sqref="GJ773" start="0" length="0">
      <dxf/>
    </rfmt>
    <rfmt sheetId="2" sqref="GK773" start="0" length="0">
      <dxf/>
    </rfmt>
    <rfmt sheetId="2" sqref="GL773" start="0" length="0">
      <dxf/>
    </rfmt>
    <rfmt sheetId="2" sqref="GM773" start="0" length="0">
      <dxf/>
    </rfmt>
    <rfmt sheetId="2" sqref="GN773" start="0" length="0">
      <dxf/>
    </rfmt>
    <rfmt sheetId="2" sqref="GO773" start="0" length="0">
      <dxf/>
    </rfmt>
    <rfmt sheetId="2" sqref="GP773" start="0" length="0">
      <dxf/>
    </rfmt>
    <rfmt sheetId="2" sqref="GQ773" start="0" length="0">
      <dxf/>
    </rfmt>
    <rfmt sheetId="2" sqref="GR773" start="0" length="0">
      <dxf/>
    </rfmt>
    <rfmt sheetId="2" sqref="GS773" start="0" length="0">
      <dxf/>
    </rfmt>
    <rfmt sheetId="2" sqref="GT773" start="0" length="0">
      <dxf/>
    </rfmt>
    <rfmt sheetId="2" sqref="GU773" start="0" length="0">
      <dxf/>
    </rfmt>
    <rfmt sheetId="2" sqref="GV773" start="0" length="0">
      <dxf/>
    </rfmt>
    <rfmt sheetId="2" sqref="GW773" start="0" length="0">
      <dxf/>
    </rfmt>
    <rfmt sheetId="2" sqref="GX773" start="0" length="0">
      <dxf/>
    </rfmt>
    <rfmt sheetId="2" sqref="GY773" start="0" length="0">
      <dxf/>
    </rfmt>
    <rfmt sheetId="2" sqref="GZ773" start="0" length="0">
      <dxf/>
    </rfmt>
    <rfmt sheetId="2" sqref="HA773" start="0" length="0">
      <dxf/>
    </rfmt>
    <rfmt sheetId="2" sqref="HB773" start="0" length="0">
      <dxf/>
    </rfmt>
    <rfmt sheetId="2" sqref="HC773" start="0" length="0">
      <dxf/>
    </rfmt>
    <rfmt sheetId="2" sqref="HD773" start="0" length="0">
      <dxf/>
    </rfmt>
    <rfmt sheetId="2" sqref="HE773" start="0" length="0">
      <dxf/>
    </rfmt>
    <rfmt sheetId="2" sqref="HF773" start="0" length="0">
      <dxf/>
    </rfmt>
    <rfmt sheetId="2" sqref="HG773" start="0" length="0">
      <dxf/>
    </rfmt>
    <rfmt sheetId="2" sqref="HH773" start="0" length="0">
      <dxf/>
    </rfmt>
    <rfmt sheetId="2" sqref="HI773" start="0" length="0">
      <dxf/>
    </rfmt>
    <rfmt sheetId="2" sqref="HJ773" start="0" length="0">
      <dxf/>
    </rfmt>
    <rfmt sheetId="2" sqref="HK773" start="0" length="0">
      <dxf/>
    </rfmt>
    <rfmt sheetId="2" sqref="HL773" start="0" length="0">
      <dxf/>
    </rfmt>
    <rfmt sheetId="2" sqref="HM773" start="0" length="0">
      <dxf/>
    </rfmt>
    <rfmt sheetId="2" sqref="HN773" start="0" length="0">
      <dxf/>
    </rfmt>
    <rfmt sheetId="2" sqref="HO773" start="0" length="0">
      <dxf/>
    </rfmt>
    <rfmt sheetId="2" sqref="HP773" start="0" length="0">
      <dxf/>
    </rfmt>
    <rfmt sheetId="2" sqref="HQ773" start="0" length="0">
      <dxf/>
    </rfmt>
    <rfmt sheetId="2" sqref="HR773" start="0" length="0">
      <dxf/>
    </rfmt>
    <rfmt sheetId="2" sqref="HS773" start="0" length="0">
      <dxf/>
    </rfmt>
    <rfmt sheetId="2" sqref="HT773" start="0" length="0">
      <dxf/>
    </rfmt>
    <rfmt sheetId="2" sqref="HU773" start="0" length="0">
      <dxf/>
    </rfmt>
    <rfmt sheetId="2" sqref="HV773" start="0" length="0">
      <dxf/>
    </rfmt>
    <rfmt sheetId="2" sqref="HW773" start="0" length="0">
      <dxf/>
    </rfmt>
    <rfmt sheetId="2" sqref="HX773" start="0" length="0">
      <dxf/>
    </rfmt>
    <rfmt sheetId="2" sqref="HY773" start="0" length="0">
      <dxf/>
    </rfmt>
    <rfmt sheetId="2" sqref="HZ773" start="0" length="0">
      <dxf/>
    </rfmt>
    <rfmt sheetId="2" sqref="IA773" start="0" length="0">
      <dxf/>
    </rfmt>
    <rfmt sheetId="2" sqref="IB773" start="0" length="0">
      <dxf/>
    </rfmt>
    <rfmt sheetId="2" sqref="IC773" start="0" length="0">
      <dxf/>
    </rfmt>
    <rfmt sheetId="2" sqref="ID773" start="0" length="0">
      <dxf/>
    </rfmt>
    <rfmt sheetId="2" sqref="IE773" start="0" length="0">
      <dxf/>
    </rfmt>
    <rfmt sheetId="2" sqref="IF773" start="0" length="0">
      <dxf/>
    </rfmt>
    <rfmt sheetId="2" sqref="IG773" start="0" length="0">
      <dxf/>
    </rfmt>
    <rfmt sheetId="2" sqref="IH773" start="0" length="0">
      <dxf/>
    </rfmt>
    <rfmt sheetId="2" sqref="II773" start="0" length="0">
      <dxf/>
    </rfmt>
    <rfmt sheetId="2" sqref="IJ773" start="0" length="0">
      <dxf/>
    </rfmt>
    <rfmt sheetId="2" sqref="IK773" start="0" length="0">
      <dxf/>
    </rfmt>
    <rfmt sheetId="2" sqref="IL773" start="0" length="0">
      <dxf/>
    </rfmt>
    <rfmt sheetId="2" sqref="IM773" start="0" length="0">
      <dxf/>
    </rfmt>
    <rfmt sheetId="2" sqref="IN773" start="0" length="0">
      <dxf/>
    </rfmt>
    <rfmt sheetId="2" sqref="IO773" start="0" length="0">
      <dxf/>
    </rfmt>
    <rfmt sheetId="2" sqref="IP773" start="0" length="0">
      <dxf/>
    </rfmt>
    <rfmt sheetId="2" sqref="IQ773" start="0" length="0">
      <dxf/>
    </rfmt>
    <rfmt sheetId="2" sqref="IR773" start="0" length="0">
      <dxf/>
    </rfmt>
    <rfmt sheetId="2" sqref="IS773" start="0" length="0">
      <dxf/>
    </rfmt>
    <rfmt sheetId="2" sqref="IT773" start="0" length="0">
      <dxf/>
    </rfmt>
    <rfmt sheetId="2" sqref="IU773" start="0" length="0">
      <dxf/>
    </rfmt>
    <rfmt sheetId="2" sqref="IV773" start="0" length="0">
      <dxf/>
    </rfmt>
    <rfmt sheetId="2" sqref="IW773" start="0" length="0">
      <dxf/>
    </rfmt>
    <rfmt sheetId="2" sqref="IX773" start="0" length="0">
      <dxf/>
    </rfmt>
    <rfmt sheetId="2" sqref="IY773" start="0" length="0">
      <dxf/>
    </rfmt>
    <rfmt sheetId="2" sqref="IZ773" start="0" length="0">
      <dxf/>
    </rfmt>
    <rfmt sheetId="2" sqref="JA773" start="0" length="0">
      <dxf/>
    </rfmt>
    <rfmt sheetId="2" sqref="JB773" start="0" length="0">
      <dxf/>
    </rfmt>
    <rfmt sheetId="2" sqref="JC773" start="0" length="0">
      <dxf/>
    </rfmt>
    <rfmt sheetId="2" sqref="JD773" start="0" length="0">
      <dxf/>
    </rfmt>
    <rfmt sheetId="2" sqref="JE773" start="0" length="0">
      <dxf/>
    </rfmt>
    <rfmt sheetId="2" sqref="JF773" start="0" length="0">
      <dxf/>
    </rfmt>
    <rfmt sheetId="2" sqref="JG773" start="0" length="0">
      <dxf/>
    </rfmt>
    <rfmt sheetId="2" sqref="JH773" start="0" length="0">
      <dxf/>
    </rfmt>
    <rfmt sheetId="2" sqref="JI773" start="0" length="0">
      <dxf/>
    </rfmt>
    <rfmt sheetId="2" sqref="JJ773" start="0" length="0">
      <dxf/>
    </rfmt>
    <rfmt sheetId="2" sqref="JK773" start="0" length="0">
      <dxf/>
    </rfmt>
    <rfmt sheetId="2" sqref="JL773" start="0" length="0">
      <dxf/>
    </rfmt>
    <rfmt sheetId="2" sqref="JM773" start="0" length="0">
      <dxf/>
    </rfmt>
    <rfmt sheetId="2" sqref="JN773" start="0" length="0">
      <dxf/>
    </rfmt>
    <rfmt sheetId="2" sqref="JO773" start="0" length="0">
      <dxf/>
    </rfmt>
    <rfmt sheetId="2" sqref="JP773" start="0" length="0">
      <dxf/>
    </rfmt>
    <rfmt sheetId="2" sqref="JQ773" start="0" length="0">
      <dxf/>
    </rfmt>
    <rfmt sheetId="2" sqref="JR773" start="0" length="0">
      <dxf/>
    </rfmt>
    <rfmt sheetId="2" sqref="JS773" start="0" length="0">
      <dxf/>
    </rfmt>
    <rfmt sheetId="2" sqref="JT773" start="0" length="0">
      <dxf/>
    </rfmt>
    <rfmt sheetId="2" sqref="JU773" start="0" length="0">
      <dxf/>
    </rfmt>
    <rfmt sheetId="2" sqref="JV773" start="0" length="0">
      <dxf/>
    </rfmt>
    <rfmt sheetId="2" sqref="JW773" start="0" length="0">
      <dxf/>
    </rfmt>
    <rfmt sheetId="2" sqref="JX773" start="0" length="0">
      <dxf/>
    </rfmt>
    <rfmt sheetId="2" sqref="JY773" start="0" length="0">
      <dxf/>
    </rfmt>
    <rfmt sheetId="2" sqref="JZ773" start="0" length="0">
      <dxf/>
    </rfmt>
    <rfmt sheetId="2" sqref="KA773" start="0" length="0">
      <dxf/>
    </rfmt>
    <rfmt sheetId="2" sqref="KB773" start="0" length="0">
      <dxf/>
    </rfmt>
    <rfmt sheetId="2" sqref="KC773" start="0" length="0">
      <dxf/>
    </rfmt>
    <rfmt sheetId="2" sqref="KD773" start="0" length="0">
      <dxf/>
    </rfmt>
    <rfmt sheetId="2" sqref="KE773" start="0" length="0">
      <dxf/>
    </rfmt>
    <rfmt sheetId="2" sqref="KF773" start="0" length="0">
      <dxf/>
    </rfmt>
    <rfmt sheetId="2" sqref="KG773" start="0" length="0">
      <dxf/>
    </rfmt>
    <rfmt sheetId="2" sqref="KH773" start="0" length="0">
      <dxf/>
    </rfmt>
    <rfmt sheetId="2" sqref="KI773" start="0" length="0">
      <dxf/>
    </rfmt>
    <rfmt sheetId="2" sqref="KJ773" start="0" length="0">
      <dxf/>
    </rfmt>
    <rfmt sheetId="2" sqref="KK773" start="0" length="0">
      <dxf/>
    </rfmt>
    <rfmt sheetId="2" sqref="KL773" start="0" length="0">
      <dxf/>
    </rfmt>
    <rfmt sheetId="2" sqref="KM773" start="0" length="0">
      <dxf/>
    </rfmt>
    <rfmt sheetId="2" sqref="KN773" start="0" length="0">
      <dxf/>
    </rfmt>
    <rfmt sheetId="2" sqref="KO773" start="0" length="0">
      <dxf/>
    </rfmt>
    <rfmt sheetId="2" sqref="KP773" start="0" length="0">
      <dxf/>
    </rfmt>
    <rfmt sheetId="2" sqref="KQ773" start="0" length="0">
      <dxf/>
    </rfmt>
    <rfmt sheetId="2" sqref="KR773" start="0" length="0">
      <dxf/>
    </rfmt>
    <rfmt sheetId="2" sqref="KS773" start="0" length="0">
      <dxf/>
    </rfmt>
    <rfmt sheetId="2" sqref="KT773" start="0" length="0">
      <dxf/>
    </rfmt>
    <rfmt sheetId="2" sqref="KU773" start="0" length="0">
      <dxf/>
    </rfmt>
    <rfmt sheetId="2" sqref="KV773" start="0" length="0">
      <dxf/>
    </rfmt>
    <rfmt sheetId="2" sqref="KW773" start="0" length="0">
      <dxf/>
    </rfmt>
    <rfmt sheetId="2" sqref="KX773" start="0" length="0">
      <dxf/>
    </rfmt>
    <rfmt sheetId="2" sqref="KY773" start="0" length="0">
      <dxf/>
    </rfmt>
    <rfmt sheetId="2" sqref="KZ773" start="0" length="0">
      <dxf/>
    </rfmt>
    <rfmt sheetId="2" sqref="LA773" start="0" length="0">
      <dxf/>
    </rfmt>
    <rfmt sheetId="2" sqref="LB773" start="0" length="0">
      <dxf/>
    </rfmt>
    <rfmt sheetId="2" sqref="LC773" start="0" length="0">
      <dxf/>
    </rfmt>
    <rfmt sheetId="2" sqref="LD773" start="0" length="0">
      <dxf/>
    </rfmt>
    <rfmt sheetId="2" sqref="LE773" start="0" length="0">
      <dxf/>
    </rfmt>
    <rfmt sheetId="2" sqref="LF773" start="0" length="0">
      <dxf/>
    </rfmt>
    <rfmt sheetId="2" sqref="LG773" start="0" length="0">
      <dxf/>
    </rfmt>
    <rfmt sheetId="2" sqref="LH773" start="0" length="0">
      <dxf/>
    </rfmt>
    <rfmt sheetId="2" sqref="LI773" start="0" length="0">
      <dxf/>
    </rfmt>
    <rfmt sheetId="2" sqref="LJ773" start="0" length="0">
      <dxf/>
    </rfmt>
    <rfmt sheetId="2" sqref="LK773" start="0" length="0">
      <dxf/>
    </rfmt>
    <rfmt sheetId="2" sqref="LL773" start="0" length="0">
      <dxf/>
    </rfmt>
    <rfmt sheetId="2" sqref="LM773" start="0" length="0">
      <dxf/>
    </rfmt>
    <rfmt sheetId="2" sqref="LN773" start="0" length="0">
      <dxf/>
    </rfmt>
    <rfmt sheetId="2" sqref="LO773" start="0" length="0">
      <dxf/>
    </rfmt>
    <rfmt sheetId="2" sqref="LP773" start="0" length="0">
      <dxf/>
    </rfmt>
    <rfmt sheetId="2" sqref="LQ773" start="0" length="0">
      <dxf/>
    </rfmt>
    <rfmt sheetId="2" sqref="LR773" start="0" length="0">
      <dxf/>
    </rfmt>
    <rfmt sheetId="2" sqref="LS773" start="0" length="0">
      <dxf/>
    </rfmt>
    <rfmt sheetId="2" sqref="LT773" start="0" length="0">
      <dxf/>
    </rfmt>
    <rfmt sheetId="2" sqref="LU773" start="0" length="0">
      <dxf/>
    </rfmt>
    <rfmt sheetId="2" sqref="LV773" start="0" length="0">
      <dxf/>
    </rfmt>
    <rfmt sheetId="2" sqref="LW773" start="0" length="0">
      <dxf/>
    </rfmt>
    <rfmt sheetId="2" sqref="LX773" start="0" length="0">
      <dxf/>
    </rfmt>
    <rfmt sheetId="2" sqref="LY773" start="0" length="0">
      <dxf/>
    </rfmt>
    <rfmt sheetId="2" sqref="LZ773" start="0" length="0">
      <dxf/>
    </rfmt>
    <rfmt sheetId="2" sqref="MA773" start="0" length="0">
      <dxf/>
    </rfmt>
    <rfmt sheetId="2" sqref="MB773" start="0" length="0">
      <dxf/>
    </rfmt>
  </rrc>
  <rrc rId="1732" sId="2" ref="A750:XFD750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33" sheetId="2" source="A776:XFD776" destination="A750:XFD750" sourceSheetId="2">
    <rfmt sheetId="2" xfDxf="1" sqref="A750:XFD750" start="0" length="0">
      <dxf>
        <font>
          <sz val="10"/>
          <name val="Arial"/>
          <scheme val="none"/>
        </font>
        <alignment horizontal="center" readingOrder="0"/>
      </dxf>
    </rfmt>
    <rfmt sheetId="2" sqref="A75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50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5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5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5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5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5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5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5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5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5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50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5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5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50" start="0" length="0">
      <dxf>
        <numFmt numFmtId="176" formatCode="m/d;@"/>
      </dxf>
    </rfmt>
    <rfmt sheetId="2" sqref="P750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50" start="0" length="0">
      <dxf/>
    </rfmt>
    <rfmt sheetId="2" sqref="U750" start="0" length="0">
      <dxf/>
    </rfmt>
    <rfmt sheetId="2" sqref="V750" start="0" length="0">
      <dxf/>
    </rfmt>
    <rfmt sheetId="2" sqref="W750" start="0" length="0">
      <dxf/>
    </rfmt>
    <rfmt sheetId="2" sqref="X750" start="0" length="0">
      <dxf/>
    </rfmt>
    <rfmt sheetId="2" sqref="Y750" start="0" length="0">
      <dxf/>
    </rfmt>
    <rfmt sheetId="2" sqref="Z750" start="0" length="0">
      <dxf/>
    </rfmt>
    <rfmt sheetId="2" sqref="AA750" start="0" length="0">
      <dxf/>
    </rfmt>
    <rfmt sheetId="2" sqref="AB750" start="0" length="0">
      <dxf/>
    </rfmt>
    <rfmt sheetId="2" sqref="AC750" start="0" length="0">
      <dxf/>
    </rfmt>
    <rfmt sheetId="2" sqref="AD750" start="0" length="0">
      <dxf/>
    </rfmt>
    <rfmt sheetId="2" sqref="AE750" start="0" length="0">
      <dxf/>
    </rfmt>
    <rfmt sheetId="2" sqref="AF750" start="0" length="0">
      <dxf/>
    </rfmt>
    <rfmt sheetId="2" sqref="AG750" start="0" length="0">
      <dxf/>
    </rfmt>
    <rfmt sheetId="2" sqref="AH750" start="0" length="0">
      <dxf/>
    </rfmt>
    <rfmt sheetId="2" sqref="AI750" start="0" length="0">
      <dxf/>
    </rfmt>
    <rfmt sheetId="2" sqref="AJ750" start="0" length="0">
      <dxf/>
    </rfmt>
    <rfmt sheetId="2" sqref="AK750" start="0" length="0">
      <dxf/>
    </rfmt>
    <rfmt sheetId="2" sqref="AL750" start="0" length="0">
      <dxf/>
    </rfmt>
    <rfmt sheetId="2" sqref="AM750" start="0" length="0">
      <dxf/>
    </rfmt>
    <rfmt sheetId="2" sqref="AN750" start="0" length="0">
      <dxf/>
    </rfmt>
    <rfmt sheetId="2" sqref="AO750" start="0" length="0">
      <dxf/>
    </rfmt>
    <rfmt sheetId="2" sqref="AP750" start="0" length="0">
      <dxf/>
    </rfmt>
    <rfmt sheetId="2" sqref="AQ750" start="0" length="0">
      <dxf/>
    </rfmt>
    <rfmt sheetId="2" sqref="AR750" start="0" length="0">
      <dxf/>
    </rfmt>
    <rfmt sheetId="2" sqref="AS750" start="0" length="0">
      <dxf/>
    </rfmt>
    <rfmt sheetId="2" sqref="AT750" start="0" length="0">
      <dxf/>
    </rfmt>
    <rfmt sheetId="2" sqref="AU750" start="0" length="0">
      <dxf/>
    </rfmt>
    <rfmt sheetId="2" sqref="AV750" start="0" length="0">
      <dxf/>
    </rfmt>
    <rfmt sheetId="2" sqref="AW750" start="0" length="0">
      <dxf/>
    </rfmt>
    <rfmt sheetId="2" sqref="AX750" start="0" length="0">
      <dxf/>
    </rfmt>
    <rfmt sheetId="2" sqref="AY750" start="0" length="0">
      <dxf/>
    </rfmt>
    <rfmt sheetId="2" sqref="AZ750" start="0" length="0">
      <dxf/>
    </rfmt>
    <rfmt sheetId="2" sqref="BA750" start="0" length="0">
      <dxf/>
    </rfmt>
    <rfmt sheetId="2" sqref="BB750" start="0" length="0">
      <dxf/>
    </rfmt>
    <rfmt sheetId="2" sqref="BC750" start="0" length="0">
      <dxf/>
    </rfmt>
    <rfmt sheetId="2" sqref="BD750" start="0" length="0">
      <dxf/>
    </rfmt>
    <rfmt sheetId="2" sqref="BE750" start="0" length="0">
      <dxf/>
    </rfmt>
    <rfmt sheetId="2" sqref="BF750" start="0" length="0">
      <dxf/>
    </rfmt>
    <rfmt sheetId="2" sqref="BG750" start="0" length="0">
      <dxf/>
    </rfmt>
    <rfmt sheetId="2" sqref="BH750" start="0" length="0">
      <dxf/>
    </rfmt>
    <rfmt sheetId="2" sqref="BI750" start="0" length="0">
      <dxf/>
    </rfmt>
    <rfmt sheetId="2" sqref="BJ750" start="0" length="0">
      <dxf/>
    </rfmt>
    <rfmt sheetId="2" sqref="BK750" start="0" length="0">
      <dxf/>
    </rfmt>
    <rfmt sheetId="2" sqref="BL750" start="0" length="0">
      <dxf/>
    </rfmt>
    <rfmt sheetId="2" sqref="BM750" start="0" length="0">
      <dxf/>
    </rfmt>
    <rfmt sheetId="2" sqref="BN750" start="0" length="0">
      <dxf/>
    </rfmt>
    <rfmt sheetId="2" sqref="BO750" start="0" length="0">
      <dxf/>
    </rfmt>
    <rfmt sheetId="2" sqref="BP750" start="0" length="0">
      <dxf/>
    </rfmt>
    <rfmt sheetId="2" sqref="BQ750" start="0" length="0">
      <dxf/>
    </rfmt>
    <rfmt sheetId="2" sqref="BR750" start="0" length="0">
      <dxf/>
    </rfmt>
    <rfmt sheetId="2" sqref="BS750" start="0" length="0">
      <dxf/>
    </rfmt>
    <rfmt sheetId="2" sqref="BT750" start="0" length="0">
      <dxf/>
    </rfmt>
    <rfmt sheetId="2" sqref="BU750" start="0" length="0">
      <dxf/>
    </rfmt>
    <rfmt sheetId="2" sqref="BV750" start="0" length="0">
      <dxf/>
    </rfmt>
    <rfmt sheetId="2" sqref="BW750" start="0" length="0">
      <dxf/>
    </rfmt>
    <rfmt sheetId="2" sqref="BX750" start="0" length="0">
      <dxf/>
    </rfmt>
    <rfmt sheetId="2" sqref="BY750" start="0" length="0">
      <dxf/>
    </rfmt>
    <rfmt sheetId="2" sqref="BZ750" start="0" length="0">
      <dxf/>
    </rfmt>
    <rfmt sheetId="2" sqref="CA750" start="0" length="0">
      <dxf/>
    </rfmt>
    <rfmt sheetId="2" sqref="CB750" start="0" length="0">
      <dxf/>
    </rfmt>
    <rfmt sheetId="2" sqref="CC750" start="0" length="0">
      <dxf/>
    </rfmt>
    <rfmt sheetId="2" sqref="CD750" start="0" length="0">
      <dxf/>
    </rfmt>
    <rfmt sheetId="2" sqref="CE750" start="0" length="0">
      <dxf/>
    </rfmt>
    <rfmt sheetId="2" sqref="CF750" start="0" length="0">
      <dxf/>
    </rfmt>
    <rfmt sheetId="2" sqref="CG750" start="0" length="0">
      <dxf/>
    </rfmt>
    <rfmt sheetId="2" sqref="CH750" start="0" length="0">
      <dxf/>
    </rfmt>
    <rfmt sheetId="2" sqref="CI750" start="0" length="0">
      <dxf/>
    </rfmt>
    <rfmt sheetId="2" sqref="CJ750" start="0" length="0">
      <dxf/>
    </rfmt>
    <rfmt sheetId="2" sqref="CK750" start="0" length="0">
      <dxf/>
    </rfmt>
    <rfmt sheetId="2" sqref="CL750" start="0" length="0">
      <dxf/>
    </rfmt>
    <rfmt sheetId="2" sqref="CM750" start="0" length="0">
      <dxf/>
    </rfmt>
    <rfmt sheetId="2" sqref="CN750" start="0" length="0">
      <dxf/>
    </rfmt>
    <rfmt sheetId="2" sqref="CO750" start="0" length="0">
      <dxf/>
    </rfmt>
    <rfmt sheetId="2" sqref="CP750" start="0" length="0">
      <dxf/>
    </rfmt>
    <rfmt sheetId="2" sqref="CQ750" start="0" length="0">
      <dxf/>
    </rfmt>
    <rfmt sheetId="2" sqref="CR750" start="0" length="0">
      <dxf/>
    </rfmt>
    <rfmt sheetId="2" sqref="CS750" start="0" length="0">
      <dxf/>
    </rfmt>
    <rfmt sheetId="2" sqref="CT750" start="0" length="0">
      <dxf/>
    </rfmt>
    <rfmt sheetId="2" sqref="CU750" start="0" length="0">
      <dxf/>
    </rfmt>
    <rfmt sheetId="2" sqref="CV750" start="0" length="0">
      <dxf/>
    </rfmt>
    <rfmt sheetId="2" sqref="CW750" start="0" length="0">
      <dxf/>
    </rfmt>
    <rfmt sheetId="2" sqref="CX750" start="0" length="0">
      <dxf/>
    </rfmt>
    <rfmt sheetId="2" sqref="CY750" start="0" length="0">
      <dxf/>
    </rfmt>
    <rfmt sheetId="2" sqref="CZ750" start="0" length="0">
      <dxf/>
    </rfmt>
    <rfmt sheetId="2" sqref="DA750" start="0" length="0">
      <dxf/>
    </rfmt>
    <rfmt sheetId="2" sqref="DB750" start="0" length="0">
      <dxf/>
    </rfmt>
    <rfmt sheetId="2" sqref="DC750" start="0" length="0">
      <dxf/>
    </rfmt>
    <rfmt sheetId="2" sqref="DD750" start="0" length="0">
      <dxf/>
    </rfmt>
    <rfmt sheetId="2" sqref="DE750" start="0" length="0">
      <dxf/>
    </rfmt>
    <rfmt sheetId="2" sqref="DF750" start="0" length="0">
      <dxf/>
    </rfmt>
    <rfmt sheetId="2" sqref="DG750" start="0" length="0">
      <dxf/>
    </rfmt>
    <rfmt sheetId="2" sqref="DH750" start="0" length="0">
      <dxf/>
    </rfmt>
    <rfmt sheetId="2" sqref="DI750" start="0" length="0">
      <dxf/>
    </rfmt>
    <rfmt sheetId="2" sqref="DJ750" start="0" length="0">
      <dxf/>
    </rfmt>
    <rfmt sheetId="2" sqref="DK750" start="0" length="0">
      <dxf/>
    </rfmt>
    <rfmt sheetId="2" sqref="DL750" start="0" length="0">
      <dxf/>
    </rfmt>
    <rfmt sheetId="2" sqref="DM750" start="0" length="0">
      <dxf/>
    </rfmt>
    <rfmt sheetId="2" sqref="DN750" start="0" length="0">
      <dxf/>
    </rfmt>
    <rfmt sheetId="2" sqref="DO750" start="0" length="0">
      <dxf/>
    </rfmt>
    <rfmt sheetId="2" sqref="DP750" start="0" length="0">
      <dxf/>
    </rfmt>
    <rfmt sheetId="2" sqref="DQ750" start="0" length="0">
      <dxf/>
    </rfmt>
    <rfmt sheetId="2" sqref="DR750" start="0" length="0">
      <dxf/>
    </rfmt>
    <rfmt sheetId="2" sqref="DS750" start="0" length="0">
      <dxf/>
    </rfmt>
    <rfmt sheetId="2" sqref="DT750" start="0" length="0">
      <dxf/>
    </rfmt>
    <rfmt sheetId="2" sqref="DU750" start="0" length="0">
      <dxf/>
    </rfmt>
    <rfmt sheetId="2" sqref="DV750" start="0" length="0">
      <dxf/>
    </rfmt>
    <rfmt sheetId="2" sqref="DW750" start="0" length="0">
      <dxf/>
    </rfmt>
    <rfmt sheetId="2" sqref="DX750" start="0" length="0">
      <dxf/>
    </rfmt>
    <rfmt sheetId="2" sqref="DY750" start="0" length="0">
      <dxf/>
    </rfmt>
    <rfmt sheetId="2" sqref="DZ750" start="0" length="0">
      <dxf/>
    </rfmt>
    <rfmt sheetId="2" sqref="EA750" start="0" length="0">
      <dxf/>
    </rfmt>
    <rfmt sheetId="2" sqref="EB750" start="0" length="0">
      <dxf/>
    </rfmt>
    <rfmt sheetId="2" sqref="EC750" start="0" length="0">
      <dxf/>
    </rfmt>
    <rfmt sheetId="2" sqref="ED750" start="0" length="0">
      <dxf/>
    </rfmt>
    <rfmt sheetId="2" sqref="EE750" start="0" length="0">
      <dxf/>
    </rfmt>
    <rfmt sheetId="2" sqref="EF750" start="0" length="0">
      <dxf/>
    </rfmt>
    <rfmt sheetId="2" sqref="EG750" start="0" length="0">
      <dxf/>
    </rfmt>
    <rfmt sheetId="2" sqref="EH750" start="0" length="0">
      <dxf/>
    </rfmt>
    <rfmt sheetId="2" sqref="EI750" start="0" length="0">
      <dxf/>
    </rfmt>
    <rfmt sheetId="2" sqref="EJ750" start="0" length="0">
      <dxf/>
    </rfmt>
    <rfmt sheetId="2" sqref="EK750" start="0" length="0">
      <dxf/>
    </rfmt>
    <rfmt sheetId="2" sqref="EL750" start="0" length="0">
      <dxf/>
    </rfmt>
    <rfmt sheetId="2" sqref="EM750" start="0" length="0">
      <dxf/>
    </rfmt>
    <rfmt sheetId="2" sqref="EN750" start="0" length="0">
      <dxf/>
    </rfmt>
    <rfmt sheetId="2" sqref="EO750" start="0" length="0">
      <dxf/>
    </rfmt>
    <rfmt sheetId="2" sqref="EP750" start="0" length="0">
      <dxf/>
    </rfmt>
    <rfmt sheetId="2" sqref="EQ750" start="0" length="0">
      <dxf/>
    </rfmt>
    <rfmt sheetId="2" sqref="ER750" start="0" length="0">
      <dxf/>
    </rfmt>
    <rfmt sheetId="2" sqref="ES750" start="0" length="0">
      <dxf/>
    </rfmt>
    <rfmt sheetId="2" sqref="ET750" start="0" length="0">
      <dxf/>
    </rfmt>
    <rfmt sheetId="2" sqref="EU750" start="0" length="0">
      <dxf/>
    </rfmt>
    <rfmt sheetId="2" sqref="EV750" start="0" length="0">
      <dxf/>
    </rfmt>
    <rfmt sheetId="2" sqref="EW750" start="0" length="0">
      <dxf/>
    </rfmt>
    <rfmt sheetId="2" sqref="EX750" start="0" length="0">
      <dxf/>
    </rfmt>
    <rfmt sheetId="2" sqref="EY750" start="0" length="0">
      <dxf/>
    </rfmt>
    <rfmt sheetId="2" sqref="EZ750" start="0" length="0">
      <dxf/>
    </rfmt>
    <rfmt sheetId="2" sqref="FA750" start="0" length="0">
      <dxf/>
    </rfmt>
    <rfmt sheetId="2" sqref="FB750" start="0" length="0">
      <dxf/>
    </rfmt>
    <rfmt sheetId="2" sqref="FC750" start="0" length="0">
      <dxf/>
    </rfmt>
    <rfmt sheetId="2" sqref="FD750" start="0" length="0">
      <dxf/>
    </rfmt>
    <rfmt sheetId="2" sqref="FE750" start="0" length="0">
      <dxf/>
    </rfmt>
    <rfmt sheetId="2" sqref="FF750" start="0" length="0">
      <dxf/>
    </rfmt>
    <rfmt sheetId="2" sqref="FG750" start="0" length="0">
      <dxf/>
    </rfmt>
    <rfmt sheetId="2" sqref="FH750" start="0" length="0">
      <dxf/>
    </rfmt>
    <rfmt sheetId="2" sqref="FI750" start="0" length="0">
      <dxf/>
    </rfmt>
    <rfmt sheetId="2" sqref="FJ750" start="0" length="0">
      <dxf/>
    </rfmt>
    <rfmt sheetId="2" sqref="FK750" start="0" length="0">
      <dxf/>
    </rfmt>
    <rfmt sheetId="2" sqref="FL750" start="0" length="0">
      <dxf/>
    </rfmt>
    <rfmt sheetId="2" sqref="FM750" start="0" length="0">
      <dxf/>
    </rfmt>
    <rfmt sheetId="2" sqref="FN750" start="0" length="0">
      <dxf/>
    </rfmt>
    <rfmt sheetId="2" sqref="FO750" start="0" length="0">
      <dxf/>
    </rfmt>
    <rfmt sheetId="2" sqref="FP750" start="0" length="0">
      <dxf/>
    </rfmt>
    <rfmt sheetId="2" sqref="FQ750" start="0" length="0">
      <dxf/>
    </rfmt>
    <rfmt sheetId="2" sqref="FR750" start="0" length="0">
      <dxf/>
    </rfmt>
    <rfmt sheetId="2" sqref="FS750" start="0" length="0">
      <dxf/>
    </rfmt>
    <rfmt sheetId="2" sqref="FT750" start="0" length="0">
      <dxf/>
    </rfmt>
    <rfmt sheetId="2" sqref="FU750" start="0" length="0">
      <dxf/>
    </rfmt>
    <rfmt sheetId="2" sqref="FV750" start="0" length="0">
      <dxf/>
    </rfmt>
    <rfmt sheetId="2" sqref="FW750" start="0" length="0">
      <dxf/>
    </rfmt>
    <rfmt sheetId="2" sqref="FX750" start="0" length="0">
      <dxf/>
    </rfmt>
    <rfmt sheetId="2" sqref="FY750" start="0" length="0">
      <dxf/>
    </rfmt>
    <rfmt sheetId="2" sqref="FZ750" start="0" length="0">
      <dxf/>
    </rfmt>
    <rfmt sheetId="2" sqref="GA750" start="0" length="0">
      <dxf/>
    </rfmt>
    <rfmt sheetId="2" sqref="GB750" start="0" length="0">
      <dxf/>
    </rfmt>
    <rfmt sheetId="2" sqref="GC750" start="0" length="0">
      <dxf/>
    </rfmt>
    <rfmt sheetId="2" sqref="GD750" start="0" length="0">
      <dxf/>
    </rfmt>
    <rfmt sheetId="2" sqref="GE750" start="0" length="0">
      <dxf/>
    </rfmt>
    <rfmt sheetId="2" sqref="GF750" start="0" length="0">
      <dxf/>
    </rfmt>
    <rfmt sheetId="2" sqref="GG750" start="0" length="0">
      <dxf/>
    </rfmt>
    <rfmt sheetId="2" sqref="GH750" start="0" length="0">
      <dxf/>
    </rfmt>
    <rfmt sheetId="2" sqref="GI750" start="0" length="0">
      <dxf/>
    </rfmt>
    <rfmt sheetId="2" sqref="GJ750" start="0" length="0">
      <dxf/>
    </rfmt>
    <rfmt sheetId="2" sqref="GK750" start="0" length="0">
      <dxf/>
    </rfmt>
    <rfmt sheetId="2" sqref="GL750" start="0" length="0">
      <dxf/>
    </rfmt>
    <rfmt sheetId="2" sqref="GM750" start="0" length="0">
      <dxf/>
    </rfmt>
    <rfmt sheetId="2" sqref="GN750" start="0" length="0">
      <dxf/>
    </rfmt>
    <rfmt sheetId="2" sqref="GO750" start="0" length="0">
      <dxf/>
    </rfmt>
    <rfmt sheetId="2" sqref="GP750" start="0" length="0">
      <dxf/>
    </rfmt>
    <rfmt sheetId="2" sqref="GQ750" start="0" length="0">
      <dxf/>
    </rfmt>
    <rfmt sheetId="2" sqref="GR750" start="0" length="0">
      <dxf/>
    </rfmt>
    <rfmt sheetId="2" sqref="GS750" start="0" length="0">
      <dxf/>
    </rfmt>
    <rfmt sheetId="2" sqref="GT750" start="0" length="0">
      <dxf/>
    </rfmt>
    <rfmt sheetId="2" sqref="GU750" start="0" length="0">
      <dxf/>
    </rfmt>
    <rfmt sheetId="2" sqref="GV750" start="0" length="0">
      <dxf/>
    </rfmt>
    <rfmt sheetId="2" sqref="GW750" start="0" length="0">
      <dxf/>
    </rfmt>
    <rfmt sheetId="2" sqref="GX750" start="0" length="0">
      <dxf/>
    </rfmt>
    <rfmt sheetId="2" sqref="GY750" start="0" length="0">
      <dxf/>
    </rfmt>
    <rfmt sheetId="2" sqref="GZ750" start="0" length="0">
      <dxf/>
    </rfmt>
    <rfmt sheetId="2" sqref="HA750" start="0" length="0">
      <dxf/>
    </rfmt>
    <rfmt sheetId="2" sqref="HB750" start="0" length="0">
      <dxf/>
    </rfmt>
    <rfmt sheetId="2" sqref="HC750" start="0" length="0">
      <dxf/>
    </rfmt>
    <rfmt sheetId="2" sqref="HD750" start="0" length="0">
      <dxf/>
    </rfmt>
    <rfmt sheetId="2" sqref="HE750" start="0" length="0">
      <dxf/>
    </rfmt>
    <rfmt sheetId="2" sqref="HF750" start="0" length="0">
      <dxf/>
    </rfmt>
    <rfmt sheetId="2" sqref="HG750" start="0" length="0">
      <dxf/>
    </rfmt>
    <rfmt sheetId="2" sqref="HH750" start="0" length="0">
      <dxf/>
    </rfmt>
    <rfmt sheetId="2" sqref="HI750" start="0" length="0">
      <dxf/>
    </rfmt>
    <rfmt sheetId="2" sqref="HJ750" start="0" length="0">
      <dxf/>
    </rfmt>
    <rfmt sheetId="2" sqref="HK750" start="0" length="0">
      <dxf/>
    </rfmt>
    <rfmt sheetId="2" sqref="HL750" start="0" length="0">
      <dxf/>
    </rfmt>
    <rfmt sheetId="2" sqref="HM750" start="0" length="0">
      <dxf/>
    </rfmt>
    <rfmt sheetId="2" sqref="HN750" start="0" length="0">
      <dxf/>
    </rfmt>
    <rfmt sheetId="2" sqref="HO750" start="0" length="0">
      <dxf/>
    </rfmt>
    <rfmt sheetId="2" sqref="HP750" start="0" length="0">
      <dxf/>
    </rfmt>
    <rfmt sheetId="2" sqref="HQ750" start="0" length="0">
      <dxf/>
    </rfmt>
    <rfmt sheetId="2" sqref="HR750" start="0" length="0">
      <dxf/>
    </rfmt>
    <rfmt sheetId="2" sqref="HS750" start="0" length="0">
      <dxf/>
    </rfmt>
    <rfmt sheetId="2" sqref="HT750" start="0" length="0">
      <dxf/>
    </rfmt>
    <rfmt sheetId="2" sqref="HU750" start="0" length="0">
      <dxf/>
    </rfmt>
    <rfmt sheetId="2" sqref="HV750" start="0" length="0">
      <dxf/>
    </rfmt>
    <rfmt sheetId="2" sqref="HW750" start="0" length="0">
      <dxf/>
    </rfmt>
    <rfmt sheetId="2" sqref="HX750" start="0" length="0">
      <dxf/>
    </rfmt>
    <rfmt sheetId="2" sqref="HY750" start="0" length="0">
      <dxf/>
    </rfmt>
    <rfmt sheetId="2" sqref="HZ750" start="0" length="0">
      <dxf/>
    </rfmt>
    <rfmt sheetId="2" sqref="IA750" start="0" length="0">
      <dxf/>
    </rfmt>
    <rfmt sheetId="2" sqref="IB750" start="0" length="0">
      <dxf/>
    </rfmt>
    <rfmt sheetId="2" sqref="IC750" start="0" length="0">
      <dxf/>
    </rfmt>
    <rfmt sheetId="2" sqref="ID750" start="0" length="0">
      <dxf/>
    </rfmt>
    <rfmt sheetId="2" sqref="IE750" start="0" length="0">
      <dxf/>
    </rfmt>
    <rfmt sheetId="2" sqref="IF750" start="0" length="0">
      <dxf/>
    </rfmt>
    <rfmt sheetId="2" sqref="IG750" start="0" length="0">
      <dxf/>
    </rfmt>
    <rfmt sheetId="2" sqref="IH750" start="0" length="0">
      <dxf/>
    </rfmt>
    <rfmt sheetId="2" sqref="II750" start="0" length="0">
      <dxf/>
    </rfmt>
    <rfmt sheetId="2" sqref="IJ750" start="0" length="0">
      <dxf/>
    </rfmt>
    <rfmt sheetId="2" sqref="IK750" start="0" length="0">
      <dxf/>
    </rfmt>
    <rfmt sheetId="2" sqref="IL750" start="0" length="0">
      <dxf/>
    </rfmt>
    <rfmt sheetId="2" sqref="IM750" start="0" length="0">
      <dxf/>
    </rfmt>
    <rfmt sheetId="2" sqref="IN750" start="0" length="0">
      <dxf/>
    </rfmt>
    <rfmt sheetId="2" sqref="IO750" start="0" length="0">
      <dxf/>
    </rfmt>
    <rfmt sheetId="2" sqref="IP750" start="0" length="0">
      <dxf/>
    </rfmt>
    <rfmt sheetId="2" sqref="IQ750" start="0" length="0">
      <dxf/>
    </rfmt>
    <rfmt sheetId="2" sqref="IR750" start="0" length="0">
      <dxf/>
    </rfmt>
    <rfmt sheetId="2" sqref="IS750" start="0" length="0">
      <dxf/>
    </rfmt>
    <rfmt sheetId="2" sqref="IT750" start="0" length="0">
      <dxf/>
    </rfmt>
    <rfmt sheetId="2" sqref="IU750" start="0" length="0">
      <dxf/>
    </rfmt>
    <rfmt sheetId="2" sqref="IV750" start="0" length="0">
      <dxf/>
    </rfmt>
    <rfmt sheetId="2" sqref="IW750" start="0" length="0">
      <dxf/>
    </rfmt>
    <rfmt sheetId="2" sqref="IX750" start="0" length="0">
      <dxf/>
    </rfmt>
    <rfmt sheetId="2" sqref="IY750" start="0" length="0">
      <dxf/>
    </rfmt>
    <rfmt sheetId="2" sqref="IZ750" start="0" length="0">
      <dxf/>
    </rfmt>
    <rfmt sheetId="2" sqref="JA750" start="0" length="0">
      <dxf/>
    </rfmt>
    <rfmt sheetId="2" sqref="JB750" start="0" length="0">
      <dxf/>
    </rfmt>
    <rfmt sheetId="2" sqref="JC750" start="0" length="0">
      <dxf/>
    </rfmt>
    <rfmt sheetId="2" sqref="JD750" start="0" length="0">
      <dxf/>
    </rfmt>
    <rfmt sheetId="2" sqref="JE750" start="0" length="0">
      <dxf/>
    </rfmt>
    <rfmt sheetId="2" sqref="JF750" start="0" length="0">
      <dxf/>
    </rfmt>
    <rfmt sheetId="2" sqref="JG750" start="0" length="0">
      <dxf/>
    </rfmt>
    <rfmt sheetId="2" sqref="JH750" start="0" length="0">
      <dxf/>
    </rfmt>
    <rfmt sheetId="2" sqref="JI750" start="0" length="0">
      <dxf/>
    </rfmt>
    <rfmt sheetId="2" sqref="JJ750" start="0" length="0">
      <dxf/>
    </rfmt>
    <rfmt sheetId="2" sqref="JK750" start="0" length="0">
      <dxf/>
    </rfmt>
    <rfmt sheetId="2" sqref="JL750" start="0" length="0">
      <dxf/>
    </rfmt>
    <rfmt sheetId="2" sqref="JM750" start="0" length="0">
      <dxf/>
    </rfmt>
    <rfmt sheetId="2" sqref="JN750" start="0" length="0">
      <dxf/>
    </rfmt>
    <rfmt sheetId="2" sqref="JO750" start="0" length="0">
      <dxf/>
    </rfmt>
    <rfmt sheetId="2" sqref="JP750" start="0" length="0">
      <dxf/>
    </rfmt>
    <rfmt sheetId="2" sqref="JQ750" start="0" length="0">
      <dxf/>
    </rfmt>
    <rfmt sheetId="2" sqref="JR750" start="0" length="0">
      <dxf/>
    </rfmt>
    <rfmt sheetId="2" sqref="JS750" start="0" length="0">
      <dxf/>
    </rfmt>
    <rfmt sheetId="2" sqref="JT750" start="0" length="0">
      <dxf/>
    </rfmt>
    <rfmt sheetId="2" sqref="JU750" start="0" length="0">
      <dxf/>
    </rfmt>
    <rfmt sheetId="2" sqref="JV750" start="0" length="0">
      <dxf/>
    </rfmt>
    <rfmt sheetId="2" sqref="JW750" start="0" length="0">
      <dxf/>
    </rfmt>
    <rfmt sheetId="2" sqref="JX750" start="0" length="0">
      <dxf/>
    </rfmt>
    <rfmt sheetId="2" sqref="JY750" start="0" length="0">
      <dxf/>
    </rfmt>
    <rfmt sheetId="2" sqref="JZ750" start="0" length="0">
      <dxf/>
    </rfmt>
    <rfmt sheetId="2" sqref="KA750" start="0" length="0">
      <dxf/>
    </rfmt>
    <rfmt sheetId="2" sqref="KB750" start="0" length="0">
      <dxf/>
    </rfmt>
    <rfmt sheetId="2" sqref="KC750" start="0" length="0">
      <dxf/>
    </rfmt>
    <rfmt sheetId="2" sqref="KD750" start="0" length="0">
      <dxf/>
    </rfmt>
    <rfmt sheetId="2" sqref="KE750" start="0" length="0">
      <dxf/>
    </rfmt>
    <rfmt sheetId="2" sqref="KF750" start="0" length="0">
      <dxf/>
    </rfmt>
    <rfmt sheetId="2" sqref="KG750" start="0" length="0">
      <dxf/>
    </rfmt>
    <rfmt sheetId="2" sqref="KH750" start="0" length="0">
      <dxf/>
    </rfmt>
    <rfmt sheetId="2" sqref="KI750" start="0" length="0">
      <dxf/>
    </rfmt>
    <rfmt sheetId="2" sqref="KJ750" start="0" length="0">
      <dxf/>
    </rfmt>
    <rfmt sheetId="2" sqref="KK750" start="0" length="0">
      <dxf/>
    </rfmt>
    <rfmt sheetId="2" sqref="KL750" start="0" length="0">
      <dxf/>
    </rfmt>
    <rfmt sheetId="2" sqref="KM750" start="0" length="0">
      <dxf/>
    </rfmt>
    <rfmt sheetId="2" sqref="KN750" start="0" length="0">
      <dxf/>
    </rfmt>
    <rfmt sheetId="2" sqref="KO750" start="0" length="0">
      <dxf/>
    </rfmt>
    <rfmt sheetId="2" sqref="KP750" start="0" length="0">
      <dxf/>
    </rfmt>
    <rfmt sheetId="2" sqref="KQ750" start="0" length="0">
      <dxf/>
    </rfmt>
    <rfmt sheetId="2" sqref="KR750" start="0" length="0">
      <dxf/>
    </rfmt>
    <rfmt sheetId="2" sqref="KS750" start="0" length="0">
      <dxf/>
    </rfmt>
    <rfmt sheetId="2" sqref="KT750" start="0" length="0">
      <dxf/>
    </rfmt>
    <rfmt sheetId="2" sqref="KU750" start="0" length="0">
      <dxf/>
    </rfmt>
    <rfmt sheetId="2" sqref="KV750" start="0" length="0">
      <dxf/>
    </rfmt>
    <rfmt sheetId="2" sqref="KW750" start="0" length="0">
      <dxf/>
    </rfmt>
    <rfmt sheetId="2" sqref="KX750" start="0" length="0">
      <dxf/>
    </rfmt>
    <rfmt sheetId="2" sqref="KY750" start="0" length="0">
      <dxf/>
    </rfmt>
    <rfmt sheetId="2" sqref="KZ750" start="0" length="0">
      <dxf/>
    </rfmt>
    <rfmt sheetId="2" sqref="LA750" start="0" length="0">
      <dxf/>
    </rfmt>
    <rfmt sheetId="2" sqref="LB750" start="0" length="0">
      <dxf/>
    </rfmt>
    <rfmt sheetId="2" sqref="LC750" start="0" length="0">
      <dxf/>
    </rfmt>
    <rfmt sheetId="2" sqref="LD750" start="0" length="0">
      <dxf/>
    </rfmt>
    <rfmt sheetId="2" sqref="LE750" start="0" length="0">
      <dxf/>
    </rfmt>
    <rfmt sheetId="2" sqref="LF750" start="0" length="0">
      <dxf/>
    </rfmt>
    <rfmt sheetId="2" sqref="LG750" start="0" length="0">
      <dxf/>
    </rfmt>
    <rfmt sheetId="2" sqref="LH750" start="0" length="0">
      <dxf/>
    </rfmt>
    <rfmt sheetId="2" sqref="LI750" start="0" length="0">
      <dxf/>
    </rfmt>
    <rfmt sheetId="2" sqref="LJ750" start="0" length="0">
      <dxf/>
    </rfmt>
    <rfmt sheetId="2" sqref="LK750" start="0" length="0">
      <dxf/>
    </rfmt>
    <rfmt sheetId="2" sqref="LL750" start="0" length="0">
      <dxf/>
    </rfmt>
    <rfmt sheetId="2" sqref="LM750" start="0" length="0">
      <dxf/>
    </rfmt>
    <rfmt sheetId="2" sqref="LN750" start="0" length="0">
      <dxf/>
    </rfmt>
    <rfmt sheetId="2" sqref="LO750" start="0" length="0">
      <dxf/>
    </rfmt>
    <rfmt sheetId="2" sqref="LP750" start="0" length="0">
      <dxf/>
    </rfmt>
    <rfmt sheetId="2" sqref="LQ750" start="0" length="0">
      <dxf/>
    </rfmt>
    <rfmt sheetId="2" sqref="LR750" start="0" length="0">
      <dxf/>
    </rfmt>
    <rfmt sheetId="2" sqref="LS750" start="0" length="0">
      <dxf/>
    </rfmt>
    <rfmt sheetId="2" sqref="LT750" start="0" length="0">
      <dxf/>
    </rfmt>
    <rfmt sheetId="2" sqref="LU750" start="0" length="0">
      <dxf/>
    </rfmt>
    <rfmt sheetId="2" sqref="LV750" start="0" length="0">
      <dxf/>
    </rfmt>
    <rfmt sheetId="2" sqref="LW750" start="0" length="0">
      <dxf/>
    </rfmt>
    <rfmt sheetId="2" sqref="LX750" start="0" length="0">
      <dxf/>
    </rfmt>
    <rfmt sheetId="2" sqref="LY750" start="0" length="0">
      <dxf/>
    </rfmt>
    <rfmt sheetId="2" sqref="LZ750" start="0" length="0">
      <dxf/>
    </rfmt>
    <rfmt sheetId="2" sqref="MA750" start="0" length="0">
      <dxf/>
    </rfmt>
    <rfmt sheetId="2" sqref="MB750" start="0" length="0">
      <dxf/>
    </rfmt>
  </rm>
  <rrc rId="1734" sId="2" ref="A776:XFD776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76:XFD776" start="0" length="0">
      <dxf>
        <font>
          <sz val="10"/>
          <name val="Arial"/>
          <scheme val="none"/>
        </font>
        <alignment horizontal="center" readingOrder="0"/>
      </dxf>
    </rfmt>
    <rfmt sheetId="2" sqref="A776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6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6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6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6" start="0" length="0">
      <dxf>
        <numFmt numFmtId="176" formatCode="m/d;@"/>
      </dxf>
    </rfmt>
    <rfmt sheetId="2" sqref="P776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6" start="0" length="0">
      <dxf/>
    </rfmt>
    <rfmt sheetId="2" sqref="U776" start="0" length="0">
      <dxf/>
    </rfmt>
    <rfmt sheetId="2" sqref="V776" start="0" length="0">
      <dxf/>
    </rfmt>
    <rfmt sheetId="2" sqref="W776" start="0" length="0">
      <dxf/>
    </rfmt>
    <rfmt sheetId="2" sqref="X776" start="0" length="0">
      <dxf/>
    </rfmt>
    <rfmt sheetId="2" sqref="Y776" start="0" length="0">
      <dxf/>
    </rfmt>
    <rfmt sheetId="2" sqref="Z776" start="0" length="0">
      <dxf/>
    </rfmt>
    <rfmt sheetId="2" sqref="AA776" start="0" length="0">
      <dxf/>
    </rfmt>
    <rfmt sheetId="2" sqref="AB776" start="0" length="0">
      <dxf/>
    </rfmt>
    <rfmt sheetId="2" sqref="AC776" start="0" length="0">
      <dxf/>
    </rfmt>
    <rfmt sheetId="2" sqref="AD776" start="0" length="0">
      <dxf/>
    </rfmt>
    <rfmt sheetId="2" sqref="AE776" start="0" length="0">
      <dxf/>
    </rfmt>
    <rfmt sheetId="2" sqref="AF776" start="0" length="0">
      <dxf/>
    </rfmt>
    <rfmt sheetId="2" sqref="AG776" start="0" length="0">
      <dxf/>
    </rfmt>
    <rfmt sheetId="2" sqref="AH776" start="0" length="0">
      <dxf/>
    </rfmt>
    <rfmt sheetId="2" sqref="AI776" start="0" length="0">
      <dxf/>
    </rfmt>
    <rfmt sheetId="2" sqref="AJ776" start="0" length="0">
      <dxf/>
    </rfmt>
    <rfmt sheetId="2" sqref="AK776" start="0" length="0">
      <dxf/>
    </rfmt>
    <rfmt sheetId="2" sqref="AL776" start="0" length="0">
      <dxf/>
    </rfmt>
    <rfmt sheetId="2" sqref="AM776" start="0" length="0">
      <dxf/>
    </rfmt>
    <rfmt sheetId="2" sqref="AN776" start="0" length="0">
      <dxf/>
    </rfmt>
    <rfmt sheetId="2" sqref="AO776" start="0" length="0">
      <dxf/>
    </rfmt>
    <rfmt sheetId="2" sqref="AP776" start="0" length="0">
      <dxf/>
    </rfmt>
    <rfmt sheetId="2" sqref="AQ776" start="0" length="0">
      <dxf/>
    </rfmt>
    <rfmt sheetId="2" sqref="AR776" start="0" length="0">
      <dxf/>
    </rfmt>
    <rfmt sheetId="2" sqref="AS776" start="0" length="0">
      <dxf/>
    </rfmt>
    <rfmt sheetId="2" sqref="AT776" start="0" length="0">
      <dxf/>
    </rfmt>
    <rfmt sheetId="2" sqref="AU776" start="0" length="0">
      <dxf/>
    </rfmt>
    <rfmt sheetId="2" sqref="AV776" start="0" length="0">
      <dxf/>
    </rfmt>
    <rfmt sheetId="2" sqref="AW776" start="0" length="0">
      <dxf/>
    </rfmt>
    <rfmt sheetId="2" sqref="AX776" start="0" length="0">
      <dxf/>
    </rfmt>
    <rfmt sheetId="2" sqref="AY776" start="0" length="0">
      <dxf/>
    </rfmt>
    <rfmt sheetId="2" sqref="AZ776" start="0" length="0">
      <dxf/>
    </rfmt>
    <rfmt sheetId="2" sqref="BA776" start="0" length="0">
      <dxf/>
    </rfmt>
    <rfmt sheetId="2" sqref="BB776" start="0" length="0">
      <dxf/>
    </rfmt>
    <rfmt sheetId="2" sqref="BC776" start="0" length="0">
      <dxf/>
    </rfmt>
    <rfmt sheetId="2" sqref="BD776" start="0" length="0">
      <dxf/>
    </rfmt>
    <rfmt sheetId="2" sqref="BE776" start="0" length="0">
      <dxf/>
    </rfmt>
    <rfmt sheetId="2" sqref="BF776" start="0" length="0">
      <dxf/>
    </rfmt>
    <rfmt sheetId="2" sqref="BG776" start="0" length="0">
      <dxf/>
    </rfmt>
    <rfmt sheetId="2" sqref="BH776" start="0" length="0">
      <dxf/>
    </rfmt>
    <rfmt sheetId="2" sqref="BI776" start="0" length="0">
      <dxf/>
    </rfmt>
    <rfmt sheetId="2" sqref="BJ776" start="0" length="0">
      <dxf/>
    </rfmt>
    <rfmt sheetId="2" sqref="BK776" start="0" length="0">
      <dxf/>
    </rfmt>
    <rfmt sheetId="2" sqref="BL776" start="0" length="0">
      <dxf/>
    </rfmt>
    <rfmt sheetId="2" sqref="BM776" start="0" length="0">
      <dxf/>
    </rfmt>
    <rfmt sheetId="2" sqref="BN776" start="0" length="0">
      <dxf/>
    </rfmt>
    <rfmt sheetId="2" sqref="BO776" start="0" length="0">
      <dxf/>
    </rfmt>
    <rfmt sheetId="2" sqref="BP776" start="0" length="0">
      <dxf/>
    </rfmt>
    <rfmt sheetId="2" sqref="BQ776" start="0" length="0">
      <dxf/>
    </rfmt>
    <rfmt sheetId="2" sqref="BR776" start="0" length="0">
      <dxf/>
    </rfmt>
    <rfmt sheetId="2" sqref="BS776" start="0" length="0">
      <dxf/>
    </rfmt>
    <rfmt sheetId="2" sqref="BT776" start="0" length="0">
      <dxf/>
    </rfmt>
    <rfmt sheetId="2" sqref="BU776" start="0" length="0">
      <dxf/>
    </rfmt>
    <rfmt sheetId="2" sqref="BV776" start="0" length="0">
      <dxf/>
    </rfmt>
    <rfmt sheetId="2" sqref="BW776" start="0" length="0">
      <dxf/>
    </rfmt>
    <rfmt sheetId="2" sqref="BX776" start="0" length="0">
      <dxf/>
    </rfmt>
    <rfmt sheetId="2" sqref="BY776" start="0" length="0">
      <dxf/>
    </rfmt>
    <rfmt sheetId="2" sqref="BZ776" start="0" length="0">
      <dxf/>
    </rfmt>
    <rfmt sheetId="2" sqref="CA776" start="0" length="0">
      <dxf/>
    </rfmt>
    <rfmt sheetId="2" sqref="CB776" start="0" length="0">
      <dxf/>
    </rfmt>
    <rfmt sheetId="2" sqref="CC776" start="0" length="0">
      <dxf/>
    </rfmt>
    <rfmt sheetId="2" sqref="CD776" start="0" length="0">
      <dxf/>
    </rfmt>
    <rfmt sheetId="2" sqref="CE776" start="0" length="0">
      <dxf/>
    </rfmt>
    <rfmt sheetId="2" sqref="CF776" start="0" length="0">
      <dxf/>
    </rfmt>
    <rfmt sheetId="2" sqref="CG776" start="0" length="0">
      <dxf/>
    </rfmt>
    <rfmt sheetId="2" sqref="CH776" start="0" length="0">
      <dxf/>
    </rfmt>
    <rfmt sheetId="2" sqref="CI776" start="0" length="0">
      <dxf/>
    </rfmt>
    <rfmt sheetId="2" sqref="CJ776" start="0" length="0">
      <dxf/>
    </rfmt>
    <rfmt sheetId="2" sqref="CK776" start="0" length="0">
      <dxf/>
    </rfmt>
    <rfmt sheetId="2" sqref="CL776" start="0" length="0">
      <dxf/>
    </rfmt>
    <rfmt sheetId="2" sqref="CM776" start="0" length="0">
      <dxf/>
    </rfmt>
    <rfmt sheetId="2" sqref="CN776" start="0" length="0">
      <dxf/>
    </rfmt>
    <rfmt sheetId="2" sqref="CO776" start="0" length="0">
      <dxf/>
    </rfmt>
    <rfmt sheetId="2" sqref="CP776" start="0" length="0">
      <dxf/>
    </rfmt>
    <rfmt sheetId="2" sqref="CQ776" start="0" length="0">
      <dxf/>
    </rfmt>
    <rfmt sheetId="2" sqref="CR776" start="0" length="0">
      <dxf/>
    </rfmt>
    <rfmt sheetId="2" sqref="CS776" start="0" length="0">
      <dxf/>
    </rfmt>
    <rfmt sheetId="2" sqref="CT776" start="0" length="0">
      <dxf/>
    </rfmt>
    <rfmt sheetId="2" sqref="CU776" start="0" length="0">
      <dxf/>
    </rfmt>
    <rfmt sheetId="2" sqref="CV776" start="0" length="0">
      <dxf/>
    </rfmt>
    <rfmt sheetId="2" sqref="CW776" start="0" length="0">
      <dxf/>
    </rfmt>
    <rfmt sheetId="2" sqref="CX776" start="0" length="0">
      <dxf/>
    </rfmt>
    <rfmt sheetId="2" sqref="CY776" start="0" length="0">
      <dxf/>
    </rfmt>
    <rfmt sheetId="2" sqref="CZ776" start="0" length="0">
      <dxf/>
    </rfmt>
    <rfmt sheetId="2" sqref="DA776" start="0" length="0">
      <dxf/>
    </rfmt>
    <rfmt sheetId="2" sqref="DB776" start="0" length="0">
      <dxf/>
    </rfmt>
    <rfmt sheetId="2" sqref="DC776" start="0" length="0">
      <dxf/>
    </rfmt>
    <rfmt sheetId="2" sqref="DD776" start="0" length="0">
      <dxf/>
    </rfmt>
    <rfmt sheetId="2" sqref="DE776" start="0" length="0">
      <dxf/>
    </rfmt>
    <rfmt sheetId="2" sqref="DF776" start="0" length="0">
      <dxf/>
    </rfmt>
    <rfmt sheetId="2" sqref="DG776" start="0" length="0">
      <dxf/>
    </rfmt>
    <rfmt sheetId="2" sqref="DH776" start="0" length="0">
      <dxf/>
    </rfmt>
    <rfmt sheetId="2" sqref="DI776" start="0" length="0">
      <dxf/>
    </rfmt>
    <rfmt sheetId="2" sqref="DJ776" start="0" length="0">
      <dxf/>
    </rfmt>
    <rfmt sheetId="2" sqref="DK776" start="0" length="0">
      <dxf/>
    </rfmt>
    <rfmt sheetId="2" sqref="DL776" start="0" length="0">
      <dxf/>
    </rfmt>
    <rfmt sheetId="2" sqref="DM776" start="0" length="0">
      <dxf/>
    </rfmt>
    <rfmt sheetId="2" sqref="DN776" start="0" length="0">
      <dxf/>
    </rfmt>
    <rfmt sheetId="2" sqref="DO776" start="0" length="0">
      <dxf/>
    </rfmt>
    <rfmt sheetId="2" sqref="DP776" start="0" length="0">
      <dxf/>
    </rfmt>
    <rfmt sheetId="2" sqref="DQ776" start="0" length="0">
      <dxf/>
    </rfmt>
    <rfmt sheetId="2" sqref="DR776" start="0" length="0">
      <dxf/>
    </rfmt>
    <rfmt sheetId="2" sqref="DS776" start="0" length="0">
      <dxf/>
    </rfmt>
    <rfmt sheetId="2" sqref="DT776" start="0" length="0">
      <dxf/>
    </rfmt>
    <rfmt sheetId="2" sqref="DU776" start="0" length="0">
      <dxf/>
    </rfmt>
    <rfmt sheetId="2" sqref="DV776" start="0" length="0">
      <dxf/>
    </rfmt>
    <rfmt sheetId="2" sqref="DW776" start="0" length="0">
      <dxf/>
    </rfmt>
    <rfmt sheetId="2" sqref="DX776" start="0" length="0">
      <dxf/>
    </rfmt>
    <rfmt sheetId="2" sqref="DY776" start="0" length="0">
      <dxf/>
    </rfmt>
    <rfmt sheetId="2" sqref="DZ776" start="0" length="0">
      <dxf/>
    </rfmt>
    <rfmt sheetId="2" sqref="EA776" start="0" length="0">
      <dxf/>
    </rfmt>
    <rfmt sheetId="2" sqref="EB776" start="0" length="0">
      <dxf/>
    </rfmt>
    <rfmt sheetId="2" sqref="EC776" start="0" length="0">
      <dxf/>
    </rfmt>
    <rfmt sheetId="2" sqref="ED776" start="0" length="0">
      <dxf/>
    </rfmt>
    <rfmt sheetId="2" sqref="EE776" start="0" length="0">
      <dxf/>
    </rfmt>
    <rfmt sheetId="2" sqref="EF776" start="0" length="0">
      <dxf/>
    </rfmt>
    <rfmt sheetId="2" sqref="EG776" start="0" length="0">
      <dxf/>
    </rfmt>
    <rfmt sheetId="2" sqref="EH776" start="0" length="0">
      <dxf/>
    </rfmt>
    <rfmt sheetId="2" sqref="EI776" start="0" length="0">
      <dxf/>
    </rfmt>
    <rfmt sheetId="2" sqref="EJ776" start="0" length="0">
      <dxf/>
    </rfmt>
    <rfmt sheetId="2" sqref="EK776" start="0" length="0">
      <dxf/>
    </rfmt>
    <rfmt sheetId="2" sqref="EL776" start="0" length="0">
      <dxf/>
    </rfmt>
    <rfmt sheetId="2" sqref="EM776" start="0" length="0">
      <dxf/>
    </rfmt>
    <rfmt sheetId="2" sqref="EN776" start="0" length="0">
      <dxf/>
    </rfmt>
    <rfmt sheetId="2" sqref="EO776" start="0" length="0">
      <dxf/>
    </rfmt>
    <rfmt sheetId="2" sqref="EP776" start="0" length="0">
      <dxf/>
    </rfmt>
    <rfmt sheetId="2" sqref="EQ776" start="0" length="0">
      <dxf/>
    </rfmt>
    <rfmt sheetId="2" sqref="ER776" start="0" length="0">
      <dxf/>
    </rfmt>
    <rfmt sheetId="2" sqref="ES776" start="0" length="0">
      <dxf/>
    </rfmt>
    <rfmt sheetId="2" sqref="ET776" start="0" length="0">
      <dxf/>
    </rfmt>
    <rfmt sheetId="2" sqref="EU776" start="0" length="0">
      <dxf/>
    </rfmt>
    <rfmt sheetId="2" sqref="EV776" start="0" length="0">
      <dxf/>
    </rfmt>
    <rfmt sheetId="2" sqref="EW776" start="0" length="0">
      <dxf/>
    </rfmt>
    <rfmt sheetId="2" sqref="EX776" start="0" length="0">
      <dxf/>
    </rfmt>
    <rfmt sheetId="2" sqref="EY776" start="0" length="0">
      <dxf/>
    </rfmt>
    <rfmt sheetId="2" sqref="EZ776" start="0" length="0">
      <dxf/>
    </rfmt>
    <rfmt sheetId="2" sqref="FA776" start="0" length="0">
      <dxf/>
    </rfmt>
    <rfmt sheetId="2" sqref="FB776" start="0" length="0">
      <dxf/>
    </rfmt>
    <rfmt sheetId="2" sqref="FC776" start="0" length="0">
      <dxf/>
    </rfmt>
    <rfmt sheetId="2" sqref="FD776" start="0" length="0">
      <dxf/>
    </rfmt>
    <rfmt sheetId="2" sqref="FE776" start="0" length="0">
      <dxf/>
    </rfmt>
    <rfmt sheetId="2" sqref="FF776" start="0" length="0">
      <dxf/>
    </rfmt>
    <rfmt sheetId="2" sqref="FG776" start="0" length="0">
      <dxf/>
    </rfmt>
    <rfmt sheetId="2" sqref="FH776" start="0" length="0">
      <dxf/>
    </rfmt>
    <rfmt sheetId="2" sqref="FI776" start="0" length="0">
      <dxf/>
    </rfmt>
    <rfmt sheetId="2" sqref="FJ776" start="0" length="0">
      <dxf/>
    </rfmt>
    <rfmt sheetId="2" sqref="FK776" start="0" length="0">
      <dxf/>
    </rfmt>
    <rfmt sheetId="2" sqref="FL776" start="0" length="0">
      <dxf/>
    </rfmt>
    <rfmt sheetId="2" sqref="FM776" start="0" length="0">
      <dxf/>
    </rfmt>
    <rfmt sheetId="2" sqref="FN776" start="0" length="0">
      <dxf/>
    </rfmt>
    <rfmt sheetId="2" sqref="FO776" start="0" length="0">
      <dxf/>
    </rfmt>
    <rfmt sheetId="2" sqref="FP776" start="0" length="0">
      <dxf/>
    </rfmt>
    <rfmt sheetId="2" sqref="FQ776" start="0" length="0">
      <dxf/>
    </rfmt>
    <rfmt sheetId="2" sqref="FR776" start="0" length="0">
      <dxf/>
    </rfmt>
    <rfmt sheetId="2" sqref="FS776" start="0" length="0">
      <dxf/>
    </rfmt>
    <rfmt sheetId="2" sqref="FT776" start="0" length="0">
      <dxf/>
    </rfmt>
    <rfmt sheetId="2" sqref="FU776" start="0" length="0">
      <dxf/>
    </rfmt>
    <rfmt sheetId="2" sqref="FV776" start="0" length="0">
      <dxf/>
    </rfmt>
    <rfmt sheetId="2" sqref="FW776" start="0" length="0">
      <dxf/>
    </rfmt>
    <rfmt sheetId="2" sqref="FX776" start="0" length="0">
      <dxf/>
    </rfmt>
    <rfmt sheetId="2" sqref="FY776" start="0" length="0">
      <dxf/>
    </rfmt>
    <rfmt sheetId="2" sqref="FZ776" start="0" length="0">
      <dxf/>
    </rfmt>
    <rfmt sheetId="2" sqref="GA776" start="0" length="0">
      <dxf/>
    </rfmt>
    <rfmt sheetId="2" sqref="GB776" start="0" length="0">
      <dxf/>
    </rfmt>
    <rfmt sheetId="2" sqref="GC776" start="0" length="0">
      <dxf/>
    </rfmt>
    <rfmt sheetId="2" sqref="GD776" start="0" length="0">
      <dxf/>
    </rfmt>
    <rfmt sheetId="2" sqref="GE776" start="0" length="0">
      <dxf/>
    </rfmt>
    <rfmt sheetId="2" sqref="GF776" start="0" length="0">
      <dxf/>
    </rfmt>
    <rfmt sheetId="2" sqref="GG776" start="0" length="0">
      <dxf/>
    </rfmt>
    <rfmt sheetId="2" sqref="GH776" start="0" length="0">
      <dxf/>
    </rfmt>
    <rfmt sheetId="2" sqref="GI776" start="0" length="0">
      <dxf/>
    </rfmt>
    <rfmt sheetId="2" sqref="GJ776" start="0" length="0">
      <dxf/>
    </rfmt>
    <rfmt sheetId="2" sqref="GK776" start="0" length="0">
      <dxf/>
    </rfmt>
    <rfmt sheetId="2" sqref="GL776" start="0" length="0">
      <dxf/>
    </rfmt>
    <rfmt sheetId="2" sqref="GM776" start="0" length="0">
      <dxf/>
    </rfmt>
    <rfmt sheetId="2" sqref="GN776" start="0" length="0">
      <dxf/>
    </rfmt>
    <rfmt sheetId="2" sqref="GO776" start="0" length="0">
      <dxf/>
    </rfmt>
    <rfmt sheetId="2" sqref="GP776" start="0" length="0">
      <dxf/>
    </rfmt>
    <rfmt sheetId="2" sqref="GQ776" start="0" length="0">
      <dxf/>
    </rfmt>
    <rfmt sheetId="2" sqref="GR776" start="0" length="0">
      <dxf/>
    </rfmt>
    <rfmt sheetId="2" sqref="GS776" start="0" length="0">
      <dxf/>
    </rfmt>
    <rfmt sheetId="2" sqref="GT776" start="0" length="0">
      <dxf/>
    </rfmt>
    <rfmt sheetId="2" sqref="GU776" start="0" length="0">
      <dxf/>
    </rfmt>
    <rfmt sheetId="2" sqref="GV776" start="0" length="0">
      <dxf/>
    </rfmt>
    <rfmt sheetId="2" sqref="GW776" start="0" length="0">
      <dxf/>
    </rfmt>
    <rfmt sheetId="2" sqref="GX776" start="0" length="0">
      <dxf/>
    </rfmt>
    <rfmt sheetId="2" sqref="GY776" start="0" length="0">
      <dxf/>
    </rfmt>
    <rfmt sheetId="2" sqref="GZ776" start="0" length="0">
      <dxf/>
    </rfmt>
    <rfmt sheetId="2" sqref="HA776" start="0" length="0">
      <dxf/>
    </rfmt>
    <rfmt sheetId="2" sqref="HB776" start="0" length="0">
      <dxf/>
    </rfmt>
    <rfmt sheetId="2" sqref="HC776" start="0" length="0">
      <dxf/>
    </rfmt>
    <rfmt sheetId="2" sqref="HD776" start="0" length="0">
      <dxf/>
    </rfmt>
    <rfmt sheetId="2" sqref="HE776" start="0" length="0">
      <dxf/>
    </rfmt>
    <rfmt sheetId="2" sqref="HF776" start="0" length="0">
      <dxf/>
    </rfmt>
    <rfmt sheetId="2" sqref="HG776" start="0" length="0">
      <dxf/>
    </rfmt>
    <rfmt sheetId="2" sqref="HH776" start="0" length="0">
      <dxf/>
    </rfmt>
    <rfmt sheetId="2" sqref="HI776" start="0" length="0">
      <dxf/>
    </rfmt>
    <rfmt sheetId="2" sqref="HJ776" start="0" length="0">
      <dxf/>
    </rfmt>
    <rfmt sheetId="2" sqref="HK776" start="0" length="0">
      <dxf/>
    </rfmt>
    <rfmt sheetId="2" sqref="HL776" start="0" length="0">
      <dxf/>
    </rfmt>
    <rfmt sheetId="2" sqref="HM776" start="0" length="0">
      <dxf/>
    </rfmt>
    <rfmt sheetId="2" sqref="HN776" start="0" length="0">
      <dxf/>
    </rfmt>
    <rfmt sheetId="2" sqref="HO776" start="0" length="0">
      <dxf/>
    </rfmt>
    <rfmt sheetId="2" sqref="HP776" start="0" length="0">
      <dxf/>
    </rfmt>
    <rfmt sheetId="2" sqref="HQ776" start="0" length="0">
      <dxf/>
    </rfmt>
    <rfmt sheetId="2" sqref="HR776" start="0" length="0">
      <dxf/>
    </rfmt>
    <rfmt sheetId="2" sqref="HS776" start="0" length="0">
      <dxf/>
    </rfmt>
    <rfmt sheetId="2" sqref="HT776" start="0" length="0">
      <dxf/>
    </rfmt>
    <rfmt sheetId="2" sqref="HU776" start="0" length="0">
      <dxf/>
    </rfmt>
    <rfmt sheetId="2" sqref="HV776" start="0" length="0">
      <dxf/>
    </rfmt>
    <rfmt sheetId="2" sqref="HW776" start="0" length="0">
      <dxf/>
    </rfmt>
    <rfmt sheetId="2" sqref="HX776" start="0" length="0">
      <dxf/>
    </rfmt>
    <rfmt sheetId="2" sqref="HY776" start="0" length="0">
      <dxf/>
    </rfmt>
    <rfmt sheetId="2" sqref="HZ776" start="0" length="0">
      <dxf/>
    </rfmt>
    <rfmt sheetId="2" sqref="IA776" start="0" length="0">
      <dxf/>
    </rfmt>
    <rfmt sheetId="2" sqref="IB776" start="0" length="0">
      <dxf/>
    </rfmt>
    <rfmt sheetId="2" sqref="IC776" start="0" length="0">
      <dxf/>
    </rfmt>
    <rfmt sheetId="2" sqref="ID776" start="0" length="0">
      <dxf/>
    </rfmt>
    <rfmt sheetId="2" sqref="IE776" start="0" length="0">
      <dxf/>
    </rfmt>
    <rfmt sheetId="2" sqref="IF776" start="0" length="0">
      <dxf/>
    </rfmt>
    <rfmt sheetId="2" sqref="IG776" start="0" length="0">
      <dxf/>
    </rfmt>
    <rfmt sheetId="2" sqref="IH776" start="0" length="0">
      <dxf/>
    </rfmt>
    <rfmt sheetId="2" sqref="II776" start="0" length="0">
      <dxf/>
    </rfmt>
    <rfmt sheetId="2" sqref="IJ776" start="0" length="0">
      <dxf/>
    </rfmt>
    <rfmt sheetId="2" sqref="IK776" start="0" length="0">
      <dxf/>
    </rfmt>
    <rfmt sheetId="2" sqref="IL776" start="0" length="0">
      <dxf/>
    </rfmt>
    <rfmt sheetId="2" sqref="IM776" start="0" length="0">
      <dxf/>
    </rfmt>
    <rfmt sheetId="2" sqref="IN776" start="0" length="0">
      <dxf/>
    </rfmt>
    <rfmt sheetId="2" sqref="IO776" start="0" length="0">
      <dxf/>
    </rfmt>
    <rfmt sheetId="2" sqref="IP776" start="0" length="0">
      <dxf/>
    </rfmt>
    <rfmt sheetId="2" sqref="IQ776" start="0" length="0">
      <dxf/>
    </rfmt>
    <rfmt sheetId="2" sqref="IR776" start="0" length="0">
      <dxf/>
    </rfmt>
    <rfmt sheetId="2" sqref="IS776" start="0" length="0">
      <dxf/>
    </rfmt>
    <rfmt sheetId="2" sqref="IT776" start="0" length="0">
      <dxf/>
    </rfmt>
    <rfmt sheetId="2" sqref="IU776" start="0" length="0">
      <dxf/>
    </rfmt>
    <rfmt sheetId="2" sqref="IV776" start="0" length="0">
      <dxf/>
    </rfmt>
    <rfmt sheetId="2" sqref="IW776" start="0" length="0">
      <dxf/>
    </rfmt>
    <rfmt sheetId="2" sqref="IX776" start="0" length="0">
      <dxf/>
    </rfmt>
    <rfmt sheetId="2" sqref="IY776" start="0" length="0">
      <dxf/>
    </rfmt>
    <rfmt sheetId="2" sqref="IZ776" start="0" length="0">
      <dxf/>
    </rfmt>
    <rfmt sheetId="2" sqref="JA776" start="0" length="0">
      <dxf/>
    </rfmt>
    <rfmt sheetId="2" sqref="JB776" start="0" length="0">
      <dxf/>
    </rfmt>
    <rfmt sheetId="2" sqref="JC776" start="0" length="0">
      <dxf/>
    </rfmt>
    <rfmt sheetId="2" sqref="JD776" start="0" length="0">
      <dxf/>
    </rfmt>
    <rfmt sheetId="2" sqref="JE776" start="0" length="0">
      <dxf/>
    </rfmt>
    <rfmt sheetId="2" sqref="JF776" start="0" length="0">
      <dxf/>
    </rfmt>
    <rfmt sheetId="2" sqref="JG776" start="0" length="0">
      <dxf/>
    </rfmt>
    <rfmt sheetId="2" sqref="JH776" start="0" length="0">
      <dxf/>
    </rfmt>
    <rfmt sheetId="2" sqref="JI776" start="0" length="0">
      <dxf/>
    </rfmt>
    <rfmt sheetId="2" sqref="JJ776" start="0" length="0">
      <dxf/>
    </rfmt>
    <rfmt sheetId="2" sqref="JK776" start="0" length="0">
      <dxf/>
    </rfmt>
    <rfmt sheetId="2" sqref="JL776" start="0" length="0">
      <dxf/>
    </rfmt>
    <rfmt sheetId="2" sqref="JM776" start="0" length="0">
      <dxf/>
    </rfmt>
    <rfmt sheetId="2" sqref="JN776" start="0" length="0">
      <dxf/>
    </rfmt>
    <rfmt sheetId="2" sqref="JO776" start="0" length="0">
      <dxf/>
    </rfmt>
    <rfmt sheetId="2" sqref="JP776" start="0" length="0">
      <dxf/>
    </rfmt>
    <rfmt sheetId="2" sqref="JQ776" start="0" length="0">
      <dxf/>
    </rfmt>
    <rfmt sheetId="2" sqref="JR776" start="0" length="0">
      <dxf/>
    </rfmt>
    <rfmt sheetId="2" sqref="JS776" start="0" length="0">
      <dxf/>
    </rfmt>
    <rfmt sheetId="2" sqref="JT776" start="0" length="0">
      <dxf/>
    </rfmt>
    <rfmt sheetId="2" sqref="JU776" start="0" length="0">
      <dxf/>
    </rfmt>
    <rfmt sheetId="2" sqref="JV776" start="0" length="0">
      <dxf/>
    </rfmt>
    <rfmt sheetId="2" sqref="JW776" start="0" length="0">
      <dxf/>
    </rfmt>
    <rfmt sheetId="2" sqref="JX776" start="0" length="0">
      <dxf/>
    </rfmt>
    <rfmt sheetId="2" sqref="JY776" start="0" length="0">
      <dxf/>
    </rfmt>
    <rfmt sheetId="2" sqref="JZ776" start="0" length="0">
      <dxf/>
    </rfmt>
    <rfmt sheetId="2" sqref="KA776" start="0" length="0">
      <dxf/>
    </rfmt>
    <rfmt sheetId="2" sqref="KB776" start="0" length="0">
      <dxf/>
    </rfmt>
    <rfmt sheetId="2" sqref="KC776" start="0" length="0">
      <dxf/>
    </rfmt>
    <rfmt sheetId="2" sqref="KD776" start="0" length="0">
      <dxf/>
    </rfmt>
    <rfmt sheetId="2" sqref="KE776" start="0" length="0">
      <dxf/>
    </rfmt>
    <rfmt sheetId="2" sqref="KF776" start="0" length="0">
      <dxf/>
    </rfmt>
    <rfmt sheetId="2" sqref="KG776" start="0" length="0">
      <dxf/>
    </rfmt>
    <rfmt sheetId="2" sqref="KH776" start="0" length="0">
      <dxf/>
    </rfmt>
    <rfmt sheetId="2" sqref="KI776" start="0" length="0">
      <dxf/>
    </rfmt>
    <rfmt sheetId="2" sqref="KJ776" start="0" length="0">
      <dxf/>
    </rfmt>
    <rfmt sheetId="2" sqref="KK776" start="0" length="0">
      <dxf/>
    </rfmt>
    <rfmt sheetId="2" sqref="KL776" start="0" length="0">
      <dxf/>
    </rfmt>
    <rfmt sheetId="2" sqref="KM776" start="0" length="0">
      <dxf/>
    </rfmt>
    <rfmt sheetId="2" sqref="KN776" start="0" length="0">
      <dxf/>
    </rfmt>
    <rfmt sheetId="2" sqref="KO776" start="0" length="0">
      <dxf/>
    </rfmt>
    <rfmt sheetId="2" sqref="KP776" start="0" length="0">
      <dxf/>
    </rfmt>
    <rfmt sheetId="2" sqref="KQ776" start="0" length="0">
      <dxf/>
    </rfmt>
    <rfmt sheetId="2" sqref="KR776" start="0" length="0">
      <dxf/>
    </rfmt>
    <rfmt sheetId="2" sqref="KS776" start="0" length="0">
      <dxf/>
    </rfmt>
    <rfmt sheetId="2" sqref="KT776" start="0" length="0">
      <dxf/>
    </rfmt>
    <rfmt sheetId="2" sqref="KU776" start="0" length="0">
      <dxf/>
    </rfmt>
    <rfmt sheetId="2" sqref="KV776" start="0" length="0">
      <dxf/>
    </rfmt>
    <rfmt sheetId="2" sqref="KW776" start="0" length="0">
      <dxf/>
    </rfmt>
    <rfmt sheetId="2" sqref="KX776" start="0" length="0">
      <dxf/>
    </rfmt>
    <rfmt sheetId="2" sqref="KY776" start="0" length="0">
      <dxf/>
    </rfmt>
    <rfmt sheetId="2" sqref="KZ776" start="0" length="0">
      <dxf/>
    </rfmt>
    <rfmt sheetId="2" sqref="LA776" start="0" length="0">
      <dxf/>
    </rfmt>
    <rfmt sheetId="2" sqref="LB776" start="0" length="0">
      <dxf/>
    </rfmt>
    <rfmt sheetId="2" sqref="LC776" start="0" length="0">
      <dxf/>
    </rfmt>
    <rfmt sheetId="2" sqref="LD776" start="0" length="0">
      <dxf/>
    </rfmt>
    <rfmt sheetId="2" sqref="LE776" start="0" length="0">
      <dxf/>
    </rfmt>
    <rfmt sheetId="2" sqref="LF776" start="0" length="0">
      <dxf/>
    </rfmt>
    <rfmt sheetId="2" sqref="LG776" start="0" length="0">
      <dxf/>
    </rfmt>
    <rfmt sheetId="2" sqref="LH776" start="0" length="0">
      <dxf/>
    </rfmt>
    <rfmt sheetId="2" sqref="LI776" start="0" length="0">
      <dxf/>
    </rfmt>
    <rfmt sheetId="2" sqref="LJ776" start="0" length="0">
      <dxf/>
    </rfmt>
    <rfmt sheetId="2" sqref="LK776" start="0" length="0">
      <dxf/>
    </rfmt>
    <rfmt sheetId="2" sqref="LL776" start="0" length="0">
      <dxf/>
    </rfmt>
    <rfmt sheetId="2" sqref="LM776" start="0" length="0">
      <dxf/>
    </rfmt>
    <rfmt sheetId="2" sqref="LN776" start="0" length="0">
      <dxf/>
    </rfmt>
    <rfmt sheetId="2" sqref="LO776" start="0" length="0">
      <dxf/>
    </rfmt>
    <rfmt sheetId="2" sqref="LP776" start="0" length="0">
      <dxf/>
    </rfmt>
    <rfmt sheetId="2" sqref="LQ776" start="0" length="0">
      <dxf/>
    </rfmt>
    <rfmt sheetId="2" sqref="LR776" start="0" length="0">
      <dxf/>
    </rfmt>
    <rfmt sheetId="2" sqref="LS776" start="0" length="0">
      <dxf/>
    </rfmt>
    <rfmt sheetId="2" sqref="LT776" start="0" length="0">
      <dxf/>
    </rfmt>
    <rfmt sheetId="2" sqref="LU776" start="0" length="0">
      <dxf/>
    </rfmt>
    <rfmt sheetId="2" sqref="LV776" start="0" length="0">
      <dxf/>
    </rfmt>
    <rfmt sheetId="2" sqref="LW776" start="0" length="0">
      <dxf/>
    </rfmt>
    <rfmt sheetId="2" sqref="LX776" start="0" length="0">
      <dxf/>
    </rfmt>
    <rfmt sheetId="2" sqref="LY776" start="0" length="0">
      <dxf/>
    </rfmt>
    <rfmt sheetId="2" sqref="LZ776" start="0" length="0">
      <dxf/>
    </rfmt>
    <rfmt sheetId="2" sqref="MA776" start="0" length="0">
      <dxf/>
    </rfmt>
    <rfmt sheetId="2" sqref="MB776" start="0" length="0">
      <dxf/>
    </rfmt>
  </rrc>
  <rrc rId="1735" sId="2" ref="A769:XFD769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1736" sheetId="2" source="A777:XFD777" destination="A769:XFD769" sourceSheetId="2">
    <rfmt sheetId="2" xfDxf="1" sqref="A769:XFD769" start="0" length="0">
      <dxf>
        <font>
          <sz val="10"/>
          <name val="Arial"/>
          <scheme val="none"/>
        </font>
        <alignment horizontal="center" readingOrder="0"/>
      </dxf>
    </rfmt>
    <rfmt sheetId="2" sqref="A76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9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9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9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9" start="0" length="0">
      <dxf>
        <numFmt numFmtId="176" formatCode="m/d;@"/>
      </dxf>
    </rfmt>
    <rfmt sheetId="2" sqref="P76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9" start="0" length="0">
      <dxf/>
    </rfmt>
    <rfmt sheetId="2" sqref="U769" start="0" length="0">
      <dxf/>
    </rfmt>
    <rfmt sheetId="2" sqref="V769" start="0" length="0">
      <dxf/>
    </rfmt>
    <rfmt sheetId="2" sqref="W769" start="0" length="0">
      <dxf/>
    </rfmt>
    <rfmt sheetId="2" sqref="X769" start="0" length="0">
      <dxf/>
    </rfmt>
    <rfmt sheetId="2" sqref="Y769" start="0" length="0">
      <dxf/>
    </rfmt>
    <rfmt sheetId="2" sqref="Z769" start="0" length="0">
      <dxf/>
    </rfmt>
    <rfmt sheetId="2" sqref="AA769" start="0" length="0">
      <dxf/>
    </rfmt>
    <rfmt sheetId="2" sqref="AB769" start="0" length="0">
      <dxf/>
    </rfmt>
    <rfmt sheetId="2" sqref="AC769" start="0" length="0">
      <dxf/>
    </rfmt>
    <rfmt sheetId="2" sqref="AD769" start="0" length="0">
      <dxf/>
    </rfmt>
    <rfmt sheetId="2" sqref="AE769" start="0" length="0">
      <dxf/>
    </rfmt>
    <rfmt sheetId="2" sqref="AF769" start="0" length="0">
      <dxf/>
    </rfmt>
    <rfmt sheetId="2" sqref="AG769" start="0" length="0">
      <dxf/>
    </rfmt>
    <rfmt sheetId="2" sqref="AH769" start="0" length="0">
      <dxf/>
    </rfmt>
    <rfmt sheetId="2" sqref="AI769" start="0" length="0">
      <dxf/>
    </rfmt>
    <rfmt sheetId="2" sqref="AJ769" start="0" length="0">
      <dxf/>
    </rfmt>
    <rfmt sheetId="2" sqref="AK769" start="0" length="0">
      <dxf/>
    </rfmt>
    <rfmt sheetId="2" sqref="AL769" start="0" length="0">
      <dxf/>
    </rfmt>
    <rfmt sheetId="2" sqref="AM769" start="0" length="0">
      <dxf/>
    </rfmt>
    <rfmt sheetId="2" sqref="AN769" start="0" length="0">
      <dxf/>
    </rfmt>
    <rfmt sheetId="2" sqref="AO769" start="0" length="0">
      <dxf/>
    </rfmt>
    <rfmt sheetId="2" sqref="AP769" start="0" length="0">
      <dxf/>
    </rfmt>
    <rfmt sheetId="2" sqref="AQ769" start="0" length="0">
      <dxf/>
    </rfmt>
    <rfmt sheetId="2" sqref="AR769" start="0" length="0">
      <dxf/>
    </rfmt>
    <rfmt sheetId="2" sqref="AS769" start="0" length="0">
      <dxf/>
    </rfmt>
    <rfmt sheetId="2" sqref="AT769" start="0" length="0">
      <dxf/>
    </rfmt>
    <rfmt sheetId="2" sqref="AU769" start="0" length="0">
      <dxf/>
    </rfmt>
    <rfmt sheetId="2" sqref="AV769" start="0" length="0">
      <dxf/>
    </rfmt>
    <rfmt sheetId="2" sqref="AW769" start="0" length="0">
      <dxf/>
    </rfmt>
    <rfmt sheetId="2" sqref="AX769" start="0" length="0">
      <dxf/>
    </rfmt>
    <rfmt sheetId="2" sqref="AY769" start="0" length="0">
      <dxf/>
    </rfmt>
    <rfmt sheetId="2" sqref="AZ769" start="0" length="0">
      <dxf/>
    </rfmt>
    <rfmt sheetId="2" sqref="BA769" start="0" length="0">
      <dxf/>
    </rfmt>
    <rfmt sheetId="2" sqref="BB769" start="0" length="0">
      <dxf/>
    </rfmt>
    <rfmt sheetId="2" sqref="BC769" start="0" length="0">
      <dxf/>
    </rfmt>
    <rfmt sheetId="2" sqref="BD769" start="0" length="0">
      <dxf/>
    </rfmt>
    <rfmt sheetId="2" sqref="BE769" start="0" length="0">
      <dxf/>
    </rfmt>
    <rfmt sheetId="2" sqref="BF769" start="0" length="0">
      <dxf/>
    </rfmt>
    <rfmt sheetId="2" sqref="BG769" start="0" length="0">
      <dxf/>
    </rfmt>
    <rfmt sheetId="2" sqref="BH769" start="0" length="0">
      <dxf/>
    </rfmt>
    <rfmt sheetId="2" sqref="BI769" start="0" length="0">
      <dxf/>
    </rfmt>
    <rfmt sheetId="2" sqref="BJ769" start="0" length="0">
      <dxf/>
    </rfmt>
    <rfmt sheetId="2" sqref="BK769" start="0" length="0">
      <dxf/>
    </rfmt>
    <rfmt sheetId="2" sqref="BL769" start="0" length="0">
      <dxf/>
    </rfmt>
    <rfmt sheetId="2" sqref="BM769" start="0" length="0">
      <dxf/>
    </rfmt>
    <rfmt sheetId="2" sqref="BN769" start="0" length="0">
      <dxf/>
    </rfmt>
    <rfmt sheetId="2" sqref="BO769" start="0" length="0">
      <dxf/>
    </rfmt>
    <rfmt sheetId="2" sqref="BP769" start="0" length="0">
      <dxf/>
    </rfmt>
    <rfmt sheetId="2" sqref="BQ769" start="0" length="0">
      <dxf/>
    </rfmt>
    <rfmt sheetId="2" sqref="BR769" start="0" length="0">
      <dxf/>
    </rfmt>
    <rfmt sheetId="2" sqref="BS769" start="0" length="0">
      <dxf/>
    </rfmt>
    <rfmt sheetId="2" sqref="BT769" start="0" length="0">
      <dxf/>
    </rfmt>
    <rfmt sheetId="2" sqref="BU769" start="0" length="0">
      <dxf/>
    </rfmt>
    <rfmt sheetId="2" sqref="BV769" start="0" length="0">
      <dxf/>
    </rfmt>
    <rfmt sheetId="2" sqref="BW769" start="0" length="0">
      <dxf/>
    </rfmt>
    <rfmt sheetId="2" sqref="BX769" start="0" length="0">
      <dxf/>
    </rfmt>
    <rfmt sheetId="2" sqref="BY769" start="0" length="0">
      <dxf/>
    </rfmt>
    <rfmt sheetId="2" sqref="BZ769" start="0" length="0">
      <dxf/>
    </rfmt>
    <rfmt sheetId="2" sqref="CA769" start="0" length="0">
      <dxf/>
    </rfmt>
    <rfmt sheetId="2" sqref="CB769" start="0" length="0">
      <dxf/>
    </rfmt>
    <rfmt sheetId="2" sqref="CC769" start="0" length="0">
      <dxf/>
    </rfmt>
    <rfmt sheetId="2" sqref="CD769" start="0" length="0">
      <dxf/>
    </rfmt>
    <rfmt sheetId="2" sqref="CE769" start="0" length="0">
      <dxf/>
    </rfmt>
    <rfmt sheetId="2" sqref="CF769" start="0" length="0">
      <dxf/>
    </rfmt>
    <rfmt sheetId="2" sqref="CG769" start="0" length="0">
      <dxf/>
    </rfmt>
    <rfmt sheetId="2" sqref="CH769" start="0" length="0">
      <dxf/>
    </rfmt>
    <rfmt sheetId="2" sqref="CI769" start="0" length="0">
      <dxf/>
    </rfmt>
    <rfmt sheetId="2" sqref="CJ769" start="0" length="0">
      <dxf/>
    </rfmt>
    <rfmt sheetId="2" sqref="CK769" start="0" length="0">
      <dxf/>
    </rfmt>
    <rfmt sheetId="2" sqref="CL769" start="0" length="0">
      <dxf/>
    </rfmt>
    <rfmt sheetId="2" sqref="CM769" start="0" length="0">
      <dxf/>
    </rfmt>
    <rfmt sheetId="2" sqref="CN769" start="0" length="0">
      <dxf/>
    </rfmt>
    <rfmt sheetId="2" sqref="CO769" start="0" length="0">
      <dxf/>
    </rfmt>
    <rfmt sheetId="2" sqref="CP769" start="0" length="0">
      <dxf/>
    </rfmt>
    <rfmt sheetId="2" sqref="CQ769" start="0" length="0">
      <dxf/>
    </rfmt>
    <rfmt sheetId="2" sqref="CR769" start="0" length="0">
      <dxf/>
    </rfmt>
    <rfmt sheetId="2" sqref="CS769" start="0" length="0">
      <dxf/>
    </rfmt>
    <rfmt sheetId="2" sqref="CT769" start="0" length="0">
      <dxf/>
    </rfmt>
    <rfmt sheetId="2" sqref="CU769" start="0" length="0">
      <dxf/>
    </rfmt>
    <rfmt sheetId="2" sqref="CV769" start="0" length="0">
      <dxf/>
    </rfmt>
    <rfmt sheetId="2" sqref="CW769" start="0" length="0">
      <dxf/>
    </rfmt>
    <rfmt sheetId="2" sqref="CX769" start="0" length="0">
      <dxf/>
    </rfmt>
    <rfmt sheetId="2" sqref="CY769" start="0" length="0">
      <dxf/>
    </rfmt>
    <rfmt sheetId="2" sqref="CZ769" start="0" length="0">
      <dxf/>
    </rfmt>
    <rfmt sheetId="2" sqref="DA769" start="0" length="0">
      <dxf/>
    </rfmt>
    <rfmt sheetId="2" sqref="DB769" start="0" length="0">
      <dxf/>
    </rfmt>
    <rfmt sheetId="2" sqref="DC769" start="0" length="0">
      <dxf/>
    </rfmt>
    <rfmt sheetId="2" sqref="DD769" start="0" length="0">
      <dxf/>
    </rfmt>
    <rfmt sheetId="2" sqref="DE769" start="0" length="0">
      <dxf/>
    </rfmt>
    <rfmt sheetId="2" sqref="DF769" start="0" length="0">
      <dxf/>
    </rfmt>
    <rfmt sheetId="2" sqref="DG769" start="0" length="0">
      <dxf/>
    </rfmt>
    <rfmt sheetId="2" sqref="DH769" start="0" length="0">
      <dxf/>
    </rfmt>
    <rfmt sheetId="2" sqref="DI769" start="0" length="0">
      <dxf/>
    </rfmt>
    <rfmt sheetId="2" sqref="DJ769" start="0" length="0">
      <dxf/>
    </rfmt>
    <rfmt sheetId="2" sqref="DK769" start="0" length="0">
      <dxf/>
    </rfmt>
    <rfmt sheetId="2" sqref="DL769" start="0" length="0">
      <dxf/>
    </rfmt>
    <rfmt sheetId="2" sqref="DM769" start="0" length="0">
      <dxf/>
    </rfmt>
    <rfmt sheetId="2" sqref="DN769" start="0" length="0">
      <dxf/>
    </rfmt>
    <rfmt sheetId="2" sqref="DO769" start="0" length="0">
      <dxf/>
    </rfmt>
    <rfmt sheetId="2" sqref="DP769" start="0" length="0">
      <dxf/>
    </rfmt>
    <rfmt sheetId="2" sqref="DQ769" start="0" length="0">
      <dxf/>
    </rfmt>
    <rfmt sheetId="2" sqref="DR769" start="0" length="0">
      <dxf/>
    </rfmt>
    <rfmt sheetId="2" sqref="DS769" start="0" length="0">
      <dxf/>
    </rfmt>
    <rfmt sheetId="2" sqref="DT769" start="0" length="0">
      <dxf/>
    </rfmt>
    <rfmt sheetId="2" sqref="DU769" start="0" length="0">
      <dxf/>
    </rfmt>
    <rfmt sheetId="2" sqref="DV769" start="0" length="0">
      <dxf/>
    </rfmt>
    <rfmt sheetId="2" sqref="DW769" start="0" length="0">
      <dxf/>
    </rfmt>
    <rfmt sheetId="2" sqref="DX769" start="0" length="0">
      <dxf/>
    </rfmt>
    <rfmt sheetId="2" sqref="DY769" start="0" length="0">
      <dxf/>
    </rfmt>
    <rfmt sheetId="2" sqref="DZ769" start="0" length="0">
      <dxf/>
    </rfmt>
    <rfmt sheetId="2" sqref="EA769" start="0" length="0">
      <dxf/>
    </rfmt>
    <rfmt sheetId="2" sqref="EB769" start="0" length="0">
      <dxf/>
    </rfmt>
    <rfmt sheetId="2" sqref="EC769" start="0" length="0">
      <dxf/>
    </rfmt>
    <rfmt sheetId="2" sqref="ED769" start="0" length="0">
      <dxf/>
    </rfmt>
    <rfmt sheetId="2" sqref="EE769" start="0" length="0">
      <dxf/>
    </rfmt>
    <rfmt sheetId="2" sqref="EF769" start="0" length="0">
      <dxf/>
    </rfmt>
    <rfmt sheetId="2" sqref="EG769" start="0" length="0">
      <dxf/>
    </rfmt>
    <rfmt sheetId="2" sqref="EH769" start="0" length="0">
      <dxf/>
    </rfmt>
    <rfmt sheetId="2" sqref="EI769" start="0" length="0">
      <dxf/>
    </rfmt>
    <rfmt sheetId="2" sqref="EJ769" start="0" length="0">
      <dxf/>
    </rfmt>
    <rfmt sheetId="2" sqref="EK769" start="0" length="0">
      <dxf/>
    </rfmt>
    <rfmt sheetId="2" sqref="EL769" start="0" length="0">
      <dxf/>
    </rfmt>
    <rfmt sheetId="2" sqref="EM769" start="0" length="0">
      <dxf/>
    </rfmt>
    <rfmt sheetId="2" sqref="EN769" start="0" length="0">
      <dxf/>
    </rfmt>
    <rfmt sheetId="2" sqref="EO769" start="0" length="0">
      <dxf/>
    </rfmt>
    <rfmt sheetId="2" sqref="EP769" start="0" length="0">
      <dxf/>
    </rfmt>
    <rfmt sheetId="2" sqref="EQ769" start="0" length="0">
      <dxf/>
    </rfmt>
    <rfmt sheetId="2" sqref="ER769" start="0" length="0">
      <dxf/>
    </rfmt>
    <rfmt sheetId="2" sqref="ES769" start="0" length="0">
      <dxf/>
    </rfmt>
    <rfmt sheetId="2" sqref="ET769" start="0" length="0">
      <dxf/>
    </rfmt>
    <rfmt sheetId="2" sqref="EU769" start="0" length="0">
      <dxf/>
    </rfmt>
    <rfmt sheetId="2" sqref="EV769" start="0" length="0">
      <dxf/>
    </rfmt>
    <rfmt sheetId="2" sqref="EW769" start="0" length="0">
      <dxf/>
    </rfmt>
    <rfmt sheetId="2" sqref="EX769" start="0" length="0">
      <dxf/>
    </rfmt>
    <rfmt sheetId="2" sqref="EY769" start="0" length="0">
      <dxf/>
    </rfmt>
    <rfmt sheetId="2" sqref="EZ769" start="0" length="0">
      <dxf/>
    </rfmt>
    <rfmt sheetId="2" sqref="FA769" start="0" length="0">
      <dxf/>
    </rfmt>
    <rfmt sheetId="2" sqref="FB769" start="0" length="0">
      <dxf/>
    </rfmt>
    <rfmt sheetId="2" sqref="FC769" start="0" length="0">
      <dxf/>
    </rfmt>
    <rfmt sheetId="2" sqref="FD769" start="0" length="0">
      <dxf/>
    </rfmt>
    <rfmt sheetId="2" sqref="FE769" start="0" length="0">
      <dxf/>
    </rfmt>
    <rfmt sheetId="2" sqref="FF769" start="0" length="0">
      <dxf/>
    </rfmt>
    <rfmt sheetId="2" sqref="FG769" start="0" length="0">
      <dxf/>
    </rfmt>
    <rfmt sheetId="2" sqref="FH769" start="0" length="0">
      <dxf/>
    </rfmt>
    <rfmt sheetId="2" sqref="FI769" start="0" length="0">
      <dxf/>
    </rfmt>
    <rfmt sheetId="2" sqref="FJ769" start="0" length="0">
      <dxf/>
    </rfmt>
    <rfmt sheetId="2" sqref="FK769" start="0" length="0">
      <dxf/>
    </rfmt>
    <rfmt sheetId="2" sqref="FL769" start="0" length="0">
      <dxf/>
    </rfmt>
    <rfmt sheetId="2" sqref="FM769" start="0" length="0">
      <dxf/>
    </rfmt>
    <rfmt sheetId="2" sqref="FN769" start="0" length="0">
      <dxf/>
    </rfmt>
    <rfmt sheetId="2" sqref="FO769" start="0" length="0">
      <dxf/>
    </rfmt>
    <rfmt sheetId="2" sqref="FP769" start="0" length="0">
      <dxf/>
    </rfmt>
    <rfmt sheetId="2" sqref="FQ769" start="0" length="0">
      <dxf/>
    </rfmt>
    <rfmt sheetId="2" sqref="FR769" start="0" length="0">
      <dxf/>
    </rfmt>
    <rfmt sheetId="2" sqref="FS769" start="0" length="0">
      <dxf/>
    </rfmt>
    <rfmt sheetId="2" sqref="FT769" start="0" length="0">
      <dxf/>
    </rfmt>
    <rfmt sheetId="2" sqref="FU769" start="0" length="0">
      <dxf/>
    </rfmt>
    <rfmt sheetId="2" sqref="FV769" start="0" length="0">
      <dxf/>
    </rfmt>
    <rfmt sheetId="2" sqref="FW769" start="0" length="0">
      <dxf/>
    </rfmt>
    <rfmt sheetId="2" sqref="FX769" start="0" length="0">
      <dxf/>
    </rfmt>
    <rfmt sheetId="2" sqref="FY769" start="0" length="0">
      <dxf/>
    </rfmt>
    <rfmt sheetId="2" sqref="FZ769" start="0" length="0">
      <dxf/>
    </rfmt>
    <rfmt sheetId="2" sqref="GA769" start="0" length="0">
      <dxf/>
    </rfmt>
    <rfmt sheetId="2" sqref="GB769" start="0" length="0">
      <dxf/>
    </rfmt>
    <rfmt sheetId="2" sqref="GC769" start="0" length="0">
      <dxf/>
    </rfmt>
    <rfmt sheetId="2" sqref="GD769" start="0" length="0">
      <dxf/>
    </rfmt>
    <rfmt sheetId="2" sqref="GE769" start="0" length="0">
      <dxf/>
    </rfmt>
    <rfmt sheetId="2" sqref="GF769" start="0" length="0">
      <dxf/>
    </rfmt>
    <rfmt sheetId="2" sqref="GG769" start="0" length="0">
      <dxf/>
    </rfmt>
    <rfmt sheetId="2" sqref="GH769" start="0" length="0">
      <dxf/>
    </rfmt>
    <rfmt sheetId="2" sqref="GI769" start="0" length="0">
      <dxf/>
    </rfmt>
    <rfmt sheetId="2" sqref="GJ769" start="0" length="0">
      <dxf/>
    </rfmt>
    <rfmt sheetId="2" sqref="GK769" start="0" length="0">
      <dxf/>
    </rfmt>
    <rfmt sheetId="2" sqref="GL769" start="0" length="0">
      <dxf/>
    </rfmt>
    <rfmt sheetId="2" sqref="GM769" start="0" length="0">
      <dxf/>
    </rfmt>
    <rfmt sheetId="2" sqref="GN769" start="0" length="0">
      <dxf/>
    </rfmt>
    <rfmt sheetId="2" sqref="GO769" start="0" length="0">
      <dxf/>
    </rfmt>
    <rfmt sheetId="2" sqref="GP769" start="0" length="0">
      <dxf/>
    </rfmt>
    <rfmt sheetId="2" sqref="GQ769" start="0" length="0">
      <dxf/>
    </rfmt>
    <rfmt sheetId="2" sqref="GR769" start="0" length="0">
      <dxf/>
    </rfmt>
    <rfmt sheetId="2" sqref="GS769" start="0" length="0">
      <dxf/>
    </rfmt>
    <rfmt sheetId="2" sqref="GT769" start="0" length="0">
      <dxf/>
    </rfmt>
    <rfmt sheetId="2" sqref="GU769" start="0" length="0">
      <dxf/>
    </rfmt>
    <rfmt sheetId="2" sqref="GV769" start="0" length="0">
      <dxf/>
    </rfmt>
    <rfmt sheetId="2" sqref="GW769" start="0" length="0">
      <dxf/>
    </rfmt>
    <rfmt sheetId="2" sqref="GX769" start="0" length="0">
      <dxf/>
    </rfmt>
    <rfmt sheetId="2" sqref="GY769" start="0" length="0">
      <dxf/>
    </rfmt>
    <rfmt sheetId="2" sqref="GZ769" start="0" length="0">
      <dxf/>
    </rfmt>
    <rfmt sheetId="2" sqref="HA769" start="0" length="0">
      <dxf/>
    </rfmt>
    <rfmt sheetId="2" sqref="HB769" start="0" length="0">
      <dxf/>
    </rfmt>
    <rfmt sheetId="2" sqref="HC769" start="0" length="0">
      <dxf/>
    </rfmt>
    <rfmt sheetId="2" sqref="HD769" start="0" length="0">
      <dxf/>
    </rfmt>
    <rfmt sheetId="2" sqref="HE769" start="0" length="0">
      <dxf/>
    </rfmt>
    <rfmt sheetId="2" sqref="HF769" start="0" length="0">
      <dxf/>
    </rfmt>
    <rfmt sheetId="2" sqref="HG769" start="0" length="0">
      <dxf/>
    </rfmt>
    <rfmt sheetId="2" sqref="HH769" start="0" length="0">
      <dxf/>
    </rfmt>
    <rfmt sheetId="2" sqref="HI769" start="0" length="0">
      <dxf/>
    </rfmt>
    <rfmt sheetId="2" sqref="HJ769" start="0" length="0">
      <dxf/>
    </rfmt>
    <rfmt sheetId="2" sqref="HK769" start="0" length="0">
      <dxf/>
    </rfmt>
    <rfmt sheetId="2" sqref="HL769" start="0" length="0">
      <dxf/>
    </rfmt>
    <rfmt sheetId="2" sqref="HM769" start="0" length="0">
      <dxf/>
    </rfmt>
    <rfmt sheetId="2" sqref="HN769" start="0" length="0">
      <dxf/>
    </rfmt>
    <rfmt sheetId="2" sqref="HO769" start="0" length="0">
      <dxf/>
    </rfmt>
    <rfmt sheetId="2" sqref="HP769" start="0" length="0">
      <dxf/>
    </rfmt>
    <rfmt sheetId="2" sqref="HQ769" start="0" length="0">
      <dxf/>
    </rfmt>
    <rfmt sheetId="2" sqref="HR769" start="0" length="0">
      <dxf/>
    </rfmt>
    <rfmt sheetId="2" sqref="HS769" start="0" length="0">
      <dxf/>
    </rfmt>
    <rfmt sheetId="2" sqref="HT769" start="0" length="0">
      <dxf/>
    </rfmt>
    <rfmt sheetId="2" sqref="HU769" start="0" length="0">
      <dxf/>
    </rfmt>
    <rfmt sheetId="2" sqref="HV769" start="0" length="0">
      <dxf/>
    </rfmt>
    <rfmt sheetId="2" sqref="HW769" start="0" length="0">
      <dxf/>
    </rfmt>
    <rfmt sheetId="2" sqref="HX769" start="0" length="0">
      <dxf/>
    </rfmt>
    <rfmt sheetId="2" sqref="HY769" start="0" length="0">
      <dxf/>
    </rfmt>
    <rfmt sheetId="2" sqref="HZ769" start="0" length="0">
      <dxf/>
    </rfmt>
    <rfmt sheetId="2" sqref="IA769" start="0" length="0">
      <dxf/>
    </rfmt>
    <rfmt sheetId="2" sqref="IB769" start="0" length="0">
      <dxf/>
    </rfmt>
    <rfmt sheetId="2" sqref="IC769" start="0" length="0">
      <dxf/>
    </rfmt>
    <rfmt sheetId="2" sqref="ID769" start="0" length="0">
      <dxf/>
    </rfmt>
    <rfmt sheetId="2" sqref="IE769" start="0" length="0">
      <dxf/>
    </rfmt>
    <rfmt sheetId="2" sqref="IF769" start="0" length="0">
      <dxf/>
    </rfmt>
    <rfmt sheetId="2" sqref="IG769" start="0" length="0">
      <dxf/>
    </rfmt>
    <rfmt sheetId="2" sqref="IH769" start="0" length="0">
      <dxf/>
    </rfmt>
    <rfmt sheetId="2" sqref="II769" start="0" length="0">
      <dxf/>
    </rfmt>
    <rfmt sheetId="2" sqref="IJ769" start="0" length="0">
      <dxf/>
    </rfmt>
    <rfmt sheetId="2" sqref="IK769" start="0" length="0">
      <dxf/>
    </rfmt>
    <rfmt sheetId="2" sqref="IL769" start="0" length="0">
      <dxf/>
    </rfmt>
    <rfmt sheetId="2" sqref="IM769" start="0" length="0">
      <dxf/>
    </rfmt>
    <rfmt sheetId="2" sqref="IN769" start="0" length="0">
      <dxf/>
    </rfmt>
    <rfmt sheetId="2" sqref="IO769" start="0" length="0">
      <dxf/>
    </rfmt>
    <rfmt sheetId="2" sqref="IP769" start="0" length="0">
      <dxf/>
    </rfmt>
    <rfmt sheetId="2" sqref="IQ769" start="0" length="0">
      <dxf/>
    </rfmt>
    <rfmt sheetId="2" sqref="IR769" start="0" length="0">
      <dxf/>
    </rfmt>
    <rfmt sheetId="2" sqref="IS769" start="0" length="0">
      <dxf/>
    </rfmt>
    <rfmt sheetId="2" sqref="IT769" start="0" length="0">
      <dxf/>
    </rfmt>
    <rfmt sheetId="2" sqref="IU769" start="0" length="0">
      <dxf/>
    </rfmt>
    <rfmt sheetId="2" sqref="IV769" start="0" length="0">
      <dxf/>
    </rfmt>
    <rfmt sheetId="2" sqref="IW769" start="0" length="0">
      <dxf/>
    </rfmt>
    <rfmt sheetId="2" sqref="IX769" start="0" length="0">
      <dxf/>
    </rfmt>
    <rfmt sheetId="2" sqref="IY769" start="0" length="0">
      <dxf/>
    </rfmt>
    <rfmt sheetId="2" sqref="IZ769" start="0" length="0">
      <dxf/>
    </rfmt>
    <rfmt sheetId="2" sqref="JA769" start="0" length="0">
      <dxf/>
    </rfmt>
    <rfmt sheetId="2" sqref="JB769" start="0" length="0">
      <dxf/>
    </rfmt>
    <rfmt sheetId="2" sqref="JC769" start="0" length="0">
      <dxf/>
    </rfmt>
    <rfmt sheetId="2" sqref="JD769" start="0" length="0">
      <dxf/>
    </rfmt>
    <rfmt sheetId="2" sqref="JE769" start="0" length="0">
      <dxf/>
    </rfmt>
    <rfmt sheetId="2" sqref="JF769" start="0" length="0">
      <dxf/>
    </rfmt>
    <rfmt sheetId="2" sqref="JG769" start="0" length="0">
      <dxf/>
    </rfmt>
    <rfmt sheetId="2" sqref="JH769" start="0" length="0">
      <dxf/>
    </rfmt>
    <rfmt sheetId="2" sqref="JI769" start="0" length="0">
      <dxf/>
    </rfmt>
    <rfmt sheetId="2" sqref="JJ769" start="0" length="0">
      <dxf/>
    </rfmt>
    <rfmt sheetId="2" sqref="JK769" start="0" length="0">
      <dxf/>
    </rfmt>
    <rfmt sheetId="2" sqref="JL769" start="0" length="0">
      <dxf/>
    </rfmt>
    <rfmt sheetId="2" sqref="JM769" start="0" length="0">
      <dxf/>
    </rfmt>
    <rfmt sheetId="2" sqref="JN769" start="0" length="0">
      <dxf/>
    </rfmt>
    <rfmt sheetId="2" sqref="JO769" start="0" length="0">
      <dxf/>
    </rfmt>
    <rfmt sheetId="2" sqref="JP769" start="0" length="0">
      <dxf/>
    </rfmt>
    <rfmt sheetId="2" sqref="JQ769" start="0" length="0">
      <dxf/>
    </rfmt>
    <rfmt sheetId="2" sqref="JR769" start="0" length="0">
      <dxf/>
    </rfmt>
    <rfmt sheetId="2" sqref="JS769" start="0" length="0">
      <dxf/>
    </rfmt>
    <rfmt sheetId="2" sqref="JT769" start="0" length="0">
      <dxf/>
    </rfmt>
    <rfmt sheetId="2" sqref="JU769" start="0" length="0">
      <dxf/>
    </rfmt>
    <rfmt sheetId="2" sqref="JV769" start="0" length="0">
      <dxf/>
    </rfmt>
    <rfmt sheetId="2" sqref="JW769" start="0" length="0">
      <dxf/>
    </rfmt>
    <rfmt sheetId="2" sqref="JX769" start="0" length="0">
      <dxf/>
    </rfmt>
    <rfmt sheetId="2" sqref="JY769" start="0" length="0">
      <dxf/>
    </rfmt>
    <rfmt sheetId="2" sqref="JZ769" start="0" length="0">
      <dxf/>
    </rfmt>
    <rfmt sheetId="2" sqref="KA769" start="0" length="0">
      <dxf/>
    </rfmt>
    <rfmt sheetId="2" sqref="KB769" start="0" length="0">
      <dxf/>
    </rfmt>
    <rfmt sheetId="2" sqref="KC769" start="0" length="0">
      <dxf/>
    </rfmt>
    <rfmt sheetId="2" sqref="KD769" start="0" length="0">
      <dxf/>
    </rfmt>
    <rfmt sheetId="2" sqref="KE769" start="0" length="0">
      <dxf/>
    </rfmt>
    <rfmt sheetId="2" sqref="KF769" start="0" length="0">
      <dxf/>
    </rfmt>
    <rfmt sheetId="2" sqref="KG769" start="0" length="0">
      <dxf/>
    </rfmt>
    <rfmt sheetId="2" sqref="KH769" start="0" length="0">
      <dxf/>
    </rfmt>
    <rfmt sheetId="2" sqref="KI769" start="0" length="0">
      <dxf/>
    </rfmt>
    <rfmt sheetId="2" sqref="KJ769" start="0" length="0">
      <dxf/>
    </rfmt>
    <rfmt sheetId="2" sqref="KK769" start="0" length="0">
      <dxf/>
    </rfmt>
    <rfmt sheetId="2" sqref="KL769" start="0" length="0">
      <dxf/>
    </rfmt>
    <rfmt sheetId="2" sqref="KM769" start="0" length="0">
      <dxf/>
    </rfmt>
    <rfmt sheetId="2" sqref="KN769" start="0" length="0">
      <dxf/>
    </rfmt>
    <rfmt sheetId="2" sqref="KO769" start="0" length="0">
      <dxf/>
    </rfmt>
    <rfmt sheetId="2" sqref="KP769" start="0" length="0">
      <dxf/>
    </rfmt>
    <rfmt sheetId="2" sqref="KQ769" start="0" length="0">
      <dxf/>
    </rfmt>
    <rfmt sheetId="2" sqref="KR769" start="0" length="0">
      <dxf/>
    </rfmt>
    <rfmt sheetId="2" sqref="KS769" start="0" length="0">
      <dxf/>
    </rfmt>
    <rfmt sheetId="2" sqref="KT769" start="0" length="0">
      <dxf/>
    </rfmt>
    <rfmt sheetId="2" sqref="KU769" start="0" length="0">
      <dxf/>
    </rfmt>
    <rfmt sheetId="2" sqref="KV769" start="0" length="0">
      <dxf/>
    </rfmt>
    <rfmt sheetId="2" sqref="KW769" start="0" length="0">
      <dxf/>
    </rfmt>
    <rfmt sheetId="2" sqref="KX769" start="0" length="0">
      <dxf/>
    </rfmt>
    <rfmt sheetId="2" sqref="KY769" start="0" length="0">
      <dxf/>
    </rfmt>
    <rfmt sheetId="2" sqref="KZ769" start="0" length="0">
      <dxf/>
    </rfmt>
    <rfmt sheetId="2" sqref="LA769" start="0" length="0">
      <dxf/>
    </rfmt>
    <rfmt sheetId="2" sqref="LB769" start="0" length="0">
      <dxf/>
    </rfmt>
    <rfmt sheetId="2" sqref="LC769" start="0" length="0">
      <dxf/>
    </rfmt>
    <rfmt sheetId="2" sqref="LD769" start="0" length="0">
      <dxf/>
    </rfmt>
    <rfmt sheetId="2" sqref="LE769" start="0" length="0">
      <dxf/>
    </rfmt>
    <rfmt sheetId="2" sqref="LF769" start="0" length="0">
      <dxf/>
    </rfmt>
    <rfmt sheetId="2" sqref="LG769" start="0" length="0">
      <dxf/>
    </rfmt>
    <rfmt sheetId="2" sqref="LH769" start="0" length="0">
      <dxf/>
    </rfmt>
    <rfmt sheetId="2" sqref="LI769" start="0" length="0">
      <dxf/>
    </rfmt>
    <rfmt sheetId="2" sqref="LJ769" start="0" length="0">
      <dxf/>
    </rfmt>
    <rfmt sheetId="2" sqref="LK769" start="0" length="0">
      <dxf/>
    </rfmt>
    <rfmt sheetId="2" sqref="LL769" start="0" length="0">
      <dxf/>
    </rfmt>
    <rfmt sheetId="2" sqref="LM769" start="0" length="0">
      <dxf/>
    </rfmt>
    <rfmt sheetId="2" sqref="LN769" start="0" length="0">
      <dxf/>
    </rfmt>
    <rfmt sheetId="2" sqref="LO769" start="0" length="0">
      <dxf/>
    </rfmt>
    <rfmt sheetId="2" sqref="LP769" start="0" length="0">
      <dxf/>
    </rfmt>
    <rfmt sheetId="2" sqref="LQ769" start="0" length="0">
      <dxf/>
    </rfmt>
    <rfmt sheetId="2" sqref="LR769" start="0" length="0">
      <dxf/>
    </rfmt>
    <rfmt sheetId="2" sqref="LS769" start="0" length="0">
      <dxf/>
    </rfmt>
    <rfmt sheetId="2" sqref="LT769" start="0" length="0">
      <dxf/>
    </rfmt>
    <rfmt sheetId="2" sqref="LU769" start="0" length="0">
      <dxf/>
    </rfmt>
    <rfmt sheetId="2" sqref="LV769" start="0" length="0">
      <dxf/>
    </rfmt>
    <rfmt sheetId="2" sqref="LW769" start="0" length="0">
      <dxf/>
    </rfmt>
    <rfmt sheetId="2" sqref="LX769" start="0" length="0">
      <dxf/>
    </rfmt>
    <rfmt sheetId="2" sqref="LY769" start="0" length="0">
      <dxf/>
    </rfmt>
    <rfmt sheetId="2" sqref="LZ769" start="0" length="0">
      <dxf/>
    </rfmt>
    <rfmt sheetId="2" sqref="MA769" start="0" length="0">
      <dxf/>
    </rfmt>
    <rfmt sheetId="2" sqref="MB769" start="0" length="0">
      <dxf/>
    </rfmt>
  </rm>
  <rrc rId="1737" sId="2" ref="A777:XFD777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77:XFD777" start="0" length="0">
      <dxf>
        <font>
          <sz val="10"/>
          <name val="Arial"/>
          <scheme val="none"/>
        </font>
        <alignment horizontal="center" readingOrder="0"/>
      </dxf>
    </rfmt>
    <rfmt sheetId="2" sqref="A77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7" start="0" length="0">
      <dxf>
        <numFmt numFmtId="176" formatCode="m/d;@"/>
      </dxf>
    </rfmt>
    <rfmt sheetId="2" sqref="P77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7" start="0" length="0">
      <dxf/>
    </rfmt>
    <rfmt sheetId="2" sqref="U777" start="0" length="0">
      <dxf/>
    </rfmt>
    <rfmt sheetId="2" sqref="V777" start="0" length="0">
      <dxf/>
    </rfmt>
    <rfmt sheetId="2" sqref="W777" start="0" length="0">
      <dxf/>
    </rfmt>
    <rfmt sheetId="2" sqref="X777" start="0" length="0">
      <dxf/>
    </rfmt>
    <rfmt sheetId="2" sqref="Y777" start="0" length="0">
      <dxf/>
    </rfmt>
    <rfmt sheetId="2" sqref="Z777" start="0" length="0">
      <dxf/>
    </rfmt>
    <rfmt sheetId="2" sqref="AA777" start="0" length="0">
      <dxf/>
    </rfmt>
    <rfmt sheetId="2" sqref="AB777" start="0" length="0">
      <dxf/>
    </rfmt>
    <rfmt sheetId="2" sqref="AC777" start="0" length="0">
      <dxf/>
    </rfmt>
    <rfmt sheetId="2" sqref="AD777" start="0" length="0">
      <dxf/>
    </rfmt>
    <rfmt sheetId="2" sqref="AE777" start="0" length="0">
      <dxf/>
    </rfmt>
    <rfmt sheetId="2" sqref="AF777" start="0" length="0">
      <dxf/>
    </rfmt>
    <rfmt sheetId="2" sqref="AG777" start="0" length="0">
      <dxf/>
    </rfmt>
    <rfmt sheetId="2" sqref="AH777" start="0" length="0">
      <dxf/>
    </rfmt>
    <rfmt sheetId="2" sqref="AI777" start="0" length="0">
      <dxf/>
    </rfmt>
    <rfmt sheetId="2" sqref="AJ777" start="0" length="0">
      <dxf/>
    </rfmt>
    <rfmt sheetId="2" sqref="AK777" start="0" length="0">
      <dxf/>
    </rfmt>
    <rfmt sheetId="2" sqref="AL777" start="0" length="0">
      <dxf/>
    </rfmt>
    <rfmt sheetId="2" sqref="AM777" start="0" length="0">
      <dxf/>
    </rfmt>
    <rfmt sheetId="2" sqref="AN777" start="0" length="0">
      <dxf/>
    </rfmt>
    <rfmt sheetId="2" sqref="AO777" start="0" length="0">
      <dxf/>
    </rfmt>
    <rfmt sheetId="2" sqref="AP777" start="0" length="0">
      <dxf/>
    </rfmt>
    <rfmt sheetId="2" sqref="AQ777" start="0" length="0">
      <dxf/>
    </rfmt>
    <rfmt sheetId="2" sqref="AR777" start="0" length="0">
      <dxf/>
    </rfmt>
    <rfmt sheetId="2" sqref="AS777" start="0" length="0">
      <dxf/>
    </rfmt>
    <rfmt sheetId="2" sqref="AT777" start="0" length="0">
      <dxf/>
    </rfmt>
    <rfmt sheetId="2" sqref="AU777" start="0" length="0">
      <dxf/>
    </rfmt>
    <rfmt sheetId="2" sqref="AV777" start="0" length="0">
      <dxf/>
    </rfmt>
    <rfmt sheetId="2" sqref="AW777" start="0" length="0">
      <dxf/>
    </rfmt>
    <rfmt sheetId="2" sqref="AX777" start="0" length="0">
      <dxf/>
    </rfmt>
    <rfmt sheetId="2" sqref="AY777" start="0" length="0">
      <dxf/>
    </rfmt>
    <rfmt sheetId="2" sqref="AZ777" start="0" length="0">
      <dxf/>
    </rfmt>
    <rfmt sheetId="2" sqref="BA777" start="0" length="0">
      <dxf/>
    </rfmt>
    <rfmt sheetId="2" sqref="BB777" start="0" length="0">
      <dxf/>
    </rfmt>
    <rfmt sheetId="2" sqref="BC777" start="0" length="0">
      <dxf/>
    </rfmt>
    <rfmt sheetId="2" sqref="BD777" start="0" length="0">
      <dxf/>
    </rfmt>
    <rfmt sheetId="2" sqref="BE777" start="0" length="0">
      <dxf/>
    </rfmt>
    <rfmt sheetId="2" sqref="BF777" start="0" length="0">
      <dxf/>
    </rfmt>
    <rfmt sheetId="2" sqref="BG777" start="0" length="0">
      <dxf/>
    </rfmt>
    <rfmt sheetId="2" sqref="BH777" start="0" length="0">
      <dxf/>
    </rfmt>
    <rfmt sheetId="2" sqref="BI777" start="0" length="0">
      <dxf/>
    </rfmt>
    <rfmt sheetId="2" sqref="BJ777" start="0" length="0">
      <dxf/>
    </rfmt>
    <rfmt sheetId="2" sqref="BK777" start="0" length="0">
      <dxf/>
    </rfmt>
    <rfmt sheetId="2" sqref="BL777" start="0" length="0">
      <dxf/>
    </rfmt>
    <rfmt sheetId="2" sqref="BM777" start="0" length="0">
      <dxf/>
    </rfmt>
    <rfmt sheetId="2" sqref="BN777" start="0" length="0">
      <dxf/>
    </rfmt>
    <rfmt sheetId="2" sqref="BO777" start="0" length="0">
      <dxf/>
    </rfmt>
    <rfmt sheetId="2" sqref="BP777" start="0" length="0">
      <dxf/>
    </rfmt>
    <rfmt sheetId="2" sqref="BQ777" start="0" length="0">
      <dxf/>
    </rfmt>
    <rfmt sheetId="2" sqref="BR777" start="0" length="0">
      <dxf/>
    </rfmt>
    <rfmt sheetId="2" sqref="BS777" start="0" length="0">
      <dxf/>
    </rfmt>
    <rfmt sheetId="2" sqref="BT777" start="0" length="0">
      <dxf/>
    </rfmt>
    <rfmt sheetId="2" sqref="BU777" start="0" length="0">
      <dxf/>
    </rfmt>
    <rfmt sheetId="2" sqref="BV777" start="0" length="0">
      <dxf/>
    </rfmt>
    <rfmt sheetId="2" sqref="BW777" start="0" length="0">
      <dxf/>
    </rfmt>
    <rfmt sheetId="2" sqref="BX777" start="0" length="0">
      <dxf/>
    </rfmt>
    <rfmt sheetId="2" sqref="BY777" start="0" length="0">
      <dxf/>
    </rfmt>
    <rfmt sheetId="2" sqref="BZ777" start="0" length="0">
      <dxf/>
    </rfmt>
    <rfmt sheetId="2" sqref="CA777" start="0" length="0">
      <dxf/>
    </rfmt>
    <rfmt sheetId="2" sqref="CB777" start="0" length="0">
      <dxf/>
    </rfmt>
    <rfmt sheetId="2" sqref="CC777" start="0" length="0">
      <dxf/>
    </rfmt>
    <rfmt sheetId="2" sqref="CD777" start="0" length="0">
      <dxf/>
    </rfmt>
    <rfmt sheetId="2" sqref="CE777" start="0" length="0">
      <dxf/>
    </rfmt>
    <rfmt sheetId="2" sqref="CF777" start="0" length="0">
      <dxf/>
    </rfmt>
    <rfmt sheetId="2" sqref="CG777" start="0" length="0">
      <dxf/>
    </rfmt>
    <rfmt sheetId="2" sqref="CH777" start="0" length="0">
      <dxf/>
    </rfmt>
    <rfmt sheetId="2" sqref="CI777" start="0" length="0">
      <dxf/>
    </rfmt>
    <rfmt sheetId="2" sqref="CJ777" start="0" length="0">
      <dxf/>
    </rfmt>
    <rfmt sheetId="2" sqref="CK777" start="0" length="0">
      <dxf/>
    </rfmt>
    <rfmt sheetId="2" sqref="CL777" start="0" length="0">
      <dxf/>
    </rfmt>
    <rfmt sheetId="2" sqref="CM777" start="0" length="0">
      <dxf/>
    </rfmt>
    <rfmt sheetId="2" sqref="CN777" start="0" length="0">
      <dxf/>
    </rfmt>
    <rfmt sheetId="2" sqref="CO777" start="0" length="0">
      <dxf/>
    </rfmt>
    <rfmt sheetId="2" sqref="CP777" start="0" length="0">
      <dxf/>
    </rfmt>
    <rfmt sheetId="2" sqref="CQ777" start="0" length="0">
      <dxf/>
    </rfmt>
    <rfmt sheetId="2" sqref="CR777" start="0" length="0">
      <dxf/>
    </rfmt>
    <rfmt sheetId="2" sqref="CS777" start="0" length="0">
      <dxf/>
    </rfmt>
    <rfmt sheetId="2" sqref="CT777" start="0" length="0">
      <dxf/>
    </rfmt>
    <rfmt sheetId="2" sqref="CU777" start="0" length="0">
      <dxf/>
    </rfmt>
    <rfmt sheetId="2" sqref="CV777" start="0" length="0">
      <dxf/>
    </rfmt>
    <rfmt sheetId="2" sqref="CW777" start="0" length="0">
      <dxf/>
    </rfmt>
    <rfmt sheetId="2" sqref="CX777" start="0" length="0">
      <dxf/>
    </rfmt>
    <rfmt sheetId="2" sqref="CY777" start="0" length="0">
      <dxf/>
    </rfmt>
    <rfmt sheetId="2" sqref="CZ777" start="0" length="0">
      <dxf/>
    </rfmt>
    <rfmt sheetId="2" sqref="DA777" start="0" length="0">
      <dxf/>
    </rfmt>
    <rfmt sheetId="2" sqref="DB777" start="0" length="0">
      <dxf/>
    </rfmt>
    <rfmt sheetId="2" sqref="DC777" start="0" length="0">
      <dxf/>
    </rfmt>
    <rfmt sheetId="2" sqref="DD777" start="0" length="0">
      <dxf/>
    </rfmt>
    <rfmt sheetId="2" sqref="DE777" start="0" length="0">
      <dxf/>
    </rfmt>
    <rfmt sheetId="2" sqref="DF777" start="0" length="0">
      <dxf/>
    </rfmt>
    <rfmt sheetId="2" sqref="DG777" start="0" length="0">
      <dxf/>
    </rfmt>
    <rfmt sheetId="2" sqref="DH777" start="0" length="0">
      <dxf/>
    </rfmt>
    <rfmt sheetId="2" sqref="DI777" start="0" length="0">
      <dxf/>
    </rfmt>
    <rfmt sheetId="2" sqref="DJ777" start="0" length="0">
      <dxf/>
    </rfmt>
    <rfmt sheetId="2" sqref="DK777" start="0" length="0">
      <dxf/>
    </rfmt>
    <rfmt sheetId="2" sqref="DL777" start="0" length="0">
      <dxf/>
    </rfmt>
    <rfmt sheetId="2" sqref="DM777" start="0" length="0">
      <dxf/>
    </rfmt>
    <rfmt sheetId="2" sqref="DN777" start="0" length="0">
      <dxf/>
    </rfmt>
    <rfmt sheetId="2" sqref="DO777" start="0" length="0">
      <dxf/>
    </rfmt>
    <rfmt sheetId="2" sqref="DP777" start="0" length="0">
      <dxf/>
    </rfmt>
    <rfmt sheetId="2" sqref="DQ777" start="0" length="0">
      <dxf/>
    </rfmt>
    <rfmt sheetId="2" sqref="DR777" start="0" length="0">
      <dxf/>
    </rfmt>
    <rfmt sheetId="2" sqref="DS777" start="0" length="0">
      <dxf/>
    </rfmt>
    <rfmt sheetId="2" sqref="DT777" start="0" length="0">
      <dxf/>
    </rfmt>
    <rfmt sheetId="2" sqref="DU777" start="0" length="0">
      <dxf/>
    </rfmt>
    <rfmt sheetId="2" sqref="DV777" start="0" length="0">
      <dxf/>
    </rfmt>
    <rfmt sheetId="2" sqref="DW777" start="0" length="0">
      <dxf/>
    </rfmt>
    <rfmt sheetId="2" sqref="DX777" start="0" length="0">
      <dxf/>
    </rfmt>
    <rfmt sheetId="2" sqref="DY777" start="0" length="0">
      <dxf/>
    </rfmt>
    <rfmt sheetId="2" sqref="DZ777" start="0" length="0">
      <dxf/>
    </rfmt>
    <rfmt sheetId="2" sqref="EA777" start="0" length="0">
      <dxf/>
    </rfmt>
    <rfmt sheetId="2" sqref="EB777" start="0" length="0">
      <dxf/>
    </rfmt>
    <rfmt sheetId="2" sqref="EC777" start="0" length="0">
      <dxf/>
    </rfmt>
    <rfmt sheetId="2" sqref="ED777" start="0" length="0">
      <dxf/>
    </rfmt>
    <rfmt sheetId="2" sqref="EE777" start="0" length="0">
      <dxf/>
    </rfmt>
    <rfmt sheetId="2" sqref="EF777" start="0" length="0">
      <dxf/>
    </rfmt>
    <rfmt sheetId="2" sqref="EG777" start="0" length="0">
      <dxf/>
    </rfmt>
    <rfmt sheetId="2" sqref="EH777" start="0" length="0">
      <dxf/>
    </rfmt>
    <rfmt sheetId="2" sqref="EI777" start="0" length="0">
      <dxf/>
    </rfmt>
    <rfmt sheetId="2" sqref="EJ777" start="0" length="0">
      <dxf/>
    </rfmt>
    <rfmt sheetId="2" sqref="EK777" start="0" length="0">
      <dxf/>
    </rfmt>
    <rfmt sheetId="2" sqref="EL777" start="0" length="0">
      <dxf/>
    </rfmt>
    <rfmt sheetId="2" sqref="EM777" start="0" length="0">
      <dxf/>
    </rfmt>
    <rfmt sheetId="2" sqref="EN777" start="0" length="0">
      <dxf/>
    </rfmt>
    <rfmt sheetId="2" sqref="EO777" start="0" length="0">
      <dxf/>
    </rfmt>
    <rfmt sheetId="2" sqref="EP777" start="0" length="0">
      <dxf/>
    </rfmt>
    <rfmt sheetId="2" sqref="EQ777" start="0" length="0">
      <dxf/>
    </rfmt>
    <rfmt sheetId="2" sqref="ER777" start="0" length="0">
      <dxf/>
    </rfmt>
    <rfmt sheetId="2" sqref="ES777" start="0" length="0">
      <dxf/>
    </rfmt>
    <rfmt sheetId="2" sqref="ET777" start="0" length="0">
      <dxf/>
    </rfmt>
    <rfmt sheetId="2" sqref="EU777" start="0" length="0">
      <dxf/>
    </rfmt>
    <rfmt sheetId="2" sqref="EV777" start="0" length="0">
      <dxf/>
    </rfmt>
    <rfmt sheetId="2" sqref="EW777" start="0" length="0">
      <dxf/>
    </rfmt>
    <rfmt sheetId="2" sqref="EX777" start="0" length="0">
      <dxf/>
    </rfmt>
    <rfmt sheetId="2" sqref="EY777" start="0" length="0">
      <dxf/>
    </rfmt>
    <rfmt sheetId="2" sqref="EZ777" start="0" length="0">
      <dxf/>
    </rfmt>
    <rfmt sheetId="2" sqref="FA777" start="0" length="0">
      <dxf/>
    </rfmt>
    <rfmt sheetId="2" sqref="FB777" start="0" length="0">
      <dxf/>
    </rfmt>
    <rfmt sheetId="2" sqref="FC777" start="0" length="0">
      <dxf/>
    </rfmt>
    <rfmt sheetId="2" sqref="FD777" start="0" length="0">
      <dxf/>
    </rfmt>
    <rfmt sheetId="2" sqref="FE777" start="0" length="0">
      <dxf/>
    </rfmt>
    <rfmt sheetId="2" sqref="FF777" start="0" length="0">
      <dxf/>
    </rfmt>
    <rfmt sheetId="2" sqref="FG777" start="0" length="0">
      <dxf/>
    </rfmt>
    <rfmt sheetId="2" sqref="FH777" start="0" length="0">
      <dxf/>
    </rfmt>
    <rfmt sheetId="2" sqref="FI777" start="0" length="0">
      <dxf/>
    </rfmt>
    <rfmt sheetId="2" sqref="FJ777" start="0" length="0">
      <dxf/>
    </rfmt>
    <rfmt sheetId="2" sqref="FK777" start="0" length="0">
      <dxf/>
    </rfmt>
    <rfmt sheetId="2" sqref="FL777" start="0" length="0">
      <dxf/>
    </rfmt>
    <rfmt sheetId="2" sqref="FM777" start="0" length="0">
      <dxf/>
    </rfmt>
    <rfmt sheetId="2" sqref="FN777" start="0" length="0">
      <dxf/>
    </rfmt>
    <rfmt sheetId="2" sqref="FO777" start="0" length="0">
      <dxf/>
    </rfmt>
    <rfmt sheetId="2" sqref="FP777" start="0" length="0">
      <dxf/>
    </rfmt>
    <rfmt sheetId="2" sqref="FQ777" start="0" length="0">
      <dxf/>
    </rfmt>
    <rfmt sheetId="2" sqref="FR777" start="0" length="0">
      <dxf/>
    </rfmt>
    <rfmt sheetId="2" sqref="FS777" start="0" length="0">
      <dxf/>
    </rfmt>
    <rfmt sheetId="2" sqref="FT777" start="0" length="0">
      <dxf/>
    </rfmt>
    <rfmt sheetId="2" sqref="FU777" start="0" length="0">
      <dxf/>
    </rfmt>
    <rfmt sheetId="2" sqref="FV777" start="0" length="0">
      <dxf/>
    </rfmt>
    <rfmt sheetId="2" sqref="FW777" start="0" length="0">
      <dxf/>
    </rfmt>
    <rfmt sheetId="2" sqref="FX777" start="0" length="0">
      <dxf/>
    </rfmt>
    <rfmt sheetId="2" sqref="FY777" start="0" length="0">
      <dxf/>
    </rfmt>
    <rfmt sheetId="2" sqref="FZ777" start="0" length="0">
      <dxf/>
    </rfmt>
    <rfmt sheetId="2" sqref="GA777" start="0" length="0">
      <dxf/>
    </rfmt>
    <rfmt sheetId="2" sqref="GB777" start="0" length="0">
      <dxf/>
    </rfmt>
    <rfmt sheetId="2" sqref="GC777" start="0" length="0">
      <dxf/>
    </rfmt>
    <rfmt sheetId="2" sqref="GD777" start="0" length="0">
      <dxf/>
    </rfmt>
    <rfmt sheetId="2" sqref="GE777" start="0" length="0">
      <dxf/>
    </rfmt>
    <rfmt sheetId="2" sqref="GF777" start="0" length="0">
      <dxf/>
    </rfmt>
    <rfmt sheetId="2" sqref="GG777" start="0" length="0">
      <dxf/>
    </rfmt>
    <rfmt sheetId="2" sqref="GH777" start="0" length="0">
      <dxf/>
    </rfmt>
    <rfmt sheetId="2" sqref="GI777" start="0" length="0">
      <dxf/>
    </rfmt>
    <rfmt sheetId="2" sqref="GJ777" start="0" length="0">
      <dxf/>
    </rfmt>
    <rfmt sheetId="2" sqref="GK777" start="0" length="0">
      <dxf/>
    </rfmt>
    <rfmt sheetId="2" sqref="GL777" start="0" length="0">
      <dxf/>
    </rfmt>
    <rfmt sheetId="2" sqref="GM777" start="0" length="0">
      <dxf/>
    </rfmt>
    <rfmt sheetId="2" sqref="GN777" start="0" length="0">
      <dxf/>
    </rfmt>
    <rfmt sheetId="2" sqref="GO777" start="0" length="0">
      <dxf/>
    </rfmt>
    <rfmt sheetId="2" sqref="GP777" start="0" length="0">
      <dxf/>
    </rfmt>
    <rfmt sheetId="2" sqref="GQ777" start="0" length="0">
      <dxf/>
    </rfmt>
    <rfmt sheetId="2" sqref="GR777" start="0" length="0">
      <dxf/>
    </rfmt>
    <rfmt sheetId="2" sqref="GS777" start="0" length="0">
      <dxf/>
    </rfmt>
    <rfmt sheetId="2" sqref="GT777" start="0" length="0">
      <dxf/>
    </rfmt>
    <rfmt sheetId="2" sqref="GU777" start="0" length="0">
      <dxf/>
    </rfmt>
    <rfmt sheetId="2" sqref="GV777" start="0" length="0">
      <dxf/>
    </rfmt>
    <rfmt sheetId="2" sqref="GW777" start="0" length="0">
      <dxf/>
    </rfmt>
    <rfmt sheetId="2" sqref="GX777" start="0" length="0">
      <dxf/>
    </rfmt>
    <rfmt sheetId="2" sqref="GY777" start="0" length="0">
      <dxf/>
    </rfmt>
    <rfmt sheetId="2" sqref="GZ777" start="0" length="0">
      <dxf/>
    </rfmt>
    <rfmt sheetId="2" sqref="HA777" start="0" length="0">
      <dxf/>
    </rfmt>
    <rfmt sheetId="2" sqref="HB777" start="0" length="0">
      <dxf/>
    </rfmt>
    <rfmt sheetId="2" sqref="HC777" start="0" length="0">
      <dxf/>
    </rfmt>
    <rfmt sheetId="2" sqref="HD777" start="0" length="0">
      <dxf/>
    </rfmt>
    <rfmt sheetId="2" sqref="HE777" start="0" length="0">
      <dxf/>
    </rfmt>
    <rfmt sheetId="2" sqref="HF777" start="0" length="0">
      <dxf/>
    </rfmt>
    <rfmt sheetId="2" sqref="HG777" start="0" length="0">
      <dxf/>
    </rfmt>
    <rfmt sheetId="2" sqref="HH777" start="0" length="0">
      <dxf/>
    </rfmt>
    <rfmt sheetId="2" sqref="HI777" start="0" length="0">
      <dxf/>
    </rfmt>
    <rfmt sheetId="2" sqref="HJ777" start="0" length="0">
      <dxf/>
    </rfmt>
    <rfmt sheetId="2" sqref="HK777" start="0" length="0">
      <dxf/>
    </rfmt>
    <rfmt sheetId="2" sqref="HL777" start="0" length="0">
      <dxf/>
    </rfmt>
    <rfmt sheetId="2" sqref="HM777" start="0" length="0">
      <dxf/>
    </rfmt>
    <rfmt sheetId="2" sqref="HN777" start="0" length="0">
      <dxf/>
    </rfmt>
    <rfmt sheetId="2" sqref="HO777" start="0" length="0">
      <dxf/>
    </rfmt>
    <rfmt sheetId="2" sqref="HP777" start="0" length="0">
      <dxf/>
    </rfmt>
    <rfmt sheetId="2" sqref="HQ777" start="0" length="0">
      <dxf/>
    </rfmt>
    <rfmt sheetId="2" sqref="HR777" start="0" length="0">
      <dxf/>
    </rfmt>
    <rfmt sheetId="2" sqref="HS777" start="0" length="0">
      <dxf/>
    </rfmt>
    <rfmt sheetId="2" sqref="HT777" start="0" length="0">
      <dxf/>
    </rfmt>
    <rfmt sheetId="2" sqref="HU777" start="0" length="0">
      <dxf/>
    </rfmt>
    <rfmt sheetId="2" sqref="HV777" start="0" length="0">
      <dxf/>
    </rfmt>
    <rfmt sheetId="2" sqref="HW777" start="0" length="0">
      <dxf/>
    </rfmt>
    <rfmt sheetId="2" sqref="HX777" start="0" length="0">
      <dxf/>
    </rfmt>
    <rfmt sheetId="2" sqref="HY777" start="0" length="0">
      <dxf/>
    </rfmt>
    <rfmt sheetId="2" sqref="HZ777" start="0" length="0">
      <dxf/>
    </rfmt>
    <rfmt sheetId="2" sqref="IA777" start="0" length="0">
      <dxf/>
    </rfmt>
    <rfmt sheetId="2" sqref="IB777" start="0" length="0">
      <dxf/>
    </rfmt>
    <rfmt sheetId="2" sqref="IC777" start="0" length="0">
      <dxf/>
    </rfmt>
    <rfmt sheetId="2" sqref="ID777" start="0" length="0">
      <dxf/>
    </rfmt>
    <rfmt sheetId="2" sqref="IE777" start="0" length="0">
      <dxf/>
    </rfmt>
    <rfmt sheetId="2" sqref="IF777" start="0" length="0">
      <dxf/>
    </rfmt>
    <rfmt sheetId="2" sqref="IG777" start="0" length="0">
      <dxf/>
    </rfmt>
    <rfmt sheetId="2" sqref="IH777" start="0" length="0">
      <dxf/>
    </rfmt>
    <rfmt sheetId="2" sqref="II777" start="0" length="0">
      <dxf/>
    </rfmt>
    <rfmt sheetId="2" sqref="IJ777" start="0" length="0">
      <dxf/>
    </rfmt>
    <rfmt sheetId="2" sqref="IK777" start="0" length="0">
      <dxf/>
    </rfmt>
    <rfmt sheetId="2" sqref="IL777" start="0" length="0">
      <dxf/>
    </rfmt>
    <rfmt sheetId="2" sqref="IM777" start="0" length="0">
      <dxf/>
    </rfmt>
    <rfmt sheetId="2" sqref="IN777" start="0" length="0">
      <dxf/>
    </rfmt>
    <rfmt sheetId="2" sqref="IO777" start="0" length="0">
      <dxf/>
    </rfmt>
    <rfmt sheetId="2" sqref="IP777" start="0" length="0">
      <dxf/>
    </rfmt>
    <rfmt sheetId="2" sqref="IQ777" start="0" length="0">
      <dxf/>
    </rfmt>
    <rfmt sheetId="2" sqref="IR777" start="0" length="0">
      <dxf/>
    </rfmt>
    <rfmt sheetId="2" sqref="IS777" start="0" length="0">
      <dxf/>
    </rfmt>
    <rfmt sheetId="2" sqref="IT777" start="0" length="0">
      <dxf/>
    </rfmt>
    <rfmt sheetId="2" sqref="IU777" start="0" length="0">
      <dxf/>
    </rfmt>
    <rfmt sheetId="2" sqref="IV777" start="0" length="0">
      <dxf/>
    </rfmt>
    <rfmt sheetId="2" sqref="IW777" start="0" length="0">
      <dxf/>
    </rfmt>
    <rfmt sheetId="2" sqref="IX777" start="0" length="0">
      <dxf/>
    </rfmt>
    <rfmt sheetId="2" sqref="IY777" start="0" length="0">
      <dxf/>
    </rfmt>
    <rfmt sheetId="2" sqref="IZ777" start="0" length="0">
      <dxf/>
    </rfmt>
    <rfmt sheetId="2" sqref="JA777" start="0" length="0">
      <dxf/>
    </rfmt>
    <rfmt sheetId="2" sqref="JB777" start="0" length="0">
      <dxf/>
    </rfmt>
    <rfmt sheetId="2" sqref="JC777" start="0" length="0">
      <dxf/>
    </rfmt>
    <rfmt sheetId="2" sqref="JD777" start="0" length="0">
      <dxf/>
    </rfmt>
    <rfmt sheetId="2" sqref="JE777" start="0" length="0">
      <dxf/>
    </rfmt>
    <rfmt sheetId="2" sqref="JF777" start="0" length="0">
      <dxf/>
    </rfmt>
    <rfmt sheetId="2" sqref="JG777" start="0" length="0">
      <dxf/>
    </rfmt>
    <rfmt sheetId="2" sqref="JH777" start="0" length="0">
      <dxf/>
    </rfmt>
    <rfmt sheetId="2" sqref="JI777" start="0" length="0">
      <dxf/>
    </rfmt>
    <rfmt sheetId="2" sqref="JJ777" start="0" length="0">
      <dxf/>
    </rfmt>
    <rfmt sheetId="2" sqref="JK777" start="0" length="0">
      <dxf/>
    </rfmt>
    <rfmt sheetId="2" sqref="JL777" start="0" length="0">
      <dxf/>
    </rfmt>
    <rfmt sheetId="2" sqref="JM777" start="0" length="0">
      <dxf/>
    </rfmt>
    <rfmt sheetId="2" sqref="JN777" start="0" length="0">
      <dxf/>
    </rfmt>
    <rfmt sheetId="2" sqref="JO777" start="0" length="0">
      <dxf/>
    </rfmt>
    <rfmt sheetId="2" sqref="JP777" start="0" length="0">
      <dxf/>
    </rfmt>
    <rfmt sheetId="2" sqref="JQ777" start="0" length="0">
      <dxf/>
    </rfmt>
    <rfmt sheetId="2" sqref="JR777" start="0" length="0">
      <dxf/>
    </rfmt>
    <rfmt sheetId="2" sqref="JS777" start="0" length="0">
      <dxf/>
    </rfmt>
    <rfmt sheetId="2" sqref="JT777" start="0" length="0">
      <dxf/>
    </rfmt>
    <rfmt sheetId="2" sqref="JU777" start="0" length="0">
      <dxf/>
    </rfmt>
    <rfmt sheetId="2" sqref="JV777" start="0" length="0">
      <dxf/>
    </rfmt>
    <rfmt sheetId="2" sqref="JW777" start="0" length="0">
      <dxf/>
    </rfmt>
    <rfmt sheetId="2" sqref="JX777" start="0" length="0">
      <dxf/>
    </rfmt>
    <rfmt sheetId="2" sqref="JY777" start="0" length="0">
      <dxf/>
    </rfmt>
    <rfmt sheetId="2" sqref="JZ777" start="0" length="0">
      <dxf/>
    </rfmt>
    <rfmt sheetId="2" sqref="KA777" start="0" length="0">
      <dxf/>
    </rfmt>
    <rfmt sheetId="2" sqref="KB777" start="0" length="0">
      <dxf/>
    </rfmt>
    <rfmt sheetId="2" sqref="KC777" start="0" length="0">
      <dxf/>
    </rfmt>
    <rfmt sheetId="2" sqref="KD777" start="0" length="0">
      <dxf/>
    </rfmt>
    <rfmt sheetId="2" sqref="KE777" start="0" length="0">
      <dxf/>
    </rfmt>
    <rfmt sheetId="2" sqref="KF777" start="0" length="0">
      <dxf/>
    </rfmt>
    <rfmt sheetId="2" sqref="KG777" start="0" length="0">
      <dxf/>
    </rfmt>
    <rfmt sheetId="2" sqref="KH777" start="0" length="0">
      <dxf/>
    </rfmt>
    <rfmt sheetId="2" sqref="KI777" start="0" length="0">
      <dxf/>
    </rfmt>
    <rfmt sheetId="2" sqref="KJ777" start="0" length="0">
      <dxf/>
    </rfmt>
    <rfmt sheetId="2" sqref="KK777" start="0" length="0">
      <dxf/>
    </rfmt>
    <rfmt sheetId="2" sqref="KL777" start="0" length="0">
      <dxf/>
    </rfmt>
    <rfmt sheetId="2" sqref="KM777" start="0" length="0">
      <dxf/>
    </rfmt>
    <rfmt sheetId="2" sqref="KN777" start="0" length="0">
      <dxf/>
    </rfmt>
    <rfmt sheetId="2" sqref="KO777" start="0" length="0">
      <dxf/>
    </rfmt>
    <rfmt sheetId="2" sqref="KP777" start="0" length="0">
      <dxf/>
    </rfmt>
    <rfmt sheetId="2" sqref="KQ777" start="0" length="0">
      <dxf/>
    </rfmt>
    <rfmt sheetId="2" sqref="KR777" start="0" length="0">
      <dxf/>
    </rfmt>
    <rfmt sheetId="2" sqref="KS777" start="0" length="0">
      <dxf/>
    </rfmt>
    <rfmt sheetId="2" sqref="KT777" start="0" length="0">
      <dxf/>
    </rfmt>
    <rfmt sheetId="2" sqref="KU777" start="0" length="0">
      <dxf/>
    </rfmt>
    <rfmt sheetId="2" sqref="KV777" start="0" length="0">
      <dxf/>
    </rfmt>
    <rfmt sheetId="2" sqref="KW777" start="0" length="0">
      <dxf/>
    </rfmt>
    <rfmt sheetId="2" sqref="KX777" start="0" length="0">
      <dxf/>
    </rfmt>
    <rfmt sheetId="2" sqref="KY777" start="0" length="0">
      <dxf/>
    </rfmt>
    <rfmt sheetId="2" sqref="KZ777" start="0" length="0">
      <dxf/>
    </rfmt>
    <rfmt sheetId="2" sqref="LA777" start="0" length="0">
      <dxf/>
    </rfmt>
    <rfmt sheetId="2" sqref="LB777" start="0" length="0">
      <dxf/>
    </rfmt>
    <rfmt sheetId="2" sqref="LC777" start="0" length="0">
      <dxf/>
    </rfmt>
    <rfmt sheetId="2" sqref="LD777" start="0" length="0">
      <dxf/>
    </rfmt>
    <rfmt sheetId="2" sqref="LE777" start="0" length="0">
      <dxf/>
    </rfmt>
    <rfmt sheetId="2" sqref="LF777" start="0" length="0">
      <dxf/>
    </rfmt>
    <rfmt sheetId="2" sqref="LG777" start="0" length="0">
      <dxf/>
    </rfmt>
    <rfmt sheetId="2" sqref="LH777" start="0" length="0">
      <dxf/>
    </rfmt>
    <rfmt sheetId="2" sqref="LI777" start="0" length="0">
      <dxf/>
    </rfmt>
    <rfmt sheetId="2" sqref="LJ777" start="0" length="0">
      <dxf/>
    </rfmt>
    <rfmt sheetId="2" sqref="LK777" start="0" length="0">
      <dxf/>
    </rfmt>
    <rfmt sheetId="2" sqref="LL777" start="0" length="0">
      <dxf/>
    </rfmt>
    <rfmt sheetId="2" sqref="LM777" start="0" length="0">
      <dxf/>
    </rfmt>
    <rfmt sheetId="2" sqref="LN777" start="0" length="0">
      <dxf/>
    </rfmt>
    <rfmt sheetId="2" sqref="LO777" start="0" length="0">
      <dxf/>
    </rfmt>
    <rfmt sheetId="2" sqref="LP777" start="0" length="0">
      <dxf/>
    </rfmt>
    <rfmt sheetId="2" sqref="LQ777" start="0" length="0">
      <dxf/>
    </rfmt>
    <rfmt sheetId="2" sqref="LR777" start="0" length="0">
      <dxf/>
    </rfmt>
    <rfmt sheetId="2" sqref="LS777" start="0" length="0">
      <dxf/>
    </rfmt>
    <rfmt sheetId="2" sqref="LT777" start="0" length="0">
      <dxf/>
    </rfmt>
    <rfmt sheetId="2" sqref="LU777" start="0" length="0">
      <dxf/>
    </rfmt>
    <rfmt sheetId="2" sqref="LV777" start="0" length="0">
      <dxf/>
    </rfmt>
    <rfmt sheetId="2" sqref="LW777" start="0" length="0">
      <dxf/>
    </rfmt>
    <rfmt sheetId="2" sqref="LX777" start="0" length="0">
      <dxf/>
    </rfmt>
    <rfmt sheetId="2" sqref="LY777" start="0" length="0">
      <dxf/>
    </rfmt>
    <rfmt sheetId="2" sqref="LZ777" start="0" length="0">
      <dxf/>
    </rfmt>
    <rfmt sheetId="2" sqref="MA777" start="0" length="0">
      <dxf/>
    </rfmt>
    <rfmt sheetId="2" sqref="MB777" start="0" length="0">
      <dxf/>
    </rfmt>
  </rr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D746" start="0" length="0">
    <dxf>
      <fill>
        <patternFill>
          <bgColor theme="8" tint="0.59999389629810485"/>
        </patternFill>
      </fill>
    </dxf>
  </rfmt>
  <rfmt sheetId="2" sqref="D746" start="0" length="0">
    <dxf>
      <fill>
        <patternFill>
          <bgColor theme="6" tint="0.59999389629810485"/>
        </patternFill>
      </fill>
    </dxf>
  </rfmt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50" sId="2" numFmtId="34">
    <nc r="I727">
      <v>4370</v>
    </nc>
  </rcc>
  <rcc rId="1751" sId="2" numFmtId="34">
    <nc r="J727">
      <v>4360</v>
    </nc>
  </rcc>
  <rcc rId="1752" sId="2">
    <oc r="K727">
      <f>J727/0.786</f>
    </oc>
    <nc r="K727">
      <f>J727/0.786+1</f>
    </nc>
  </rcc>
  <rcc rId="1753" sId="2" numFmtId="34">
    <nc r="I729">
      <v>4210</v>
    </nc>
  </rcc>
  <rcc rId="1754" sId="2" numFmtId="34">
    <nc r="J729">
      <v>4250</v>
    </nc>
  </rcc>
  <rcc rId="1755" sId="2">
    <oc r="K729">
      <f>J729/0.786</f>
    </oc>
    <nc r="K729">
      <f>J729/0.786+1</f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'IPAHQ(TANK)-南科'!$A$2:$S$190</formula>
    <oldFormula>'IPAHQ(TANK)-南科'!$A$2:$S$190</oldFormula>
  </rdn>
  <rcv guid="{8578D927-8BDE-4C99-A2DB-3E44DFA36FF2}" action="add"/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68" sId="2">
    <oc r="C745" t="inlineStr">
      <is>
        <t>26906E3021</t>
        <phoneticPr fontId="30435" type="noConversion"/>
      </is>
    </oc>
    <nc r="C745" t="inlineStr">
      <is>
        <t>26906E3021</t>
        <phoneticPr fontId="30435" type="noConversion"/>
      </is>
    </nc>
  </rcc>
  <rcc rId="1769" sId="2">
    <nc r="C746" t="inlineStr">
      <is>
        <t>26907E3171</t>
        <phoneticPr fontId="30435" type="noConversion"/>
      </is>
    </nc>
  </rcc>
  <rcc rId="1770" sId="2">
    <nc r="D746">
      <f>IF($C746="", "", MID($C746, 6, IF(MID($C746, LEN($C746)-1, 1)="J", 3, 4)))</f>
    </nc>
  </rcc>
  <rcc rId="1771" sId="2">
    <nc r="O746">
      <f>IF($C746="","",DATE(2000+LEFT($C746,2), HEX2DEC(MID($C746,3,1)), MID($C746,4,2)))</f>
    </nc>
  </rcc>
  <rcc rId="1772" sId="2">
    <nc r="P746">
      <f>DATE(YEAR(O746)+1,MONTH(O746),DAY(O746))-1</f>
    </nc>
  </rcc>
  <rcc rId="1773" sId="2">
    <nc r="C747" t="inlineStr">
      <is>
        <t>26907E3061</t>
        <phoneticPr fontId="30435" type="noConversion"/>
      </is>
    </nc>
  </rcc>
  <rcc rId="1774" sId="2">
    <nc r="D747">
      <f>IF($C747="", "", MID($C747, 6, IF(MID($C747, LEN($C747)-1, 1)="J", 3, 4)))</f>
    </nc>
  </rcc>
  <rcc rId="1775" sId="2">
    <nc r="O747">
      <f>IF($C747="","",DATE(2000+LEFT($C747,2), HEX2DEC(MID($C747,3,1)), MID($C747,4,2)))</f>
    </nc>
  </rcc>
  <rcc rId="1776" sId="2">
    <nc r="P747">
      <f>DATE(YEAR(O747)+1,MONTH(O747),DAY(O747))-1</f>
    </nc>
  </rcc>
  <rcc rId="1777" sId="2">
    <nc r="C748" t="inlineStr">
      <is>
        <t>26907E3191</t>
        <phoneticPr fontId="30435" type="noConversion"/>
      </is>
    </nc>
  </rcc>
  <rcc rId="1778" sId="2">
    <nc r="D748">
      <f>IF($C748="", "", MID($C748, 6, IF(MID($C748, LEN($C748)-1, 1)="J", 3, 4)))</f>
    </nc>
  </rcc>
  <rcc rId="1779" sId="2">
    <nc r="C749" t="inlineStr">
      <is>
        <t>26907E44J1</t>
        <phoneticPr fontId="30435" type="noConversion"/>
      </is>
    </nc>
  </rcc>
  <rcc rId="1780" sId="2">
    <nc r="D749">
      <f>IF($C749="", "", MID($C749, 6, IF(MID($C749, LEN($C749)-1, 1)="J", 3, 4)))</f>
    </nc>
  </rcc>
  <rcc rId="1781" sId="2">
    <nc r="O749">
      <f>IF($C749="","",DATE(2000+LEFT($C749,2), HEX2DEC(MID($C749,3,1)), MID($C749,4,2)))</f>
    </nc>
  </rcc>
  <rcc rId="1782" sId="2">
    <nc r="P749">
      <f>DATE(YEAR(O749)+1,MONTH(O749),DAY(O749))-1</f>
    </nc>
  </rcc>
  <rcc rId="1783" sId="4">
    <nc r="C164" t="inlineStr">
      <is>
        <t>26907E3071</t>
        <phoneticPr fontId="30435" type="noConversion"/>
      </is>
    </nc>
  </rcc>
  <rcc rId="1784" sId="4" odxf="1" dxf="1" numFmtId="25">
    <nc r="N164">
      <v>0</v>
    </nc>
    <odxf>
      <numFmt numFmtId="0" formatCode="General"/>
    </odxf>
    <ndxf>
      <numFmt numFmtId="25" formatCode="hh:mm"/>
    </ndxf>
  </rcc>
  <rcc rId="1785" sId="2" numFmtId="25">
    <nc r="N746">
      <v>0</v>
    </nc>
  </rcc>
  <rcc rId="1786" sId="2" numFmtId="25">
    <nc r="N747">
      <v>0.625</v>
    </nc>
  </rcc>
  <rcc rId="1787" sId="2" odxf="1" dxf="1" numFmtId="25">
    <nc r="N748">
      <v>0.25</v>
    </nc>
    <odxf>
      <numFmt numFmtId="0" formatCode="General"/>
    </odxf>
    <ndxf>
      <numFmt numFmtId="25" formatCode="hh:mm"/>
    </ndxf>
  </rcc>
  <rcc rId="1788" sId="2" odxf="1" dxf="1" numFmtId="25">
    <nc r="N749">
      <v>0.66666666666666663</v>
    </nc>
    <odxf>
      <numFmt numFmtId="0" formatCode="General"/>
    </odxf>
    <ndxf>
      <numFmt numFmtId="25" formatCode="hh:mm"/>
    </ndxf>
  </rcc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89" sId="2">
    <oc r="G749" t="inlineStr">
      <is>
        <t>4800384805/300</t>
        <phoneticPr fontId="30435" type="noConversion"/>
      </is>
    </oc>
    <nc r="G749" t="inlineStr">
      <is>
        <t>4800384805/300</t>
        <phoneticPr fontId="30435" type="noConversion"/>
      </is>
    </nc>
  </rcc>
  <rcc rId="1790" sId="2">
    <oc r="C747" t="inlineStr">
      <is>
        <t>26907E3061</t>
        <phoneticPr fontId="30435" type="noConversion"/>
      </is>
    </oc>
    <nc r="C747" t="inlineStr">
      <is>
        <t>26907E3061</t>
        <phoneticPr fontId="30435" type="noConversion"/>
      </is>
    </nc>
  </rcc>
  <rcc rId="1791" sId="2">
    <oc r="C748" t="inlineStr">
      <is>
        <t>26907E3191</t>
        <phoneticPr fontId="30435" type="noConversion"/>
      </is>
    </oc>
    <nc r="C748" t="inlineStr">
      <is>
        <t>26907E3191</t>
        <phoneticPr fontId="30435" type="noConversion"/>
      </is>
    </nc>
  </rcc>
  <rcc rId="1792" sId="2">
    <oc r="C749" t="inlineStr">
      <is>
        <t>26907E44J1</t>
        <phoneticPr fontId="30435" type="noConversion"/>
      </is>
    </oc>
    <nc r="C749" t="inlineStr">
      <is>
        <t>26907E44J1</t>
        <phoneticPr fontId="30435" type="noConversion"/>
      </is>
    </nc>
  </rcc>
  <rcc rId="1793" sId="4">
    <oc r="C164" t="inlineStr">
      <is>
        <t>26907E3071</t>
        <phoneticPr fontId="30435" type="noConversion"/>
      </is>
    </oc>
    <nc r="C164" t="inlineStr">
      <is>
        <t>26907E3071</t>
        <phoneticPr fontId="30435" type="noConversion"/>
      </is>
    </nc>
  </rcc>
  <rcc rId="1794" sId="4">
    <oc r="G164" t="inlineStr">
      <is>
        <t>4800388490/100</t>
        <phoneticPr fontId="30435" type="noConversion"/>
      </is>
    </oc>
    <nc r="G164" t="inlineStr">
      <is>
        <t>4800388490/100</t>
        <phoneticPr fontId="30435" type="noConversion"/>
      </is>
    </nc>
  </rcc>
  <rcc rId="1795" sId="2">
    <oc r="G746" t="inlineStr">
      <is>
        <t>4800384805/400</t>
        <phoneticPr fontId="30435" type="noConversion"/>
      </is>
    </oc>
    <nc r="G746" t="inlineStr">
      <is>
        <t>4800384805/400</t>
        <phoneticPr fontId="30435" type="noConversion"/>
      </is>
    </nc>
  </rcc>
  <rcc rId="1796" sId="2">
    <oc r="F746">
      <v>20260907005</v>
    </oc>
    <nc r="F746" t="inlineStr">
      <is>
        <t>20260907005-1</t>
        <phoneticPr fontId="30435" type="noConversion"/>
      </is>
    </nc>
  </rcc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7" sId="2">
    <oc r="G747" t="inlineStr">
      <is>
        <t>4800384805/400</t>
        <phoneticPr fontId="30435" type="noConversion"/>
      </is>
    </oc>
    <nc r="G747" t="inlineStr">
      <is>
        <t>4800384805/400</t>
        <phoneticPr fontId="30435" type="noConversion"/>
      </is>
    </nc>
  </rcc>
  <rcc rId="1798" sId="2">
    <oc r="F747">
      <v>20260907006</v>
    </oc>
    <nc r="F747" t="inlineStr">
      <is>
        <t>20260907006-1</t>
        <phoneticPr fontId="30435" type="noConversion"/>
      </is>
    </nc>
  </rcc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799" sId="2">
    <oc r="G748" t="inlineStr">
      <is>
        <t>4800384805/300</t>
        <phoneticPr fontId="30435" type="noConversion"/>
      </is>
    </oc>
    <nc r="G748" t="inlineStr">
      <is>
        <t>4800384805/300</t>
        <phoneticPr fontId="30435" type="noConversion"/>
      </is>
    </nc>
  </rcc>
  <rcc rId="1800" sId="2">
    <oc r="C748" t="inlineStr">
      <is>
        <t>26907E3191</t>
        <phoneticPr fontId="30435" type="noConversion"/>
      </is>
    </oc>
    <nc r="C748" t="inlineStr">
      <is>
        <t>26907E3191</t>
        <phoneticPr fontId="30435" type="noConversion"/>
      </is>
    </nc>
  </rcc>
  <rcc rId="1801" sId="2">
    <oc r="G749" t="inlineStr">
      <is>
        <t>4800384805/300</t>
        <phoneticPr fontId="30435" type="noConversion"/>
      </is>
    </oc>
    <nc r="G749" t="inlineStr">
      <is>
        <t>4800384805/300</t>
        <phoneticPr fontId="30435" type="noConversion"/>
      </is>
    </nc>
  </rcc>
  <rcc rId="1802" sId="2">
    <oc r="F746" t="inlineStr">
      <is>
        <t>20260907005-1</t>
        <phoneticPr fontId="30435" type="noConversion"/>
      </is>
    </oc>
    <nc r="F746" t="inlineStr">
      <is>
        <t>20260907005-1</t>
        <phoneticPr fontId="30435" type="noConversion"/>
      </is>
    </nc>
  </rcc>
  <rrc rId="1803" sId="4" ref="A165:XFD165" action="insertRow">
    <undo index="0" exp="area" ref3D="1" dr="$A$1:$A$1048576" dn="Z_F607B316_DD6D_4909_B40C_8E7F3D6FB597_.wvu.Cols" sId="4"/>
    <undo index="0" exp="area" ref3D="1" dr="$A$1:$A$1048576" dn="Z_F261CC3E_BBAF_4421_92E0_E43167440BFB_.wvu.Cols" sId="4"/>
    <undo index="0" exp="area" ref3D="1" dr="$A$1:$A$1048576" dn="Z_5AFECFD9_E8A5_469F_BA7F_E625784BB00E_.wvu.Cols" sId="4"/>
    <undo index="0" exp="area" ref3D="1" dr="$A$1:$A$1048576" dn="Z_8578D927_8BDE_4C99_A2DB_3E44DFA36FF2_.wvu.Cols" sId="4"/>
  </rrc>
  <rfmt sheetId="4" sqref="B165:N165">
    <dxf>
      <fill>
        <patternFill>
          <bgColor theme="6" tint="0.39997558519241921"/>
        </patternFill>
      </fill>
    </dxf>
  </rfmt>
  <rfmt sheetId="4" sqref="B165:N165">
    <dxf>
      <fill>
        <patternFill>
          <bgColor theme="3" tint="0.79998168889431442"/>
        </patternFill>
      </fill>
    </dxf>
  </rfmt>
  <rcc rId="1804" sId="4" numFmtId="19">
    <nc r="B165">
      <v>46274</v>
    </nc>
  </rcc>
  <rcc rId="1805" sId="4">
    <nc r="E165" t="inlineStr">
      <is>
        <t>18P8A</t>
        <phoneticPr fontId="111" type="noConversion"/>
      </is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6" sId="2">
    <oc r="L333" t="inlineStr">
      <is>
        <t>FREE SAMPLE</t>
        <phoneticPr fontId="30435" type="noConversion"/>
      </is>
    </oc>
    <nc r="L333" t="inlineStr">
      <is>
        <t>FREE SAMPLE</t>
        <phoneticPr fontId="30435" type="noConversion"/>
      </is>
    </nc>
  </rcc>
  <rcc rId="1807" sId="4">
    <oc r="L160" t="inlineStr">
      <is>
        <t>L1 Pirun</t>
        <phoneticPr fontId="2" type="noConversion"/>
      </is>
    </oc>
    <nc r="L160" t="inlineStr">
      <is>
        <r>
          <rPr>
            <sz val="10"/>
            <color rgb="FFFF0000"/>
            <rFont val="Arial"/>
            <family val="2"/>
          </rPr>
          <t>L1</t>
        </r>
        <r>
          <rPr>
            <sz val="10"/>
            <color theme="1"/>
            <rFont val="Arial"/>
            <family val="2"/>
          </rPr>
          <t xml:space="preserve"> FREE SAMPLE</t>
        </r>
        <phoneticPr fontId="2" type="noConversion"/>
      </is>
    </nc>
  </rcc>
  <rcmt sheetId="4" cell="L160" guid="{899DA093-E20A-4611-A562-4803B53BA4DC}" author="C600-PC" oldLength="30" newLength="11"/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08" sId="2">
    <oc r="C747" t="inlineStr">
      <is>
        <t>26907E3061</t>
        <phoneticPr fontId="30435" type="noConversion"/>
      </is>
    </oc>
    <nc r="C747" t="inlineStr">
      <is>
        <t>26907E3061</t>
        <phoneticPr fontId="30435" type="noConversion"/>
      </is>
    </nc>
  </rcc>
  <rcc rId="1809" sId="2">
    <oc r="C748" t="inlineStr">
      <is>
        <t>26907E3191</t>
        <phoneticPr fontId="30435" type="noConversion"/>
      </is>
    </oc>
    <nc r="C748" t="inlineStr">
      <is>
        <t>26907E3191</t>
        <phoneticPr fontId="30435" type="noConversion"/>
      </is>
    </nc>
  </rcc>
  <rcc rId="1810" sId="4">
    <nc r="D165">
      <f>IF($C165="", "", MID($C165, 6, IF(MID($C165, LEN($C165)-1, 1)="J", 3, 4)))</f>
    </nc>
  </rcc>
  <rcc rId="1811" sId="4">
    <nc r="O165">
      <f>IF($C165="","",DATE(2000+LEFT($C165,2), HEX2DEC(MID($C165,3,1)), MID($C165,4,2)))</f>
    </nc>
  </rcc>
  <rcc rId="1812" sId="4">
    <nc r="P165">
      <f>DATE(YEAR(O165)+1,MONTH(O165),DAY(O165))-1</f>
    </nc>
  </rcc>
  <rcc rId="1813" sId="4">
    <nc r="C165" t="inlineStr">
      <is>
        <t>26906E3111</t>
        <phoneticPr fontId="30435" type="noConversion"/>
      </is>
    </nc>
  </rcc>
  <rcc rId="1814" sId="2">
    <oc r="C749" t="inlineStr">
      <is>
        <t>26907E44J1</t>
        <phoneticPr fontId="30435" type="noConversion"/>
      </is>
    </oc>
    <nc r="C749" t="inlineStr">
      <is>
        <t>26907E44J1</t>
        <phoneticPr fontId="30435" type="noConversion"/>
      </is>
    </nc>
  </rcc>
  <rcc rId="1815" sId="4">
    <oc r="C164" t="inlineStr">
      <is>
        <t>26907E3071</t>
        <phoneticPr fontId="30435" type="noConversion"/>
      </is>
    </oc>
    <nc r="C164" t="inlineStr">
      <is>
        <t>26907E3071</t>
        <phoneticPr fontId="30435" type="noConversion"/>
      </is>
    </nc>
  </rcc>
  <rcc rId="1816" sId="4">
    <nc r="G165" t="inlineStr">
      <is>
        <t>4800388739/200</t>
        <phoneticPr fontId="30435" type="noConversion"/>
      </is>
    </nc>
  </rcc>
  <rcc rId="1817" sId="4">
    <nc r="H165">
      <f>24000-K165</f>
    </nc>
  </rcc>
  <rfmt sheetId="4" sqref="K165" start="0" length="0">
    <dxf>
      <fill>
        <patternFill>
          <bgColor theme="9" tint="0.59999389629810485"/>
        </patternFill>
      </fill>
    </dxf>
  </rfmt>
  <rcc rId="1818" sId="4">
    <nc r="K165">
      <f>J165/0.786</f>
    </nc>
  </rcc>
  <rfmt sheetId="4" sqref="K165">
    <dxf>
      <fill>
        <patternFill>
          <bgColor theme="3" tint="0.79998168889431442"/>
        </patternFill>
      </fill>
    </dxf>
  </rfmt>
  <rcc rId="1819" sId="4" numFmtId="25">
    <nc r="N165">
      <v>0.41666666666666669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20" sId="4">
    <nc r="F165">
      <v>20260908002</v>
    </nc>
  </rcc>
  <rfmt sheetId="4" sqref="L165" start="0" length="0">
    <dxf>
      <font>
        <sz val="10"/>
        <name val="細明體"/>
        <scheme val="none"/>
      </font>
    </dxf>
  </rfmt>
  <rfmt sheetId="4" sqref="L165" start="0" length="2147483647">
    <dxf>
      <font>
        <color rgb="FFFF0000"/>
      </font>
    </dxf>
  </rfmt>
  <rcc rId="1821" sId="4">
    <nc r="L165" t="inlineStr">
      <is>
        <t>新槽車pi-run</t>
        <phoneticPr fontId="111" type="noConversion"/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L160" start="0" length="2147483647">
    <dxf>
      <font>
        <color rgb="FFFF0000"/>
      </font>
    </dxf>
  </rfmt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'IPAHQ(TANK)-中科'!$A$2:$S$906</formula>
    <oldFormula>'IPAHQ(TANK)-中科'!$A$2:$S$906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'IPAHQ(TANK)-南科'!$A$2:$S$191</formula>
    <oldFormula>'IPAHQ(TANK)-南科'!$A$2:$S$191</oldFormula>
  </rdn>
  <rcv guid="{F261CC3E-BBAF-4421-92E0-E43167440BFB}" action="add"/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N166:N189">
    <dxf>
      <numFmt numFmtId="181" formatCode="h:mm;@"/>
    </dxf>
  </rfmt>
  <rfmt sheetId="4" sqref="N166:N191">
    <dxf>
      <numFmt numFmtId="25" formatCode="hh:mm"/>
    </dxf>
  </rfmt>
  <rfmt sheetId="3" sqref="N3:N30">
    <dxf>
      <numFmt numFmtId="25" formatCode="hh:mm"/>
    </dxf>
  </rfmt>
  <rfmt sheetId="2" sqref="N750:N902">
    <dxf>
      <numFmt numFmtId="25" formatCode="hh:mm"/>
    </dxf>
  </rfmt>
  <rfmt sheetId="1" sqref="N19:N146">
    <dxf>
      <numFmt numFmtId="25" formatCode="hh:mm"/>
    </dxf>
  </rfmt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4" sId="4">
    <oc r="G165" t="inlineStr">
      <is>
        <t>4800388739/200</t>
        <phoneticPr fontId="30435" type="noConversion"/>
      </is>
    </oc>
    <nc r="G165" t="inlineStr">
      <is>
        <t>4800388739/200</t>
        <phoneticPr fontId="30435" type="noConversion"/>
      </is>
    </nc>
  </rcc>
  <rcc rId="1835" sId="4">
    <oc r="C165" t="inlineStr">
      <is>
        <t>26906E3111</t>
        <phoneticPr fontId="30435" type="noConversion"/>
      </is>
    </oc>
    <nc r="C165" t="inlineStr">
      <is>
        <t>26906E3111</t>
        <phoneticPr fontId="30435" type="noConversion"/>
      </is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36" sId="2" numFmtId="34">
    <nc r="I738">
      <v>4180</v>
    </nc>
  </rcc>
  <rcc rId="1837" sId="2" numFmtId="34">
    <nc r="J738">
      <v>4220</v>
    </nc>
  </rcc>
  <rcc rId="1838" sId="2" numFmtId="34">
    <oc r="K738">
      <f>J738/0.786</f>
    </oc>
    <nc r="K738">
      <v>5369</v>
    </nc>
  </rcc>
  <rcc rId="1839" sId="1" numFmtId="34">
    <nc r="I18">
      <v>4520</v>
    </nc>
  </rcc>
  <rcc rId="1840" sId="1" numFmtId="34">
    <nc r="J18">
      <v>4470</v>
    </nc>
  </rcc>
  <rcc rId="1841" sId="1">
    <oc r="H19">
      <f>11348</f>
    </oc>
    <nc r="H19">
      <f>11348-K19</f>
    </nc>
  </rcc>
  <rfmt sheetId="1" s="1" sqref="K1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>
          <bgColor rgb="FFFFFFCC"/>
        </patternFill>
      </fill>
    </dxf>
  </rfmt>
  <rfmt sheetId="1" s="1" sqref="K19" start="0" length="0">
    <dxf>
      <font>
        <sz val="10"/>
        <color theme="1"/>
        <name val="Arial"/>
        <scheme val="none"/>
      </font>
      <numFmt numFmtId="0" formatCode="General"/>
      <fill>
        <patternFill>
          <bgColor theme="6" tint="0.39997558519241921"/>
        </patternFill>
      </fill>
    </dxf>
  </rfmt>
  <rfmt sheetId="1" sqref="K19">
    <dxf>
      <alignment horizontal="right" readingOrder="0"/>
    </dxf>
  </rfmt>
  <rfmt sheetId="1" s="1" sqref="K1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>
          <bgColor rgb="FFFFFFCC"/>
        </patternFill>
      </fill>
      <alignment horizontal="center" readingOrder="0"/>
    </dxf>
  </rfmt>
  <rfmt sheetId="1" sqref="K19">
    <dxf>
      <fill>
        <patternFill>
          <bgColor theme="6" tint="0.59999389629810485"/>
        </patternFill>
      </fill>
    </dxf>
  </rfmt>
  <rfmt sheetId="1" sqref="B19:N19">
    <dxf>
      <fill>
        <patternFill>
          <bgColor theme="6" tint="0.39997558519241921"/>
        </patternFill>
      </fill>
    </dxf>
  </rfmt>
  <rcc rId="1842" sId="1">
    <oc r="H17">
      <f>H16-K17</f>
    </oc>
    <nc r="H17">
      <f>H16-K17</f>
    </nc>
  </rcc>
  <rcc rId="1843" sId="1">
    <oc r="H15">
      <f>H14-K15</f>
    </oc>
    <nc r="H15">
      <f>H14-K15</f>
    </nc>
  </rcc>
  <rcc rId="1844" sId="1">
    <oc r="H16">
      <f>H15-K16</f>
    </oc>
    <nc r="H16">
      <f>H15-K16</f>
    </nc>
  </rcc>
  <rcc rId="1845" sId="1">
    <oc r="H7">
      <f>H6-K7</f>
    </oc>
    <nc r="H7">
      <f>H6-K7</f>
    </nc>
  </rcc>
  <rcc rId="1846" sId="1">
    <oc r="H18">
      <f>H17-K18</f>
    </oc>
    <nc r="H18">
      <f>H17-K18</f>
    </nc>
  </rcc>
  <rcc rId="1847" sId="1">
    <oc r="H8">
      <f>H7-K8</f>
    </oc>
    <nc r="H8">
      <f>H7-K8</f>
    </nc>
  </rcc>
  <rcc rId="1848" sId="1">
    <oc r="F18" t="inlineStr">
      <is>
        <t>20260904003-1</t>
        <phoneticPr fontId="111" type="noConversion"/>
      </is>
    </oc>
    <nc r="F18" t="inlineStr">
      <is>
        <t>20260904003-1</t>
        <phoneticPr fontId="111" type="noConversion"/>
      </is>
    </nc>
  </rcc>
  <rcc rId="1849" sId="1">
    <oc r="G18" t="inlineStr">
      <is>
        <t>4800361959/100</t>
        <phoneticPr fontId="111" type="noConversion"/>
      </is>
    </oc>
    <nc r="G18" t="inlineStr">
      <is>
        <t>4800361959/100</t>
        <phoneticPr fontId="111" type="noConversion"/>
      </is>
    </nc>
  </rcc>
  <rcc rId="1850" sId="1" numFmtId="34">
    <nc r="K18">
      <v>3730</v>
    </nc>
  </rcc>
  <rcc rId="1851" sId="1" numFmtId="34">
    <nc r="K19">
      <v>1958</v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4" sId="1">
    <nc r="F19" t="inlineStr">
      <is>
        <t>20260904003-2</t>
        <phoneticPr fontId="30435" type="noConversion"/>
      </is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5" sId="1" odxf="1" dxf="1">
    <nc r="L18" t="inlineStr">
      <is>
        <t>進位問題</t>
        <phoneticPr fontId="30435" type="noConversion"/>
      </is>
    </nc>
    <odxf>
      <font>
        <sz val="10"/>
        <name val="Arial"/>
        <scheme val="none"/>
      </font>
    </odxf>
    <ndxf>
      <font>
        <sz val="10"/>
        <name val="細明體"/>
        <scheme val="none"/>
      </font>
    </ndxf>
  </rcc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66" sId="1">
    <oc r="F19" t="inlineStr">
      <is>
        <t>20260904003-2</t>
        <phoneticPr fontId="30435" type="noConversion"/>
      </is>
    </oc>
    <nc r="F19" t="inlineStr">
      <is>
        <t>20260904003-2</t>
        <phoneticPr fontId="30435" type="noConversion"/>
      </is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79" sId="4">
    <nc r="I162">
      <v>4230</v>
    </nc>
  </rcc>
  <rcc rId="1880" sId="4">
    <oc r="K162">
      <f>J162/0.786</f>
    </oc>
    <nc r="K162">
      <f>J162/0.786+1</f>
    </nc>
  </rcc>
  <rcc rId="1881" sId="4">
    <nc r="I163">
      <v>4490</v>
    </nc>
  </rcc>
  <rcc rId="1882" sId="4">
    <oc r="K163">
      <f>J163/0.786</f>
    </oc>
    <nc r="K163">
      <f>J163/0.786+1</f>
    </nc>
  </rcc>
  <rcc rId="1883" sId="4" odxf="1" s="1" dxf="1" numFmtId="34">
    <nc r="J162">
      <v>4210</v>
    </nc>
    <ndxf>
      <font>
        <sz val="10"/>
        <color auto="1"/>
        <name val="Arial"/>
        <scheme val="none"/>
      </font>
      <numFmt numFmtId="178" formatCode="_-* #,##0_-;\-* #,##0_-;_-* &quot;-&quot;??_-;_-@_-"/>
    </ndxf>
  </rcc>
  <rcc rId="1884" sId="4" odxf="1" s="1" dxf="1" numFmtId="34">
    <nc r="J163">
      <v>4320</v>
    </nc>
    <ndxf>
      <font>
        <sz val="10"/>
        <color auto="1"/>
        <name val="Arial"/>
        <scheme val="none"/>
      </font>
      <numFmt numFmtId="178" formatCode="_-* #,##0_-;\-* #,##0_-;_-* &quot;-&quot;??_-;_-@_-"/>
    </ndxf>
  </rcc>
  <rfmt sheetId="4" s="1" sqref="J164" start="0" length="0">
    <dxf>
      <font>
        <sz val="10"/>
        <color auto="1"/>
        <name val="Arial"/>
        <scheme val="none"/>
      </font>
      <numFmt numFmtId="178" formatCode="_-* #,##0_-;\-* #,##0_-;_-* &quot;-&quot;??_-;_-@_-"/>
    </dxf>
  </rfmt>
  <rcc rId="1885" sId="2" numFmtId="34">
    <nc r="I728">
      <v>4410</v>
    </nc>
  </rcc>
  <rcc rId="1886" sId="2" numFmtId="34">
    <nc r="J728">
      <v>4370</v>
    </nc>
  </rcc>
  <rcc rId="1887" sId="2" numFmtId="34">
    <nc r="I731">
      <v>4180</v>
    </nc>
  </rcc>
  <rcc rId="1888" sId="2" numFmtId="34">
    <nc r="J731">
      <v>4190</v>
    </nc>
  </rcc>
  <rcc rId="1889" sId="2" numFmtId="34">
    <nc r="I732">
      <v>4390</v>
    </nc>
  </rcc>
  <rcc rId="1890" sId="2" numFmtId="34">
    <nc r="J732">
      <v>4340</v>
    </nc>
  </rcc>
  <rcc rId="1891" sId="2">
    <nc r="K732">
      <f>J732/0.786</f>
    </nc>
  </rcc>
  <rcc rId="1892" sId="2">
    <oc r="H732">
      <f>H728-K732</f>
    </oc>
    <nc r="H732">
      <f>H731-K732</f>
    </nc>
  </rcc>
  <rcc rId="1893" sId="2" numFmtId="34">
    <nc r="I735">
      <v>4370</v>
    </nc>
  </rcc>
  <rcc rId="1894" sId="2" numFmtId="34">
    <nc r="J735">
      <v>4330</v>
    </nc>
  </rcc>
  <rcc rId="1895" sId="2" numFmtId="34">
    <nc r="I739">
      <v>4320</v>
    </nc>
  </rcc>
  <rcc rId="1896" sId="2" numFmtId="34">
    <nc r="J739">
      <v>4370</v>
    </nc>
  </rcc>
  <rcc rId="1897" sId="2" numFmtId="34">
    <nc r="I740">
      <v>4410</v>
    </nc>
  </rcc>
  <rcc rId="1898" sId="2" numFmtId="34">
    <nc r="J740">
      <v>4320</v>
    </nc>
  </rcc>
  <rcc rId="1899" sId="2">
    <oc r="K740">
      <f>J740/0.786</f>
    </oc>
    <nc r="K740">
      <f>J740/0.786+1</f>
    </nc>
  </rcc>
  <rcc rId="1900" sId="2" numFmtId="34">
    <nc r="I730">
      <v>4350</v>
    </nc>
  </rcc>
  <rcc rId="1901" sId="2" numFmtId="34">
    <nc r="J730">
      <v>4340</v>
    </nc>
  </rcc>
  <rcc rId="1902" sId="2" numFmtId="34">
    <nc r="I733">
      <v>4290</v>
    </nc>
  </rcc>
  <rcc rId="1903" sId="2" numFmtId="34">
    <nc r="J733">
      <v>4320</v>
    </nc>
  </rcc>
  <rcc rId="1904" sId="2">
    <oc r="K733">
      <f>J733/0.786</f>
    </oc>
    <nc r="K733">
      <f>J733/0.786+1</f>
    </nc>
  </rcc>
  <rcc rId="1905" sId="2" numFmtId="34">
    <nc r="I734">
      <v>4240</v>
    </nc>
  </rcc>
  <rcc rId="1906" sId="2" numFmtId="34">
    <nc r="J734">
      <v>4260</v>
    </nc>
  </rcc>
  <rcc rId="1907" sId="2" numFmtId="34">
    <nc r="I736">
      <v>4250</v>
    </nc>
  </rcc>
  <rcc rId="1908" sId="2" odxf="1" dxf="1" numFmtId="34">
    <nc r="J736">
      <v>4260</v>
    </nc>
    <ndxf>
      <numFmt numFmtId="178" formatCode="_-* #,##0_-;\-* #,##0_-;_-* &quot;-&quot;??_-;_-@_-"/>
    </ndxf>
  </rcc>
  <rcc rId="1909" sId="2" numFmtId="34">
    <nc r="I737">
      <v>4290</v>
    </nc>
  </rcc>
  <rcc rId="1910" sId="2" numFmtId="34">
    <nc r="J737">
      <v>4200</v>
    </nc>
  </rcc>
  <rcc rId="1911" sId="2" numFmtId="34">
    <nc r="I741">
      <v>4290</v>
    </nc>
  </rcc>
  <rcc rId="1912" sId="2" numFmtId="34">
    <nc r="J741">
      <v>4320</v>
    </nc>
  </rcc>
  <rcc rId="1913" sId="2">
    <oc r="K741">
      <f>J741/0.786</f>
    </oc>
    <nc r="K741">
      <f>J741/0.786+1</f>
    </nc>
  </rcc>
  <rcc rId="1914" sId="2" numFmtId="34">
    <nc r="I742">
      <v>4250</v>
    </nc>
  </rcc>
  <rcc rId="1915" sId="2" numFmtId="34">
    <nc r="J742">
      <v>4210</v>
    </nc>
  </rcc>
  <rcc rId="1916" sId="2">
    <oc r="K742">
      <f>J742/0.786</f>
    </oc>
    <nc r="K742">
      <f>J742/0.786+1</f>
    </nc>
  </rcc>
  <rcc rId="1917" sId="4">
    <nc r="I160">
      <v>4340</v>
    </nc>
  </rcc>
  <rcc rId="1918" sId="4">
    <nc r="J160">
      <v>440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19" sId="4">
    <oc r="G163" t="inlineStr">
      <is>
        <t>4800388490/100</t>
        <phoneticPr fontId="30435" type="noConversion"/>
      </is>
    </oc>
    <nc r="G163" t="inlineStr">
      <is>
        <t>4800388490/100</t>
        <phoneticPr fontId="30435" type="noConversion"/>
      </is>
    </nc>
  </rcc>
  <rcc rId="1920" sId="4">
    <oc r="F163">
      <v>20260903004</v>
    </oc>
    <nc r="F163" t="inlineStr">
      <is>
        <t>20260903004-1</t>
        <phoneticPr fontId="30435" type="noConversion"/>
      </is>
    </nc>
  </rcc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21" sId="2" numFmtId="19">
    <oc r="B750">
      <v>46275</v>
    </oc>
    <nc r="B750">
      <v>46274</v>
    </nc>
  </rcc>
  <rcc rId="1922" sId="2">
    <nc r="C751" t="inlineStr">
      <is>
        <t>26907E3091</t>
        <phoneticPr fontId="29989" type="noConversion"/>
      </is>
    </nc>
  </rcc>
  <rcc rId="1923" sId="2">
    <nc r="C752" t="inlineStr">
      <is>
        <t>26908E29J1</t>
        <phoneticPr fontId="29989" type="noConversion"/>
      </is>
    </nc>
  </rcc>
  <rcc rId="1924" sId="2">
    <nc r="C750" t="inlineStr">
      <is>
        <t>26908E3081</t>
        <phoneticPr fontId="29989" type="noConversion"/>
      </is>
    </nc>
  </rcc>
  <rcc rId="1925" sId="2">
    <nc r="C753" t="inlineStr">
      <is>
        <t>26908E3051</t>
        <phoneticPr fontId="29989" type="noConversion"/>
      </is>
    </nc>
  </rcc>
  <rcc rId="1926" sId="2">
    <nc r="C754" t="inlineStr">
      <is>
        <t>26908E3031</t>
        <phoneticPr fontId="29989" type="noConversion"/>
      </is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39" sId="2">
    <nc r="D753">
      <f>IF($C753="", "", MID($C753, 6, IF(MID($C753, LEN($C753)-1, 1)="J", 3, 4)))</f>
    </nc>
  </rcc>
  <rcc rId="1940" sId="2">
    <nc r="D754">
      <f>IF($C754="", "", MID($C754, 6, IF(MID($C754, LEN($C754)-1, 1)="J", 3, 4)))</f>
    </nc>
  </rcc>
  <rcc rId="1941" sId="2">
    <nc r="D756">
      <f>IF($C756="", "", MID($C756, 6, IF(MID($C756, LEN($C756)-1, 1)="J", 3, 4)))</f>
    </nc>
  </rcc>
  <rcc rId="1942" sId="2">
    <nc r="D757">
      <f>IF($C757="", "", MID($C757, 6, IF(MID($C757, LEN($C757)-1, 1)="J", 3, 4)))</f>
    </nc>
  </rcc>
  <rcc rId="1943" sId="2">
    <nc r="D760">
      <f>IF($C760="", "", MID($C760, 6, IF(MID($C760, LEN($C760)-1, 1)="J", 3, 4)))</f>
    </nc>
  </rcc>
  <rcc rId="1944" sId="2">
    <nc r="D761">
      <f>IF($C761="", "", MID($C761, 6, IF(MID($C761, LEN($C761)-1, 1)="J", 3, 4)))</f>
    </nc>
  </rcc>
  <rcc rId="1945" sId="2">
    <nc r="D763">
      <f>IF($C763="", "", MID($C763, 6, IF(MID($C763, LEN($C763)-1, 1)="J", 3, 4)))</f>
    </nc>
  </rcc>
  <rcc rId="1946" sId="2">
    <nc r="D764">
      <f>IF($C764="", "", MID($C764, 6, IF(MID($C764, LEN($C764)-1, 1)="J", 3, 4)))</f>
    </nc>
  </rcc>
  <rcc rId="1947" sId="2">
    <nc r="D767">
      <f>IF($C767="", "", MID($C767, 6, IF(MID($C767, LEN($C767)-1, 1)="J", 3, 4)))</f>
    </nc>
  </rcc>
  <rcc rId="1948" sId="2">
    <nc r="D768">
      <f>IF($C768="", "", MID($C768, 6, IF(MID($C768, LEN($C768)-1, 1)="J", 3, 4)))</f>
    </nc>
  </rcc>
  <rcc rId="1949" sId="2">
    <nc r="D772">
      <f>IF($C772="", "", MID($C772, 6, IF(MID($C772, LEN($C772)-1, 1)="J", 3, 4)))</f>
    </nc>
  </rcc>
  <rcc rId="1950" sId="2">
    <nc r="D773">
      <f>IF($C773="", "", MID($C773, 6, IF(MID($C773, LEN($C773)-1, 1)="J", 3, 4)))</f>
    </nc>
  </rcc>
  <rcc rId="1951" sId="2">
    <nc r="D776">
      <f>IF($C776="", "", MID($C776, 6, IF(MID($C776, LEN($C776)-1, 1)="J", 3, 4)))</f>
    </nc>
  </rcc>
  <rcc rId="1952" sId="2">
    <nc r="D775">
      <f>IF($C775="", "", MID($C775, 6, IF(MID($C775, LEN($C775)-1, 1)="J", 3, 4)))</f>
    </nc>
  </rcc>
  <rcc rId="1953" sId="2">
    <nc r="D751">
      <f>IF($C751="", "", MID($C751, 6, IF(MID($C751, LEN($C751)-1, 1)="J", 3, 4)))</f>
    </nc>
  </rcc>
  <rcc rId="1954" sId="2">
    <nc r="D752">
      <f>IF($C752="", "", MID($C752, 6, IF(MID($C752, LEN($C752)-1, 1)="J", 3, 4)))</f>
    </nc>
  </rcc>
  <rcc rId="1955" sId="2">
    <nc r="D755">
      <f>IF($C755="", "", MID($C755, 6, IF(MID($C755, LEN($C755)-1, 1)="J", 3, 4)))</f>
    </nc>
  </rcc>
  <rcc rId="1956" sId="2">
    <nc r="D758">
      <f>IF($C758="", "", MID($C758, 6, IF(MID($C758, LEN($C758)-1, 1)="J", 3, 4)))</f>
    </nc>
  </rcc>
  <rcc rId="1957" sId="2">
    <nc r="D759">
      <f>IF($C759="", "", MID($C759, 6, IF(MID($C759, LEN($C759)-1, 1)="J", 3, 4)))</f>
    </nc>
  </rcc>
  <rcc rId="1958" sId="2">
    <nc r="D762">
      <f>IF($C762="", "", MID($C762, 6, IF(MID($C762, LEN($C762)-1, 1)="J", 3, 4)))</f>
    </nc>
  </rcc>
  <rcc rId="1959" sId="2">
    <nc r="D765">
      <f>IF($C765="", "", MID($C765, 6, IF(MID($C765, LEN($C765)-1, 1)="J", 3, 4)))</f>
    </nc>
  </rcc>
  <rcc rId="1960" sId="2">
    <nc r="D766">
      <f>IF($C766="", "", MID($C766, 6, IF(MID($C766, LEN($C766)-1, 1)="J", 3, 4)))</f>
    </nc>
  </rcc>
  <rcc rId="1961" sId="2">
    <nc r="D770">
      <f>IF($C770="", "", MID($C770, 6, IF(MID($C770, LEN($C770)-1, 1)="J", 3, 4)))</f>
    </nc>
  </rcc>
  <rcc rId="1962" sId="2">
    <nc r="D771">
      <f>IF($C771="", "", MID($C771, 6, IF(MID($C771, LEN($C771)-1, 1)="J", 3, 4)))</f>
    </nc>
  </rcc>
  <rcc rId="1963" sId="2">
    <nc r="D774">
      <f>IF($C774="", "", MID($C774, 6, IF(MID($C774, LEN($C774)-1, 1)="J", 3, 4)))</f>
    </nc>
  </rcc>
  <rcc rId="1964" sId="2">
    <oc r="D769">
      <f>IF($C769="", "", MID($C769, 6, IF(MID($C769, LEN($C769)-1, 1)="J", 3, 4)))</f>
    </oc>
    <nc r="D769">
      <f>IF($C769="", "", MID($C769, 6, IF(MID($C769, LEN($C769)-1, 1)="J", 3, 4)))</f>
    </nc>
  </rcc>
  <rcc rId="1965" sId="2" numFmtId="25">
    <nc r="N750">
      <v>0.625</v>
    </nc>
  </rcc>
  <rcc rId="1966" sId="2" numFmtId="25">
    <nc r="N751">
      <v>0.29166666666666669</v>
    </nc>
  </rcc>
  <rcc rId="1967" sId="2" numFmtId="25">
    <nc r="N752">
      <v>0.95833333333333337</v>
    </nc>
  </rcc>
  <rcc rId="1968" sId="2" numFmtId="25">
    <nc r="N753">
      <v>0.16666666666666666</v>
    </nc>
  </rcc>
  <rcc rId="1969" sId="2" numFmtId="25">
    <nc r="N754">
      <v>0.66666666666666663</v>
    </nc>
  </rcc>
  <rcc rId="1970" sId="2">
    <nc r="P751">
      <f>DATE(YEAR(O751)+1,MONTH(O751),DAY(O751))-1</f>
    </nc>
  </rcc>
  <rcc rId="1971" sId="2">
    <nc r="P752">
      <f>DATE(YEAR(O752)+1,MONTH(O752),DAY(O752))-1</f>
    </nc>
  </rcc>
  <rcc rId="1972" sId="2">
    <nc r="P753">
      <f>DATE(YEAR(O753)+1,MONTH(O753),DAY(O753))-1</f>
    </nc>
  </rcc>
  <rcc rId="1973" sId="2">
    <nc r="P754">
      <f>DATE(YEAR(O754)+1,MONTH(O754),DAY(O754))-1</f>
    </nc>
  </rcc>
  <rcc rId="1974" sId="2">
    <nc r="P755">
      <f>DATE(YEAR(O755)+1,MONTH(O755),DAY(O755))-1</f>
    </nc>
  </rcc>
  <rcc rId="1975" sId="2">
    <nc r="P756">
      <f>DATE(YEAR(O756)+1,MONTH(O756),DAY(O756))-1</f>
    </nc>
  </rcc>
  <rcc rId="1976" sId="2">
    <nc r="O751">
      <f>IF($C751="","",DATE(2000+LEFT($C751,2), HEX2DEC(MID($C751,3,1)), MID($C751,4,2)))</f>
    </nc>
  </rcc>
  <rcc rId="1977" sId="2">
    <nc r="O752">
      <f>IF($C752="","",DATE(2000+LEFT($C752,2), HEX2DEC(MID($C752,3,1)), MID($C752,4,2)))</f>
    </nc>
  </rcc>
  <rcc rId="1978" sId="2">
    <nc r="O753">
      <f>IF($C753="","",DATE(2000+LEFT($C753,2), HEX2DEC(MID($C753,3,1)), MID($C753,4,2)))</f>
    </nc>
  </rcc>
  <rcc rId="1979" sId="2">
    <nc r="O754">
      <f>IF($C754="","",DATE(2000+LEFT($C754,2), HEX2DEC(MID($C754,3,1)), MID($C754,4,2)))</f>
    </nc>
  </rcc>
  <rcc rId="1980" sId="2">
    <nc r="O755">
      <f>IF($C755="","",DATE(2000+LEFT($C755,2), HEX2DEC(MID($C755,3,1)), MID($C755,4,2)))</f>
    </nc>
  </rcc>
  <rcc rId="1981" sId="2">
    <nc r="O756">
      <f>IF($C756="","",DATE(2000+LEFT($C756,2), HEX2DEC(MID($C756,3,1)), MID($C756,4,2)))</f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2" sId="2">
    <oc r="G750" t="inlineStr">
      <is>
        <t>4800384805/200</t>
        <phoneticPr fontId="29989" type="noConversion"/>
      </is>
    </oc>
    <nc r="G750" t="inlineStr">
      <is>
        <t>4800384805/200</t>
        <phoneticPr fontId="29989" type="noConversion"/>
      </is>
    </nc>
  </rcc>
  <rcc rId="1983" sId="2">
    <oc r="C750" t="inlineStr">
      <is>
        <t>26908E3081</t>
        <phoneticPr fontId="29989" type="noConversion"/>
      </is>
    </oc>
    <nc r="C750" t="inlineStr">
      <is>
        <t>26908E3081</t>
        <phoneticPr fontId="29989" type="noConversion"/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4" sId="2">
    <oc r="G751" t="inlineStr">
      <is>
        <t>4800384805/400</t>
        <phoneticPr fontId="29989" type="noConversion"/>
      </is>
    </oc>
    <nc r="G751" t="inlineStr">
      <is>
        <t>4800384805/400</t>
        <phoneticPr fontId="29989" type="noConversion"/>
      </is>
    </nc>
  </rcc>
  <rcc rId="1985" sId="2">
    <oc r="G752" t="inlineStr">
      <is>
        <t>4800384805/400</t>
        <phoneticPr fontId="29989" type="noConversion"/>
      </is>
    </oc>
    <nc r="G752" t="inlineStr">
      <is>
        <t>4800384805/400</t>
        <phoneticPr fontId="29989" type="noConversion"/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86" sId="2">
    <oc r="C751" t="inlineStr">
      <is>
        <t>26907E3091</t>
        <phoneticPr fontId="29989" type="noConversion"/>
      </is>
    </oc>
    <nc r="C751" t="inlineStr">
      <is>
        <t>26907E3091</t>
        <phoneticPr fontId="29989" type="noConversion"/>
      </is>
    </nc>
  </rcc>
  <rcc rId="1987" sId="2">
    <oc r="C752" t="inlineStr">
      <is>
        <t>26908E29J1</t>
        <phoneticPr fontId="29989" type="noConversion"/>
      </is>
    </oc>
    <nc r="C752" t="inlineStr">
      <is>
        <t>26908E29J1</t>
        <phoneticPr fontId="29989" type="noConversion"/>
      </is>
    </nc>
  </rcc>
  <rcc rId="1988" sId="2">
    <oc r="G751" t="inlineStr">
      <is>
        <t>4800384805/400</t>
        <phoneticPr fontId="29989" type="noConversion"/>
      </is>
    </oc>
    <nc r="G751" t="inlineStr">
      <is>
        <t>4800384805/400</t>
        <phoneticPr fontId="29989" type="noConversion"/>
      </is>
    </nc>
  </rcc>
  <rcc rId="1989" sId="2">
    <oc r="F750">
      <v>20260907003</v>
    </oc>
    <nc r="F750" t="inlineStr">
      <is>
        <t>20260907003-1</t>
        <phoneticPr fontId="29989" type="noConversion"/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990" sId="2">
    <oc r="G751" t="inlineStr">
      <is>
        <t>4800384805/400</t>
        <phoneticPr fontId="29989" type="noConversion"/>
      </is>
    </oc>
    <nc r="G751" t="inlineStr">
      <is>
        <t>4800384805/400</t>
        <phoneticPr fontId="29989" type="noConversion"/>
      </is>
    </nc>
  </rcc>
  <rcc rId="1991" sId="2">
    <oc r="G752" t="inlineStr">
      <is>
        <t>4800384805/400</t>
        <phoneticPr fontId="29989" type="noConversion"/>
      </is>
    </oc>
    <nc r="G752" t="inlineStr">
      <is>
        <t>4800384805/400</t>
        <phoneticPr fontId="29989" type="noConversion"/>
      </is>
    </nc>
  </rcc>
  <rcc rId="1992" sId="2">
    <oc r="G754" t="inlineStr">
      <is>
        <t>4800384805/300</t>
        <phoneticPr fontId="29989" type="noConversion"/>
      </is>
    </oc>
    <nc r="G754" t="inlineStr">
      <is>
        <t>4800384805/300</t>
        <phoneticPr fontId="29989" type="noConversion"/>
      </is>
    </nc>
  </rcc>
  <rcc rId="1993" sId="2">
    <oc r="C752" t="inlineStr">
      <is>
        <t>26908E29J1</t>
        <phoneticPr fontId="29989" type="noConversion"/>
      </is>
    </oc>
    <nc r="C752" t="inlineStr">
      <is>
        <t>26908E29J1</t>
        <phoneticPr fontId="29989" type="noConversion"/>
      </is>
    </nc>
  </rcc>
  <rcc rId="1994" sId="2">
    <oc r="C754" t="inlineStr">
      <is>
        <t>26908E3031</t>
        <phoneticPr fontId="29989" type="noConversion"/>
      </is>
    </oc>
    <nc r="C754" t="inlineStr">
      <is>
        <t>26908E3031</t>
        <phoneticPr fontId="29989" type="noConversion"/>
      </is>
    </nc>
  </rcc>
  <rcc rId="1995" sId="2">
    <oc r="C753" t="inlineStr">
      <is>
        <t>26908E3051</t>
        <phoneticPr fontId="29989" type="noConversion"/>
      </is>
    </oc>
    <nc r="C753" t="inlineStr">
      <is>
        <t>26908E3051</t>
        <phoneticPr fontId="29989" type="noConversion"/>
      </is>
    </nc>
  </rcc>
  <rcc rId="1996" sId="2">
    <oc r="C751" t="inlineStr">
      <is>
        <t>26907E3091</t>
        <phoneticPr fontId="29989" type="noConversion"/>
      </is>
    </oc>
    <nc r="C751" t="inlineStr">
      <is>
        <t>26907E3091</t>
        <phoneticPr fontId="29989" type="noConversion"/>
      </is>
    </nc>
  </rcc>
  <rcc rId="1997" sId="2" numFmtId="34">
    <nc r="I744">
      <v>4430</v>
    </nc>
  </rcc>
  <rcc rId="1998" sId="2" numFmtId="34">
    <nc r="J744">
      <v>4410</v>
    </nc>
  </rcc>
  <rcc rId="1999" sId="2" numFmtId="34">
    <nc r="I743">
      <v>4400</v>
    </nc>
  </rcc>
  <rcc rId="2000" sId="2" numFmtId="34">
    <nc r="J743">
      <v>4390</v>
    </nc>
  </rcc>
  <rcc rId="2001" sId="2">
    <oc r="K743">
      <f>J743/0.786</f>
    </oc>
    <nc r="K743">
      <f>J743/0.786+1</f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02" sId="4">
    <oc r="G166" t="inlineStr">
      <is>
        <t>4800388490/100</t>
        <phoneticPr fontId="30087" type="noConversion"/>
      </is>
    </oc>
    <nc r="G166" t="inlineStr">
      <is>
        <t>4800388490/100</t>
        <phoneticPr fontId="30087" type="noConversion"/>
      </is>
    </nc>
  </rcc>
  <rcc rId="2003" sId="4">
    <nc r="C166" t="inlineStr">
      <is>
        <t>26909E3021</t>
        <phoneticPr fontId="30087" type="noConversion"/>
      </is>
    </nc>
  </rcc>
  <rcc rId="2004" sId="4" numFmtId="25">
    <nc r="N166">
      <v>0.125</v>
    </nc>
  </rcc>
  <rcc rId="2005" sId="2">
    <nc r="C755" t="inlineStr">
      <is>
        <t>26909E3181</t>
        <phoneticPr fontId="30087" type="noConversion"/>
      </is>
    </nc>
  </rcc>
  <rcc rId="2006" sId="2">
    <nc r="C756" t="inlineStr">
      <is>
        <t>26909E3041</t>
        <phoneticPr fontId="30087" type="noConversion"/>
      </is>
    </nc>
  </rcc>
  <rcc rId="2007" sId="2">
    <nc r="C757" t="inlineStr">
      <is>
        <t>26909E3171</t>
        <phoneticPr fontId="30087" type="noConversion"/>
      </is>
    </nc>
  </rcc>
  <rcc rId="2008" sId="2">
    <nc r="O757">
      <f>IF($C757="","",DATE(2000+LEFT($C757,2), HEX2DEC(MID($C757,3,1)), MID($C757,4,2)))</f>
    </nc>
  </rcc>
  <rcc rId="2009" sId="2">
    <nc r="P757">
      <f>DATE(YEAR(O757)+1,MONTH(O757),DAY(O757))-1</f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2" sId="2" numFmtId="25">
    <nc r="N755">
      <v>0.54166666666666663</v>
    </nc>
  </rcc>
  <rcc rId="2023" sId="2" numFmtId="25">
    <nc r="N756">
      <v>0.16666666666666666</v>
    </nc>
  </rcc>
  <rcc rId="2024" sId="2" numFmtId="25">
    <nc r="N757">
      <v>0.66666666666666663</v>
    </nc>
  </rcc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25" sId="4">
    <oc r="G166" t="inlineStr">
      <is>
        <t>4800388490/100</t>
        <phoneticPr fontId="30087" type="noConversion"/>
      </is>
    </oc>
    <nc r="G166" t="inlineStr">
      <is>
        <t>4800388490/100</t>
        <phoneticPr fontId="30087" type="noConversion"/>
      </is>
    </nc>
  </rcc>
  <rcc rId="2026" sId="2">
    <oc r="G756" t="inlineStr">
      <is>
        <t>4800384805/300</t>
        <phoneticPr fontId="30087" type="noConversion"/>
      </is>
    </oc>
    <nc r="G756" t="inlineStr">
      <is>
        <t>4800384805/300</t>
        <phoneticPr fontId="30087" type="noConversion"/>
      </is>
    </nc>
  </rcc>
  <rcc rId="2027" sId="2">
    <oc r="G757" t="inlineStr">
      <is>
        <t>4800384805/300</t>
        <phoneticPr fontId="30087" type="noConversion"/>
      </is>
    </oc>
    <nc r="G757" t="inlineStr">
      <is>
        <t>4800384805/300</t>
        <phoneticPr fontId="30087" type="noConversion"/>
      </is>
    </nc>
  </rcc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C755" start="0" length="2147483647">
    <dxf>
      <font>
        <color rgb="FFFF0000"/>
      </font>
    </dxf>
  </rfmt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'IPAHQ(TANK)-中科'!$A$2:$S$906</formula>
    <oldFormula>'IPAHQ(TANK)-中科'!$A$2:$S$906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'IPAHQ(TANK)-南科'!$A$2:$S$191</formula>
    <oldFormula>'IPAHQ(TANK)-南科'!$A$2:$S$191</oldFormula>
  </rdn>
  <rcv guid="{F261CC3E-BBAF-4421-92E0-E43167440BFB}" action="add"/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0" sId="2">
    <oc r="E1" t="inlineStr">
      <is>
        <t xml:space="preserve">TSMC IPA料號:L12C53161 </t>
      </is>
    </oc>
    <nc r="E1" t="inlineStr">
      <is>
        <t xml:space="preserve">TSMC IPA料號:L12C53161 </t>
        <phoneticPr fontId="0" type="noConversion"/>
      </is>
    </nc>
  </rcc>
  <rfmt sheetId="2" sqref="C755" start="0" length="2147483647">
    <dxf>
      <font>
        <color auto="1"/>
      </font>
    </dxf>
  </rfmt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1" sId="4">
    <nc r="I165">
      <v>4460</v>
    </nc>
  </rcc>
  <rcc rId="2042" sId="4">
    <nc r="J165">
      <v>540</v>
    </nc>
  </rcc>
  <rcc rId="2043" sId="4">
    <oc r="K165">
      <f>J165/0.786</f>
    </oc>
    <nc r="K165">
      <f>J165/0.786+1</f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44" sId="4">
    <nc r="I164">
      <v>4260</v>
    </nc>
  </rcc>
  <rcc rId="2045" sId="4" numFmtId="34">
    <nc r="J164">
      <v>4310</v>
    </nc>
  </rcc>
  <rcc rId="2046" sId="4">
    <oc r="K164">
      <f>J164/0.786</f>
    </oc>
    <nc r="K164">
      <f>J164/0.786+1</f>
    </nc>
  </rcc>
  <rcc rId="2047" sId="2" numFmtId="34">
    <nc r="I750">
      <v>4200</v>
    </nc>
  </rcc>
  <rcc rId="2048" sId="2" numFmtId="34">
    <nc r="J750">
      <v>4220</v>
    </nc>
  </rcc>
  <rcc rId="2049" sId="2" numFmtId="34">
    <nc r="I746">
      <v>4550</v>
    </nc>
  </rcc>
  <rcc rId="2050" sId="2" numFmtId="34">
    <nc r="J746">
      <v>4580</v>
    </nc>
  </rcc>
  <rcc rId="2051" sId="2" numFmtId="34">
    <nc r="I745">
      <v>4330</v>
    </nc>
  </rcc>
  <rcc rId="2052" sId="2" numFmtId="34">
    <nc r="J745">
      <v>4240</v>
    </nc>
  </rcc>
  <rcc rId="2053" sId="2">
    <oc r="K745">
      <f>J745/0.786</f>
    </oc>
    <nc r="K745">
      <f>J745/0.786+1</f>
    </nc>
  </rcc>
  <rcc rId="2054" sId="2" numFmtId="34">
    <nc r="I748">
      <v>4310</v>
    </nc>
  </rcc>
  <rcc rId="2055" sId="2" numFmtId="34">
    <nc r="J748">
      <v>4310</v>
    </nc>
  </rcc>
  <rcc rId="2056" sId="2">
    <oc r="K748">
      <f>J748/0.786</f>
    </oc>
    <nc r="K748">
      <f>J748/0.786+1</f>
    </nc>
  </rcc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I160:I165">
    <dxf>
      <alignment horizontal="right" readingOrder="0"/>
    </dxf>
  </rfmt>
  <rfmt sheetId="4" sqref="J160:J165">
    <dxf>
      <alignment horizontal="right" readingOrder="0"/>
    </dxf>
  </rfmt>
  <rfmt sheetId="4" s="1" sqref="I161" start="0" length="0">
    <dxf>
      <font>
        <sz val="10"/>
        <color theme="1"/>
        <name val="Arial"/>
        <scheme val="none"/>
      </font>
      <numFmt numFmtId="0" formatCode="General"/>
    </dxf>
  </rfmt>
  <rfmt sheetId="4" s="1" sqref="J161" start="0" length="0">
    <dxf>
      <font>
        <sz val="10"/>
        <color theme="1"/>
        <name val="Arial"/>
        <scheme val="none"/>
      </font>
      <numFmt numFmtId="0" formatCode="General"/>
      <fill>
        <patternFill>
          <bgColor theme="3" tint="0.79998168889431442"/>
        </patternFill>
      </fill>
    </dxf>
  </rfmt>
  <rfmt sheetId="4" s="1" sqref="J162" start="0" length="0">
    <dxf>
      <font>
        <sz val="10"/>
        <color theme="1"/>
        <name val="Arial"/>
        <scheme val="none"/>
      </font>
      <numFmt numFmtId="0" formatCode="General"/>
      <fill>
        <patternFill>
          <bgColor theme="3" tint="0.79998168889431442"/>
        </patternFill>
      </fill>
    </dxf>
  </rfmt>
  <rfmt sheetId="4" s="1" sqref="J163" start="0" length="0">
    <dxf>
      <font>
        <sz val="10"/>
        <color theme="1"/>
        <name val="Arial"/>
        <scheme val="none"/>
      </font>
      <numFmt numFmtId="0" formatCode="General"/>
      <fill>
        <patternFill>
          <bgColor theme="3" tint="0.79998168889431442"/>
        </patternFill>
      </fill>
    </dxf>
  </rfmt>
  <rfmt sheetId="4" s="1" sqref="J164" start="0" length="0">
    <dxf>
      <font>
        <sz val="10"/>
        <color theme="1"/>
        <name val="Arial"/>
        <scheme val="none"/>
      </font>
      <numFmt numFmtId="0" formatCode="General"/>
      <fill>
        <patternFill>
          <bgColor theme="3" tint="0.79998168889431442"/>
        </patternFill>
      </fill>
    </dxf>
  </rfmt>
  <rfmt sheetId="4" sqref="J161:J164">
    <dxf>
      <fill>
        <patternFill>
          <bgColor theme="9" tint="0.59999389629810485"/>
        </patternFill>
      </fill>
    </dxf>
  </rfmt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7" sId="2" numFmtId="34">
    <nc r="I747">
      <v>4250</v>
    </nc>
  </rcc>
  <rcc rId="2058" sId="2" numFmtId="34">
    <nc r="J747">
      <v>4190</v>
    </nc>
  </rcc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59" sId="2" numFmtId="34">
    <nc r="I749">
      <v>4280</v>
    </nc>
  </rcc>
  <rcc rId="2060" sId="2" numFmtId="34">
    <nc r="J749">
      <v>4190</v>
    </nc>
  </rcc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73" sId="2">
    <nc r="C758" t="inlineStr">
      <is>
        <t>26909E3071</t>
        <phoneticPr fontId="30087" type="noConversion"/>
      </is>
    </nc>
  </rcc>
  <rcc rId="2074" sId="2">
    <nc r="O758">
      <f>IF($C758="","",DATE(2000+LEFT($C758,2), HEX2DEC(MID($C758,3,1)), MID($C758,4,2)))</f>
    </nc>
  </rcc>
  <rcc rId="2075" sId="2">
    <nc r="P758">
      <f>DATE(YEAR(O758)+1,MONTH(O758),DAY(O758))-1</f>
    </nc>
  </rcc>
  <rcc rId="2076" sId="2">
    <nc r="C759" t="inlineStr">
      <is>
        <t>26910E3191</t>
        <phoneticPr fontId="30087" type="noConversion"/>
      </is>
    </nc>
  </rcc>
  <rcc rId="2077" sId="2">
    <nc r="O759">
      <f>IF($C759="","",DATE(2000+LEFT($C759,2), HEX2DEC(MID($C759,3,1)), MID($C759,4,2)))</f>
    </nc>
  </rcc>
  <rcc rId="2078" sId="2">
    <nc r="P759">
      <f>DATE(YEAR(O759)+1,MONTH(O759),DAY(O759))-1</f>
    </nc>
  </rcc>
  <rcc rId="2079" sId="2">
    <nc r="C760" t="inlineStr">
      <is>
        <t>26910E3081</t>
        <phoneticPr fontId="30087" type="noConversion"/>
      </is>
    </nc>
  </rcc>
  <rcc rId="2080" sId="2">
    <nc r="C761" t="inlineStr">
      <is>
        <t>26910E3061</t>
        <phoneticPr fontId="30087" type="noConversion"/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81" sId="2">
    <nc r="N758" t="inlineStr">
      <is>
        <t>03"00</t>
        <phoneticPr fontId="30087" type="noConversion"/>
      </is>
    </nc>
  </rcc>
  <rcc rId="2082" sId="2" numFmtId="25">
    <nc r="N759">
      <v>0.75</v>
    </nc>
  </rcc>
  <rcc rId="2083" sId="2" numFmtId="25">
    <nc r="N760">
      <v>0.16666666666666666</v>
    </nc>
  </rcc>
  <rcc rId="2084" sId="2" numFmtId="25">
    <nc r="N761">
      <v>0.66666666666666663</v>
    </nc>
  </rcc>
  <rcc rId="2085" sId="2">
    <nc r="P760">
      <f>DATE(YEAR(O760)+1,MONTH(O760),DAY(O760))-1</f>
    </nc>
  </rcc>
  <rcc rId="2086" sId="2">
    <nc r="P761">
      <f>DATE(YEAR(O761)+1,MONTH(O761),DAY(O761))-1</f>
    </nc>
  </rcc>
  <rcc rId="2087" sId="2">
    <nc r="P762">
      <f>DATE(YEAR(O762)+1,MONTH(O762),DAY(O762))-1</f>
    </nc>
  </rcc>
  <rcc rId="2088" sId="2">
    <nc r="P763">
      <f>DATE(YEAR(O763)+1,MONTH(O763),DAY(O763))-1</f>
    </nc>
  </rcc>
  <rcc rId="2089" sId="2">
    <nc r="P764">
      <f>DATE(YEAR(O764)+1,MONTH(O764),DAY(O764))-1</f>
    </nc>
  </rcc>
  <rcc rId="2090" sId="2">
    <nc r="O760">
      <f>IF($C760="","",DATE(2000+LEFT($C760,2), HEX2DEC(MID($C760,3,1)), MID($C760,4,2)))</f>
    </nc>
  </rcc>
  <rcc rId="2091" sId="2">
    <nc r="O761">
      <f>IF($C761="","",DATE(2000+LEFT($C761,2), HEX2DEC(MID($C761,3,1)), MID($C761,4,2)))</f>
    </nc>
  </rcc>
  <rcc rId="2092" sId="2">
    <nc r="O762">
      <f>IF($C762="","",DATE(2000+LEFT($C762,2), HEX2DEC(MID($C762,3,1)), MID($C762,4,2)))</f>
    </nc>
  </rcc>
  <rcc rId="2093" sId="2">
    <nc r="O763">
      <f>IF($C763="","",DATE(2000+LEFT($C763,2), HEX2DEC(MID($C763,3,1)), MID($C763,4,2)))</f>
    </nc>
  </rcc>
  <rcc rId="2094" sId="2">
    <nc r="O764">
      <f>IF($C764="","",DATE(2000+LEFT($C764,2), HEX2DEC(MID($C764,3,1)), MID($C764,4,2)))</f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5" sId="2" numFmtId="25">
    <oc r="N758" t="inlineStr">
      <is>
        <t>03"00</t>
        <phoneticPr fontId="30087" type="noConversion"/>
      </is>
    </oc>
    <nc r="N758">
      <v>0.125</v>
    </nc>
  </rcc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096" sId="2">
    <oc r="G760" t="inlineStr">
      <is>
        <t>4800384805/300</t>
        <phoneticPr fontId="30087" type="noConversion"/>
      </is>
    </oc>
    <nc r="G760" t="inlineStr">
      <is>
        <t>4800384805/300</t>
        <phoneticPr fontId="30087" type="noConversion"/>
      </is>
    </nc>
  </rcc>
  <rcc rId="2097" sId="2">
    <oc r="G758" t="inlineStr">
      <is>
        <t>4800384805/400</t>
        <phoneticPr fontId="30087" type="noConversion"/>
      </is>
    </oc>
    <nc r="G758" t="inlineStr">
      <is>
        <t>4800384805/400</t>
        <phoneticPr fontId="30087" type="noConversion"/>
      </is>
    </nc>
  </rcc>
  <rcc rId="2098" sId="2">
    <oc r="G761" t="inlineStr">
      <is>
        <t>4800384805/300</t>
        <phoneticPr fontId="30087" type="noConversion"/>
      </is>
    </oc>
    <nc r="G761" t="inlineStr">
      <is>
        <t>4800384805/300</t>
        <phoneticPr fontId="30087" type="noConversion"/>
      </is>
    </nc>
  </rcc>
  <rcc rId="2099" sId="2">
    <oc r="C760" t="inlineStr">
      <is>
        <t>26910E3081</t>
        <phoneticPr fontId="30087" type="noConversion"/>
      </is>
    </oc>
    <nc r="C760" t="inlineStr">
      <is>
        <t>26910E3081</t>
        <phoneticPr fontId="30087" type="noConversion"/>
      </is>
    </nc>
  </rcc>
  <rcc rId="2100" sId="2">
    <oc r="C761" t="inlineStr">
      <is>
        <t>26910E3061</t>
        <phoneticPr fontId="30087" type="noConversion"/>
      </is>
    </oc>
    <nc r="C761" t="inlineStr">
      <is>
        <t>26910E3061</t>
        <phoneticPr fontId="30087" type="noConversion"/>
      </is>
    </nc>
  </rcc>
  <rcc rId="2101" sId="2">
    <oc r="C758" t="inlineStr">
      <is>
        <t>26909E3071</t>
        <phoneticPr fontId="30087" type="noConversion"/>
      </is>
    </oc>
    <nc r="C758" t="inlineStr">
      <is>
        <t>26909E3071</t>
        <phoneticPr fontId="30087" type="noConversion"/>
      </is>
    </nc>
  </rcc>
  <rcc rId="2102" sId="2" numFmtId="19">
    <oc r="B769">
      <v>46280</v>
    </oc>
    <nc r="B769">
      <v>46278</v>
    </nc>
  </rcc>
  <rrc rId="2103" sId="2" ref="A762:XFD762" action="insert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2104" sheetId="2" source="A770:XFD770" destination="A762:XFD762" sourceSheetId="2">
    <rfmt sheetId="2" xfDxf="1" sqref="A762:XFD762" start="0" length="0">
      <dxf>
        <font>
          <sz val="10"/>
          <name val="Arial"/>
          <scheme val="none"/>
        </font>
        <alignment horizontal="center" readingOrder="0"/>
      </dxf>
    </rfmt>
    <rfmt sheetId="2" sqref="A76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2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2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2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2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2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2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2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2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2" start="0" length="0">
      <dxf>
        <numFmt numFmtId="25" formatCode="hh:mm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2" start="0" length="0">
      <dxf>
        <numFmt numFmtId="176" formatCode="m/d;@"/>
      </dxf>
    </rfmt>
    <rfmt sheetId="2" sqref="P762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2" start="0" length="0">
      <dxf/>
    </rfmt>
    <rfmt sheetId="2" sqref="U762" start="0" length="0">
      <dxf/>
    </rfmt>
    <rfmt sheetId="2" sqref="V762" start="0" length="0">
      <dxf/>
    </rfmt>
    <rfmt sheetId="2" sqref="W762" start="0" length="0">
      <dxf/>
    </rfmt>
    <rfmt sheetId="2" sqref="X762" start="0" length="0">
      <dxf/>
    </rfmt>
    <rfmt sheetId="2" sqref="Y762" start="0" length="0">
      <dxf/>
    </rfmt>
    <rfmt sheetId="2" sqref="Z762" start="0" length="0">
      <dxf/>
    </rfmt>
    <rfmt sheetId="2" sqref="AA762" start="0" length="0">
      <dxf/>
    </rfmt>
    <rfmt sheetId="2" sqref="AB762" start="0" length="0">
      <dxf/>
    </rfmt>
    <rfmt sheetId="2" sqref="AC762" start="0" length="0">
      <dxf/>
    </rfmt>
    <rfmt sheetId="2" sqref="AD762" start="0" length="0">
      <dxf/>
    </rfmt>
    <rfmt sheetId="2" sqref="AE762" start="0" length="0">
      <dxf/>
    </rfmt>
    <rfmt sheetId="2" sqref="AF762" start="0" length="0">
      <dxf/>
    </rfmt>
    <rfmt sheetId="2" sqref="AG762" start="0" length="0">
      <dxf/>
    </rfmt>
    <rfmt sheetId="2" sqref="AH762" start="0" length="0">
      <dxf/>
    </rfmt>
    <rfmt sheetId="2" sqref="AI762" start="0" length="0">
      <dxf/>
    </rfmt>
    <rfmt sheetId="2" sqref="AJ762" start="0" length="0">
      <dxf/>
    </rfmt>
    <rfmt sheetId="2" sqref="AK762" start="0" length="0">
      <dxf/>
    </rfmt>
    <rfmt sheetId="2" sqref="AL762" start="0" length="0">
      <dxf/>
    </rfmt>
    <rfmt sheetId="2" sqref="AM762" start="0" length="0">
      <dxf/>
    </rfmt>
    <rfmt sheetId="2" sqref="AN762" start="0" length="0">
      <dxf/>
    </rfmt>
    <rfmt sheetId="2" sqref="AO762" start="0" length="0">
      <dxf/>
    </rfmt>
    <rfmt sheetId="2" sqref="AP762" start="0" length="0">
      <dxf/>
    </rfmt>
    <rfmt sheetId="2" sqref="AQ762" start="0" length="0">
      <dxf/>
    </rfmt>
    <rfmt sheetId="2" sqref="AR762" start="0" length="0">
      <dxf/>
    </rfmt>
    <rfmt sheetId="2" sqref="AS762" start="0" length="0">
      <dxf/>
    </rfmt>
    <rfmt sheetId="2" sqref="AT762" start="0" length="0">
      <dxf/>
    </rfmt>
    <rfmt sheetId="2" sqref="AU762" start="0" length="0">
      <dxf/>
    </rfmt>
    <rfmt sheetId="2" sqref="AV762" start="0" length="0">
      <dxf/>
    </rfmt>
    <rfmt sheetId="2" sqref="AW762" start="0" length="0">
      <dxf/>
    </rfmt>
    <rfmt sheetId="2" sqref="AX762" start="0" length="0">
      <dxf/>
    </rfmt>
    <rfmt sheetId="2" sqref="AY762" start="0" length="0">
      <dxf/>
    </rfmt>
    <rfmt sheetId="2" sqref="AZ762" start="0" length="0">
      <dxf/>
    </rfmt>
    <rfmt sheetId="2" sqref="BA762" start="0" length="0">
      <dxf/>
    </rfmt>
    <rfmt sheetId="2" sqref="BB762" start="0" length="0">
      <dxf/>
    </rfmt>
    <rfmt sheetId="2" sqref="BC762" start="0" length="0">
      <dxf/>
    </rfmt>
    <rfmt sheetId="2" sqref="BD762" start="0" length="0">
      <dxf/>
    </rfmt>
    <rfmt sheetId="2" sqref="BE762" start="0" length="0">
      <dxf/>
    </rfmt>
    <rfmt sheetId="2" sqref="BF762" start="0" length="0">
      <dxf/>
    </rfmt>
    <rfmt sheetId="2" sqref="BG762" start="0" length="0">
      <dxf/>
    </rfmt>
    <rfmt sheetId="2" sqref="BH762" start="0" length="0">
      <dxf/>
    </rfmt>
    <rfmt sheetId="2" sqref="BI762" start="0" length="0">
      <dxf/>
    </rfmt>
    <rfmt sheetId="2" sqref="BJ762" start="0" length="0">
      <dxf/>
    </rfmt>
    <rfmt sheetId="2" sqref="BK762" start="0" length="0">
      <dxf/>
    </rfmt>
    <rfmt sheetId="2" sqref="BL762" start="0" length="0">
      <dxf/>
    </rfmt>
    <rfmt sheetId="2" sqref="BM762" start="0" length="0">
      <dxf/>
    </rfmt>
    <rfmt sheetId="2" sqref="BN762" start="0" length="0">
      <dxf/>
    </rfmt>
    <rfmt sheetId="2" sqref="BO762" start="0" length="0">
      <dxf/>
    </rfmt>
    <rfmt sheetId="2" sqref="BP762" start="0" length="0">
      <dxf/>
    </rfmt>
    <rfmt sheetId="2" sqref="BQ762" start="0" length="0">
      <dxf/>
    </rfmt>
    <rfmt sheetId="2" sqref="BR762" start="0" length="0">
      <dxf/>
    </rfmt>
    <rfmt sheetId="2" sqref="BS762" start="0" length="0">
      <dxf/>
    </rfmt>
    <rfmt sheetId="2" sqref="BT762" start="0" length="0">
      <dxf/>
    </rfmt>
    <rfmt sheetId="2" sqref="BU762" start="0" length="0">
      <dxf/>
    </rfmt>
    <rfmt sheetId="2" sqref="BV762" start="0" length="0">
      <dxf/>
    </rfmt>
    <rfmt sheetId="2" sqref="BW762" start="0" length="0">
      <dxf/>
    </rfmt>
    <rfmt sheetId="2" sqref="BX762" start="0" length="0">
      <dxf/>
    </rfmt>
    <rfmt sheetId="2" sqref="BY762" start="0" length="0">
      <dxf/>
    </rfmt>
    <rfmt sheetId="2" sqref="BZ762" start="0" length="0">
      <dxf/>
    </rfmt>
    <rfmt sheetId="2" sqref="CA762" start="0" length="0">
      <dxf/>
    </rfmt>
    <rfmt sheetId="2" sqref="CB762" start="0" length="0">
      <dxf/>
    </rfmt>
    <rfmt sheetId="2" sqref="CC762" start="0" length="0">
      <dxf/>
    </rfmt>
    <rfmt sheetId="2" sqref="CD762" start="0" length="0">
      <dxf/>
    </rfmt>
    <rfmt sheetId="2" sqref="CE762" start="0" length="0">
      <dxf/>
    </rfmt>
    <rfmt sheetId="2" sqref="CF762" start="0" length="0">
      <dxf/>
    </rfmt>
    <rfmt sheetId="2" sqref="CG762" start="0" length="0">
      <dxf/>
    </rfmt>
    <rfmt sheetId="2" sqref="CH762" start="0" length="0">
      <dxf/>
    </rfmt>
    <rfmt sheetId="2" sqref="CI762" start="0" length="0">
      <dxf/>
    </rfmt>
    <rfmt sheetId="2" sqref="CJ762" start="0" length="0">
      <dxf/>
    </rfmt>
    <rfmt sheetId="2" sqref="CK762" start="0" length="0">
      <dxf/>
    </rfmt>
    <rfmt sheetId="2" sqref="CL762" start="0" length="0">
      <dxf/>
    </rfmt>
    <rfmt sheetId="2" sqref="CM762" start="0" length="0">
      <dxf/>
    </rfmt>
    <rfmt sheetId="2" sqref="CN762" start="0" length="0">
      <dxf/>
    </rfmt>
    <rfmt sheetId="2" sqref="CO762" start="0" length="0">
      <dxf/>
    </rfmt>
    <rfmt sheetId="2" sqref="CP762" start="0" length="0">
      <dxf/>
    </rfmt>
    <rfmt sheetId="2" sqref="CQ762" start="0" length="0">
      <dxf/>
    </rfmt>
    <rfmt sheetId="2" sqref="CR762" start="0" length="0">
      <dxf/>
    </rfmt>
    <rfmt sheetId="2" sqref="CS762" start="0" length="0">
      <dxf/>
    </rfmt>
    <rfmt sheetId="2" sqref="CT762" start="0" length="0">
      <dxf/>
    </rfmt>
    <rfmt sheetId="2" sqref="CU762" start="0" length="0">
      <dxf/>
    </rfmt>
    <rfmt sheetId="2" sqref="CV762" start="0" length="0">
      <dxf/>
    </rfmt>
    <rfmt sheetId="2" sqref="CW762" start="0" length="0">
      <dxf/>
    </rfmt>
    <rfmt sheetId="2" sqref="CX762" start="0" length="0">
      <dxf/>
    </rfmt>
    <rfmt sheetId="2" sqref="CY762" start="0" length="0">
      <dxf/>
    </rfmt>
    <rfmt sheetId="2" sqref="CZ762" start="0" length="0">
      <dxf/>
    </rfmt>
    <rfmt sheetId="2" sqref="DA762" start="0" length="0">
      <dxf/>
    </rfmt>
    <rfmt sheetId="2" sqref="DB762" start="0" length="0">
      <dxf/>
    </rfmt>
    <rfmt sheetId="2" sqref="DC762" start="0" length="0">
      <dxf/>
    </rfmt>
    <rfmt sheetId="2" sqref="DD762" start="0" length="0">
      <dxf/>
    </rfmt>
    <rfmt sheetId="2" sqref="DE762" start="0" length="0">
      <dxf/>
    </rfmt>
    <rfmt sheetId="2" sqref="DF762" start="0" length="0">
      <dxf/>
    </rfmt>
    <rfmt sheetId="2" sqref="DG762" start="0" length="0">
      <dxf/>
    </rfmt>
    <rfmt sheetId="2" sqref="DH762" start="0" length="0">
      <dxf/>
    </rfmt>
    <rfmt sheetId="2" sqref="DI762" start="0" length="0">
      <dxf/>
    </rfmt>
    <rfmt sheetId="2" sqref="DJ762" start="0" length="0">
      <dxf/>
    </rfmt>
    <rfmt sheetId="2" sqref="DK762" start="0" length="0">
      <dxf/>
    </rfmt>
    <rfmt sheetId="2" sqref="DL762" start="0" length="0">
      <dxf/>
    </rfmt>
    <rfmt sheetId="2" sqref="DM762" start="0" length="0">
      <dxf/>
    </rfmt>
    <rfmt sheetId="2" sqref="DN762" start="0" length="0">
      <dxf/>
    </rfmt>
    <rfmt sheetId="2" sqref="DO762" start="0" length="0">
      <dxf/>
    </rfmt>
    <rfmt sheetId="2" sqref="DP762" start="0" length="0">
      <dxf/>
    </rfmt>
    <rfmt sheetId="2" sqref="DQ762" start="0" length="0">
      <dxf/>
    </rfmt>
    <rfmt sheetId="2" sqref="DR762" start="0" length="0">
      <dxf/>
    </rfmt>
    <rfmt sheetId="2" sqref="DS762" start="0" length="0">
      <dxf/>
    </rfmt>
    <rfmt sheetId="2" sqref="DT762" start="0" length="0">
      <dxf/>
    </rfmt>
    <rfmt sheetId="2" sqref="DU762" start="0" length="0">
      <dxf/>
    </rfmt>
    <rfmt sheetId="2" sqref="DV762" start="0" length="0">
      <dxf/>
    </rfmt>
    <rfmt sheetId="2" sqref="DW762" start="0" length="0">
      <dxf/>
    </rfmt>
    <rfmt sheetId="2" sqref="DX762" start="0" length="0">
      <dxf/>
    </rfmt>
    <rfmt sheetId="2" sqref="DY762" start="0" length="0">
      <dxf/>
    </rfmt>
    <rfmt sheetId="2" sqref="DZ762" start="0" length="0">
      <dxf/>
    </rfmt>
    <rfmt sheetId="2" sqref="EA762" start="0" length="0">
      <dxf/>
    </rfmt>
    <rfmt sheetId="2" sqref="EB762" start="0" length="0">
      <dxf/>
    </rfmt>
    <rfmt sheetId="2" sqref="EC762" start="0" length="0">
      <dxf/>
    </rfmt>
    <rfmt sheetId="2" sqref="ED762" start="0" length="0">
      <dxf/>
    </rfmt>
    <rfmt sheetId="2" sqref="EE762" start="0" length="0">
      <dxf/>
    </rfmt>
    <rfmt sheetId="2" sqref="EF762" start="0" length="0">
      <dxf/>
    </rfmt>
    <rfmt sheetId="2" sqref="EG762" start="0" length="0">
      <dxf/>
    </rfmt>
    <rfmt sheetId="2" sqref="EH762" start="0" length="0">
      <dxf/>
    </rfmt>
    <rfmt sheetId="2" sqref="EI762" start="0" length="0">
      <dxf/>
    </rfmt>
    <rfmt sheetId="2" sqref="EJ762" start="0" length="0">
      <dxf/>
    </rfmt>
    <rfmt sheetId="2" sqref="EK762" start="0" length="0">
      <dxf/>
    </rfmt>
    <rfmt sheetId="2" sqref="EL762" start="0" length="0">
      <dxf/>
    </rfmt>
    <rfmt sheetId="2" sqref="EM762" start="0" length="0">
      <dxf/>
    </rfmt>
    <rfmt sheetId="2" sqref="EN762" start="0" length="0">
      <dxf/>
    </rfmt>
    <rfmt sheetId="2" sqref="EO762" start="0" length="0">
      <dxf/>
    </rfmt>
    <rfmt sheetId="2" sqref="EP762" start="0" length="0">
      <dxf/>
    </rfmt>
    <rfmt sheetId="2" sqref="EQ762" start="0" length="0">
      <dxf/>
    </rfmt>
    <rfmt sheetId="2" sqref="ER762" start="0" length="0">
      <dxf/>
    </rfmt>
    <rfmt sheetId="2" sqref="ES762" start="0" length="0">
      <dxf/>
    </rfmt>
    <rfmt sheetId="2" sqref="ET762" start="0" length="0">
      <dxf/>
    </rfmt>
    <rfmt sheetId="2" sqref="EU762" start="0" length="0">
      <dxf/>
    </rfmt>
    <rfmt sheetId="2" sqref="EV762" start="0" length="0">
      <dxf/>
    </rfmt>
    <rfmt sheetId="2" sqref="EW762" start="0" length="0">
      <dxf/>
    </rfmt>
    <rfmt sheetId="2" sqref="EX762" start="0" length="0">
      <dxf/>
    </rfmt>
    <rfmt sheetId="2" sqref="EY762" start="0" length="0">
      <dxf/>
    </rfmt>
    <rfmt sheetId="2" sqref="EZ762" start="0" length="0">
      <dxf/>
    </rfmt>
    <rfmt sheetId="2" sqref="FA762" start="0" length="0">
      <dxf/>
    </rfmt>
    <rfmt sheetId="2" sqref="FB762" start="0" length="0">
      <dxf/>
    </rfmt>
    <rfmt sheetId="2" sqref="FC762" start="0" length="0">
      <dxf/>
    </rfmt>
    <rfmt sheetId="2" sqref="FD762" start="0" length="0">
      <dxf/>
    </rfmt>
    <rfmt sheetId="2" sqref="FE762" start="0" length="0">
      <dxf/>
    </rfmt>
    <rfmt sheetId="2" sqref="FF762" start="0" length="0">
      <dxf/>
    </rfmt>
    <rfmt sheetId="2" sqref="FG762" start="0" length="0">
      <dxf/>
    </rfmt>
    <rfmt sheetId="2" sqref="FH762" start="0" length="0">
      <dxf/>
    </rfmt>
    <rfmt sheetId="2" sqref="FI762" start="0" length="0">
      <dxf/>
    </rfmt>
    <rfmt sheetId="2" sqref="FJ762" start="0" length="0">
      <dxf/>
    </rfmt>
    <rfmt sheetId="2" sqref="FK762" start="0" length="0">
      <dxf/>
    </rfmt>
    <rfmt sheetId="2" sqref="FL762" start="0" length="0">
      <dxf/>
    </rfmt>
    <rfmt sheetId="2" sqref="FM762" start="0" length="0">
      <dxf/>
    </rfmt>
    <rfmt sheetId="2" sqref="FN762" start="0" length="0">
      <dxf/>
    </rfmt>
    <rfmt sheetId="2" sqref="FO762" start="0" length="0">
      <dxf/>
    </rfmt>
    <rfmt sheetId="2" sqref="FP762" start="0" length="0">
      <dxf/>
    </rfmt>
    <rfmt sheetId="2" sqref="FQ762" start="0" length="0">
      <dxf/>
    </rfmt>
    <rfmt sheetId="2" sqref="FR762" start="0" length="0">
      <dxf/>
    </rfmt>
    <rfmt sheetId="2" sqref="FS762" start="0" length="0">
      <dxf/>
    </rfmt>
    <rfmt sheetId="2" sqref="FT762" start="0" length="0">
      <dxf/>
    </rfmt>
    <rfmt sheetId="2" sqref="FU762" start="0" length="0">
      <dxf/>
    </rfmt>
    <rfmt sheetId="2" sqref="FV762" start="0" length="0">
      <dxf/>
    </rfmt>
    <rfmt sheetId="2" sqref="FW762" start="0" length="0">
      <dxf/>
    </rfmt>
    <rfmt sheetId="2" sqref="FX762" start="0" length="0">
      <dxf/>
    </rfmt>
    <rfmt sheetId="2" sqref="FY762" start="0" length="0">
      <dxf/>
    </rfmt>
    <rfmt sheetId="2" sqref="FZ762" start="0" length="0">
      <dxf/>
    </rfmt>
    <rfmt sheetId="2" sqref="GA762" start="0" length="0">
      <dxf/>
    </rfmt>
    <rfmt sheetId="2" sqref="GB762" start="0" length="0">
      <dxf/>
    </rfmt>
    <rfmt sheetId="2" sqref="GC762" start="0" length="0">
      <dxf/>
    </rfmt>
    <rfmt sheetId="2" sqref="GD762" start="0" length="0">
      <dxf/>
    </rfmt>
    <rfmt sheetId="2" sqref="GE762" start="0" length="0">
      <dxf/>
    </rfmt>
    <rfmt sheetId="2" sqref="GF762" start="0" length="0">
      <dxf/>
    </rfmt>
    <rfmt sheetId="2" sqref="GG762" start="0" length="0">
      <dxf/>
    </rfmt>
    <rfmt sheetId="2" sqref="GH762" start="0" length="0">
      <dxf/>
    </rfmt>
    <rfmt sheetId="2" sqref="GI762" start="0" length="0">
      <dxf/>
    </rfmt>
    <rfmt sheetId="2" sqref="GJ762" start="0" length="0">
      <dxf/>
    </rfmt>
    <rfmt sheetId="2" sqref="GK762" start="0" length="0">
      <dxf/>
    </rfmt>
    <rfmt sheetId="2" sqref="GL762" start="0" length="0">
      <dxf/>
    </rfmt>
    <rfmt sheetId="2" sqref="GM762" start="0" length="0">
      <dxf/>
    </rfmt>
    <rfmt sheetId="2" sqref="GN762" start="0" length="0">
      <dxf/>
    </rfmt>
    <rfmt sheetId="2" sqref="GO762" start="0" length="0">
      <dxf/>
    </rfmt>
    <rfmt sheetId="2" sqref="GP762" start="0" length="0">
      <dxf/>
    </rfmt>
    <rfmt sheetId="2" sqref="GQ762" start="0" length="0">
      <dxf/>
    </rfmt>
    <rfmt sheetId="2" sqref="GR762" start="0" length="0">
      <dxf/>
    </rfmt>
    <rfmt sheetId="2" sqref="GS762" start="0" length="0">
      <dxf/>
    </rfmt>
    <rfmt sheetId="2" sqref="GT762" start="0" length="0">
      <dxf/>
    </rfmt>
    <rfmt sheetId="2" sqref="GU762" start="0" length="0">
      <dxf/>
    </rfmt>
    <rfmt sheetId="2" sqref="GV762" start="0" length="0">
      <dxf/>
    </rfmt>
    <rfmt sheetId="2" sqref="GW762" start="0" length="0">
      <dxf/>
    </rfmt>
    <rfmt sheetId="2" sqref="GX762" start="0" length="0">
      <dxf/>
    </rfmt>
    <rfmt sheetId="2" sqref="GY762" start="0" length="0">
      <dxf/>
    </rfmt>
    <rfmt sheetId="2" sqref="GZ762" start="0" length="0">
      <dxf/>
    </rfmt>
    <rfmt sheetId="2" sqref="HA762" start="0" length="0">
      <dxf/>
    </rfmt>
    <rfmt sheetId="2" sqref="HB762" start="0" length="0">
      <dxf/>
    </rfmt>
    <rfmt sheetId="2" sqref="HC762" start="0" length="0">
      <dxf/>
    </rfmt>
    <rfmt sheetId="2" sqref="HD762" start="0" length="0">
      <dxf/>
    </rfmt>
    <rfmt sheetId="2" sqref="HE762" start="0" length="0">
      <dxf/>
    </rfmt>
    <rfmt sheetId="2" sqref="HF762" start="0" length="0">
      <dxf/>
    </rfmt>
    <rfmt sheetId="2" sqref="HG762" start="0" length="0">
      <dxf/>
    </rfmt>
    <rfmt sheetId="2" sqref="HH762" start="0" length="0">
      <dxf/>
    </rfmt>
    <rfmt sheetId="2" sqref="HI762" start="0" length="0">
      <dxf/>
    </rfmt>
    <rfmt sheetId="2" sqref="HJ762" start="0" length="0">
      <dxf/>
    </rfmt>
    <rfmt sheetId="2" sqref="HK762" start="0" length="0">
      <dxf/>
    </rfmt>
    <rfmt sheetId="2" sqref="HL762" start="0" length="0">
      <dxf/>
    </rfmt>
    <rfmt sheetId="2" sqref="HM762" start="0" length="0">
      <dxf/>
    </rfmt>
    <rfmt sheetId="2" sqref="HN762" start="0" length="0">
      <dxf/>
    </rfmt>
    <rfmt sheetId="2" sqref="HO762" start="0" length="0">
      <dxf/>
    </rfmt>
    <rfmt sheetId="2" sqref="HP762" start="0" length="0">
      <dxf/>
    </rfmt>
    <rfmt sheetId="2" sqref="HQ762" start="0" length="0">
      <dxf/>
    </rfmt>
    <rfmt sheetId="2" sqref="HR762" start="0" length="0">
      <dxf/>
    </rfmt>
    <rfmt sheetId="2" sqref="HS762" start="0" length="0">
      <dxf/>
    </rfmt>
    <rfmt sheetId="2" sqref="HT762" start="0" length="0">
      <dxf/>
    </rfmt>
    <rfmt sheetId="2" sqref="HU762" start="0" length="0">
      <dxf/>
    </rfmt>
    <rfmt sheetId="2" sqref="HV762" start="0" length="0">
      <dxf/>
    </rfmt>
    <rfmt sheetId="2" sqref="HW762" start="0" length="0">
      <dxf/>
    </rfmt>
    <rfmt sheetId="2" sqref="HX762" start="0" length="0">
      <dxf/>
    </rfmt>
    <rfmt sheetId="2" sqref="HY762" start="0" length="0">
      <dxf/>
    </rfmt>
    <rfmt sheetId="2" sqref="HZ762" start="0" length="0">
      <dxf/>
    </rfmt>
    <rfmt sheetId="2" sqref="IA762" start="0" length="0">
      <dxf/>
    </rfmt>
    <rfmt sheetId="2" sqref="IB762" start="0" length="0">
      <dxf/>
    </rfmt>
    <rfmt sheetId="2" sqref="IC762" start="0" length="0">
      <dxf/>
    </rfmt>
    <rfmt sheetId="2" sqref="ID762" start="0" length="0">
      <dxf/>
    </rfmt>
    <rfmt sheetId="2" sqref="IE762" start="0" length="0">
      <dxf/>
    </rfmt>
    <rfmt sheetId="2" sqref="IF762" start="0" length="0">
      <dxf/>
    </rfmt>
    <rfmt sheetId="2" sqref="IG762" start="0" length="0">
      <dxf/>
    </rfmt>
    <rfmt sheetId="2" sqref="IH762" start="0" length="0">
      <dxf/>
    </rfmt>
    <rfmt sheetId="2" sqref="II762" start="0" length="0">
      <dxf/>
    </rfmt>
    <rfmt sheetId="2" sqref="IJ762" start="0" length="0">
      <dxf/>
    </rfmt>
    <rfmt sheetId="2" sqref="IK762" start="0" length="0">
      <dxf/>
    </rfmt>
    <rfmt sheetId="2" sqref="IL762" start="0" length="0">
      <dxf/>
    </rfmt>
    <rfmt sheetId="2" sqref="IM762" start="0" length="0">
      <dxf/>
    </rfmt>
    <rfmt sheetId="2" sqref="IN762" start="0" length="0">
      <dxf/>
    </rfmt>
    <rfmt sheetId="2" sqref="IO762" start="0" length="0">
      <dxf/>
    </rfmt>
    <rfmt sheetId="2" sqref="IP762" start="0" length="0">
      <dxf/>
    </rfmt>
    <rfmt sheetId="2" sqref="IQ762" start="0" length="0">
      <dxf/>
    </rfmt>
    <rfmt sheetId="2" sqref="IR762" start="0" length="0">
      <dxf/>
    </rfmt>
    <rfmt sheetId="2" sqref="IS762" start="0" length="0">
      <dxf/>
    </rfmt>
    <rfmt sheetId="2" sqref="IT762" start="0" length="0">
      <dxf/>
    </rfmt>
    <rfmt sheetId="2" sqref="IU762" start="0" length="0">
      <dxf/>
    </rfmt>
    <rfmt sheetId="2" sqref="IV762" start="0" length="0">
      <dxf/>
    </rfmt>
    <rfmt sheetId="2" sqref="IW762" start="0" length="0">
      <dxf/>
    </rfmt>
    <rfmt sheetId="2" sqref="IX762" start="0" length="0">
      <dxf/>
    </rfmt>
    <rfmt sheetId="2" sqref="IY762" start="0" length="0">
      <dxf/>
    </rfmt>
    <rfmt sheetId="2" sqref="IZ762" start="0" length="0">
      <dxf/>
    </rfmt>
    <rfmt sheetId="2" sqref="JA762" start="0" length="0">
      <dxf/>
    </rfmt>
    <rfmt sheetId="2" sqref="JB762" start="0" length="0">
      <dxf/>
    </rfmt>
    <rfmt sheetId="2" sqref="JC762" start="0" length="0">
      <dxf/>
    </rfmt>
    <rfmt sheetId="2" sqref="JD762" start="0" length="0">
      <dxf/>
    </rfmt>
    <rfmt sheetId="2" sqref="JE762" start="0" length="0">
      <dxf/>
    </rfmt>
    <rfmt sheetId="2" sqref="JF762" start="0" length="0">
      <dxf/>
    </rfmt>
    <rfmt sheetId="2" sqref="JG762" start="0" length="0">
      <dxf/>
    </rfmt>
    <rfmt sheetId="2" sqref="JH762" start="0" length="0">
      <dxf/>
    </rfmt>
    <rfmt sheetId="2" sqref="JI762" start="0" length="0">
      <dxf/>
    </rfmt>
    <rfmt sheetId="2" sqref="JJ762" start="0" length="0">
      <dxf/>
    </rfmt>
    <rfmt sheetId="2" sqref="JK762" start="0" length="0">
      <dxf/>
    </rfmt>
    <rfmt sheetId="2" sqref="JL762" start="0" length="0">
      <dxf/>
    </rfmt>
    <rfmt sheetId="2" sqref="JM762" start="0" length="0">
      <dxf/>
    </rfmt>
    <rfmt sheetId="2" sqref="JN762" start="0" length="0">
      <dxf/>
    </rfmt>
    <rfmt sheetId="2" sqref="JO762" start="0" length="0">
      <dxf/>
    </rfmt>
    <rfmt sheetId="2" sqref="JP762" start="0" length="0">
      <dxf/>
    </rfmt>
    <rfmt sheetId="2" sqref="JQ762" start="0" length="0">
      <dxf/>
    </rfmt>
    <rfmt sheetId="2" sqref="JR762" start="0" length="0">
      <dxf/>
    </rfmt>
    <rfmt sheetId="2" sqref="JS762" start="0" length="0">
      <dxf/>
    </rfmt>
    <rfmt sheetId="2" sqref="JT762" start="0" length="0">
      <dxf/>
    </rfmt>
    <rfmt sheetId="2" sqref="JU762" start="0" length="0">
      <dxf/>
    </rfmt>
    <rfmt sheetId="2" sqref="JV762" start="0" length="0">
      <dxf/>
    </rfmt>
    <rfmt sheetId="2" sqref="JW762" start="0" length="0">
      <dxf/>
    </rfmt>
    <rfmt sheetId="2" sqref="JX762" start="0" length="0">
      <dxf/>
    </rfmt>
    <rfmt sheetId="2" sqref="JY762" start="0" length="0">
      <dxf/>
    </rfmt>
    <rfmt sheetId="2" sqref="JZ762" start="0" length="0">
      <dxf/>
    </rfmt>
    <rfmt sheetId="2" sqref="KA762" start="0" length="0">
      <dxf/>
    </rfmt>
    <rfmt sheetId="2" sqref="KB762" start="0" length="0">
      <dxf/>
    </rfmt>
    <rfmt sheetId="2" sqref="KC762" start="0" length="0">
      <dxf/>
    </rfmt>
    <rfmt sheetId="2" sqref="KD762" start="0" length="0">
      <dxf/>
    </rfmt>
    <rfmt sheetId="2" sqref="KE762" start="0" length="0">
      <dxf/>
    </rfmt>
    <rfmt sheetId="2" sqref="KF762" start="0" length="0">
      <dxf/>
    </rfmt>
    <rfmt sheetId="2" sqref="KG762" start="0" length="0">
      <dxf/>
    </rfmt>
    <rfmt sheetId="2" sqref="KH762" start="0" length="0">
      <dxf/>
    </rfmt>
    <rfmt sheetId="2" sqref="KI762" start="0" length="0">
      <dxf/>
    </rfmt>
    <rfmt sheetId="2" sqref="KJ762" start="0" length="0">
      <dxf/>
    </rfmt>
    <rfmt sheetId="2" sqref="KK762" start="0" length="0">
      <dxf/>
    </rfmt>
    <rfmt sheetId="2" sqref="KL762" start="0" length="0">
      <dxf/>
    </rfmt>
    <rfmt sheetId="2" sqref="KM762" start="0" length="0">
      <dxf/>
    </rfmt>
    <rfmt sheetId="2" sqref="KN762" start="0" length="0">
      <dxf/>
    </rfmt>
    <rfmt sheetId="2" sqref="KO762" start="0" length="0">
      <dxf/>
    </rfmt>
    <rfmt sheetId="2" sqref="KP762" start="0" length="0">
      <dxf/>
    </rfmt>
    <rfmt sheetId="2" sqref="KQ762" start="0" length="0">
      <dxf/>
    </rfmt>
    <rfmt sheetId="2" sqref="KR762" start="0" length="0">
      <dxf/>
    </rfmt>
    <rfmt sheetId="2" sqref="KS762" start="0" length="0">
      <dxf/>
    </rfmt>
    <rfmt sheetId="2" sqref="KT762" start="0" length="0">
      <dxf/>
    </rfmt>
    <rfmt sheetId="2" sqref="KU762" start="0" length="0">
      <dxf/>
    </rfmt>
    <rfmt sheetId="2" sqref="KV762" start="0" length="0">
      <dxf/>
    </rfmt>
    <rfmt sheetId="2" sqref="KW762" start="0" length="0">
      <dxf/>
    </rfmt>
    <rfmt sheetId="2" sqref="KX762" start="0" length="0">
      <dxf/>
    </rfmt>
    <rfmt sheetId="2" sqref="KY762" start="0" length="0">
      <dxf/>
    </rfmt>
    <rfmt sheetId="2" sqref="KZ762" start="0" length="0">
      <dxf/>
    </rfmt>
    <rfmt sheetId="2" sqref="LA762" start="0" length="0">
      <dxf/>
    </rfmt>
    <rfmt sheetId="2" sqref="LB762" start="0" length="0">
      <dxf/>
    </rfmt>
    <rfmt sheetId="2" sqref="LC762" start="0" length="0">
      <dxf/>
    </rfmt>
    <rfmt sheetId="2" sqref="LD762" start="0" length="0">
      <dxf/>
    </rfmt>
    <rfmt sheetId="2" sqref="LE762" start="0" length="0">
      <dxf/>
    </rfmt>
    <rfmt sheetId="2" sqref="LF762" start="0" length="0">
      <dxf/>
    </rfmt>
    <rfmt sheetId="2" sqref="LG762" start="0" length="0">
      <dxf/>
    </rfmt>
    <rfmt sheetId="2" sqref="LH762" start="0" length="0">
      <dxf/>
    </rfmt>
    <rfmt sheetId="2" sqref="LI762" start="0" length="0">
      <dxf/>
    </rfmt>
    <rfmt sheetId="2" sqref="LJ762" start="0" length="0">
      <dxf/>
    </rfmt>
    <rfmt sheetId="2" sqref="LK762" start="0" length="0">
      <dxf/>
    </rfmt>
    <rfmt sheetId="2" sqref="LL762" start="0" length="0">
      <dxf/>
    </rfmt>
    <rfmt sheetId="2" sqref="LM762" start="0" length="0">
      <dxf/>
    </rfmt>
    <rfmt sheetId="2" sqref="LN762" start="0" length="0">
      <dxf/>
    </rfmt>
    <rfmt sheetId="2" sqref="LO762" start="0" length="0">
      <dxf/>
    </rfmt>
    <rfmt sheetId="2" sqref="LP762" start="0" length="0">
      <dxf/>
    </rfmt>
    <rfmt sheetId="2" sqref="LQ762" start="0" length="0">
      <dxf/>
    </rfmt>
    <rfmt sheetId="2" sqref="LR762" start="0" length="0">
      <dxf/>
    </rfmt>
    <rfmt sheetId="2" sqref="LS762" start="0" length="0">
      <dxf/>
    </rfmt>
    <rfmt sheetId="2" sqref="LT762" start="0" length="0">
      <dxf/>
    </rfmt>
    <rfmt sheetId="2" sqref="LU762" start="0" length="0">
      <dxf/>
    </rfmt>
    <rfmt sheetId="2" sqref="LV762" start="0" length="0">
      <dxf/>
    </rfmt>
    <rfmt sheetId="2" sqref="LW762" start="0" length="0">
      <dxf/>
    </rfmt>
    <rfmt sheetId="2" sqref="LX762" start="0" length="0">
      <dxf/>
    </rfmt>
    <rfmt sheetId="2" sqref="LY762" start="0" length="0">
      <dxf/>
    </rfmt>
    <rfmt sheetId="2" sqref="LZ762" start="0" length="0">
      <dxf/>
    </rfmt>
    <rfmt sheetId="2" sqref="MA762" start="0" length="0">
      <dxf/>
    </rfmt>
    <rfmt sheetId="2" sqref="MB762" start="0" length="0">
      <dxf/>
    </rfmt>
  </rm>
  <rrc rId="2105" sId="2" ref="A770:XFD770" action="deleteRow"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70:XFD770" start="0" length="0">
      <dxf>
        <font>
          <sz val="10"/>
          <name val="Arial"/>
          <scheme val="none"/>
        </font>
        <alignment horizontal="center" readingOrder="0"/>
      </dxf>
    </rfmt>
    <rfmt sheetId="2" sqref="A77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0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0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0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0" start="0" length="0">
      <dxf>
        <numFmt numFmtId="176" formatCode="m/d;@"/>
      </dxf>
    </rfmt>
    <rfmt sheetId="2" sqref="P770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0" start="0" length="0">
      <dxf/>
    </rfmt>
    <rfmt sheetId="2" sqref="U770" start="0" length="0">
      <dxf/>
    </rfmt>
    <rfmt sheetId="2" sqref="V770" start="0" length="0">
      <dxf/>
    </rfmt>
    <rfmt sheetId="2" sqref="W770" start="0" length="0">
      <dxf/>
    </rfmt>
    <rfmt sheetId="2" sqref="X770" start="0" length="0">
      <dxf/>
    </rfmt>
    <rfmt sheetId="2" sqref="Y770" start="0" length="0">
      <dxf/>
    </rfmt>
    <rfmt sheetId="2" sqref="Z770" start="0" length="0">
      <dxf/>
    </rfmt>
    <rfmt sheetId="2" sqref="AA770" start="0" length="0">
      <dxf/>
    </rfmt>
    <rfmt sheetId="2" sqref="AB770" start="0" length="0">
      <dxf/>
    </rfmt>
    <rfmt sheetId="2" sqref="AC770" start="0" length="0">
      <dxf/>
    </rfmt>
    <rfmt sheetId="2" sqref="AD770" start="0" length="0">
      <dxf/>
    </rfmt>
    <rfmt sheetId="2" sqref="AE770" start="0" length="0">
      <dxf/>
    </rfmt>
    <rfmt sheetId="2" sqref="AF770" start="0" length="0">
      <dxf/>
    </rfmt>
    <rfmt sheetId="2" sqref="AG770" start="0" length="0">
      <dxf/>
    </rfmt>
    <rfmt sheetId="2" sqref="AH770" start="0" length="0">
      <dxf/>
    </rfmt>
    <rfmt sheetId="2" sqref="AI770" start="0" length="0">
      <dxf/>
    </rfmt>
    <rfmt sheetId="2" sqref="AJ770" start="0" length="0">
      <dxf/>
    </rfmt>
    <rfmt sheetId="2" sqref="AK770" start="0" length="0">
      <dxf/>
    </rfmt>
    <rfmt sheetId="2" sqref="AL770" start="0" length="0">
      <dxf/>
    </rfmt>
    <rfmt sheetId="2" sqref="AM770" start="0" length="0">
      <dxf/>
    </rfmt>
    <rfmt sheetId="2" sqref="AN770" start="0" length="0">
      <dxf/>
    </rfmt>
    <rfmt sheetId="2" sqref="AO770" start="0" length="0">
      <dxf/>
    </rfmt>
    <rfmt sheetId="2" sqref="AP770" start="0" length="0">
      <dxf/>
    </rfmt>
    <rfmt sheetId="2" sqref="AQ770" start="0" length="0">
      <dxf/>
    </rfmt>
    <rfmt sheetId="2" sqref="AR770" start="0" length="0">
      <dxf/>
    </rfmt>
    <rfmt sheetId="2" sqref="AS770" start="0" length="0">
      <dxf/>
    </rfmt>
    <rfmt sheetId="2" sqref="AT770" start="0" length="0">
      <dxf/>
    </rfmt>
    <rfmt sheetId="2" sqref="AU770" start="0" length="0">
      <dxf/>
    </rfmt>
    <rfmt sheetId="2" sqref="AV770" start="0" length="0">
      <dxf/>
    </rfmt>
    <rfmt sheetId="2" sqref="AW770" start="0" length="0">
      <dxf/>
    </rfmt>
    <rfmt sheetId="2" sqref="AX770" start="0" length="0">
      <dxf/>
    </rfmt>
    <rfmt sheetId="2" sqref="AY770" start="0" length="0">
      <dxf/>
    </rfmt>
    <rfmt sheetId="2" sqref="AZ770" start="0" length="0">
      <dxf/>
    </rfmt>
    <rfmt sheetId="2" sqref="BA770" start="0" length="0">
      <dxf/>
    </rfmt>
    <rfmt sheetId="2" sqref="BB770" start="0" length="0">
      <dxf/>
    </rfmt>
    <rfmt sheetId="2" sqref="BC770" start="0" length="0">
      <dxf/>
    </rfmt>
    <rfmt sheetId="2" sqref="BD770" start="0" length="0">
      <dxf/>
    </rfmt>
    <rfmt sheetId="2" sqref="BE770" start="0" length="0">
      <dxf/>
    </rfmt>
    <rfmt sheetId="2" sqref="BF770" start="0" length="0">
      <dxf/>
    </rfmt>
    <rfmt sheetId="2" sqref="BG770" start="0" length="0">
      <dxf/>
    </rfmt>
    <rfmt sheetId="2" sqref="BH770" start="0" length="0">
      <dxf/>
    </rfmt>
    <rfmt sheetId="2" sqref="BI770" start="0" length="0">
      <dxf/>
    </rfmt>
    <rfmt sheetId="2" sqref="BJ770" start="0" length="0">
      <dxf/>
    </rfmt>
    <rfmt sheetId="2" sqref="BK770" start="0" length="0">
      <dxf/>
    </rfmt>
    <rfmt sheetId="2" sqref="BL770" start="0" length="0">
      <dxf/>
    </rfmt>
    <rfmt sheetId="2" sqref="BM770" start="0" length="0">
      <dxf/>
    </rfmt>
    <rfmt sheetId="2" sqref="BN770" start="0" length="0">
      <dxf/>
    </rfmt>
    <rfmt sheetId="2" sqref="BO770" start="0" length="0">
      <dxf/>
    </rfmt>
    <rfmt sheetId="2" sqref="BP770" start="0" length="0">
      <dxf/>
    </rfmt>
    <rfmt sheetId="2" sqref="BQ770" start="0" length="0">
      <dxf/>
    </rfmt>
    <rfmt sheetId="2" sqref="BR770" start="0" length="0">
      <dxf/>
    </rfmt>
    <rfmt sheetId="2" sqref="BS770" start="0" length="0">
      <dxf/>
    </rfmt>
    <rfmt sheetId="2" sqref="BT770" start="0" length="0">
      <dxf/>
    </rfmt>
    <rfmt sheetId="2" sqref="BU770" start="0" length="0">
      <dxf/>
    </rfmt>
    <rfmt sheetId="2" sqref="BV770" start="0" length="0">
      <dxf/>
    </rfmt>
    <rfmt sheetId="2" sqref="BW770" start="0" length="0">
      <dxf/>
    </rfmt>
    <rfmt sheetId="2" sqref="BX770" start="0" length="0">
      <dxf/>
    </rfmt>
    <rfmt sheetId="2" sqref="BY770" start="0" length="0">
      <dxf/>
    </rfmt>
    <rfmt sheetId="2" sqref="BZ770" start="0" length="0">
      <dxf/>
    </rfmt>
    <rfmt sheetId="2" sqref="CA770" start="0" length="0">
      <dxf/>
    </rfmt>
    <rfmt sheetId="2" sqref="CB770" start="0" length="0">
      <dxf/>
    </rfmt>
    <rfmt sheetId="2" sqref="CC770" start="0" length="0">
      <dxf/>
    </rfmt>
    <rfmt sheetId="2" sqref="CD770" start="0" length="0">
      <dxf/>
    </rfmt>
    <rfmt sheetId="2" sqref="CE770" start="0" length="0">
      <dxf/>
    </rfmt>
    <rfmt sheetId="2" sqref="CF770" start="0" length="0">
      <dxf/>
    </rfmt>
    <rfmt sheetId="2" sqref="CG770" start="0" length="0">
      <dxf/>
    </rfmt>
    <rfmt sheetId="2" sqref="CH770" start="0" length="0">
      <dxf/>
    </rfmt>
    <rfmt sheetId="2" sqref="CI770" start="0" length="0">
      <dxf/>
    </rfmt>
    <rfmt sheetId="2" sqref="CJ770" start="0" length="0">
      <dxf/>
    </rfmt>
    <rfmt sheetId="2" sqref="CK770" start="0" length="0">
      <dxf/>
    </rfmt>
    <rfmt sheetId="2" sqref="CL770" start="0" length="0">
      <dxf/>
    </rfmt>
    <rfmt sheetId="2" sqref="CM770" start="0" length="0">
      <dxf/>
    </rfmt>
    <rfmt sheetId="2" sqref="CN770" start="0" length="0">
      <dxf/>
    </rfmt>
    <rfmt sheetId="2" sqref="CO770" start="0" length="0">
      <dxf/>
    </rfmt>
    <rfmt sheetId="2" sqref="CP770" start="0" length="0">
      <dxf/>
    </rfmt>
    <rfmt sheetId="2" sqref="CQ770" start="0" length="0">
      <dxf/>
    </rfmt>
    <rfmt sheetId="2" sqref="CR770" start="0" length="0">
      <dxf/>
    </rfmt>
    <rfmt sheetId="2" sqref="CS770" start="0" length="0">
      <dxf/>
    </rfmt>
    <rfmt sheetId="2" sqref="CT770" start="0" length="0">
      <dxf/>
    </rfmt>
    <rfmt sheetId="2" sqref="CU770" start="0" length="0">
      <dxf/>
    </rfmt>
    <rfmt sheetId="2" sqref="CV770" start="0" length="0">
      <dxf/>
    </rfmt>
    <rfmt sheetId="2" sqref="CW770" start="0" length="0">
      <dxf/>
    </rfmt>
    <rfmt sheetId="2" sqref="CX770" start="0" length="0">
      <dxf/>
    </rfmt>
    <rfmt sheetId="2" sqref="CY770" start="0" length="0">
      <dxf/>
    </rfmt>
    <rfmt sheetId="2" sqref="CZ770" start="0" length="0">
      <dxf/>
    </rfmt>
    <rfmt sheetId="2" sqref="DA770" start="0" length="0">
      <dxf/>
    </rfmt>
    <rfmt sheetId="2" sqref="DB770" start="0" length="0">
      <dxf/>
    </rfmt>
    <rfmt sheetId="2" sqref="DC770" start="0" length="0">
      <dxf/>
    </rfmt>
    <rfmt sheetId="2" sqref="DD770" start="0" length="0">
      <dxf/>
    </rfmt>
    <rfmt sheetId="2" sqref="DE770" start="0" length="0">
      <dxf/>
    </rfmt>
    <rfmt sheetId="2" sqref="DF770" start="0" length="0">
      <dxf/>
    </rfmt>
    <rfmt sheetId="2" sqref="DG770" start="0" length="0">
      <dxf/>
    </rfmt>
    <rfmt sheetId="2" sqref="DH770" start="0" length="0">
      <dxf/>
    </rfmt>
    <rfmt sheetId="2" sqref="DI770" start="0" length="0">
      <dxf/>
    </rfmt>
    <rfmt sheetId="2" sqref="DJ770" start="0" length="0">
      <dxf/>
    </rfmt>
    <rfmt sheetId="2" sqref="DK770" start="0" length="0">
      <dxf/>
    </rfmt>
    <rfmt sheetId="2" sqref="DL770" start="0" length="0">
      <dxf/>
    </rfmt>
    <rfmt sheetId="2" sqref="DM770" start="0" length="0">
      <dxf/>
    </rfmt>
    <rfmt sheetId="2" sqref="DN770" start="0" length="0">
      <dxf/>
    </rfmt>
    <rfmt sheetId="2" sqref="DO770" start="0" length="0">
      <dxf/>
    </rfmt>
    <rfmt sheetId="2" sqref="DP770" start="0" length="0">
      <dxf/>
    </rfmt>
    <rfmt sheetId="2" sqref="DQ770" start="0" length="0">
      <dxf/>
    </rfmt>
    <rfmt sheetId="2" sqref="DR770" start="0" length="0">
      <dxf/>
    </rfmt>
    <rfmt sheetId="2" sqref="DS770" start="0" length="0">
      <dxf/>
    </rfmt>
    <rfmt sheetId="2" sqref="DT770" start="0" length="0">
      <dxf/>
    </rfmt>
    <rfmt sheetId="2" sqref="DU770" start="0" length="0">
      <dxf/>
    </rfmt>
    <rfmt sheetId="2" sqref="DV770" start="0" length="0">
      <dxf/>
    </rfmt>
    <rfmt sheetId="2" sqref="DW770" start="0" length="0">
      <dxf/>
    </rfmt>
    <rfmt sheetId="2" sqref="DX770" start="0" length="0">
      <dxf/>
    </rfmt>
    <rfmt sheetId="2" sqref="DY770" start="0" length="0">
      <dxf/>
    </rfmt>
    <rfmt sheetId="2" sqref="DZ770" start="0" length="0">
      <dxf/>
    </rfmt>
    <rfmt sheetId="2" sqref="EA770" start="0" length="0">
      <dxf/>
    </rfmt>
    <rfmt sheetId="2" sqref="EB770" start="0" length="0">
      <dxf/>
    </rfmt>
    <rfmt sheetId="2" sqref="EC770" start="0" length="0">
      <dxf/>
    </rfmt>
    <rfmt sheetId="2" sqref="ED770" start="0" length="0">
      <dxf/>
    </rfmt>
    <rfmt sheetId="2" sqref="EE770" start="0" length="0">
      <dxf/>
    </rfmt>
    <rfmt sheetId="2" sqref="EF770" start="0" length="0">
      <dxf/>
    </rfmt>
    <rfmt sheetId="2" sqref="EG770" start="0" length="0">
      <dxf/>
    </rfmt>
    <rfmt sheetId="2" sqref="EH770" start="0" length="0">
      <dxf/>
    </rfmt>
    <rfmt sheetId="2" sqref="EI770" start="0" length="0">
      <dxf/>
    </rfmt>
    <rfmt sheetId="2" sqref="EJ770" start="0" length="0">
      <dxf/>
    </rfmt>
    <rfmt sheetId="2" sqref="EK770" start="0" length="0">
      <dxf/>
    </rfmt>
    <rfmt sheetId="2" sqref="EL770" start="0" length="0">
      <dxf/>
    </rfmt>
    <rfmt sheetId="2" sqref="EM770" start="0" length="0">
      <dxf/>
    </rfmt>
    <rfmt sheetId="2" sqref="EN770" start="0" length="0">
      <dxf/>
    </rfmt>
    <rfmt sheetId="2" sqref="EO770" start="0" length="0">
      <dxf/>
    </rfmt>
    <rfmt sheetId="2" sqref="EP770" start="0" length="0">
      <dxf/>
    </rfmt>
    <rfmt sheetId="2" sqref="EQ770" start="0" length="0">
      <dxf/>
    </rfmt>
    <rfmt sheetId="2" sqref="ER770" start="0" length="0">
      <dxf/>
    </rfmt>
    <rfmt sheetId="2" sqref="ES770" start="0" length="0">
      <dxf/>
    </rfmt>
    <rfmt sheetId="2" sqref="ET770" start="0" length="0">
      <dxf/>
    </rfmt>
    <rfmt sheetId="2" sqref="EU770" start="0" length="0">
      <dxf/>
    </rfmt>
    <rfmt sheetId="2" sqref="EV770" start="0" length="0">
      <dxf/>
    </rfmt>
    <rfmt sheetId="2" sqref="EW770" start="0" length="0">
      <dxf/>
    </rfmt>
    <rfmt sheetId="2" sqref="EX770" start="0" length="0">
      <dxf/>
    </rfmt>
    <rfmt sheetId="2" sqref="EY770" start="0" length="0">
      <dxf/>
    </rfmt>
    <rfmt sheetId="2" sqref="EZ770" start="0" length="0">
      <dxf/>
    </rfmt>
    <rfmt sheetId="2" sqref="FA770" start="0" length="0">
      <dxf/>
    </rfmt>
    <rfmt sheetId="2" sqref="FB770" start="0" length="0">
      <dxf/>
    </rfmt>
    <rfmt sheetId="2" sqref="FC770" start="0" length="0">
      <dxf/>
    </rfmt>
    <rfmt sheetId="2" sqref="FD770" start="0" length="0">
      <dxf/>
    </rfmt>
    <rfmt sheetId="2" sqref="FE770" start="0" length="0">
      <dxf/>
    </rfmt>
    <rfmt sheetId="2" sqref="FF770" start="0" length="0">
      <dxf/>
    </rfmt>
    <rfmt sheetId="2" sqref="FG770" start="0" length="0">
      <dxf/>
    </rfmt>
    <rfmt sheetId="2" sqref="FH770" start="0" length="0">
      <dxf/>
    </rfmt>
    <rfmt sheetId="2" sqref="FI770" start="0" length="0">
      <dxf/>
    </rfmt>
    <rfmt sheetId="2" sqref="FJ770" start="0" length="0">
      <dxf/>
    </rfmt>
    <rfmt sheetId="2" sqref="FK770" start="0" length="0">
      <dxf/>
    </rfmt>
    <rfmt sheetId="2" sqref="FL770" start="0" length="0">
      <dxf/>
    </rfmt>
    <rfmt sheetId="2" sqref="FM770" start="0" length="0">
      <dxf/>
    </rfmt>
    <rfmt sheetId="2" sqref="FN770" start="0" length="0">
      <dxf/>
    </rfmt>
    <rfmt sheetId="2" sqref="FO770" start="0" length="0">
      <dxf/>
    </rfmt>
    <rfmt sheetId="2" sqref="FP770" start="0" length="0">
      <dxf/>
    </rfmt>
    <rfmt sheetId="2" sqref="FQ770" start="0" length="0">
      <dxf/>
    </rfmt>
    <rfmt sheetId="2" sqref="FR770" start="0" length="0">
      <dxf/>
    </rfmt>
    <rfmt sheetId="2" sqref="FS770" start="0" length="0">
      <dxf/>
    </rfmt>
    <rfmt sheetId="2" sqref="FT770" start="0" length="0">
      <dxf/>
    </rfmt>
    <rfmt sheetId="2" sqref="FU770" start="0" length="0">
      <dxf/>
    </rfmt>
    <rfmt sheetId="2" sqref="FV770" start="0" length="0">
      <dxf/>
    </rfmt>
    <rfmt sheetId="2" sqref="FW770" start="0" length="0">
      <dxf/>
    </rfmt>
    <rfmt sheetId="2" sqref="FX770" start="0" length="0">
      <dxf/>
    </rfmt>
    <rfmt sheetId="2" sqref="FY770" start="0" length="0">
      <dxf/>
    </rfmt>
    <rfmt sheetId="2" sqref="FZ770" start="0" length="0">
      <dxf/>
    </rfmt>
    <rfmt sheetId="2" sqref="GA770" start="0" length="0">
      <dxf/>
    </rfmt>
    <rfmt sheetId="2" sqref="GB770" start="0" length="0">
      <dxf/>
    </rfmt>
    <rfmt sheetId="2" sqref="GC770" start="0" length="0">
      <dxf/>
    </rfmt>
    <rfmt sheetId="2" sqref="GD770" start="0" length="0">
      <dxf/>
    </rfmt>
    <rfmt sheetId="2" sqref="GE770" start="0" length="0">
      <dxf/>
    </rfmt>
    <rfmt sheetId="2" sqref="GF770" start="0" length="0">
      <dxf/>
    </rfmt>
    <rfmt sheetId="2" sqref="GG770" start="0" length="0">
      <dxf/>
    </rfmt>
    <rfmt sheetId="2" sqref="GH770" start="0" length="0">
      <dxf/>
    </rfmt>
    <rfmt sheetId="2" sqref="GI770" start="0" length="0">
      <dxf/>
    </rfmt>
    <rfmt sheetId="2" sqref="GJ770" start="0" length="0">
      <dxf/>
    </rfmt>
    <rfmt sheetId="2" sqref="GK770" start="0" length="0">
      <dxf/>
    </rfmt>
    <rfmt sheetId="2" sqref="GL770" start="0" length="0">
      <dxf/>
    </rfmt>
    <rfmt sheetId="2" sqref="GM770" start="0" length="0">
      <dxf/>
    </rfmt>
    <rfmt sheetId="2" sqref="GN770" start="0" length="0">
      <dxf/>
    </rfmt>
    <rfmt sheetId="2" sqref="GO770" start="0" length="0">
      <dxf/>
    </rfmt>
    <rfmt sheetId="2" sqref="GP770" start="0" length="0">
      <dxf/>
    </rfmt>
    <rfmt sheetId="2" sqref="GQ770" start="0" length="0">
      <dxf/>
    </rfmt>
    <rfmt sheetId="2" sqref="GR770" start="0" length="0">
      <dxf/>
    </rfmt>
    <rfmt sheetId="2" sqref="GS770" start="0" length="0">
      <dxf/>
    </rfmt>
    <rfmt sheetId="2" sqref="GT770" start="0" length="0">
      <dxf/>
    </rfmt>
    <rfmt sheetId="2" sqref="GU770" start="0" length="0">
      <dxf/>
    </rfmt>
    <rfmt sheetId="2" sqref="GV770" start="0" length="0">
      <dxf/>
    </rfmt>
    <rfmt sheetId="2" sqref="GW770" start="0" length="0">
      <dxf/>
    </rfmt>
    <rfmt sheetId="2" sqref="GX770" start="0" length="0">
      <dxf/>
    </rfmt>
    <rfmt sheetId="2" sqref="GY770" start="0" length="0">
      <dxf/>
    </rfmt>
    <rfmt sheetId="2" sqref="GZ770" start="0" length="0">
      <dxf/>
    </rfmt>
    <rfmt sheetId="2" sqref="HA770" start="0" length="0">
      <dxf/>
    </rfmt>
    <rfmt sheetId="2" sqref="HB770" start="0" length="0">
      <dxf/>
    </rfmt>
    <rfmt sheetId="2" sqref="HC770" start="0" length="0">
      <dxf/>
    </rfmt>
    <rfmt sheetId="2" sqref="HD770" start="0" length="0">
      <dxf/>
    </rfmt>
    <rfmt sheetId="2" sqref="HE770" start="0" length="0">
      <dxf/>
    </rfmt>
    <rfmt sheetId="2" sqref="HF770" start="0" length="0">
      <dxf/>
    </rfmt>
    <rfmt sheetId="2" sqref="HG770" start="0" length="0">
      <dxf/>
    </rfmt>
    <rfmt sheetId="2" sqref="HH770" start="0" length="0">
      <dxf/>
    </rfmt>
    <rfmt sheetId="2" sqref="HI770" start="0" length="0">
      <dxf/>
    </rfmt>
    <rfmt sheetId="2" sqref="HJ770" start="0" length="0">
      <dxf/>
    </rfmt>
    <rfmt sheetId="2" sqref="HK770" start="0" length="0">
      <dxf/>
    </rfmt>
    <rfmt sheetId="2" sqref="HL770" start="0" length="0">
      <dxf/>
    </rfmt>
    <rfmt sheetId="2" sqref="HM770" start="0" length="0">
      <dxf/>
    </rfmt>
    <rfmt sheetId="2" sqref="HN770" start="0" length="0">
      <dxf/>
    </rfmt>
    <rfmt sheetId="2" sqref="HO770" start="0" length="0">
      <dxf/>
    </rfmt>
    <rfmt sheetId="2" sqref="HP770" start="0" length="0">
      <dxf/>
    </rfmt>
    <rfmt sheetId="2" sqref="HQ770" start="0" length="0">
      <dxf/>
    </rfmt>
    <rfmt sheetId="2" sqref="HR770" start="0" length="0">
      <dxf/>
    </rfmt>
    <rfmt sheetId="2" sqref="HS770" start="0" length="0">
      <dxf/>
    </rfmt>
    <rfmt sheetId="2" sqref="HT770" start="0" length="0">
      <dxf/>
    </rfmt>
    <rfmt sheetId="2" sqref="HU770" start="0" length="0">
      <dxf/>
    </rfmt>
    <rfmt sheetId="2" sqref="HV770" start="0" length="0">
      <dxf/>
    </rfmt>
    <rfmt sheetId="2" sqref="HW770" start="0" length="0">
      <dxf/>
    </rfmt>
    <rfmt sheetId="2" sqref="HX770" start="0" length="0">
      <dxf/>
    </rfmt>
    <rfmt sheetId="2" sqref="HY770" start="0" length="0">
      <dxf/>
    </rfmt>
    <rfmt sheetId="2" sqref="HZ770" start="0" length="0">
      <dxf/>
    </rfmt>
    <rfmt sheetId="2" sqref="IA770" start="0" length="0">
      <dxf/>
    </rfmt>
    <rfmt sheetId="2" sqref="IB770" start="0" length="0">
      <dxf/>
    </rfmt>
    <rfmt sheetId="2" sqref="IC770" start="0" length="0">
      <dxf/>
    </rfmt>
    <rfmt sheetId="2" sqref="ID770" start="0" length="0">
      <dxf/>
    </rfmt>
    <rfmt sheetId="2" sqref="IE770" start="0" length="0">
      <dxf/>
    </rfmt>
    <rfmt sheetId="2" sqref="IF770" start="0" length="0">
      <dxf/>
    </rfmt>
    <rfmt sheetId="2" sqref="IG770" start="0" length="0">
      <dxf/>
    </rfmt>
    <rfmt sheetId="2" sqref="IH770" start="0" length="0">
      <dxf/>
    </rfmt>
    <rfmt sheetId="2" sqref="II770" start="0" length="0">
      <dxf/>
    </rfmt>
    <rfmt sheetId="2" sqref="IJ770" start="0" length="0">
      <dxf/>
    </rfmt>
    <rfmt sheetId="2" sqref="IK770" start="0" length="0">
      <dxf/>
    </rfmt>
    <rfmt sheetId="2" sqref="IL770" start="0" length="0">
      <dxf/>
    </rfmt>
    <rfmt sheetId="2" sqref="IM770" start="0" length="0">
      <dxf/>
    </rfmt>
    <rfmt sheetId="2" sqref="IN770" start="0" length="0">
      <dxf/>
    </rfmt>
    <rfmt sheetId="2" sqref="IO770" start="0" length="0">
      <dxf/>
    </rfmt>
    <rfmt sheetId="2" sqref="IP770" start="0" length="0">
      <dxf/>
    </rfmt>
    <rfmt sheetId="2" sqref="IQ770" start="0" length="0">
      <dxf/>
    </rfmt>
    <rfmt sheetId="2" sqref="IR770" start="0" length="0">
      <dxf/>
    </rfmt>
    <rfmt sheetId="2" sqref="IS770" start="0" length="0">
      <dxf/>
    </rfmt>
    <rfmt sheetId="2" sqref="IT770" start="0" length="0">
      <dxf/>
    </rfmt>
    <rfmt sheetId="2" sqref="IU770" start="0" length="0">
      <dxf/>
    </rfmt>
    <rfmt sheetId="2" sqref="IV770" start="0" length="0">
      <dxf/>
    </rfmt>
    <rfmt sheetId="2" sqref="IW770" start="0" length="0">
      <dxf/>
    </rfmt>
    <rfmt sheetId="2" sqref="IX770" start="0" length="0">
      <dxf/>
    </rfmt>
    <rfmt sheetId="2" sqref="IY770" start="0" length="0">
      <dxf/>
    </rfmt>
    <rfmt sheetId="2" sqref="IZ770" start="0" length="0">
      <dxf/>
    </rfmt>
    <rfmt sheetId="2" sqref="JA770" start="0" length="0">
      <dxf/>
    </rfmt>
    <rfmt sheetId="2" sqref="JB770" start="0" length="0">
      <dxf/>
    </rfmt>
    <rfmt sheetId="2" sqref="JC770" start="0" length="0">
      <dxf/>
    </rfmt>
    <rfmt sheetId="2" sqref="JD770" start="0" length="0">
      <dxf/>
    </rfmt>
    <rfmt sheetId="2" sqref="JE770" start="0" length="0">
      <dxf/>
    </rfmt>
    <rfmt sheetId="2" sqref="JF770" start="0" length="0">
      <dxf/>
    </rfmt>
    <rfmt sheetId="2" sqref="JG770" start="0" length="0">
      <dxf/>
    </rfmt>
    <rfmt sheetId="2" sqref="JH770" start="0" length="0">
      <dxf/>
    </rfmt>
    <rfmt sheetId="2" sqref="JI770" start="0" length="0">
      <dxf/>
    </rfmt>
    <rfmt sheetId="2" sqref="JJ770" start="0" length="0">
      <dxf/>
    </rfmt>
    <rfmt sheetId="2" sqref="JK770" start="0" length="0">
      <dxf/>
    </rfmt>
    <rfmt sheetId="2" sqref="JL770" start="0" length="0">
      <dxf/>
    </rfmt>
    <rfmt sheetId="2" sqref="JM770" start="0" length="0">
      <dxf/>
    </rfmt>
    <rfmt sheetId="2" sqref="JN770" start="0" length="0">
      <dxf/>
    </rfmt>
    <rfmt sheetId="2" sqref="JO770" start="0" length="0">
      <dxf/>
    </rfmt>
    <rfmt sheetId="2" sqref="JP770" start="0" length="0">
      <dxf/>
    </rfmt>
    <rfmt sheetId="2" sqref="JQ770" start="0" length="0">
      <dxf/>
    </rfmt>
    <rfmt sheetId="2" sqref="JR770" start="0" length="0">
      <dxf/>
    </rfmt>
    <rfmt sheetId="2" sqref="JS770" start="0" length="0">
      <dxf/>
    </rfmt>
    <rfmt sheetId="2" sqref="JT770" start="0" length="0">
      <dxf/>
    </rfmt>
    <rfmt sheetId="2" sqref="JU770" start="0" length="0">
      <dxf/>
    </rfmt>
    <rfmt sheetId="2" sqref="JV770" start="0" length="0">
      <dxf/>
    </rfmt>
    <rfmt sheetId="2" sqref="JW770" start="0" length="0">
      <dxf/>
    </rfmt>
    <rfmt sheetId="2" sqref="JX770" start="0" length="0">
      <dxf/>
    </rfmt>
    <rfmt sheetId="2" sqref="JY770" start="0" length="0">
      <dxf/>
    </rfmt>
    <rfmt sheetId="2" sqref="JZ770" start="0" length="0">
      <dxf/>
    </rfmt>
    <rfmt sheetId="2" sqref="KA770" start="0" length="0">
      <dxf/>
    </rfmt>
    <rfmt sheetId="2" sqref="KB770" start="0" length="0">
      <dxf/>
    </rfmt>
    <rfmt sheetId="2" sqref="KC770" start="0" length="0">
      <dxf/>
    </rfmt>
    <rfmt sheetId="2" sqref="KD770" start="0" length="0">
      <dxf/>
    </rfmt>
    <rfmt sheetId="2" sqref="KE770" start="0" length="0">
      <dxf/>
    </rfmt>
    <rfmt sheetId="2" sqref="KF770" start="0" length="0">
      <dxf/>
    </rfmt>
    <rfmt sheetId="2" sqref="KG770" start="0" length="0">
      <dxf/>
    </rfmt>
    <rfmt sheetId="2" sqref="KH770" start="0" length="0">
      <dxf/>
    </rfmt>
    <rfmt sheetId="2" sqref="KI770" start="0" length="0">
      <dxf/>
    </rfmt>
    <rfmt sheetId="2" sqref="KJ770" start="0" length="0">
      <dxf/>
    </rfmt>
    <rfmt sheetId="2" sqref="KK770" start="0" length="0">
      <dxf/>
    </rfmt>
    <rfmt sheetId="2" sqref="KL770" start="0" length="0">
      <dxf/>
    </rfmt>
    <rfmt sheetId="2" sqref="KM770" start="0" length="0">
      <dxf/>
    </rfmt>
    <rfmt sheetId="2" sqref="KN770" start="0" length="0">
      <dxf/>
    </rfmt>
    <rfmt sheetId="2" sqref="KO770" start="0" length="0">
      <dxf/>
    </rfmt>
    <rfmt sheetId="2" sqref="KP770" start="0" length="0">
      <dxf/>
    </rfmt>
    <rfmt sheetId="2" sqref="KQ770" start="0" length="0">
      <dxf/>
    </rfmt>
    <rfmt sheetId="2" sqref="KR770" start="0" length="0">
      <dxf/>
    </rfmt>
    <rfmt sheetId="2" sqref="KS770" start="0" length="0">
      <dxf/>
    </rfmt>
    <rfmt sheetId="2" sqref="KT770" start="0" length="0">
      <dxf/>
    </rfmt>
    <rfmt sheetId="2" sqref="KU770" start="0" length="0">
      <dxf/>
    </rfmt>
    <rfmt sheetId="2" sqref="KV770" start="0" length="0">
      <dxf/>
    </rfmt>
    <rfmt sheetId="2" sqref="KW770" start="0" length="0">
      <dxf/>
    </rfmt>
    <rfmt sheetId="2" sqref="KX770" start="0" length="0">
      <dxf/>
    </rfmt>
    <rfmt sheetId="2" sqref="KY770" start="0" length="0">
      <dxf/>
    </rfmt>
    <rfmt sheetId="2" sqref="KZ770" start="0" length="0">
      <dxf/>
    </rfmt>
    <rfmt sheetId="2" sqref="LA770" start="0" length="0">
      <dxf/>
    </rfmt>
    <rfmt sheetId="2" sqref="LB770" start="0" length="0">
      <dxf/>
    </rfmt>
    <rfmt sheetId="2" sqref="LC770" start="0" length="0">
      <dxf/>
    </rfmt>
    <rfmt sheetId="2" sqref="LD770" start="0" length="0">
      <dxf/>
    </rfmt>
    <rfmt sheetId="2" sqref="LE770" start="0" length="0">
      <dxf/>
    </rfmt>
    <rfmt sheetId="2" sqref="LF770" start="0" length="0">
      <dxf/>
    </rfmt>
    <rfmt sheetId="2" sqref="LG770" start="0" length="0">
      <dxf/>
    </rfmt>
    <rfmt sheetId="2" sqref="LH770" start="0" length="0">
      <dxf/>
    </rfmt>
    <rfmt sheetId="2" sqref="LI770" start="0" length="0">
      <dxf/>
    </rfmt>
    <rfmt sheetId="2" sqref="LJ770" start="0" length="0">
      <dxf/>
    </rfmt>
    <rfmt sheetId="2" sqref="LK770" start="0" length="0">
      <dxf/>
    </rfmt>
    <rfmt sheetId="2" sqref="LL770" start="0" length="0">
      <dxf/>
    </rfmt>
    <rfmt sheetId="2" sqref="LM770" start="0" length="0">
      <dxf/>
    </rfmt>
    <rfmt sheetId="2" sqref="LN770" start="0" length="0">
      <dxf/>
    </rfmt>
    <rfmt sheetId="2" sqref="LO770" start="0" length="0">
      <dxf/>
    </rfmt>
    <rfmt sheetId="2" sqref="LP770" start="0" length="0">
      <dxf/>
    </rfmt>
    <rfmt sheetId="2" sqref="LQ770" start="0" length="0">
      <dxf/>
    </rfmt>
    <rfmt sheetId="2" sqref="LR770" start="0" length="0">
      <dxf/>
    </rfmt>
    <rfmt sheetId="2" sqref="LS770" start="0" length="0">
      <dxf/>
    </rfmt>
    <rfmt sheetId="2" sqref="LT770" start="0" length="0">
      <dxf/>
    </rfmt>
    <rfmt sheetId="2" sqref="LU770" start="0" length="0">
      <dxf/>
    </rfmt>
    <rfmt sheetId="2" sqref="LV770" start="0" length="0">
      <dxf/>
    </rfmt>
    <rfmt sheetId="2" sqref="LW770" start="0" length="0">
      <dxf/>
    </rfmt>
    <rfmt sheetId="2" sqref="LX770" start="0" length="0">
      <dxf/>
    </rfmt>
    <rfmt sheetId="2" sqref="LY770" start="0" length="0">
      <dxf/>
    </rfmt>
    <rfmt sheetId="2" sqref="LZ770" start="0" length="0">
      <dxf/>
    </rfmt>
    <rfmt sheetId="2" sqref="MA770" start="0" length="0">
      <dxf/>
    </rfmt>
    <rfmt sheetId="2" sqref="MB770" start="0" length="0">
      <dxf/>
    </rfmt>
  </rr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777" start="0" length="0">
    <dxf>
      <fill>
        <patternFill patternType="solid">
          <bgColor theme="5" tint="0.59999389629810485"/>
        </patternFill>
      </fill>
    </dxf>
  </rfmt>
  <rfmt sheetId="2" sqref="C777" start="0" length="0">
    <dxf>
      <fill>
        <patternFill patternType="solid">
          <bgColor theme="5" tint="0.59999389629810485"/>
        </patternFill>
      </fill>
    </dxf>
  </rfmt>
  <rcc rId="2118" sId="2" odxf="1" dxf="1">
    <nc r="D777">
      <f>IF($C777="", "", MID($C777, 6, IF(MID($C777, LEN($C777)-1, 1)="J", 3, 4)))</f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cc rId="2119" sId="2" odxf="1" dxf="1">
    <nc r="E777" t="inlineStr">
      <is>
        <t>15P4</t>
        <phoneticPr fontId="629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fmt sheetId="2" sqref="F777" start="0" length="0">
    <dxf>
      <fill>
        <patternFill patternType="solid">
          <bgColor theme="5" tint="0.59999389629810485"/>
        </patternFill>
      </fill>
    </dxf>
  </rfmt>
  <rcc rId="2120" sId="2" odxf="1" dxf="1">
    <nc r="G777" t="inlineStr">
      <is>
        <t>4800384805/200</t>
        <phoneticPr fontId="629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fmt sheetId="2" s="1" sqref="H777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fmt sheetId="2" s="1" sqref="I777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fmt sheetId="2" s="1" sqref="J777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cc rId="2121" sId="2" odxf="1" s="1" dxf="1">
    <nc r="K777">
      <f>J777/0.786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ndxf>
  </rcc>
  <rfmt sheetId="2" sqref="L777" start="0" length="0">
    <dxf>
      <numFmt numFmtId="0" formatCode="General"/>
      <fill>
        <patternFill patternType="solid">
          <bgColor theme="5" tint="0.59999389629810485"/>
        </patternFill>
      </fill>
    </dxf>
  </rfmt>
  <rfmt sheetId="2" sqref="M777" start="0" length="0">
    <dxf>
      <fill>
        <patternFill patternType="solid">
          <bgColor theme="5" tint="0.59999389629810485"/>
        </patternFill>
      </fill>
    </dxf>
  </rfmt>
  <rfmt sheetId="2" sqref="N777" start="0" length="0">
    <dxf>
      <fill>
        <patternFill patternType="solid">
          <bgColor theme="5" tint="0.59999389629810485"/>
        </patternFill>
      </fill>
    </dxf>
  </rfmt>
  <rcc rId="2122" sId="2">
    <nc r="H777">
      <f>H762-K777</f>
    </nc>
  </rcc>
  <rfmt sheetId="2" sqref="B778" start="0" length="0">
    <dxf>
      <fill>
        <patternFill patternType="solid">
          <bgColor theme="5" tint="0.59999389629810485"/>
        </patternFill>
      </fill>
    </dxf>
  </rfmt>
  <rfmt sheetId="2" sqref="C778" start="0" length="0">
    <dxf>
      <fill>
        <patternFill patternType="solid">
          <bgColor theme="5" tint="0.59999389629810485"/>
        </patternFill>
      </fill>
    </dxf>
  </rfmt>
  <rcc rId="2123" sId="2" odxf="1" dxf="1">
    <nc r="D778">
      <f>IF($C778="", "", MID($C778, 6, IF(MID($C778, LEN($C778)-1, 1)="J", 3, 4)))</f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cc rId="2124" sId="2" odxf="1" dxf="1">
    <nc r="E778" t="inlineStr">
      <is>
        <t>15P4</t>
        <phoneticPr fontId="629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fmt sheetId="2" sqref="F778" start="0" length="0">
    <dxf>
      <fill>
        <patternFill patternType="solid">
          <bgColor theme="5" tint="0.59999389629810485"/>
        </patternFill>
      </fill>
    </dxf>
  </rfmt>
  <rcc rId="2125" sId="2" odxf="1" dxf="1">
    <nc r="G778" t="inlineStr">
      <is>
        <t>4800384805/200</t>
        <phoneticPr fontId="629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fmt sheetId="2" s="1" sqref="H77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fmt sheetId="2" s="1" sqref="I77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fmt sheetId="2" s="1" sqref="J77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cc rId="2126" sId="2" odxf="1" s="1" dxf="1">
    <nc r="K778">
      <f>J778/0.786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ndxf>
  </rcc>
  <rfmt sheetId="2" sqref="L778" start="0" length="0">
    <dxf>
      <numFmt numFmtId="0" formatCode="General"/>
      <fill>
        <patternFill patternType="solid">
          <bgColor theme="5" tint="0.59999389629810485"/>
        </patternFill>
      </fill>
    </dxf>
  </rfmt>
  <rfmt sheetId="2" sqref="M778" start="0" length="0">
    <dxf>
      <fill>
        <patternFill patternType="solid">
          <bgColor theme="5" tint="0.59999389629810485"/>
        </patternFill>
      </fill>
    </dxf>
  </rfmt>
  <rfmt sheetId="2" sqref="N778" start="0" length="0">
    <dxf>
      <fill>
        <patternFill patternType="solid">
          <bgColor theme="5" tint="0.59999389629810485"/>
        </patternFill>
      </fill>
    </dxf>
  </rfmt>
  <rcc rId="2127" sId="2">
    <nc r="H778">
      <f>H777-K778</f>
    </nc>
  </rcc>
  <rfmt sheetId="2" sqref="B779" start="0" length="0">
    <dxf>
      <fill>
        <patternFill patternType="solid">
          <bgColor theme="5" tint="0.59999389629810485"/>
        </patternFill>
      </fill>
    </dxf>
  </rfmt>
  <rfmt sheetId="2" sqref="C779" start="0" length="0">
    <dxf>
      <fill>
        <patternFill patternType="solid">
          <bgColor theme="5" tint="0.59999389629810485"/>
        </patternFill>
      </fill>
    </dxf>
  </rfmt>
  <rcc rId="2128" sId="2" odxf="1" dxf="1">
    <nc r="D779">
      <f>IF($C779="", "", MID($C779, 6, IF(MID($C779, LEN($C779)-1, 1)="J", 3, 4)))</f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cc rId="2129" sId="2" odxf="1" dxf="1">
    <nc r="E779" t="inlineStr">
      <is>
        <t>15P4</t>
        <phoneticPr fontId="629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fmt sheetId="2" sqref="F779" start="0" length="0">
    <dxf>
      <fill>
        <patternFill patternType="solid">
          <bgColor theme="5" tint="0.59999389629810485"/>
        </patternFill>
      </fill>
    </dxf>
  </rfmt>
  <rcc rId="2130" sId="2" odxf="1" dxf="1">
    <nc r="G779" t="inlineStr">
      <is>
        <t>4800384805/200</t>
        <phoneticPr fontId="629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5" tint="0.59999389629810485"/>
        </patternFill>
      </fill>
    </ndxf>
  </rcc>
  <rcc rId="2131" sId="2" odxf="1" s="1" dxf="1">
    <nc r="H779">
      <f>H778-K779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ndxf>
  </rcc>
  <rfmt sheetId="2" s="1" sqref="I77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fmt sheetId="2" s="1" sqref="J77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dxf>
  </rfmt>
  <rcc rId="2132" sId="2" odxf="1" s="1" dxf="1">
    <nc r="K779">
      <f>J779/0.786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5" tint="0.59999389629810485"/>
        </patternFill>
      </fill>
    </ndxf>
  </rcc>
  <rfmt sheetId="2" sqref="L779" start="0" length="0">
    <dxf>
      <numFmt numFmtId="0" formatCode="General"/>
      <fill>
        <patternFill patternType="solid">
          <bgColor theme="5" tint="0.59999389629810485"/>
        </patternFill>
      </fill>
    </dxf>
  </rfmt>
  <rfmt sheetId="2" sqref="M779" start="0" length="0">
    <dxf>
      <fill>
        <patternFill patternType="solid">
          <bgColor theme="5" tint="0.59999389629810485"/>
        </patternFill>
      </fill>
    </dxf>
  </rfmt>
  <rfmt sheetId="2" sqref="N779" start="0" length="0">
    <dxf>
      <fill>
        <patternFill patternType="solid">
          <bgColor theme="5" tint="0.59999389629810485"/>
        </patternFill>
      </fill>
    </dxf>
  </rfmt>
  <rcc rId="2133" sId="2">
    <nc r="F779">
      <v>20260911005</v>
    </nc>
  </rcc>
  <rcc rId="2134" sId="2">
    <nc r="F777">
      <v>20260911003</v>
    </nc>
  </rcc>
  <rcc rId="2135" sId="2">
    <nc r="F778">
      <v>20260911004</v>
    </nc>
  </rcc>
  <rcc rId="2136" sId="2" numFmtId="19">
    <nc r="B777">
      <v>46281</v>
    </nc>
  </rcc>
  <rcc rId="2137" sId="2" numFmtId="19">
    <nc r="B778">
      <v>46285</v>
    </nc>
  </rcc>
  <rcc rId="2138" sId="2" numFmtId="19">
    <nc r="B779">
      <v>46289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39" sId="2" numFmtId="34">
    <nc r="I751">
      <v>4180</v>
    </nc>
  </rcc>
  <rcc rId="2140" sId="2" numFmtId="34">
    <nc r="J751">
      <v>4230</v>
    </nc>
  </rcc>
  <rcc rId="2141" sId="2" numFmtId="34">
    <nc r="I753">
      <v>4410</v>
    </nc>
  </rcc>
  <rcc rId="2142" sId="2" numFmtId="34">
    <nc r="J753">
      <v>4360</v>
    </nc>
  </rcc>
  <rcc rId="2143" sId="2">
    <oc r="K753">
      <f>J753/0.786</f>
    </oc>
    <nc r="K753">
      <f>J753/0.786+1</f>
    </nc>
  </rcc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44" sId="2" numFmtId="34">
    <nc r="I754">
      <v>4260</v>
    </nc>
  </rcc>
  <rcc rId="2145" sId="2" numFmtId="34">
    <nc r="J754">
      <v>4240</v>
    </nc>
  </rcc>
  <rcc rId="2146" sId="2">
    <oc r="K754">
      <f>J754/0.786</f>
    </oc>
    <nc r="K754">
      <f>J754/0.786+1</f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59" sId="2" numFmtId="19">
    <oc r="B762">
      <v>46278</v>
    </oc>
    <nc r="B762">
      <v>46277</v>
    </nc>
  </rcc>
  <rcc rId="2160" sId="2" numFmtId="25">
    <nc r="N762">
      <v>0.70833333333333337</v>
    </nc>
  </rcc>
</revisions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1" sId="2">
    <nc r="C762" t="inlineStr">
      <is>
        <t>26910E3051</t>
        <phoneticPr fontId="30087" type="noConversion"/>
      </is>
    </nc>
  </rcc>
</revisions>
</file>

<file path=xl/revisions/revisionLog10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2" sId="2">
    <oc r="G762" t="inlineStr">
      <is>
        <t>4800384805/200</t>
        <phoneticPr fontId="30087" type="noConversion"/>
      </is>
    </oc>
    <nc r="G762" t="inlineStr">
      <is>
        <t>4800384805/200</t>
        <phoneticPr fontId="30087" type="noConversion"/>
      </is>
    </nc>
  </rcc>
  <rcc rId="2163" sId="2">
    <oc r="F762">
      <v>20260907004</v>
    </oc>
    <nc r="F762" t="inlineStr">
      <is>
        <t>20260907004-1</t>
        <phoneticPr fontId="30087" type="noConversion"/>
      </is>
    </nc>
  </rcc>
</revisions>
</file>

<file path=xl/revisions/revisionLog10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64" sId="2">
    <nc r="P762">
      <f>DATE(YEAR(O762)+1,MONTH(O762),DAY(O762))-1</f>
    </nc>
  </rcc>
  <rcc rId="2165" sId="2">
    <oc r="P763">
      <f>DATE(YEAR(O763)+1,MONTH(O763),DAY(O763))-1</f>
    </oc>
    <nc r="P763">
      <f>DATE(YEAR(O763)+1,MONTH(O763),DAY(O763))-1</f>
    </nc>
  </rcc>
  <rcc rId="2166" sId="2">
    <oc r="P764">
      <f>DATE(YEAR(O764)+1,MONTH(O764),DAY(O764))-1</f>
    </oc>
    <nc r="P764">
      <f>DATE(YEAR(O764)+1,MONTH(O764),DAY(O764))-1</f>
    </nc>
  </rcc>
  <rcc rId="2167" sId="2">
    <oc r="P765">
      <f>DATE(YEAR(O765)+1,MONTH(O765),DAY(O765))-1</f>
    </oc>
    <nc r="P765">
      <f>DATE(YEAR(O765)+1,MONTH(O765),DAY(O765))-1</f>
    </nc>
  </rcc>
  <rcc rId="2168" sId="2">
    <nc r="P766">
      <f>DATE(YEAR(O766)+1,MONTH(O766),DAY(O766))-1</f>
    </nc>
  </rcc>
  <rcc rId="2169" sId="2">
    <nc r="P767">
      <f>DATE(YEAR(O767)+1,MONTH(O767),DAY(O767))-1</f>
    </nc>
  </rcc>
</revisions>
</file>

<file path=xl/revisions/revisionLog10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70" sId="2">
    <nc r="P768">
      <f>DATE(YEAR(O768)+1,MONTH(O768),DAY(O768))-1</f>
    </nc>
  </rcc>
  <rcc rId="2171" sId="2">
    <nc r="P769">
      <f>DATE(YEAR(O769)+1,MONTH(O769),DAY(O769))-1</f>
    </nc>
  </rcc>
  <rcc rId="2172" sId="2">
    <nc r="P770">
      <f>DATE(YEAR(O770)+1,MONTH(O770),DAY(O770))-1</f>
    </nc>
  </rcc>
  <rcc rId="2173" sId="2">
    <nc r="P771">
      <f>DATE(YEAR(O771)+1,MONTH(O771),DAY(O771))-1</f>
    </nc>
  </rcc>
  <rcc rId="2174" sId="2">
    <nc r="P772">
      <f>DATE(YEAR(O772)+1,MONTH(O772),DAY(O772))-1</f>
    </nc>
  </rcc>
  <rcc rId="2175" sId="2">
    <nc r="P773">
      <f>DATE(YEAR(O773)+1,MONTH(O773),DAY(O773))-1</f>
    </nc>
  </rcc>
  <rcc rId="2176" sId="2">
    <nc r="P774">
      <f>DATE(YEAR(O774)+1,MONTH(O774),DAY(O774))-1</f>
    </nc>
  </rcc>
  <rcc rId="2177" sId="2">
    <nc r="P775">
      <f>DATE(YEAR(O775)+1,MONTH(O775),DAY(O775))-1</f>
    </nc>
  </rcc>
  <rcc rId="2178" sId="2">
    <nc r="P776">
      <f>DATE(YEAR(O776)+1,MONTH(O776),DAY(O776))-1</f>
    </nc>
  </rcc>
  <rcc rId="2179" sId="2">
    <nc r="P777">
      <f>DATE(YEAR(O777)+1,MONTH(O777),DAY(O777))-1</f>
    </nc>
  </rcc>
  <rcc rId="2180" sId="2">
    <nc r="P778">
      <f>DATE(YEAR(O778)+1,MONTH(O778),DAY(O778))-1</f>
    </nc>
  </rcc>
  <rcc rId="2181" sId="2">
    <nc r="P779">
      <f>DATE(YEAR(O779)+1,MONTH(O779),DAY(O779))-1</f>
    </nc>
  </rcc>
  <rcc rId="2182" sId="2">
    <oc r="O763">
      <f>IF($C763="","",DATE(2000+LEFT($C763,2), HEX2DEC(MID($C763,3,1)), MID($C763,4,2)))</f>
    </oc>
    <nc r="O763">
      <f>IF($C763="","",DATE(2000+LEFT($C763,2), HEX2DEC(MID($C763,3,1)), MID($C763,4,2)))</f>
    </nc>
  </rcc>
  <rcc rId="2183" sId="2">
    <oc r="O764">
      <f>IF($C764="","",DATE(2000+LEFT($C764,2), HEX2DEC(MID($C764,3,1)), MID($C764,4,2)))</f>
    </oc>
    <nc r="O764">
      <f>IF($C764="","",DATE(2000+LEFT($C764,2), HEX2DEC(MID($C764,3,1)), MID($C764,4,2)))</f>
    </nc>
  </rcc>
  <rcc rId="2184" sId="2">
    <oc r="O765">
      <f>IF($C765="","",DATE(2000+LEFT($C765,2), HEX2DEC(MID($C765,3,1)), MID($C765,4,2)))</f>
    </oc>
    <nc r="O765">
      <f>IF($C765="","",DATE(2000+LEFT($C765,2), HEX2DEC(MID($C765,3,1)), MID($C765,4,2)))</f>
    </nc>
  </rcc>
  <rcc rId="2185" sId="2">
    <nc r="O766">
      <f>IF($C766="","",DATE(2000+LEFT($C766,2), HEX2DEC(MID($C766,3,1)), MID($C766,4,2)))</f>
    </nc>
  </rcc>
  <rcc rId="2186" sId="2">
    <nc r="O767">
      <f>IF($C767="","",DATE(2000+LEFT($C767,2), HEX2DEC(MID($C767,3,1)), MID($C767,4,2)))</f>
    </nc>
  </rcc>
  <rcc rId="2187" sId="2">
    <nc r="O768">
      <f>IF($C768="","",DATE(2000+LEFT($C768,2), HEX2DEC(MID($C768,3,1)), MID($C768,4,2)))</f>
    </nc>
  </rcc>
  <rcc rId="2188" sId="2">
    <nc r="O769">
      <f>IF($C769="","",DATE(2000+LEFT($C769,2), HEX2DEC(MID($C769,3,1)), MID($C769,4,2)))</f>
    </nc>
  </rcc>
  <rcc rId="2189" sId="2">
    <nc r="O770">
      <f>IF($C770="","",DATE(2000+LEFT($C770,2), HEX2DEC(MID($C770,3,1)), MID($C770,4,2)))</f>
    </nc>
  </rcc>
  <rcc rId="2190" sId="2">
    <nc r="O771">
      <f>IF($C771="","",DATE(2000+LEFT($C771,2), HEX2DEC(MID($C771,3,1)), MID($C771,4,2)))</f>
    </nc>
  </rcc>
  <rcc rId="2191" sId="2">
    <nc r="O772">
      <f>IF($C772="","",DATE(2000+LEFT($C772,2), HEX2DEC(MID($C772,3,1)), MID($C772,4,2)))</f>
    </nc>
  </rcc>
  <rcc rId="2192" sId="2">
    <nc r="O773">
      <f>IF($C773="","",DATE(2000+LEFT($C773,2), HEX2DEC(MID($C773,3,1)), MID($C773,4,2)))</f>
    </nc>
  </rcc>
  <rcc rId="2193" sId="2">
    <nc r="O774">
      <f>IF($C774="","",DATE(2000+LEFT($C774,2), HEX2DEC(MID($C774,3,1)), MID($C774,4,2)))</f>
    </nc>
  </rcc>
  <rcc rId="2194" sId="2">
    <nc r="O775">
      <f>IF($C775="","",DATE(2000+LEFT($C775,2), HEX2DEC(MID($C775,3,1)), MID($C775,4,2)))</f>
    </nc>
  </rcc>
  <rcc rId="2195" sId="2">
    <nc r="O776">
      <f>IF($C776="","",DATE(2000+LEFT($C776,2), HEX2DEC(MID($C776,3,1)), MID($C776,4,2)))</f>
    </nc>
  </rcc>
  <rcc rId="2196" sId="2">
    <oc r="O777">
      <f>IF($C777="","",DATE(2000+LEFT($C777,2), HEX2DEC(MID($C777,3,1)), MID($C777,4,2)))</f>
    </oc>
    <nc r="O777">
      <f>IF($C777="","",DATE(2000+LEFT($C777,2), HEX2DEC(MID($C777,3,1)), MID($C777,4,2)))</f>
    </nc>
  </rcc>
  <rcc rId="2197" sId="2">
    <oc r="O778">
      <f>IF($C778="","",DATE(2000+LEFT($C778,2), HEX2DEC(MID($C778,3,1)), MID($C778,4,2)))</f>
    </oc>
    <nc r="O778">
      <f>IF($C778="","",DATE(2000+LEFT($C778,2), HEX2DEC(MID($C778,3,1)), MID($C778,4,2)))</f>
    </nc>
  </rcc>
  <rcc rId="2198" sId="2">
    <oc r="O779">
      <f>IF($C779="","",DATE(2000+LEFT($C779,2), HEX2DEC(MID($C779,3,1)), MID($C779,4,2)))</f>
    </oc>
    <nc r="O779">
      <f>IF($C779="","",DATE(2000+LEFT($C779,2), HEX2DEC(MID($C779,3,1)), MID($C779,4,2)))</f>
    </nc>
  </rcc>
  <rcv guid="{F261CC3E-BBAF-4421-92E0-E43167440BFB}" action="delete"/>
  <rdn rId="0" localSheetId="1" customView="1" name="Z_F261CC3E_BBAF_4421_92E0_E43167440BFB_.wvu.PrintArea" hidden="1" oldHidden="1">
    <formula>'IPAHQ(TANK)-竹科'!$A$1:$Q$2</formula>
    <oldFormula>'IPAHQ(TANK)-竹科'!$A$1:$Q$2</oldFormula>
  </rdn>
  <rdn rId="0" localSheetId="1" customView="1" name="Z_F261CC3E_BBAF_4421_92E0_E43167440BFB_.wvu.Cols" hidden="1" oldHidden="1">
    <formula>'IPAHQ(TANK)-竹科'!$A:$A</formula>
    <oldFormula>'IPAHQ(TANK)-竹科'!$A:$A</oldFormula>
  </rdn>
  <rdn rId="0" localSheetId="1" customView="1" name="Z_F261CC3E_BBAF_4421_92E0_E43167440BFB_.wvu.FilterData" hidden="1" oldHidden="1">
    <formula>'IPAHQ(TANK)-竹科'!$A$2:$T$181</formula>
    <oldFormula>'IPAHQ(TANK)-竹科'!$A$2:$T$181</oldFormula>
  </rdn>
  <rdn rId="0" localSheetId="2" customView="1" name="Z_F261CC3E_BBAF_4421_92E0_E43167440BFB_.wvu.PrintArea" hidden="1" oldHidden="1">
    <formula>'IPAHQ(TANK)-中科'!$A$1:$P$2</formula>
    <oldFormula>'IPAHQ(TANK)-中科'!$A$1:$P$2</oldFormula>
  </rdn>
  <rdn rId="0" localSheetId="2" customView="1" name="Z_F261CC3E_BBAF_4421_92E0_E43167440BFB_.wvu.Cols" hidden="1" oldHidden="1">
    <formula>'IPAHQ(TANK)-中科'!$A:$A</formula>
    <oldFormula>'IPAHQ(TANK)-中科'!$A:$A</oldFormula>
  </rdn>
  <rdn rId="0" localSheetId="2" customView="1" name="Z_F261CC3E_BBAF_4421_92E0_E43167440BFB_.wvu.FilterData" hidden="1" oldHidden="1">
    <formula>'IPAHQ(TANK)-中科'!$A$2:$S$906</formula>
    <oldFormula>'IPAHQ(TANK)-中科'!$A$2:$S$906</oldFormula>
  </rdn>
  <rdn rId="0" localSheetId="3" customView="1" name="Z_F261CC3E_BBAF_4421_92E0_E43167440BFB_.wvu.PrintArea" hidden="1" oldHidden="1">
    <formula>'IPAHQ(TANK)-12P3'!$A$1:$Q$2</formula>
    <oldFormula>'IPAHQ(TANK)-12P3'!$A$1:$Q$2</oldFormula>
  </rdn>
  <rdn rId="0" localSheetId="3" customView="1" name="Z_F261CC3E_BBAF_4421_92E0_E43167440BFB_.wvu.Cols" hidden="1" oldHidden="1">
    <formula>'IPAHQ(TANK)-12P3'!$A:$A</formula>
    <oldFormula>'IPAHQ(TANK)-12P3'!$A:$A</oldFormula>
  </rdn>
  <rdn rId="0" localSheetId="3" customView="1" name="Z_F261CC3E_BBAF_4421_92E0_E43167440BFB_.wvu.FilterData" hidden="1" oldHidden="1">
    <formula>'IPAHQ(TANK)-12P3'!$A$2:$T$22</formula>
    <oldFormula>'IPAHQ(TANK)-12P3'!$A$2:$T$22</oldFormula>
  </rdn>
  <rdn rId="0" localSheetId="4" customView="1" name="Z_F261CC3E_BBAF_4421_92E0_E43167440BFB_.wvu.PrintArea" hidden="1" oldHidden="1">
    <formula>'IPAHQ(TANK)-南科'!$A$1:$P$2</formula>
    <oldFormula>'IPAHQ(TANK)-南科'!$A$1:$P$2</oldFormula>
  </rdn>
  <rdn rId="0" localSheetId="4" customView="1" name="Z_F261CC3E_BBAF_4421_92E0_E43167440BFB_.wvu.Cols" hidden="1" oldHidden="1">
    <formula>'IPAHQ(TANK)-南科'!$A:$A</formula>
    <oldFormula>'IPAHQ(TANK)-南科'!$A:$A</oldFormula>
  </rdn>
  <rdn rId="0" localSheetId="4" customView="1" name="Z_F261CC3E_BBAF_4421_92E0_E43167440BFB_.wvu.FilterData" hidden="1" oldHidden="1">
    <formula>'IPAHQ(TANK)-南科'!$A$2:$S$191</formula>
    <oldFormula>'IPAHQ(TANK)-南科'!$A$2:$S$191</oldFormula>
  </rdn>
  <rcv guid="{F261CC3E-BBAF-4421-92E0-E43167440BFB}" action="add"/>
</revisions>
</file>

<file path=xl/revisions/revisionLog10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1" sId="2" odxf="1" dxf="1">
    <nc r="L759" t="inlineStr">
      <is>
        <t>取消出貨</t>
        <phoneticPr fontId="0" type="noConversion"/>
      </is>
    </nc>
    <odxf>
      <font>
        <sz val="10"/>
        <name val="Arial"/>
        <scheme val="none"/>
      </font>
    </odxf>
    <ndxf>
      <font>
        <sz val="10"/>
        <name val="細明體"/>
        <scheme val="none"/>
      </font>
    </ndxf>
  </rcc>
  <rcc rId="2212" sId="2" odxf="1" dxf="1">
    <nc r="L761" t="inlineStr">
      <is>
        <t>取消出貨</t>
        <phoneticPr fontId="0" type="noConversion"/>
      </is>
    </nc>
    <odxf>
      <font>
        <sz val="10"/>
        <name val="Arial"/>
        <scheme val="none"/>
      </font>
    </odxf>
    <ndxf>
      <font>
        <sz val="10"/>
        <name val="細明體"/>
        <scheme val="none"/>
      </font>
    </ndxf>
  </rcc>
  <rfmt sheetId="2" sqref="L759" start="0" length="2147483647">
    <dxf>
      <font>
        <color rgb="FFFF0000"/>
      </font>
    </dxf>
  </rfmt>
  <rfmt sheetId="2" sqref="L761" start="0" length="2147483647">
    <dxf>
      <font>
        <color rgb="FFFF0000"/>
      </font>
    </dxf>
  </rfmt>
  <rdn rId="0" localSheetId="1" customView="1" name="Z_D108A94F_96BE_4B2E_9408_7CE19DC55699_.wvu.PrintArea" hidden="1" oldHidden="1">
    <formula>'IPAHQ(TANK)-竹科'!$A$1:$Q$2</formula>
  </rdn>
  <rdn rId="0" localSheetId="1" customView="1" name="Z_D108A94F_96BE_4B2E_9408_7CE19DC55699_.wvu.Cols" hidden="1" oldHidden="1">
    <formula>'IPAHQ(TANK)-竹科'!$A:$A</formula>
  </rdn>
  <rdn rId="0" localSheetId="1" customView="1" name="Z_D108A94F_96BE_4B2E_9408_7CE19DC55699_.wvu.FilterData" hidden="1" oldHidden="1">
    <formula>'IPAHQ(TANK)-竹科'!$A$2:$T$181</formula>
  </rdn>
  <rdn rId="0" localSheetId="2" customView="1" name="Z_D108A94F_96BE_4B2E_9408_7CE19DC55699_.wvu.PrintArea" hidden="1" oldHidden="1">
    <formula>'IPAHQ(TANK)-中科'!$A$1:$P$2</formula>
  </rdn>
  <rdn rId="0" localSheetId="2" customView="1" name="Z_D108A94F_96BE_4B2E_9408_7CE19DC55699_.wvu.Cols" hidden="1" oldHidden="1">
    <formula>'IPAHQ(TANK)-中科'!$A:$A</formula>
  </rdn>
  <rdn rId="0" localSheetId="2" customView="1" name="Z_D108A94F_96BE_4B2E_9408_7CE19DC55699_.wvu.FilterData" hidden="1" oldHidden="1">
    <formula>'IPAHQ(TANK)-中科'!$A$2:$S$906</formula>
  </rdn>
  <rdn rId="0" localSheetId="3" customView="1" name="Z_D108A94F_96BE_4B2E_9408_7CE19DC55699_.wvu.PrintArea" hidden="1" oldHidden="1">
    <formula>'IPAHQ(TANK)-12P3'!$A$1:$Q$2</formula>
  </rdn>
  <rdn rId="0" localSheetId="3" customView="1" name="Z_D108A94F_96BE_4B2E_9408_7CE19DC55699_.wvu.Cols" hidden="1" oldHidden="1">
    <formula>'IPAHQ(TANK)-12P3'!$A:$A</formula>
  </rdn>
  <rdn rId="0" localSheetId="3" customView="1" name="Z_D108A94F_96BE_4B2E_9408_7CE19DC55699_.wvu.FilterData" hidden="1" oldHidden="1">
    <formula>'IPAHQ(TANK)-12P3'!$A$2:$T$22</formula>
  </rdn>
  <rdn rId="0" localSheetId="4" customView="1" name="Z_D108A94F_96BE_4B2E_9408_7CE19DC55699_.wvu.PrintArea" hidden="1" oldHidden="1">
    <formula>'IPAHQ(TANK)-南科'!$A$1:$P$2</formula>
  </rdn>
  <rdn rId="0" localSheetId="4" customView="1" name="Z_D108A94F_96BE_4B2E_9408_7CE19DC55699_.wvu.Cols" hidden="1" oldHidden="1">
    <formula>'IPAHQ(TANK)-南科'!$A:$A</formula>
  </rdn>
  <rdn rId="0" localSheetId="4" customView="1" name="Z_D108A94F_96BE_4B2E_9408_7CE19DC55699_.wvu.FilterData" hidden="1" oldHidden="1">
    <formula>'IPAHQ(TANK)-南科'!$A$2:$S$191</formula>
  </rdn>
  <rcv guid="{D108A94F-96BE-4B2E-9408-7CE19DC55699}" action="add"/>
</revisions>
</file>

<file path=xl/revisions/revisionLog10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5" sId="2" numFmtId="25">
    <oc r="N762">
      <v>0.70833333333333337</v>
    </oc>
    <nc r="N762">
      <v>0.58333333333333337</v>
    </nc>
  </rcc>
  <rfmt sheetId="2" sqref="D759:D761" start="0" length="2147483647">
    <dxf>
      <font>
        <color rgb="FFFF0000"/>
      </font>
    </dxf>
  </rfmt>
  <rfmt sheetId="2" sqref="F759:F761" start="0" length="2147483647">
    <dxf>
      <font>
        <color rgb="FFFF0000"/>
      </font>
    </dxf>
  </rfmt>
  <rfmt sheetId="2" sqref="L759:L761" start="0" length="2147483647">
    <dxf>
      <font>
        <b/>
      </font>
    </dxf>
  </rfmt>
  <rfmt sheetId="2" sqref="B759:B761" start="0" length="2147483647">
    <dxf>
      <font>
        <color rgb="FFFF0000"/>
      </font>
    </dxf>
  </rfmt>
  <rfmt sheetId="2" sqref="N759:N761" start="0" length="2147483647">
    <dxf>
      <font>
        <strike/>
      </font>
    </dxf>
  </rfmt>
  <rfmt sheetId="2" sqref="B759:L761" start="0" length="2147483647">
    <dxf>
      <font>
        <color rgb="FFFF0000"/>
      </font>
    </dxf>
  </rfmt>
  <rcc rId="2226" sId="2" numFmtId="19">
    <oc r="B765">
      <v>46278</v>
    </oc>
    <nc r="B765">
      <v>46279</v>
    </nc>
  </rcc>
  <rfmt sheetId="2" sqref="B765" start="0" length="2147483647">
    <dxf>
      <font>
        <color rgb="FFFF0000"/>
      </font>
    </dxf>
  </rfmt>
  <rcc rId="2227" sId="2" numFmtId="19">
    <oc r="B763">
      <v>46278</v>
    </oc>
    <nc r="B763">
      <v>46279</v>
    </nc>
  </rcc>
  <rfmt sheetId="2" sqref="B763" start="0" length="2147483647">
    <dxf>
      <font>
        <color rgb="FFFF0000"/>
      </font>
    </dxf>
  </rfmt>
  <rrc rId="2228" sId="2" ref="A768:XFD768" action="insertRow">
    <undo index="0" exp="area" ref3D="1" dr="$A$1:$A$1048576" dn="Z_D108A94F_96BE_4B2E_9408_7CE19DC55699_.wvu.Cols" sId="2"/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2229" sheetId="2" source="A765:XFD765" destination="A768:XFD768" sourceSheetId="2">
    <rfmt sheetId="2" xfDxf="1" sqref="A768:XFD768" start="0" length="0">
      <dxf>
        <font>
          <sz val="10"/>
          <name val="Arial"/>
          <scheme val="none"/>
        </font>
        <alignment horizontal="center" readingOrder="0"/>
      </dxf>
    </rfmt>
    <rfmt sheetId="2" sqref="A76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8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8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8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8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8" start="0" length="0">
      <dxf>
        <numFmt numFmtId="176" formatCode="m/d;@"/>
      </dxf>
    </rfmt>
    <rfmt sheetId="2" sqref="P76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8" start="0" length="0">
      <dxf/>
    </rfmt>
    <rfmt sheetId="2" sqref="U768" start="0" length="0">
      <dxf/>
    </rfmt>
    <rfmt sheetId="2" sqref="V768" start="0" length="0">
      <dxf/>
    </rfmt>
    <rfmt sheetId="2" sqref="W768" start="0" length="0">
      <dxf/>
    </rfmt>
    <rfmt sheetId="2" sqref="X768" start="0" length="0">
      <dxf/>
    </rfmt>
    <rfmt sheetId="2" sqref="Y768" start="0" length="0">
      <dxf/>
    </rfmt>
    <rfmt sheetId="2" sqref="Z768" start="0" length="0">
      <dxf/>
    </rfmt>
    <rfmt sheetId="2" sqref="AA768" start="0" length="0">
      <dxf/>
    </rfmt>
    <rfmt sheetId="2" sqref="AB768" start="0" length="0">
      <dxf/>
    </rfmt>
    <rfmt sheetId="2" sqref="AC768" start="0" length="0">
      <dxf/>
    </rfmt>
    <rfmt sheetId="2" sqref="AD768" start="0" length="0">
      <dxf/>
    </rfmt>
    <rfmt sheetId="2" sqref="AE768" start="0" length="0">
      <dxf/>
    </rfmt>
    <rfmt sheetId="2" sqref="AF768" start="0" length="0">
      <dxf/>
    </rfmt>
    <rfmt sheetId="2" sqref="AG768" start="0" length="0">
      <dxf/>
    </rfmt>
    <rfmt sheetId="2" sqref="AH768" start="0" length="0">
      <dxf/>
    </rfmt>
    <rfmt sheetId="2" sqref="AI768" start="0" length="0">
      <dxf/>
    </rfmt>
    <rfmt sheetId="2" sqref="AJ768" start="0" length="0">
      <dxf/>
    </rfmt>
    <rfmt sheetId="2" sqref="AK768" start="0" length="0">
      <dxf/>
    </rfmt>
    <rfmt sheetId="2" sqref="AL768" start="0" length="0">
      <dxf/>
    </rfmt>
    <rfmt sheetId="2" sqref="AM768" start="0" length="0">
      <dxf/>
    </rfmt>
    <rfmt sheetId="2" sqref="AN768" start="0" length="0">
      <dxf/>
    </rfmt>
    <rfmt sheetId="2" sqref="AO768" start="0" length="0">
      <dxf/>
    </rfmt>
    <rfmt sheetId="2" sqref="AP768" start="0" length="0">
      <dxf/>
    </rfmt>
    <rfmt sheetId="2" sqref="AQ768" start="0" length="0">
      <dxf/>
    </rfmt>
    <rfmt sheetId="2" sqref="AR768" start="0" length="0">
      <dxf/>
    </rfmt>
    <rfmt sheetId="2" sqref="AS768" start="0" length="0">
      <dxf/>
    </rfmt>
    <rfmt sheetId="2" sqref="AT768" start="0" length="0">
      <dxf/>
    </rfmt>
    <rfmt sheetId="2" sqref="AU768" start="0" length="0">
      <dxf/>
    </rfmt>
    <rfmt sheetId="2" sqref="AV768" start="0" length="0">
      <dxf/>
    </rfmt>
    <rfmt sheetId="2" sqref="AW768" start="0" length="0">
      <dxf/>
    </rfmt>
    <rfmt sheetId="2" sqref="AX768" start="0" length="0">
      <dxf/>
    </rfmt>
    <rfmt sheetId="2" sqref="AY768" start="0" length="0">
      <dxf/>
    </rfmt>
    <rfmt sheetId="2" sqref="AZ768" start="0" length="0">
      <dxf/>
    </rfmt>
    <rfmt sheetId="2" sqref="BA768" start="0" length="0">
      <dxf/>
    </rfmt>
    <rfmt sheetId="2" sqref="BB768" start="0" length="0">
      <dxf/>
    </rfmt>
    <rfmt sheetId="2" sqref="BC768" start="0" length="0">
      <dxf/>
    </rfmt>
    <rfmt sheetId="2" sqref="BD768" start="0" length="0">
      <dxf/>
    </rfmt>
    <rfmt sheetId="2" sqref="BE768" start="0" length="0">
      <dxf/>
    </rfmt>
    <rfmt sheetId="2" sqref="BF768" start="0" length="0">
      <dxf/>
    </rfmt>
    <rfmt sheetId="2" sqref="BG768" start="0" length="0">
      <dxf/>
    </rfmt>
    <rfmt sheetId="2" sqref="BH768" start="0" length="0">
      <dxf/>
    </rfmt>
    <rfmt sheetId="2" sqref="BI768" start="0" length="0">
      <dxf/>
    </rfmt>
    <rfmt sheetId="2" sqref="BJ768" start="0" length="0">
      <dxf/>
    </rfmt>
    <rfmt sheetId="2" sqref="BK768" start="0" length="0">
      <dxf/>
    </rfmt>
    <rfmt sheetId="2" sqref="BL768" start="0" length="0">
      <dxf/>
    </rfmt>
    <rfmt sheetId="2" sqref="BM768" start="0" length="0">
      <dxf/>
    </rfmt>
    <rfmt sheetId="2" sqref="BN768" start="0" length="0">
      <dxf/>
    </rfmt>
    <rfmt sheetId="2" sqref="BO768" start="0" length="0">
      <dxf/>
    </rfmt>
    <rfmt sheetId="2" sqref="BP768" start="0" length="0">
      <dxf/>
    </rfmt>
    <rfmt sheetId="2" sqref="BQ768" start="0" length="0">
      <dxf/>
    </rfmt>
    <rfmt sheetId="2" sqref="BR768" start="0" length="0">
      <dxf/>
    </rfmt>
    <rfmt sheetId="2" sqref="BS768" start="0" length="0">
      <dxf/>
    </rfmt>
    <rfmt sheetId="2" sqref="BT768" start="0" length="0">
      <dxf/>
    </rfmt>
    <rfmt sheetId="2" sqref="BU768" start="0" length="0">
      <dxf/>
    </rfmt>
    <rfmt sheetId="2" sqref="BV768" start="0" length="0">
      <dxf/>
    </rfmt>
    <rfmt sheetId="2" sqref="BW768" start="0" length="0">
      <dxf/>
    </rfmt>
    <rfmt sheetId="2" sqref="BX768" start="0" length="0">
      <dxf/>
    </rfmt>
    <rfmt sheetId="2" sqref="BY768" start="0" length="0">
      <dxf/>
    </rfmt>
    <rfmt sheetId="2" sqref="BZ768" start="0" length="0">
      <dxf/>
    </rfmt>
    <rfmt sheetId="2" sqref="CA768" start="0" length="0">
      <dxf/>
    </rfmt>
    <rfmt sheetId="2" sqref="CB768" start="0" length="0">
      <dxf/>
    </rfmt>
    <rfmt sheetId="2" sqref="CC768" start="0" length="0">
      <dxf/>
    </rfmt>
    <rfmt sheetId="2" sqref="CD768" start="0" length="0">
      <dxf/>
    </rfmt>
    <rfmt sheetId="2" sqref="CE768" start="0" length="0">
      <dxf/>
    </rfmt>
    <rfmt sheetId="2" sqref="CF768" start="0" length="0">
      <dxf/>
    </rfmt>
    <rfmt sheetId="2" sqref="CG768" start="0" length="0">
      <dxf/>
    </rfmt>
    <rfmt sheetId="2" sqref="CH768" start="0" length="0">
      <dxf/>
    </rfmt>
    <rfmt sheetId="2" sqref="CI768" start="0" length="0">
      <dxf/>
    </rfmt>
    <rfmt sheetId="2" sqref="CJ768" start="0" length="0">
      <dxf/>
    </rfmt>
    <rfmt sheetId="2" sqref="CK768" start="0" length="0">
      <dxf/>
    </rfmt>
    <rfmt sheetId="2" sqref="CL768" start="0" length="0">
      <dxf/>
    </rfmt>
    <rfmt sheetId="2" sqref="CM768" start="0" length="0">
      <dxf/>
    </rfmt>
    <rfmt sheetId="2" sqref="CN768" start="0" length="0">
      <dxf/>
    </rfmt>
    <rfmt sheetId="2" sqref="CO768" start="0" length="0">
      <dxf/>
    </rfmt>
    <rfmt sheetId="2" sqref="CP768" start="0" length="0">
      <dxf/>
    </rfmt>
    <rfmt sheetId="2" sqref="CQ768" start="0" length="0">
      <dxf/>
    </rfmt>
    <rfmt sheetId="2" sqref="CR768" start="0" length="0">
      <dxf/>
    </rfmt>
    <rfmt sheetId="2" sqref="CS768" start="0" length="0">
      <dxf/>
    </rfmt>
    <rfmt sheetId="2" sqref="CT768" start="0" length="0">
      <dxf/>
    </rfmt>
    <rfmt sheetId="2" sqref="CU768" start="0" length="0">
      <dxf/>
    </rfmt>
    <rfmt sheetId="2" sqref="CV768" start="0" length="0">
      <dxf/>
    </rfmt>
    <rfmt sheetId="2" sqref="CW768" start="0" length="0">
      <dxf/>
    </rfmt>
    <rfmt sheetId="2" sqref="CX768" start="0" length="0">
      <dxf/>
    </rfmt>
    <rfmt sheetId="2" sqref="CY768" start="0" length="0">
      <dxf/>
    </rfmt>
    <rfmt sheetId="2" sqref="CZ768" start="0" length="0">
      <dxf/>
    </rfmt>
    <rfmt sheetId="2" sqref="DA768" start="0" length="0">
      <dxf/>
    </rfmt>
    <rfmt sheetId="2" sqref="DB768" start="0" length="0">
      <dxf/>
    </rfmt>
    <rfmt sheetId="2" sqref="DC768" start="0" length="0">
      <dxf/>
    </rfmt>
    <rfmt sheetId="2" sqref="DD768" start="0" length="0">
      <dxf/>
    </rfmt>
    <rfmt sheetId="2" sqref="DE768" start="0" length="0">
      <dxf/>
    </rfmt>
    <rfmt sheetId="2" sqref="DF768" start="0" length="0">
      <dxf/>
    </rfmt>
    <rfmt sheetId="2" sqref="DG768" start="0" length="0">
      <dxf/>
    </rfmt>
    <rfmt sheetId="2" sqref="DH768" start="0" length="0">
      <dxf/>
    </rfmt>
    <rfmt sheetId="2" sqref="DI768" start="0" length="0">
      <dxf/>
    </rfmt>
    <rfmt sheetId="2" sqref="DJ768" start="0" length="0">
      <dxf/>
    </rfmt>
    <rfmt sheetId="2" sqref="DK768" start="0" length="0">
      <dxf/>
    </rfmt>
    <rfmt sheetId="2" sqref="DL768" start="0" length="0">
      <dxf/>
    </rfmt>
    <rfmt sheetId="2" sqref="DM768" start="0" length="0">
      <dxf/>
    </rfmt>
    <rfmt sheetId="2" sqref="DN768" start="0" length="0">
      <dxf/>
    </rfmt>
    <rfmt sheetId="2" sqref="DO768" start="0" length="0">
      <dxf/>
    </rfmt>
    <rfmt sheetId="2" sqref="DP768" start="0" length="0">
      <dxf/>
    </rfmt>
    <rfmt sheetId="2" sqref="DQ768" start="0" length="0">
      <dxf/>
    </rfmt>
    <rfmt sheetId="2" sqref="DR768" start="0" length="0">
      <dxf/>
    </rfmt>
    <rfmt sheetId="2" sqref="DS768" start="0" length="0">
      <dxf/>
    </rfmt>
    <rfmt sheetId="2" sqref="DT768" start="0" length="0">
      <dxf/>
    </rfmt>
    <rfmt sheetId="2" sqref="DU768" start="0" length="0">
      <dxf/>
    </rfmt>
    <rfmt sheetId="2" sqref="DV768" start="0" length="0">
      <dxf/>
    </rfmt>
    <rfmt sheetId="2" sqref="DW768" start="0" length="0">
      <dxf/>
    </rfmt>
    <rfmt sheetId="2" sqref="DX768" start="0" length="0">
      <dxf/>
    </rfmt>
    <rfmt sheetId="2" sqref="DY768" start="0" length="0">
      <dxf/>
    </rfmt>
    <rfmt sheetId="2" sqref="DZ768" start="0" length="0">
      <dxf/>
    </rfmt>
    <rfmt sheetId="2" sqref="EA768" start="0" length="0">
      <dxf/>
    </rfmt>
    <rfmt sheetId="2" sqref="EB768" start="0" length="0">
      <dxf/>
    </rfmt>
    <rfmt sheetId="2" sqref="EC768" start="0" length="0">
      <dxf/>
    </rfmt>
    <rfmt sheetId="2" sqref="ED768" start="0" length="0">
      <dxf/>
    </rfmt>
    <rfmt sheetId="2" sqref="EE768" start="0" length="0">
      <dxf/>
    </rfmt>
    <rfmt sheetId="2" sqref="EF768" start="0" length="0">
      <dxf/>
    </rfmt>
    <rfmt sheetId="2" sqref="EG768" start="0" length="0">
      <dxf/>
    </rfmt>
    <rfmt sheetId="2" sqref="EH768" start="0" length="0">
      <dxf/>
    </rfmt>
    <rfmt sheetId="2" sqref="EI768" start="0" length="0">
      <dxf/>
    </rfmt>
    <rfmt sheetId="2" sqref="EJ768" start="0" length="0">
      <dxf/>
    </rfmt>
    <rfmt sheetId="2" sqref="EK768" start="0" length="0">
      <dxf/>
    </rfmt>
    <rfmt sheetId="2" sqref="EL768" start="0" length="0">
      <dxf/>
    </rfmt>
    <rfmt sheetId="2" sqref="EM768" start="0" length="0">
      <dxf/>
    </rfmt>
    <rfmt sheetId="2" sqref="EN768" start="0" length="0">
      <dxf/>
    </rfmt>
    <rfmt sheetId="2" sqref="EO768" start="0" length="0">
      <dxf/>
    </rfmt>
    <rfmt sheetId="2" sqref="EP768" start="0" length="0">
      <dxf/>
    </rfmt>
    <rfmt sheetId="2" sqref="EQ768" start="0" length="0">
      <dxf/>
    </rfmt>
    <rfmt sheetId="2" sqref="ER768" start="0" length="0">
      <dxf/>
    </rfmt>
    <rfmt sheetId="2" sqref="ES768" start="0" length="0">
      <dxf/>
    </rfmt>
    <rfmt sheetId="2" sqref="ET768" start="0" length="0">
      <dxf/>
    </rfmt>
    <rfmt sheetId="2" sqref="EU768" start="0" length="0">
      <dxf/>
    </rfmt>
    <rfmt sheetId="2" sqref="EV768" start="0" length="0">
      <dxf/>
    </rfmt>
    <rfmt sheetId="2" sqref="EW768" start="0" length="0">
      <dxf/>
    </rfmt>
    <rfmt sheetId="2" sqref="EX768" start="0" length="0">
      <dxf/>
    </rfmt>
    <rfmt sheetId="2" sqref="EY768" start="0" length="0">
      <dxf/>
    </rfmt>
    <rfmt sheetId="2" sqref="EZ768" start="0" length="0">
      <dxf/>
    </rfmt>
    <rfmt sheetId="2" sqref="FA768" start="0" length="0">
      <dxf/>
    </rfmt>
    <rfmt sheetId="2" sqref="FB768" start="0" length="0">
      <dxf/>
    </rfmt>
    <rfmt sheetId="2" sqref="FC768" start="0" length="0">
      <dxf/>
    </rfmt>
    <rfmt sheetId="2" sqref="FD768" start="0" length="0">
      <dxf/>
    </rfmt>
    <rfmt sheetId="2" sqref="FE768" start="0" length="0">
      <dxf/>
    </rfmt>
    <rfmt sheetId="2" sqref="FF768" start="0" length="0">
      <dxf/>
    </rfmt>
    <rfmt sheetId="2" sqref="FG768" start="0" length="0">
      <dxf/>
    </rfmt>
    <rfmt sheetId="2" sqref="FH768" start="0" length="0">
      <dxf/>
    </rfmt>
    <rfmt sheetId="2" sqref="FI768" start="0" length="0">
      <dxf/>
    </rfmt>
    <rfmt sheetId="2" sqref="FJ768" start="0" length="0">
      <dxf/>
    </rfmt>
    <rfmt sheetId="2" sqref="FK768" start="0" length="0">
      <dxf/>
    </rfmt>
    <rfmt sheetId="2" sqref="FL768" start="0" length="0">
      <dxf/>
    </rfmt>
    <rfmt sheetId="2" sqref="FM768" start="0" length="0">
      <dxf/>
    </rfmt>
    <rfmt sheetId="2" sqref="FN768" start="0" length="0">
      <dxf/>
    </rfmt>
    <rfmt sheetId="2" sqref="FO768" start="0" length="0">
      <dxf/>
    </rfmt>
    <rfmt sheetId="2" sqref="FP768" start="0" length="0">
      <dxf/>
    </rfmt>
    <rfmt sheetId="2" sqref="FQ768" start="0" length="0">
      <dxf/>
    </rfmt>
    <rfmt sheetId="2" sqref="FR768" start="0" length="0">
      <dxf/>
    </rfmt>
    <rfmt sheetId="2" sqref="FS768" start="0" length="0">
      <dxf/>
    </rfmt>
    <rfmt sheetId="2" sqref="FT768" start="0" length="0">
      <dxf/>
    </rfmt>
    <rfmt sheetId="2" sqref="FU768" start="0" length="0">
      <dxf/>
    </rfmt>
    <rfmt sheetId="2" sqref="FV768" start="0" length="0">
      <dxf/>
    </rfmt>
    <rfmt sheetId="2" sqref="FW768" start="0" length="0">
      <dxf/>
    </rfmt>
    <rfmt sheetId="2" sqref="FX768" start="0" length="0">
      <dxf/>
    </rfmt>
    <rfmt sheetId="2" sqref="FY768" start="0" length="0">
      <dxf/>
    </rfmt>
    <rfmt sheetId="2" sqref="FZ768" start="0" length="0">
      <dxf/>
    </rfmt>
    <rfmt sheetId="2" sqref="GA768" start="0" length="0">
      <dxf/>
    </rfmt>
    <rfmt sheetId="2" sqref="GB768" start="0" length="0">
      <dxf/>
    </rfmt>
    <rfmt sheetId="2" sqref="GC768" start="0" length="0">
      <dxf/>
    </rfmt>
    <rfmt sheetId="2" sqref="GD768" start="0" length="0">
      <dxf/>
    </rfmt>
    <rfmt sheetId="2" sqref="GE768" start="0" length="0">
      <dxf/>
    </rfmt>
    <rfmt sheetId="2" sqref="GF768" start="0" length="0">
      <dxf/>
    </rfmt>
    <rfmt sheetId="2" sqref="GG768" start="0" length="0">
      <dxf/>
    </rfmt>
    <rfmt sheetId="2" sqref="GH768" start="0" length="0">
      <dxf/>
    </rfmt>
    <rfmt sheetId="2" sqref="GI768" start="0" length="0">
      <dxf/>
    </rfmt>
    <rfmt sheetId="2" sqref="GJ768" start="0" length="0">
      <dxf/>
    </rfmt>
    <rfmt sheetId="2" sqref="GK768" start="0" length="0">
      <dxf/>
    </rfmt>
    <rfmt sheetId="2" sqref="GL768" start="0" length="0">
      <dxf/>
    </rfmt>
    <rfmt sheetId="2" sqref="GM768" start="0" length="0">
      <dxf/>
    </rfmt>
    <rfmt sheetId="2" sqref="GN768" start="0" length="0">
      <dxf/>
    </rfmt>
    <rfmt sheetId="2" sqref="GO768" start="0" length="0">
      <dxf/>
    </rfmt>
    <rfmt sheetId="2" sqref="GP768" start="0" length="0">
      <dxf/>
    </rfmt>
    <rfmt sheetId="2" sqref="GQ768" start="0" length="0">
      <dxf/>
    </rfmt>
    <rfmt sheetId="2" sqref="GR768" start="0" length="0">
      <dxf/>
    </rfmt>
    <rfmt sheetId="2" sqref="GS768" start="0" length="0">
      <dxf/>
    </rfmt>
    <rfmt sheetId="2" sqref="GT768" start="0" length="0">
      <dxf/>
    </rfmt>
    <rfmt sheetId="2" sqref="GU768" start="0" length="0">
      <dxf/>
    </rfmt>
    <rfmt sheetId="2" sqref="GV768" start="0" length="0">
      <dxf/>
    </rfmt>
    <rfmt sheetId="2" sqref="GW768" start="0" length="0">
      <dxf/>
    </rfmt>
    <rfmt sheetId="2" sqref="GX768" start="0" length="0">
      <dxf/>
    </rfmt>
    <rfmt sheetId="2" sqref="GY768" start="0" length="0">
      <dxf/>
    </rfmt>
    <rfmt sheetId="2" sqref="GZ768" start="0" length="0">
      <dxf/>
    </rfmt>
    <rfmt sheetId="2" sqref="HA768" start="0" length="0">
      <dxf/>
    </rfmt>
    <rfmt sheetId="2" sqref="HB768" start="0" length="0">
      <dxf/>
    </rfmt>
    <rfmt sheetId="2" sqref="HC768" start="0" length="0">
      <dxf/>
    </rfmt>
    <rfmt sheetId="2" sqref="HD768" start="0" length="0">
      <dxf/>
    </rfmt>
    <rfmt sheetId="2" sqref="HE768" start="0" length="0">
      <dxf/>
    </rfmt>
    <rfmt sheetId="2" sqref="HF768" start="0" length="0">
      <dxf/>
    </rfmt>
    <rfmt sheetId="2" sqref="HG768" start="0" length="0">
      <dxf/>
    </rfmt>
    <rfmt sheetId="2" sqref="HH768" start="0" length="0">
      <dxf/>
    </rfmt>
    <rfmt sheetId="2" sqref="HI768" start="0" length="0">
      <dxf/>
    </rfmt>
    <rfmt sheetId="2" sqref="HJ768" start="0" length="0">
      <dxf/>
    </rfmt>
    <rfmt sheetId="2" sqref="HK768" start="0" length="0">
      <dxf/>
    </rfmt>
    <rfmt sheetId="2" sqref="HL768" start="0" length="0">
      <dxf/>
    </rfmt>
    <rfmt sheetId="2" sqref="HM768" start="0" length="0">
      <dxf/>
    </rfmt>
    <rfmt sheetId="2" sqref="HN768" start="0" length="0">
      <dxf/>
    </rfmt>
    <rfmt sheetId="2" sqref="HO768" start="0" length="0">
      <dxf/>
    </rfmt>
    <rfmt sheetId="2" sqref="HP768" start="0" length="0">
      <dxf/>
    </rfmt>
    <rfmt sheetId="2" sqref="HQ768" start="0" length="0">
      <dxf/>
    </rfmt>
    <rfmt sheetId="2" sqref="HR768" start="0" length="0">
      <dxf/>
    </rfmt>
    <rfmt sheetId="2" sqref="HS768" start="0" length="0">
      <dxf/>
    </rfmt>
    <rfmt sheetId="2" sqref="HT768" start="0" length="0">
      <dxf/>
    </rfmt>
    <rfmt sheetId="2" sqref="HU768" start="0" length="0">
      <dxf/>
    </rfmt>
    <rfmt sheetId="2" sqref="HV768" start="0" length="0">
      <dxf/>
    </rfmt>
    <rfmt sheetId="2" sqref="HW768" start="0" length="0">
      <dxf/>
    </rfmt>
    <rfmt sheetId="2" sqref="HX768" start="0" length="0">
      <dxf/>
    </rfmt>
    <rfmt sheetId="2" sqref="HY768" start="0" length="0">
      <dxf/>
    </rfmt>
    <rfmt sheetId="2" sqref="HZ768" start="0" length="0">
      <dxf/>
    </rfmt>
    <rfmt sheetId="2" sqref="IA768" start="0" length="0">
      <dxf/>
    </rfmt>
    <rfmt sheetId="2" sqref="IB768" start="0" length="0">
      <dxf/>
    </rfmt>
    <rfmt sheetId="2" sqref="IC768" start="0" length="0">
      <dxf/>
    </rfmt>
    <rfmt sheetId="2" sqref="ID768" start="0" length="0">
      <dxf/>
    </rfmt>
    <rfmt sheetId="2" sqref="IE768" start="0" length="0">
      <dxf/>
    </rfmt>
    <rfmt sheetId="2" sqref="IF768" start="0" length="0">
      <dxf/>
    </rfmt>
    <rfmt sheetId="2" sqref="IG768" start="0" length="0">
      <dxf/>
    </rfmt>
    <rfmt sheetId="2" sqref="IH768" start="0" length="0">
      <dxf/>
    </rfmt>
    <rfmt sheetId="2" sqref="II768" start="0" length="0">
      <dxf/>
    </rfmt>
    <rfmt sheetId="2" sqref="IJ768" start="0" length="0">
      <dxf/>
    </rfmt>
    <rfmt sheetId="2" sqref="IK768" start="0" length="0">
      <dxf/>
    </rfmt>
    <rfmt sheetId="2" sqref="IL768" start="0" length="0">
      <dxf/>
    </rfmt>
    <rfmt sheetId="2" sqref="IM768" start="0" length="0">
      <dxf/>
    </rfmt>
    <rfmt sheetId="2" sqref="IN768" start="0" length="0">
      <dxf/>
    </rfmt>
    <rfmt sheetId="2" sqref="IO768" start="0" length="0">
      <dxf/>
    </rfmt>
    <rfmt sheetId="2" sqref="IP768" start="0" length="0">
      <dxf/>
    </rfmt>
    <rfmt sheetId="2" sqref="IQ768" start="0" length="0">
      <dxf/>
    </rfmt>
    <rfmt sheetId="2" sqref="IR768" start="0" length="0">
      <dxf/>
    </rfmt>
    <rfmt sheetId="2" sqref="IS768" start="0" length="0">
      <dxf/>
    </rfmt>
    <rfmt sheetId="2" sqref="IT768" start="0" length="0">
      <dxf/>
    </rfmt>
    <rfmt sheetId="2" sqref="IU768" start="0" length="0">
      <dxf/>
    </rfmt>
    <rfmt sheetId="2" sqref="IV768" start="0" length="0">
      <dxf/>
    </rfmt>
    <rfmt sheetId="2" sqref="IW768" start="0" length="0">
      <dxf/>
    </rfmt>
    <rfmt sheetId="2" sqref="IX768" start="0" length="0">
      <dxf/>
    </rfmt>
    <rfmt sheetId="2" sqref="IY768" start="0" length="0">
      <dxf/>
    </rfmt>
    <rfmt sheetId="2" sqref="IZ768" start="0" length="0">
      <dxf/>
    </rfmt>
    <rfmt sheetId="2" sqref="JA768" start="0" length="0">
      <dxf/>
    </rfmt>
    <rfmt sheetId="2" sqref="JB768" start="0" length="0">
      <dxf/>
    </rfmt>
    <rfmt sheetId="2" sqref="JC768" start="0" length="0">
      <dxf/>
    </rfmt>
    <rfmt sheetId="2" sqref="JD768" start="0" length="0">
      <dxf/>
    </rfmt>
    <rfmt sheetId="2" sqref="JE768" start="0" length="0">
      <dxf/>
    </rfmt>
    <rfmt sheetId="2" sqref="JF768" start="0" length="0">
      <dxf/>
    </rfmt>
    <rfmt sheetId="2" sqref="JG768" start="0" length="0">
      <dxf/>
    </rfmt>
    <rfmt sheetId="2" sqref="JH768" start="0" length="0">
      <dxf/>
    </rfmt>
    <rfmt sheetId="2" sqref="JI768" start="0" length="0">
      <dxf/>
    </rfmt>
    <rfmt sheetId="2" sqref="JJ768" start="0" length="0">
      <dxf/>
    </rfmt>
    <rfmt sheetId="2" sqref="JK768" start="0" length="0">
      <dxf/>
    </rfmt>
    <rfmt sheetId="2" sqref="JL768" start="0" length="0">
      <dxf/>
    </rfmt>
    <rfmt sheetId="2" sqref="JM768" start="0" length="0">
      <dxf/>
    </rfmt>
    <rfmt sheetId="2" sqref="JN768" start="0" length="0">
      <dxf/>
    </rfmt>
    <rfmt sheetId="2" sqref="JO768" start="0" length="0">
      <dxf/>
    </rfmt>
    <rfmt sheetId="2" sqref="JP768" start="0" length="0">
      <dxf/>
    </rfmt>
    <rfmt sheetId="2" sqref="JQ768" start="0" length="0">
      <dxf/>
    </rfmt>
    <rfmt sheetId="2" sqref="JR768" start="0" length="0">
      <dxf/>
    </rfmt>
    <rfmt sheetId="2" sqref="JS768" start="0" length="0">
      <dxf/>
    </rfmt>
    <rfmt sheetId="2" sqref="JT768" start="0" length="0">
      <dxf/>
    </rfmt>
    <rfmt sheetId="2" sqref="JU768" start="0" length="0">
      <dxf/>
    </rfmt>
    <rfmt sheetId="2" sqref="JV768" start="0" length="0">
      <dxf/>
    </rfmt>
    <rfmt sheetId="2" sqref="JW768" start="0" length="0">
      <dxf/>
    </rfmt>
    <rfmt sheetId="2" sqref="JX768" start="0" length="0">
      <dxf/>
    </rfmt>
    <rfmt sheetId="2" sqref="JY768" start="0" length="0">
      <dxf/>
    </rfmt>
    <rfmt sheetId="2" sqref="JZ768" start="0" length="0">
      <dxf/>
    </rfmt>
    <rfmt sheetId="2" sqref="KA768" start="0" length="0">
      <dxf/>
    </rfmt>
    <rfmt sheetId="2" sqref="KB768" start="0" length="0">
      <dxf/>
    </rfmt>
    <rfmt sheetId="2" sqref="KC768" start="0" length="0">
      <dxf/>
    </rfmt>
    <rfmt sheetId="2" sqref="KD768" start="0" length="0">
      <dxf/>
    </rfmt>
    <rfmt sheetId="2" sqref="KE768" start="0" length="0">
      <dxf/>
    </rfmt>
    <rfmt sheetId="2" sqref="KF768" start="0" length="0">
      <dxf/>
    </rfmt>
    <rfmt sheetId="2" sqref="KG768" start="0" length="0">
      <dxf/>
    </rfmt>
    <rfmt sheetId="2" sqref="KH768" start="0" length="0">
      <dxf/>
    </rfmt>
    <rfmt sheetId="2" sqref="KI768" start="0" length="0">
      <dxf/>
    </rfmt>
    <rfmt sheetId="2" sqref="KJ768" start="0" length="0">
      <dxf/>
    </rfmt>
    <rfmt sheetId="2" sqref="KK768" start="0" length="0">
      <dxf/>
    </rfmt>
    <rfmt sheetId="2" sqref="KL768" start="0" length="0">
      <dxf/>
    </rfmt>
    <rfmt sheetId="2" sqref="KM768" start="0" length="0">
      <dxf/>
    </rfmt>
    <rfmt sheetId="2" sqref="KN768" start="0" length="0">
      <dxf/>
    </rfmt>
    <rfmt sheetId="2" sqref="KO768" start="0" length="0">
      <dxf/>
    </rfmt>
    <rfmt sheetId="2" sqref="KP768" start="0" length="0">
      <dxf/>
    </rfmt>
    <rfmt sheetId="2" sqref="KQ768" start="0" length="0">
      <dxf/>
    </rfmt>
    <rfmt sheetId="2" sqref="KR768" start="0" length="0">
      <dxf/>
    </rfmt>
    <rfmt sheetId="2" sqref="KS768" start="0" length="0">
      <dxf/>
    </rfmt>
    <rfmt sheetId="2" sqref="KT768" start="0" length="0">
      <dxf/>
    </rfmt>
    <rfmt sheetId="2" sqref="KU768" start="0" length="0">
      <dxf/>
    </rfmt>
    <rfmt sheetId="2" sqref="KV768" start="0" length="0">
      <dxf/>
    </rfmt>
    <rfmt sheetId="2" sqref="KW768" start="0" length="0">
      <dxf/>
    </rfmt>
    <rfmt sheetId="2" sqref="KX768" start="0" length="0">
      <dxf/>
    </rfmt>
    <rfmt sheetId="2" sqref="KY768" start="0" length="0">
      <dxf/>
    </rfmt>
    <rfmt sheetId="2" sqref="KZ768" start="0" length="0">
      <dxf/>
    </rfmt>
    <rfmt sheetId="2" sqref="LA768" start="0" length="0">
      <dxf/>
    </rfmt>
    <rfmt sheetId="2" sqref="LB768" start="0" length="0">
      <dxf/>
    </rfmt>
    <rfmt sheetId="2" sqref="LC768" start="0" length="0">
      <dxf/>
    </rfmt>
    <rfmt sheetId="2" sqref="LD768" start="0" length="0">
      <dxf/>
    </rfmt>
    <rfmt sheetId="2" sqref="LE768" start="0" length="0">
      <dxf/>
    </rfmt>
    <rfmt sheetId="2" sqref="LF768" start="0" length="0">
      <dxf/>
    </rfmt>
    <rfmt sheetId="2" sqref="LG768" start="0" length="0">
      <dxf/>
    </rfmt>
    <rfmt sheetId="2" sqref="LH768" start="0" length="0">
      <dxf/>
    </rfmt>
    <rfmt sheetId="2" sqref="LI768" start="0" length="0">
      <dxf/>
    </rfmt>
    <rfmt sheetId="2" sqref="LJ768" start="0" length="0">
      <dxf/>
    </rfmt>
    <rfmt sheetId="2" sqref="LK768" start="0" length="0">
      <dxf/>
    </rfmt>
    <rfmt sheetId="2" sqref="LL768" start="0" length="0">
      <dxf/>
    </rfmt>
    <rfmt sheetId="2" sqref="LM768" start="0" length="0">
      <dxf/>
    </rfmt>
    <rfmt sheetId="2" sqref="LN768" start="0" length="0">
      <dxf/>
    </rfmt>
    <rfmt sheetId="2" sqref="LO768" start="0" length="0">
      <dxf/>
    </rfmt>
    <rfmt sheetId="2" sqref="LP768" start="0" length="0">
      <dxf/>
    </rfmt>
    <rfmt sheetId="2" sqref="LQ768" start="0" length="0">
      <dxf/>
    </rfmt>
    <rfmt sheetId="2" sqref="LR768" start="0" length="0">
      <dxf/>
    </rfmt>
    <rfmt sheetId="2" sqref="LS768" start="0" length="0">
      <dxf/>
    </rfmt>
    <rfmt sheetId="2" sqref="LT768" start="0" length="0">
      <dxf/>
    </rfmt>
    <rfmt sheetId="2" sqref="LU768" start="0" length="0">
      <dxf/>
    </rfmt>
    <rfmt sheetId="2" sqref="LV768" start="0" length="0">
      <dxf/>
    </rfmt>
    <rfmt sheetId="2" sqref="LW768" start="0" length="0">
      <dxf/>
    </rfmt>
    <rfmt sheetId="2" sqref="LX768" start="0" length="0">
      <dxf/>
    </rfmt>
    <rfmt sheetId="2" sqref="LY768" start="0" length="0">
      <dxf/>
    </rfmt>
    <rfmt sheetId="2" sqref="LZ768" start="0" length="0">
      <dxf/>
    </rfmt>
    <rfmt sheetId="2" sqref="MA768" start="0" length="0">
      <dxf/>
    </rfmt>
    <rfmt sheetId="2" sqref="MB768" start="0" length="0">
      <dxf/>
    </rfmt>
  </rm>
  <rrc rId="2230" sId="2" ref="A765:XFD765" action="deleteRow">
    <undo index="0" exp="area" ref3D="1" dr="$A$1:$A$1048576" dn="Z_D108A94F_96BE_4B2E_9408_7CE19DC55699_.wvu.Cols" sId="2"/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5:XFD765" start="0" length="0">
      <dxf>
        <font>
          <sz val="10"/>
          <name val="Arial"/>
          <scheme val="none"/>
        </font>
        <alignment horizontal="center" readingOrder="0"/>
      </dxf>
    </rfmt>
    <rfmt sheetId="2" sqref="A76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5" start="0" length="0">
      <dxf>
        <numFmt numFmtId="176" formatCode="m/d;@"/>
      </dxf>
    </rfmt>
    <rfmt sheetId="2" sqref="P76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5" start="0" length="0">
      <dxf/>
    </rfmt>
    <rfmt sheetId="2" sqref="U765" start="0" length="0">
      <dxf/>
    </rfmt>
    <rfmt sheetId="2" sqref="V765" start="0" length="0">
      <dxf/>
    </rfmt>
    <rfmt sheetId="2" sqref="W765" start="0" length="0">
      <dxf/>
    </rfmt>
    <rfmt sheetId="2" sqref="X765" start="0" length="0">
      <dxf/>
    </rfmt>
    <rfmt sheetId="2" sqref="Y765" start="0" length="0">
      <dxf/>
    </rfmt>
    <rfmt sheetId="2" sqref="Z765" start="0" length="0">
      <dxf/>
    </rfmt>
    <rfmt sheetId="2" sqref="AA765" start="0" length="0">
      <dxf/>
    </rfmt>
    <rfmt sheetId="2" sqref="AB765" start="0" length="0">
      <dxf/>
    </rfmt>
    <rfmt sheetId="2" sqref="AC765" start="0" length="0">
      <dxf/>
    </rfmt>
    <rfmt sheetId="2" sqref="AD765" start="0" length="0">
      <dxf/>
    </rfmt>
    <rfmt sheetId="2" sqref="AE765" start="0" length="0">
      <dxf/>
    </rfmt>
    <rfmt sheetId="2" sqref="AF765" start="0" length="0">
      <dxf/>
    </rfmt>
    <rfmt sheetId="2" sqref="AG765" start="0" length="0">
      <dxf/>
    </rfmt>
    <rfmt sheetId="2" sqref="AH765" start="0" length="0">
      <dxf/>
    </rfmt>
    <rfmt sheetId="2" sqref="AI765" start="0" length="0">
      <dxf/>
    </rfmt>
    <rfmt sheetId="2" sqref="AJ765" start="0" length="0">
      <dxf/>
    </rfmt>
    <rfmt sheetId="2" sqref="AK765" start="0" length="0">
      <dxf/>
    </rfmt>
    <rfmt sheetId="2" sqref="AL765" start="0" length="0">
      <dxf/>
    </rfmt>
    <rfmt sheetId="2" sqref="AM765" start="0" length="0">
      <dxf/>
    </rfmt>
    <rfmt sheetId="2" sqref="AN765" start="0" length="0">
      <dxf/>
    </rfmt>
    <rfmt sheetId="2" sqref="AO765" start="0" length="0">
      <dxf/>
    </rfmt>
    <rfmt sheetId="2" sqref="AP765" start="0" length="0">
      <dxf/>
    </rfmt>
    <rfmt sheetId="2" sqref="AQ765" start="0" length="0">
      <dxf/>
    </rfmt>
    <rfmt sheetId="2" sqref="AR765" start="0" length="0">
      <dxf/>
    </rfmt>
    <rfmt sheetId="2" sqref="AS765" start="0" length="0">
      <dxf/>
    </rfmt>
    <rfmt sheetId="2" sqref="AT765" start="0" length="0">
      <dxf/>
    </rfmt>
    <rfmt sheetId="2" sqref="AU765" start="0" length="0">
      <dxf/>
    </rfmt>
    <rfmt sheetId="2" sqref="AV765" start="0" length="0">
      <dxf/>
    </rfmt>
    <rfmt sheetId="2" sqref="AW765" start="0" length="0">
      <dxf/>
    </rfmt>
    <rfmt sheetId="2" sqref="AX765" start="0" length="0">
      <dxf/>
    </rfmt>
    <rfmt sheetId="2" sqref="AY765" start="0" length="0">
      <dxf/>
    </rfmt>
    <rfmt sheetId="2" sqref="AZ765" start="0" length="0">
      <dxf/>
    </rfmt>
    <rfmt sheetId="2" sqref="BA765" start="0" length="0">
      <dxf/>
    </rfmt>
    <rfmt sheetId="2" sqref="BB765" start="0" length="0">
      <dxf/>
    </rfmt>
    <rfmt sheetId="2" sqref="BC765" start="0" length="0">
      <dxf/>
    </rfmt>
    <rfmt sheetId="2" sqref="BD765" start="0" length="0">
      <dxf/>
    </rfmt>
    <rfmt sheetId="2" sqref="BE765" start="0" length="0">
      <dxf/>
    </rfmt>
    <rfmt sheetId="2" sqref="BF765" start="0" length="0">
      <dxf/>
    </rfmt>
    <rfmt sheetId="2" sqref="BG765" start="0" length="0">
      <dxf/>
    </rfmt>
    <rfmt sheetId="2" sqref="BH765" start="0" length="0">
      <dxf/>
    </rfmt>
    <rfmt sheetId="2" sqref="BI765" start="0" length="0">
      <dxf/>
    </rfmt>
    <rfmt sheetId="2" sqref="BJ765" start="0" length="0">
      <dxf/>
    </rfmt>
    <rfmt sheetId="2" sqref="BK765" start="0" length="0">
      <dxf/>
    </rfmt>
    <rfmt sheetId="2" sqref="BL765" start="0" length="0">
      <dxf/>
    </rfmt>
    <rfmt sheetId="2" sqref="BM765" start="0" length="0">
      <dxf/>
    </rfmt>
    <rfmt sheetId="2" sqref="BN765" start="0" length="0">
      <dxf/>
    </rfmt>
    <rfmt sheetId="2" sqref="BO765" start="0" length="0">
      <dxf/>
    </rfmt>
    <rfmt sheetId="2" sqref="BP765" start="0" length="0">
      <dxf/>
    </rfmt>
    <rfmt sheetId="2" sqref="BQ765" start="0" length="0">
      <dxf/>
    </rfmt>
    <rfmt sheetId="2" sqref="BR765" start="0" length="0">
      <dxf/>
    </rfmt>
    <rfmt sheetId="2" sqref="BS765" start="0" length="0">
      <dxf/>
    </rfmt>
    <rfmt sheetId="2" sqref="BT765" start="0" length="0">
      <dxf/>
    </rfmt>
    <rfmt sheetId="2" sqref="BU765" start="0" length="0">
      <dxf/>
    </rfmt>
    <rfmt sheetId="2" sqref="BV765" start="0" length="0">
      <dxf/>
    </rfmt>
    <rfmt sheetId="2" sqref="BW765" start="0" length="0">
      <dxf/>
    </rfmt>
    <rfmt sheetId="2" sqref="BX765" start="0" length="0">
      <dxf/>
    </rfmt>
    <rfmt sheetId="2" sqref="BY765" start="0" length="0">
      <dxf/>
    </rfmt>
    <rfmt sheetId="2" sqref="BZ765" start="0" length="0">
      <dxf/>
    </rfmt>
    <rfmt sheetId="2" sqref="CA765" start="0" length="0">
      <dxf/>
    </rfmt>
    <rfmt sheetId="2" sqref="CB765" start="0" length="0">
      <dxf/>
    </rfmt>
    <rfmt sheetId="2" sqref="CC765" start="0" length="0">
      <dxf/>
    </rfmt>
    <rfmt sheetId="2" sqref="CD765" start="0" length="0">
      <dxf/>
    </rfmt>
    <rfmt sheetId="2" sqref="CE765" start="0" length="0">
      <dxf/>
    </rfmt>
    <rfmt sheetId="2" sqref="CF765" start="0" length="0">
      <dxf/>
    </rfmt>
    <rfmt sheetId="2" sqref="CG765" start="0" length="0">
      <dxf/>
    </rfmt>
    <rfmt sheetId="2" sqref="CH765" start="0" length="0">
      <dxf/>
    </rfmt>
    <rfmt sheetId="2" sqref="CI765" start="0" length="0">
      <dxf/>
    </rfmt>
    <rfmt sheetId="2" sqref="CJ765" start="0" length="0">
      <dxf/>
    </rfmt>
    <rfmt sheetId="2" sqref="CK765" start="0" length="0">
      <dxf/>
    </rfmt>
    <rfmt sheetId="2" sqref="CL765" start="0" length="0">
      <dxf/>
    </rfmt>
    <rfmt sheetId="2" sqref="CM765" start="0" length="0">
      <dxf/>
    </rfmt>
    <rfmt sheetId="2" sqref="CN765" start="0" length="0">
      <dxf/>
    </rfmt>
    <rfmt sheetId="2" sqref="CO765" start="0" length="0">
      <dxf/>
    </rfmt>
    <rfmt sheetId="2" sqref="CP765" start="0" length="0">
      <dxf/>
    </rfmt>
    <rfmt sheetId="2" sqref="CQ765" start="0" length="0">
      <dxf/>
    </rfmt>
    <rfmt sheetId="2" sqref="CR765" start="0" length="0">
      <dxf/>
    </rfmt>
    <rfmt sheetId="2" sqref="CS765" start="0" length="0">
      <dxf/>
    </rfmt>
    <rfmt sheetId="2" sqref="CT765" start="0" length="0">
      <dxf/>
    </rfmt>
    <rfmt sheetId="2" sqref="CU765" start="0" length="0">
      <dxf/>
    </rfmt>
    <rfmt sheetId="2" sqref="CV765" start="0" length="0">
      <dxf/>
    </rfmt>
    <rfmt sheetId="2" sqref="CW765" start="0" length="0">
      <dxf/>
    </rfmt>
    <rfmt sheetId="2" sqref="CX765" start="0" length="0">
      <dxf/>
    </rfmt>
    <rfmt sheetId="2" sqref="CY765" start="0" length="0">
      <dxf/>
    </rfmt>
    <rfmt sheetId="2" sqref="CZ765" start="0" length="0">
      <dxf/>
    </rfmt>
    <rfmt sheetId="2" sqref="DA765" start="0" length="0">
      <dxf/>
    </rfmt>
    <rfmt sheetId="2" sqref="DB765" start="0" length="0">
      <dxf/>
    </rfmt>
    <rfmt sheetId="2" sqref="DC765" start="0" length="0">
      <dxf/>
    </rfmt>
    <rfmt sheetId="2" sqref="DD765" start="0" length="0">
      <dxf/>
    </rfmt>
    <rfmt sheetId="2" sqref="DE765" start="0" length="0">
      <dxf/>
    </rfmt>
    <rfmt sheetId="2" sqref="DF765" start="0" length="0">
      <dxf/>
    </rfmt>
    <rfmt sheetId="2" sqref="DG765" start="0" length="0">
      <dxf/>
    </rfmt>
    <rfmt sheetId="2" sqref="DH765" start="0" length="0">
      <dxf/>
    </rfmt>
    <rfmt sheetId="2" sqref="DI765" start="0" length="0">
      <dxf/>
    </rfmt>
    <rfmt sheetId="2" sqref="DJ765" start="0" length="0">
      <dxf/>
    </rfmt>
    <rfmt sheetId="2" sqref="DK765" start="0" length="0">
      <dxf/>
    </rfmt>
    <rfmt sheetId="2" sqref="DL765" start="0" length="0">
      <dxf/>
    </rfmt>
    <rfmt sheetId="2" sqref="DM765" start="0" length="0">
      <dxf/>
    </rfmt>
    <rfmt sheetId="2" sqref="DN765" start="0" length="0">
      <dxf/>
    </rfmt>
    <rfmt sheetId="2" sqref="DO765" start="0" length="0">
      <dxf/>
    </rfmt>
    <rfmt sheetId="2" sqref="DP765" start="0" length="0">
      <dxf/>
    </rfmt>
    <rfmt sheetId="2" sqref="DQ765" start="0" length="0">
      <dxf/>
    </rfmt>
    <rfmt sheetId="2" sqref="DR765" start="0" length="0">
      <dxf/>
    </rfmt>
    <rfmt sheetId="2" sqref="DS765" start="0" length="0">
      <dxf/>
    </rfmt>
    <rfmt sheetId="2" sqref="DT765" start="0" length="0">
      <dxf/>
    </rfmt>
    <rfmt sheetId="2" sqref="DU765" start="0" length="0">
      <dxf/>
    </rfmt>
    <rfmt sheetId="2" sqref="DV765" start="0" length="0">
      <dxf/>
    </rfmt>
    <rfmt sheetId="2" sqref="DW765" start="0" length="0">
      <dxf/>
    </rfmt>
    <rfmt sheetId="2" sqref="DX765" start="0" length="0">
      <dxf/>
    </rfmt>
    <rfmt sheetId="2" sqref="DY765" start="0" length="0">
      <dxf/>
    </rfmt>
    <rfmt sheetId="2" sqref="DZ765" start="0" length="0">
      <dxf/>
    </rfmt>
    <rfmt sheetId="2" sqref="EA765" start="0" length="0">
      <dxf/>
    </rfmt>
    <rfmt sheetId="2" sqref="EB765" start="0" length="0">
      <dxf/>
    </rfmt>
    <rfmt sheetId="2" sqref="EC765" start="0" length="0">
      <dxf/>
    </rfmt>
    <rfmt sheetId="2" sqref="ED765" start="0" length="0">
      <dxf/>
    </rfmt>
    <rfmt sheetId="2" sqref="EE765" start="0" length="0">
      <dxf/>
    </rfmt>
    <rfmt sheetId="2" sqref="EF765" start="0" length="0">
      <dxf/>
    </rfmt>
    <rfmt sheetId="2" sqref="EG765" start="0" length="0">
      <dxf/>
    </rfmt>
    <rfmt sheetId="2" sqref="EH765" start="0" length="0">
      <dxf/>
    </rfmt>
    <rfmt sheetId="2" sqref="EI765" start="0" length="0">
      <dxf/>
    </rfmt>
    <rfmt sheetId="2" sqref="EJ765" start="0" length="0">
      <dxf/>
    </rfmt>
    <rfmt sheetId="2" sqref="EK765" start="0" length="0">
      <dxf/>
    </rfmt>
    <rfmt sheetId="2" sqref="EL765" start="0" length="0">
      <dxf/>
    </rfmt>
    <rfmt sheetId="2" sqref="EM765" start="0" length="0">
      <dxf/>
    </rfmt>
    <rfmt sheetId="2" sqref="EN765" start="0" length="0">
      <dxf/>
    </rfmt>
    <rfmt sheetId="2" sqref="EO765" start="0" length="0">
      <dxf/>
    </rfmt>
    <rfmt sheetId="2" sqref="EP765" start="0" length="0">
      <dxf/>
    </rfmt>
    <rfmt sheetId="2" sqref="EQ765" start="0" length="0">
      <dxf/>
    </rfmt>
    <rfmt sheetId="2" sqref="ER765" start="0" length="0">
      <dxf/>
    </rfmt>
    <rfmt sheetId="2" sqref="ES765" start="0" length="0">
      <dxf/>
    </rfmt>
    <rfmt sheetId="2" sqref="ET765" start="0" length="0">
      <dxf/>
    </rfmt>
    <rfmt sheetId="2" sqref="EU765" start="0" length="0">
      <dxf/>
    </rfmt>
    <rfmt sheetId="2" sqref="EV765" start="0" length="0">
      <dxf/>
    </rfmt>
    <rfmt sheetId="2" sqref="EW765" start="0" length="0">
      <dxf/>
    </rfmt>
    <rfmt sheetId="2" sqref="EX765" start="0" length="0">
      <dxf/>
    </rfmt>
    <rfmt sheetId="2" sqref="EY765" start="0" length="0">
      <dxf/>
    </rfmt>
    <rfmt sheetId="2" sqref="EZ765" start="0" length="0">
      <dxf/>
    </rfmt>
    <rfmt sheetId="2" sqref="FA765" start="0" length="0">
      <dxf/>
    </rfmt>
    <rfmt sheetId="2" sqref="FB765" start="0" length="0">
      <dxf/>
    </rfmt>
    <rfmt sheetId="2" sqref="FC765" start="0" length="0">
      <dxf/>
    </rfmt>
    <rfmt sheetId="2" sqref="FD765" start="0" length="0">
      <dxf/>
    </rfmt>
    <rfmt sheetId="2" sqref="FE765" start="0" length="0">
      <dxf/>
    </rfmt>
    <rfmt sheetId="2" sqref="FF765" start="0" length="0">
      <dxf/>
    </rfmt>
    <rfmt sheetId="2" sqref="FG765" start="0" length="0">
      <dxf/>
    </rfmt>
    <rfmt sheetId="2" sqref="FH765" start="0" length="0">
      <dxf/>
    </rfmt>
    <rfmt sheetId="2" sqref="FI765" start="0" length="0">
      <dxf/>
    </rfmt>
    <rfmt sheetId="2" sqref="FJ765" start="0" length="0">
      <dxf/>
    </rfmt>
    <rfmt sheetId="2" sqref="FK765" start="0" length="0">
      <dxf/>
    </rfmt>
    <rfmt sheetId="2" sqref="FL765" start="0" length="0">
      <dxf/>
    </rfmt>
    <rfmt sheetId="2" sqref="FM765" start="0" length="0">
      <dxf/>
    </rfmt>
    <rfmt sheetId="2" sqref="FN765" start="0" length="0">
      <dxf/>
    </rfmt>
    <rfmt sheetId="2" sqref="FO765" start="0" length="0">
      <dxf/>
    </rfmt>
    <rfmt sheetId="2" sqref="FP765" start="0" length="0">
      <dxf/>
    </rfmt>
    <rfmt sheetId="2" sqref="FQ765" start="0" length="0">
      <dxf/>
    </rfmt>
    <rfmt sheetId="2" sqref="FR765" start="0" length="0">
      <dxf/>
    </rfmt>
    <rfmt sheetId="2" sqref="FS765" start="0" length="0">
      <dxf/>
    </rfmt>
    <rfmt sheetId="2" sqref="FT765" start="0" length="0">
      <dxf/>
    </rfmt>
    <rfmt sheetId="2" sqref="FU765" start="0" length="0">
      <dxf/>
    </rfmt>
    <rfmt sheetId="2" sqref="FV765" start="0" length="0">
      <dxf/>
    </rfmt>
    <rfmt sheetId="2" sqref="FW765" start="0" length="0">
      <dxf/>
    </rfmt>
    <rfmt sheetId="2" sqref="FX765" start="0" length="0">
      <dxf/>
    </rfmt>
    <rfmt sheetId="2" sqref="FY765" start="0" length="0">
      <dxf/>
    </rfmt>
    <rfmt sheetId="2" sqref="FZ765" start="0" length="0">
      <dxf/>
    </rfmt>
    <rfmt sheetId="2" sqref="GA765" start="0" length="0">
      <dxf/>
    </rfmt>
    <rfmt sheetId="2" sqref="GB765" start="0" length="0">
      <dxf/>
    </rfmt>
    <rfmt sheetId="2" sqref="GC765" start="0" length="0">
      <dxf/>
    </rfmt>
    <rfmt sheetId="2" sqref="GD765" start="0" length="0">
      <dxf/>
    </rfmt>
    <rfmt sheetId="2" sqref="GE765" start="0" length="0">
      <dxf/>
    </rfmt>
    <rfmt sheetId="2" sqref="GF765" start="0" length="0">
      <dxf/>
    </rfmt>
    <rfmt sheetId="2" sqref="GG765" start="0" length="0">
      <dxf/>
    </rfmt>
    <rfmt sheetId="2" sqref="GH765" start="0" length="0">
      <dxf/>
    </rfmt>
    <rfmt sheetId="2" sqref="GI765" start="0" length="0">
      <dxf/>
    </rfmt>
    <rfmt sheetId="2" sqref="GJ765" start="0" length="0">
      <dxf/>
    </rfmt>
    <rfmt sheetId="2" sqref="GK765" start="0" length="0">
      <dxf/>
    </rfmt>
    <rfmt sheetId="2" sqref="GL765" start="0" length="0">
      <dxf/>
    </rfmt>
    <rfmt sheetId="2" sqref="GM765" start="0" length="0">
      <dxf/>
    </rfmt>
    <rfmt sheetId="2" sqref="GN765" start="0" length="0">
      <dxf/>
    </rfmt>
    <rfmt sheetId="2" sqref="GO765" start="0" length="0">
      <dxf/>
    </rfmt>
    <rfmt sheetId="2" sqref="GP765" start="0" length="0">
      <dxf/>
    </rfmt>
    <rfmt sheetId="2" sqref="GQ765" start="0" length="0">
      <dxf/>
    </rfmt>
    <rfmt sheetId="2" sqref="GR765" start="0" length="0">
      <dxf/>
    </rfmt>
    <rfmt sheetId="2" sqref="GS765" start="0" length="0">
      <dxf/>
    </rfmt>
    <rfmt sheetId="2" sqref="GT765" start="0" length="0">
      <dxf/>
    </rfmt>
    <rfmt sheetId="2" sqref="GU765" start="0" length="0">
      <dxf/>
    </rfmt>
    <rfmt sheetId="2" sqref="GV765" start="0" length="0">
      <dxf/>
    </rfmt>
    <rfmt sheetId="2" sqref="GW765" start="0" length="0">
      <dxf/>
    </rfmt>
    <rfmt sheetId="2" sqref="GX765" start="0" length="0">
      <dxf/>
    </rfmt>
    <rfmt sheetId="2" sqref="GY765" start="0" length="0">
      <dxf/>
    </rfmt>
    <rfmt sheetId="2" sqref="GZ765" start="0" length="0">
      <dxf/>
    </rfmt>
    <rfmt sheetId="2" sqref="HA765" start="0" length="0">
      <dxf/>
    </rfmt>
    <rfmt sheetId="2" sqref="HB765" start="0" length="0">
      <dxf/>
    </rfmt>
    <rfmt sheetId="2" sqref="HC765" start="0" length="0">
      <dxf/>
    </rfmt>
    <rfmt sheetId="2" sqref="HD765" start="0" length="0">
      <dxf/>
    </rfmt>
    <rfmt sheetId="2" sqref="HE765" start="0" length="0">
      <dxf/>
    </rfmt>
    <rfmt sheetId="2" sqref="HF765" start="0" length="0">
      <dxf/>
    </rfmt>
    <rfmt sheetId="2" sqref="HG765" start="0" length="0">
      <dxf/>
    </rfmt>
    <rfmt sheetId="2" sqref="HH765" start="0" length="0">
      <dxf/>
    </rfmt>
    <rfmt sheetId="2" sqref="HI765" start="0" length="0">
      <dxf/>
    </rfmt>
    <rfmt sheetId="2" sqref="HJ765" start="0" length="0">
      <dxf/>
    </rfmt>
    <rfmt sheetId="2" sqref="HK765" start="0" length="0">
      <dxf/>
    </rfmt>
    <rfmt sheetId="2" sqref="HL765" start="0" length="0">
      <dxf/>
    </rfmt>
    <rfmt sheetId="2" sqref="HM765" start="0" length="0">
      <dxf/>
    </rfmt>
    <rfmt sheetId="2" sqref="HN765" start="0" length="0">
      <dxf/>
    </rfmt>
    <rfmt sheetId="2" sqref="HO765" start="0" length="0">
      <dxf/>
    </rfmt>
    <rfmt sheetId="2" sqref="HP765" start="0" length="0">
      <dxf/>
    </rfmt>
    <rfmt sheetId="2" sqref="HQ765" start="0" length="0">
      <dxf/>
    </rfmt>
    <rfmt sheetId="2" sqref="HR765" start="0" length="0">
      <dxf/>
    </rfmt>
    <rfmt sheetId="2" sqref="HS765" start="0" length="0">
      <dxf/>
    </rfmt>
    <rfmt sheetId="2" sqref="HT765" start="0" length="0">
      <dxf/>
    </rfmt>
    <rfmt sheetId="2" sqref="HU765" start="0" length="0">
      <dxf/>
    </rfmt>
    <rfmt sheetId="2" sqref="HV765" start="0" length="0">
      <dxf/>
    </rfmt>
    <rfmt sheetId="2" sqref="HW765" start="0" length="0">
      <dxf/>
    </rfmt>
    <rfmt sheetId="2" sqref="HX765" start="0" length="0">
      <dxf/>
    </rfmt>
    <rfmt sheetId="2" sqref="HY765" start="0" length="0">
      <dxf/>
    </rfmt>
    <rfmt sheetId="2" sqref="HZ765" start="0" length="0">
      <dxf/>
    </rfmt>
    <rfmt sheetId="2" sqref="IA765" start="0" length="0">
      <dxf/>
    </rfmt>
    <rfmt sheetId="2" sqref="IB765" start="0" length="0">
      <dxf/>
    </rfmt>
    <rfmt sheetId="2" sqref="IC765" start="0" length="0">
      <dxf/>
    </rfmt>
    <rfmt sheetId="2" sqref="ID765" start="0" length="0">
      <dxf/>
    </rfmt>
    <rfmt sheetId="2" sqref="IE765" start="0" length="0">
      <dxf/>
    </rfmt>
    <rfmt sheetId="2" sqref="IF765" start="0" length="0">
      <dxf/>
    </rfmt>
    <rfmt sheetId="2" sqref="IG765" start="0" length="0">
      <dxf/>
    </rfmt>
    <rfmt sheetId="2" sqref="IH765" start="0" length="0">
      <dxf/>
    </rfmt>
    <rfmt sheetId="2" sqref="II765" start="0" length="0">
      <dxf/>
    </rfmt>
    <rfmt sheetId="2" sqref="IJ765" start="0" length="0">
      <dxf/>
    </rfmt>
    <rfmt sheetId="2" sqref="IK765" start="0" length="0">
      <dxf/>
    </rfmt>
    <rfmt sheetId="2" sqref="IL765" start="0" length="0">
      <dxf/>
    </rfmt>
    <rfmt sheetId="2" sqref="IM765" start="0" length="0">
      <dxf/>
    </rfmt>
    <rfmt sheetId="2" sqref="IN765" start="0" length="0">
      <dxf/>
    </rfmt>
    <rfmt sheetId="2" sqref="IO765" start="0" length="0">
      <dxf/>
    </rfmt>
    <rfmt sheetId="2" sqref="IP765" start="0" length="0">
      <dxf/>
    </rfmt>
    <rfmt sheetId="2" sqref="IQ765" start="0" length="0">
      <dxf/>
    </rfmt>
    <rfmt sheetId="2" sqref="IR765" start="0" length="0">
      <dxf/>
    </rfmt>
    <rfmt sheetId="2" sqref="IS765" start="0" length="0">
      <dxf/>
    </rfmt>
    <rfmt sheetId="2" sqref="IT765" start="0" length="0">
      <dxf/>
    </rfmt>
    <rfmt sheetId="2" sqref="IU765" start="0" length="0">
      <dxf/>
    </rfmt>
    <rfmt sheetId="2" sqref="IV765" start="0" length="0">
      <dxf/>
    </rfmt>
    <rfmt sheetId="2" sqref="IW765" start="0" length="0">
      <dxf/>
    </rfmt>
    <rfmt sheetId="2" sqref="IX765" start="0" length="0">
      <dxf/>
    </rfmt>
    <rfmt sheetId="2" sqref="IY765" start="0" length="0">
      <dxf/>
    </rfmt>
    <rfmt sheetId="2" sqref="IZ765" start="0" length="0">
      <dxf/>
    </rfmt>
    <rfmt sheetId="2" sqref="JA765" start="0" length="0">
      <dxf/>
    </rfmt>
    <rfmt sheetId="2" sqref="JB765" start="0" length="0">
      <dxf/>
    </rfmt>
    <rfmt sheetId="2" sqref="JC765" start="0" length="0">
      <dxf/>
    </rfmt>
    <rfmt sheetId="2" sqref="JD765" start="0" length="0">
      <dxf/>
    </rfmt>
    <rfmt sheetId="2" sqref="JE765" start="0" length="0">
      <dxf/>
    </rfmt>
    <rfmt sheetId="2" sqref="JF765" start="0" length="0">
      <dxf/>
    </rfmt>
    <rfmt sheetId="2" sqref="JG765" start="0" length="0">
      <dxf/>
    </rfmt>
    <rfmt sheetId="2" sqref="JH765" start="0" length="0">
      <dxf/>
    </rfmt>
    <rfmt sheetId="2" sqref="JI765" start="0" length="0">
      <dxf/>
    </rfmt>
    <rfmt sheetId="2" sqref="JJ765" start="0" length="0">
      <dxf/>
    </rfmt>
    <rfmt sheetId="2" sqref="JK765" start="0" length="0">
      <dxf/>
    </rfmt>
    <rfmt sheetId="2" sqref="JL765" start="0" length="0">
      <dxf/>
    </rfmt>
    <rfmt sheetId="2" sqref="JM765" start="0" length="0">
      <dxf/>
    </rfmt>
    <rfmt sheetId="2" sqref="JN765" start="0" length="0">
      <dxf/>
    </rfmt>
    <rfmt sheetId="2" sqref="JO765" start="0" length="0">
      <dxf/>
    </rfmt>
    <rfmt sheetId="2" sqref="JP765" start="0" length="0">
      <dxf/>
    </rfmt>
    <rfmt sheetId="2" sqref="JQ765" start="0" length="0">
      <dxf/>
    </rfmt>
    <rfmt sheetId="2" sqref="JR765" start="0" length="0">
      <dxf/>
    </rfmt>
    <rfmt sheetId="2" sqref="JS765" start="0" length="0">
      <dxf/>
    </rfmt>
    <rfmt sheetId="2" sqref="JT765" start="0" length="0">
      <dxf/>
    </rfmt>
    <rfmt sheetId="2" sqref="JU765" start="0" length="0">
      <dxf/>
    </rfmt>
    <rfmt sheetId="2" sqref="JV765" start="0" length="0">
      <dxf/>
    </rfmt>
    <rfmt sheetId="2" sqref="JW765" start="0" length="0">
      <dxf/>
    </rfmt>
    <rfmt sheetId="2" sqref="JX765" start="0" length="0">
      <dxf/>
    </rfmt>
    <rfmt sheetId="2" sqref="JY765" start="0" length="0">
      <dxf/>
    </rfmt>
    <rfmt sheetId="2" sqref="JZ765" start="0" length="0">
      <dxf/>
    </rfmt>
    <rfmt sheetId="2" sqref="KA765" start="0" length="0">
      <dxf/>
    </rfmt>
    <rfmt sheetId="2" sqref="KB765" start="0" length="0">
      <dxf/>
    </rfmt>
    <rfmt sheetId="2" sqref="KC765" start="0" length="0">
      <dxf/>
    </rfmt>
    <rfmt sheetId="2" sqref="KD765" start="0" length="0">
      <dxf/>
    </rfmt>
    <rfmt sheetId="2" sqref="KE765" start="0" length="0">
      <dxf/>
    </rfmt>
    <rfmt sheetId="2" sqref="KF765" start="0" length="0">
      <dxf/>
    </rfmt>
    <rfmt sheetId="2" sqref="KG765" start="0" length="0">
      <dxf/>
    </rfmt>
    <rfmt sheetId="2" sqref="KH765" start="0" length="0">
      <dxf/>
    </rfmt>
    <rfmt sheetId="2" sqref="KI765" start="0" length="0">
      <dxf/>
    </rfmt>
    <rfmt sheetId="2" sqref="KJ765" start="0" length="0">
      <dxf/>
    </rfmt>
    <rfmt sheetId="2" sqref="KK765" start="0" length="0">
      <dxf/>
    </rfmt>
    <rfmt sheetId="2" sqref="KL765" start="0" length="0">
      <dxf/>
    </rfmt>
    <rfmt sheetId="2" sqref="KM765" start="0" length="0">
      <dxf/>
    </rfmt>
    <rfmt sheetId="2" sqref="KN765" start="0" length="0">
      <dxf/>
    </rfmt>
    <rfmt sheetId="2" sqref="KO765" start="0" length="0">
      <dxf/>
    </rfmt>
    <rfmt sheetId="2" sqref="KP765" start="0" length="0">
      <dxf/>
    </rfmt>
    <rfmt sheetId="2" sqref="KQ765" start="0" length="0">
      <dxf/>
    </rfmt>
    <rfmt sheetId="2" sqref="KR765" start="0" length="0">
      <dxf/>
    </rfmt>
    <rfmt sheetId="2" sqref="KS765" start="0" length="0">
      <dxf/>
    </rfmt>
    <rfmt sheetId="2" sqref="KT765" start="0" length="0">
      <dxf/>
    </rfmt>
    <rfmt sheetId="2" sqref="KU765" start="0" length="0">
      <dxf/>
    </rfmt>
    <rfmt sheetId="2" sqref="KV765" start="0" length="0">
      <dxf/>
    </rfmt>
    <rfmt sheetId="2" sqref="KW765" start="0" length="0">
      <dxf/>
    </rfmt>
    <rfmt sheetId="2" sqref="KX765" start="0" length="0">
      <dxf/>
    </rfmt>
    <rfmt sheetId="2" sqref="KY765" start="0" length="0">
      <dxf/>
    </rfmt>
    <rfmt sheetId="2" sqref="KZ765" start="0" length="0">
      <dxf/>
    </rfmt>
    <rfmt sheetId="2" sqref="LA765" start="0" length="0">
      <dxf/>
    </rfmt>
    <rfmt sheetId="2" sqref="LB765" start="0" length="0">
      <dxf/>
    </rfmt>
    <rfmt sheetId="2" sqref="LC765" start="0" length="0">
      <dxf/>
    </rfmt>
    <rfmt sheetId="2" sqref="LD765" start="0" length="0">
      <dxf/>
    </rfmt>
    <rfmt sheetId="2" sqref="LE765" start="0" length="0">
      <dxf/>
    </rfmt>
    <rfmt sheetId="2" sqref="LF765" start="0" length="0">
      <dxf/>
    </rfmt>
    <rfmt sheetId="2" sqref="LG765" start="0" length="0">
      <dxf/>
    </rfmt>
    <rfmt sheetId="2" sqref="LH765" start="0" length="0">
      <dxf/>
    </rfmt>
    <rfmt sheetId="2" sqref="LI765" start="0" length="0">
      <dxf/>
    </rfmt>
    <rfmt sheetId="2" sqref="LJ765" start="0" length="0">
      <dxf/>
    </rfmt>
    <rfmt sheetId="2" sqref="LK765" start="0" length="0">
      <dxf/>
    </rfmt>
    <rfmt sheetId="2" sqref="LL765" start="0" length="0">
      <dxf/>
    </rfmt>
    <rfmt sheetId="2" sqref="LM765" start="0" length="0">
      <dxf/>
    </rfmt>
    <rfmt sheetId="2" sqref="LN765" start="0" length="0">
      <dxf/>
    </rfmt>
    <rfmt sheetId="2" sqref="LO765" start="0" length="0">
      <dxf/>
    </rfmt>
    <rfmt sheetId="2" sqref="LP765" start="0" length="0">
      <dxf/>
    </rfmt>
    <rfmt sheetId="2" sqref="LQ765" start="0" length="0">
      <dxf/>
    </rfmt>
    <rfmt sheetId="2" sqref="LR765" start="0" length="0">
      <dxf/>
    </rfmt>
    <rfmt sheetId="2" sqref="LS765" start="0" length="0">
      <dxf/>
    </rfmt>
    <rfmt sheetId="2" sqref="LT765" start="0" length="0">
      <dxf/>
    </rfmt>
    <rfmt sheetId="2" sqref="LU765" start="0" length="0">
      <dxf/>
    </rfmt>
    <rfmt sheetId="2" sqref="LV765" start="0" length="0">
      <dxf/>
    </rfmt>
    <rfmt sheetId="2" sqref="LW765" start="0" length="0">
      <dxf/>
    </rfmt>
    <rfmt sheetId="2" sqref="LX765" start="0" length="0">
      <dxf/>
    </rfmt>
    <rfmt sheetId="2" sqref="LY765" start="0" length="0">
      <dxf/>
    </rfmt>
    <rfmt sheetId="2" sqref="LZ765" start="0" length="0">
      <dxf/>
    </rfmt>
    <rfmt sheetId="2" sqref="MA765" start="0" length="0">
      <dxf/>
    </rfmt>
    <rfmt sheetId="2" sqref="MB765" start="0" length="0">
      <dxf/>
    </rfmt>
  </rrc>
  <rrc rId="2231" sId="2" ref="A765:XFD765" action="insertRow">
    <undo index="0" exp="area" ref3D="1" dr="$A$1:$A$1048576" dn="Z_D108A94F_96BE_4B2E_9408_7CE19DC55699_.wvu.Cols" sId="2"/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2232" sheetId="2" source="A763:XFD763" destination="A765:XFD765" sourceSheetId="2">
    <rfmt sheetId="2" xfDxf="1" sqref="A765:XFD765" start="0" length="0">
      <dxf>
        <font>
          <sz val="10"/>
          <name val="Arial"/>
          <scheme val="none"/>
        </font>
        <alignment horizontal="center" readingOrder="0"/>
      </dxf>
    </rfmt>
    <rfmt sheetId="2" sqref="A76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5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5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5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5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5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5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5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5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5" start="0" length="0">
      <dxf>
        <numFmt numFmtId="25" formatCode="hh:mm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5" start="0" length="0">
      <dxf>
        <numFmt numFmtId="176" formatCode="m/d;@"/>
      </dxf>
    </rfmt>
    <rfmt sheetId="2" sqref="P76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5" start="0" length="0">
      <dxf/>
    </rfmt>
    <rfmt sheetId="2" sqref="U765" start="0" length="0">
      <dxf/>
    </rfmt>
    <rfmt sheetId="2" sqref="V765" start="0" length="0">
      <dxf/>
    </rfmt>
    <rfmt sheetId="2" sqref="W765" start="0" length="0">
      <dxf/>
    </rfmt>
    <rfmt sheetId="2" sqref="X765" start="0" length="0">
      <dxf/>
    </rfmt>
    <rfmt sheetId="2" sqref="Y765" start="0" length="0">
      <dxf/>
    </rfmt>
    <rfmt sheetId="2" sqref="Z765" start="0" length="0">
      <dxf/>
    </rfmt>
    <rfmt sheetId="2" sqref="AA765" start="0" length="0">
      <dxf/>
    </rfmt>
    <rfmt sheetId="2" sqref="AB765" start="0" length="0">
      <dxf/>
    </rfmt>
    <rfmt sheetId="2" sqref="AC765" start="0" length="0">
      <dxf/>
    </rfmt>
    <rfmt sheetId="2" sqref="AD765" start="0" length="0">
      <dxf/>
    </rfmt>
    <rfmt sheetId="2" sqref="AE765" start="0" length="0">
      <dxf/>
    </rfmt>
    <rfmt sheetId="2" sqref="AF765" start="0" length="0">
      <dxf/>
    </rfmt>
    <rfmt sheetId="2" sqref="AG765" start="0" length="0">
      <dxf/>
    </rfmt>
    <rfmt sheetId="2" sqref="AH765" start="0" length="0">
      <dxf/>
    </rfmt>
    <rfmt sheetId="2" sqref="AI765" start="0" length="0">
      <dxf/>
    </rfmt>
    <rfmt sheetId="2" sqref="AJ765" start="0" length="0">
      <dxf/>
    </rfmt>
    <rfmt sheetId="2" sqref="AK765" start="0" length="0">
      <dxf/>
    </rfmt>
    <rfmt sheetId="2" sqref="AL765" start="0" length="0">
      <dxf/>
    </rfmt>
    <rfmt sheetId="2" sqref="AM765" start="0" length="0">
      <dxf/>
    </rfmt>
    <rfmt sheetId="2" sqref="AN765" start="0" length="0">
      <dxf/>
    </rfmt>
    <rfmt sheetId="2" sqref="AO765" start="0" length="0">
      <dxf/>
    </rfmt>
    <rfmt sheetId="2" sqref="AP765" start="0" length="0">
      <dxf/>
    </rfmt>
    <rfmt sheetId="2" sqref="AQ765" start="0" length="0">
      <dxf/>
    </rfmt>
    <rfmt sheetId="2" sqref="AR765" start="0" length="0">
      <dxf/>
    </rfmt>
    <rfmt sheetId="2" sqref="AS765" start="0" length="0">
      <dxf/>
    </rfmt>
    <rfmt sheetId="2" sqref="AT765" start="0" length="0">
      <dxf/>
    </rfmt>
    <rfmt sheetId="2" sqref="AU765" start="0" length="0">
      <dxf/>
    </rfmt>
    <rfmt sheetId="2" sqref="AV765" start="0" length="0">
      <dxf/>
    </rfmt>
    <rfmt sheetId="2" sqref="AW765" start="0" length="0">
      <dxf/>
    </rfmt>
    <rfmt sheetId="2" sqref="AX765" start="0" length="0">
      <dxf/>
    </rfmt>
    <rfmt sheetId="2" sqref="AY765" start="0" length="0">
      <dxf/>
    </rfmt>
    <rfmt sheetId="2" sqref="AZ765" start="0" length="0">
      <dxf/>
    </rfmt>
    <rfmt sheetId="2" sqref="BA765" start="0" length="0">
      <dxf/>
    </rfmt>
    <rfmt sheetId="2" sqref="BB765" start="0" length="0">
      <dxf/>
    </rfmt>
    <rfmt sheetId="2" sqref="BC765" start="0" length="0">
      <dxf/>
    </rfmt>
    <rfmt sheetId="2" sqref="BD765" start="0" length="0">
      <dxf/>
    </rfmt>
    <rfmt sheetId="2" sqref="BE765" start="0" length="0">
      <dxf/>
    </rfmt>
    <rfmt sheetId="2" sqref="BF765" start="0" length="0">
      <dxf/>
    </rfmt>
    <rfmt sheetId="2" sqref="BG765" start="0" length="0">
      <dxf/>
    </rfmt>
    <rfmt sheetId="2" sqref="BH765" start="0" length="0">
      <dxf/>
    </rfmt>
    <rfmt sheetId="2" sqref="BI765" start="0" length="0">
      <dxf/>
    </rfmt>
    <rfmt sheetId="2" sqref="BJ765" start="0" length="0">
      <dxf/>
    </rfmt>
    <rfmt sheetId="2" sqref="BK765" start="0" length="0">
      <dxf/>
    </rfmt>
    <rfmt sheetId="2" sqref="BL765" start="0" length="0">
      <dxf/>
    </rfmt>
    <rfmt sheetId="2" sqref="BM765" start="0" length="0">
      <dxf/>
    </rfmt>
    <rfmt sheetId="2" sqref="BN765" start="0" length="0">
      <dxf/>
    </rfmt>
    <rfmt sheetId="2" sqref="BO765" start="0" length="0">
      <dxf/>
    </rfmt>
    <rfmt sheetId="2" sqref="BP765" start="0" length="0">
      <dxf/>
    </rfmt>
    <rfmt sheetId="2" sqref="BQ765" start="0" length="0">
      <dxf/>
    </rfmt>
    <rfmt sheetId="2" sqref="BR765" start="0" length="0">
      <dxf/>
    </rfmt>
    <rfmt sheetId="2" sqref="BS765" start="0" length="0">
      <dxf/>
    </rfmt>
    <rfmt sheetId="2" sqref="BT765" start="0" length="0">
      <dxf/>
    </rfmt>
    <rfmt sheetId="2" sqref="BU765" start="0" length="0">
      <dxf/>
    </rfmt>
    <rfmt sheetId="2" sqref="BV765" start="0" length="0">
      <dxf/>
    </rfmt>
    <rfmt sheetId="2" sqref="BW765" start="0" length="0">
      <dxf/>
    </rfmt>
    <rfmt sheetId="2" sqref="BX765" start="0" length="0">
      <dxf/>
    </rfmt>
    <rfmt sheetId="2" sqref="BY765" start="0" length="0">
      <dxf/>
    </rfmt>
    <rfmt sheetId="2" sqref="BZ765" start="0" length="0">
      <dxf/>
    </rfmt>
    <rfmt sheetId="2" sqref="CA765" start="0" length="0">
      <dxf/>
    </rfmt>
    <rfmt sheetId="2" sqref="CB765" start="0" length="0">
      <dxf/>
    </rfmt>
    <rfmt sheetId="2" sqref="CC765" start="0" length="0">
      <dxf/>
    </rfmt>
    <rfmt sheetId="2" sqref="CD765" start="0" length="0">
      <dxf/>
    </rfmt>
    <rfmt sheetId="2" sqref="CE765" start="0" length="0">
      <dxf/>
    </rfmt>
    <rfmt sheetId="2" sqref="CF765" start="0" length="0">
      <dxf/>
    </rfmt>
    <rfmt sheetId="2" sqref="CG765" start="0" length="0">
      <dxf/>
    </rfmt>
    <rfmt sheetId="2" sqref="CH765" start="0" length="0">
      <dxf/>
    </rfmt>
    <rfmt sheetId="2" sqref="CI765" start="0" length="0">
      <dxf/>
    </rfmt>
    <rfmt sheetId="2" sqref="CJ765" start="0" length="0">
      <dxf/>
    </rfmt>
    <rfmt sheetId="2" sqref="CK765" start="0" length="0">
      <dxf/>
    </rfmt>
    <rfmt sheetId="2" sqref="CL765" start="0" length="0">
      <dxf/>
    </rfmt>
    <rfmt sheetId="2" sqref="CM765" start="0" length="0">
      <dxf/>
    </rfmt>
    <rfmt sheetId="2" sqref="CN765" start="0" length="0">
      <dxf/>
    </rfmt>
    <rfmt sheetId="2" sqref="CO765" start="0" length="0">
      <dxf/>
    </rfmt>
    <rfmt sheetId="2" sqref="CP765" start="0" length="0">
      <dxf/>
    </rfmt>
    <rfmt sheetId="2" sqref="CQ765" start="0" length="0">
      <dxf/>
    </rfmt>
    <rfmt sheetId="2" sqref="CR765" start="0" length="0">
      <dxf/>
    </rfmt>
    <rfmt sheetId="2" sqref="CS765" start="0" length="0">
      <dxf/>
    </rfmt>
    <rfmt sheetId="2" sqref="CT765" start="0" length="0">
      <dxf/>
    </rfmt>
    <rfmt sheetId="2" sqref="CU765" start="0" length="0">
      <dxf/>
    </rfmt>
    <rfmt sheetId="2" sqref="CV765" start="0" length="0">
      <dxf/>
    </rfmt>
    <rfmt sheetId="2" sqref="CW765" start="0" length="0">
      <dxf/>
    </rfmt>
    <rfmt sheetId="2" sqref="CX765" start="0" length="0">
      <dxf/>
    </rfmt>
    <rfmt sheetId="2" sqref="CY765" start="0" length="0">
      <dxf/>
    </rfmt>
    <rfmt sheetId="2" sqref="CZ765" start="0" length="0">
      <dxf/>
    </rfmt>
    <rfmt sheetId="2" sqref="DA765" start="0" length="0">
      <dxf/>
    </rfmt>
    <rfmt sheetId="2" sqref="DB765" start="0" length="0">
      <dxf/>
    </rfmt>
    <rfmt sheetId="2" sqref="DC765" start="0" length="0">
      <dxf/>
    </rfmt>
    <rfmt sheetId="2" sqref="DD765" start="0" length="0">
      <dxf/>
    </rfmt>
    <rfmt sheetId="2" sqref="DE765" start="0" length="0">
      <dxf/>
    </rfmt>
    <rfmt sheetId="2" sqref="DF765" start="0" length="0">
      <dxf/>
    </rfmt>
    <rfmt sheetId="2" sqref="DG765" start="0" length="0">
      <dxf/>
    </rfmt>
    <rfmt sheetId="2" sqref="DH765" start="0" length="0">
      <dxf/>
    </rfmt>
    <rfmt sheetId="2" sqref="DI765" start="0" length="0">
      <dxf/>
    </rfmt>
    <rfmt sheetId="2" sqref="DJ765" start="0" length="0">
      <dxf/>
    </rfmt>
    <rfmt sheetId="2" sqref="DK765" start="0" length="0">
      <dxf/>
    </rfmt>
    <rfmt sheetId="2" sqref="DL765" start="0" length="0">
      <dxf/>
    </rfmt>
    <rfmt sheetId="2" sqref="DM765" start="0" length="0">
      <dxf/>
    </rfmt>
    <rfmt sheetId="2" sqref="DN765" start="0" length="0">
      <dxf/>
    </rfmt>
    <rfmt sheetId="2" sqref="DO765" start="0" length="0">
      <dxf/>
    </rfmt>
    <rfmt sheetId="2" sqref="DP765" start="0" length="0">
      <dxf/>
    </rfmt>
    <rfmt sheetId="2" sqref="DQ765" start="0" length="0">
      <dxf/>
    </rfmt>
    <rfmt sheetId="2" sqref="DR765" start="0" length="0">
      <dxf/>
    </rfmt>
    <rfmt sheetId="2" sqref="DS765" start="0" length="0">
      <dxf/>
    </rfmt>
    <rfmt sheetId="2" sqref="DT765" start="0" length="0">
      <dxf/>
    </rfmt>
    <rfmt sheetId="2" sqref="DU765" start="0" length="0">
      <dxf/>
    </rfmt>
    <rfmt sheetId="2" sqref="DV765" start="0" length="0">
      <dxf/>
    </rfmt>
    <rfmt sheetId="2" sqref="DW765" start="0" length="0">
      <dxf/>
    </rfmt>
    <rfmt sheetId="2" sqref="DX765" start="0" length="0">
      <dxf/>
    </rfmt>
    <rfmt sheetId="2" sqref="DY765" start="0" length="0">
      <dxf/>
    </rfmt>
    <rfmt sheetId="2" sqref="DZ765" start="0" length="0">
      <dxf/>
    </rfmt>
    <rfmt sheetId="2" sqref="EA765" start="0" length="0">
      <dxf/>
    </rfmt>
    <rfmt sheetId="2" sqref="EB765" start="0" length="0">
      <dxf/>
    </rfmt>
    <rfmt sheetId="2" sqref="EC765" start="0" length="0">
      <dxf/>
    </rfmt>
    <rfmt sheetId="2" sqref="ED765" start="0" length="0">
      <dxf/>
    </rfmt>
    <rfmt sheetId="2" sqref="EE765" start="0" length="0">
      <dxf/>
    </rfmt>
    <rfmt sheetId="2" sqref="EF765" start="0" length="0">
      <dxf/>
    </rfmt>
    <rfmt sheetId="2" sqref="EG765" start="0" length="0">
      <dxf/>
    </rfmt>
    <rfmt sheetId="2" sqref="EH765" start="0" length="0">
      <dxf/>
    </rfmt>
    <rfmt sheetId="2" sqref="EI765" start="0" length="0">
      <dxf/>
    </rfmt>
    <rfmt sheetId="2" sqref="EJ765" start="0" length="0">
      <dxf/>
    </rfmt>
    <rfmt sheetId="2" sqref="EK765" start="0" length="0">
      <dxf/>
    </rfmt>
    <rfmt sheetId="2" sqref="EL765" start="0" length="0">
      <dxf/>
    </rfmt>
    <rfmt sheetId="2" sqref="EM765" start="0" length="0">
      <dxf/>
    </rfmt>
    <rfmt sheetId="2" sqref="EN765" start="0" length="0">
      <dxf/>
    </rfmt>
    <rfmt sheetId="2" sqref="EO765" start="0" length="0">
      <dxf/>
    </rfmt>
    <rfmt sheetId="2" sqref="EP765" start="0" length="0">
      <dxf/>
    </rfmt>
    <rfmt sheetId="2" sqref="EQ765" start="0" length="0">
      <dxf/>
    </rfmt>
    <rfmt sheetId="2" sqref="ER765" start="0" length="0">
      <dxf/>
    </rfmt>
    <rfmt sheetId="2" sqref="ES765" start="0" length="0">
      <dxf/>
    </rfmt>
    <rfmt sheetId="2" sqref="ET765" start="0" length="0">
      <dxf/>
    </rfmt>
    <rfmt sheetId="2" sqref="EU765" start="0" length="0">
      <dxf/>
    </rfmt>
    <rfmt sheetId="2" sqref="EV765" start="0" length="0">
      <dxf/>
    </rfmt>
    <rfmt sheetId="2" sqref="EW765" start="0" length="0">
      <dxf/>
    </rfmt>
    <rfmt sheetId="2" sqref="EX765" start="0" length="0">
      <dxf/>
    </rfmt>
    <rfmt sheetId="2" sqref="EY765" start="0" length="0">
      <dxf/>
    </rfmt>
    <rfmt sheetId="2" sqref="EZ765" start="0" length="0">
      <dxf/>
    </rfmt>
    <rfmt sheetId="2" sqref="FA765" start="0" length="0">
      <dxf/>
    </rfmt>
    <rfmt sheetId="2" sqref="FB765" start="0" length="0">
      <dxf/>
    </rfmt>
    <rfmt sheetId="2" sqref="FC765" start="0" length="0">
      <dxf/>
    </rfmt>
    <rfmt sheetId="2" sqref="FD765" start="0" length="0">
      <dxf/>
    </rfmt>
    <rfmt sheetId="2" sqref="FE765" start="0" length="0">
      <dxf/>
    </rfmt>
    <rfmt sheetId="2" sqref="FF765" start="0" length="0">
      <dxf/>
    </rfmt>
    <rfmt sheetId="2" sqref="FG765" start="0" length="0">
      <dxf/>
    </rfmt>
    <rfmt sheetId="2" sqref="FH765" start="0" length="0">
      <dxf/>
    </rfmt>
    <rfmt sheetId="2" sqref="FI765" start="0" length="0">
      <dxf/>
    </rfmt>
    <rfmt sheetId="2" sqref="FJ765" start="0" length="0">
      <dxf/>
    </rfmt>
    <rfmt sheetId="2" sqref="FK765" start="0" length="0">
      <dxf/>
    </rfmt>
    <rfmt sheetId="2" sqref="FL765" start="0" length="0">
      <dxf/>
    </rfmt>
    <rfmt sheetId="2" sqref="FM765" start="0" length="0">
      <dxf/>
    </rfmt>
    <rfmt sheetId="2" sqref="FN765" start="0" length="0">
      <dxf/>
    </rfmt>
    <rfmt sheetId="2" sqref="FO765" start="0" length="0">
      <dxf/>
    </rfmt>
    <rfmt sheetId="2" sqref="FP765" start="0" length="0">
      <dxf/>
    </rfmt>
    <rfmt sheetId="2" sqref="FQ765" start="0" length="0">
      <dxf/>
    </rfmt>
    <rfmt sheetId="2" sqref="FR765" start="0" length="0">
      <dxf/>
    </rfmt>
    <rfmt sheetId="2" sqref="FS765" start="0" length="0">
      <dxf/>
    </rfmt>
    <rfmt sheetId="2" sqref="FT765" start="0" length="0">
      <dxf/>
    </rfmt>
    <rfmt sheetId="2" sqref="FU765" start="0" length="0">
      <dxf/>
    </rfmt>
    <rfmt sheetId="2" sqref="FV765" start="0" length="0">
      <dxf/>
    </rfmt>
    <rfmt sheetId="2" sqref="FW765" start="0" length="0">
      <dxf/>
    </rfmt>
    <rfmt sheetId="2" sqref="FX765" start="0" length="0">
      <dxf/>
    </rfmt>
    <rfmt sheetId="2" sqref="FY765" start="0" length="0">
      <dxf/>
    </rfmt>
    <rfmt sheetId="2" sqref="FZ765" start="0" length="0">
      <dxf/>
    </rfmt>
    <rfmt sheetId="2" sqref="GA765" start="0" length="0">
      <dxf/>
    </rfmt>
    <rfmt sheetId="2" sqref="GB765" start="0" length="0">
      <dxf/>
    </rfmt>
    <rfmt sheetId="2" sqref="GC765" start="0" length="0">
      <dxf/>
    </rfmt>
    <rfmt sheetId="2" sqref="GD765" start="0" length="0">
      <dxf/>
    </rfmt>
    <rfmt sheetId="2" sqref="GE765" start="0" length="0">
      <dxf/>
    </rfmt>
    <rfmt sheetId="2" sqref="GF765" start="0" length="0">
      <dxf/>
    </rfmt>
    <rfmt sheetId="2" sqref="GG765" start="0" length="0">
      <dxf/>
    </rfmt>
    <rfmt sheetId="2" sqref="GH765" start="0" length="0">
      <dxf/>
    </rfmt>
    <rfmt sheetId="2" sqref="GI765" start="0" length="0">
      <dxf/>
    </rfmt>
    <rfmt sheetId="2" sqref="GJ765" start="0" length="0">
      <dxf/>
    </rfmt>
    <rfmt sheetId="2" sqref="GK765" start="0" length="0">
      <dxf/>
    </rfmt>
    <rfmt sheetId="2" sqref="GL765" start="0" length="0">
      <dxf/>
    </rfmt>
    <rfmt sheetId="2" sqref="GM765" start="0" length="0">
      <dxf/>
    </rfmt>
    <rfmt sheetId="2" sqref="GN765" start="0" length="0">
      <dxf/>
    </rfmt>
    <rfmt sheetId="2" sqref="GO765" start="0" length="0">
      <dxf/>
    </rfmt>
    <rfmt sheetId="2" sqref="GP765" start="0" length="0">
      <dxf/>
    </rfmt>
    <rfmt sheetId="2" sqref="GQ765" start="0" length="0">
      <dxf/>
    </rfmt>
    <rfmt sheetId="2" sqref="GR765" start="0" length="0">
      <dxf/>
    </rfmt>
    <rfmt sheetId="2" sqref="GS765" start="0" length="0">
      <dxf/>
    </rfmt>
    <rfmt sheetId="2" sqref="GT765" start="0" length="0">
      <dxf/>
    </rfmt>
    <rfmt sheetId="2" sqref="GU765" start="0" length="0">
      <dxf/>
    </rfmt>
    <rfmt sheetId="2" sqref="GV765" start="0" length="0">
      <dxf/>
    </rfmt>
    <rfmt sheetId="2" sqref="GW765" start="0" length="0">
      <dxf/>
    </rfmt>
    <rfmt sheetId="2" sqref="GX765" start="0" length="0">
      <dxf/>
    </rfmt>
    <rfmt sheetId="2" sqref="GY765" start="0" length="0">
      <dxf/>
    </rfmt>
    <rfmt sheetId="2" sqref="GZ765" start="0" length="0">
      <dxf/>
    </rfmt>
    <rfmt sheetId="2" sqref="HA765" start="0" length="0">
      <dxf/>
    </rfmt>
    <rfmt sheetId="2" sqref="HB765" start="0" length="0">
      <dxf/>
    </rfmt>
    <rfmt sheetId="2" sqref="HC765" start="0" length="0">
      <dxf/>
    </rfmt>
    <rfmt sheetId="2" sqref="HD765" start="0" length="0">
      <dxf/>
    </rfmt>
    <rfmt sheetId="2" sqref="HE765" start="0" length="0">
      <dxf/>
    </rfmt>
    <rfmt sheetId="2" sqref="HF765" start="0" length="0">
      <dxf/>
    </rfmt>
    <rfmt sheetId="2" sqref="HG765" start="0" length="0">
      <dxf/>
    </rfmt>
    <rfmt sheetId="2" sqref="HH765" start="0" length="0">
      <dxf/>
    </rfmt>
    <rfmt sheetId="2" sqref="HI765" start="0" length="0">
      <dxf/>
    </rfmt>
    <rfmt sheetId="2" sqref="HJ765" start="0" length="0">
      <dxf/>
    </rfmt>
    <rfmt sheetId="2" sqref="HK765" start="0" length="0">
      <dxf/>
    </rfmt>
    <rfmt sheetId="2" sqref="HL765" start="0" length="0">
      <dxf/>
    </rfmt>
    <rfmt sheetId="2" sqref="HM765" start="0" length="0">
      <dxf/>
    </rfmt>
    <rfmt sheetId="2" sqref="HN765" start="0" length="0">
      <dxf/>
    </rfmt>
    <rfmt sheetId="2" sqref="HO765" start="0" length="0">
      <dxf/>
    </rfmt>
    <rfmt sheetId="2" sqref="HP765" start="0" length="0">
      <dxf/>
    </rfmt>
    <rfmt sheetId="2" sqref="HQ765" start="0" length="0">
      <dxf/>
    </rfmt>
    <rfmt sheetId="2" sqref="HR765" start="0" length="0">
      <dxf/>
    </rfmt>
    <rfmt sheetId="2" sqref="HS765" start="0" length="0">
      <dxf/>
    </rfmt>
    <rfmt sheetId="2" sqref="HT765" start="0" length="0">
      <dxf/>
    </rfmt>
    <rfmt sheetId="2" sqref="HU765" start="0" length="0">
      <dxf/>
    </rfmt>
    <rfmt sheetId="2" sqref="HV765" start="0" length="0">
      <dxf/>
    </rfmt>
    <rfmt sheetId="2" sqref="HW765" start="0" length="0">
      <dxf/>
    </rfmt>
    <rfmt sheetId="2" sqref="HX765" start="0" length="0">
      <dxf/>
    </rfmt>
    <rfmt sheetId="2" sqref="HY765" start="0" length="0">
      <dxf/>
    </rfmt>
    <rfmt sheetId="2" sqref="HZ765" start="0" length="0">
      <dxf/>
    </rfmt>
    <rfmt sheetId="2" sqref="IA765" start="0" length="0">
      <dxf/>
    </rfmt>
    <rfmt sheetId="2" sqref="IB765" start="0" length="0">
      <dxf/>
    </rfmt>
    <rfmt sheetId="2" sqref="IC765" start="0" length="0">
      <dxf/>
    </rfmt>
    <rfmt sheetId="2" sqref="ID765" start="0" length="0">
      <dxf/>
    </rfmt>
    <rfmt sheetId="2" sqref="IE765" start="0" length="0">
      <dxf/>
    </rfmt>
    <rfmt sheetId="2" sqref="IF765" start="0" length="0">
      <dxf/>
    </rfmt>
    <rfmt sheetId="2" sqref="IG765" start="0" length="0">
      <dxf/>
    </rfmt>
    <rfmt sheetId="2" sqref="IH765" start="0" length="0">
      <dxf/>
    </rfmt>
    <rfmt sheetId="2" sqref="II765" start="0" length="0">
      <dxf/>
    </rfmt>
    <rfmt sheetId="2" sqref="IJ765" start="0" length="0">
      <dxf/>
    </rfmt>
    <rfmt sheetId="2" sqref="IK765" start="0" length="0">
      <dxf/>
    </rfmt>
    <rfmt sheetId="2" sqref="IL765" start="0" length="0">
      <dxf/>
    </rfmt>
    <rfmt sheetId="2" sqref="IM765" start="0" length="0">
      <dxf/>
    </rfmt>
    <rfmt sheetId="2" sqref="IN765" start="0" length="0">
      <dxf/>
    </rfmt>
    <rfmt sheetId="2" sqref="IO765" start="0" length="0">
      <dxf/>
    </rfmt>
    <rfmt sheetId="2" sqref="IP765" start="0" length="0">
      <dxf/>
    </rfmt>
    <rfmt sheetId="2" sqref="IQ765" start="0" length="0">
      <dxf/>
    </rfmt>
    <rfmt sheetId="2" sqref="IR765" start="0" length="0">
      <dxf/>
    </rfmt>
    <rfmt sheetId="2" sqref="IS765" start="0" length="0">
      <dxf/>
    </rfmt>
    <rfmt sheetId="2" sqref="IT765" start="0" length="0">
      <dxf/>
    </rfmt>
    <rfmt sheetId="2" sqref="IU765" start="0" length="0">
      <dxf/>
    </rfmt>
    <rfmt sheetId="2" sqref="IV765" start="0" length="0">
      <dxf/>
    </rfmt>
    <rfmt sheetId="2" sqref="IW765" start="0" length="0">
      <dxf/>
    </rfmt>
    <rfmt sheetId="2" sqref="IX765" start="0" length="0">
      <dxf/>
    </rfmt>
    <rfmt sheetId="2" sqref="IY765" start="0" length="0">
      <dxf/>
    </rfmt>
    <rfmt sheetId="2" sqref="IZ765" start="0" length="0">
      <dxf/>
    </rfmt>
    <rfmt sheetId="2" sqref="JA765" start="0" length="0">
      <dxf/>
    </rfmt>
    <rfmt sheetId="2" sqref="JB765" start="0" length="0">
      <dxf/>
    </rfmt>
    <rfmt sheetId="2" sqref="JC765" start="0" length="0">
      <dxf/>
    </rfmt>
    <rfmt sheetId="2" sqref="JD765" start="0" length="0">
      <dxf/>
    </rfmt>
    <rfmt sheetId="2" sqref="JE765" start="0" length="0">
      <dxf/>
    </rfmt>
    <rfmt sheetId="2" sqref="JF765" start="0" length="0">
      <dxf/>
    </rfmt>
    <rfmt sheetId="2" sqref="JG765" start="0" length="0">
      <dxf/>
    </rfmt>
    <rfmt sheetId="2" sqref="JH765" start="0" length="0">
      <dxf/>
    </rfmt>
    <rfmt sheetId="2" sqref="JI765" start="0" length="0">
      <dxf/>
    </rfmt>
    <rfmt sheetId="2" sqref="JJ765" start="0" length="0">
      <dxf/>
    </rfmt>
    <rfmt sheetId="2" sqref="JK765" start="0" length="0">
      <dxf/>
    </rfmt>
    <rfmt sheetId="2" sqref="JL765" start="0" length="0">
      <dxf/>
    </rfmt>
    <rfmt sheetId="2" sqref="JM765" start="0" length="0">
      <dxf/>
    </rfmt>
    <rfmt sheetId="2" sqref="JN765" start="0" length="0">
      <dxf/>
    </rfmt>
    <rfmt sheetId="2" sqref="JO765" start="0" length="0">
      <dxf/>
    </rfmt>
    <rfmt sheetId="2" sqref="JP765" start="0" length="0">
      <dxf/>
    </rfmt>
    <rfmt sheetId="2" sqref="JQ765" start="0" length="0">
      <dxf/>
    </rfmt>
    <rfmt sheetId="2" sqref="JR765" start="0" length="0">
      <dxf/>
    </rfmt>
    <rfmt sheetId="2" sqref="JS765" start="0" length="0">
      <dxf/>
    </rfmt>
    <rfmt sheetId="2" sqref="JT765" start="0" length="0">
      <dxf/>
    </rfmt>
    <rfmt sheetId="2" sqref="JU765" start="0" length="0">
      <dxf/>
    </rfmt>
    <rfmt sheetId="2" sqref="JV765" start="0" length="0">
      <dxf/>
    </rfmt>
    <rfmt sheetId="2" sqref="JW765" start="0" length="0">
      <dxf/>
    </rfmt>
    <rfmt sheetId="2" sqref="JX765" start="0" length="0">
      <dxf/>
    </rfmt>
    <rfmt sheetId="2" sqref="JY765" start="0" length="0">
      <dxf/>
    </rfmt>
    <rfmt sheetId="2" sqref="JZ765" start="0" length="0">
      <dxf/>
    </rfmt>
    <rfmt sheetId="2" sqref="KA765" start="0" length="0">
      <dxf/>
    </rfmt>
    <rfmt sheetId="2" sqref="KB765" start="0" length="0">
      <dxf/>
    </rfmt>
    <rfmt sheetId="2" sqref="KC765" start="0" length="0">
      <dxf/>
    </rfmt>
    <rfmt sheetId="2" sqref="KD765" start="0" length="0">
      <dxf/>
    </rfmt>
    <rfmt sheetId="2" sqref="KE765" start="0" length="0">
      <dxf/>
    </rfmt>
    <rfmt sheetId="2" sqref="KF765" start="0" length="0">
      <dxf/>
    </rfmt>
    <rfmt sheetId="2" sqref="KG765" start="0" length="0">
      <dxf/>
    </rfmt>
    <rfmt sheetId="2" sqref="KH765" start="0" length="0">
      <dxf/>
    </rfmt>
    <rfmt sheetId="2" sqref="KI765" start="0" length="0">
      <dxf/>
    </rfmt>
    <rfmt sheetId="2" sqref="KJ765" start="0" length="0">
      <dxf/>
    </rfmt>
    <rfmt sheetId="2" sqref="KK765" start="0" length="0">
      <dxf/>
    </rfmt>
    <rfmt sheetId="2" sqref="KL765" start="0" length="0">
      <dxf/>
    </rfmt>
    <rfmt sheetId="2" sqref="KM765" start="0" length="0">
      <dxf/>
    </rfmt>
    <rfmt sheetId="2" sqref="KN765" start="0" length="0">
      <dxf/>
    </rfmt>
    <rfmt sheetId="2" sqref="KO765" start="0" length="0">
      <dxf/>
    </rfmt>
    <rfmt sheetId="2" sqref="KP765" start="0" length="0">
      <dxf/>
    </rfmt>
    <rfmt sheetId="2" sqref="KQ765" start="0" length="0">
      <dxf/>
    </rfmt>
    <rfmt sheetId="2" sqref="KR765" start="0" length="0">
      <dxf/>
    </rfmt>
    <rfmt sheetId="2" sqref="KS765" start="0" length="0">
      <dxf/>
    </rfmt>
    <rfmt sheetId="2" sqref="KT765" start="0" length="0">
      <dxf/>
    </rfmt>
    <rfmt sheetId="2" sqref="KU765" start="0" length="0">
      <dxf/>
    </rfmt>
    <rfmt sheetId="2" sqref="KV765" start="0" length="0">
      <dxf/>
    </rfmt>
    <rfmt sheetId="2" sqref="KW765" start="0" length="0">
      <dxf/>
    </rfmt>
    <rfmt sheetId="2" sqref="KX765" start="0" length="0">
      <dxf/>
    </rfmt>
    <rfmt sheetId="2" sqref="KY765" start="0" length="0">
      <dxf/>
    </rfmt>
    <rfmt sheetId="2" sqref="KZ765" start="0" length="0">
      <dxf/>
    </rfmt>
    <rfmt sheetId="2" sqref="LA765" start="0" length="0">
      <dxf/>
    </rfmt>
    <rfmt sheetId="2" sqref="LB765" start="0" length="0">
      <dxf/>
    </rfmt>
    <rfmt sheetId="2" sqref="LC765" start="0" length="0">
      <dxf/>
    </rfmt>
    <rfmt sheetId="2" sqref="LD765" start="0" length="0">
      <dxf/>
    </rfmt>
    <rfmt sheetId="2" sqref="LE765" start="0" length="0">
      <dxf/>
    </rfmt>
    <rfmt sheetId="2" sqref="LF765" start="0" length="0">
      <dxf/>
    </rfmt>
    <rfmt sheetId="2" sqref="LG765" start="0" length="0">
      <dxf/>
    </rfmt>
    <rfmt sheetId="2" sqref="LH765" start="0" length="0">
      <dxf/>
    </rfmt>
    <rfmt sheetId="2" sqref="LI765" start="0" length="0">
      <dxf/>
    </rfmt>
    <rfmt sheetId="2" sqref="LJ765" start="0" length="0">
      <dxf/>
    </rfmt>
    <rfmt sheetId="2" sqref="LK765" start="0" length="0">
      <dxf/>
    </rfmt>
    <rfmt sheetId="2" sqref="LL765" start="0" length="0">
      <dxf/>
    </rfmt>
    <rfmt sheetId="2" sqref="LM765" start="0" length="0">
      <dxf/>
    </rfmt>
    <rfmt sheetId="2" sqref="LN765" start="0" length="0">
      <dxf/>
    </rfmt>
    <rfmt sheetId="2" sqref="LO765" start="0" length="0">
      <dxf/>
    </rfmt>
    <rfmt sheetId="2" sqref="LP765" start="0" length="0">
      <dxf/>
    </rfmt>
    <rfmt sheetId="2" sqref="LQ765" start="0" length="0">
      <dxf/>
    </rfmt>
    <rfmt sheetId="2" sqref="LR765" start="0" length="0">
      <dxf/>
    </rfmt>
    <rfmt sheetId="2" sqref="LS765" start="0" length="0">
      <dxf/>
    </rfmt>
    <rfmt sheetId="2" sqref="LT765" start="0" length="0">
      <dxf/>
    </rfmt>
    <rfmt sheetId="2" sqref="LU765" start="0" length="0">
      <dxf/>
    </rfmt>
    <rfmt sheetId="2" sqref="LV765" start="0" length="0">
      <dxf/>
    </rfmt>
    <rfmt sheetId="2" sqref="LW765" start="0" length="0">
      <dxf/>
    </rfmt>
    <rfmt sheetId="2" sqref="LX765" start="0" length="0">
      <dxf/>
    </rfmt>
    <rfmt sheetId="2" sqref="LY765" start="0" length="0">
      <dxf/>
    </rfmt>
    <rfmt sheetId="2" sqref="LZ765" start="0" length="0">
      <dxf/>
    </rfmt>
    <rfmt sheetId="2" sqref="MA765" start="0" length="0">
      <dxf/>
    </rfmt>
    <rfmt sheetId="2" sqref="MB765" start="0" length="0">
      <dxf/>
    </rfmt>
  </rm>
  <rrc rId="2233" sId="2" ref="A763:XFD763" action="deleteRow">
    <undo index="0" exp="area" ref3D="1" dr="$A$1:$A$1048576" dn="Z_D108A94F_96BE_4B2E_9408_7CE19DC55699_.wvu.Cols" sId="2"/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3:XFD763" start="0" length="0">
      <dxf>
        <font>
          <sz val="10"/>
          <name val="Arial"/>
          <scheme val="none"/>
        </font>
        <alignment horizontal="center" readingOrder="0"/>
      </dxf>
    </rfmt>
    <rfmt sheetId="2" sqref="A76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3" start="0" length="0">
      <dxf>
        <numFmt numFmtId="176" formatCode="m/d;@"/>
      </dxf>
    </rfmt>
    <rfmt sheetId="2" sqref="P76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3" start="0" length="0">
      <dxf/>
    </rfmt>
    <rfmt sheetId="2" sqref="U763" start="0" length="0">
      <dxf/>
    </rfmt>
    <rfmt sheetId="2" sqref="V763" start="0" length="0">
      <dxf/>
    </rfmt>
    <rfmt sheetId="2" sqref="W763" start="0" length="0">
      <dxf/>
    </rfmt>
    <rfmt sheetId="2" sqref="X763" start="0" length="0">
      <dxf/>
    </rfmt>
    <rfmt sheetId="2" sqref="Y763" start="0" length="0">
      <dxf/>
    </rfmt>
    <rfmt sheetId="2" sqref="Z763" start="0" length="0">
      <dxf/>
    </rfmt>
    <rfmt sheetId="2" sqref="AA763" start="0" length="0">
      <dxf/>
    </rfmt>
    <rfmt sheetId="2" sqref="AB763" start="0" length="0">
      <dxf/>
    </rfmt>
    <rfmt sheetId="2" sqref="AC763" start="0" length="0">
      <dxf/>
    </rfmt>
    <rfmt sheetId="2" sqref="AD763" start="0" length="0">
      <dxf/>
    </rfmt>
    <rfmt sheetId="2" sqref="AE763" start="0" length="0">
      <dxf/>
    </rfmt>
    <rfmt sheetId="2" sqref="AF763" start="0" length="0">
      <dxf/>
    </rfmt>
    <rfmt sheetId="2" sqref="AG763" start="0" length="0">
      <dxf/>
    </rfmt>
    <rfmt sheetId="2" sqref="AH763" start="0" length="0">
      <dxf/>
    </rfmt>
    <rfmt sheetId="2" sqref="AI763" start="0" length="0">
      <dxf/>
    </rfmt>
    <rfmt sheetId="2" sqref="AJ763" start="0" length="0">
      <dxf/>
    </rfmt>
    <rfmt sheetId="2" sqref="AK763" start="0" length="0">
      <dxf/>
    </rfmt>
    <rfmt sheetId="2" sqref="AL763" start="0" length="0">
      <dxf/>
    </rfmt>
    <rfmt sheetId="2" sqref="AM763" start="0" length="0">
      <dxf/>
    </rfmt>
    <rfmt sheetId="2" sqref="AN763" start="0" length="0">
      <dxf/>
    </rfmt>
    <rfmt sheetId="2" sqref="AO763" start="0" length="0">
      <dxf/>
    </rfmt>
    <rfmt sheetId="2" sqref="AP763" start="0" length="0">
      <dxf/>
    </rfmt>
    <rfmt sheetId="2" sqref="AQ763" start="0" length="0">
      <dxf/>
    </rfmt>
    <rfmt sheetId="2" sqref="AR763" start="0" length="0">
      <dxf/>
    </rfmt>
    <rfmt sheetId="2" sqref="AS763" start="0" length="0">
      <dxf/>
    </rfmt>
    <rfmt sheetId="2" sqref="AT763" start="0" length="0">
      <dxf/>
    </rfmt>
    <rfmt sheetId="2" sqref="AU763" start="0" length="0">
      <dxf/>
    </rfmt>
    <rfmt sheetId="2" sqref="AV763" start="0" length="0">
      <dxf/>
    </rfmt>
    <rfmt sheetId="2" sqref="AW763" start="0" length="0">
      <dxf/>
    </rfmt>
    <rfmt sheetId="2" sqref="AX763" start="0" length="0">
      <dxf/>
    </rfmt>
    <rfmt sheetId="2" sqref="AY763" start="0" length="0">
      <dxf/>
    </rfmt>
    <rfmt sheetId="2" sqref="AZ763" start="0" length="0">
      <dxf/>
    </rfmt>
    <rfmt sheetId="2" sqref="BA763" start="0" length="0">
      <dxf/>
    </rfmt>
    <rfmt sheetId="2" sqref="BB763" start="0" length="0">
      <dxf/>
    </rfmt>
    <rfmt sheetId="2" sqref="BC763" start="0" length="0">
      <dxf/>
    </rfmt>
    <rfmt sheetId="2" sqref="BD763" start="0" length="0">
      <dxf/>
    </rfmt>
    <rfmt sheetId="2" sqref="BE763" start="0" length="0">
      <dxf/>
    </rfmt>
    <rfmt sheetId="2" sqref="BF763" start="0" length="0">
      <dxf/>
    </rfmt>
    <rfmt sheetId="2" sqref="BG763" start="0" length="0">
      <dxf/>
    </rfmt>
    <rfmt sheetId="2" sqref="BH763" start="0" length="0">
      <dxf/>
    </rfmt>
    <rfmt sheetId="2" sqref="BI763" start="0" length="0">
      <dxf/>
    </rfmt>
    <rfmt sheetId="2" sqref="BJ763" start="0" length="0">
      <dxf/>
    </rfmt>
    <rfmt sheetId="2" sqref="BK763" start="0" length="0">
      <dxf/>
    </rfmt>
    <rfmt sheetId="2" sqref="BL763" start="0" length="0">
      <dxf/>
    </rfmt>
    <rfmt sheetId="2" sqref="BM763" start="0" length="0">
      <dxf/>
    </rfmt>
    <rfmt sheetId="2" sqref="BN763" start="0" length="0">
      <dxf/>
    </rfmt>
    <rfmt sheetId="2" sqref="BO763" start="0" length="0">
      <dxf/>
    </rfmt>
    <rfmt sheetId="2" sqref="BP763" start="0" length="0">
      <dxf/>
    </rfmt>
    <rfmt sheetId="2" sqref="BQ763" start="0" length="0">
      <dxf/>
    </rfmt>
    <rfmt sheetId="2" sqref="BR763" start="0" length="0">
      <dxf/>
    </rfmt>
    <rfmt sheetId="2" sqref="BS763" start="0" length="0">
      <dxf/>
    </rfmt>
    <rfmt sheetId="2" sqref="BT763" start="0" length="0">
      <dxf/>
    </rfmt>
    <rfmt sheetId="2" sqref="BU763" start="0" length="0">
      <dxf/>
    </rfmt>
    <rfmt sheetId="2" sqref="BV763" start="0" length="0">
      <dxf/>
    </rfmt>
    <rfmt sheetId="2" sqref="BW763" start="0" length="0">
      <dxf/>
    </rfmt>
    <rfmt sheetId="2" sqref="BX763" start="0" length="0">
      <dxf/>
    </rfmt>
    <rfmt sheetId="2" sqref="BY763" start="0" length="0">
      <dxf/>
    </rfmt>
    <rfmt sheetId="2" sqref="BZ763" start="0" length="0">
      <dxf/>
    </rfmt>
    <rfmt sheetId="2" sqref="CA763" start="0" length="0">
      <dxf/>
    </rfmt>
    <rfmt sheetId="2" sqref="CB763" start="0" length="0">
      <dxf/>
    </rfmt>
    <rfmt sheetId="2" sqref="CC763" start="0" length="0">
      <dxf/>
    </rfmt>
    <rfmt sheetId="2" sqref="CD763" start="0" length="0">
      <dxf/>
    </rfmt>
    <rfmt sheetId="2" sqref="CE763" start="0" length="0">
      <dxf/>
    </rfmt>
    <rfmt sheetId="2" sqref="CF763" start="0" length="0">
      <dxf/>
    </rfmt>
    <rfmt sheetId="2" sqref="CG763" start="0" length="0">
      <dxf/>
    </rfmt>
    <rfmt sheetId="2" sqref="CH763" start="0" length="0">
      <dxf/>
    </rfmt>
    <rfmt sheetId="2" sqref="CI763" start="0" length="0">
      <dxf/>
    </rfmt>
    <rfmt sheetId="2" sqref="CJ763" start="0" length="0">
      <dxf/>
    </rfmt>
    <rfmt sheetId="2" sqref="CK763" start="0" length="0">
      <dxf/>
    </rfmt>
    <rfmt sheetId="2" sqref="CL763" start="0" length="0">
      <dxf/>
    </rfmt>
    <rfmt sheetId="2" sqref="CM763" start="0" length="0">
      <dxf/>
    </rfmt>
    <rfmt sheetId="2" sqref="CN763" start="0" length="0">
      <dxf/>
    </rfmt>
    <rfmt sheetId="2" sqref="CO763" start="0" length="0">
      <dxf/>
    </rfmt>
    <rfmt sheetId="2" sqref="CP763" start="0" length="0">
      <dxf/>
    </rfmt>
    <rfmt sheetId="2" sqref="CQ763" start="0" length="0">
      <dxf/>
    </rfmt>
    <rfmt sheetId="2" sqref="CR763" start="0" length="0">
      <dxf/>
    </rfmt>
    <rfmt sheetId="2" sqref="CS763" start="0" length="0">
      <dxf/>
    </rfmt>
    <rfmt sheetId="2" sqref="CT763" start="0" length="0">
      <dxf/>
    </rfmt>
    <rfmt sheetId="2" sqref="CU763" start="0" length="0">
      <dxf/>
    </rfmt>
    <rfmt sheetId="2" sqref="CV763" start="0" length="0">
      <dxf/>
    </rfmt>
    <rfmt sheetId="2" sqref="CW763" start="0" length="0">
      <dxf/>
    </rfmt>
    <rfmt sheetId="2" sqref="CX763" start="0" length="0">
      <dxf/>
    </rfmt>
    <rfmt sheetId="2" sqref="CY763" start="0" length="0">
      <dxf/>
    </rfmt>
    <rfmt sheetId="2" sqref="CZ763" start="0" length="0">
      <dxf/>
    </rfmt>
    <rfmt sheetId="2" sqref="DA763" start="0" length="0">
      <dxf/>
    </rfmt>
    <rfmt sheetId="2" sqref="DB763" start="0" length="0">
      <dxf/>
    </rfmt>
    <rfmt sheetId="2" sqref="DC763" start="0" length="0">
      <dxf/>
    </rfmt>
    <rfmt sheetId="2" sqref="DD763" start="0" length="0">
      <dxf/>
    </rfmt>
    <rfmt sheetId="2" sqref="DE763" start="0" length="0">
      <dxf/>
    </rfmt>
    <rfmt sheetId="2" sqref="DF763" start="0" length="0">
      <dxf/>
    </rfmt>
    <rfmt sheetId="2" sqref="DG763" start="0" length="0">
      <dxf/>
    </rfmt>
    <rfmt sheetId="2" sqref="DH763" start="0" length="0">
      <dxf/>
    </rfmt>
    <rfmt sheetId="2" sqref="DI763" start="0" length="0">
      <dxf/>
    </rfmt>
    <rfmt sheetId="2" sqref="DJ763" start="0" length="0">
      <dxf/>
    </rfmt>
    <rfmt sheetId="2" sqref="DK763" start="0" length="0">
      <dxf/>
    </rfmt>
    <rfmt sheetId="2" sqref="DL763" start="0" length="0">
      <dxf/>
    </rfmt>
    <rfmt sheetId="2" sqref="DM763" start="0" length="0">
      <dxf/>
    </rfmt>
    <rfmt sheetId="2" sqref="DN763" start="0" length="0">
      <dxf/>
    </rfmt>
    <rfmt sheetId="2" sqref="DO763" start="0" length="0">
      <dxf/>
    </rfmt>
    <rfmt sheetId="2" sqref="DP763" start="0" length="0">
      <dxf/>
    </rfmt>
    <rfmt sheetId="2" sqref="DQ763" start="0" length="0">
      <dxf/>
    </rfmt>
    <rfmt sheetId="2" sqref="DR763" start="0" length="0">
      <dxf/>
    </rfmt>
    <rfmt sheetId="2" sqref="DS763" start="0" length="0">
      <dxf/>
    </rfmt>
    <rfmt sheetId="2" sqref="DT763" start="0" length="0">
      <dxf/>
    </rfmt>
    <rfmt sheetId="2" sqref="DU763" start="0" length="0">
      <dxf/>
    </rfmt>
    <rfmt sheetId="2" sqref="DV763" start="0" length="0">
      <dxf/>
    </rfmt>
    <rfmt sheetId="2" sqref="DW763" start="0" length="0">
      <dxf/>
    </rfmt>
    <rfmt sheetId="2" sqref="DX763" start="0" length="0">
      <dxf/>
    </rfmt>
    <rfmt sheetId="2" sqref="DY763" start="0" length="0">
      <dxf/>
    </rfmt>
    <rfmt sheetId="2" sqref="DZ763" start="0" length="0">
      <dxf/>
    </rfmt>
    <rfmt sheetId="2" sqref="EA763" start="0" length="0">
      <dxf/>
    </rfmt>
    <rfmt sheetId="2" sqref="EB763" start="0" length="0">
      <dxf/>
    </rfmt>
    <rfmt sheetId="2" sqref="EC763" start="0" length="0">
      <dxf/>
    </rfmt>
    <rfmt sheetId="2" sqref="ED763" start="0" length="0">
      <dxf/>
    </rfmt>
    <rfmt sheetId="2" sqref="EE763" start="0" length="0">
      <dxf/>
    </rfmt>
    <rfmt sheetId="2" sqref="EF763" start="0" length="0">
      <dxf/>
    </rfmt>
    <rfmt sheetId="2" sqref="EG763" start="0" length="0">
      <dxf/>
    </rfmt>
    <rfmt sheetId="2" sqref="EH763" start="0" length="0">
      <dxf/>
    </rfmt>
    <rfmt sheetId="2" sqref="EI763" start="0" length="0">
      <dxf/>
    </rfmt>
    <rfmt sheetId="2" sqref="EJ763" start="0" length="0">
      <dxf/>
    </rfmt>
    <rfmt sheetId="2" sqref="EK763" start="0" length="0">
      <dxf/>
    </rfmt>
    <rfmt sheetId="2" sqref="EL763" start="0" length="0">
      <dxf/>
    </rfmt>
    <rfmt sheetId="2" sqref="EM763" start="0" length="0">
      <dxf/>
    </rfmt>
    <rfmt sheetId="2" sqref="EN763" start="0" length="0">
      <dxf/>
    </rfmt>
    <rfmt sheetId="2" sqref="EO763" start="0" length="0">
      <dxf/>
    </rfmt>
    <rfmt sheetId="2" sqref="EP763" start="0" length="0">
      <dxf/>
    </rfmt>
    <rfmt sheetId="2" sqref="EQ763" start="0" length="0">
      <dxf/>
    </rfmt>
    <rfmt sheetId="2" sqref="ER763" start="0" length="0">
      <dxf/>
    </rfmt>
    <rfmt sheetId="2" sqref="ES763" start="0" length="0">
      <dxf/>
    </rfmt>
    <rfmt sheetId="2" sqref="ET763" start="0" length="0">
      <dxf/>
    </rfmt>
    <rfmt sheetId="2" sqref="EU763" start="0" length="0">
      <dxf/>
    </rfmt>
    <rfmt sheetId="2" sqref="EV763" start="0" length="0">
      <dxf/>
    </rfmt>
    <rfmt sheetId="2" sqref="EW763" start="0" length="0">
      <dxf/>
    </rfmt>
    <rfmt sheetId="2" sqref="EX763" start="0" length="0">
      <dxf/>
    </rfmt>
    <rfmt sheetId="2" sqref="EY763" start="0" length="0">
      <dxf/>
    </rfmt>
    <rfmt sheetId="2" sqref="EZ763" start="0" length="0">
      <dxf/>
    </rfmt>
    <rfmt sheetId="2" sqref="FA763" start="0" length="0">
      <dxf/>
    </rfmt>
    <rfmt sheetId="2" sqref="FB763" start="0" length="0">
      <dxf/>
    </rfmt>
    <rfmt sheetId="2" sqref="FC763" start="0" length="0">
      <dxf/>
    </rfmt>
    <rfmt sheetId="2" sqref="FD763" start="0" length="0">
      <dxf/>
    </rfmt>
    <rfmt sheetId="2" sqref="FE763" start="0" length="0">
      <dxf/>
    </rfmt>
    <rfmt sheetId="2" sqref="FF763" start="0" length="0">
      <dxf/>
    </rfmt>
    <rfmt sheetId="2" sqref="FG763" start="0" length="0">
      <dxf/>
    </rfmt>
    <rfmt sheetId="2" sqref="FH763" start="0" length="0">
      <dxf/>
    </rfmt>
    <rfmt sheetId="2" sqref="FI763" start="0" length="0">
      <dxf/>
    </rfmt>
    <rfmt sheetId="2" sqref="FJ763" start="0" length="0">
      <dxf/>
    </rfmt>
    <rfmt sheetId="2" sqref="FK763" start="0" length="0">
      <dxf/>
    </rfmt>
    <rfmt sheetId="2" sqref="FL763" start="0" length="0">
      <dxf/>
    </rfmt>
    <rfmt sheetId="2" sqref="FM763" start="0" length="0">
      <dxf/>
    </rfmt>
    <rfmt sheetId="2" sqref="FN763" start="0" length="0">
      <dxf/>
    </rfmt>
    <rfmt sheetId="2" sqref="FO763" start="0" length="0">
      <dxf/>
    </rfmt>
    <rfmt sheetId="2" sqref="FP763" start="0" length="0">
      <dxf/>
    </rfmt>
    <rfmt sheetId="2" sqref="FQ763" start="0" length="0">
      <dxf/>
    </rfmt>
    <rfmt sheetId="2" sqref="FR763" start="0" length="0">
      <dxf/>
    </rfmt>
    <rfmt sheetId="2" sqref="FS763" start="0" length="0">
      <dxf/>
    </rfmt>
    <rfmt sheetId="2" sqref="FT763" start="0" length="0">
      <dxf/>
    </rfmt>
    <rfmt sheetId="2" sqref="FU763" start="0" length="0">
      <dxf/>
    </rfmt>
    <rfmt sheetId="2" sqref="FV763" start="0" length="0">
      <dxf/>
    </rfmt>
    <rfmt sheetId="2" sqref="FW763" start="0" length="0">
      <dxf/>
    </rfmt>
    <rfmt sheetId="2" sqref="FX763" start="0" length="0">
      <dxf/>
    </rfmt>
    <rfmt sheetId="2" sqref="FY763" start="0" length="0">
      <dxf/>
    </rfmt>
    <rfmt sheetId="2" sqref="FZ763" start="0" length="0">
      <dxf/>
    </rfmt>
    <rfmt sheetId="2" sqref="GA763" start="0" length="0">
      <dxf/>
    </rfmt>
    <rfmt sheetId="2" sqref="GB763" start="0" length="0">
      <dxf/>
    </rfmt>
    <rfmt sheetId="2" sqref="GC763" start="0" length="0">
      <dxf/>
    </rfmt>
    <rfmt sheetId="2" sqref="GD763" start="0" length="0">
      <dxf/>
    </rfmt>
    <rfmt sheetId="2" sqref="GE763" start="0" length="0">
      <dxf/>
    </rfmt>
    <rfmt sheetId="2" sqref="GF763" start="0" length="0">
      <dxf/>
    </rfmt>
    <rfmt sheetId="2" sqref="GG763" start="0" length="0">
      <dxf/>
    </rfmt>
    <rfmt sheetId="2" sqref="GH763" start="0" length="0">
      <dxf/>
    </rfmt>
    <rfmt sheetId="2" sqref="GI763" start="0" length="0">
      <dxf/>
    </rfmt>
    <rfmt sheetId="2" sqref="GJ763" start="0" length="0">
      <dxf/>
    </rfmt>
    <rfmt sheetId="2" sqref="GK763" start="0" length="0">
      <dxf/>
    </rfmt>
    <rfmt sheetId="2" sqref="GL763" start="0" length="0">
      <dxf/>
    </rfmt>
    <rfmt sheetId="2" sqref="GM763" start="0" length="0">
      <dxf/>
    </rfmt>
    <rfmt sheetId="2" sqref="GN763" start="0" length="0">
      <dxf/>
    </rfmt>
    <rfmt sheetId="2" sqref="GO763" start="0" length="0">
      <dxf/>
    </rfmt>
    <rfmt sheetId="2" sqref="GP763" start="0" length="0">
      <dxf/>
    </rfmt>
    <rfmt sheetId="2" sqref="GQ763" start="0" length="0">
      <dxf/>
    </rfmt>
    <rfmt sheetId="2" sqref="GR763" start="0" length="0">
      <dxf/>
    </rfmt>
    <rfmt sheetId="2" sqref="GS763" start="0" length="0">
      <dxf/>
    </rfmt>
    <rfmt sheetId="2" sqref="GT763" start="0" length="0">
      <dxf/>
    </rfmt>
    <rfmt sheetId="2" sqref="GU763" start="0" length="0">
      <dxf/>
    </rfmt>
    <rfmt sheetId="2" sqref="GV763" start="0" length="0">
      <dxf/>
    </rfmt>
    <rfmt sheetId="2" sqref="GW763" start="0" length="0">
      <dxf/>
    </rfmt>
    <rfmt sheetId="2" sqref="GX763" start="0" length="0">
      <dxf/>
    </rfmt>
    <rfmt sheetId="2" sqref="GY763" start="0" length="0">
      <dxf/>
    </rfmt>
    <rfmt sheetId="2" sqref="GZ763" start="0" length="0">
      <dxf/>
    </rfmt>
    <rfmt sheetId="2" sqref="HA763" start="0" length="0">
      <dxf/>
    </rfmt>
    <rfmt sheetId="2" sqref="HB763" start="0" length="0">
      <dxf/>
    </rfmt>
    <rfmt sheetId="2" sqref="HC763" start="0" length="0">
      <dxf/>
    </rfmt>
    <rfmt sheetId="2" sqref="HD763" start="0" length="0">
      <dxf/>
    </rfmt>
    <rfmt sheetId="2" sqref="HE763" start="0" length="0">
      <dxf/>
    </rfmt>
    <rfmt sheetId="2" sqref="HF763" start="0" length="0">
      <dxf/>
    </rfmt>
    <rfmt sheetId="2" sqref="HG763" start="0" length="0">
      <dxf/>
    </rfmt>
    <rfmt sheetId="2" sqref="HH763" start="0" length="0">
      <dxf/>
    </rfmt>
    <rfmt sheetId="2" sqref="HI763" start="0" length="0">
      <dxf/>
    </rfmt>
    <rfmt sheetId="2" sqref="HJ763" start="0" length="0">
      <dxf/>
    </rfmt>
    <rfmt sheetId="2" sqref="HK763" start="0" length="0">
      <dxf/>
    </rfmt>
    <rfmt sheetId="2" sqref="HL763" start="0" length="0">
      <dxf/>
    </rfmt>
    <rfmt sheetId="2" sqref="HM763" start="0" length="0">
      <dxf/>
    </rfmt>
    <rfmt sheetId="2" sqref="HN763" start="0" length="0">
      <dxf/>
    </rfmt>
    <rfmt sheetId="2" sqref="HO763" start="0" length="0">
      <dxf/>
    </rfmt>
    <rfmt sheetId="2" sqref="HP763" start="0" length="0">
      <dxf/>
    </rfmt>
    <rfmt sheetId="2" sqref="HQ763" start="0" length="0">
      <dxf/>
    </rfmt>
    <rfmt sheetId="2" sqref="HR763" start="0" length="0">
      <dxf/>
    </rfmt>
    <rfmt sheetId="2" sqref="HS763" start="0" length="0">
      <dxf/>
    </rfmt>
    <rfmt sheetId="2" sqref="HT763" start="0" length="0">
      <dxf/>
    </rfmt>
    <rfmt sheetId="2" sqref="HU763" start="0" length="0">
      <dxf/>
    </rfmt>
    <rfmt sheetId="2" sqref="HV763" start="0" length="0">
      <dxf/>
    </rfmt>
    <rfmt sheetId="2" sqref="HW763" start="0" length="0">
      <dxf/>
    </rfmt>
    <rfmt sheetId="2" sqref="HX763" start="0" length="0">
      <dxf/>
    </rfmt>
    <rfmt sheetId="2" sqref="HY763" start="0" length="0">
      <dxf/>
    </rfmt>
    <rfmt sheetId="2" sqref="HZ763" start="0" length="0">
      <dxf/>
    </rfmt>
    <rfmt sheetId="2" sqref="IA763" start="0" length="0">
      <dxf/>
    </rfmt>
    <rfmt sheetId="2" sqref="IB763" start="0" length="0">
      <dxf/>
    </rfmt>
    <rfmt sheetId="2" sqref="IC763" start="0" length="0">
      <dxf/>
    </rfmt>
    <rfmt sheetId="2" sqref="ID763" start="0" length="0">
      <dxf/>
    </rfmt>
    <rfmt sheetId="2" sqref="IE763" start="0" length="0">
      <dxf/>
    </rfmt>
    <rfmt sheetId="2" sqref="IF763" start="0" length="0">
      <dxf/>
    </rfmt>
    <rfmt sheetId="2" sqref="IG763" start="0" length="0">
      <dxf/>
    </rfmt>
    <rfmt sheetId="2" sqref="IH763" start="0" length="0">
      <dxf/>
    </rfmt>
    <rfmt sheetId="2" sqref="II763" start="0" length="0">
      <dxf/>
    </rfmt>
    <rfmt sheetId="2" sqref="IJ763" start="0" length="0">
      <dxf/>
    </rfmt>
    <rfmt sheetId="2" sqref="IK763" start="0" length="0">
      <dxf/>
    </rfmt>
    <rfmt sheetId="2" sqref="IL763" start="0" length="0">
      <dxf/>
    </rfmt>
    <rfmt sheetId="2" sqref="IM763" start="0" length="0">
      <dxf/>
    </rfmt>
    <rfmt sheetId="2" sqref="IN763" start="0" length="0">
      <dxf/>
    </rfmt>
    <rfmt sheetId="2" sqref="IO763" start="0" length="0">
      <dxf/>
    </rfmt>
    <rfmt sheetId="2" sqref="IP763" start="0" length="0">
      <dxf/>
    </rfmt>
    <rfmt sheetId="2" sqref="IQ763" start="0" length="0">
      <dxf/>
    </rfmt>
    <rfmt sheetId="2" sqref="IR763" start="0" length="0">
      <dxf/>
    </rfmt>
    <rfmt sheetId="2" sqref="IS763" start="0" length="0">
      <dxf/>
    </rfmt>
    <rfmt sheetId="2" sqref="IT763" start="0" length="0">
      <dxf/>
    </rfmt>
    <rfmt sheetId="2" sqref="IU763" start="0" length="0">
      <dxf/>
    </rfmt>
    <rfmt sheetId="2" sqref="IV763" start="0" length="0">
      <dxf/>
    </rfmt>
    <rfmt sheetId="2" sqref="IW763" start="0" length="0">
      <dxf/>
    </rfmt>
    <rfmt sheetId="2" sqref="IX763" start="0" length="0">
      <dxf/>
    </rfmt>
    <rfmt sheetId="2" sqref="IY763" start="0" length="0">
      <dxf/>
    </rfmt>
    <rfmt sheetId="2" sqref="IZ763" start="0" length="0">
      <dxf/>
    </rfmt>
    <rfmt sheetId="2" sqref="JA763" start="0" length="0">
      <dxf/>
    </rfmt>
    <rfmt sheetId="2" sqref="JB763" start="0" length="0">
      <dxf/>
    </rfmt>
    <rfmt sheetId="2" sqref="JC763" start="0" length="0">
      <dxf/>
    </rfmt>
    <rfmt sheetId="2" sqref="JD763" start="0" length="0">
      <dxf/>
    </rfmt>
    <rfmt sheetId="2" sqref="JE763" start="0" length="0">
      <dxf/>
    </rfmt>
    <rfmt sheetId="2" sqref="JF763" start="0" length="0">
      <dxf/>
    </rfmt>
    <rfmt sheetId="2" sqref="JG763" start="0" length="0">
      <dxf/>
    </rfmt>
    <rfmt sheetId="2" sqref="JH763" start="0" length="0">
      <dxf/>
    </rfmt>
    <rfmt sheetId="2" sqref="JI763" start="0" length="0">
      <dxf/>
    </rfmt>
    <rfmt sheetId="2" sqref="JJ763" start="0" length="0">
      <dxf/>
    </rfmt>
    <rfmt sheetId="2" sqref="JK763" start="0" length="0">
      <dxf/>
    </rfmt>
    <rfmt sheetId="2" sqref="JL763" start="0" length="0">
      <dxf/>
    </rfmt>
    <rfmt sheetId="2" sqref="JM763" start="0" length="0">
      <dxf/>
    </rfmt>
    <rfmt sheetId="2" sqref="JN763" start="0" length="0">
      <dxf/>
    </rfmt>
    <rfmt sheetId="2" sqref="JO763" start="0" length="0">
      <dxf/>
    </rfmt>
    <rfmt sheetId="2" sqref="JP763" start="0" length="0">
      <dxf/>
    </rfmt>
    <rfmt sheetId="2" sqref="JQ763" start="0" length="0">
      <dxf/>
    </rfmt>
    <rfmt sheetId="2" sqref="JR763" start="0" length="0">
      <dxf/>
    </rfmt>
    <rfmt sheetId="2" sqref="JS763" start="0" length="0">
      <dxf/>
    </rfmt>
    <rfmt sheetId="2" sqref="JT763" start="0" length="0">
      <dxf/>
    </rfmt>
    <rfmt sheetId="2" sqref="JU763" start="0" length="0">
      <dxf/>
    </rfmt>
    <rfmt sheetId="2" sqref="JV763" start="0" length="0">
      <dxf/>
    </rfmt>
    <rfmt sheetId="2" sqref="JW763" start="0" length="0">
      <dxf/>
    </rfmt>
    <rfmt sheetId="2" sqref="JX763" start="0" length="0">
      <dxf/>
    </rfmt>
    <rfmt sheetId="2" sqref="JY763" start="0" length="0">
      <dxf/>
    </rfmt>
    <rfmt sheetId="2" sqref="JZ763" start="0" length="0">
      <dxf/>
    </rfmt>
    <rfmt sheetId="2" sqref="KA763" start="0" length="0">
      <dxf/>
    </rfmt>
    <rfmt sheetId="2" sqref="KB763" start="0" length="0">
      <dxf/>
    </rfmt>
    <rfmt sheetId="2" sqref="KC763" start="0" length="0">
      <dxf/>
    </rfmt>
    <rfmt sheetId="2" sqref="KD763" start="0" length="0">
      <dxf/>
    </rfmt>
    <rfmt sheetId="2" sqref="KE763" start="0" length="0">
      <dxf/>
    </rfmt>
    <rfmt sheetId="2" sqref="KF763" start="0" length="0">
      <dxf/>
    </rfmt>
    <rfmt sheetId="2" sqref="KG763" start="0" length="0">
      <dxf/>
    </rfmt>
    <rfmt sheetId="2" sqref="KH763" start="0" length="0">
      <dxf/>
    </rfmt>
    <rfmt sheetId="2" sqref="KI763" start="0" length="0">
      <dxf/>
    </rfmt>
    <rfmt sheetId="2" sqref="KJ763" start="0" length="0">
      <dxf/>
    </rfmt>
    <rfmt sheetId="2" sqref="KK763" start="0" length="0">
      <dxf/>
    </rfmt>
    <rfmt sheetId="2" sqref="KL763" start="0" length="0">
      <dxf/>
    </rfmt>
    <rfmt sheetId="2" sqref="KM763" start="0" length="0">
      <dxf/>
    </rfmt>
    <rfmt sheetId="2" sqref="KN763" start="0" length="0">
      <dxf/>
    </rfmt>
    <rfmt sheetId="2" sqref="KO763" start="0" length="0">
      <dxf/>
    </rfmt>
    <rfmt sheetId="2" sqref="KP763" start="0" length="0">
      <dxf/>
    </rfmt>
    <rfmt sheetId="2" sqref="KQ763" start="0" length="0">
      <dxf/>
    </rfmt>
    <rfmt sheetId="2" sqref="KR763" start="0" length="0">
      <dxf/>
    </rfmt>
    <rfmt sheetId="2" sqref="KS763" start="0" length="0">
      <dxf/>
    </rfmt>
    <rfmt sheetId="2" sqref="KT763" start="0" length="0">
      <dxf/>
    </rfmt>
    <rfmt sheetId="2" sqref="KU763" start="0" length="0">
      <dxf/>
    </rfmt>
    <rfmt sheetId="2" sqref="KV763" start="0" length="0">
      <dxf/>
    </rfmt>
    <rfmt sheetId="2" sqref="KW763" start="0" length="0">
      <dxf/>
    </rfmt>
    <rfmt sheetId="2" sqref="KX763" start="0" length="0">
      <dxf/>
    </rfmt>
    <rfmt sheetId="2" sqref="KY763" start="0" length="0">
      <dxf/>
    </rfmt>
    <rfmt sheetId="2" sqref="KZ763" start="0" length="0">
      <dxf/>
    </rfmt>
    <rfmt sheetId="2" sqref="LA763" start="0" length="0">
      <dxf/>
    </rfmt>
    <rfmt sheetId="2" sqref="LB763" start="0" length="0">
      <dxf/>
    </rfmt>
    <rfmt sheetId="2" sqref="LC763" start="0" length="0">
      <dxf/>
    </rfmt>
    <rfmt sheetId="2" sqref="LD763" start="0" length="0">
      <dxf/>
    </rfmt>
    <rfmt sheetId="2" sqref="LE763" start="0" length="0">
      <dxf/>
    </rfmt>
    <rfmt sheetId="2" sqref="LF763" start="0" length="0">
      <dxf/>
    </rfmt>
    <rfmt sheetId="2" sqref="LG763" start="0" length="0">
      <dxf/>
    </rfmt>
    <rfmt sheetId="2" sqref="LH763" start="0" length="0">
      <dxf/>
    </rfmt>
    <rfmt sheetId="2" sqref="LI763" start="0" length="0">
      <dxf/>
    </rfmt>
    <rfmt sheetId="2" sqref="LJ763" start="0" length="0">
      <dxf/>
    </rfmt>
    <rfmt sheetId="2" sqref="LK763" start="0" length="0">
      <dxf/>
    </rfmt>
    <rfmt sheetId="2" sqref="LL763" start="0" length="0">
      <dxf/>
    </rfmt>
    <rfmt sheetId="2" sqref="LM763" start="0" length="0">
      <dxf/>
    </rfmt>
    <rfmt sheetId="2" sqref="LN763" start="0" length="0">
      <dxf/>
    </rfmt>
    <rfmt sheetId="2" sqref="LO763" start="0" length="0">
      <dxf/>
    </rfmt>
    <rfmt sheetId="2" sqref="LP763" start="0" length="0">
      <dxf/>
    </rfmt>
    <rfmt sheetId="2" sqref="LQ763" start="0" length="0">
      <dxf/>
    </rfmt>
    <rfmt sheetId="2" sqref="LR763" start="0" length="0">
      <dxf/>
    </rfmt>
    <rfmt sheetId="2" sqref="LS763" start="0" length="0">
      <dxf/>
    </rfmt>
    <rfmt sheetId="2" sqref="LT763" start="0" length="0">
      <dxf/>
    </rfmt>
    <rfmt sheetId="2" sqref="LU763" start="0" length="0">
      <dxf/>
    </rfmt>
    <rfmt sheetId="2" sqref="LV763" start="0" length="0">
      <dxf/>
    </rfmt>
    <rfmt sheetId="2" sqref="LW763" start="0" length="0">
      <dxf/>
    </rfmt>
    <rfmt sheetId="2" sqref="LX763" start="0" length="0">
      <dxf/>
    </rfmt>
    <rfmt sheetId="2" sqref="LY763" start="0" length="0">
      <dxf/>
    </rfmt>
    <rfmt sheetId="2" sqref="LZ763" start="0" length="0">
      <dxf/>
    </rfmt>
    <rfmt sheetId="2" sqref="MA763" start="0" length="0">
      <dxf/>
    </rfmt>
    <rfmt sheetId="2" sqref="MB763" start="0" length="0">
      <dxf/>
    </rfmt>
  </rrc>
  <rcv guid="{D108A94F-96BE-4B2E-9408-7CE19DC55699}" action="delete"/>
  <rdn rId="0" localSheetId="1" customView="1" name="Z_D108A94F_96BE_4B2E_9408_7CE19DC55699_.wvu.PrintArea" hidden="1" oldHidden="1">
    <formula>'IPAHQ(TANK)-竹科'!$A$1:$Q$2</formula>
    <oldFormula>'IPAHQ(TANK)-竹科'!$A$1:$Q$2</oldFormula>
  </rdn>
  <rdn rId="0" localSheetId="1" customView="1" name="Z_D108A94F_96BE_4B2E_9408_7CE19DC55699_.wvu.Cols" hidden="1" oldHidden="1">
    <formula>'IPAHQ(TANK)-竹科'!$A:$A</formula>
    <oldFormula>'IPAHQ(TANK)-竹科'!$A:$A</oldFormula>
  </rdn>
  <rdn rId="0" localSheetId="1" customView="1" name="Z_D108A94F_96BE_4B2E_9408_7CE19DC55699_.wvu.FilterData" hidden="1" oldHidden="1">
    <formula>'IPAHQ(TANK)-竹科'!$A$2:$T$181</formula>
    <oldFormula>'IPAHQ(TANK)-竹科'!$A$2:$T$181</oldFormula>
  </rdn>
  <rdn rId="0" localSheetId="2" customView="1" name="Z_D108A94F_96BE_4B2E_9408_7CE19DC55699_.wvu.PrintArea" hidden="1" oldHidden="1">
    <formula>'IPAHQ(TANK)-中科'!$A$1:$P$2</formula>
    <oldFormula>'IPAHQ(TANK)-中科'!$A$1:$P$2</oldFormula>
  </rdn>
  <rdn rId="0" localSheetId="2" customView="1" name="Z_D108A94F_96BE_4B2E_9408_7CE19DC55699_.wvu.Rows" hidden="1" oldHidden="1">
    <formula>'IPAHQ(TANK)-中科'!$760:$760</formula>
  </rdn>
  <rdn rId="0" localSheetId="2" customView="1" name="Z_D108A94F_96BE_4B2E_9408_7CE19DC55699_.wvu.Cols" hidden="1" oldHidden="1">
    <formula>'IPAHQ(TANK)-中科'!$A:$A</formula>
    <oldFormula>'IPAHQ(TANK)-中科'!$A:$A</oldFormula>
  </rdn>
  <rdn rId="0" localSheetId="2" customView="1" name="Z_D108A94F_96BE_4B2E_9408_7CE19DC55699_.wvu.FilterData" hidden="1" oldHidden="1">
    <formula>'IPAHQ(TANK)-中科'!$A$2:$S$906</formula>
    <oldFormula>'IPAHQ(TANK)-中科'!$A$2:$S$906</oldFormula>
  </rdn>
  <rdn rId="0" localSheetId="3" customView="1" name="Z_D108A94F_96BE_4B2E_9408_7CE19DC55699_.wvu.PrintArea" hidden="1" oldHidden="1">
    <formula>'IPAHQ(TANK)-12P3'!$A$1:$Q$2</formula>
    <oldFormula>'IPAHQ(TANK)-12P3'!$A$1:$Q$2</oldFormula>
  </rdn>
  <rdn rId="0" localSheetId="3" customView="1" name="Z_D108A94F_96BE_4B2E_9408_7CE19DC55699_.wvu.Cols" hidden="1" oldHidden="1">
    <formula>'IPAHQ(TANK)-12P3'!$A:$A</formula>
    <oldFormula>'IPAHQ(TANK)-12P3'!$A:$A</oldFormula>
  </rdn>
  <rdn rId="0" localSheetId="3" customView="1" name="Z_D108A94F_96BE_4B2E_9408_7CE19DC55699_.wvu.FilterData" hidden="1" oldHidden="1">
    <formula>'IPAHQ(TANK)-12P3'!$A$2:$T$22</formula>
    <oldFormula>'IPAHQ(TANK)-12P3'!$A$2:$T$22</oldFormula>
  </rdn>
  <rdn rId="0" localSheetId="4" customView="1" name="Z_D108A94F_96BE_4B2E_9408_7CE19DC55699_.wvu.PrintArea" hidden="1" oldHidden="1">
    <formula>'IPAHQ(TANK)-南科'!$A$1:$P$2</formula>
    <oldFormula>'IPAHQ(TANK)-南科'!$A$1:$P$2</oldFormula>
  </rdn>
  <rdn rId="0" localSheetId="4" customView="1" name="Z_D108A94F_96BE_4B2E_9408_7CE19DC55699_.wvu.Cols" hidden="1" oldHidden="1">
    <formula>'IPAHQ(TANK)-南科'!$A:$A</formula>
    <oldFormula>'IPAHQ(TANK)-南科'!$A:$A</oldFormula>
  </rdn>
  <rdn rId="0" localSheetId="4" customView="1" name="Z_D108A94F_96BE_4B2E_9408_7CE19DC55699_.wvu.FilterData" hidden="1" oldHidden="1">
    <formula>'IPAHQ(TANK)-南科'!$A$2:$S$191</formula>
    <oldFormula>'IPAHQ(TANK)-南科'!$A$2:$S$191</oldFormula>
  </rdn>
  <rcv guid="{D108A94F-96BE-4B2E-9408-7CE19DC55699}" action="add"/>
</revisions>
</file>

<file path=xl/revisions/revisionLog10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247" sId="2" ref="A770:XFD770" action="insertRow">
    <undo index="0" exp="area" ref3D="1" dr="$A$1:$A$1048576" dn="Z_D108A94F_96BE_4B2E_9408_7CE19DC55699_.wvu.Cols" sId="2"/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</rrc>
  <rm rId="2248" sheetId="2" source="A766:XFD766" destination="A770:XFD770" sourceSheetId="2">
    <rfmt sheetId="2" xfDxf="1" sqref="A770:XFD770" start="0" length="0">
      <dxf>
        <font>
          <sz val="10"/>
          <name val="Arial"/>
          <scheme val="none"/>
        </font>
        <alignment horizontal="center" readingOrder="0"/>
      </dxf>
    </rfmt>
    <rfmt sheetId="2" sqref="A77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0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7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7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7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7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0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0" start="0" length="0">
      <dxf>
        <numFmt numFmtId="25" formatCode="hh:mm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0" start="0" length="0">
      <dxf>
        <numFmt numFmtId="176" formatCode="m/d;@"/>
      </dxf>
    </rfmt>
    <rfmt sheetId="2" sqref="P770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0" start="0" length="0">
      <dxf/>
    </rfmt>
    <rfmt sheetId="2" sqref="U770" start="0" length="0">
      <dxf/>
    </rfmt>
    <rfmt sheetId="2" sqref="V770" start="0" length="0">
      <dxf/>
    </rfmt>
    <rfmt sheetId="2" sqref="W770" start="0" length="0">
      <dxf/>
    </rfmt>
    <rfmt sheetId="2" sqref="X770" start="0" length="0">
      <dxf/>
    </rfmt>
    <rfmt sheetId="2" sqref="Y770" start="0" length="0">
      <dxf/>
    </rfmt>
    <rfmt sheetId="2" sqref="Z770" start="0" length="0">
      <dxf/>
    </rfmt>
    <rfmt sheetId="2" sqref="AA770" start="0" length="0">
      <dxf/>
    </rfmt>
    <rfmt sheetId="2" sqref="AB770" start="0" length="0">
      <dxf/>
    </rfmt>
    <rfmt sheetId="2" sqref="AC770" start="0" length="0">
      <dxf/>
    </rfmt>
    <rfmt sheetId="2" sqref="AD770" start="0" length="0">
      <dxf/>
    </rfmt>
    <rfmt sheetId="2" sqref="AE770" start="0" length="0">
      <dxf/>
    </rfmt>
    <rfmt sheetId="2" sqref="AF770" start="0" length="0">
      <dxf/>
    </rfmt>
    <rfmt sheetId="2" sqref="AG770" start="0" length="0">
      <dxf/>
    </rfmt>
    <rfmt sheetId="2" sqref="AH770" start="0" length="0">
      <dxf/>
    </rfmt>
    <rfmt sheetId="2" sqref="AI770" start="0" length="0">
      <dxf/>
    </rfmt>
    <rfmt sheetId="2" sqref="AJ770" start="0" length="0">
      <dxf/>
    </rfmt>
    <rfmt sheetId="2" sqref="AK770" start="0" length="0">
      <dxf/>
    </rfmt>
    <rfmt sheetId="2" sqref="AL770" start="0" length="0">
      <dxf/>
    </rfmt>
    <rfmt sheetId="2" sqref="AM770" start="0" length="0">
      <dxf/>
    </rfmt>
    <rfmt sheetId="2" sqref="AN770" start="0" length="0">
      <dxf/>
    </rfmt>
    <rfmt sheetId="2" sqref="AO770" start="0" length="0">
      <dxf/>
    </rfmt>
    <rfmt sheetId="2" sqref="AP770" start="0" length="0">
      <dxf/>
    </rfmt>
    <rfmt sheetId="2" sqref="AQ770" start="0" length="0">
      <dxf/>
    </rfmt>
    <rfmt sheetId="2" sqref="AR770" start="0" length="0">
      <dxf/>
    </rfmt>
    <rfmt sheetId="2" sqref="AS770" start="0" length="0">
      <dxf/>
    </rfmt>
    <rfmt sheetId="2" sqref="AT770" start="0" length="0">
      <dxf/>
    </rfmt>
    <rfmt sheetId="2" sqref="AU770" start="0" length="0">
      <dxf/>
    </rfmt>
    <rfmt sheetId="2" sqref="AV770" start="0" length="0">
      <dxf/>
    </rfmt>
    <rfmt sheetId="2" sqref="AW770" start="0" length="0">
      <dxf/>
    </rfmt>
    <rfmt sheetId="2" sqref="AX770" start="0" length="0">
      <dxf/>
    </rfmt>
    <rfmt sheetId="2" sqref="AY770" start="0" length="0">
      <dxf/>
    </rfmt>
    <rfmt sheetId="2" sqref="AZ770" start="0" length="0">
      <dxf/>
    </rfmt>
    <rfmt sheetId="2" sqref="BA770" start="0" length="0">
      <dxf/>
    </rfmt>
    <rfmt sheetId="2" sqref="BB770" start="0" length="0">
      <dxf/>
    </rfmt>
    <rfmt sheetId="2" sqref="BC770" start="0" length="0">
      <dxf/>
    </rfmt>
    <rfmt sheetId="2" sqref="BD770" start="0" length="0">
      <dxf/>
    </rfmt>
    <rfmt sheetId="2" sqref="BE770" start="0" length="0">
      <dxf/>
    </rfmt>
    <rfmt sheetId="2" sqref="BF770" start="0" length="0">
      <dxf/>
    </rfmt>
    <rfmt sheetId="2" sqref="BG770" start="0" length="0">
      <dxf/>
    </rfmt>
    <rfmt sheetId="2" sqref="BH770" start="0" length="0">
      <dxf/>
    </rfmt>
    <rfmt sheetId="2" sqref="BI770" start="0" length="0">
      <dxf/>
    </rfmt>
    <rfmt sheetId="2" sqref="BJ770" start="0" length="0">
      <dxf/>
    </rfmt>
    <rfmt sheetId="2" sqref="BK770" start="0" length="0">
      <dxf/>
    </rfmt>
    <rfmt sheetId="2" sqref="BL770" start="0" length="0">
      <dxf/>
    </rfmt>
    <rfmt sheetId="2" sqref="BM770" start="0" length="0">
      <dxf/>
    </rfmt>
    <rfmt sheetId="2" sqref="BN770" start="0" length="0">
      <dxf/>
    </rfmt>
    <rfmt sheetId="2" sqref="BO770" start="0" length="0">
      <dxf/>
    </rfmt>
    <rfmt sheetId="2" sqref="BP770" start="0" length="0">
      <dxf/>
    </rfmt>
    <rfmt sheetId="2" sqref="BQ770" start="0" length="0">
      <dxf/>
    </rfmt>
    <rfmt sheetId="2" sqref="BR770" start="0" length="0">
      <dxf/>
    </rfmt>
    <rfmt sheetId="2" sqref="BS770" start="0" length="0">
      <dxf/>
    </rfmt>
    <rfmt sheetId="2" sqref="BT770" start="0" length="0">
      <dxf/>
    </rfmt>
    <rfmt sheetId="2" sqref="BU770" start="0" length="0">
      <dxf/>
    </rfmt>
    <rfmt sheetId="2" sqref="BV770" start="0" length="0">
      <dxf/>
    </rfmt>
    <rfmt sheetId="2" sqref="BW770" start="0" length="0">
      <dxf/>
    </rfmt>
    <rfmt sheetId="2" sqref="BX770" start="0" length="0">
      <dxf/>
    </rfmt>
    <rfmt sheetId="2" sqref="BY770" start="0" length="0">
      <dxf/>
    </rfmt>
    <rfmt sheetId="2" sqref="BZ770" start="0" length="0">
      <dxf/>
    </rfmt>
    <rfmt sheetId="2" sqref="CA770" start="0" length="0">
      <dxf/>
    </rfmt>
    <rfmt sheetId="2" sqref="CB770" start="0" length="0">
      <dxf/>
    </rfmt>
    <rfmt sheetId="2" sqref="CC770" start="0" length="0">
      <dxf/>
    </rfmt>
    <rfmt sheetId="2" sqref="CD770" start="0" length="0">
      <dxf/>
    </rfmt>
    <rfmt sheetId="2" sqref="CE770" start="0" length="0">
      <dxf/>
    </rfmt>
    <rfmt sheetId="2" sqref="CF770" start="0" length="0">
      <dxf/>
    </rfmt>
    <rfmt sheetId="2" sqref="CG770" start="0" length="0">
      <dxf/>
    </rfmt>
    <rfmt sheetId="2" sqref="CH770" start="0" length="0">
      <dxf/>
    </rfmt>
    <rfmt sheetId="2" sqref="CI770" start="0" length="0">
      <dxf/>
    </rfmt>
    <rfmt sheetId="2" sqref="CJ770" start="0" length="0">
      <dxf/>
    </rfmt>
    <rfmt sheetId="2" sqref="CK770" start="0" length="0">
      <dxf/>
    </rfmt>
    <rfmt sheetId="2" sqref="CL770" start="0" length="0">
      <dxf/>
    </rfmt>
    <rfmt sheetId="2" sqref="CM770" start="0" length="0">
      <dxf/>
    </rfmt>
    <rfmt sheetId="2" sqref="CN770" start="0" length="0">
      <dxf/>
    </rfmt>
    <rfmt sheetId="2" sqref="CO770" start="0" length="0">
      <dxf/>
    </rfmt>
    <rfmt sheetId="2" sqref="CP770" start="0" length="0">
      <dxf/>
    </rfmt>
    <rfmt sheetId="2" sqref="CQ770" start="0" length="0">
      <dxf/>
    </rfmt>
    <rfmt sheetId="2" sqref="CR770" start="0" length="0">
      <dxf/>
    </rfmt>
    <rfmt sheetId="2" sqref="CS770" start="0" length="0">
      <dxf/>
    </rfmt>
    <rfmt sheetId="2" sqref="CT770" start="0" length="0">
      <dxf/>
    </rfmt>
    <rfmt sheetId="2" sqref="CU770" start="0" length="0">
      <dxf/>
    </rfmt>
    <rfmt sheetId="2" sqref="CV770" start="0" length="0">
      <dxf/>
    </rfmt>
    <rfmt sheetId="2" sqref="CW770" start="0" length="0">
      <dxf/>
    </rfmt>
    <rfmt sheetId="2" sqref="CX770" start="0" length="0">
      <dxf/>
    </rfmt>
    <rfmt sheetId="2" sqref="CY770" start="0" length="0">
      <dxf/>
    </rfmt>
    <rfmt sheetId="2" sqref="CZ770" start="0" length="0">
      <dxf/>
    </rfmt>
    <rfmt sheetId="2" sqref="DA770" start="0" length="0">
      <dxf/>
    </rfmt>
    <rfmt sheetId="2" sqref="DB770" start="0" length="0">
      <dxf/>
    </rfmt>
    <rfmt sheetId="2" sqref="DC770" start="0" length="0">
      <dxf/>
    </rfmt>
    <rfmt sheetId="2" sqref="DD770" start="0" length="0">
      <dxf/>
    </rfmt>
    <rfmt sheetId="2" sqref="DE770" start="0" length="0">
      <dxf/>
    </rfmt>
    <rfmt sheetId="2" sqref="DF770" start="0" length="0">
      <dxf/>
    </rfmt>
    <rfmt sheetId="2" sqref="DG770" start="0" length="0">
      <dxf/>
    </rfmt>
    <rfmt sheetId="2" sqref="DH770" start="0" length="0">
      <dxf/>
    </rfmt>
    <rfmt sheetId="2" sqref="DI770" start="0" length="0">
      <dxf/>
    </rfmt>
    <rfmt sheetId="2" sqref="DJ770" start="0" length="0">
      <dxf/>
    </rfmt>
    <rfmt sheetId="2" sqref="DK770" start="0" length="0">
      <dxf/>
    </rfmt>
    <rfmt sheetId="2" sqref="DL770" start="0" length="0">
      <dxf/>
    </rfmt>
    <rfmt sheetId="2" sqref="DM770" start="0" length="0">
      <dxf/>
    </rfmt>
    <rfmt sheetId="2" sqref="DN770" start="0" length="0">
      <dxf/>
    </rfmt>
    <rfmt sheetId="2" sqref="DO770" start="0" length="0">
      <dxf/>
    </rfmt>
    <rfmt sheetId="2" sqref="DP770" start="0" length="0">
      <dxf/>
    </rfmt>
    <rfmt sheetId="2" sqref="DQ770" start="0" length="0">
      <dxf/>
    </rfmt>
    <rfmt sheetId="2" sqref="DR770" start="0" length="0">
      <dxf/>
    </rfmt>
    <rfmt sheetId="2" sqref="DS770" start="0" length="0">
      <dxf/>
    </rfmt>
    <rfmt sheetId="2" sqref="DT770" start="0" length="0">
      <dxf/>
    </rfmt>
    <rfmt sheetId="2" sqref="DU770" start="0" length="0">
      <dxf/>
    </rfmt>
    <rfmt sheetId="2" sqref="DV770" start="0" length="0">
      <dxf/>
    </rfmt>
    <rfmt sheetId="2" sqref="DW770" start="0" length="0">
      <dxf/>
    </rfmt>
    <rfmt sheetId="2" sqref="DX770" start="0" length="0">
      <dxf/>
    </rfmt>
    <rfmt sheetId="2" sqref="DY770" start="0" length="0">
      <dxf/>
    </rfmt>
    <rfmt sheetId="2" sqref="DZ770" start="0" length="0">
      <dxf/>
    </rfmt>
    <rfmt sheetId="2" sqref="EA770" start="0" length="0">
      <dxf/>
    </rfmt>
    <rfmt sheetId="2" sqref="EB770" start="0" length="0">
      <dxf/>
    </rfmt>
    <rfmt sheetId="2" sqref="EC770" start="0" length="0">
      <dxf/>
    </rfmt>
    <rfmt sheetId="2" sqref="ED770" start="0" length="0">
      <dxf/>
    </rfmt>
    <rfmt sheetId="2" sqref="EE770" start="0" length="0">
      <dxf/>
    </rfmt>
    <rfmt sheetId="2" sqref="EF770" start="0" length="0">
      <dxf/>
    </rfmt>
    <rfmt sheetId="2" sqref="EG770" start="0" length="0">
      <dxf/>
    </rfmt>
    <rfmt sheetId="2" sqref="EH770" start="0" length="0">
      <dxf/>
    </rfmt>
    <rfmt sheetId="2" sqref="EI770" start="0" length="0">
      <dxf/>
    </rfmt>
    <rfmt sheetId="2" sqref="EJ770" start="0" length="0">
      <dxf/>
    </rfmt>
    <rfmt sheetId="2" sqref="EK770" start="0" length="0">
      <dxf/>
    </rfmt>
    <rfmt sheetId="2" sqref="EL770" start="0" length="0">
      <dxf/>
    </rfmt>
    <rfmt sheetId="2" sqref="EM770" start="0" length="0">
      <dxf/>
    </rfmt>
    <rfmt sheetId="2" sqref="EN770" start="0" length="0">
      <dxf/>
    </rfmt>
    <rfmt sheetId="2" sqref="EO770" start="0" length="0">
      <dxf/>
    </rfmt>
    <rfmt sheetId="2" sqref="EP770" start="0" length="0">
      <dxf/>
    </rfmt>
    <rfmt sheetId="2" sqref="EQ770" start="0" length="0">
      <dxf/>
    </rfmt>
    <rfmt sheetId="2" sqref="ER770" start="0" length="0">
      <dxf/>
    </rfmt>
    <rfmt sheetId="2" sqref="ES770" start="0" length="0">
      <dxf/>
    </rfmt>
    <rfmt sheetId="2" sqref="ET770" start="0" length="0">
      <dxf/>
    </rfmt>
    <rfmt sheetId="2" sqref="EU770" start="0" length="0">
      <dxf/>
    </rfmt>
    <rfmt sheetId="2" sqref="EV770" start="0" length="0">
      <dxf/>
    </rfmt>
    <rfmt sheetId="2" sqref="EW770" start="0" length="0">
      <dxf/>
    </rfmt>
    <rfmt sheetId="2" sqref="EX770" start="0" length="0">
      <dxf/>
    </rfmt>
    <rfmt sheetId="2" sqref="EY770" start="0" length="0">
      <dxf/>
    </rfmt>
    <rfmt sheetId="2" sqref="EZ770" start="0" length="0">
      <dxf/>
    </rfmt>
    <rfmt sheetId="2" sqref="FA770" start="0" length="0">
      <dxf/>
    </rfmt>
    <rfmt sheetId="2" sqref="FB770" start="0" length="0">
      <dxf/>
    </rfmt>
    <rfmt sheetId="2" sqref="FC770" start="0" length="0">
      <dxf/>
    </rfmt>
    <rfmt sheetId="2" sqref="FD770" start="0" length="0">
      <dxf/>
    </rfmt>
    <rfmt sheetId="2" sqref="FE770" start="0" length="0">
      <dxf/>
    </rfmt>
    <rfmt sheetId="2" sqref="FF770" start="0" length="0">
      <dxf/>
    </rfmt>
    <rfmt sheetId="2" sqref="FG770" start="0" length="0">
      <dxf/>
    </rfmt>
    <rfmt sheetId="2" sqref="FH770" start="0" length="0">
      <dxf/>
    </rfmt>
    <rfmt sheetId="2" sqref="FI770" start="0" length="0">
      <dxf/>
    </rfmt>
    <rfmt sheetId="2" sqref="FJ770" start="0" length="0">
      <dxf/>
    </rfmt>
    <rfmt sheetId="2" sqref="FK770" start="0" length="0">
      <dxf/>
    </rfmt>
    <rfmt sheetId="2" sqref="FL770" start="0" length="0">
      <dxf/>
    </rfmt>
    <rfmt sheetId="2" sqref="FM770" start="0" length="0">
      <dxf/>
    </rfmt>
    <rfmt sheetId="2" sqref="FN770" start="0" length="0">
      <dxf/>
    </rfmt>
    <rfmt sheetId="2" sqref="FO770" start="0" length="0">
      <dxf/>
    </rfmt>
    <rfmt sheetId="2" sqref="FP770" start="0" length="0">
      <dxf/>
    </rfmt>
    <rfmt sheetId="2" sqref="FQ770" start="0" length="0">
      <dxf/>
    </rfmt>
    <rfmt sheetId="2" sqref="FR770" start="0" length="0">
      <dxf/>
    </rfmt>
    <rfmt sheetId="2" sqref="FS770" start="0" length="0">
      <dxf/>
    </rfmt>
    <rfmt sheetId="2" sqref="FT770" start="0" length="0">
      <dxf/>
    </rfmt>
    <rfmt sheetId="2" sqref="FU770" start="0" length="0">
      <dxf/>
    </rfmt>
    <rfmt sheetId="2" sqref="FV770" start="0" length="0">
      <dxf/>
    </rfmt>
    <rfmt sheetId="2" sqref="FW770" start="0" length="0">
      <dxf/>
    </rfmt>
    <rfmt sheetId="2" sqref="FX770" start="0" length="0">
      <dxf/>
    </rfmt>
    <rfmt sheetId="2" sqref="FY770" start="0" length="0">
      <dxf/>
    </rfmt>
    <rfmt sheetId="2" sqref="FZ770" start="0" length="0">
      <dxf/>
    </rfmt>
    <rfmt sheetId="2" sqref="GA770" start="0" length="0">
      <dxf/>
    </rfmt>
    <rfmt sheetId="2" sqref="GB770" start="0" length="0">
      <dxf/>
    </rfmt>
    <rfmt sheetId="2" sqref="GC770" start="0" length="0">
      <dxf/>
    </rfmt>
    <rfmt sheetId="2" sqref="GD770" start="0" length="0">
      <dxf/>
    </rfmt>
    <rfmt sheetId="2" sqref="GE770" start="0" length="0">
      <dxf/>
    </rfmt>
    <rfmt sheetId="2" sqref="GF770" start="0" length="0">
      <dxf/>
    </rfmt>
    <rfmt sheetId="2" sqref="GG770" start="0" length="0">
      <dxf/>
    </rfmt>
    <rfmt sheetId="2" sqref="GH770" start="0" length="0">
      <dxf/>
    </rfmt>
    <rfmt sheetId="2" sqref="GI770" start="0" length="0">
      <dxf/>
    </rfmt>
    <rfmt sheetId="2" sqref="GJ770" start="0" length="0">
      <dxf/>
    </rfmt>
    <rfmt sheetId="2" sqref="GK770" start="0" length="0">
      <dxf/>
    </rfmt>
    <rfmt sheetId="2" sqref="GL770" start="0" length="0">
      <dxf/>
    </rfmt>
    <rfmt sheetId="2" sqref="GM770" start="0" length="0">
      <dxf/>
    </rfmt>
    <rfmt sheetId="2" sqref="GN770" start="0" length="0">
      <dxf/>
    </rfmt>
    <rfmt sheetId="2" sqref="GO770" start="0" length="0">
      <dxf/>
    </rfmt>
    <rfmt sheetId="2" sqref="GP770" start="0" length="0">
      <dxf/>
    </rfmt>
    <rfmt sheetId="2" sqref="GQ770" start="0" length="0">
      <dxf/>
    </rfmt>
    <rfmt sheetId="2" sqref="GR770" start="0" length="0">
      <dxf/>
    </rfmt>
    <rfmt sheetId="2" sqref="GS770" start="0" length="0">
      <dxf/>
    </rfmt>
    <rfmt sheetId="2" sqref="GT770" start="0" length="0">
      <dxf/>
    </rfmt>
    <rfmt sheetId="2" sqref="GU770" start="0" length="0">
      <dxf/>
    </rfmt>
    <rfmt sheetId="2" sqref="GV770" start="0" length="0">
      <dxf/>
    </rfmt>
    <rfmt sheetId="2" sqref="GW770" start="0" length="0">
      <dxf/>
    </rfmt>
    <rfmt sheetId="2" sqref="GX770" start="0" length="0">
      <dxf/>
    </rfmt>
    <rfmt sheetId="2" sqref="GY770" start="0" length="0">
      <dxf/>
    </rfmt>
    <rfmt sheetId="2" sqref="GZ770" start="0" length="0">
      <dxf/>
    </rfmt>
    <rfmt sheetId="2" sqref="HA770" start="0" length="0">
      <dxf/>
    </rfmt>
    <rfmt sheetId="2" sqref="HB770" start="0" length="0">
      <dxf/>
    </rfmt>
    <rfmt sheetId="2" sqref="HC770" start="0" length="0">
      <dxf/>
    </rfmt>
    <rfmt sheetId="2" sqref="HD770" start="0" length="0">
      <dxf/>
    </rfmt>
    <rfmt sheetId="2" sqref="HE770" start="0" length="0">
      <dxf/>
    </rfmt>
    <rfmt sheetId="2" sqref="HF770" start="0" length="0">
      <dxf/>
    </rfmt>
    <rfmt sheetId="2" sqref="HG770" start="0" length="0">
      <dxf/>
    </rfmt>
    <rfmt sheetId="2" sqref="HH770" start="0" length="0">
      <dxf/>
    </rfmt>
    <rfmt sheetId="2" sqref="HI770" start="0" length="0">
      <dxf/>
    </rfmt>
    <rfmt sheetId="2" sqref="HJ770" start="0" length="0">
      <dxf/>
    </rfmt>
    <rfmt sheetId="2" sqref="HK770" start="0" length="0">
      <dxf/>
    </rfmt>
    <rfmt sheetId="2" sqref="HL770" start="0" length="0">
      <dxf/>
    </rfmt>
    <rfmt sheetId="2" sqref="HM770" start="0" length="0">
      <dxf/>
    </rfmt>
    <rfmt sheetId="2" sqref="HN770" start="0" length="0">
      <dxf/>
    </rfmt>
    <rfmt sheetId="2" sqref="HO770" start="0" length="0">
      <dxf/>
    </rfmt>
    <rfmt sheetId="2" sqref="HP770" start="0" length="0">
      <dxf/>
    </rfmt>
    <rfmt sheetId="2" sqref="HQ770" start="0" length="0">
      <dxf/>
    </rfmt>
    <rfmt sheetId="2" sqref="HR770" start="0" length="0">
      <dxf/>
    </rfmt>
    <rfmt sheetId="2" sqref="HS770" start="0" length="0">
      <dxf/>
    </rfmt>
    <rfmt sheetId="2" sqref="HT770" start="0" length="0">
      <dxf/>
    </rfmt>
    <rfmt sheetId="2" sqref="HU770" start="0" length="0">
      <dxf/>
    </rfmt>
    <rfmt sheetId="2" sqref="HV770" start="0" length="0">
      <dxf/>
    </rfmt>
    <rfmt sheetId="2" sqref="HW770" start="0" length="0">
      <dxf/>
    </rfmt>
    <rfmt sheetId="2" sqref="HX770" start="0" length="0">
      <dxf/>
    </rfmt>
    <rfmt sheetId="2" sqref="HY770" start="0" length="0">
      <dxf/>
    </rfmt>
    <rfmt sheetId="2" sqref="HZ770" start="0" length="0">
      <dxf/>
    </rfmt>
    <rfmt sheetId="2" sqref="IA770" start="0" length="0">
      <dxf/>
    </rfmt>
    <rfmt sheetId="2" sqref="IB770" start="0" length="0">
      <dxf/>
    </rfmt>
    <rfmt sheetId="2" sqref="IC770" start="0" length="0">
      <dxf/>
    </rfmt>
    <rfmt sheetId="2" sqref="ID770" start="0" length="0">
      <dxf/>
    </rfmt>
    <rfmt sheetId="2" sqref="IE770" start="0" length="0">
      <dxf/>
    </rfmt>
    <rfmt sheetId="2" sqref="IF770" start="0" length="0">
      <dxf/>
    </rfmt>
    <rfmt sheetId="2" sqref="IG770" start="0" length="0">
      <dxf/>
    </rfmt>
    <rfmt sheetId="2" sqref="IH770" start="0" length="0">
      <dxf/>
    </rfmt>
    <rfmt sheetId="2" sqref="II770" start="0" length="0">
      <dxf/>
    </rfmt>
    <rfmt sheetId="2" sqref="IJ770" start="0" length="0">
      <dxf/>
    </rfmt>
    <rfmt sheetId="2" sqref="IK770" start="0" length="0">
      <dxf/>
    </rfmt>
    <rfmt sheetId="2" sqref="IL770" start="0" length="0">
      <dxf/>
    </rfmt>
    <rfmt sheetId="2" sqref="IM770" start="0" length="0">
      <dxf/>
    </rfmt>
    <rfmt sheetId="2" sqref="IN770" start="0" length="0">
      <dxf/>
    </rfmt>
    <rfmt sheetId="2" sqref="IO770" start="0" length="0">
      <dxf/>
    </rfmt>
    <rfmt sheetId="2" sqref="IP770" start="0" length="0">
      <dxf/>
    </rfmt>
    <rfmt sheetId="2" sqref="IQ770" start="0" length="0">
      <dxf/>
    </rfmt>
    <rfmt sheetId="2" sqref="IR770" start="0" length="0">
      <dxf/>
    </rfmt>
    <rfmt sheetId="2" sqref="IS770" start="0" length="0">
      <dxf/>
    </rfmt>
    <rfmt sheetId="2" sqref="IT770" start="0" length="0">
      <dxf/>
    </rfmt>
    <rfmt sheetId="2" sqref="IU770" start="0" length="0">
      <dxf/>
    </rfmt>
    <rfmt sheetId="2" sqref="IV770" start="0" length="0">
      <dxf/>
    </rfmt>
    <rfmt sheetId="2" sqref="IW770" start="0" length="0">
      <dxf/>
    </rfmt>
    <rfmt sheetId="2" sqref="IX770" start="0" length="0">
      <dxf/>
    </rfmt>
    <rfmt sheetId="2" sqref="IY770" start="0" length="0">
      <dxf/>
    </rfmt>
    <rfmt sheetId="2" sqref="IZ770" start="0" length="0">
      <dxf/>
    </rfmt>
    <rfmt sheetId="2" sqref="JA770" start="0" length="0">
      <dxf/>
    </rfmt>
    <rfmt sheetId="2" sqref="JB770" start="0" length="0">
      <dxf/>
    </rfmt>
    <rfmt sheetId="2" sqref="JC770" start="0" length="0">
      <dxf/>
    </rfmt>
    <rfmt sheetId="2" sqref="JD770" start="0" length="0">
      <dxf/>
    </rfmt>
    <rfmt sheetId="2" sqref="JE770" start="0" length="0">
      <dxf/>
    </rfmt>
    <rfmt sheetId="2" sqref="JF770" start="0" length="0">
      <dxf/>
    </rfmt>
    <rfmt sheetId="2" sqref="JG770" start="0" length="0">
      <dxf/>
    </rfmt>
    <rfmt sheetId="2" sqref="JH770" start="0" length="0">
      <dxf/>
    </rfmt>
    <rfmt sheetId="2" sqref="JI770" start="0" length="0">
      <dxf/>
    </rfmt>
    <rfmt sheetId="2" sqref="JJ770" start="0" length="0">
      <dxf/>
    </rfmt>
    <rfmt sheetId="2" sqref="JK770" start="0" length="0">
      <dxf/>
    </rfmt>
    <rfmt sheetId="2" sqref="JL770" start="0" length="0">
      <dxf/>
    </rfmt>
    <rfmt sheetId="2" sqref="JM770" start="0" length="0">
      <dxf/>
    </rfmt>
    <rfmt sheetId="2" sqref="JN770" start="0" length="0">
      <dxf/>
    </rfmt>
    <rfmt sheetId="2" sqref="JO770" start="0" length="0">
      <dxf/>
    </rfmt>
    <rfmt sheetId="2" sqref="JP770" start="0" length="0">
      <dxf/>
    </rfmt>
    <rfmt sheetId="2" sqref="JQ770" start="0" length="0">
      <dxf/>
    </rfmt>
    <rfmt sheetId="2" sqref="JR770" start="0" length="0">
      <dxf/>
    </rfmt>
    <rfmt sheetId="2" sqref="JS770" start="0" length="0">
      <dxf/>
    </rfmt>
    <rfmt sheetId="2" sqref="JT770" start="0" length="0">
      <dxf/>
    </rfmt>
    <rfmt sheetId="2" sqref="JU770" start="0" length="0">
      <dxf/>
    </rfmt>
    <rfmt sheetId="2" sqref="JV770" start="0" length="0">
      <dxf/>
    </rfmt>
    <rfmt sheetId="2" sqref="JW770" start="0" length="0">
      <dxf/>
    </rfmt>
    <rfmt sheetId="2" sqref="JX770" start="0" length="0">
      <dxf/>
    </rfmt>
    <rfmt sheetId="2" sqref="JY770" start="0" length="0">
      <dxf/>
    </rfmt>
    <rfmt sheetId="2" sqref="JZ770" start="0" length="0">
      <dxf/>
    </rfmt>
    <rfmt sheetId="2" sqref="KA770" start="0" length="0">
      <dxf/>
    </rfmt>
    <rfmt sheetId="2" sqref="KB770" start="0" length="0">
      <dxf/>
    </rfmt>
    <rfmt sheetId="2" sqref="KC770" start="0" length="0">
      <dxf/>
    </rfmt>
    <rfmt sheetId="2" sqref="KD770" start="0" length="0">
      <dxf/>
    </rfmt>
    <rfmt sheetId="2" sqref="KE770" start="0" length="0">
      <dxf/>
    </rfmt>
    <rfmt sheetId="2" sqref="KF770" start="0" length="0">
      <dxf/>
    </rfmt>
    <rfmt sheetId="2" sqref="KG770" start="0" length="0">
      <dxf/>
    </rfmt>
    <rfmt sheetId="2" sqref="KH770" start="0" length="0">
      <dxf/>
    </rfmt>
    <rfmt sheetId="2" sqref="KI770" start="0" length="0">
      <dxf/>
    </rfmt>
    <rfmt sheetId="2" sqref="KJ770" start="0" length="0">
      <dxf/>
    </rfmt>
    <rfmt sheetId="2" sqref="KK770" start="0" length="0">
      <dxf/>
    </rfmt>
    <rfmt sheetId="2" sqref="KL770" start="0" length="0">
      <dxf/>
    </rfmt>
    <rfmt sheetId="2" sqref="KM770" start="0" length="0">
      <dxf/>
    </rfmt>
    <rfmt sheetId="2" sqref="KN770" start="0" length="0">
      <dxf/>
    </rfmt>
    <rfmt sheetId="2" sqref="KO770" start="0" length="0">
      <dxf/>
    </rfmt>
    <rfmt sheetId="2" sqref="KP770" start="0" length="0">
      <dxf/>
    </rfmt>
    <rfmt sheetId="2" sqref="KQ770" start="0" length="0">
      <dxf/>
    </rfmt>
    <rfmt sheetId="2" sqref="KR770" start="0" length="0">
      <dxf/>
    </rfmt>
    <rfmt sheetId="2" sqref="KS770" start="0" length="0">
      <dxf/>
    </rfmt>
    <rfmt sheetId="2" sqref="KT770" start="0" length="0">
      <dxf/>
    </rfmt>
    <rfmt sheetId="2" sqref="KU770" start="0" length="0">
      <dxf/>
    </rfmt>
    <rfmt sheetId="2" sqref="KV770" start="0" length="0">
      <dxf/>
    </rfmt>
    <rfmt sheetId="2" sqref="KW770" start="0" length="0">
      <dxf/>
    </rfmt>
    <rfmt sheetId="2" sqref="KX770" start="0" length="0">
      <dxf/>
    </rfmt>
    <rfmt sheetId="2" sqref="KY770" start="0" length="0">
      <dxf/>
    </rfmt>
    <rfmt sheetId="2" sqref="KZ770" start="0" length="0">
      <dxf/>
    </rfmt>
    <rfmt sheetId="2" sqref="LA770" start="0" length="0">
      <dxf/>
    </rfmt>
    <rfmt sheetId="2" sqref="LB770" start="0" length="0">
      <dxf/>
    </rfmt>
    <rfmt sheetId="2" sqref="LC770" start="0" length="0">
      <dxf/>
    </rfmt>
    <rfmt sheetId="2" sqref="LD770" start="0" length="0">
      <dxf/>
    </rfmt>
    <rfmt sheetId="2" sqref="LE770" start="0" length="0">
      <dxf/>
    </rfmt>
    <rfmt sheetId="2" sqref="LF770" start="0" length="0">
      <dxf/>
    </rfmt>
    <rfmt sheetId="2" sqref="LG770" start="0" length="0">
      <dxf/>
    </rfmt>
    <rfmt sheetId="2" sqref="LH770" start="0" length="0">
      <dxf/>
    </rfmt>
    <rfmt sheetId="2" sqref="LI770" start="0" length="0">
      <dxf/>
    </rfmt>
    <rfmt sheetId="2" sqref="LJ770" start="0" length="0">
      <dxf/>
    </rfmt>
    <rfmt sheetId="2" sqref="LK770" start="0" length="0">
      <dxf/>
    </rfmt>
    <rfmt sheetId="2" sqref="LL770" start="0" length="0">
      <dxf/>
    </rfmt>
    <rfmt sheetId="2" sqref="LM770" start="0" length="0">
      <dxf/>
    </rfmt>
    <rfmt sheetId="2" sqref="LN770" start="0" length="0">
      <dxf/>
    </rfmt>
    <rfmt sheetId="2" sqref="LO770" start="0" length="0">
      <dxf/>
    </rfmt>
    <rfmt sheetId="2" sqref="LP770" start="0" length="0">
      <dxf/>
    </rfmt>
    <rfmt sheetId="2" sqref="LQ770" start="0" length="0">
      <dxf/>
    </rfmt>
    <rfmt sheetId="2" sqref="LR770" start="0" length="0">
      <dxf/>
    </rfmt>
    <rfmt sheetId="2" sqref="LS770" start="0" length="0">
      <dxf/>
    </rfmt>
    <rfmt sheetId="2" sqref="LT770" start="0" length="0">
      <dxf/>
    </rfmt>
    <rfmt sheetId="2" sqref="LU770" start="0" length="0">
      <dxf/>
    </rfmt>
    <rfmt sheetId="2" sqref="LV770" start="0" length="0">
      <dxf/>
    </rfmt>
    <rfmt sheetId="2" sqref="LW770" start="0" length="0">
      <dxf/>
    </rfmt>
    <rfmt sheetId="2" sqref="LX770" start="0" length="0">
      <dxf/>
    </rfmt>
    <rfmt sheetId="2" sqref="LY770" start="0" length="0">
      <dxf/>
    </rfmt>
    <rfmt sheetId="2" sqref="LZ770" start="0" length="0">
      <dxf/>
    </rfmt>
    <rfmt sheetId="2" sqref="MA770" start="0" length="0">
      <dxf/>
    </rfmt>
    <rfmt sheetId="2" sqref="MB770" start="0" length="0">
      <dxf/>
    </rfmt>
  </rm>
  <rrc rId="2249" sId="2" ref="A766:XFD766" action="deleteRow">
    <undo index="0" exp="area" ref3D="1" dr="$A$1:$A$1048576" dn="Z_D108A94F_96BE_4B2E_9408_7CE19DC55699_.wvu.Cols" sId="2"/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  <rfmt sheetId="2" xfDxf="1" sqref="A766:XFD766" start="0" length="0">
      <dxf>
        <font>
          <sz val="10"/>
          <name val="Arial"/>
          <scheme val="none"/>
        </font>
        <alignment horizontal="center" readingOrder="0"/>
      </dxf>
    </rfmt>
    <rfmt sheetId="2" sqref="A766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6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6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6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6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6" start="0" length="0">
      <dxf>
        <numFmt numFmtId="176" formatCode="m/d;@"/>
      </dxf>
    </rfmt>
    <rfmt sheetId="2" sqref="P766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6" start="0" length="0">
      <dxf/>
    </rfmt>
    <rfmt sheetId="2" sqref="U766" start="0" length="0">
      <dxf/>
    </rfmt>
    <rfmt sheetId="2" sqref="V766" start="0" length="0">
      <dxf/>
    </rfmt>
    <rfmt sheetId="2" sqref="W766" start="0" length="0">
      <dxf/>
    </rfmt>
    <rfmt sheetId="2" sqref="X766" start="0" length="0">
      <dxf/>
    </rfmt>
    <rfmt sheetId="2" sqref="Y766" start="0" length="0">
      <dxf/>
    </rfmt>
    <rfmt sheetId="2" sqref="Z766" start="0" length="0">
      <dxf/>
    </rfmt>
    <rfmt sheetId="2" sqref="AA766" start="0" length="0">
      <dxf/>
    </rfmt>
    <rfmt sheetId="2" sqref="AB766" start="0" length="0">
      <dxf/>
    </rfmt>
    <rfmt sheetId="2" sqref="AC766" start="0" length="0">
      <dxf/>
    </rfmt>
    <rfmt sheetId="2" sqref="AD766" start="0" length="0">
      <dxf/>
    </rfmt>
    <rfmt sheetId="2" sqref="AE766" start="0" length="0">
      <dxf/>
    </rfmt>
    <rfmt sheetId="2" sqref="AF766" start="0" length="0">
      <dxf/>
    </rfmt>
    <rfmt sheetId="2" sqref="AG766" start="0" length="0">
      <dxf/>
    </rfmt>
    <rfmt sheetId="2" sqref="AH766" start="0" length="0">
      <dxf/>
    </rfmt>
    <rfmt sheetId="2" sqref="AI766" start="0" length="0">
      <dxf/>
    </rfmt>
    <rfmt sheetId="2" sqref="AJ766" start="0" length="0">
      <dxf/>
    </rfmt>
    <rfmt sheetId="2" sqref="AK766" start="0" length="0">
      <dxf/>
    </rfmt>
    <rfmt sheetId="2" sqref="AL766" start="0" length="0">
      <dxf/>
    </rfmt>
    <rfmt sheetId="2" sqref="AM766" start="0" length="0">
      <dxf/>
    </rfmt>
    <rfmt sheetId="2" sqref="AN766" start="0" length="0">
      <dxf/>
    </rfmt>
    <rfmt sheetId="2" sqref="AO766" start="0" length="0">
      <dxf/>
    </rfmt>
    <rfmt sheetId="2" sqref="AP766" start="0" length="0">
      <dxf/>
    </rfmt>
    <rfmt sheetId="2" sqref="AQ766" start="0" length="0">
      <dxf/>
    </rfmt>
    <rfmt sheetId="2" sqref="AR766" start="0" length="0">
      <dxf/>
    </rfmt>
    <rfmt sheetId="2" sqref="AS766" start="0" length="0">
      <dxf/>
    </rfmt>
    <rfmt sheetId="2" sqref="AT766" start="0" length="0">
      <dxf/>
    </rfmt>
    <rfmt sheetId="2" sqref="AU766" start="0" length="0">
      <dxf/>
    </rfmt>
    <rfmt sheetId="2" sqref="AV766" start="0" length="0">
      <dxf/>
    </rfmt>
    <rfmt sheetId="2" sqref="AW766" start="0" length="0">
      <dxf/>
    </rfmt>
    <rfmt sheetId="2" sqref="AX766" start="0" length="0">
      <dxf/>
    </rfmt>
    <rfmt sheetId="2" sqref="AY766" start="0" length="0">
      <dxf/>
    </rfmt>
    <rfmt sheetId="2" sqref="AZ766" start="0" length="0">
      <dxf/>
    </rfmt>
    <rfmt sheetId="2" sqref="BA766" start="0" length="0">
      <dxf/>
    </rfmt>
    <rfmt sheetId="2" sqref="BB766" start="0" length="0">
      <dxf/>
    </rfmt>
    <rfmt sheetId="2" sqref="BC766" start="0" length="0">
      <dxf/>
    </rfmt>
    <rfmt sheetId="2" sqref="BD766" start="0" length="0">
      <dxf/>
    </rfmt>
    <rfmt sheetId="2" sqref="BE766" start="0" length="0">
      <dxf/>
    </rfmt>
    <rfmt sheetId="2" sqref="BF766" start="0" length="0">
      <dxf/>
    </rfmt>
    <rfmt sheetId="2" sqref="BG766" start="0" length="0">
      <dxf/>
    </rfmt>
    <rfmt sheetId="2" sqref="BH766" start="0" length="0">
      <dxf/>
    </rfmt>
    <rfmt sheetId="2" sqref="BI766" start="0" length="0">
      <dxf/>
    </rfmt>
    <rfmt sheetId="2" sqref="BJ766" start="0" length="0">
      <dxf/>
    </rfmt>
    <rfmt sheetId="2" sqref="BK766" start="0" length="0">
      <dxf/>
    </rfmt>
    <rfmt sheetId="2" sqref="BL766" start="0" length="0">
      <dxf/>
    </rfmt>
    <rfmt sheetId="2" sqref="BM766" start="0" length="0">
      <dxf/>
    </rfmt>
    <rfmt sheetId="2" sqref="BN766" start="0" length="0">
      <dxf/>
    </rfmt>
    <rfmt sheetId="2" sqref="BO766" start="0" length="0">
      <dxf/>
    </rfmt>
    <rfmt sheetId="2" sqref="BP766" start="0" length="0">
      <dxf/>
    </rfmt>
    <rfmt sheetId="2" sqref="BQ766" start="0" length="0">
      <dxf/>
    </rfmt>
    <rfmt sheetId="2" sqref="BR766" start="0" length="0">
      <dxf/>
    </rfmt>
    <rfmt sheetId="2" sqref="BS766" start="0" length="0">
      <dxf/>
    </rfmt>
    <rfmt sheetId="2" sqref="BT766" start="0" length="0">
      <dxf/>
    </rfmt>
    <rfmt sheetId="2" sqref="BU766" start="0" length="0">
      <dxf/>
    </rfmt>
    <rfmt sheetId="2" sqref="BV766" start="0" length="0">
      <dxf/>
    </rfmt>
    <rfmt sheetId="2" sqref="BW766" start="0" length="0">
      <dxf/>
    </rfmt>
    <rfmt sheetId="2" sqref="BX766" start="0" length="0">
      <dxf/>
    </rfmt>
    <rfmt sheetId="2" sqref="BY766" start="0" length="0">
      <dxf/>
    </rfmt>
    <rfmt sheetId="2" sqref="BZ766" start="0" length="0">
      <dxf/>
    </rfmt>
    <rfmt sheetId="2" sqref="CA766" start="0" length="0">
      <dxf/>
    </rfmt>
    <rfmt sheetId="2" sqref="CB766" start="0" length="0">
      <dxf/>
    </rfmt>
    <rfmt sheetId="2" sqref="CC766" start="0" length="0">
      <dxf/>
    </rfmt>
    <rfmt sheetId="2" sqref="CD766" start="0" length="0">
      <dxf/>
    </rfmt>
    <rfmt sheetId="2" sqref="CE766" start="0" length="0">
      <dxf/>
    </rfmt>
    <rfmt sheetId="2" sqref="CF766" start="0" length="0">
      <dxf/>
    </rfmt>
    <rfmt sheetId="2" sqref="CG766" start="0" length="0">
      <dxf/>
    </rfmt>
    <rfmt sheetId="2" sqref="CH766" start="0" length="0">
      <dxf/>
    </rfmt>
    <rfmt sheetId="2" sqref="CI766" start="0" length="0">
      <dxf/>
    </rfmt>
    <rfmt sheetId="2" sqref="CJ766" start="0" length="0">
      <dxf/>
    </rfmt>
    <rfmt sheetId="2" sqref="CK766" start="0" length="0">
      <dxf/>
    </rfmt>
    <rfmt sheetId="2" sqref="CL766" start="0" length="0">
      <dxf/>
    </rfmt>
    <rfmt sheetId="2" sqref="CM766" start="0" length="0">
      <dxf/>
    </rfmt>
    <rfmt sheetId="2" sqref="CN766" start="0" length="0">
      <dxf/>
    </rfmt>
    <rfmt sheetId="2" sqref="CO766" start="0" length="0">
      <dxf/>
    </rfmt>
    <rfmt sheetId="2" sqref="CP766" start="0" length="0">
      <dxf/>
    </rfmt>
    <rfmt sheetId="2" sqref="CQ766" start="0" length="0">
      <dxf/>
    </rfmt>
    <rfmt sheetId="2" sqref="CR766" start="0" length="0">
      <dxf/>
    </rfmt>
    <rfmt sheetId="2" sqref="CS766" start="0" length="0">
      <dxf/>
    </rfmt>
    <rfmt sheetId="2" sqref="CT766" start="0" length="0">
      <dxf/>
    </rfmt>
    <rfmt sheetId="2" sqref="CU766" start="0" length="0">
      <dxf/>
    </rfmt>
    <rfmt sheetId="2" sqref="CV766" start="0" length="0">
      <dxf/>
    </rfmt>
    <rfmt sheetId="2" sqref="CW766" start="0" length="0">
      <dxf/>
    </rfmt>
    <rfmt sheetId="2" sqref="CX766" start="0" length="0">
      <dxf/>
    </rfmt>
    <rfmt sheetId="2" sqref="CY766" start="0" length="0">
      <dxf/>
    </rfmt>
    <rfmt sheetId="2" sqref="CZ766" start="0" length="0">
      <dxf/>
    </rfmt>
    <rfmt sheetId="2" sqref="DA766" start="0" length="0">
      <dxf/>
    </rfmt>
    <rfmt sheetId="2" sqref="DB766" start="0" length="0">
      <dxf/>
    </rfmt>
    <rfmt sheetId="2" sqref="DC766" start="0" length="0">
      <dxf/>
    </rfmt>
    <rfmt sheetId="2" sqref="DD766" start="0" length="0">
      <dxf/>
    </rfmt>
    <rfmt sheetId="2" sqref="DE766" start="0" length="0">
      <dxf/>
    </rfmt>
    <rfmt sheetId="2" sqref="DF766" start="0" length="0">
      <dxf/>
    </rfmt>
    <rfmt sheetId="2" sqref="DG766" start="0" length="0">
      <dxf/>
    </rfmt>
    <rfmt sheetId="2" sqref="DH766" start="0" length="0">
      <dxf/>
    </rfmt>
    <rfmt sheetId="2" sqref="DI766" start="0" length="0">
      <dxf/>
    </rfmt>
    <rfmt sheetId="2" sqref="DJ766" start="0" length="0">
      <dxf/>
    </rfmt>
    <rfmt sheetId="2" sqref="DK766" start="0" length="0">
      <dxf/>
    </rfmt>
    <rfmt sheetId="2" sqref="DL766" start="0" length="0">
      <dxf/>
    </rfmt>
    <rfmt sheetId="2" sqref="DM766" start="0" length="0">
      <dxf/>
    </rfmt>
    <rfmt sheetId="2" sqref="DN766" start="0" length="0">
      <dxf/>
    </rfmt>
    <rfmt sheetId="2" sqref="DO766" start="0" length="0">
      <dxf/>
    </rfmt>
    <rfmt sheetId="2" sqref="DP766" start="0" length="0">
      <dxf/>
    </rfmt>
    <rfmt sheetId="2" sqref="DQ766" start="0" length="0">
      <dxf/>
    </rfmt>
    <rfmt sheetId="2" sqref="DR766" start="0" length="0">
      <dxf/>
    </rfmt>
    <rfmt sheetId="2" sqref="DS766" start="0" length="0">
      <dxf/>
    </rfmt>
    <rfmt sheetId="2" sqref="DT766" start="0" length="0">
      <dxf/>
    </rfmt>
    <rfmt sheetId="2" sqref="DU766" start="0" length="0">
      <dxf/>
    </rfmt>
    <rfmt sheetId="2" sqref="DV766" start="0" length="0">
      <dxf/>
    </rfmt>
    <rfmt sheetId="2" sqref="DW766" start="0" length="0">
      <dxf/>
    </rfmt>
    <rfmt sheetId="2" sqref="DX766" start="0" length="0">
      <dxf/>
    </rfmt>
    <rfmt sheetId="2" sqref="DY766" start="0" length="0">
      <dxf/>
    </rfmt>
    <rfmt sheetId="2" sqref="DZ766" start="0" length="0">
      <dxf/>
    </rfmt>
    <rfmt sheetId="2" sqref="EA766" start="0" length="0">
      <dxf/>
    </rfmt>
    <rfmt sheetId="2" sqref="EB766" start="0" length="0">
      <dxf/>
    </rfmt>
    <rfmt sheetId="2" sqref="EC766" start="0" length="0">
      <dxf/>
    </rfmt>
    <rfmt sheetId="2" sqref="ED766" start="0" length="0">
      <dxf/>
    </rfmt>
    <rfmt sheetId="2" sqref="EE766" start="0" length="0">
      <dxf/>
    </rfmt>
    <rfmt sheetId="2" sqref="EF766" start="0" length="0">
      <dxf/>
    </rfmt>
    <rfmt sheetId="2" sqref="EG766" start="0" length="0">
      <dxf/>
    </rfmt>
    <rfmt sheetId="2" sqref="EH766" start="0" length="0">
      <dxf/>
    </rfmt>
    <rfmt sheetId="2" sqref="EI766" start="0" length="0">
      <dxf/>
    </rfmt>
    <rfmt sheetId="2" sqref="EJ766" start="0" length="0">
      <dxf/>
    </rfmt>
    <rfmt sheetId="2" sqref="EK766" start="0" length="0">
      <dxf/>
    </rfmt>
    <rfmt sheetId="2" sqref="EL766" start="0" length="0">
      <dxf/>
    </rfmt>
    <rfmt sheetId="2" sqref="EM766" start="0" length="0">
      <dxf/>
    </rfmt>
    <rfmt sheetId="2" sqref="EN766" start="0" length="0">
      <dxf/>
    </rfmt>
    <rfmt sheetId="2" sqref="EO766" start="0" length="0">
      <dxf/>
    </rfmt>
    <rfmt sheetId="2" sqref="EP766" start="0" length="0">
      <dxf/>
    </rfmt>
    <rfmt sheetId="2" sqref="EQ766" start="0" length="0">
      <dxf/>
    </rfmt>
    <rfmt sheetId="2" sqref="ER766" start="0" length="0">
      <dxf/>
    </rfmt>
    <rfmt sheetId="2" sqref="ES766" start="0" length="0">
      <dxf/>
    </rfmt>
    <rfmt sheetId="2" sqref="ET766" start="0" length="0">
      <dxf/>
    </rfmt>
    <rfmt sheetId="2" sqref="EU766" start="0" length="0">
      <dxf/>
    </rfmt>
    <rfmt sheetId="2" sqref="EV766" start="0" length="0">
      <dxf/>
    </rfmt>
    <rfmt sheetId="2" sqref="EW766" start="0" length="0">
      <dxf/>
    </rfmt>
    <rfmt sheetId="2" sqref="EX766" start="0" length="0">
      <dxf/>
    </rfmt>
    <rfmt sheetId="2" sqref="EY766" start="0" length="0">
      <dxf/>
    </rfmt>
    <rfmt sheetId="2" sqref="EZ766" start="0" length="0">
      <dxf/>
    </rfmt>
    <rfmt sheetId="2" sqref="FA766" start="0" length="0">
      <dxf/>
    </rfmt>
    <rfmt sheetId="2" sqref="FB766" start="0" length="0">
      <dxf/>
    </rfmt>
    <rfmt sheetId="2" sqref="FC766" start="0" length="0">
      <dxf/>
    </rfmt>
    <rfmt sheetId="2" sqref="FD766" start="0" length="0">
      <dxf/>
    </rfmt>
    <rfmt sheetId="2" sqref="FE766" start="0" length="0">
      <dxf/>
    </rfmt>
    <rfmt sheetId="2" sqref="FF766" start="0" length="0">
      <dxf/>
    </rfmt>
    <rfmt sheetId="2" sqref="FG766" start="0" length="0">
      <dxf/>
    </rfmt>
    <rfmt sheetId="2" sqref="FH766" start="0" length="0">
      <dxf/>
    </rfmt>
    <rfmt sheetId="2" sqref="FI766" start="0" length="0">
      <dxf/>
    </rfmt>
    <rfmt sheetId="2" sqref="FJ766" start="0" length="0">
      <dxf/>
    </rfmt>
    <rfmt sheetId="2" sqref="FK766" start="0" length="0">
      <dxf/>
    </rfmt>
    <rfmt sheetId="2" sqref="FL766" start="0" length="0">
      <dxf/>
    </rfmt>
    <rfmt sheetId="2" sqref="FM766" start="0" length="0">
      <dxf/>
    </rfmt>
    <rfmt sheetId="2" sqref="FN766" start="0" length="0">
      <dxf/>
    </rfmt>
    <rfmt sheetId="2" sqref="FO766" start="0" length="0">
      <dxf/>
    </rfmt>
    <rfmt sheetId="2" sqref="FP766" start="0" length="0">
      <dxf/>
    </rfmt>
    <rfmt sheetId="2" sqref="FQ766" start="0" length="0">
      <dxf/>
    </rfmt>
    <rfmt sheetId="2" sqref="FR766" start="0" length="0">
      <dxf/>
    </rfmt>
    <rfmt sheetId="2" sqref="FS766" start="0" length="0">
      <dxf/>
    </rfmt>
    <rfmt sheetId="2" sqref="FT766" start="0" length="0">
      <dxf/>
    </rfmt>
    <rfmt sheetId="2" sqref="FU766" start="0" length="0">
      <dxf/>
    </rfmt>
    <rfmt sheetId="2" sqref="FV766" start="0" length="0">
      <dxf/>
    </rfmt>
    <rfmt sheetId="2" sqref="FW766" start="0" length="0">
      <dxf/>
    </rfmt>
    <rfmt sheetId="2" sqref="FX766" start="0" length="0">
      <dxf/>
    </rfmt>
    <rfmt sheetId="2" sqref="FY766" start="0" length="0">
      <dxf/>
    </rfmt>
    <rfmt sheetId="2" sqref="FZ766" start="0" length="0">
      <dxf/>
    </rfmt>
    <rfmt sheetId="2" sqref="GA766" start="0" length="0">
      <dxf/>
    </rfmt>
    <rfmt sheetId="2" sqref="GB766" start="0" length="0">
      <dxf/>
    </rfmt>
    <rfmt sheetId="2" sqref="GC766" start="0" length="0">
      <dxf/>
    </rfmt>
    <rfmt sheetId="2" sqref="GD766" start="0" length="0">
      <dxf/>
    </rfmt>
    <rfmt sheetId="2" sqref="GE766" start="0" length="0">
      <dxf/>
    </rfmt>
    <rfmt sheetId="2" sqref="GF766" start="0" length="0">
      <dxf/>
    </rfmt>
    <rfmt sheetId="2" sqref="GG766" start="0" length="0">
      <dxf/>
    </rfmt>
    <rfmt sheetId="2" sqref="GH766" start="0" length="0">
      <dxf/>
    </rfmt>
    <rfmt sheetId="2" sqref="GI766" start="0" length="0">
      <dxf/>
    </rfmt>
    <rfmt sheetId="2" sqref="GJ766" start="0" length="0">
      <dxf/>
    </rfmt>
    <rfmt sheetId="2" sqref="GK766" start="0" length="0">
      <dxf/>
    </rfmt>
    <rfmt sheetId="2" sqref="GL766" start="0" length="0">
      <dxf/>
    </rfmt>
    <rfmt sheetId="2" sqref="GM766" start="0" length="0">
      <dxf/>
    </rfmt>
    <rfmt sheetId="2" sqref="GN766" start="0" length="0">
      <dxf/>
    </rfmt>
    <rfmt sheetId="2" sqref="GO766" start="0" length="0">
      <dxf/>
    </rfmt>
    <rfmt sheetId="2" sqref="GP766" start="0" length="0">
      <dxf/>
    </rfmt>
    <rfmt sheetId="2" sqref="GQ766" start="0" length="0">
      <dxf/>
    </rfmt>
    <rfmt sheetId="2" sqref="GR766" start="0" length="0">
      <dxf/>
    </rfmt>
    <rfmt sheetId="2" sqref="GS766" start="0" length="0">
      <dxf/>
    </rfmt>
    <rfmt sheetId="2" sqref="GT766" start="0" length="0">
      <dxf/>
    </rfmt>
    <rfmt sheetId="2" sqref="GU766" start="0" length="0">
      <dxf/>
    </rfmt>
    <rfmt sheetId="2" sqref="GV766" start="0" length="0">
      <dxf/>
    </rfmt>
    <rfmt sheetId="2" sqref="GW766" start="0" length="0">
      <dxf/>
    </rfmt>
    <rfmt sheetId="2" sqref="GX766" start="0" length="0">
      <dxf/>
    </rfmt>
    <rfmt sheetId="2" sqref="GY766" start="0" length="0">
      <dxf/>
    </rfmt>
    <rfmt sheetId="2" sqref="GZ766" start="0" length="0">
      <dxf/>
    </rfmt>
    <rfmt sheetId="2" sqref="HA766" start="0" length="0">
      <dxf/>
    </rfmt>
    <rfmt sheetId="2" sqref="HB766" start="0" length="0">
      <dxf/>
    </rfmt>
    <rfmt sheetId="2" sqref="HC766" start="0" length="0">
      <dxf/>
    </rfmt>
    <rfmt sheetId="2" sqref="HD766" start="0" length="0">
      <dxf/>
    </rfmt>
    <rfmt sheetId="2" sqref="HE766" start="0" length="0">
      <dxf/>
    </rfmt>
    <rfmt sheetId="2" sqref="HF766" start="0" length="0">
      <dxf/>
    </rfmt>
    <rfmt sheetId="2" sqref="HG766" start="0" length="0">
      <dxf/>
    </rfmt>
    <rfmt sheetId="2" sqref="HH766" start="0" length="0">
      <dxf/>
    </rfmt>
    <rfmt sheetId="2" sqref="HI766" start="0" length="0">
      <dxf/>
    </rfmt>
    <rfmt sheetId="2" sqref="HJ766" start="0" length="0">
      <dxf/>
    </rfmt>
    <rfmt sheetId="2" sqref="HK766" start="0" length="0">
      <dxf/>
    </rfmt>
    <rfmt sheetId="2" sqref="HL766" start="0" length="0">
      <dxf/>
    </rfmt>
    <rfmt sheetId="2" sqref="HM766" start="0" length="0">
      <dxf/>
    </rfmt>
    <rfmt sheetId="2" sqref="HN766" start="0" length="0">
      <dxf/>
    </rfmt>
    <rfmt sheetId="2" sqref="HO766" start="0" length="0">
      <dxf/>
    </rfmt>
    <rfmt sheetId="2" sqref="HP766" start="0" length="0">
      <dxf/>
    </rfmt>
    <rfmt sheetId="2" sqref="HQ766" start="0" length="0">
      <dxf/>
    </rfmt>
    <rfmt sheetId="2" sqref="HR766" start="0" length="0">
      <dxf/>
    </rfmt>
    <rfmt sheetId="2" sqref="HS766" start="0" length="0">
      <dxf/>
    </rfmt>
    <rfmt sheetId="2" sqref="HT766" start="0" length="0">
      <dxf/>
    </rfmt>
    <rfmt sheetId="2" sqref="HU766" start="0" length="0">
      <dxf/>
    </rfmt>
    <rfmt sheetId="2" sqref="HV766" start="0" length="0">
      <dxf/>
    </rfmt>
    <rfmt sheetId="2" sqref="HW766" start="0" length="0">
      <dxf/>
    </rfmt>
    <rfmt sheetId="2" sqref="HX766" start="0" length="0">
      <dxf/>
    </rfmt>
    <rfmt sheetId="2" sqref="HY766" start="0" length="0">
      <dxf/>
    </rfmt>
    <rfmt sheetId="2" sqref="HZ766" start="0" length="0">
      <dxf/>
    </rfmt>
    <rfmt sheetId="2" sqref="IA766" start="0" length="0">
      <dxf/>
    </rfmt>
    <rfmt sheetId="2" sqref="IB766" start="0" length="0">
      <dxf/>
    </rfmt>
    <rfmt sheetId="2" sqref="IC766" start="0" length="0">
      <dxf/>
    </rfmt>
    <rfmt sheetId="2" sqref="ID766" start="0" length="0">
      <dxf/>
    </rfmt>
    <rfmt sheetId="2" sqref="IE766" start="0" length="0">
      <dxf/>
    </rfmt>
    <rfmt sheetId="2" sqref="IF766" start="0" length="0">
      <dxf/>
    </rfmt>
    <rfmt sheetId="2" sqref="IG766" start="0" length="0">
      <dxf/>
    </rfmt>
    <rfmt sheetId="2" sqref="IH766" start="0" length="0">
      <dxf/>
    </rfmt>
    <rfmt sheetId="2" sqref="II766" start="0" length="0">
      <dxf/>
    </rfmt>
    <rfmt sheetId="2" sqref="IJ766" start="0" length="0">
      <dxf/>
    </rfmt>
    <rfmt sheetId="2" sqref="IK766" start="0" length="0">
      <dxf/>
    </rfmt>
    <rfmt sheetId="2" sqref="IL766" start="0" length="0">
      <dxf/>
    </rfmt>
    <rfmt sheetId="2" sqref="IM766" start="0" length="0">
      <dxf/>
    </rfmt>
    <rfmt sheetId="2" sqref="IN766" start="0" length="0">
      <dxf/>
    </rfmt>
    <rfmt sheetId="2" sqref="IO766" start="0" length="0">
      <dxf/>
    </rfmt>
    <rfmt sheetId="2" sqref="IP766" start="0" length="0">
      <dxf/>
    </rfmt>
    <rfmt sheetId="2" sqref="IQ766" start="0" length="0">
      <dxf/>
    </rfmt>
    <rfmt sheetId="2" sqref="IR766" start="0" length="0">
      <dxf/>
    </rfmt>
    <rfmt sheetId="2" sqref="IS766" start="0" length="0">
      <dxf/>
    </rfmt>
    <rfmt sheetId="2" sqref="IT766" start="0" length="0">
      <dxf/>
    </rfmt>
    <rfmt sheetId="2" sqref="IU766" start="0" length="0">
      <dxf/>
    </rfmt>
    <rfmt sheetId="2" sqref="IV766" start="0" length="0">
      <dxf/>
    </rfmt>
    <rfmt sheetId="2" sqref="IW766" start="0" length="0">
      <dxf/>
    </rfmt>
    <rfmt sheetId="2" sqref="IX766" start="0" length="0">
      <dxf/>
    </rfmt>
    <rfmt sheetId="2" sqref="IY766" start="0" length="0">
      <dxf/>
    </rfmt>
    <rfmt sheetId="2" sqref="IZ766" start="0" length="0">
      <dxf/>
    </rfmt>
    <rfmt sheetId="2" sqref="JA766" start="0" length="0">
      <dxf/>
    </rfmt>
    <rfmt sheetId="2" sqref="JB766" start="0" length="0">
      <dxf/>
    </rfmt>
    <rfmt sheetId="2" sqref="JC766" start="0" length="0">
      <dxf/>
    </rfmt>
    <rfmt sheetId="2" sqref="JD766" start="0" length="0">
      <dxf/>
    </rfmt>
    <rfmt sheetId="2" sqref="JE766" start="0" length="0">
      <dxf/>
    </rfmt>
    <rfmt sheetId="2" sqref="JF766" start="0" length="0">
      <dxf/>
    </rfmt>
    <rfmt sheetId="2" sqref="JG766" start="0" length="0">
      <dxf/>
    </rfmt>
    <rfmt sheetId="2" sqref="JH766" start="0" length="0">
      <dxf/>
    </rfmt>
    <rfmt sheetId="2" sqref="JI766" start="0" length="0">
      <dxf/>
    </rfmt>
    <rfmt sheetId="2" sqref="JJ766" start="0" length="0">
      <dxf/>
    </rfmt>
    <rfmt sheetId="2" sqref="JK766" start="0" length="0">
      <dxf/>
    </rfmt>
    <rfmt sheetId="2" sqref="JL766" start="0" length="0">
      <dxf/>
    </rfmt>
    <rfmt sheetId="2" sqref="JM766" start="0" length="0">
      <dxf/>
    </rfmt>
    <rfmt sheetId="2" sqref="JN766" start="0" length="0">
      <dxf/>
    </rfmt>
    <rfmt sheetId="2" sqref="JO766" start="0" length="0">
      <dxf/>
    </rfmt>
    <rfmt sheetId="2" sqref="JP766" start="0" length="0">
      <dxf/>
    </rfmt>
    <rfmt sheetId="2" sqref="JQ766" start="0" length="0">
      <dxf/>
    </rfmt>
    <rfmt sheetId="2" sqref="JR766" start="0" length="0">
      <dxf/>
    </rfmt>
    <rfmt sheetId="2" sqref="JS766" start="0" length="0">
      <dxf/>
    </rfmt>
    <rfmt sheetId="2" sqref="JT766" start="0" length="0">
      <dxf/>
    </rfmt>
    <rfmt sheetId="2" sqref="JU766" start="0" length="0">
      <dxf/>
    </rfmt>
    <rfmt sheetId="2" sqref="JV766" start="0" length="0">
      <dxf/>
    </rfmt>
    <rfmt sheetId="2" sqref="JW766" start="0" length="0">
      <dxf/>
    </rfmt>
    <rfmt sheetId="2" sqref="JX766" start="0" length="0">
      <dxf/>
    </rfmt>
    <rfmt sheetId="2" sqref="JY766" start="0" length="0">
      <dxf/>
    </rfmt>
    <rfmt sheetId="2" sqref="JZ766" start="0" length="0">
      <dxf/>
    </rfmt>
    <rfmt sheetId="2" sqref="KA766" start="0" length="0">
      <dxf/>
    </rfmt>
    <rfmt sheetId="2" sqref="KB766" start="0" length="0">
      <dxf/>
    </rfmt>
    <rfmt sheetId="2" sqref="KC766" start="0" length="0">
      <dxf/>
    </rfmt>
    <rfmt sheetId="2" sqref="KD766" start="0" length="0">
      <dxf/>
    </rfmt>
    <rfmt sheetId="2" sqref="KE766" start="0" length="0">
      <dxf/>
    </rfmt>
    <rfmt sheetId="2" sqref="KF766" start="0" length="0">
      <dxf/>
    </rfmt>
    <rfmt sheetId="2" sqref="KG766" start="0" length="0">
      <dxf/>
    </rfmt>
    <rfmt sheetId="2" sqref="KH766" start="0" length="0">
      <dxf/>
    </rfmt>
    <rfmt sheetId="2" sqref="KI766" start="0" length="0">
      <dxf/>
    </rfmt>
    <rfmt sheetId="2" sqref="KJ766" start="0" length="0">
      <dxf/>
    </rfmt>
    <rfmt sheetId="2" sqref="KK766" start="0" length="0">
      <dxf/>
    </rfmt>
    <rfmt sheetId="2" sqref="KL766" start="0" length="0">
      <dxf/>
    </rfmt>
    <rfmt sheetId="2" sqref="KM766" start="0" length="0">
      <dxf/>
    </rfmt>
    <rfmt sheetId="2" sqref="KN766" start="0" length="0">
      <dxf/>
    </rfmt>
    <rfmt sheetId="2" sqref="KO766" start="0" length="0">
      <dxf/>
    </rfmt>
    <rfmt sheetId="2" sqref="KP766" start="0" length="0">
      <dxf/>
    </rfmt>
    <rfmt sheetId="2" sqref="KQ766" start="0" length="0">
      <dxf/>
    </rfmt>
    <rfmt sheetId="2" sqref="KR766" start="0" length="0">
      <dxf/>
    </rfmt>
    <rfmt sheetId="2" sqref="KS766" start="0" length="0">
      <dxf/>
    </rfmt>
    <rfmt sheetId="2" sqref="KT766" start="0" length="0">
      <dxf/>
    </rfmt>
    <rfmt sheetId="2" sqref="KU766" start="0" length="0">
      <dxf/>
    </rfmt>
    <rfmt sheetId="2" sqref="KV766" start="0" length="0">
      <dxf/>
    </rfmt>
    <rfmt sheetId="2" sqref="KW766" start="0" length="0">
      <dxf/>
    </rfmt>
    <rfmt sheetId="2" sqref="KX766" start="0" length="0">
      <dxf/>
    </rfmt>
    <rfmt sheetId="2" sqref="KY766" start="0" length="0">
      <dxf/>
    </rfmt>
    <rfmt sheetId="2" sqref="KZ766" start="0" length="0">
      <dxf/>
    </rfmt>
    <rfmt sheetId="2" sqref="LA766" start="0" length="0">
      <dxf/>
    </rfmt>
    <rfmt sheetId="2" sqref="LB766" start="0" length="0">
      <dxf/>
    </rfmt>
    <rfmt sheetId="2" sqref="LC766" start="0" length="0">
      <dxf/>
    </rfmt>
    <rfmt sheetId="2" sqref="LD766" start="0" length="0">
      <dxf/>
    </rfmt>
    <rfmt sheetId="2" sqref="LE766" start="0" length="0">
      <dxf/>
    </rfmt>
    <rfmt sheetId="2" sqref="LF766" start="0" length="0">
      <dxf/>
    </rfmt>
    <rfmt sheetId="2" sqref="LG766" start="0" length="0">
      <dxf/>
    </rfmt>
    <rfmt sheetId="2" sqref="LH766" start="0" length="0">
      <dxf/>
    </rfmt>
    <rfmt sheetId="2" sqref="LI766" start="0" length="0">
      <dxf/>
    </rfmt>
    <rfmt sheetId="2" sqref="LJ766" start="0" length="0">
      <dxf/>
    </rfmt>
    <rfmt sheetId="2" sqref="LK766" start="0" length="0">
      <dxf/>
    </rfmt>
    <rfmt sheetId="2" sqref="LL766" start="0" length="0">
      <dxf/>
    </rfmt>
    <rfmt sheetId="2" sqref="LM766" start="0" length="0">
      <dxf/>
    </rfmt>
    <rfmt sheetId="2" sqref="LN766" start="0" length="0">
      <dxf/>
    </rfmt>
    <rfmt sheetId="2" sqref="LO766" start="0" length="0">
      <dxf/>
    </rfmt>
    <rfmt sheetId="2" sqref="LP766" start="0" length="0">
      <dxf/>
    </rfmt>
    <rfmt sheetId="2" sqref="LQ766" start="0" length="0">
      <dxf/>
    </rfmt>
    <rfmt sheetId="2" sqref="LR766" start="0" length="0">
      <dxf/>
    </rfmt>
    <rfmt sheetId="2" sqref="LS766" start="0" length="0">
      <dxf/>
    </rfmt>
    <rfmt sheetId="2" sqref="LT766" start="0" length="0">
      <dxf/>
    </rfmt>
    <rfmt sheetId="2" sqref="LU766" start="0" length="0">
      <dxf/>
    </rfmt>
    <rfmt sheetId="2" sqref="LV766" start="0" length="0">
      <dxf/>
    </rfmt>
    <rfmt sheetId="2" sqref="LW766" start="0" length="0">
      <dxf/>
    </rfmt>
    <rfmt sheetId="2" sqref="LX766" start="0" length="0">
      <dxf/>
    </rfmt>
    <rfmt sheetId="2" sqref="LY766" start="0" length="0">
      <dxf/>
    </rfmt>
    <rfmt sheetId="2" sqref="LZ766" start="0" length="0">
      <dxf/>
    </rfmt>
    <rfmt sheetId="2" sqref="MA766" start="0" length="0">
      <dxf/>
    </rfmt>
    <rfmt sheetId="2" sqref="MB766" start="0" length="0">
      <dxf/>
    </rfmt>
  </rrc>
  <rcc rId="2250" sId="2" numFmtId="19">
    <oc r="B769">
      <v>46279</v>
    </oc>
    <nc r="B769">
      <v>46280</v>
    </nc>
  </rcc>
  <rfmt sheetId="2" sqref="B769" start="0" length="2147483647">
    <dxf>
      <font>
        <color rgb="FFFF0000"/>
      </font>
    </dxf>
  </rfmt>
  <rcv guid="{D108A94F-96BE-4B2E-9408-7CE19DC55699}" action="delete"/>
  <rdn rId="0" localSheetId="1" customView="1" name="Z_D108A94F_96BE_4B2E_9408_7CE19DC55699_.wvu.PrintArea" hidden="1" oldHidden="1">
    <formula>'IPAHQ(TANK)-竹科'!$A$1:$Q$2</formula>
    <oldFormula>'IPAHQ(TANK)-竹科'!$A$1:$Q$2</oldFormula>
  </rdn>
  <rdn rId="0" localSheetId="1" customView="1" name="Z_D108A94F_96BE_4B2E_9408_7CE19DC55699_.wvu.Cols" hidden="1" oldHidden="1">
    <formula>'IPAHQ(TANK)-竹科'!$A:$A</formula>
    <oldFormula>'IPAHQ(TANK)-竹科'!$A:$A</oldFormula>
  </rdn>
  <rdn rId="0" localSheetId="1" customView="1" name="Z_D108A94F_96BE_4B2E_9408_7CE19DC55699_.wvu.FilterData" hidden="1" oldHidden="1">
    <formula>'IPAHQ(TANK)-竹科'!$A$2:$T$181</formula>
    <oldFormula>'IPAHQ(TANK)-竹科'!$A$2:$T$181</oldFormula>
  </rdn>
  <rdn rId="0" localSheetId="2" customView="1" name="Z_D108A94F_96BE_4B2E_9408_7CE19DC55699_.wvu.PrintArea" hidden="1" oldHidden="1">
    <formula>'IPAHQ(TANK)-中科'!$A$1:$P$2</formula>
    <oldFormula>'IPAHQ(TANK)-中科'!$A$1:$P$2</oldFormula>
  </rdn>
  <rdn rId="0" localSheetId="2" customView="1" name="Z_D108A94F_96BE_4B2E_9408_7CE19DC55699_.wvu.Rows" hidden="1" oldHidden="1">
    <formula>'IPAHQ(TANK)-中科'!$760:$760</formula>
    <oldFormula>'IPAHQ(TANK)-中科'!$760:$760</oldFormula>
  </rdn>
  <rdn rId="0" localSheetId="2" customView="1" name="Z_D108A94F_96BE_4B2E_9408_7CE19DC55699_.wvu.Cols" hidden="1" oldHidden="1">
    <formula>'IPAHQ(TANK)-中科'!$A:$A</formula>
    <oldFormula>'IPAHQ(TANK)-中科'!$A:$A</oldFormula>
  </rdn>
  <rdn rId="0" localSheetId="2" customView="1" name="Z_D108A94F_96BE_4B2E_9408_7CE19DC55699_.wvu.FilterData" hidden="1" oldHidden="1">
    <formula>'IPAHQ(TANK)-中科'!$A$2:$S$906</formula>
    <oldFormula>'IPAHQ(TANK)-中科'!$A$2:$S$906</oldFormula>
  </rdn>
  <rdn rId="0" localSheetId="3" customView="1" name="Z_D108A94F_96BE_4B2E_9408_7CE19DC55699_.wvu.PrintArea" hidden="1" oldHidden="1">
    <formula>'IPAHQ(TANK)-12P3'!$A$1:$Q$2</formula>
    <oldFormula>'IPAHQ(TANK)-12P3'!$A$1:$Q$2</oldFormula>
  </rdn>
  <rdn rId="0" localSheetId="3" customView="1" name="Z_D108A94F_96BE_4B2E_9408_7CE19DC55699_.wvu.Cols" hidden="1" oldHidden="1">
    <formula>'IPAHQ(TANK)-12P3'!$A:$A</formula>
    <oldFormula>'IPAHQ(TANK)-12P3'!$A:$A</oldFormula>
  </rdn>
  <rdn rId="0" localSheetId="3" customView="1" name="Z_D108A94F_96BE_4B2E_9408_7CE19DC55699_.wvu.FilterData" hidden="1" oldHidden="1">
    <formula>'IPAHQ(TANK)-12P3'!$A$2:$T$22</formula>
    <oldFormula>'IPAHQ(TANK)-12P3'!$A$2:$T$22</oldFormula>
  </rdn>
  <rdn rId="0" localSheetId="4" customView="1" name="Z_D108A94F_96BE_4B2E_9408_7CE19DC55699_.wvu.PrintArea" hidden="1" oldHidden="1">
    <formula>'IPAHQ(TANK)-南科'!$A$1:$P$2</formula>
    <oldFormula>'IPAHQ(TANK)-南科'!$A$1:$P$2</oldFormula>
  </rdn>
  <rdn rId="0" localSheetId="4" customView="1" name="Z_D108A94F_96BE_4B2E_9408_7CE19DC55699_.wvu.Cols" hidden="1" oldHidden="1">
    <formula>'IPAHQ(TANK)-南科'!$A:$A</formula>
    <oldFormula>'IPAHQ(TANK)-南科'!$A:$A</oldFormula>
  </rdn>
  <rdn rId="0" localSheetId="4" customView="1" name="Z_D108A94F_96BE_4B2E_9408_7CE19DC55699_.wvu.FilterData" hidden="1" oldHidden="1">
    <formula>'IPAHQ(TANK)-南科'!$A$2:$S$191</formula>
    <oldFormula>'IPAHQ(TANK)-南科'!$A$2:$S$191</oldFormula>
  </rdn>
  <rcv guid="{D108A94F-96BE-4B2E-9408-7CE19DC55699}" action="add"/>
</revisions>
</file>

<file path=xl/revisions/revisionLog10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4" sId="2">
    <nc r="C763" t="inlineStr">
      <is>
        <t>26910E44J1</t>
        <phoneticPr fontId="0" type="noConversion"/>
      </is>
    </nc>
  </rcc>
  <rcc rId="2265" sId="2" numFmtId="25">
    <nc r="N763">
      <v>0</v>
    </nc>
  </rcc>
  <rcc rId="2266" sId="4" numFmtId="25">
    <nc r="N167">
      <v>4.1666666666666664E-2</v>
    </nc>
  </rcc>
  <rcc rId="2267" sId="4">
    <nc r="C167" t="inlineStr">
      <is>
        <t>26910E3191</t>
        <phoneticPr fontId="0" type="noConversion"/>
      </is>
    </nc>
  </rcc>
</revisions>
</file>

<file path=xl/revisions/revisionLog1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68" sId="4">
    <oc r="G167" t="inlineStr">
      <is>
        <t>4800388490/100</t>
        <phoneticPr fontId="0" type="noConversion"/>
      </is>
    </oc>
    <nc r="G167" t="inlineStr">
      <is>
        <t>4800388490/100</t>
        <phoneticPr fontId="0" type="noConversion"/>
      </is>
    </nc>
  </rcc>
  <rcc rId="2269" sId="2">
    <oc r="C763" t="inlineStr">
      <is>
        <t>26910E44J1</t>
        <phoneticPr fontId="0" type="noConversion"/>
      </is>
    </oc>
    <nc r="C763" t="inlineStr">
      <is>
        <t>26910E44J1</t>
        <phoneticPr fontId="0" type="noConversion"/>
      </is>
    </nc>
  </rcc>
  <rcc rId="2270" sId="4">
    <oc r="C167" t="inlineStr">
      <is>
        <t>26910E3191</t>
        <phoneticPr fontId="0" type="noConversion"/>
      </is>
    </oc>
    <nc r="C167" t="inlineStr">
      <is>
        <t>26910E3191</t>
        <phoneticPr fontId="0" type="noConversion"/>
      </is>
    </nc>
  </rcc>
</revisions>
</file>

<file path=xl/revisions/revisionLog1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71" sId="2">
    <oc r="G763" t="inlineStr">
      <is>
        <t>4800384805/300</t>
        <phoneticPr fontId="0" type="noConversion"/>
      </is>
    </oc>
    <nc r="G763" t="inlineStr">
      <is>
        <t>4800384805/300</t>
        <phoneticPr fontId="0" type="noConversion"/>
      </is>
    </nc>
  </rcc>
  <rcc rId="2272" sId="4">
    <oc r="G167" t="inlineStr">
      <is>
        <t>4800388490/100</t>
        <phoneticPr fontId="0" type="noConversion"/>
      </is>
    </oc>
    <nc r="G167" t="inlineStr">
      <is>
        <t>4800388490/100</t>
        <phoneticPr fontId="0" type="noConversion"/>
      </is>
    </nc>
  </rcc>
  <rcc rId="2273" sId="2">
    <oc r="C763" t="inlineStr">
      <is>
        <t>26910E44J1</t>
        <phoneticPr fontId="0" type="noConversion"/>
      </is>
    </oc>
    <nc r="C763" t="inlineStr">
      <is>
        <t>26910E44J1</t>
        <phoneticPr fontId="0" type="noConversion"/>
      </is>
    </nc>
  </rcc>
  <rcc rId="2274" sId="4">
    <oc r="C167" t="inlineStr">
      <is>
        <t>26910E3191</t>
        <phoneticPr fontId="0" type="noConversion"/>
      </is>
    </oc>
    <nc r="C167" t="inlineStr">
      <is>
        <t>26910E3191</t>
        <phoneticPr fontId="0" type="noConversion"/>
      </is>
    </nc>
  </rcc>
  <rfmt sheetId="2" sqref="B759:G761" start="0" length="2147483647">
    <dxf>
      <font>
        <strike/>
      </font>
    </dxf>
  </rfmt>
  <rcv guid="{D108A94F-96BE-4B2E-9408-7CE19DC55699}" action="delete"/>
  <rdn rId="0" localSheetId="1" customView="1" name="Z_D108A94F_96BE_4B2E_9408_7CE19DC55699_.wvu.PrintArea" hidden="1" oldHidden="1">
    <formula>'IPAHQ(TANK)-竹科'!$A$1:$Q$2</formula>
    <oldFormula>'IPAHQ(TANK)-竹科'!$A$1:$Q$2</oldFormula>
  </rdn>
  <rdn rId="0" localSheetId="1" customView="1" name="Z_D108A94F_96BE_4B2E_9408_7CE19DC55699_.wvu.Cols" hidden="1" oldHidden="1">
    <formula>'IPAHQ(TANK)-竹科'!$A:$A</formula>
    <oldFormula>'IPAHQ(TANK)-竹科'!$A:$A</oldFormula>
  </rdn>
  <rdn rId="0" localSheetId="1" customView="1" name="Z_D108A94F_96BE_4B2E_9408_7CE19DC55699_.wvu.FilterData" hidden="1" oldHidden="1">
    <formula>'IPAHQ(TANK)-竹科'!$A$2:$T$181</formula>
    <oldFormula>'IPAHQ(TANK)-竹科'!$A$2:$T$181</oldFormula>
  </rdn>
  <rdn rId="0" localSheetId="2" customView="1" name="Z_D108A94F_96BE_4B2E_9408_7CE19DC55699_.wvu.PrintArea" hidden="1" oldHidden="1">
    <formula>'IPAHQ(TANK)-中科'!$A$1:$P$2</formula>
    <oldFormula>'IPAHQ(TANK)-中科'!$A$1:$P$2</oldFormula>
  </rdn>
  <rdn rId="0" localSheetId="2" customView="1" name="Z_D108A94F_96BE_4B2E_9408_7CE19DC55699_.wvu.Rows" hidden="1" oldHidden="1">
    <formula>'IPAHQ(TANK)-中科'!$760:$760</formula>
    <oldFormula>'IPAHQ(TANK)-中科'!$760:$760</oldFormula>
  </rdn>
  <rdn rId="0" localSheetId="2" customView="1" name="Z_D108A94F_96BE_4B2E_9408_7CE19DC55699_.wvu.Cols" hidden="1" oldHidden="1">
    <formula>'IPAHQ(TANK)-中科'!$A:$A</formula>
    <oldFormula>'IPAHQ(TANK)-中科'!$A:$A</oldFormula>
  </rdn>
  <rdn rId="0" localSheetId="2" customView="1" name="Z_D108A94F_96BE_4B2E_9408_7CE19DC55699_.wvu.FilterData" hidden="1" oldHidden="1">
    <formula>'IPAHQ(TANK)-中科'!$A$2:$S$906</formula>
    <oldFormula>'IPAHQ(TANK)-中科'!$A$2:$S$906</oldFormula>
  </rdn>
  <rdn rId="0" localSheetId="3" customView="1" name="Z_D108A94F_96BE_4B2E_9408_7CE19DC55699_.wvu.PrintArea" hidden="1" oldHidden="1">
    <formula>'IPAHQ(TANK)-12P3'!$A$1:$Q$2</formula>
    <oldFormula>'IPAHQ(TANK)-12P3'!$A$1:$Q$2</oldFormula>
  </rdn>
  <rdn rId="0" localSheetId="3" customView="1" name="Z_D108A94F_96BE_4B2E_9408_7CE19DC55699_.wvu.Cols" hidden="1" oldHidden="1">
    <formula>'IPAHQ(TANK)-12P3'!$A:$A</formula>
    <oldFormula>'IPAHQ(TANK)-12P3'!$A:$A</oldFormula>
  </rdn>
  <rdn rId="0" localSheetId="3" customView="1" name="Z_D108A94F_96BE_4B2E_9408_7CE19DC55699_.wvu.FilterData" hidden="1" oldHidden="1">
    <formula>'IPAHQ(TANK)-12P3'!$A$2:$T$22</formula>
    <oldFormula>'IPAHQ(TANK)-12P3'!$A$2:$T$22</oldFormula>
  </rdn>
  <rdn rId="0" localSheetId="4" customView="1" name="Z_D108A94F_96BE_4B2E_9408_7CE19DC55699_.wvu.PrintArea" hidden="1" oldHidden="1">
    <formula>'IPAHQ(TANK)-南科'!$A$1:$P$2</formula>
    <oldFormula>'IPAHQ(TANK)-南科'!$A$1:$P$2</oldFormula>
  </rdn>
  <rdn rId="0" localSheetId="4" customView="1" name="Z_D108A94F_96BE_4B2E_9408_7CE19DC55699_.wvu.Cols" hidden="1" oldHidden="1">
    <formula>'IPAHQ(TANK)-南科'!$A:$A</formula>
    <oldFormula>'IPAHQ(TANK)-南科'!$A:$A</oldFormula>
  </rdn>
  <rdn rId="0" localSheetId="4" customView="1" name="Z_D108A94F_96BE_4B2E_9408_7CE19DC55699_.wvu.FilterData" hidden="1" oldHidden="1">
    <formula>'IPAHQ(TANK)-南科'!$A$2:$S$191</formula>
    <oldFormula>'IPAHQ(TANK)-南科'!$A$2:$S$191</oldFormula>
  </rdn>
  <rcv guid="{D108A94F-96BE-4B2E-9408-7CE19DC55699}" action="add"/>
</revisions>
</file>

<file path=xl/revisions/revisionLog1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760:G760" start="0" length="2147483647">
    <dxf>
      <font>
        <strike val="0"/>
      </font>
    </dxf>
  </rfmt>
  <rdn rId="0" localSheetId="2" customView="1" name="Z_D108A94F_96BE_4B2E_9408_7CE19DC55699_.wvu.Rows" hidden="1" oldHidden="1">
    <oldFormula>'IPAHQ(TANK)-中科'!$760:$760</oldFormula>
  </rdn>
  <rcv guid="{D108A94F-96BE-4B2E-9408-7CE19DC55699}" action="delete"/>
  <rdn rId="0" localSheetId="1" customView="1" name="Z_D108A94F_96BE_4B2E_9408_7CE19DC55699_.wvu.PrintArea" hidden="1" oldHidden="1">
    <formula>'IPAHQ(TANK)-竹科'!$A$1:$Q$2</formula>
    <oldFormula>'IPAHQ(TANK)-竹科'!$A$1:$Q$2</oldFormula>
  </rdn>
  <rdn rId="0" localSheetId="1" customView="1" name="Z_D108A94F_96BE_4B2E_9408_7CE19DC55699_.wvu.Cols" hidden="1" oldHidden="1">
    <formula>'IPAHQ(TANK)-竹科'!$A:$A</formula>
    <oldFormula>'IPAHQ(TANK)-竹科'!$A:$A</oldFormula>
  </rdn>
  <rdn rId="0" localSheetId="1" customView="1" name="Z_D108A94F_96BE_4B2E_9408_7CE19DC55699_.wvu.FilterData" hidden="1" oldHidden="1">
    <formula>'IPAHQ(TANK)-竹科'!$A$2:$T$181</formula>
    <oldFormula>'IPAHQ(TANK)-竹科'!$A$2:$T$181</oldFormula>
  </rdn>
  <rdn rId="0" localSheetId="2" customView="1" name="Z_D108A94F_96BE_4B2E_9408_7CE19DC55699_.wvu.PrintArea" hidden="1" oldHidden="1">
    <formula>'IPAHQ(TANK)-中科'!$A$1:$P$2</formula>
    <oldFormula>'IPAHQ(TANK)-中科'!$A$1:$P$2</oldFormula>
  </rdn>
  <rdn rId="0" localSheetId="2" customView="1" name="Z_D108A94F_96BE_4B2E_9408_7CE19DC55699_.wvu.Cols" hidden="1" oldHidden="1">
    <formula>'IPAHQ(TANK)-中科'!$A:$A</formula>
    <oldFormula>'IPAHQ(TANK)-中科'!$A:$A</oldFormula>
  </rdn>
  <rdn rId="0" localSheetId="2" customView="1" name="Z_D108A94F_96BE_4B2E_9408_7CE19DC55699_.wvu.FilterData" hidden="1" oldHidden="1">
    <formula>'IPAHQ(TANK)-中科'!$A$2:$S$906</formula>
    <oldFormula>'IPAHQ(TANK)-中科'!$A$2:$S$906</oldFormula>
  </rdn>
  <rdn rId="0" localSheetId="3" customView="1" name="Z_D108A94F_96BE_4B2E_9408_7CE19DC55699_.wvu.PrintArea" hidden="1" oldHidden="1">
    <formula>'IPAHQ(TANK)-12P3'!$A$1:$Q$2</formula>
    <oldFormula>'IPAHQ(TANK)-12P3'!$A$1:$Q$2</oldFormula>
  </rdn>
  <rdn rId="0" localSheetId="3" customView="1" name="Z_D108A94F_96BE_4B2E_9408_7CE19DC55699_.wvu.Cols" hidden="1" oldHidden="1">
    <formula>'IPAHQ(TANK)-12P3'!$A:$A</formula>
    <oldFormula>'IPAHQ(TANK)-12P3'!$A:$A</oldFormula>
  </rdn>
  <rdn rId="0" localSheetId="3" customView="1" name="Z_D108A94F_96BE_4B2E_9408_7CE19DC55699_.wvu.FilterData" hidden="1" oldHidden="1">
    <formula>'IPAHQ(TANK)-12P3'!$A$2:$T$22</formula>
    <oldFormula>'IPAHQ(TANK)-12P3'!$A$2:$T$22</oldFormula>
  </rdn>
  <rdn rId="0" localSheetId="4" customView="1" name="Z_D108A94F_96BE_4B2E_9408_7CE19DC55699_.wvu.PrintArea" hidden="1" oldHidden="1">
    <formula>'IPAHQ(TANK)-南科'!$A$1:$P$2</formula>
    <oldFormula>'IPAHQ(TANK)-南科'!$A$1:$P$2</oldFormula>
  </rdn>
  <rdn rId="0" localSheetId="4" customView="1" name="Z_D108A94F_96BE_4B2E_9408_7CE19DC55699_.wvu.Cols" hidden="1" oldHidden="1">
    <formula>'IPAHQ(TANK)-南科'!$A:$A</formula>
    <oldFormula>'IPAHQ(TANK)-南科'!$A:$A</oldFormula>
  </rdn>
  <rdn rId="0" localSheetId="4" customView="1" name="Z_D108A94F_96BE_4B2E_9408_7CE19DC55699_.wvu.FilterData" hidden="1" oldHidden="1">
    <formula>'IPAHQ(TANK)-南科'!$A$2:$S$191</formula>
    <oldFormula>'IPAHQ(TANK)-南科'!$A$2:$S$191</oldFormula>
  </rdn>
  <rcv guid="{D108A94F-96BE-4B2E-9408-7CE19DC55699}" action="add"/>
</revisions>
</file>

<file path=xl/revisions/revisionLog1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01" sId="2" numFmtId="19">
    <oc r="B768">
      <v>46279</v>
    </oc>
    <nc r="B768">
      <v>46280</v>
    </nc>
  </rcc>
  <rfmt sheetId="2" sqref="B768" start="0" length="2147483647">
    <dxf>
      <font>
        <color rgb="FFFF0000"/>
      </font>
    </dxf>
  </rfmt>
  <rrc rId="2302" sId="2" ref="A772:XFD772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  <undo index="0" exp="area" ref3D="1" dr="$A$1:$A$1048576" dn="Z_D108A94F_96BE_4B2E_9408_7CE19DC55699_.wvu.Cols" sId="2"/>
  </rrc>
  <rm rId="2303" sheetId="2" source="A768:XFD768" destination="A772:XFD772" sourceSheetId="2">
    <rfmt sheetId="2" xfDxf="1" sqref="A772:XFD772" start="0" length="0">
      <dxf>
        <font>
          <sz val="10"/>
          <name val="Arial"/>
          <scheme val="none"/>
        </font>
        <alignment horizontal="center" readingOrder="0"/>
      </dxf>
    </rfmt>
    <rfmt sheetId="2" sqref="A77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2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2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7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7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7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7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2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2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2" start="0" length="0">
      <dxf>
        <numFmt numFmtId="176" formatCode="m/d;@"/>
      </dxf>
    </rfmt>
    <rfmt sheetId="2" sqref="P772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2" start="0" length="0">
      <dxf/>
    </rfmt>
    <rfmt sheetId="2" sqref="U772" start="0" length="0">
      <dxf/>
    </rfmt>
    <rfmt sheetId="2" sqref="V772" start="0" length="0">
      <dxf/>
    </rfmt>
    <rfmt sheetId="2" sqref="W772" start="0" length="0">
      <dxf/>
    </rfmt>
    <rfmt sheetId="2" sqref="X772" start="0" length="0">
      <dxf/>
    </rfmt>
    <rfmt sheetId="2" sqref="Y772" start="0" length="0">
      <dxf/>
    </rfmt>
    <rfmt sheetId="2" sqref="Z772" start="0" length="0">
      <dxf/>
    </rfmt>
    <rfmt sheetId="2" sqref="AA772" start="0" length="0">
      <dxf/>
    </rfmt>
    <rfmt sheetId="2" sqref="AB772" start="0" length="0">
      <dxf/>
    </rfmt>
    <rfmt sheetId="2" sqref="AC772" start="0" length="0">
      <dxf/>
    </rfmt>
    <rfmt sheetId="2" sqref="AD772" start="0" length="0">
      <dxf/>
    </rfmt>
    <rfmt sheetId="2" sqref="AE772" start="0" length="0">
      <dxf/>
    </rfmt>
    <rfmt sheetId="2" sqref="AF772" start="0" length="0">
      <dxf/>
    </rfmt>
    <rfmt sheetId="2" sqref="AG772" start="0" length="0">
      <dxf/>
    </rfmt>
    <rfmt sheetId="2" sqref="AH772" start="0" length="0">
      <dxf/>
    </rfmt>
    <rfmt sheetId="2" sqref="AI772" start="0" length="0">
      <dxf/>
    </rfmt>
    <rfmt sheetId="2" sqref="AJ772" start="0" length="0">
      <dxf/>
    </rfmt>
    <rfmt sheetId="2" sqref="AK772" start="0" length="0">
      <dxf/>
    </rfmt>
    <rfmt sheetId="2" sqref="AL772" start="0" length="0">
      <dxf/>
    </rfmt>
    <rfmt sheetId="2" sqref="AM772" start="0" length="0">
      <dxf/>
    </rfmt>
    <rfmt sheetId="2" sqref="AN772" start="0" length="0">
      <dxf/>
    </rfmt>
    <rfmt sheetId="2" sqref="AO772" start="0" length="0">
      <dxf/>
    </rfmt>
    <rfmt sheetId="2" sqref="AP772" start="0" length="0">
      <dxf/>
    </rfmt>
    <rfmt sheetId="2" sqref="AQ772" start="0" length="0">
      <dxf/>
    </rfmt>
    <rfmt sheetId="2" sqref="AR772" start="0" length="0">
      <dxf/>
    </rfmt>
    <rfmt sheetId="2" sqref="AS772" start="0" length="0">
      <dxf/>
    </rfmt>
    <rfmt sheetId="2" sqref="AT772" start="0" length="0">
      <dxf/>
    </rfmt>
    <rfmt sheetId="2" sqref="AU772" start="0" length="0">
      <dxf/>
    </rfmt>
    <rfmt sheetId="2" sqref="AV772" start="0" length="0">
      <dxf/>
    </rfmt>
    <rfmt sheetId="2" sqref="AW772" start="0" length="0">
      <dxf/>
    </rfmt>
    <rfmt sheetId="2" sqref="AX772" start="0" length="0">
      <dxf/>
    </rfmt>
    <rfmt sheetId="2" sqref="AY772" start="0" length="0">
      <dxf/>
    </rfmt>
    <rfmt sheetId="2" sqref="AZ772" start="0" length="0">
      <dxf/>
    </rfmt>
    <rfmt sheetId="2" sqref="BA772" start="0" length="0">
      <dxf/>
    </rfmt>
    <rfmt sheetId="2" sqref="BB772" start="0" length="0">
      <dxf/>
    </rfmt>
    <rfmt sheetId="2" sqref="BC772" start="0" length="0">
      <dxf/>
    </rfmt>
    <rfmt sheetId="2" sqref="BD772" start="0" length="0">
      <dxf/>
    </rfmt>
    <rfmt sheetId="2" sqref="BE772" start="0" length="0">
      <dxf/>
    </rfmt>
    <rfmt sheetId="2" sqref="BF772" start="0" length="0">
      <dxf/>
    </rfmt>
    <rfmt sheetId="2" sqref="BG772" start="0" length="0">
      <dxf/>
    </rfmt>
    <rfmt sheetId="2" sqref="BH772" start="0" length="0">
      <dxf/>
    </rfmt>
    <rfmt sheetId="2" sqref="BI772" start="0" length="0">
      <dxf/>
    </rfmt>
    <rfmt sheetId="2" sqref="BJ772" start="0" length="0">
      <dxf/>
    </rfmt>
    <rfmt sheetId="2" sqref="BK772" start="0" length="0">
      <dxf/>
    </rfmt>
    <rfmt sheetId="2" sqref="BL772" start="0" length="0">
      <dxf/>
    </rfmt>
    <rfmt sheetId="2" sqref="BM772" start="0" length="0">
      <dxf/>
    </rfmt>
    <rfmt sheetId="2" sqref="BN772" start="0" length="0">
      <dxf/>
    </rfmt>
    <rfmt sheetId="2" sqref="BO772" start="0" length="0">
      <dxf/>
    </rfmt>
    <rfmt sheetId="2" sqref="BP772" start="0" length="0">
      <dxf/>
    </rfmt>
    <rfmt sheetId="2" sqref="BQ772" start="0" length="0">
      <dxf/>
    </rfmt>
    <rfmt sheetId="2" sqref="BR772" start="0" length="0">
      <dxf/>
    </rfmt>
    <rfmt sheetId="2" sqref="BS772" start="0" length="0">
      <dxf/>
    </rfmt>
    <rfmt sheetId="2" sqref="BT772" start="0" length="0">
      <dxf/>
    </rfmt>
    <rfmt sheetId="2" sqref="BU772" start="0" length="0">
      <dxf/>
    </rfmt>
    <rfmt sheetId="2" sqref="BV772" start="0" length="0">
      <dxf/>
    </rfmt>
    <rfmt sheetId="2" sqref="BW772" start="0" length="0">
      <dxf/>
    </rfmt>
    <rfmt sheetId="2" sqref="BX772" start="0" length="0">
      <dxf/>
    </rfmt>
    <rfmt sheetId="2" sqref="BY772" start="0" length="0">
      <dxf/>
    </rfmt>
    <rfmt sheetId="2" sqref="BZ772" start="0" length="0">
      <dxf/>
    </rfmt>
    <rfmt sheetId="2" sqref="CA772" start="0" length="0">
      <dxf/>
    </rfmt>
    <rfmt sheetId="2" sqref="CB772" start="0" length="0">
      <dxf/>
    </rfmt>
    <rfmt sheetId="2" sqref="CC772" start="0" length="0">
      <dxf/>
    </rfmt>
    <rfmt sheetId="2" sqref="CD772" start="0" length="0">
      <dxf/>
    </rfmt>
    <rfmt sheetId="2" sqref="CE772" start="0" length="0">
      <dxf/>
    </rfmt>
    <rfmt sheetId="2" sqref="CF772" start="0" length="0">
      <dxf/>
    </rfmt>
    <rfmt sheetId="2" sqref="CG772" start="0" length="0">
      <dxf/>
    </rfmt>
    <rfmt sheetId="2" sqref="CH772" start="0" length="0">
      <dxf/>
    </rfmt>
    <rfmt sheetId="2" sqref="CI772" start="0" length="0">
      <dxf/>
    </rfmt>
    <rfmt sheetId="2" sqref="CJ772" start="0" length="0">
      <dxf/>
    </rfmt>
    <rfmt sheetId="2" sqref="CK772" start="0" length="0">
      <dxf/>
    </rfmt>
    <rfmt sheetId="2" sqref="CL772" start="0" length="0">
      <dxf/>
    </rfmt>
    <rfmt sheetId="2" sqref="CM772" start="0" length="0">
      <dxf/>
    </rfmt>
    <rfmt sheetId="2" sqref="CN772" start="0" length="0">
      <dxf/>
    </rfmt>
    <rfmt sheetId="2" sqref="CO772" start="0" length="0">
      <dxf/>
    </rfmt>
    <rfmt sheetId="2" sqref="CP772" start="0" length="0">
      <dxf/>
    </rfmt>
    <rfmt sheetId="2" sqref="CQ772" start="0" length="0">
      <dxf/>
    </rfmt>
    <rfmt sheetId="2" sqref="CR772" start="0" length="0">
      <dxf/>
    </rfmt>
    <rfmt sheetId="2" sqref="CS772" start="0" length="0">
      <dxf/>
    </rfmt>
    <rfmt sheetId="2" sqref="CT772" start="0" length="0">
      <dxf/>
    </rfmt>
    <rfmt sheetId="2" sqref="CU772" start="0" length="0">
      <dxf/>
    </rfmt>
    <rfmt sheetId="2" sqref="CV772" start="0" length="0">
      <dxf/>
    </rfmt>
    <rfmt sheetId="2" sqref="CW772" start="0" length="0">
      <dxf/>
    </rfmt>
    <rfmt sheetId="2" sqref="CX772" start="0" length="0">
      <dxf/>
    </rfmt>
    <rfmt sheetId="2" sqref="CY772" start="0" length="0">
      <dxf/>
    </rfmt>
    <rfmt sheetId="2" sqref="CZ772" start="0" length="0">
      <dxf/>
    </rfmt>
    <rfmt sheetId="2" sqref="DA772" start="0" length="0">
      <dxf/>
    </rfmt>
    <rfmt sheetId="2" sqref="DB772" start="0" length="0">
      <dxf/>
    </rfmt>
    <rfmt sheetId="2" sqref="DC772" start="0" length="0">
      <dxf/>
    </rfmt>
    <rfmt sheetId="2" sqref="DD772" start="0" length="0">
      <dxf/>
    </rfmt>
    <rfmt sheetId="2" sqref="DE772" start="0" length="0">
      <dxf/>
    </rfmt>
    <rfmt sheetId="2" sqref="DF772" start="0" length="0">
      <dxf/>
    </rfmt>
    <rfmt sheetId="2" sqref="DG772" start="0" length="0">
      <dxf/>
    </rfmt>
    <rfmt sheetId="2" sqref="DH772" start="0" length="0">
      <dxf/>
    </rfmt>
    <rfmt sheetId="2" sqref="DI772" start="0" length="0">
      <dxf/>
    </rfmt>
    <rfmt sheetId="2" sqref="DJ772" start="0" length="0">
      <dxf/>
    </rfmt>
    <rfmt sheetId="2" sqref="DK772" start="0" length="0">
      <dxf/>
    </rfmt>
    <rfmt sheetId="2" sqref="DL772" start="0" length="0">
      <dxf/>
    </rfmt>
    <rfmt sheetId="2" sqref="DM772" start="0" length="0">
      <dxf/>
    </rfmt>
    <rfmt sheetId="2" sqref="DN772" start="0" length="0">
      <dxf/>
    </rfmt>
    <rfmt sheetId="2" sqref="DO772" start="0" length="0">
      <dxf/>
    </rfmt>
    <rfmt sheetId="2" sqref="DP772" start="0" length="0">
      <dxf/>
    </rfmt>
    <rfmt sheetId="2" sqref="DQ772" start="0" length="0">
      <dxf/>
    </rfmt>
    <rfmt sheetId="2" sqref="DR772" start="0" length="0">
      <dxf/>
    </rfmt>
    <rfmt sheetId="2" sqref="DS772" start="0" length="0">
      <dxf/>
    </rfmt>
    <rfmt sheetId="2" sqref="DT772" start="0" length="0">
      <dxf/>
    </rfmt>
    <rfmt sheetId="2" sqref="DU772" start="0" length="0">
      <dxf/>
    </rfmt>
    <rfmt sheetId="2" sqref="DV772" start="0" length="0">
      <dxf/>
    </rfmt>
    <rfmt sheetId="2" sqref="DW772" start="0" length="0">
      <dxf/>
    </rfmt>
    <rfmt sheetId="2" sqref="DX772" start="0" length="0">
      <dxf/>
    </rfmt>
    <rfmt sheetId="2" sqref="DY772" start="0" length="0">
      <dxf/>
    </rfmt>
    <rfmt sheetId="2" sqref="DZ772" start="0" length="0">
      <dxf/>
    </rfmt>
    <rfmt sheetId="2" sqref="EA772" start="0" length="0">
      <dxf/>
    </rfmt>
    <rfmt sheetId="2" sqref="EB772" start="0" length="0">
      <dxf/>
    </rfmt>
    <rfmt sheetId="2" sqref="EC772" start="0" length="0">
      <dxf/>
    </rfmt>
    <rfmt sheetId="2" sqref="ED772" start="0" length="0">
      <dxf/>
    </rfmt>
    <rfmt sheetId="2" sqref="EE772" start="0" length="0">
      <dxf/>
    </rfmt>
    <rfmt sheetId="2" sqref="EF772" start="0" length="0">
      <dxf/>
    </rfmt>
    <rfmt sheetId="2" sqref="EG772" start="0" length="0">
      <dxf/>
    </rfmt>
    <rfmt sheetId="2" sqref="EH772" start="0" length="0">
      <dxf/>
    </rfmt>
    <rfmt sheetId="2" sqref="EI772" start="0" length="0">
      <dxf/>
    </rfmt>
    <rfmt sheetId="2" sqref="EJ772" start="0" length="0">
      <dxf/>
    </rfmt>
    <rfmt sheetId="2" sqref="EK772" start="0" length="0">
      <dxf/>
    </rfmt>
    <rfmt sheetId="2" sqref="EL772" start="0" length="0">
      <dxf/>
    </rfmt>
    <rfmt sheetId="2" sqref="EM772" start="0" length="0">
      <dxf/>
    </rfmt>
    <rfmt sheetId="2" sqref="EN772" start="0" length="0">
      <dxf/>
    </rfmt>
    <rfmt sheetId="2" sqref="EO772" start="0" length="0">
      <dxf/>
    </rfmt>
    <rfmt sheetId="2" sqref="EP772" start="0" length="0">
      <dxf/>
    </rfmt>
    <rfmt sheetId="2" sqref="EQ772" start="0" length="0">
      <dxf/>
    </rfmt>
    <rfmt sheetId="2" sqref="ER772" start="0" length="0">
      <dxf/>
    </rfmt>
    <rfmt sheetId="2" sqref="ES772" start="0" length="0">
      <dxf/>
    </rfmt>
    <rfmt sheetId="2" sqref="ET772" start="0" length="0">
      <dxf/>
    </rfmt>
    <rfmt sheetId="2" sqref="EU772" start="0" length="0">
      <dxf/>
    </rfmt>
    <rfmt sheetId="2" sqref="EV772" start="0" length="0">
      <dxf/>
    </rfmt>
    <rfmt sheetId="2" sqref="EW772" start="0" length="0">
      <dxf/>
    </rfmt>
    <rfmt sheetId="2" sqref="EX772" start="0" length="0">
      <dxf/>
    </rfmt>
    <rfmt sheetId="2" sqref="EY772" start="0" length="0">
      <dxf/>
    </rfmt>
    <rfmt sheetId="2" sqref="EZ772" start="0" length="0">
      <dxf/>
    </rfmt>
    <rfmt sheetId="2" sqref="FA772" start="0" length="0">
      <dxf/>
    </rfmt>
    <rfmt sheetId="2" sqref="FB772" start="0" length="0">
      <dxf/>
    </rfmt>
    <rfmt sheetId="2" sqref="FC772" start="0" length="0">
      <dxf/>
    </rfmt>
    <rfmt sheetId="2" sqref="FD772" start="0" length="0">
      <dxf/>
    </rfmt>
    <rfmt sheetId="2" sqref="FE772" start="0" length="0">
      <dxf/>
    </rfmt>
    <rfmt sheetId="2" sqref="FF772" start="0" length="0">
      <dxf/>
    </rfmt>
    <rfmt sheetId="2" sqref="FG772" start="0" length="0">
      <dxf/>
    </rfmt>
    <rfmt sheetId="2" sqref="FH772" start="0" length="0">
      <dxf/>
    </rfmt>
    <rfmt sheetId="2" sqref="FI772" start="0" length="0">
      <dxf/>
    </rfmt>
    <rfmt sheetId="2" sqref="FJ772" start="0" length="0">
      <dxf/>
    </rfmt>
    <rfmt sheetId="2" sqref="FK772" start="0" length="0">
      <dxf/>
    </rfmt>
    <rfmt sheetId="2" sqref="FL772" start="0" length="0">
      <dxf/>
    </rfmt>
    <rfmt sheetId="2" sqref="FM772" start="0" length="0">
      <dxf/>
    </rfmt>
    <rfmt sheetId="2" sqref="FN772" start="0" length="0">
      <dxf/>
    </rfmt>
    <rfmt sheetId="2" sqref="FO772" start="0" length="0">
      <dxf/>
    </rfmt>
    <rfmt sheetId="2" sqref="FP772" start="0" length="0">
      <dxf/>
    </rfmt>
    <rfmt sheetId="2" sqref="FQ772" start="0" length="0">
      <dxf/>
    </rfmt>
    <rfmt sheetId="2" sqref="FR772" start="0" length="0">
      <dxf/>
    </rfmt>
    <rfmt sheetId="2" sqref="FS772" start="0" length="0">
      <dxf/>
    </rfmt>
    <rfmt sheetId="2" sqref="FT772" start="0" length="0">
      <dxf/>
    </rfmt>
    <rfmt sheetId="2" sqref="FU772" start="0" length="0">
      <dxf/>
    </rfmt>
    <rfmt sheetId="2" sqref="FV772" start="0" length="0">
      <dxf/>
    </rfmt>
    <rfmt sheetId="2" sqref="FW772" start="0" length="0">
      <dxf/>
    </rfmt>
    <rfmt sheetId="2" sqref="FX772" start="0" length="0">
      <dxf/>
    </rfmt>
    <rfmt sheetId="2" sqref="FY772" start="0" length="0">
      <dxf/>
    </rfmt>
    <rfmt sheetId="2" sqref="FZ772" start="0" length="0">
      <dxf/>
    </rfmt>
    <rfmt sheetId="2" sqref="GA772" start="0" length="0">
      <dxf/>
    </rfmt>
    <rfmt sheetId="2" sqref="GB772" start="0" length="0">
      <dxf/>
    </rfmt>
    <rfmt sheetId="2" sqref="GC772" start="0" length="0">
      <dxf/>
    </rfmt>
    <rfmt sheetId="2" sqref="GD772" start="0" length="0">
      <dxf/>
    </rfmt>
    <rfmt sheetId="2" sqref="GE772" start="0" length="0">
      <dxf/>
    </rfmt>
    <rfmt sheetId="2" sqref="GF772" start="0" length="0">
      <dxf/>
    </rfmt>
    <rfmt sheetId="2" sqref="GG772" start="0" length="0">
      <dxf/>
    </rfmt>
    <rfmt sheetId="2" sqref="GH772" start="0" length="0">
      <dxf/>
    </rfmt>
    <rfmt sheetId="2" sqref="GI772" start="0" length="0">
      <dxf/>
    </rfmt>
    <rfmt sheetId="2" sqref="GJ772" start="0" length="0">
      <dxf/>
    </rfmt>
    <rfmt sheetId="2" sqref="GK772" start="0" length="0">
      <dxf/>
    </rfmt>
    <rfmt sheetId="2" sqref="GL772" start="0" length="0">
      <dxf/>
    </rfmt>
    <rfmt sheetId="2" sqref="GM772" start="0" length="0">
      <dxf/>
    </rfmt>
    <rfmt sheetId="2" sqref="GN772" start="0" length="0">
      <dxf/>
    </rfmt>
    <rfmt sheetId="2" sqref="GO772" start="0" length="0">
      <dxf/>
    </rfmt>
    <rfmt sheetId="2" sqref="GP772" start="0" length="0">
      <dxf/>
    </rfmt>
    <rfmt sheetId="2" sqref="GQ772" start="0" length="0">
      <dxf/>
    </rfmt>
    <rfmt sheetId="2" sqref="GR772" start="0" length="0">
      <dxf/>
    </rfmt>
    <rfmt sheetId="2" sqref="GS772" start="0" length="0">
      <dxf/>
    </rfmt>
    <rfmt sheetId="2" sqref="GT772" start="0" length="0">
      <dxf/>
    </rfmt>
    <rfmt sheetId="2" sqref="GU772" start="0" length="0">
      <dxf/>
    </rfmt>
    <rfmt sheetId="2" sqref="GV772" start="0" length="0">
      <dxf/>
    </rfmt>
    <rfmt sheetId="2" sqref="GW772" start="0" length="0">
      <dxf/>
    </rfmt>
    <rfmt sheetId="2" sqref="GX772" start="0" length="0">
      <dxf/>
    </rfmt>
    <rfmt sheetId="2" sqref="GY772" start="0" length="0">
      <dxf/>
    </rfmt>
    <rfmt sheetId="2" sqref="GZ772" start="0" length="0">
      <dxf/>
    </rfmt>
    <rfmt sheetId="2" sqref="HA772" start="0" length="0">
      <dxf/>
    </rfmt>
    <rfmt sheetId="2" sqref="HB772" start="0" length="0">
      <dxf/>
    </rfmt>
    <rfmt sheetId="2" sqref="HC772" start="0" length="0">
      <dxf/>
    </rfmt>
    <rfmt sheetId="2" sqref="HD772" start="0" length="0">
      <dxf/>
    </rfmt>
    <rfmt sheetId="2" sqref="HE772" start="0" length="0">
      <dxf/>
    </rfmt>
    <rfmt sheetId="2" sqref="HF772" start="0" length="0">
      <dxf/>
    </rfmt>
    <rfmt sheetId="2" sqref="HG772" start="0" length="0">
      <dxf/>
    </rfmt>
    <rfmt sheetId="2" sqref="HH772" start="0" length="0">
      <dxf/>
    </rfmt>
    <rfmt sheetId="2" sqref="HI772" start="0" length="0">
      <dxf/>
    </rfmt>
    <rfmt sheetId="2" sqref="HJ772" start="0" length="0">
      <dxf/>
    </rfmt>
    <rfmt sheetId="2" sqref="HK772" start="0" length="0">
      <dxf/>
    </rfmt>
    <rfmt sheetId="2" sqref="HL772" start="0" length="0">
      <dxf/>
    </rfmt>
    <rfmt sheetId="2" sqref="HM772" start="0" length="0">
      <dxf/>
    </rfmt>
    <rfmt sheetId="2" sqref="HN772" start="0" length="0">
      <dxf/>
    </rfmt>
    <rfmt sheetId="2" sqref="HO772" start="0" length="0">
      <dxf/>
    </rfmt>
    <rfmt sheetId="2" sqref="HP772" start="0" length="0">
      <dxf/>
    </rfmt>
    <rfmt sheetId="2" sqref="HQ772" start="0" length="0">
      <dxf/>
    </rfmt>
    <rfmt sheetId="2" sqref="HR772" start="0" length="0">
      <dxf/>
    </rfmt>
    <rfmt sheetId="2" sqref="HS772" start="0" length="0">
      <dxf/>
    </rfmt>
    <rfmt sheetId="2" sqref="HT772" start="0" length="0">
      <dxf/>
    </rfmt>
    <rfmt sheetId="2" sqref="HU772" start="0" length="0">
      <dxf/>
    </rfmt>
    <rfmt sheetId="2" sqref="HV772" start="0" length="0">
      <dxf/>
    </rfmt>
    <rfmt sheetId="2" sqref="HW772" start="0" length="0">
      <dxf/>
    </rfmt>
    <rfmt sheetId="2" sqref="HX772" start="0" length="0">
      <dxf/>
    </rfmt>
    <rfmt sheetId="2" sqref="HY772" start="0" length="0">
      <dxf/>
    </rfmt>
    <rfmt sheetId="2" sqref="HZ772" start="0" length="0">
      <dxf/>
    </rfmt>
    <rfmt sheetId="2" sqref="IA772" start="0" length="0">
      <dxf/>
    </rfmt>
    <rfmt sheetId="2" sqref="IB772" start="0" length="0">
      <dxf/>
    </rfmt>
    <rfmt sheetId="2" sqref="IC772" start="0" length="0">
      <dxf/>
    </rfmt>
    <rfmt sheetId="2" sqref="ID772" start="0" length="0">
      <dxf/>
    </rfmt>
    <rfmt sheetId="2" sqref="IE772" start="0" length="0">
      <dxf/>
    </rfmt>
    <rfmt sheetId="2" sqref="IF772" start="0" length="0">
      <dxf/>
    </rfmt>
    <rfmt sheetId="2" sqref="IG772" start="0" length="0">
      <dxf/>
    </rfmt>
    <rfmt sheetId="2" sqref="IH772" start="0" length="0">
      <dxf/>
    </rfmt>
    <rfmt sheetId="2" sqref="II772" start="0" length="0">
      <dxf/>
    </rfmt>
    <rfmt sheetId="2" sqref="IJ772" start="0" length="0">
      <dxf/>
    </rfmt>
    <rfmt sheetId="2" sqref="IK772" start="0" length="0">
      <dxf/>
    </rfmt>
    <rfmt sheetId="2" sqref="IL772" start="0" length="0">
      <dxf/>
    </rfmt>
    <rfmt sheetId="2" sqref="IM772" start="0" length="0">
      <dxf/>
    </rfmt>
    <rfmt sheetId="2" sqref="IN772" start="0" length="0">
      <dxf/>
    </rfmt>
    <rfmt sheetId="2" sqref="IO772" start="0" length="0">
      <dxf/>
    </rfmt>
    <rfmt sheetId="2" sqref="IP772" start="0" length="0">
      <dxf/>
    </rfmt>
    <rfmt sheetId="2" sqref="IQ772" start="0" length="0">
      <dxf/>
    </rfmt>
    <rfmt sheetId="2" sqref="IR772" start="0" length="0">
      <dxf/>
    </rfmt>
    <rfmt sheetId="2" sqref="IS772" start="0" length="0">
      <dxf/>
    </rfmt>
    <rfmt sheetId="2" sqref="IT772" start="0" length="0">
      <dxf/>
    </rfmt>
    <rfmt sheetId="2" sqref="IU772" start="0" length="0">
      <dxf/>
    </rfmt>
    <rfmt sheetId="2" sqref="IV772" start="0" length="0">
      <dxf/>
    </rfmt>
    <rfmt sheetId="2" sqref="IW772" start="0" length="0">
      <dxf/>
    </rfmt>
    <rfmt sheetId="2" sqref="IX772" start="0" length="0">
      <dxf/>
    </rfmt>
    <rfmt sheetId="2" sqref="IY772" start="0" length="0">
      <dxf/>
    </rfmt>
    <rfmt sheetId="2" sqref="IZ772" start="0" length="0">
      <dxf/>
    </rfmt>
    <rfmt sheetId="2" sqref="JA772" start="0" length="0">
      <dxf/>
    </rfmt>
    <rfmt sheetId="2" sqref="JB772" start="0" length="0">
      <dxf/>
    </rfmt>
    <rfmt sheetId="2" sqref="JC772" start="0" length="0">
      <dxf/>
    </rfmt>
    <rfmt sheetId="2" sqref="JD772" start="0" length="0">
      <dxf/>
    </rfmt>
    <rfmt sheetId="2" sqref="JE772" start="0" length="0">
      <dxf/>
    </rfmt>
    <rfmt sheetId="2" sqref="JF772" start="0" length="0">
      <dxf/>
    </rfmt>
    <rfmt sheetId="2" sqref="JG772" start="0" length="0">
      <dxf/>
    </rfmt>
    <rfmt sheetId="2" sqref="JH772" start="0" length="0">
      <dxf/>
    </rfmt>
    <rfmt sheetId="2" sqref="JI772" start="0" length="0">
      <dxf/>
    </rfmt>
    <rfmt sheetId="2" sqref="JJ772" start="0" length="0">
      <dxf/>
    </rfmt>
    <rfmt sheetId="2" sqref="JK772" start="0" length="0">
      <dxf/>
    </rfmt>
    <rfmt sheetId="2" sqref="JL772" start="0" length="0">
      <dxf/>
    </rfmt>
    <rfmt sheetId="2" sqref="JM772" start="0" length="0">
      <dxf/>
    </rfmt>
    <rfmt sheetId="2" sqref="JN772" start="0" length="0">
      <dxf/>
    </rfmt>
    <rfmt sheetId="2" sqref="JO772" start="0" length="0">
      <dxf/>
    </rfmt>
    <rfmt sheetId="2" sqref="JP772" start="0" length="0">
      <dxf/>
    </rfmt>
    <rfmt sheetId="2" sqref="JQ772" start="0" length="0">
      <dxf/>
    </rfmt>
    <rfmt sheetId="2" sqref="JR772" start="0" length="0">
      <dxf/>
    </rfmt>
    <rfmt sheetId="2" sqref="JS772" start="0" length="0">
      <dxf/>
    </rfmt>
    <rfmt sheetId="2" sqref="JT772" start="0" length="0">
      <dxf/>
    </rfmt>
    <rfmt sheetId="2" sqref="JU772" start="0" length="0">
      <dxf/>
    </rfmt>
    <rfmt sheetId="2" sqref="JV772" start="0" length="0">
      <dxf/>
    </rfmt>
    <rfmt sheetId="2" sqref="JW772" start="0" length="0">
      <dxf/>
    </rfmt>
    <rfmt sheetId="2" sqref="JX772" start="0" length="0">
      <dxf/>
    </rfmt>
    <rfmt sheetId="2" sqref="JY772" start="0" length="0">
      <dxf/>
    </rfmt>
    <rfmt sheetId="2" sqref="JZ772" start="0" length="0">
      <dxf/>
    </rfmt>
    <rfmt sheetId="2" sqref="KA772" start="0" length="0">
      <dxf/>
    </rfmt>
    <rfmt sheetId="2" sqref="KB772" start="0" length="0">
      <dxf/>
    </rfmt>
    <rfmt sheetId="2" sqref="KC772" start="0" length="0">
      <dxf/>
    </rfmt>
    <rfmt sheetId="2" sqref="KD772" start="0" length="0">
      <dxf/>
    </rfmt>
    <rfmt sheetId="2" sqref="KE772" start="0" length="0">
      <dxf/>
    </rfmt>
    <rfmt sheetId="2" sqref="KF772" start="0" length="0">
      <dxf/>
    </rfmt>
    <rfmt sheetId="2" sqref="KG772" start="0" length="0">
      <dxf/>
    </rfmt>
    <rfmt sheetId="2" sqref="KH772" start="0" length="0">
      <dxf/>
    </rfmt>
    <rfmt sheetId="2" sqref="KI772" start="0" length="0">
      <dxf/>
    </rfmt>
    <rfmt sheetId="2" sqref="KJ772" start="0" length="0">
      <dxf/>
    </rfmt>
    <rfmt sheetId="2" sqref="KK772" start="0" length="0">
      <dxf/>
    </rfmt>
    <rfmt sheetId="2" sqref="KL772" start="0" length="0">
      <dxf/>
    </rfmt>
    <rfmt sheetId="2" sqref="KM772" start="0" length="0">
      <dxf/>
    </rfmt>
    <rfmt sheetId="2" sqref="KN772" start="0" length="0">
      <dxf/>
    </rfmt>
    <rfmt sheetId="2" sqref="KO772" start="0" length="0">
      <dxf/>
    </rfmt>
    <rfmt sheetId="2" sqref="KP772" start="0" length="0">
      <dxf/>
    </rfmt>
    <rfmt sheetId="2" sqref="KQ772" start="0" length="0">
      <dxf/>
    </rfmt>
    <rfmt sheetId="2" sqref="KR772" start="0" length="0">
      <dxf/>
    </rfmt>
    <rfmt sheetId="2" sqref="KS772" start="0" length="0">
      <dxf/>
    </rfmt>
    <rfmt sheetId="2" sqref="KT772" start="0" length="0">
      <dxf/>
    </rfmt>
    <rfmt sheetId="2" sqref="KU772" start="0" length="0">
      <dxf/>
    </rfmt>
    <rfmt sheetId="2" sqref="KV772" start="0" length="0">
      <dxf/>
    </rfmt>
    <rfmt sheetId="2" sqref="KW772" start="0" length="0">
      <dxf/>
    </rfmt>
    <rfmt sheetId="2" sqref="KX772" start="0" length="0">
      <dxf/>
    </rfmt>
    <rfmt sheetId="2" sqref="KY772" start="0" length="0">
      <dxf/>
    </rfmt>
    <rfmt sheetId="2" sqref="KZ772" start="0" length="0">
      <dxf/>
    </rfmt>
    <rfmt sheetId="2" sqref="LA772" start="0" length="0">
      <dxf/>
    </rfmt>
    <rfmt sheetId="2" sqref="LB772" start="0" length="0">
      <dxf/>
    </rfmt>
    <rfmt sheetId="2" sqref="LC772" start="0" length="0">
      <dxf/>
    </rfmt>
    <rfmt sheetId="2" sqref="LD772" start="0" length="0">
      <dxf/>
    </rfmt>
    <rfmt sheetId="2" sqref="LE772" start="0" length="0">
      <dxf/>
    </rfmt>
    <rfmt sheetId="2" sqref="LF772" start="0" length="0">
      <dxf/>
    </rfmt>
    <rfmt sheetId="2" sqref="LG772" start="0" length="0">
      <dxf/>
    </rfmt>
    <rfmt sheetId="2" sqref="LH772" start="0" length="0">
      <dxf/>
    </rfmt>
    <rfmt sheetId="2" sqref="LI772" start="0" length="0">
      <dxf/>
    </rfmt>
    <rfmt sheetId="2" sqref="LJ772" start="0" length="0">
      <dxf/>
    </rfmt>
    <rfmt sheetId="2" sqref="LK772" start="0" length="0">
      <dxf/>
    </rfmt>
    <rfmt sheetId="2" sqref="LL772" start="0" length="0">
      <dxf/>
    </rfmt>
    <rfmt sheetId="2" sqref="LM772" start="0" length="0">
      <dxf/>
    </rfmt>
    <rfmt sheetId="2" sqref="LN772" start="0" length="0">
      <dxf/>
    </rfmt>
    <rfmt sheetId="2" sqref="LO772" start="0" length="0">
      <dxf/>
    </rfmt>
    <rfmt sheetId="2" sqref="LP772" start="0" length="0">
      <dxf/>
    </rfmt>
    <rfmt sheetId="2" sqref="LQ772" start="0" length="0">
      <dxf/>
    </rfmt>
    <rfmt sheetId="2" sqref="LR772" start="0" length="0">
      <dxf/>
    </rfmt>
    <rfmt sheetId="2" sqref="LS772" start="0" length="0">
      <dxf/>
    </rfmt>
    <rfmt sheetId="2" sqref="LT772" start="0" length="0">
      <dxf/>
    </rfmt>
    <rfmt sheetId="2" sqref="LU772" start="0" length="0">
      <dxf/>
    </rfmt>
    <rfmt sheetId="2" sqref="LV772" start="0" length="0">
      <dxf/>
    </rfmt>
    <rfmt sheetId="2" sqref="LW772" start="0" length="0">
      <dxf/>
    </rfmt>
    <rfmt sheetId="2" sqref="LX772" start="0" length="0">
      <dxf/>
    </rfmt>
    <rfmt sheetId="2" sqref="LY772" start="0" length="0">
      <dxf/>
    </rfmt>
    <rfmt sheetId="2" sqref="LZ772" start="0" length="0">
      <dxf/>
    </rfmt>
    <rfmt sheetId="2" sqref="MA772" start="0" length="0">
      <dxf/>
    </rfmt>
    <rfmt sheetId="2" sqref="MB772" start="0" length="0">
      <dxf/>
    </rfmt>
  </rm>
  <rrc rId="2304" sId="2" ref="A768:XFD768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5AFECFD9_E8A5_469F_BA7F_E625784BB00E_.wvu.Cols" sId="2"/>
    <undo index="0" exp="area" ref3D="1" dr="$A$1:$A$1048576" dn="Z_D108A94F_96BE_4B2E_9408_7CE19DC55699_.wvu.Cols" sId="2"/>
    <rfmt sheetId="2" xfDxf="1" sqref="A768:XFD768" start="0" length="0">
      <dxf>
        <font>
          <sz val="10"/>
          <name val="Arial"/>
          <scheme val="none"/>
        </font>
        <alignment horizontal="center" readingOrder="0"/>
      </dxf>
    </rfmt>
    <rfmt sheetId="2" sqref="A76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68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8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8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8" start="0" length="0">
      <dxf>
        <numFmt numFmtId="176" formatCode="m/d;@"/>
      </dxf>
    </rfmt>
    <rfmt sheetId="2" sqref="P76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8" start="0" length="0">
      <dxf/>
    </rfmt>
    <rfmt sheetId="2" sqref="U768" start="0" length="0">
      <dxf/>
    </rfmt>
    <rfmt sheetId="2" sqref="V768" start="0" length="0">
      <dxf/>
    </rfmt>
    <rfmt sheetId="2" sqref="W768" start="0" length="0">
      <dxf/>
    </rfmt>
    <rfmt sheetId="2" sqref="X768" start="0" length="0">
      <dxf/>
    </rfmt>
    <rfmt sheetId="2" sqref="Y768" start="0" length="0">
      <dxf/>
    </rfmt>
    <rfmt sheetId="2" sqref="Z768" start="0" length="0">
      <dxf/>
    </rfmt>
    <rfmt sheetId="2" sqref="AA768" start="0" length="0">
      <dxf/>
    </rfmt>
    <rfmt sheetId="2" sqref="AB768" start="0" length="0">
      <dxf/>
    </rfmt>
    <rfmt sheetId="2" sqref="AC768" start="0" length="0">
      <dxf/>
    </rfmt>
    <rfmt sheetId="2" sqref="AD768" start="0" length="0">
      <dxf/>
    </rfmt>
    <rfmt sheetId="2" sqref="AE768" start="0" length="0">
      <dxf/>
    </rfmt>
    <rfmt sheetId="2" sqref="AF768" start="0" length="0">
      <dxf/>
    </rfmt>
    <rfmt sheetId="2" sqref="AG768" start="0" length="0">
      <dxf/>
    </rfmt>
    <rfmt sheetId="2" sqref="AH768" start="0" length="0">
      <dxf/>
    </rfmt>
    <rfmt sheetId="2" sqref="AI768" start="0" length="0">
      <dxf/>
    </rfmt>
    <rfmt sheetId="2" sqref="AJ768" start="0" length="0">
      <dxf/>
    </rfmt>
    <rfmt sheetId="2" sqref="AK768" start="0" length="0">
      <dxf/>
    </rfmt>
    <rfmt sheetId="2" sqref="AL768" start="0" length="0">
      <dxf/>
    </rfmt>
    <rfmt sheetId="2" sqref="AM768" start="0" length="0">
      <dxf/>
    </rfmt>
    <rfmt sheetId="2" sqref="AN768" start="0" length="0">
      <dxf/>
    </rfmt>
    <rfmt sheetId="2" sqref="AO768" start="0" length="0">
      <dxf/>
    </rfmt>
    <rfmt sheetId="2" sqref="AP768" start="0" length="0">
      <dxf/>
    </rfmt>
    <rfmt sheetId="2" sqref="AQ768" start="0" length="0">
      <dxf/>
    </rfmt>
    <rfmt sheetId="2" sqref="AR768" start="0" length="0">
      <dxf/>
    </rfmt>
    <rfmt sheetId="2" sqref="AS768" start="0" length="0">
      <dxf/>
    </rfmt>
    <rfmt sheetId="2" sqref="AT768" start="0" length="0">
      <dxf/>
    </rfmt>
    <rfmt sheetId="2" sqref="AU768" start="0" length="0">
      <dxf/>
    </rfmt>
    <rfmt sheetId="2" sqref="AV768" start="0" length="0">
      <dxf/>
    </rfmt>
    <rfmt sheetId="2" sqref="AW768" start="0" length="0">
      <dxf/>
    </rfmt>
    <rfmt sheetId="2" sqref="AX768" start="0" length="0">
      <dxf/>
    </rfmt>
    <rfmt sheetId="2" sqref="AY768" start="0" length="0">
      <dxf/>
    </rfmt>
    <rfmt sheetId="2" sqref="AZ768" start="0" length="0">
      <dxf/>
    </rfmt>
    <rfmt sheetId="2" sqref="BA768" start="0" length="0">
      <dxf/>
    </rfmt>
    <rfmt sheetId="2" sqref="BB768" start="0" length="0">
      <dxf/>
    </rfmt>
    <rfmt sheetId="2" sqref="BC768" start="0" length="0">
      <dxf/>
    </rfmt>
    <rfmt sheetId="2" sqref="BD768" start="0" length="0">
      <dxf/>
    </rfmt>
    <rfmt sheetId="2" sqref="BE768" start="0" length="0">
      <dxf/>
    </rfmt>
    <rfmt sheetId="2" sqref="BF768" start="0" length="0">
      <dxf/>
    </rfmt>
    <rfmt sheetId="2" sqref="BG768" start="0" length="0">
      <dxf/>
    </rfmt>
    <rfmt sheetId="2" sqref="BH768" start="0" length="0">
      <dxf/>
    </rfmt>
    <rfmt sheetId="2" sqref="BI768" start="0" length="0">
      <dxf/>
    </rfmt>
    <rfmt sheetId="2" sqref="BJ768" start="0" length="0">
      <dxf/>
    </rfmt>
    <rfmt sheetId="2" sqref="BK768" start="0" length="0">
      <dxf/>
    </rfmt>
    <rfmt sheetId="2" sqref="BL768" start="0" length="0">
      <dxf/>
    </rfmt>
    <rfmt sheetId="2" sqref="BM768" start="0" length="0">
      <dxf/>
    </rfmt>
    <rfmt sheetId="2" sqref="BN768" start="0" length="0">
      <dxf/>
    </rfmt>
    <rfmt sheetId="2" sqref="BO768" start="0" length="0">
      <dxf/>
    </rfmt>
    <rfmt sheetId="2" sqref="BP768" start="0" length="0">
      <dxf/>
    </rfmt>
    <rfmt sheetId="2" sqref="BQ768" start="0" length="0">
      <dxf/>
    </rfmt>
    <rfmt sheetId="2" sqref="BR768" start="0" length="0">
      <dxf/>
    </rfmt>
    <rfmt sheetId="2" sqref="BS768" start="0" length="0">
      <dxf/>
    </rfmt>
    <rfmt sheetId="2" sqref="BT768" start="0" length="0">
      <dxf/>
    </rfmt>
    <rfmt sheetId="2" sqref="BU768" start="0" length="0">
      <dxf/>
    </rfmt>
    <rfmt sheetId="2" sqref="BV768" start="0" length="0">
      <dxf/>
    </rfmt>
    <rfmt sheetId="2" sqref="BW768" start="0" length="0">
      <dxf/>
    </rfmt>
    <rfmt sheetId="2" sqref="BX768" start="0" length="0">
      <dxf/>
    </rfmt>
    <rfmt sheetId="2" sqref="BY768" start="0" length="0">
      <dxf/>
    </rfmt>
    <rfmt sheetId="2" sqref="BZ768" start="0" length="0">
      <dxf/>
    </rfmt>
    <rfmt sheetId="2" sqref="CA768" start="0" length="0">
      <dxf/>
    </rfmt>
    <rfmt sheetId="2" sqref="CB768" start="0" length="0">
      <dxf/>
    </rfmt>
    <rfmt sheetId="2" sqref="CC768" start="0" length="0">
      <dxf/>
    </rfmt>
    <rfmt sheetId="2" sqref="CD768" start="0" length="0">
      <dxf/>
    </rfmt>
    <rfmt sheetId="2" sqref="CE768" start="0" length="0">
      <dxf/>
    </rfmt>
    <rfmt sheetId="2" sqref="CF768" start="0" length="0">
      <dxf/>
    </rfmt>
    <rfmt sheetId="2" sqref="CG768" start="0" length="0">
      <dxf/>
    </rfmt>
    <rfmt sheetId="2" sqref="CH768" start="0" length="0">
      <dxf/>
    </rfmt>
    <rfmt sheetId="2" sqref="CI768" start="0" length="0">
      <dxf/>
    </rfmt>
    <rfmt sheetId="2" sqref="CJ768" start="0" length="0">
      <dxf/>
    </rfmt>
    <rfmt sheetId="2" sqref="CK768" start="0" length="0">
      <dxf/>
    </rfmt>
    <rfmt sheetId="2" sqref="CL768" start="0" length="0">
      <dxf/>
    </rfmt>
    <rfmt sheetId="2" sqref="CM768" start="0" length="0">
      <dxf/>
    </rfmt>
    <rfmt sheetId="2" sqref="CN768" start="0" length="0">
      <dxf/>
    </rfmt>
    <rfmt sheetId="2" sqref="CO768" start="0" length="0">
      <dxf/>
    </rfmt>
    <rfmt sheetId="2" sqref="CP768" start="0" length="0">
      <dxf/>
    </rfmt>
    <rfmt sheetId="2" sqref="CQ768" start="0" length="0">
      <dxf/>
    </rfmt>
    <rfmt sheetId="2" sqref="CR768" start="0" length="0">
      <dxf/>
    </rfmt>
    <rfmt sheetId="2" sqref="CS768" start="0" length="0">
      <dxf/>
    </rfmt>
    <rfmt sheetId="2" sqref="CT768" start="0" length="0">
      <dxf/>
    </rfmt>
    <rfmt sheetId="2" sqref="CU768" start="0" length="0">
      <dxf/>
    </rfmt>
    <rfmt sheetId="2" sqref="CV768" start="0" length="0">
      <dxf/>
    </rfmt>
    <rfmt sheetId="2" sqref="CW768" start="0" length="0">
      <dxf/>
    </rfmt>
    <rfmt sheetId="2" sqref="CX768" start="0" length="0">
      <dxf/>
    </rfmt>
    <rfmt sheetId="2" sqref="CY768" start="0" length="0">
      <dxf/>
    </rfmt>
    <rfmt sheetId="2" sqref="CZ768" start="0" length="0">
      <dxf/>
    </rfmt>
    <rfmt sheetId="2" sqref="DA768" start="0" length="0">
      <dxf/>
    </rfmt>
    <rfmt sheetId="2" sqref="DB768" start="0" length="0">
      <dxf/>
    </rfmt>
    <rfmt sheetId="2" sqref="DC768" start="0" length="0">
      <dxf/>
    </rfmt>
    <rfmt sheetId="2" sqref="DD768" start="0" length="0">
      <dxf/>
    </rfmt>
    <rfmt sheetId="2" sqref="DE768" start="0" length="0">
      <dxf/>
    </rfmt>
    <rfmt sheetId="2" sqref="DF768" start="0" length="0">
      <dxf/>
    </rfmt>
    <rfmt sheetId="2" sqref="DG768" start="0" length="0">
      <dxf/>
    </rfmt>
    <rfmt sheetId="2" sqref="DH768" start="0" length="0">
      <dxf/>
    </rfmt>
    <rfmt sheetId="2" sqref="DI768" start="0" length="0">
      <dxf/>
    </rfmt>
    <rfmt sheetId="2" sqref="DJ768" start="0" length="0">
      <dxf/>
    </rfmt>
    <rfmt sheetId="2" sqref="DK768" start="0" length="0">
      <dxf/>
    </rfmt>
    <rfmt sheetId="2" sqref="DL768" start="0" length="0">
      <dxf/>
    </rfmt>
    <rfmt sheetId="2" sqref="DM768" start="0" length="0">
      <dxf/>
    </rfmt>
    <rfmt sheetId="2" sqref="DN768" start="0" length="0">
      <dxf/>
    </rfmt>
    <rfmt sheetId="2" sqref="DO768" start="0" length="0">
      <dxf/>
    </rfmt>
    <rfmt sheetId="2" sqref="DP768" start="0" length="0">
      <dxf/>
    </rfmt>
    <rfmt sheetId="2" sqref="DQ768" start="0" length="0">
      <dxf/>
    </rfmt>
    <rfmt sheetId="2" sqref="DR768" start="0" length="0">
      <dxf/>
    </rfmt>
    <rfmt sheetId="2" sqref="DS768" start="0" length="0">
      <dxf/>
    </rfmt>
    <rfmt sheetId="2" sqref="DT768" start="0" length="0">
      <dxf/>
    </rfmt>
    <rfmt sheetId="2" sqref="DU768" start="0" length="0">
      <dxf/>
    </rfmt>
    <rfmt sheetId="2" sqref="DV768" start="0" length="0">
      <dxf/>
    </rfmt>
    <rfmt sheetId="2" sqref="DW768" start="0" length="0">
      <dxf/>
    </rfmt>
    <rfmt sheetId="2" sqref="DX768" start="0" length="0">
      <dxf/>
    </rfmt>
    <rfmt sheetId="2" sqref="DY768" start="0" length="0">
      <dxf/>
    </rfmt>
    <rfmt sheetId="2" sqref="DZ768" start="0" length="0">
      <dxf/>
    </rfmt>
    <rfmt sheetId="2" sqref="EA768" start="0" length="0">
      <dxf/>
    </rfmt>
    <rfmt sheetId="2" sqref="EB768" start="0" length="0">
      <dxf/>
    </rfmt>
    <rfmt sheetId="2" sqref="EC768" start="0" length="0">
      <dxf/>
    </rfmt>
    <rfmt sheetId="2" sqref="ED768" start="0" length="0">
      <dxf/>
    </rfmt>
    <rfmt sheetId="2" sqref="EE768" start="0" length="0">
      <dxf/>
    </rfmt>
    <rfmt sheetId="2" sqref="EF768" start="0" length="0">
      <dxf/>
    </rfmt>
    <rfmt sheetId="2" sqref="EG768" start="0" length="0">
      <dxf/>
    </rfmt>
    <rfmt sheetId="2" sqref="EH768" start="0" length="0">
      <dxf/>
    </rfmt>
    <rfmt sheetId="2" sqref="EI768" start="0" length="0">
      <dxf/>
    </rfmt>
    <rfmt sheetId="2" sqref="EJ768" start="0" length="0">
      <dxf/>
    </rfmt>
    <rfmt sheetId="2" sqref="EK768" start="0" length="0">
      <dxf/>
    </rfmt>
    <rfmt sheetId="2" sqref="EL768" start="0" length="0">
      <dxf/>
    </rfmt>
    <rfmt sheetId="2" sqref="EM768" start="0" length="0">
      <dxf/>
    </rfmt>
    <rfmt sheetId="2" sqref="EN768" start="0" length="0">
      <dxf/>
    </rfmt>
    <rfmt sheetId="2" sqref="EO768" start="0" length="0">
      <dxf/>
    </rfmt>
    <rfmt sheetId="2" sqref="EP768" start="0" length="0">
      <dxf/>
    </rfmt>
    <rfmt sheetId="2" sqref="EQ768" start="0" length="0">
      <dxf/>
    </rfmt>
    <rfmt sheetId="2" sqref="ER768" start="0" length="0">
      <dxf/>
    </rfmt>
    <rfmt sheetId="2" sqref="ES768" start="0" length="0">
      <dxf/>
    </rfmt>
    <rfmt sheetId="2" sqref="ET768" start="0" length="0">
      <dxf/>
    </rfmt>
    <rfmt sheetId="2" sqref="EU768" start="0" length="0">
      <dxf/>
    </rfmt>
    <rfmt sheetId="2" sqref="EV768" start="0" length="0">
      <dxf/>
    </rfmt>
    <rfmt sheetId="2" sqref="EW768" start="0" length="0">
      <dxf/>
    </rfmt>
    <rfmt sheetId="2" sqref="EX768" start="0" length="0">
      <dxf/>
    </rfmt>
    <rfmt sheetId="2" sqref="EY768" start="0" length="0">
      <dxf/>
    </rfmt>
    <rfmt sheetId="2" sqref="EZ768" start="0" length="0">
      <dxf/>
    </rfmt>
    <rfmt sheetId="2" sqref="FA768" start="0" length="0">
      <dxf/>
    </rfmt>
    <rfmt sheetId="2" sqref="FB768" start="0" length="0">
      <dxf/>
    </rfmt>
    <rfmt sheetId="2" sqref="FC768" start="0" length="0">
      <dxf/>
    </rfmt>
    <rfmt sheetId="2" sqref="FD768" start="0" length="0">
      <dxf/>
    </rfmt>
    <rfmt sheetId="2" sqref="FE768" start="0" length="0">
      <dxf/>
    </rfmt>
    <rfmt sheetId="2" sqref="FF768" start="0" length="0">
      <dxf/>
    </rfmt>
    <rfmt sheetId="2" sqref="FG768" start="0" length="0">
      <dxf/>
    </rfmt>
    <rfmt sheetId="2" sqref="FH768" start="0" length="0">
      <dxf/>
    </rfmt>
    <rfmt sheetId="2" sqref="FI768" start="0" length="0">
      <dxf/>
    </rfmt>
    <rfmt sheetId="2" sqref="FJ768" start="0" length="0">
      <dxf/>
    </rfmt>
    <rfmt sheetId="2" sqref="FK768" start="0" length="0">
      <dxf/>
    </rfmt>
    <rfmt sheetId="2" sqref="FL768" start="0" length="0">
      <dxf/>
    </rfmt>
    <rfmt sheetId="2" sqref="FM768" start="0" length="0">
      <dxf/>
    </rfmt>
    <rfmt sheetId="2" sqref="FN768" start="0" length="0">
      <dxf/>
    </rfmt>
    <rfmt sheetId="2" sqref="FO768" start="0" length="0">
      <dxf/>
    </rfmt>
    <rfmt sheetId="2" sqref="FP768" start="0" length="0">
      <dxf/>
    </rfmt>
    <rfmt sheetId="2" sqref="FQ768" start="0" length="0">
      <dxf/>
    </rfmt>
    <rfmt sheetId="2" sqref="FR768" start="0" length="0">
      <dxf/>
    </rfmt>
    <rfmt sheetId="2" sqref="FS768" start="0" length="0">
      <dxf/>
    </rfmt>
    <rfmt sheetId="2" sqref="FT768" start="0" length="0">
      <dxf/>
    </rfmt>
    <rfmt sheetId="2" sqref="FU768" start="0" length="0">
      <dxf/>
    </rfmt>
    <rfmt sheetId="2" sqref="FV768" start="0" length="0">
      <dxf/>
    </rfmt>
    <rfmt sheetId="2" sqref="FW768" start="0" length="0">
      <dxf/>
    </rfmt>
    <rfmt sheetId="2" sqref="FX768" start="0" length="0">
      <dxf/>
    </rfmt>
    <rfmt sheetId="2" sqref="FY768" start="0" length="0">
      <dxf/>
    </rfmt>
    <rfmt sheetId="2" sqref="FZ768" start="0" length="0">
      <dxf/>
    </rfmt>
    <rfmt sheetId="2" sqref="GA768" start="0" length="0">
      <dxf/>
    </rfmt>
    <rfmt sheetId="2" sqref="GB768" start="0" length="0">
      <dxf/>
    </rfmt>
    <rfmt sheetId="2" sqref="GC768" start="0" length="0">
      <dxf/>
    </rfmt>
    <rfmt sheetId="2" sqref="GD768" start="0" length="0">
      <dxf/>
    </rfmt>
    <rfmt sheetId="2" sqref="GE768" start="0" length="0">
      <dxf/>
    </rfmt>
    <rfmt sheetId="2" sqref="GF768" start="0" length="0">
      <dxf/>
    </rfmt>
    <rfmt sheetId="2" sqref="GG768" start="0" length="0">
      <dxf/>
    </rfmt>
    <rfmt sheetId="2" sqref="GH768" start="0" length="0">
      <dxf/>
    </rfmt>
    <rfmt sheetId="2" sqref="GI768" start="0" length="0">
      <dxf/>
    </rfmt>
    <rfmt sheetId="2" sqref="GJ768" start="0" length="0">
      <dxf/>
    </rfmt>
    <rfmt sheetId="2" sqref="GK768" start="0" length="0">
      <dxf/>
    </rfmt>
    <rfmt sheetId="2" sqref="GL768" start="0" length="0">
      <dxf/>
    </rfmt>
    <rfmt sheetId="2" sqref="GM768" start="0" length="0">
      <dxf/>
    </rfmt>
    <rfmt sheetId="2" sqref="GN768" start="0" length="0">
      <dxf/>
    </rfmt>
    <rfmt sheetId="2" sqref="GO768" start="0" length="0">
      <dxf/>
    </rfmt>
    <rfmt sheetId="2" sqref="GP768" start="0" length="0">
      <dxf/>
    </rfmt>
    <rfmt sheetId="2" sqref="GQ768" start="0" length="0">
      <dxf/>
    </rfmt>
    <rfmt sheetId="2" sqref="GR768" start="0" length="0">
      <dxf/>
    </rfmt>
    <rfmt sheetId="2" sqref="GS768" start="0" length="0">
      <dxf/>
    </rfmt>
    <rfmt sheetId="2" sqref="GT768" start="0" length="0">
      <dxf/>
    </rfmt>
    <rfmt sheetId="2" sqref="GU768" start="0" length="0">
      <dxf/>
    </rfmt>
    <rfmt sheetId="2" sqref="GV768" start="0" length="0">
      <dxf/>
    </rfmt>
    <rfmt sheetId="2" sqref="GW768" start="0" length="0">
      <dxf/>
    </rfmt>
    <rfmt sheetId="2" sqref="GX768" start="0" length="0">
      <dxf/>
    </rfmt>
    <rfmt sheetId="2" sqref="GY768" start="0" length="0">
      <dxf/>
    </rfmt>
    <rfmt sheetId="2" sqref="GZ768" start="0" length="0">
      <dxf/>
    </rfmt>
    <rfmt sheetId="2" sqref="HA768" start="0" length="0">
      <dxf/>
    </rfmt>
    <rfmt sheetId="2" sqref="HB768" start="0" length="0">
      <dxf/>
    </rfmt>
    <rfmt sheetId="2" sqref="HC768" start="0" length="0">
      <dxf/>
    </rfmt>
    <rfmt sheetId="2" sqref="HD768" start="0" length="0">
      <dxf/>
    </rfmt>
    <rfmt sheetId="2" sqref="HE768" start="0" length="0">
      <dxf/>
    </rfmt>
    <rfmt sheetId="2" sqref="HF768" start="0" length="0">
      <dxf/>
    </rfmt>
    <rfmt sheetId="2" sqref="HG768" start="0" length="0">
      <dxf/>
    </rfmt>
    <rfmt sheetId="2" sqref="HH768" start="0" length="0">
      <dxf/>
    </rfmt>
    <rfmt sheetId="2" sqref="HI768" start="0" length="0">
      <dxf/>
    </rfmt>
    <rfmt sheetId="2" sqref="HJ768" start="0" length="0">
      <dxf/>
    </rfmt>
    <rfmt sheetId="2" sqref="HK768" start="0" length="0">
      <dxf/>
    </rfmt>
    <rfmt sheetId="2" sqref="HL768" start="0" length="0">
      <dxf/>
    </rfmt>
    <rfmt sheetId="2" sqref="HM768" start="0" length="0">
      <dxf/>
    </rfmt>
    <rfmt sheetId="2" sqref="HN768" start="0" length="0">
      <dxf/>
    </rfmt>
    <rfmt sheetId="2" sqref="HO768" start="0" length="0">
      <dxf/>
    </rfmt>
    <rfmt sheetId="2" sqref="HP768" start="0" length="0">
      <dxf/>
    </rfmt>
    <rfmt sheetId="2" sqref="HQ768" start="0" length="0">
      <dxf/>
    </rfmt>
    <rfmt sheetId="2" sqref="HR768" start="0" length="0">
      <dxf/>
    </rfmt>
    <rfmt sheetId="2" sqref="HS768" start="0" length="0">
      <dxf/>
    </rfmt>
    <rfmt sheetId="2" sqref="HT768" start="0" length="0">
      <dxf/>
    </rfmt>
    <rfmt sheetId="2" sqref="HU768" start="0" length="0">
      <dxf/>
    </rfmt>
    <rfmt sheetId="2" sqref="HV768" start="0" length="0">
      <dxf/>
    </rfmt>
    <rfmt sheetId="2" sqref="HW768" start="0" length="0">
      <dxf/>
    </rfmt>
    <rfmt sheetId="2" sqref="HX768" start="0" length="0">
      <dxf/>
    </rfmt>
    <rfmt sheetId="2" sqref="HY768" start="0" length="0">
      <dxf/>
    </rfmt>
    <rfmt sheetId="2" sqref="HZ768" start="0" length="0">
      <dxf/>
    </rfmt>
    <rfmt sheetId="2" sqref="IA768" start="0" length="0">
      <dxf/>
    </rfmt>
    <rfmt sheetId="2" sqref="IB768" start="0" length="0">
      <dxf/>
    </rfmt>
    <rfmt sheetId="2" sqref="IC768" start="0" length="0">
      <dxf/>
    </rfmt>
    <rfmt sheetId="2" sqref="ID768" start="0" length="0">
      <dxf/>
    </rfmt>
    <rfmt sheetId="2" sqref="IE768" start="0" length="0">
      <dxf/>
    </rfmt>
    <rfmt sheetId="2" sqref="IF768" start="0" length="0">
      <dxf/>
    </rfmt>
    <rfmt sheetId="2" sqref="IG768" start="0" length="0">
      <dxf/>
    </rfmt>
    <rfmt sheetId="2" sqref="IH768" start="0" length="0">
      <dxf/>
    </rfmt>
    <rfmt sheetId="2" sqref="II768" start="0" length="0">
      <dxf/>
    </rfmt>
    <rfmt sheetId="2" sqref="IJ768" start="0" length="0">
      <dxf/>
    </rfmt>
    <rfmt sheetId="2" sqref="IK768" start="0" length="0">
      <dxf/>
    </rfmt>
    <rfmt sheetId="2" sqref="IL768" start="0" length="0">
      <dxf/>
    </rfmt>
    <rfmt sheetId="2" sqref="IM768" start="0" length="0">
      <dxf/>
    </rfmt>
    <rfmt sheetId="2" sqref="IN768" start="0" length="0">
      <dxf/>
    </rfmt>
    <rfmt sheetId="2" sqref="IO768" start="0" length="0">
      <dxf/>
    </rfmt>
    <rfmt sheetId="2" sqref="IP768" start="0" length="0">
      <dxf/>
    </rfmt>
    <rfmt sheetId="2" sqref="IQ768" start="0" length="0">
      <dxf/>
    </rfmt>
    <rfmt sheetId="2" sqref="IR768" start="0" length="0">
      <dxf/>
    </rfmt>
    <rfmt sheetId="2" sqref="IS768" start="0" length="0">
      <dxf/>
    </rfmt>
    <rfmt sheetId="2" sqref="IT768" start="0" length="0">
      <dxf/>
    </rfmt>
    <rfmt sheetId="2" sqref="IU768" start="0" length="0">
      <dxf/>
    </rfmt>
    <rfmt sheetId="2" sqref="IV768" start="0" length="0">
      <dxf/>
    </rfmt>
    <rfmt sheetId="2" sqref="IW768" start="0" length="0">
      <dxf/>
    </rfmt>
    <rfmt sheetId="2" sqref="IX768" start="0" length="0">
      <dxf/>
    </rfmt>
    <rfmt sheetId="2" sqref="IY768" start="0" length="0">
      <dxf/>
    </rfmt>
    <rfmt sheetId="2" sqref="IZ768" start="0" length="0">
      <dxf/>
    </rfmt>
    <rfmt sheetId="2" sqref="JA768" start="0" length="0">
      <dxf/>
    </rfmt>
    <rfmt sheetId="2" sqref="JB768" start="0" length="0">
      <dxf/>
    </rfmt>
    <rfmt sheetId="2" sqref="JC768" start="0" length="0">
      <dxf/>
    </rfmt>
    <rfmt sheetId="2" sqref="JD768" start="0" length="0">
      <dxf/>
    </rfmt>
    <rfmt sheetId="2" sqref="JE768" start="0" length="0">
      <dxf/>
    </rfmt>
    <rfmt sheetId="2" sqref="JF768" start="0" length="0">
      <dxf/>
    </rfmt>
    <rfmt sheetId="2" sqref="JG768" start="0" length="0">
      <dxf/>
    </rfmt>
    <rfmt sheetId="2" sqref="JH768" start="0" length="0">
      <dxf/>
    </rfmt>
    <rfmt sheetId="2" sqref="JI768" start="0" length="0">
      <dxf/>
    </rfmt>
    <rfmt sheetId="2" sqref="JJ768" start="0" length="0">
      <dxf/>
    </rfmt>
    <rfmt sheetId="2" sqref="JK768" start="0" length="0">
      <dxf/>
    </rfmt>
    <rfmt sheetId="2" sqref="JL768" start="0" length="0">
      <dxf/>
    </rfmt>
    <rfmt sheetId="2" sqref="JM768" start="0" length="0">
      <dxf/>
    </rfmt>
    <rfmt sheetId="2" sqref="JN768" start="0" length="0">
      <dxf/>
    </rfmt>
    <rfmt sheetId="2" sqref="JO768" start="0" length="0">
      <dxf/>
    </rfmt>
    <rfmt sheetId="2" sqref="JP768" start="0" length="0">
      <dxf/>
    </rfmt>
    <rfmt sheetId="2" sqref="JQ768" start="0" length="0">
      <dxf/>
    </rfmt>
    <rfmt sheetId="2" sqref="JR768" start="0" length="0">
      <dxf/>
    </rfmt>
    <rfmt sheetId="2" sqref="JS768" start="0" length="0">
      <dxf/>
    </rfmt>
    <rfmt sheetId="2" sqref="JT768" start="0" length="0">
      <dxf/>
    </rfmt>
    <rfmt sheetId="2" sqref="JU768" start="0" length="0">
      <dxf/>
    </rfmt>
    <rfmt sheetId="2" sqref="JV768" start="0" length="0">
      <dxf/>
    </rfmt>
    <rfmt sheetId="2" sqref="JW768" start="0" length="0">
      <dxf/>
    </rfmt>
    <rfmt sheetId="2" sqref="JX768" start="0" length="0">
      <dxf/>
    </rfmt>
    <rfmt sheetId="2" sqref="JY768" start="0" length="0">
      <dxf/>
    </rfmt>
    <rfmt sheetId="2" sqref="JZ768" start="0" length="0">
      <dxf/>
    </rfmt>
    <rfmt sheetId="2" sqref="KA768" start="0" length="0">
      <dxf/>
    </rfmt>
    <rfmt sheetId="2" sqref="KB768" start="0" length="0">
      <dxf/>
    </rfmt>
    <rfmt sheetId="2" sqref="KC768" start="0" length="0">
      <dxf/>
    </rfmt>
    <rfmt sheetId="2" sqref="KD768" start="0" length="0">
      <dxf/>
    </rfmt>
    <rfmt sheetId="2" sqref="KE768" start="0" length="0">
      <dxf/>
    </rfmt>
    <rfmt sheetId="2" sqref="KF768" start="0" length="0">
      <dxf/>
    </rfmt>
    <rfmt sheetId="2" sqref="KG768" start="0" length="0">
      <dxf/>
    </rfmt>
    <rfmt sheetId="2" sqref="KH768" start="0" length="0">
      <dxf/>
    </rfmt>
    <rfmt sheetId="2" sqref="KI768" start="0" length="0">
      <dxf/>
    </rfmt>
    <rfmt sheetId="2" sqref="KJ768" start="0" length="0">
      <dxf/>
    </rfmt>
    <rfmt sheetId="2" sqref="KK768" start="0" length="0">
      <dxf/>
    </rfmt>
    <rfmt sheetId="2" sqref="KL768" start="0" length="0">
      <dxf/>
    </rfmt>
    <rfmt sheetId="2" sqref="KM768" start="0" length="0">
      <dxf/>
    </rfmt>
    <rfmt sheetId="2" sqref="KN768" start="0" length="0">
      <dxf/>
    </rfmt>
    <rfmt sheetId="2" sqref="KO768" start="0" length="0">
      <dxf/>
    </rfmt>
    <rfmt sheetId="2" sqref="KP768" start="0" length="0">
      <dxf/>
    </rfmt>
    <rfmt sheetId="2" sqref="KQ768" start="0" length="0">
      <dxf/>
    </rfmt>
    <rfmt sheetId="2" sqref="KR768" start="0" length="0">
      <dxf/>
    </rfmt>
    <rfmt sheetId="2" sqref="KS768" start="0" length="0">
      <dxf/>
    </rfmt>
    <rfmt sheetId="2" sqref="KT768" start="0" length="0">
      <dxf/>
    </rfmt>
    <rfmt sheetId="2" sqref="KU768" start="0" length="0">
      <dxf/>
    </rfmt>
    <rfmt sheetId="2" sqref="KV768" start="0" length="0">
      <dxf/>
    </rfmt>
    <rfmt sheetId="2" sqref="KW768" start="0" length="0">
      <dxf/>
    </rfmt>
    <rfmt sheetId="2" sqref="KX768" start="0" length="0">
      <dxf/>
    </rfmt>
    <rfmt sheetId="2" sqref="KY768" start="0" length="0">
      <dxf/>
    </rfmt>
    <rfmt sheetId="2" sqref="KZ768" start="0" length="0">
      <dxf/>
    </rfmt>
    <rfmt sheetId="2" sqref="LA768" start="0" length="0">
      <dxf/>
    </rfmt>
    <rfmt sheetId="2" sqref="LB768" start="0" length="0">
      <dxf/>
    </rfmt>
    <rfmt sheetId="2" sqref="LC768" start="0" length="0">
      <dxf/>
    </rfmt>
    <rfmt sheetId="2" sqref="LD768" start="0" length="0">
      <dxf/>
    </rfmt>
    <rfmt sheetId="2" sqref="LE768" start="0" length="0">
      <dxf/>
    </rfmt>
    <rfmt sheetId="2" sqref="LF768" start="0" length="0">
      <dxf/>
    </rfmt>
    <rfmt sheetId="2" sqref="LG768" start="0" length="0">
      <dxf/>
    </rfmt>
    <rfmt sheetId="2" sqref="LH768" start="0" length="0">
      <dxf/>
    </rfmt>
    <rfmt sheetId="2" sqref="LI768" start="0" length="0">
      <dxf/>
    </rfmt>
    <rfmt sheetId="2" sqref="LJ768" start="0" length="0">
      <dxf/>
    </rfmt>
    <rfmt sheetId="2" sqref="LK768" start="0" length="0">
      <dxf/>
    </rfmt>
    <rfmt sheetId="2" sqref="LL768" start="0" length="0">
      <dxf/>
    </rfmt>
    <rfmt sheetId="2" sqref="LM768" start="0" length="0">
      <dxf/>
    </rfmt>
    <rfmt sheetId="2" sqref="LN768" start="0" length="0">
      <dxf/>
    </rfmt>
    <rfmt sheetId="2" sqref="LO768" start="0" length="0">
      <dxf/>
    </rfmt>
    <rfmt sheetId="2" sqref="LP768" start="0" length="0">
      <dxf/>
    </rfmt>
    <rfmt sheetId="2" sqref="LQ768" start="0" length="0">
      <dxf/>
    </rfmt>
    <rfmt sheetId="2" sqref="LR768" start="0" length="0">
      <dxf/>
    </rfmt>
    <rfmt sheetId="2" sqref="LS768" start="0" length="0">
      <dxf/>
    </rfmt>
    <rfmt sheetId="2" sqref="LT768" start="0" length="0">
      <dxf/>
    </rfmt>
    <rfmt sheetId="2" sqref="LU768" start="0" length="0">
      <dxf/>
    </rfmt>
    <rfmt sheetId="2" sqref="LV768" start="0" length="0">
      <dxf/>
    </rfmt>
    <rfmt sheetId="2" sqref="LW768" start="0" length="0">
      <dxf/>
    </rfmt>
    <rfmt sheetId="2" sqref="LX768" start="0" length="0">
      <dxf/>
    </rfmt>
    <rfmt sheetId="2" sqref="LY768" start="0" length="0">
      <dxf/>
    </rfmt>
    <rfmt sheetId="2" sqref="LZ768" start="0" length="0">
      <dxf/>
    </rfmt>
    <rfmt sheetId="2" sqref="MA768" start="0" length="0">
      <dxf/>
    </rfmt>
    <rfmt sheetId="2" sqref="MB768" start="0" length="0">
      <dxf/>
    </rfmt>
  </rrc>
  <rcv guid="{D108A94F-96BE-4B2E-9408-7CE19DC55699}" action="delete"/>
  <rdn rId="0" localSheetId="1" customView="1" name="Z_D108A94F_96BE_4B2E_9408_7CE19DC55699_.wvu.PrintArea" hidden="1" oldHidden="1">
    <formula>'IPAHQ(TANK)-竹科'!$A$1:$Q$2</formula>
    <oldFormula>'IPAHQ(TANK)-竹科'!$A$1:$Q$2</oldFormula>
  </rdn>
  <rdn rId="0" localSheetId="1" customView="1" name="Z_D108A94F_96BE_4B2E_9408_7CE19DC55699_.wvu.Cols" hidden="1" oldHidden="1">
    <formula>'IPAHQ(TANK)-竹科'!$A:$A</formula>
    <oldFormula>'IPAHQ(TANK)-竹科'!$A:$A</oldFormula>
  </rdn>
  <rdn rId="0" localSheetId="1" customView="1" name="Z_D108A94F_96BE_4B2E_9408_7CE19DC55699_.wvu.FilterData" hidden="1" oldHidden="1">
    <formula>'IPAHQ(TANK)-竹科'!$A$2:$T$181</formula>
    <oldFormula>'IPAHQ(TANK)-竹科'!$A$2:$T$181</oldFormula>
  </rdn>
  <rdn rId="0" localSheetId="2" customView="1" name="Z_D108A94F_96BE_4B2E_9408_7CE19DC55699_.wvu.PrintArea" hidden="1" oldHidden="1">
    <formula>'IPAHQ(TANK)-中科'!$A$1:$P$2</formula>
    <oldFormula>'IPAHQ(TANK)-中科'!$A$1:$P$2</oldFormula>
  </rdn>
  <rdn rId="0" localSheetId="2" customView="1" name="Z_D108A94F_96BE_4B2E_9408_7CE19DC55699_.wvu.Cols" hidden="1" oldHidden="1">
    <formula>'IPAHQ(TANK)-中科'!$A:$A</formula>
    <oldFormula>'IPAHQ(TANK)-中科'!$A:$A</oldFormula>
  </rdn>
  <rdn rId="0" localSheetId="2" customView="1" name="Z_D108A94F_96BE_4B2E_9408_7CE19DC55699_.wvu.FilterData" hidden="1" oldHidden="1">
    <formula>'IPAHQ(TANK)-中科'!$A$2:$S$906</formula>
    <oldFormula>'IPAHQ(TANK)-中科'!$A$2:$S$906</oldFormula>
  </rdn>
  <rdn rId="0" localSheetId="3" customView="1" name="Z_D108A94F_96BE_4B2E_9408_7CE19DC55699_.wvu.PrintArea" hidden="1" oldHidden="1">
    <formula>'IPAHQ(TANK)-12P3'!$A$1:$Q$2</formula>
    <oldFormula>'IPAHQ(TANK)-12P3'!$A$1:$Q$2</oldFormula>
  </rdn>
  <rdn rId="0" localSheetId="3" customView="1" name="Z_D108A94F_96BE_4B2E_9408_7CE19DC55699_.wvu.Cols" hidden="1" oldHidden="1">
    <formula>'IPAHQ(TANK)-12P3'!$A:$A</formula>
    <oldFormula>'IPAHQ(TANK)-12P3'!$A:$A</oldFormula>
  </rdn>
  <rdn rId="0" localSheetId="3" customView="1" name="Z_D108A94F_96BE_4B2E_9408_7CE19DC55699_.wvu.FilterData" hidden="1" oldHidden="1">
    <formula>'IPAHQ(TANK)-12P3'!$A$2:$T$22</formula>
    <oldFormula>'IPAHQ(TANK)-12P3'!$A$2:$T$22</oldFormula>
  </rdn>
  <rdn rId="0" localSheetId="4" customView="1" name="Z_D108A94F_96BE_4B2E_9408_7CE19DC55699_.wvu.PrintArea" hidden="1" oldHidden="1">
    <formula>'IPAHQ(TANK)-南科'!$A$1:$P$2</formula>
    <oldFormula>'IPAHQ(TANK)-南科'!$A$1:$P$2</oldFormula>
  </rdn>
  <rdn rId="0" localSheetId="4" customView="1" name="Z_D108A94F_96BE_4B2E_9408_7CE19DC55699_.wvu.Cols" hidden="1" oldHidden="1">
    <formula>'IPAHQ(TANK)-南科'!$A:$A</formula>
    <oldFormula>'IPAHQ(TANK)-南科'!$A:$A</oldFormula>
  </rdn>
  <rdn rId="0" localSheetId="4" customView="1" name="Z_D108A94F_96BE_4B2E_9408_7CE19DC55699_.wvu.FilterData" hidden="1" oldHidden="1">
    <formula>'IPAHQ(TANK)-南科'!$A$2:$S$191</formula>
    <oldFormula>'IPAHQ(TANK)-南科'!$A$2:$S$191</oldFormula>
  </rdn>
  <rcv guid="{D108A94F-96BE-4B2E-9408-7CE19DC55699}" action="add"/>
</revisions>
</file>

<file path=xl/revisions/revisionLog1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17" sId="2" numFmtId="25">
    <nc r="N764">
      <v>0</v>
    </nc>
  </rcc>
  <rcc rId="2318" sId="2" numFmtId="25">
    <nc r="N765">
      <v>0.625</v>
    </nc>
  </rcc>
  <rcc rId="2319" sId="2" numFmtId="25">
    <nc r="N766">
      <v>0</v>
    </nc>
  </rcc>
  <rcc rId="2320" sId="2" numFmtId="25">
    <nc r="N767">
      <v>0.5</v>
    </nc>
  </rcc>
</revisions>
</file>

<file path=xl/revisions/revisionLog1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1" sId="2">
    <nc r="C764" t="inlineStr">
      <is>
        <t>26911E3031</t>
        <phoneticPr fontId="0" type="noConversion"/>
      </is>
    </nc>
  </rcc>
  <rcc rId="2322" sId="2">
    <nc r="C765" t="inlineStr">
      <is>
        <t>26911E3021</t>
        <phoneticPr fontId="0" type="noConversion"/>
      </is>
    </nc>
  </rcc>
  <rcc rId="2323" sId="2">
    <nc r="C766" t="inlineStr">
      <is>
        <t>26912E3181</t>
        <phoneticPr fontId="0" type="noConversion"/>
      </is>
    </nc>
  </rcc>
  <rcc rId="2324" sId="2">
    <nc r="C767" t="inlineStr">
      <is>
        <t>26912E3171</t>
        <phoneticPr fontId="0" type="noConversion"/>
      </is>
    </nc>
  </rcc>
</revisions>
</file>

<file path=xl/revisions/revisionLog1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25" sId="2">
    <oc r="C765" t="inlineStr">
      <is>
        <t>26911E3021</t>
        <phoneticPr fontId="0" type="noConversion"/>
      </is>
    </oc>
    <nc r="C765" t="inlineStr">
      <is>
        <t>26911E3021</t>
        <phoneticPr fontId="0" type="noConversion"/>
      </is>
    </nc>
  </rcc>
  <rcc rId="2326" sId="2">
    <oc r="G765" t="inlineStr">
      <is>
        <t>4800384805/400</t>
        <phoneticPr fontId="0" type="noConversion"/>
      </is>
    </oc>
    <nc r="G765" t="inlineStr">
      <is>
        <t>4800384805/400</t>
        <phoneticPr fontId="0" type="noConversion"/>
      </is>
    </nc>
  </rcc>
  <rcc rId="2327" sId="2">
    <oc r="C767" t="inlineStr">
      <is>
        <t>26912E3171</t>
        <phoneticPr fontId="0" type="noConversion"/>
      </is>
    </oc>
    <nc r="C767" t="inlineStr">
      <is>
        <t>26912E3171</t>
        <phoneticPr fontId="0" type="noConversion"/>
      </is>
    </nc>
  </rcc>
  <rcv guid="{D108A94F-96BE-4B2E-9408-7CE19DC55699}" action="delete"/>
  <rdn rId="0" localSheetId="1" customView="1" name="Z_D108A94F_96BE_4B2E_9408_7CE19DC55699_.wvu.PrintArea" hidden="1" oldHidden="1">
    <formula>'IPAHQ(TANK)-竹科'!$A$1:$Q$2</formula>
    <oldFormula>'IPAHQ(TANK)-竹科'!$A$1:$Q$2</oldFormula>
  </rdn>
  <rdn rId="0" localSheetId="1" customView="1" name="Z_D108A94F_96BE_4B2E_9408_7CE19DC55699_.wvu.Cols" hidden="1" oldHidden="1">
    <formula>'IPAHQ(TANK)-竹科'!$A:$A</formula>
    <oldFormula>'IPAHQ(TANK)-竹科'!$A:$A</oldFormula>
  </rdn>
  <rdn rId="0" localSheetId="1" customView="1" name="Z_D108A94F_96BE_4B2E_9408_7CE19DC55699_.wvu.FilterData" hidden="1" oldHidden="1">
    <formula>'IPAHQ(TANK)-竹科'!$A$2:$T$181</formula>
    <oldFormula>'IPAHQ(TANK)-竹科'!$A$2:$T$181</oldFormula>
  </rdn>
  <rdn rId="0" localSheetId="2" customView="1" name="Z_D108A94F_96BE_4B2E_9408_7CE19DC55699_.wvu.PrintArea" hidden="1" oldHidden="1">
    <formula>'IPAHQ(TANK)-中科'!$A$1:$P$2</formula>
    <oldFormula>'IPAHQ(TANK)-中科'!$A$1:$P$2</oldFormula>
  </rdn>
  <rdn rId="0" localSheetId="2" customView="1" name="Z_D108A94F_96BE_4B2E_9408_7CE19DC55699_.wvu.Cols" hidden="1" oldHidden="1">
    <formula>'IPAHQ(TANK)-中科'!$A:$A</formula>
    <oldFormula>'IPAHQ(TANK)-中科'!$A:$A</oldFormula>
  </rdn>
  <rdn rId="0" localSheetId="2" customView="1" name="Z_D108A94F_96BE_4B2E_9408_7CE19DC55699_.wvu.FilterData" hidden="1" oldHidden="1">
    <formula>'IPAHQ(TANK)-中科'!$A$2:$S$906</formula>
    <oldFormula>'IPAHQ(TANK)-中科'!$A$2:$S$906</oldFormula>
  </rdn>
  <rdn rId="0" localSheetId="3" customView="1" name="Z_D108A94F_96BE_4B2E_9408_7CE19DC55699_.wvu.PrintArea" hidden="1" oldHidden="1">
    <formula>'IPAHQ(TANK)-12P3'!$A$1:$Q$2</formula>
    <oldFormula>'IPAHQ(TANK)-12P3'!$A$1:$Q$2</oldFormula>
  </rdn>
  <rdn rId="0" localSheetId="3" customView="1" name="Z_D108A94F_96BE_4B2E_9408_7CE19DC55699_.wvu.Cols" hidden="1" oldHidden="1">
    <formula>'IPAHQ(TANK)-12P3'!$A:$A</formula>
    <oldFormula>'IPAHQ(TANK)-12P3'!$A:$A</oldFormula>
  </rdn>
  <rdn rId="0" localSheetId="3" customView="1" name="Z_D108A94F_96BE_4B2E_9408_7CE19DC55699_.wvu.FilterData" hidden="1" oldHidden="1">
    <formula>'IPAHQ(TANK)-12P3'!$A$2:$T$22</formula>
    <oldFormula>'IPAHQ(TANK)-12P3'!$A$2:$T$22</oldFormula>
  </rdn>
  <rdn rId="0" localSheetId="4" customView="1" name="Z_D108A94F_96BE_4B2E_9408_7CE19DC55699_.wvu.PrintArea" hidden="1" oldHidden="1">
    <formula>'IPAHQ(TANK)-南科'!$A$1:$P$2</formula>
    <oldFormula>'IPAHQ(TANK)-南科'!$A$1:$P$2</oldFormula>
  </rdn>
  <rdn rId="0" localSheetId="4" customView="1" name="Z_D108A94F_96BE_4B2E_9408_7CE19DC55699_.wvu.Cols" hidden="1" oldHidden="1">
    <formula>'IPAHQ(TANK)-南科'!$A:$A</formula>
    <oldFormula>'IPAHQ(TANK)-南科'!$A:$A</oldFormula>
  </rdn>
  <rdn rId="0" localSheetId="4" customView="1" name="Z_D108A94F_96BE_4B2E_9408_7CE19DC55699_.wvu.FilterData" hidden="1" oldHidden="1">
    <formula>'IPAHQ(TANK)-南科'!$A$2:$S$191</formula>
    <oldFormula>'IPAHQ(TANK)-南科'!$A$2:$S$191</oldFormula>
  </rdn>
  <rcv guid="{D108A94F-96BE-4B2E-9408-7CE19DC55699}" action="add"/>
</revisions>
</file>

<file path=xl/revisions/revisionLog1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0" sId="2">
    <oc r="G766" t="inlineStr">
      <is>
        <t>4800384805/300</t>
        <phoneticPr fontId="0" type="noConversion"/>
      </is>
    </oc>
    <nc r="G766" t="inlineStr">
      <is>
        <t>4800384805/300</t>
        <phoneticPr fontId="0" type="noConversion"/>
      </is>
    </nc>
  </rcc>
  <rcc rId="2341" sId="2">
    <oc r="C766" t="inlineStr">
      <is>
        <t>26912E3181</t>
        <phoneticPr fontId="0" type="noConversion"/>
      </is>
    </oc>
    <nc r="C766" t="inlineStr">
      <is>
        <t>26912E3181</t>
        <phoneticPr fontId="0" type="noConversion"/>
      </is>
    </nc>
  </rcc>
  <rcc rId="2342" sId="2">
    <oc r="C767" t="inlineStr">
      <is>
        <t>26912E3171</t>
        <phoneticPr fontId="0" type="noConversion"/>
      </is>
    </oc>
    <nc r="C767" t="inlineStr">
      <is>
        <t>26912E3171</t>
        <phoneticPr fontId="0" type="noConversion"/>
      </is>
    </nc>
  </rcc>
  <rcc rId="2343" sId="2">
    <oc r="C764" t="inlineStr">
      <is>
        <t>26911E3031</t>
        <phoneticPr fontId="0" type="noConversion"/>
      </is>
    </oc>
    <nc r="C764" t="inlineStr">
      <is>
        <t>26911E3031</t>
        <phoneticPr fontId="0" type="noConversion"/>
      </is>
    </nc>
  </rcc>
  <rcc rId="2344" sId="2">
    <oc r="C765" t="inlineStr">
      <is>
        <t>26911E3021</t>
        <phoneticPr fontId="0" type="noConversion"/>
      </is>
    </oc>
    <nc r="C765" t="inlineStr">
      <is>
        <t>26911E3021</t>
        <phoneticPr fontId="0" type="noConversion"/>
      </is>
    </nc>
  </rcc>
  <rfmt sheetId="2" sqref="B764:B767" start="0" length="2147483647">
    <dxf>
      <font>
        <color theme="1"/>
      </font>
    </dxf>
  </rfmt>
  <rfmt sheetId="2" sqref="B765" start="0" length="2147483647">
    <dxf>
      <font>
        <color rgb="FFFFC000"/>
      </font>
    </dxf>
  </rfmt>
  <rfmt sheetId="2" sqref="B765" start="0" length="2147483647">
    <dxf>
      <font>
        <color rgb="FFFF0000"/>
      </font>
    </dxf>
  </rfmt>
  <rfmt sheetId="2" sqref="B767" start="0" length="2147483647">
    <dxf>
      <font>
        <color rgb="FFFF0000"/>
      </font>
    </dxf>
  </rfmt>
</revisions>
</file>

<file path=xl/revisions/revisionLog1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45" sId="2">
    <nc r="C771" t="inlineStr">
      <is>
        <t>26912E3071</t>
        <phoneticPr fontId="30160" type="noConversion"/>
      </is>
    </nc>
  </rcc>
  <rcc rId="2346" sId="2" numFmtId="19">
    <oc r="B771">
      <v>46280</v>
    </oc>
    <nc r="B771">
      <v>46279</v>
    </nc>
  </rcc>
  <rfmt sheetId="2" sqref="B771" start="0" length="2147483647">
    <dxf>
      <font>
        <color rgb="FF0000FF"/>
      </font>
    </dxf>
  </rfmt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1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59" sId="2" ref="A768:XFD768" action="insertRow">
    <undo index="0" exp="area" ref3D="1" dr="$A$1:$A$1048576" dn="Z_D108A94F_96BE_4B2E_9408_7CE19DC55699_.wvu.Cols" sId="2"/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  <undo index="0" exp="area" ref3D="1" dr="$A$1:$A$1048576" dn="Z_8578D927_8BDE_4C99_A2DB_3E44DFA36FF2_.wvu.Cols" sId="2"/>
  </rrc>
  <rm rId="2360" sheetId="2" source="A772:XFD772" destination="A768:XFD768" sourceSheetId="2">
    <rfmt sheetId="2" xfDxf="1" sqref="A768:XFD768" start="0" length="0">
      <dxf>
        <font>
          <sz val="10"/>
          <name val="Arial"/>
          <scheme val="none"/>
        </font>
        <alignment horizontal="center" readingOrder="0"/>
      </dxf>
    </rfmt>
    <rfmt sheetId="2" sqref="A76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68" start="0" length="0">
      <dxf>
        <font>
          <sz val="10"/>
          <color rgb="FFFF0000"/>
          <name val="Arial"/>
          <scheme val="none"/>
        </font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6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6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6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6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6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6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6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6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68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6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68" start="0" length="0">
      <dxf>
        <numFmt numFmtId="25" formatCode="hh:mm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68" start="0" length="0">
      <dxf>
        <numFmt numFmtId="176" formatCode="m/d;@"/>
      </dxf>
    </rfmt>
    <rfmt sheetId="2" sqref="P76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68" start="0" length="0">
      <dxf/>
    </rfmt>
    <rfmt sheetId="2" sqref="U768" start="0" length="0">
      <dxf/>
    </rfmt>
    <rfmt sheetId="2" sqref="V768" start="0" length="0">
      <dxf/>
    </rfmt>
    <rfmt sheetId="2" sqref="W768" start="0" length="0">
      <dxf/>
    </rfmt>
    <rfmt sheetId="2" sqref="X768" start="0" length="0">
      <dxf/>
    </rfmt>
    <rfmt sheetId="2" sqref="Y768" start="0" length="0">
      <dxf/>
    </rfmt>
    <rfmt sheetId="2" sqref="Z768" start="0" length="0">
      <dxf/>
    </rfmt>
    <rfmt sheetId="2" sqref="AA768" start="0" length="0">
      <dxf/>
    </rfmt>
    <rfmt sheetId="2" sqref="AB768" start="0" length="0">
      <dxf/>
    </rfmt>
    <rfmt sheetId="2" sqref="AC768" start="0" length="0">
      <dxf/>
    </rfmt>
    <rfmt sheetId="2" sqref="AD768" start="0" length="0">
      <dxf/>
    </rfmt>
    <rfmt sheetId="2" sqref="AE768" start="0" length="0">
      <dxf/>
    </rfmt>
    <rfmt sheetId="2" sqref="AF768" start="0" length="0">
      <dxf/>
    </rfmt>
    <rfmt sheetId="2" sqref="AG768" start="0" length="0">
      <dxf/>
    </rfmt>
    <rfmt sheetId="2" sqref="AH768" start="0" length="0">
      <dxf/>
    </rfmt>
    <rfmt sheetId="2" sqref="AI768" start="0" length="0">
      <dxf/>
    </rfmt>
    <rfmt sheetId="2" sqref="AJ768" start="0" length="0">
      <dxf/>
    </rfmt>
    <rfmt sheetId="2" sqref="AK768" start="0" length="0">
      <dxf/>
    </rfmt>
    <rfmt sheetId="2" sqref="AL768" start="0" length="0">
      <dxf/>
    </rfmt>
    <rfmt sheetId="2" sqref="AM768" start="0" length="0">
      <dxf/>
    </rfmt>
    <rfmt sheetId="2" sqref="AN768" start="0" length="0">
      <dxf/>
    </rfmt>
    <rfmt sheetId="2" sqref="AO768" start="0" length="0">
      <dxf/>
    </rfmt>
    <rfmt sheetId="2" sqref="AP768" start="0" length="0">
      <dxf/>
    </rfmt>
    <rfmt sheetId="2" sqref="AQ768" start="0" length="0">
      <dxf/>
    </rfmt>
    <rfmt sheetId="2" sqref="AR768" start="0" length="0">
      <dxf/>
    </rfmt>
    <rfmt sheetId="2" sqref="AS768" start="0" length="0">
      <dxf/>
    </rfmt>
    <rfmt sheetId="2" sqref="AT768" start="0" length="0">
      <dxf/>
    </rfmt>
    <rfmt sheetId="2" sqref="AU768" start="0" length="0">
      <dxf/>
    </rfmt>
    <rfmt sheetId="2" sqref="AV768" start="0" length="0">
      <dxf/>
    </rfmt>
    <rfmt sheetId="2" sqref="AW768" start="0" length="0">
      <dxf/>
    </rfmt>
    <rfmt sheetId="2" sqref="AX768" start="0" length="0">
      <dxf/>
    </rfmt>
    <rfmt sheetId="2" sqref="AY768" start="0" length="0">
      <dxf/>
    </rfmt>
    <rfmt sheetId="2" sqref="AZ768" start="0" length="0">
      <dxf/>
    </rfmt>
    <rfmt sheetId="2" sqref="BA768" start="0" length="0">
      <dxf/>
    </rfmt>
    <rfmt sheetId="2" sqref="BB768" start="0" length="0">
      <dxf/>
    </rfmt>
    <rfmt sheetId="2" sqref="BC768" start="0" length="0">
      <dxf/>
    </rfmt>
    <rfmt sheetId="2" sqref="BD768" start="0" length="0">
      <dxf/>
    </rfmt>
    <rfmt sheetId="2" sqref="BE768" start="0" length="0">
      <dxf/>
    </rfmt>
    <rfmt sheetId="2" sqref="BF768" start="0" length="0">
      <dxf/>
    </rfmt>
    <rfmt sheetId="2" sqref="BG768" start="0" length="0">
      <dxf/>
    </rfmt>
    <rfmt sheetId="2" sqref="BH768" start="0" length="0">
      <dxf/>
    </rfmt>
    <rfmt sheetId="2" sqref="BI768" start="0" length="0">
      <dxf/>
    </rfmt>
    <rfmt sheetId="2" sqref="BJ768" start="0" length="0">
      <dxf/>
    </rfmt>
    <rfmt sheetId="2" sqref="BK768" start="0" length="0">
      <dxf/>
    </rfmt>
    <rfmt sheetId="2" sqref="BL768" start="0" length="0">
      <dxf/>
    </rfmt>
    <rfmt sheetId="2" sqref="BM768" start="0" length="0">
      <dxf/>
    </rfmt>
    <rfmt sheetId="2" sqref="BN768" start="0" length="0">
      <dxf/>
    </rfmt>
    <rfmt sheetId="2" sqref="BO768" start="0" length="0">
      <dxf/>
    </rfmt>
    <rfmt sheetId="2" sqref="BP768" start="0" length="0">
      <dxf/>
    </rfmt>
    <rfmt sheetId="2" sqref="BQ768" start="0" length="0">
      <dxf/>
    </rfmt>
    <rfmt sheetId="2" sqref="BR768" start="0" length="0">
      <dxf/>
    </rfmt>
    <rfmt sheetId="2" sqref="BS768" start="0" length="0">
      <dxf/>
    </rfmt>
    <rfmt sheetId="2" sqref="BT768" start="0" length="0">
      <dxf/>
    </rfmt>
    <rfmt sheetId="2" sqref="BU768" start="0" length="0">
      <dxf/>
    </rfmt>
    <rfmt sheetId="2" sqref="BV768" start="0" length="0">
      <dxf/>
    </rfmt>
    <rfmt sheetId="2" sqref="BW768" start="0" length="0">
      <dxf/>
    </rfmt>
    <rfmt sheetId="2" sqref="BX768" start="0" length="0">
      <dxf/>
    </rfmt>
    <rfmt sheetId="2" sqref="BY768" start="0" length="0">
      <dxf/>
    </rfmt>
    <rfmt sheetId="2" sqref="BZ768" start="0" length="0">
      <dxf/>
    </rfmt>
    <rfmt sheetId="2" sqref="CA768" start="0" length="0">
      <dxf/>
    </rfmt>
    <rfmt sheetId="2" sqref="CB768" start="0" length="0">
      <dxf/>
    </rfmt>
    <rfmt sheetId="2" sqref="CC768" start="0" length="0">
      <dxf/>
    </rfmt>
    <rfmt sheetId="2" sqref="CD768" start="0" length="0">
      <dxf/>
    </rfmt>
    <rfmt sheetId="2" sqref="CE768" start="0" length="0">
      <dxf/>
    </rfmt>
    <rfmt sheetId="2" sqref="CF768" start="0" length="0">
      <dxf/>
    </rfmt>
    <rfmt sheetId="2" sqref="CG768" start="0" length="0">
      <dxf/>
    </rfmt>
    <rfmt sheetId="2" sqref="CH768" start="0" length="0">
      <dxf/>
    </rfmt>
    <rfmt sheetId="2" sqref="CI768" start="0" length="0">
      <dxf/>
    </rfmt>
    <rfmt sheetId="2" sqref="CJ768" start="0" length="0">
      <dxf/>
    </rfmt>
    <rfmt sheetId="2" sqref="CK768" start="0" length="0">
      <dxf/>
    </rfmt>
    <rfmt sheetId="2" sqref="CL768" start="0" length="0">
      <dxf/>
    </rfmt>
    <rfmt sheetId="2" sqref="CM768" start="0" length="0">
      <dxf/>
    </rfmt>
    <rfmt sheetId="2" sqref="CN768" start="0" length="0">
      <dxf/>
    </rfmt>
    <rfmt sheetId="2" sqref="CO768" start="0" length="0">
      <dxf/>
    </rfmt>
    <rfmt sheetId="2" sqref="CP768" start="0" length="0">
      <dxf/>
    </rfmt>
    <rfmt sheetId="2" sqref="CQ768" start="0" length="0">
      <dxf/>
    </rfmt>
    <rfmt sheetId="2" sqref="CR768" start="0" length="0">
      <dxf/>
    </rfmt>
    <rfmt sheetId="2" sqref="CS768" start="0" length="0">
      <dxf/>
    </rfmt>
    <rfmt sheetId="2" sqref="CT768" start="0" length="0">
      <dxf/>
    </rfmt>
    <rfmt sheetId="2" sqref="CU768" start="0" length="0">
      <dxf/>
    </rfmt>
    <rfmt sheetId="2" sqref="CV768" start="0" length="0">
      <dxf/>
    </rfmt>
    <rfmt sheetId="2" sqref="CW768" start="0" length="0">
      <dxf/>
    </rfmt>
    <rfmt sheetId="2" sqref="CX768" start="0" length="0">
      <dxf/>
    </rfmt>
    <rfmt sheetId="2" sqref="CY768" start="0" length="0">
      <dxf/>
    </rfmt>
    <rfmt sheetId="2" sqref="CZ768" start="0" length="0">
      <dxf/>
    </rfmt>
    <rfmt sheetId="2" sqref="DA768" start="0" length="0">
      <dxf/>
    </rfmt>
    <rfmt sheetId="2" sqref="DB768" start="0" length="0">
      <dxf/>
    </rfmt>
    <rfmt sheetId="2" sqref="DC768" start="0" length="0">
      <dxf/>
    </rfmt>
    <rfmt sheetId="2" sqref="DD768" start="0" length="0">
      <dxf/>
    </rfmt>
    <rfmt sheetId="2" sqref="DE768" start="0" length="0">
      <dxf/>
    </rfmt>
    <rfmt sheetId="2" sqref="DF768" start="0" length="0">
      <dxf/>
    </rfmt>
    <rfmt sheetId="2" sqref="DG768" start="0" length="0">
      <dxf/>
    </rfmt>
    <rfmt sheetId="2" sqref="DH768" start="0" length="0">
      <dxf/>
    </rfmt>
    <rfmt sheetId="2" sqref="DI768" start="0" length="0">
      <dxf/>
    </rfmt>
    <rfmt sheetId="2" sqref="DJ768" start="0" length="0">
      <dxf/>
    </rfmt>
    <rfmt sheetId="2" sqref="DK768" start="0" length="0">
      <dxf/>
    </rfmt>
    <rfmt sheetId="2" sqref="DL768" start="0" length="0">
      <dxf/>
    </rfmt>
    <rfmt sheetId="2" sqref="DM768" start="0" length="0">
      <dxf/>
    </rfmt>
    <rfmt sheetId="2" sqref="DN768" start="0" length="0">
      <dxf/>
    </rfmt>
    <rfmt sheetId="2" sqref="DO768" start="0" length="0">
      <dxf/>
    </rfmt>
    <rfmt sheetId="2" sqref="DP768" start="0" length="0">
      <dxf/>
    </rfmt>
    <rfmt sheetId="2" sqref="DQ768" start="0" length="0">
      <dxf/>
    </rfmt>
    <rfmt sheetId="2" sqref="DR768" start="0" length="0">
      <dxf/>
    </rfmt>
    <rfmt sheetId="2" sqref="DS768" start="0" length="0">
      <dxf/>
    </rfmt>
    <rfmt sheetId="2" sqref="DT768" start="0" length="0">
      <dxf/>
    </rfmt>
    <rfmt sheetId="2" sqref="DU768" start="0" length="0">
      <dxf/>
    </rfmt>
    <rfmt sheetId="2" sqref="DV768" start="0" length="0">
      <dxf/>
    </rfmt>
    <rfmt sheetId="2" sqref="DW768" start="0" length="0">
      <dxf/>
    </rfmt>
    <rfmt sheetId="2" sqref="DX768" start="0" length="0">
      <dxf/>
    </rfmt>
    <rfmt sheetId="2" sqref="DY768" start="0" length="0">
      <dxf/>
    </rfmt>
    <rfmt sheetId="2" sqref="DZ768" start="0" length="0">
      <dxf/>
    </rfmt>
    <rfmt sheetId="2" sqref="EA768" start="0" length="0">
      <dxf/>
    </rfmt>
    <rfmt sheetId="2" sqref="EB768" start="0" length="0">
      <dxf/>
    </rfmt>
    <rfmt sheetId="2" sqref="EC768" start="0" length="0">
      <dxf/>
    </rfmt>
    <rfmt sheetId="2" sqref="ED768" start="0" length="0">
      <dxf/>
    </rfmt>
    <rfmt sheetId="2" sqref="EE768" start="0" length="0">
      <dxf/>
    </rfmt>
    <rfmt sheetId="2" sqref="EF768" start="0" length="0">
      <dxf/>
    </rfmt>
    <rfmt sheetId="2" sqref="EG768" start="0" length="0">
      <dxf/>
    </rfmt>
    <rfmt sheetId="2" sqref="EH768" start="0" length="0">
      <dxf/>
    </rfmt>
    <rfmt sheetId="2" sqref="EI768" start="0" length="0">
      <dxf/>
    </rfmt>
    <rfmt sheetId="2" sqref="EJ768" start="0" length="0">
      <dxf/>
    </rfmt>
    <rfmt sheetId="2" sqref="EK768" start="0" length="0">
      <dxf/>
    </rfmt>
    <rfmt sheetId="2" sqref="EL768" start="0" length="0">
      <dxf/>
    </rfmt>
    <rfmt sheetId="2" sqref="EM768" start="0" length="0">
      <dxf/>
    </rfmt>
    <rfmt sheetId="2" sqref="EN768" start="0" length="0">
      <dxf/>
    </rfmt>
    <rfmt sheetId="2" sqref="EO768" start="0" length="0">
      <dxf/>
    </rfmt>
    <rfmt sheetId="2" sqref="EP768" start="0" length="0">
      <dxf/>
    </rfmt>
    <rfmt sheetId="2" sqref="EQ768" start="0" length="0">
      <dxf/>
    </rfmt>
    <rfmt sheetId="2" sqref="ER768" start="0" length="0">
      <dxf/>
    </rfmt>
    <rfmt sheetId="2" sqref="ES768" start="0" length="0">
      <dxf/>
    </rfmt>
    <rfmt sheetId="2" sqref="ET768" start="0" length="0">
      <dxf/>
    </rfmt>
    <rfmt sheetId="2" sqref="EU768" start="0" length="0">
      <dxf/>
    </rfmt>
    <rfmt sheetId="2" sqref="EV768" start="0" length="0">
      <dxf/>
    </rfmt>
    <rfmt sheetId="2" sqref="EW768" start="0" length="0">
      <dxf/>
    </rfmt>
    <rfmt sheetId="2" sqref="EX768" start="0" length="0">
      <dxf/>
    </rfmt>
    <rfmt sheetId="2" sqref="EY768" start="0" length="0">
      <dxf/>
    </rfmt>
    <rfmt sheetId="2" sqref="EZ768" start="0" length="0">
      <dxf/>
    </rfmt>
    <rfmt sheetId="2" sqref="FA768" start="0" length="0">
      <dxf/>
    </rfmt>
    <rfmt sheetId="2" sqref="FB768" start="0" length="0">
      <dxf/>
    </rfmt>
    <rfmt sheetId="2" sqref="FC768" start="0" length="0">
      <dxf/>
    </rfmt>
    <rfmt sheetId="2" sqref="FD768" start="0" length="0">
      <dxf/>
    </rfmt>
    <rfmt sheetId="2" sqref="FE768" start="0" length="0">
      <dxf/>
    </rfmt>
    <rfmt sheetId="2" sqref="FF768" start="0" length="0">
      <dxf/>
    </rfmt>
    <rfmt sheetId="2" sqref="FG768" start="0" length="0">
      <dxf/>
    </rfmt>
    <rfmt sheetId="2" sqref="FH768" start="0" length="0">
      <dxf/>
    </rfmt>
    <rfmt sheetId="2" sqref="FI768" start="0" length="0">
      <dxf/>
    </rfmt>
    <rfmt sheetId="2" sqref="FJ768" start="0" length="0">
      <dxf/>
    </rfmt>
    <rfmt sheetId="2" sqref="FK768" start="0" length="0">
      <dxf/>
    </rfmt>
    <rfmt sheetId="2" sqref="FL768" start="0" length="0">
      <dxf/>
    </rfmt>
    <rfmt sheetId="2" sqref="FM768" start="0" length="0">
      <dxf/>
    </rfmt>
    <rfmt sheetId="2" sqref="FN768" start="0" length="0">
      <dxf/>
    </rfmt>
    <rfmt sheetId="2" sqref="FO768" start="0" length="0">
      <dxf/>
    </rfmt>
    <rfmt sheetId="2" sqref="FP768" start="0" length="0">
      <dxf/>
    </rfmt>
    <rfmt sheetId="2" sqref="FQ768" start="0" length="0">
      <dxf/>
    </rfmt>
    <rfmt sheetId="2" sqref="FR768" start="0" length="0">
      <dxf/>
    </rfmt>
    <rfmt sheetId="2" sqref="FS768" start="0" length="0">
      <dxf/>
    </rfmt>
    <rfmt sheetId="2" sqref="FT768" start="0" length="0">
      <dxf/>
    </rfmt>
    <rfmt sheetId="2" sqref="FU768" start="0" length="0">
      <dxf/>
    </rfmt>
    <rfmt sheetId="2" sqref="FV768" start="0" length="0">
      <dxf/>
    </rfmt>
    <rfmt sheetId="2" sqref="FW768" start="0" length="0">
      <dxf/>
    </rfmt>
    <rfmt sheetId="2" sqref="FX768" start="0" length="0">
      <dxf/>
    </rfmt>
    <rfmt sheetId="2" sqref="FY768" start="0" length="0">
      <dxf/>
    </rfmt>
    <rfmt sheetId="2" sqref="FZ768" start="0" length="0">
      <dxf/>
    </rfmt>
    <rfmt sheetId="2" sqref="GA768" start="0" length="0">
      <dxf/>
    </rfmt>
    <rfmt sheetId="2" sqref="GB768" start="0" length="0">
      <dxf/>
    </rfmt>
    <rfmt sheetId="2" sqref="GC768" start="0" length="0">
      <dxf/>
    </rfmt>
    <rfmt sheetId="2" sqref="GD768" start="0" length="0">
      <dxf/>
    </rfmt>
    <rfmt sheetId="2" sqref="GE768" start="0" length="0">
      <dxf/>
    </rfmt>
    <rfmt sheetId="2" sqref="GF768" start="0" length="0">
      <dxf/>
    </rfmt>
    <rfmt sheetId="2" sqref="GG768" start="0" length="0">
      <dxf/>
    </rfmt>
    <rfmt sheetId="2" sqref="GH768" start="0" length="0">
      <dxf/>
    </rfmt>
    <rfmt sheetId="2" sqref="GI768" start="0" length="0">
      <dxf/>
    </rfmt>
    <rfmt sheetId="2" sqref="GJ768" start="0" length="0">
      <dxf/>
    </rfmt>
    <rfmt sheetId="2" sqref="GK768" start="0" length="0">
      <dxf/>
    </rfmt>
    <rfmt sheetId="2" sqref="GL768" start="0" length="0">
      <dxf/>
    </rfmt>
    <rfmt sheetId="2" sqref="GM768" start="0" length="0">
      <dxf/>
    </rfmt>
    <rfmt sheetId="2" sqref="GN768" start="0" length="0">
      <dxf/>
    </rfmt>
    <rfmt sheetId="2" sqref="GO768" start="0" length="0">
      <dxf/>
    </rfmt>
    <rfmt sheetId="2" sqref="GP768" start="0" length="0">
      <dxf/>
    </rfmt>
    <rfmt sheetId="2" sqref="GQ768" start="0" length="0">
      <dxf/>
    </rfmt>
    <rfmt sheetId="2" sqref="GR768" start="0" length="0">
      <dxf/>
    </rfmt>
    <rfmt sheetId="2" sqref="GS768" start="0" length="0">
      <dxf/>
    </rfmt>
    <rfmt sheetId="2" sqref="GT768" start="0" length="0">
      <dxf/>
    </rfmt>
    <rfmt sheetId="2" sqref="GU768" start="0" length="0">
      <dxf/>
    </rfmt>
    <rfmt sheetId="2" sqref="GV768" start="0" length="0">
      <dxf/>
    </rfmt>
    <rfmt sheetId="2" sqref="GW768" start="0" length="0">
      <dxf/>
    </rfmt>
    <rfmt sheetId="2" sqref="GX768" start="0" length="0">
      <dxf/>
    </rfmt>
    <rfmt sheetId="2" sqref="GY768" start="0" length="0">
      <dxf/>
    </rfmt>
    <rfmt sheetId="2" sqref="GZ768" start="0" length="0">
      <dxf/>
    </rfmt>
    <rfmt sheetId="2" sqref="HA768" start="0" length="0">
      <dxf/>
    </rfmt>
    <rfmt sheetId="2" sqref="HB768" start="0" length="0">
      <dxf/>
    </rfmt>
    <rfmt sheetId="2" sqref="HC768" start="0" length="0">
      <dxf/>
    </rfmt>
    <rfmt sheetId="2" sqref="HD768" start="0" length="0">
      <dxf/>
    </rfmt>
    <rfmt sheetId="2" sqref="HE768" start="0" length="0">
      <dxf/>
    </rfmt>
    <rfmt sheetId="2" sqref="HF768" start="0" length="0">
      <dxf/>
    </rfmt>
    <rfmt sheetId="2" sqref="HG768" start="0" length="0">
      <dxf/>
    </rfmt>
    <rfmt sheetId="2" sqref="HH768" start="0" length="0">
      <dxf/>
    </rfmt>
    <rfmt sheetId="2" sqref="HI768" start="0" length="0">
      <dxf/>
    </rfmt>
    <rfmt sheetId="2" sqref="HJ768" start="0" length="0">
      <dxf/>
    </rfmt>
    <rfmt sheetId="2" sqref="HK768" start="0" length="0">
      <dxf/>
    </rfmt>
    <rfmt sheetId="2" sqref="HL768" start="0" length="0">
      <dxf/>
    </rfmt>
    <rfmt sheetId="2" sqref="HM768" start="0" length="0">
      <dxf/>
    </rfmt>
    <rfmt sheetId="2" sqref="HN768" start="0" length="0">
      <dxf/>
    </rfmt>
    <rfmt sheetId="2" sqref="HO768" start="0" length="0">
      <dxf/>
    </rfmt>
    <rfmt sheetId="2" sqref="HP768" start="0" length="0">
      <dxf/>
    </rfmt>
    <rfmt sheetId="2" sqref="HQ768" start="0" length="0">
      <dxf/>
    </rfmt>
    <rfmt sheetId="2" sqref="HR768" start="0" length="0">
      <dxf/>
    </rfmt>
    <rfmt sheetId="2" sqref="HS768" start="0" length="0">
      <dxf/>
    </rfmt>
    <rfmt sheetId="2" sqref="HT768" start="0" length="0">
      <dxf/>
    </rfmt>
    <rfmt sheetId="2" sqref="HU768" start="0" length="0">
      <dxf/>
    </rfmt>
    <rfmt sheetId="2" sqref="HV768" start="0" length="0">
      <dxf/>
    </rfmt>
    <rfmt sheetId="2" sqref="HW768" start="0" length="0">
      <dxf/>
    </rfmt>
    <rfmt sheetId="2" sqref="HX768" start="0" length="0">
      <dxf/>
    </rfmt>
    <rfmt sheetId="2" sqref="HY768" start="0" length="0">
      <dxf/>
    </rfmt>
    <rfmt sheetId="2" sqref="HZ768" start="0" length="0">
      <dxf/>
    </rfmt>
    <rfmt sheetId="2" sqref="IA768" start="0" length="0">
      <dxf/>
    </rfmt>
    <rfmt sheetId="2" sqref="IB768" start="0" length="0">
      <dxf/>
    </rfmt>
    <rfmt sheetId="2" sqref="IC768" start="0" length="0">
      <dxf/>
    </rfmt>
    <rfmt sheetId="2" sqref="ID768" start="0" length="0">
      <dxf/>
    </rfmt>
    <rfmt sheetId="2" sqref="IE768" start="0" length="0">
      <dxf/>
    </rfmt>
    <rfmt sheetId="2" sqref="IF768" start="0" length="0">
      <dxf/>
    </rfmt>
    <rfmt sheetId="2" sqref="IG768" start="0" length="0">
      <dxf/>
    </rfmt>
    <rfmt sheetId="2" sqref="IH768" start="0" length="0">
      <dxf/>
    </rfmt>
    <rfmt sheetId="2" sqref="II768" start="0" length="0">
      <dxf/>
    </rfmt>
    <rfmt sheetId="2" sqref="IJ768" start="0" length="0">
      <dxf/>
    </rfmt>
    <rfmt sheetId="2" sqref="IK768" start="0" length="0">
      <dxf/>
    </rfmt>
    <rfmt sheetId="2" sqref="IL768" start="0" length="0">
      <dxf/>
    </rfmt>
    <rfmt sheetId="2" sqref="IM768" start="0" length="0">
      <dxf/>
    </rfmt>
    <rfmt sheetId="2" sqref="IN768" start="0" length="0">
      <dxf/>
    </rfmt>
    <rfmt sheetId="2" sqref="IO768" start="0" length="0">
      <dxf/>
    </rfmt>
    <rfmt sheetId="2" sqref="IP768" start="0" length="0">
      <dxf/>
    </rfmt>
    <rfmt sheetId="2" sqref="IQ768" start="0" length="0">
      <dxf/>
    </rfmt>
    <rfmt sheetId="2" sqref="IR768" start="0" length="0">
      <dxf/>
    </rfmt>
    <rfmt sheetId="2" sqref="IS768" start="0" length="0">
      <dxf/>
    </rfmt>
    <rfmt sheetId="2" sqref="IT768" start="0" length="0">
      <dxf/>
    </rfmt>
    <rfmt sheetId="2" sqref="IU768" start="0" length="0">
      <dxf/>
    </rfmt>
    <rfmt sheetId="2" sqref="IV768" start="0" length="0">
      <dxf/>
    </rfmt>
    <rfmt sheetId="2" sqref="IW768" start="0" length="0">
      <dxf/>
    </rfmt>
    <rfmt sheetId="2" sqref="IX768" start="0" length="0">
      <dxf/>
    </rfmt>
    <rfmt sheetId="2" sqref="IY768" start="0" length="0">
      <dxf/>
    </rfmt>
    <rfmt sheetId="2" sqref="IZ768" start="0" length="0">
      <dxf/>
    </rfmt>
    <rfmt sheetId="2" sqref="JA768" start="0" length="0">
      <dxf/>
    </rfmt>
    <rfmt sheetId="2" sqref="JB768" start="0" length="0">
      <dxf/>
    </rfmt>
    <rfmt sheetId="2" sqref="JC768" start="0" length="0">
      <dxf/>
    </rfmt>
    <rfmt sheetId="2" sqref="JD768" start="0" length="0">
      <dxf/>
    </rfmt>
    <rfmt sheetId="2" sqref="JE768" start="0" length="0">
      <dxf/>
    </rfmt>
    <rfmt sheetId="2" sqref="JF768" start="0" length="0">
      <dxf/>
    </rfmt>
    <rfmt sheetId="2" sqref="JG768" start="0" length="0">
      <dxf/>
    </rfmt>
    <rfmt sheetId="2" sqref="JH768" start="0" length="0">
      <dxf/>
    </rfmt>
    <rfmt sheetId="2" sqref="JI768" start="0" length="0">
      <dxf/>
    </rfmt>
    <rfmt sheetId="2" sqref="JJ768" start="0" length="0">
      <dxf/>
    </rfmt>
    <rfmt sheetId="2" sqref="JK768" start="0" length="0">
      <dxf/>
    </rfmt>
    <rfmt sheetId="2" sqref="JL768" start="0" length="0">
      <dxf/>
    </rfmt>
    <rfmt sheetId="2" sqref="JM768" start="0" length="0">
      <dxf/>
    </rfmt>
    <rfmt sheetId="2" sqref="JN768" start="0" length="0">
      <dxf/>
    </rfmt>
    <rfmt sheetId="2" sqref="JO768" start="0" length="0">
      <dxf/>
    </rfmt>
    <rfmt sheetId="2" sqref="JP768" start="0" length="0">
      <dxf/>
    </rfmt>
    <rfmt sheetId="2" sqref="JQ768" start="0" length="0">
      <dxf/>
    </rfmt>
    <rfmt sheetId="2" sqref="JR768" start="0" length="0">
      <dxf/>
    </rfmt>
    <rfmt sheetId="2" sqref="JS768" start="0" length="0">
      <dxf/>
    </rfmt>
    <rfmt sheetId="2" sqref="JT768" start="0" length="0">
      <dxf/>
    </rfmt>
    <rfmt sheetId="2" sqref="JU768" start="0" length="0">
      <dxf/>
    </rfmt>
    <rfmt sheetId="2" sqref="JV768" start="0" length="0">
      <dxf/>
    </rfmt>
    <rfmt sheetId="2" sqref="JW768" start="0" length="0">
      <dxf/>
    </rfmt>
    <rfmt sheetId="2" sqref="JX768" start="0" length="0">
      <dxf/>
    </rfmt>
    <rfmt sheetId="2" sqref="JY768" start="0" length="0">
      <dxf/>
    </rfmt>
    <rfmt sheetId="2" sqref="JZ768" start="0" length="0">
      <dxf/>
    </rfmt>
    <rfmt sheetId="2" sqref="KA768" start="0" length="0">
      <dxf/>
    </rfmt>
    <rfmt sheetId="2" sqref="KB768" start="0" length="0">
      <dxf/>
    </rfmt>
    <rfmt sheetId="2" sqref="KC768" start="0" length="0">
      <dxf/>
    </rfmt>
    <rfmt sheetId="2" sqref="KD768" start="0" length="0">
      <dxf/>
    </rfmt>
    <rfmt sheetId="2" sqref="KE768" start="0" length="0">
      <dxf/>
    </rfmt>
    <rfmt sheetId="2" sqref="KF768" start="0" length="0">
      <dxf/>
    </rfmt>
    <rfmt sheetId="2" sqref="KG768" start="0" length="0">
      <dxf/>
    </rfmt>
    <rfmt sheetId="2" sqref="KH768" start="0" length="0">
      <dxf/>
    </rfmt>
    <rfmt sheetId="2" sqref="KI768" start="0" length="0">
      <dxf/>
    </rfmt>
    <rfmt sheetId="2" sqref="KJ768" start="0" length="0">
      <dxf/>
    </rfmt>
    <rfmt sheetId="2" sqref="KK768" start="0" length="0">
      <dxf/>
    </rfmt>
    <rfmt sheetId="2" sqref="KL768" start="0" length="0">
      <dxf/>
    </rfmt>
    <rfmt sheetId="2" sqref="KM768" start="0" length="0">
      <dxf/>
    </rfmt>
    <rfmt sheetId="2" sqref="KN768" start="0" length="0">
      <dxf/>
    </rfmt>
    <rfmt sheetId="2" sqref="KO768" start="0" length="0">
      <dxf/>
    </rfmt>
    <rfmt sheetId="2" sqref="KP768" start="0" length="0">
      <dxf/>
    </rfmt>
    <rfmt sheetId="2" sqref="KQ768" start="0" length="0">
      <dxf/>
    </rfmt>
    <rfmt sheetId="2" sqref="KR768" start="0" length="0">
      <dxf/>
    </rfmt>
    <rfmt sheetId="2" sqref="KS768" start="0" length="0">
      <dxf/>
    </rfmt>
    <rfmt sheetId="2" sqref="KT768" start="0" length="0">
      <dxf/>
    </rfmt>
    <rfmt sheetId="2" sqref="KU768" start="0" length="0">
      <dxf/>
    </rfmt>
    <rfmt sheetId="2" sqref="KV768" start="0" length="0">
      <dxf/>
    </rfmt>
    <rfmt sheetId="2" sqref="KW768" start="0" length="0">
      <dxf/>
    </rfmt>
    <rfmt sheetId="2" sqref="KX768" start="0" length="0">
      <dxf/>
    </rfmt>
    <rfmt sheetId="2" sqref="KY768" start="0" length="0">
      <dxf/>
    </rfmt>
    <rfmt sheetId="2" sqref="KZ768" start="0" length="0">
      <dxf/>
    </rfmt>
    <rfmt sheetId="2" sqref="LA768" start="0" length="0">
      <dxf/>
    </rfmt>
    <rfmt sheetId="2" sqref="LB768" start="0" length="0">
      <dxf/>
    </rfmt>
    <rfmt sheetId="2" sqref="LC768" start="0" length="0">
      <dxf/>
    </rfmt>
    <rfmt sheetId="2" sqref="LD768" start="0" length="0">
      <dxf/>
    </rfmt>
    <rfmt sheetId="2" sqref="LE768" start="0" length="0">
      <dxf/>
    </rfmt>
    <rfmt sheetId="2" sqref="LF768" start="0" length="0">
      <dxf/>
    </rfmt>
    <rfmt sheetId="2" sqref="LG768" start="0" length="0">
      <dxf/>
    </rfmt>
    <rfmt sheetId="2" sqref="LH768" start="0" length="0">
      <dxf/>
    </rfmt>
    <rfmt sheetId="2" sqref="LI768" start="0" length="0">
      <dxf/>
    </rfmt>
    <rfmt sheetId="2" sqref="LJ768" start="0" length="0">
      <dxf/>
    </rfmt>
    <rfmt sheetId="2" sqref="LK768" start="0" length="0">
      <dxf/>
    </rfmt>
    <rfmt sheetId="2" sqref="LL768" start="0" length="0">
      <dxf/>
    </rfmt>
    <rfmt sheetId="2" sqref="LM768" start="0" length="0">
      <dxf/>
    </rfmt>
    <rfmt sheetId="2" sqref="LN768" start="0" length="0">
      <dxf/>
    </rfmt>
    <rfmt sheetId="2" sqref="LO768" start="0" length="0">
      <dxf/>
    </rfmt>
    <rfmt sheetId="2" sqref="LP768" start="0" length="0">
      <dxf/>
    </rfmt>
    <rfmt sheetId="2" sqref="LQ768" start="0" length="0">
      <dxf/>
    </rfmt>
    <rfmt sheetId="2" sqref="LR768" start="0" length="0">
      <dxf/>
    </rfmt>
    <rfmt sheetId="2" sqref="LS768" start="0" length="0">
      <dxf/>
    </rfmt>
    <rfmt sheetId="2" sqref="LT768" start="0" length="0">
      <dxf/>
    </rfmt>
    <rfmt sheetId="2" sqref="LU768" start="0" length="0">
      <dxf/>
    </rfmt>
    <rfmt sheetId="2" sqref="LV768" start="0" length="0">
      <dxf/>
    </rfmt>
    <rfmt sheetId="2" sqref="LW768" start="0" length="0">
      <dxf/>
    </rfmt>
    <rfmt sheetId="2" sqref="LX768" start="0" length="0">
      <dxf/>
    </rfmt>
    <rfmt sheetId="2" sqref="LY768" start="0" length="0">
      <dxf/>
    </rfmt>
    <rfmt sheetId="2" sqref="LZ768" start="0" length="0">
      <dxf/>
    </rfmt>
    <rfmt sheetId="2" sqref="MA768" start="0" length="0">
      <dxf/>
    </rfmt>
    <rfmt sheetId="2" sqref="MB768" start="0" length="0">
      <dxf/>
    </rfmt>
  </rm>
  <rrc rId="2361" sId="2" ref="A772:XFD772" action="deleteRow">
    <undo index="0" exp="area" ref3D="1" dr="$A$1:$A$1048576" dn="Z_D108A94F_96BE_4B2E_9408_7CE19DC55699_.wvu.Cols" sId="2"/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  <undo index="0" exp="area" ref3D="1" dr="$A$1:$A$1048576" dn="Z_8578D927_8BDE_4C99_A2DB_3E44DFA36FF2_.wvu.Cols" sId="2"/>
    <rfmt sheetId="2" xfDxf="1" sqref="A772:XFD772" start="0" length="0">
      <dxf>
        <font>
          <sz val="10"/>
          <name val="Arial"/>
          <scheme val="none"/>
        </font>
        <alignment horizontal="center" readingOrder="0"/>
      </dxf>
    </rfmt>
    <rfmt sheetId="2" sqref="A77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2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2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2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2" start="0" length="0">
      <dxf>
        <numFmt numFmtId="176" formatCode="m/d;@"/>
      </dxf>
    </rfmt>
    <rfmt sheetId="2" sqref="P772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2" start="0" length="0">
      <dxf/>
    </rfmt>
    <rfmt sheetId="2" sqref="U772" start="0" length="0">
      <dxf/>
    </rfmt>
    <rfmt sheetId="2" sqref="V772" start="0" length="0">
      <dxf/>
    </rfmt>
    <rfmt sheetId="2" sqref="W772" start="0" length="0">
      <dxf/>
    </rfmt>
    <rfmt sheetId="2" sqref="X772" start="0" length="0">
      <dxf/>
    </rfmt>
    <rfmt sheetId="2" sqref="Y772" start="0" length="0">
      <dxf/>
    </rfmt>
    <rfmt sheetId="2" sqref="Z772" start="0" length="0">
      <dxf/>
    </rfmt>
    <rfmt sheetId="2" sqref="AA772" start="0" length="0">
      <dxf/>
    </rfmt>
    <rfmt sheetId="2" sqref="AB772" start="0" length="0">
      <dxf/>
    </rfmt>
    <rfmt sheetId="2" sqref="AC772" start="0" length="0">
      <dxf/>
    </rfmt>
    <rfmt sheetId="2" sqref="AD772" start="0" length="0">
      <dxf/>
    </rfmt>
    <rfmt sheetId="2" sqref="AE772" start="0" length="0">
      <dxf/>
    </rfmt>
    <rfmt sheetId="2" sqref="AF772" start="0" length="0">
      <dxf/>
    </rfmt>
    <rfmt sheetId="2" sqref="AG772" start="0" length="0">
      <dxf/>
    </rfmt>
    <rfmt sheetId="2" sqref="AH772" start="0" length="0">
      <dxf/>
    </rfmt>
    <rfmt sheetId="2" sqref="AI772" start="0" length="0">
      <dxf/>
    </rfmt>
    <rfmt sheetId="2" sqref="AJ772" start="0" length="0">
      <dxf/>
    </rfmt>
    <rfmt sheetId="2" sqref="AK772" start="0" length="0">
      <dxf/>
    </rfmt>
    <rfmt sheetId="2" sqref="AL772" start="0" length="0">
      <dxf/>
    </rfmt>
    <rfmt sheetId="2" sqref="AM772" start="0" length="0">
      <dxf/>
    </rfmt>
    <rfmt sheetId="2" sqref="AN772" start="0" length="0">
      <dxf/>
    </rfmt>
    <rfmt sheetId="2" sqref="AO772" start="0" length="0">
      <dxf/>
    </rfmt>
    <rfmt sheetId="2" sqref="AP772" start="0" length="0">
      <dxf/>
    </rfmt>
    <rfmt sheetId="2" sqref="AQ772" start="0" length="0">
      <dxf/>
    </rfmt>
    <rfmt sheetId="2" sqref="AR772" start="0" length="0">
      <dxf/>
    </rfmt>
    <rfmt sheetId="2" sqref="AS772" start="0" length="0">
      <dxf/>
    </rfmt>
    <rfmt sheetId="2" sqref="AT772" start="0" length="0">
      <dxf/>
    </rfmt>
    <rfmt sheetId="2" sqref="AU772" start="0" length="0">
      <dxf/>
    </rfmt>
    <rfmt sheetId="2" sqref="AV772" start="0" length="0">
      <dxf/>
    </rfmt>
    <rfmt sheetId="2" sqref="AW772" start="0" length="0">
      <dxf/>
    </rfmt>
    <rfmt sheetId="2" sqref="AX772" start="0" length="0">
      <dxf/>
    </rfmt>
    <rfmt sheetId="2" sqref="AY772" start="0" length="0">
      <dxf/>
    </rfmt>
    <rfmt sheetId="2" sqref="AZ772" start="0" length="0">
      <dxf/>
    </rfmt>
    <rfmt sheetId="2" sqref="BA772" start="0" length="0">
      <dxf/>
    </rfmt>
    <rfmt sheetId="2" sqref="BB772" start="0" length="0">
      <dxf/>
    </rfmt>
    <rfmt sheetId="2" sqref="BC772" start="0" length="0">
      <dxf/>
    </rfmt>
    <rfmt sheetId="2" sqref="BD772" start="0" length="0">
      <dxf/>
    </rfmt>
    <rfmt sheetId="2" sqref="BE772" start="0" length="0">
      <dxf/>
    </rfmt>
    <rfmt sheetId="2" sqref="BF772" start="0" length="0">
      <dxf/>
    </rfmt>
    <rfmt sheetId="2" sqref="BG772" start="0" length="0">
      <dxf/>
    </rfmt>
    <rfmt sheetId="2" sqref="BH772" start="0" length="0">
      <dxf/>
    </rfmt>
    <rfmt sheetId="2" sqref="BI772" start="0" length="0">
      <dxf/>
    </rfmt>
    <rfmt sheetId="2" sqref="BJ772" start="0" length="0">
      <dxf/>
    </rfmt>
    <rfmt sheetId="2" sqref="BK772" start="0" length="0">
      <dxf/>
    </rfmt>
    <rfmt sheetId="2" sqref="BL772" start="0" length="0">
      <dxf/>
    </rfmt>
    <rfmt sheetId="2" sqref="BM772" start="0" length="0">
      <dxf/>
    </rfmt>
    <rfmt sheetId="2" sqref="BN772" start="0" length="0">
      <dxf/>
    </rfmt>
    <rfmt sheetId="2" sqref="BO772" start="0" length="0">
      <dxf/>
    </rfmt>
    <rfmt sheetId="2" sqref="BP772" start="0" length="0">
      <dxf/>
    </rfmt>
    <rfmt sheetId="2" sqref="BQ772" start="0" length="0">
      <dxf/>
    </rfmt>
    <rfmt sheetId="2" sqref="BR772" start="0" length="0">
      <dxf/>
    </rfmt>
    <rfmt sheetId="2" sqref="BS772" start="0" length="0">
      <dxf/>
    </rfmt>
    <rfmt sheetId="2" sqref="BT772" start="0" length="0">
      <dxf/>
    </rfmt>
    <rfmt sheetId="2" sqref="BU772" start="0" length="0">
      <dxf/>
    </rfmt>
    <rfmt sheetId="2" sqref="BV772" start="0" length="0">
      <dxf/>
    </rfmt>
    <rfmt sheetId="2" sqref="BW772" start="0" length="0">
      <dxf/>
    </rfmt>
    <rfmt sheetId="2" sqref="BX772" start="0" length="0">
      <dxf/>
    </rfmt>
    <rfmt sheetId="2" sqref="BY772" start="0" length="0">
      <dxf/>
    </rfmt>
    <rfmt sheetId="2" sqref="BZ772" start="0" length="0">
      <dxf/>
    </rfmt>
    <rfmt sheetId="2" sqref="CA772" start="0" length="0">
      <dxf/>
    </rfmt>
    <rfmt sheetId="2" sqref="CB772" start="0" length="0">
      <dxf/>
    </rfmt>
    <rfmt sheetId="2" sqref="CC772" start="0" length="0">
      <dxf/>
    </rfmt>
    <rfmt sheetId="2" sqref="CD772" start="0" length="0">
      <dxf/>
    </rfmt>
    <rfmt sheetId="2" sqref="CE772" start="0" length="0">
      <dxf/>
    </rfmt>
    <rfmt sheetId="2" sqref="CF772" start="0" length="0">
      <dxf/>
    </rfmt>
    <rfmt sheetId="2" sqref="CG772" start="0" length="0">
      <dxf/>
    </rfmt>
    <rfmt sheetId="2" sqref="CH772" start="0" length="0">
      <dxf/>
    </rfmt>
    <rfmt sheetId="2" sqref="CI772" start="0" length="0">
      <dxf/>
    </rfmt>
    <rfmt sheetId="2" sqref="CJ772" start="0" length="0">
      <dxf/>
    </rfmt>
    <rfmt sheetId="2" sqref="CK772" start="0" length="0">
      <dxf/>
    </rfmt>
    <rfmt sheetId="2" sqref="CL772" start="0" length="0">
      <dxf/>
    </rfmt>
    <rfmt sheetId="2" sqref="CM772" start="0" length="0">
      <dxf/>
    </rfmt>
    <rfmt sheetId="2" sqref="CN772" start="0" length="0">
      <dxf/>
    </rfmt>
    <rfmt sheetId="2" sqref="CO772" start="0" length="0">
      <dxf/>
    </rfmt>
    <rfmt sheetId="2" sqref="CP772" start="0" length="0">
      <dxf/>
    </rfmt>
    <rfmt sheetId="2" sqref="CQ772" start="0" length="0">
      <dxf/>
    </rfmt>
    <rfmt sheetId="2" sqref="CR772" start="0" length="0">
      <dxf/>
    </rfmt>
    <rfmt sheetId="2" sqref="CS772" start="0" length="0">
      <dxf/>
    </rfmt>
    <rfmt sheetId="2" sqref="CT772" start="0" length="0">
      <dxf/>
    </rfmt>
    <rfmt sheetId="2" sqref="CU772" start="0" length="0">
      <dxf/>
    </rfmt>
    <rfmt sheetId="2" sqref="CV772" start="0" length="0">
      <dxf/>
    </rfmt>
    <rfmt sheetId="2" sqref="CW772" start="0" length="0">
      <dxf/>
    </rfmt>
    <rfmt sheetId="2" sqref="CX772" start="0" length="0">
      <dxf/>
    </rfmt>
    <rfmt sheetId="2" sqref="CY772" start="0" length="0">
      <dxf/>
    </rfmt>
    <rfmt sheetId="2" sqref="CZ772" start="0" length="0">
      <dxf/>
    </rfmt>
    <rfmt sheetId="2" sqref="DA772" start="0" length="0">
      <dxf/>
    </rfmt>
    <rfmt sheetId="2" sqref="DB772" start="0" length="0">
      <dxf/>
    </rfmt>
    <rfmt sheetId="2" sqref="DC772" start="0" length="0">
      <dxf/>
    </rfmt>
    <rfmt sheetId="2" sqref="DD772" start="0" length="0">
      <dxf/>
    </rfmt>
    <rfmt sheetId="2" sqref="DE772" start="0" length="0">
      <dxf/>
    </rfmt>
    <rfmt sheetId="2" sqref="DF772" start="0" length="0">
      <dxf/>
    </rfmt>
    <rfmt sheetId="2" sqref="DG772" start="0" length="0">
      <dxf/>
    </rfmt>
    <rfmt sheetId="2" sqref="DH772" start="0" length="0">
      <dxf/>
    </rfmt>
    <rfmt sheetId="2" sqref="DI772" start="0" length="0">
      <dxf/>
    </rfmt>
    <rfmt sheetId="2" sqref="DJ772" start="0" length="0">
      <dxf/>
    </rfmt>
    <rfmt sheetId="2" sqref="DK772" start="0" length="0">
      <dxf/>
    </rfmt>
    <rfmt sheetId="2" sqref="DL772" start="0" length="0">
      <dxf/>
    </rfmt>
    <rfmt sheetId="2" sqref="DM772" start="0" length="0">
      <dxf/>
    </rfmt>
    <rfmt sheetId="2" sqref="DN772" start="0" length="0">
      <dxf/>
    </rfmt>
    <rfmt sheetId="2" sqref="DO772" start="0" length="0">
      <dxf/>
    </rfmt>
    <rfmt sheetId="2" sqref="DP772" start="0" length="0">
      <dxf/>
    </rfmt>
    <rfmt sheetId="2" sqref="DQ772" start="0" length="0">
      <dxf/>
    </rfmt>
    <rfmt sheetId="2" sqref="DR772" start="0" length="0">
      <dxf/>
    </rfmt>
    <rfmt sheetId="2" sqref="DS772" start="0" length="0">
      <dxf/>
    </rfmt>
    <rfmt sheetId="2" sqref="DT772" start="0" length="0">
      <dxf/>
    </rfmt>
    <rfmt sheetId="2" sqref="DU772" start="0" length="0">
      <dxf/>
    </rfmt>
    <rfmt sheetId="2" sqref="DV772" start="0" length="0">
      <dxf/>
    </rfmt>
    <rfmt sheetId="2" sqref="DW772" start="0" length="0">
      <dxf/>
    </rfmt>
    <rfmt sheetId="2" sqref="DX772" start="0" length="0">
      <dxf/>
    </rfmt>
    <rfmt sheetId="2" sqref="DY772" start="0" length="0">
      <dxf/>
    </rfmt>
    <rfmt sheetId="2" sqref="DZ772" start="0" length="0">
      <dxf/>
    </rfmt>
    <rfmt sheetId="2" sqref="EA772" start="0" length="0">
      <dxf/>
    </rfmt>
    <rfmt sheetId="2" sqref="EB772" start="0" length="0">
      <dxf/>
    </rfmt>
    <rfmt sheetId="2" sqref="EC772" start="0" length="0">
      <dxf/>
    </rfmt>
    <rfmt sheetId="2" sqref="ED772" start="0" length="0">
      <dxf/>
    </rfmt>
    <rfmt sheetId="2" sqref="EE772" start="0" length="0">
      <dxf/>
    </rfmt>
    <rfmt sheetId="2" sqref="EF772" start="0" length="0">
      <dxf/>
    </rfmt>
    <rfmt sheetId="2" sqref="EG772" start="0" length="0">
      <dxf/>
    </rfmt>
    <rfmt sheetId="2" sqref="EH772" start="0" length="0">
      <dxf/>
    </rfmt>
    <rfmt sheetId="2" sqref="EI772" start="0" length="0">
      <dxf/>
    </rfmt>
    <rfmt sheetId="2" sqref="EJ772" start="0" length="0">
      <dxf/>
    </rfmt>
    <rfmt sheetId="2" sqref="EK772" start="0" length="0">
      <dxf/>
    </rfmt>
    <rfmt sheetId="2" sqref="EL772" start="0" length="0">
      <dxf/>
    </rfmt>
    <rfmt sheetId="2" sqref="EM772" start="0" length="0">
      <dxf/>
    </rfmt>
    <rfmt sheetId="2" sqref="EN772" start="0" length="0">
      <dxf/>
    </rfmt>
    <rfmt sheetId="2" sqref="EO772" start="0" length="0">
      <dxf/>
    </rfmt>
    <rfmt sheetId="2" sqref="EP772" start="0" length="0">
      <dxf/>
    </rfmt>
    <rfmt sheetId="2" sqref="EQ772" start="0" length="0">
      <dxf/>
    </rfmt>
    <rfmt sheetId="2" sqref="ER772" start="0" length="0">
      <dxf/>
    </rfmt>
    <rfmt sheetId="2" sqref="ES772" start="0" length="0">
      <dxf/>
    </rfmt>
    <rfmt sheetId="2" sqref="ET772" start="0" length="0">
      <dxf/>
    </rfmt>
    <rfmt sheetId="2" sqref="EU772" start="0" length="0">
      <dxf/>
    </rfmt>
    <rfmt sheetId="2" sqref="EV772" start="0" length="0">
      <dxf/>
    </rfmt>
    <rfmt sheetId="2" sqref="EW772" start="0" length="0">
      <dxf/>
    </rfmt>
    <rfmt sheetId="2" sqref="EX772" start="0" length="0">
      <dxf/>
    </rfmt>
    <rfmt sheetId="2" sqref="EY772" start="0" length="0">
      <dxf/>
    </rfmt>
    <rfmt sheetId="2" sqref="EZ772" start="0" length="0">
      <dxf/>
    </rfmt>
    <rfmt sheetId="2" sqref="FA772" start="0" length="0">
      <dxf/>
    </rfmt>
    <rfmt sheetId="2" sqref="FB772" start="0" length="0">
      <dxf/>
    </rfmt>
    <rfmt sheetId="2" sqref="FC772" start="0" length="0">
      <dxf/>
    </rfmt>
    <rfmt sheetId="2" sqref="FD772" start="0" length="0">
      <dxf/>
    </rfmt>
    <rfmt sheetId="2" sqref="FE772" start="0" length="0">
      <dxf/>
    </rfmt>
    <rfmt sheetId="2" sqref="FF772" start="0" length="0">
      <dxf/>
    </rfmt>
    <rfmt sheetId="2" sqref="FG772" start="0" length="0">
      <dxf/>
    </rfmt>
    <rfmt sheetId="2" sqref="FH772" start="0" length="0">
      <dxf/>
    </rfmt>
    <rfmt sheetId="2" sqref="FI772" start="0" length="0">
      <dxf/>
    </rfmt>
    <rfmt sheetId="2" sqref="FJ772" start="0" length="0">
      <dxf/>
    </rfmt>
    <rfmt sheetId="2" sqref="FK772" start="0" length="0">
      <dxf/>
    </rfmt>
    <rfmt sheetId="2" sqref="FL772" start="0" length="0">
      <dxf/>
    </rfmt>
    <rfmt sheetId="2" sqref="FM772" start="0" length="0">
      <dxf/>
    </rfmt>
    <rfmt sheetId="2" sqref="FN772" start="0" length="0">
      <dxf/>
    </rfmt>
    <rfmt sheetId="2" sqref="FO772" start="0" length="0">
      <dxf/>
    </rfmt>
    <rfmt sheetId="2" sqref="FP772" start="0" length="0">
      <dxf/>
    </rfmt>
    <rfmt sheetId="2" sqref="FQ772" start="0" length="0">
      <dxf/>
    </rfmt>
    <rfmt sheetId="2" sqref="FR772" start="0" length="0">
      <dxf/>
    </rfmt>
    <rfmt sheetId="2" sqref="FS772" start="0" length="0">
      <dxf/>
    </rfmt>
    <rfmt sheetId="2" sqref="FT772" start="0" length="0">
      <dxf/>
    </rfmt>
    <rfmt sheetId="2" sqref="FU772" start="0" length="0">
      <dxf/>
    </rfmt>
    <rfmt sheetId="2" sqref="FV772" start="0" length="0">
      <dxf/>
    </rfmt>
    <rfmt sheetId="2" sqref="FW772" start="0" length="0">
      <dxf/>
    </rfmt>
    <rfmt sheetId="2" sqref="FX772" start="0" length="0">
      <dxf/>
    </rfmt>
    <rfmt sheetId="2" sqref="FY772" start="0" length="0">
      <dxf/>
    </rfmt>
    <rfmt sheetId="2" sqref="FZ772" start="0" length="0">
      <dxf/>
    </rfmt>
    <rfmt sheetId="2" sqref="GA772" start="0" length="0">
      <dxf/>
    </rfmt>
    <rfmt sheetId="2" sqref="GB772" start="0" length="0">
      <dxf/>
    </rfmt>
    <rfmt sheetId="2" sqref="GC772" start="0" length="0">
      <dxf/>
    </rfmt>
    <rfmt sheetId="2" sqref="GD772" start="0" length="0">
      <dxf/>
    </rfmt>
    <rfmt sheetId="2" sqref="GE772" start="0" length="0">
      <dxf/>
    </rfmt>
    <rfmt sheetId="2" sqref="GF772" start="0" length="0">
      <dxf/>
    </rfmt>
    <rfmt sheetId="2" sqref="GG772" start="0" length="0">
      <dxf/>
    </rfmt>
    <rfmt sheetId="2" sqref="GH772" start="0" length="0">
      <dxf/>
    </rfmt>
    <rfmt sheetId="2" sqref="GI772" start="0" length="0">
      <dxf/>
    </rfmt>
    <rfmt sheetId="2" sqref="GJ772" start="0" length="0">
      <dxf/>
    </rfmt>
    <rfmt sheetId="2" sqref="GK772" start="0" length="0">
      <dxf/>
    </rfmt>
    <rfmt sheetId="2" sqref="GL772" start="0" length="0">
      <dxf/>
    </rfmt>
    <rfmt sheetId="2" sqref="GM772" start="0" length="0">
      <dxf/>
    </rfmt>
    <rfmt sheetId="2" sqref="GN772" start="0" length="0">
      <dxf/>
    </rfmt>
    <rfmt sheetId="2" sqref="GO772" start="0" length="0">
      <dxf/>
    </rfmt>
    <rfmt sheetId="2" sqref="GP772" start="0" length="0">
      <dxf/>
    </rfmt>
    <rfmt sheetId="2" sqref="GQ772" start="0" length="0">
      <dxf/>
    </rfmt>
    <rfmt sheetId="2" sqref="GR772" start="0" length="0">
      <dxf/>
    </rfmt>
    <rfmt sheetId="2" sqref="GS772" start="0" length="0">
      <dxf/>
    </rfmt>
    <rfmt sheetId="2" sqref="GT772" start="0" length="0">
      <dxf/>
    </rfmt>
    <rfmt sheetId="2" sqref="GU772" start="0" length="0">
      <dxf/>
    </rfmt>
    <rfmt sheetId="2" sqref="GV772" start="0" length="0">
      <dxf/>
    </rfmt>
    <rfmt sheetId="2" sqref="GW772" start="0" length="0">
      <dxf/>
    </rfmt>
    <rfmt sheetId="2" sqref="GX772" start="0" length="0">
      <dxf/>
    </rfmt>
    <rfmt sheetId="2" sqref="GY772" start="0" length="0">
      <dxf/>
    </rfmt>
    <rfmt sheetId="2" sqref="GZ772" start="0" length="0">
      <dxf/>
    </rfmt>
    <rfmt sheetId="2" sqref="HA772" start="0" length="0">
      <dxf/>
    </rfmt>
    <rfmt sheetId="2" sqref="HB772" start="0" length="0">
      <dxf/>
    </rfmt>
    <rfmt sheetId="2" sqref="HC772" start="0" length="0">
      <dxf/>
    </rfmt>
    <rfmt sheetId="2" sqref="HD772" start="0" length="0">
      <dxf/>
    </rfmt>
    <rfmt sheetId="2" sqref="HE772" start="0" length="0">
      <dxf/>
    </rfmt>
    <rfmt sheetId="2" sqref="HF772" start="0" length="0">
      <dxf/>
    </rfmt>
    <rfmt sheetId="2" sqref="HG772" start="0" length="0">
      <dxf/>
    </rfmt>
    <rfmt sheetId="2" sqref="HH772" start="0" length="0">
      <dxf/>
    </rfmt>
    <rfmt sheetId="2" sqref="HI772" start="0" length="0">
      <dxf/>
    </rfmt>
    <rfmt sheetId="2" sqref="HJ772" start="0" length="0">
      <dxf/>
    </rfmt>
    <rfmt sheetId="2" sqref="HK772" start="0" length="0">
      <dxf/>
    </rfmt>
    <rfmt sheetId="2" sqref="HL772" start="0" length="0">
      <dxf/>
    </rfmt>
    <rfmt sheetId="2" sqref="HM772" start="0" length="0">
      <dxf/>
    </rfmt>
    <rfmt sheetId="2" sqref="HN772" start="0" length="0">
      <dxf/>
    </rfmt>
    <rfmt sheetId="2" sqref="HO772" start="0" length="0">
      <dxf/>
    </rfmt>
    <rfmt sheetId="2" sqref="HP772" start="0" length="0">
      <dxf/>
    </rfmt>
    <rfmt sheetId="2" sqref="HQ772" start="0" length="0">
      <dxf/>
    </rfmt>
    <rfmt sheetId="2" sqref="HR772" start="0" length="0">
      <dxf/>
    </rfmt>
    <rfmt sheetId="2" sqref="HS772" start="0" length="0">
      <dxf/>
    </rfmt>
    <rfmt sheetId="2" sqref="HT772" start="0" length="0">
      <dxf/>
    </rfmt>
    <rfmt sheetId="2" sqref="HU772" start="0" length="0">
      <dxf/>
    </rfmt>
    <rfmt sheetId="2" sqref="HV772" start="0" length="0">
      <dxf/>
    </rfmt>
    <rfmt sheetId="2" sqref="HW772" start="0" length="0">
      <dxf/>
    </rfmt>
    <rfmt sheetId="2" sqref="HX772" start="0" length="0">
      <dxf/>
    </rfmt>
    <rfmt sheetId="2" sqref="HY772" start="0" length="0">
      <dxf/>
    </rfmt>
    <rfmt sheetId="2" sqref="HZ772" start="0" length="0">
      <dxf/>
    </rfmt>
    <rfmt sheetId="2" sqref="IA772" start="0" length="0">
      <dxf/>
    </rfmt>
    <rfmt sheetId="2" sqref="IB772" start="0" length="0">
      <dxf/>
    </rfmt>
    <rfmt sheetId="2" sqref="IC772" start="0" length="0">
      <dxf/>
    </rfmt>
    <rfmt sheetId="2" sqref="ID772" start="0" length="0">
      <dxf/>
    </rfmt>
    <rfmt sheetId="2" sqref="IE772" start="0" length="0">
      <dxf/>
    </rfmt>
    <rfmt sheetId="2" sqref="IF772" start="0" length="0">
      <dxf/>
    </rfmt>
    <rfmt sheetId="2" sqref="IG772" start="0" length="0">
      <dxf/>
    </rfmt>
    <rfmt sheetId="2" sqref="IH772" start="0" length="0">
      <dxf/>
    </rfmt>
    <rfmt sheetId="2" sqref="II772" start="0" length="0">
      <dxf/>
    </rfmt>
    <rfmt sheetId="2" sqref="IJ772" start="0" length="0">
      <dxf/>
    </rfmt>
    <rfmt sheetId="2" sqref="IK772" start="0" length="0">
      <dxf/>
    </rfmt>
    <rfmt sheetId="2" sqref="IL772" start="0" length="0">
      <dxf/>
    </rfmt>
    <rfmt sheetId="2" sqref="IM772" start="0" length="0">
      <dxf/>
    </rfmt>
    <rfmt sheetId="2" sqref="IN772" start="0" length="0">
      <dxf/>
    </rfmt>
    <rfmt sheetId="2" sqref="IO772" start="0" length="0">
      <dxf/>
    </rfmt>
    <rfmt sheetId="2" sqref="IP772" start="0" length="0">
      <dxf/>
    </rfmt>
    <rfmt sheetId="2" sqref="IQ772" start="0" length="0">
      <dxf/>
    </rfmt>
    <rfmt sheetId="2" sqref="IR772" start="0" length="0">
      <dxf/>
    </rfmt>
    <rfmt sheetId="2" sqref="IS772" start="0" length="0">
      <dxf/>
    </rfmt>
    <rfmt sheetId="2" sqref="IT772" start="0" length="0">
      <dxf/>
    </rfmt>
    <rfmt sheetId="2" sqref="IU772" start="0" length="0">
      <dxf/>
    </rfmt>
    <rfmt sheetId="2" sqref="IV772" start="0" length="0">
      <dxf/>
    </rfmt>
    <rfmt sheetId="2" sqref="IW772" start="0" length="0">
      <dxf/>
    </rfmt>
    <rfmt sheetId="2" sqref="IX772" start="0" length="0">
      <dxf/>
    </rfmt>
    <rfmt sheetId="2" sqref="IY772" start="0" length="0">
      <dxf/>
    </rfmt>
    <rfmt sheetId="2" sqref="IZ772" start="0" length="0">
      <dxf/>
    </rfmt>
    <rfmt sheetId="2" sqref="JA772" start="0" length="0">
      <dxf/>
    </rfmt>
    <rfmt sheetId="2" sqref="JB772" start="0" length="0">
      <dxf/>
    </rfmt>
    <rfmt sheetId="2" sqref="JC772" start="0" length="0">
      <dxf/>
    </rfmt>
    <rfmt sheetId="2" sqref="JD772" start="0" length="0">
      <dxf/>
    </rfmt>
    <rfmt sheetId="2" sqref="JE772" start="0" length="0">
      <dxf/>
    </rfmt>
    <rfmt sheetId="2" sqref="JF772" start="0" length="0">
      <dxf/>
    </rfmt>
    <rfmt sheetId="2" sqref="JG772" start="0" length="0">
      <dxf/>
    </rfmt>
    <rfmt sheetId="2" sqref="JH772" start="0" length="0">
      <dxf/>
    </rfmt>
    <rfmt sheetId="2" sqref="JI772" start="0" length="0">
      <dxf/>
    </rfmt>
    <rfmt sheetId="2" sqref="JJ772" start="0" length="0">
      <dxf/>
    </rfmt>
    <rfmt sheetId="2" sqref="JK772" start="0" length="0">
      <dxf/>
    </rfmt>
    <rfmt sheetId="2" sqref="JL772" start="0" length="0">
      <dxf/>
    </rfmt>
    <rfmt sheetId="2" sqref="JM772" start="0" length="0">
      <dxf/>
    </rfmt>
    <rfmt sheetId="2" sqref="JN772" start="0" length="0">
      <dxf/>
    </rfmt>
    <rfmt sheetId="2" sqref="JO772" start="0" length="0">
      <dxf/>
    </rfmt>
    <rfmt sheetId="2" sqref="JP772" start="0" length="0">
      <dxf/>
    </rfmt>
    <rfmt sheetId="2" sqref="JQ772" start="0" length="0">
      <dxf/>
    </rfmt>
    <rfmt sheetId="2" sqref="JR772" start="0" length="0">
      <dxf/>
    </rfmt>
    <rfmt sheetId="2" sqref="JS772" start="0" length="0">
      <dxf/>
    </rfmt>
    <rfmt sheetId="2" sqref="JT772" start="0" length="0">
      <dxf/>
    </rfmt>
    <rfmt sheetId="2" sqref="JU772" start="0" length="0">
      <dxf/>
    </rfmt>
    <rfmt sheetId="2" sqref="JV772" start="0" length="0">
      <dxf/>
    </rfmt>
    <rfmt sheetId="2" sqref="JW772" start="0" length="0">
      <dxf/>
    </rfmt>
    <rfmt sheetId="2" sqref="JX772" start="0" length="0">
      <dxf/>
    </rfmt>
    <rfmt sheetId="2" sqref="JY772" start="0" length="0">
      <dxf/>
    </rfmt>
    <rfmt sheetId="2" sqref="JZ772" start="0" length="0">
      <dxf/>
    </rfmt>
    <rfmt sheetId="2" sqref="KA772" start="0" length="0">
      <dxf/>
    </rfmt>
    <rfmt sheetId="2" sqref="KB772" start="0" length="0">
      <dxf/>
    </rfmt>
    <rfmt sheetId="2" sqref="KC772" start="0" length="0">
      <dxf/>
    </rfmt>
    <rfmt sheetId="2" sqref="KD772" start="0" length="0">
      <dxf/>
    </rfmt>
    <rfmt sheetId="2" sqref="KE772" start="0" length="0">
      <dxf/>
    </rfmt>
    <rfmt sheetId="2" sqref="KF772" start="0" length="0">
      <dxf/>
    </rfmt>
    <rfmt sheetId="2" sqref="KG772" start="0" length="0">
      <dxf/>
    </rfmt>
    <rfmt sheetId="2" sqref="KH772" start="0" length="0">
      <dxf/>
    </rfmt>
    <rfmt sheetId="2" sqref="KI772" start="0" length="0">
      <dxf/>
    </rfmt>
    <rfmt sheetId="2" sqref="KJ772" start="0" length="0">
      <dxf/>
    </rfmt>
    <rfmt sheetId="2" sqref="KK772" start="0" length="0">
      <dxf/>
    </rfmt>
    <rfmt sheetId="2" sqref="KL772" start="0" length="0">
      <dxf/>
    </rfmt>
    <rfmt sheetId="2" sqref="KM772" start="0" length="0">
      <dxf/>
    </rfmt>
    <rfmt sheetId="2" sqref="KN772" start="0" length="0">
      <dxf/>
    </rfmt>
    <rfmt sheetId="2" sqref="KO772" start="0" length="0">
      <dxf/>
    </rfmt>
    <rfmt sheetId="2" sqref="KP772" start="0" length="0">
      <dxf/>
    </rfmt>
    <rfmt sheetId="2" sqref="KQ772" start="0" length="0">
      <dxf/>
    </rfmt>
    <rfmt sheetId="2" sqref="KR772" start="0" length="0">
      <dxf/>
    </rfmt>
    <rfmt sheetId="2" sqref="KS772" start="0" length="0">
      <dxf/>
    </rfmt>
    <rfmt sheetId="2" sqref="KT772" start="0" length="0">
      <dxf/>
    </rfmt>
    <rfmt sheetId="2" sqref="KU772" start="0" length="0">
      <dxf/>
    </rfmt>
    <rfmt sheetId="2" sqref="KV772" start="0" length="0">
      <dxf/>
    </rfmt>
    <rfmt sheetId="2" sqref="KW772" start="0" length="0">
      <dxf/>
    </rfmt>
    <rfmt sheetId="2" sqref="KX772" start="0" length="0">
      <dxf/>
    </rfmt>
    <rfmt sheetId="2" sqref="KY772" start="0" length="0">
      <dxf/>
    </rfmt>
    <rfmt sheetId="2" sqref="KZ772" start="0" length="0">
      <dxf/>
    </rfmt>
    <rfmt sheetId="2" sqref="LA772" start="0" length="0">
      <dxf/>
    </rfmt>
    <rfmt sheetId="2" sqref="LB772" start="0" length="0">
      <dxf/>
    </rfmt>
    <rfmt sheetId="2" sqref="LC772" start="0" length="0">
      <dxf/>
    </rfmt>
    <rfmt sheetId="2" sqref="LD772" start="0" length="0">
      <dxf/>
    </rfmt>
    <rfmt sheetId="2" sqref="LE772" start="0" length="0">
      <dxf/>
    </rfmt>
    <rfmt sheetId="2" sqref="LF772" start="0" length="0">
      <dxf/>
    </rfmt>
    <rfmt sheetId="2" sqref="LG772" start="0" length="0">
      <dxf/>
    </rfmt>
    <rfmt sheetId="2" sqref="LH772" start="0" length="0">
      <dxf/>
    </rfmt>
    <rfmt sheetId="2" sqref="LI772" start="0" length="0">
      <dxf/>
    </rfmt>
    <rfmt sheetId="2" sqref="LJ772" start="0" length="0">
      <dxf/>
    </rfmt>
    <rfmt sheetId="2" sqref="LK772" start="0" length="0">
      <dxf/>
    </rfmt>
    <rfmt sheetId="2" sqref="LL772" start="0" length="0">
      <dxf/>
    </rfmt>
    <rfmt sheetId="2" sqref="LM772" start="0" length="0">
      <dxf/>
    </rfmt>
    <rfmt sheetId="2" sqref="LN772" start="0" length="0">
      <dxf/>
    </rfmt>
    <rfmt sheetId="2" sqref="LO772" start="0" length="0">
      <dxf/>
    </rfmt>
    <rfmt sheetId="2" sqref="LP772" start="0" length="0">
      <dxf/>
    </rfmt>
    <rfmt sheetId="2" sqref="LQ772" start="0" length="0">
      <dxf/>
    </rfmt>
    <rfmt sheetId="2" sqref="LR772" start="0" length="0">
      <dxf/>
    </rfmt>
    <rfmt sheetId="2" sqref="LS772" start="0" length="0">
      <dxf/>
    </rfmt>
    <rfmt sheetId="2" sqref="LT772" start="0" length="0">
      <dxf/>
    </rfmt>
    <rfmt sheetId="2" sqref="LU772" start="0" length="0">
      <dxf/>
    </rfmt>
    <rfmt sheetId="2" sqref="LV772" start="0" length="0">
      <dxf/>
    </rfmt>
    <rfmt sheetId="2" sqref="LW772" start="0" length="0">
      <dxf/>
    </rfmt>
    <rfmt sheetId="2" sqref="LX772" start="0" length="0">
      <dxf/>
    </rfmt>
    <rfmt sheetId="2" sqref="LY772" start="0" length="0">
      <dxf/>
    </rfmt>
    <rfmt sheetId="2" sqref="LZ772" start="0" length="0">
      <dxf/>
    </rfmt>
    <rfmt sheetId="2" sqref="MA772" start="0" length="0">
      <dxf/>
    </rfmt>
    <rfmt sheetId="2" sqref="MB772" start="0" length="0">
      <dxf/>
    </rfmt>
  </rr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1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374" sId="2" ref="A774:XFD774" action="insertRow">
    <undo index="0" exp="area" ref3D="1" dr="$A$1:$A$1048576" dn="Z_D108A94F_96BE_4B2E_9408_7CE19DC55699_.wvu.Cols" sId="2"/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  <undo index="0" exp="area" ref3D="1" dr="$A$1:$A$1048576" dn="Z_8578D927_8BDE_4C99_A2DB_3E44DFA36FF2_.wvu.Cols" sId="2"/>
  </rrc>
  <rm rId="2375" sheetId="2" source="A771:XFD771" destination="A774:XFD774" sourceSheetId="2">
    <rfmt sheetId="2" xfDxf="1" sqref="A774:XFD774" start="0" length="0">
      <dxf>
        <font>
          <sz val="10"/>
          <name val="Arial"/>
          <scheme val="none"/>
        </font>
        <alignment horizontal="center" readingOrder="0"/>
      </dxf>
    </rfmt>
    <rfmt sheetId="2" sqref="A774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4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4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4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4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4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4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7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7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7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7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4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4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4" start="0" length="0">
      <dxf>
        <numFmt numFmtId="25" formatCode="hh:mm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4" start="0" length="0">
      <dxf>
        <numFmt numFmtId="176" formatCode="m/d;@"/>
      </dxf>
    </rfmt>
    <rfmt sheetId="2" sqref="P774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4" start="0" length="0">
      <dxf/>
    </rfmt>
    <rfmt sheetId="2" sqref="U774" start="0" length="0">
      <dxf/>
    </rfmt>
    <rfmt sheetId="2" sqref="V774" start="0" length="0">
      <dxf/>
    </rfmt>
    <rfmt sheetId="2" sqref="W774" start="0" length="0">
      <dxf/>
    </rfmt>
    <rfmt sheetId="2" sqref="X774" start="0" length="0">
      <dxf/>
    </rfmt>
    <rfmt sheetId="2" sqref="Y774" start="0" length="0">
      <dxf/>
    </rfmt>
    <rfmt sheetId="2" sqref="Z774" start="0" length="0">
      <dxf/>
    </rfmt>
    <rfmt sheetId="2" sqref="AA774" start="0" length="0">
      <dxf/>
    </rfmt>
    <rfmt sheetId="2" sqref="AB774" start="0" length="0">
      <dxf/>
    </rfmt>
    <rfmt sheetId="2" sqref="AC774" start="0" length="0">
      <dxf/>
    </rfmt>
    <rfmt sheetId="2" sqref="AD774" start="0" length="0">
      <dxf/>
    </rfmt>
    <rfmt sheetId="2" sqref="AE774" start="0" length="0">
      <dxf/>
    </rfmt>
    <rfmt sheetId="2" sqref="AF774" start="0" length="0">
      <dxf/>
    </rfmt>
    <rfmt sheetId="2" sqref="AG774" start="0" length="0">
      <dxf/>
    </rfmt>
    <rfmt sheetId="2" sqref="AH774" start="0" length="0">
      <dxf/>
    </rfmt>
    <rfmt sheetId="2" sqref="AI774" start="0" length="0">
      <dxf/>
    </rfmt>
    <rfmt sheetId="2" sqref="AJ774" start="0" length="0">
      <dxf/>
    </rfmt>
    <rfmt sheetId="2" sqref="AK774" start="0" length="0">
      <dxf/>
    </rfmt>
    <rfmt sheetId="2" sqref="AL774" start="0" length="0">
      <dxf/>
    </rfmt>
    <rfmt sheetId="2" sqref="AM774" start="0" length="0">
      <dxf/>
    </rfmt>
    <rfmt sheetId="2" sqref="AN774" start="0" length="0">
      <dxf/>
    </rfmt>
    <rfmt sheetId="2" sqref="AO774" start="0" length="0">
      <dxf/>
    </rfmt>
    <rfmt sheetId="2" sqref="AP774" start="0" length="0">
      <dxf/>
    </rfmt>
    <rfmt sheetId="2" sqref="AQ774" start="0" length="0">
      <dxf/>
    </rfmt>
    <rfmt sheetId="2" sqref="AR774" start="0" length="0">
      <dxf/>
    </rfmt>
    <rfmt sheetId="2" sqref="AS774" start="0" length="0">
      <dxf/>
    </rfmt>
    <rfmt sheetId="2" sqref="AT774" start="0" length="0">
      <dxf/>
    </rfmt>
    <rfmt sheetId="2" sqref="AU774" start="0" length="0">
      <dxf/>
    </rfmt>
    <rfmt sheetId="2" sqref="AV774" start="0" length="0">
      <dxf/>
    </rfmt>
    <rfmt sheetId="2" sqref="AW774" start="0" length="0">
      <dxf/>
    </rfmt>
    <rfmt sheetId="2" sqref="AX774" start="0" length="0">
      <dxf/>
    </rfmt>
    <rfmt sheetId="2" sqref="AY774" start="0" length="0">
      <dxf/>
    </rfmt>
    <rfmt sheetId="2" sqref="AZ774" start="0" length="0">
      <dxf/>
    </rfmt>
    <rfmt sheetId="2" sqref="BA774" start="0" length="0">
      <dxf/>
    </rfmt>
    <rfmt sheetId="2" sqref="BB774" start="0" length="0">
      <dxf/>
    </rfmt>
    <rfmt sheetId="2" sqref="BC774" start="0" length="0">
      <dxf/>
    </rfmt>
    <rfmt sheetId="2" sqref="BD774" start="0" length="0">
      <dxf/>
    </rfmt>
    <rfmt sheetId="2" sqref="BE774" start="0" length="0">
      <dxf/>
    </rfmt>
    <rfmt sheetId="2" sqref="BF774" start="0" length="0">
      <dxf/>
    </rfmt>
    <rfmt sheetId="2" sqref="BG774" start="0" length="0">
      <dxf/>
    </rfmt>
    <rfmt sheetId="2" sqref="BH774" start="0" length="0">
      <dxf/>
    </rfmt>
    <rfmt sheetId="2" sqref="BI774" start="0" length="0">
      <dxf/>
    </rfmt>
    <rfmt sheetId="2" sqref="BJ774" start="0" length="0">
      <dxf/>
    </rfmt>
    <rfmt sheetId="2" sqref="BK774" start="0" length="0">
      <dxf/>
    </rfmt>
    <rfmt sheetId="2" sqref="BL774" start="0" length="0">
      <dxf/>
    </rfmt>
    <rfmt sheetId="2" sqref="BM774" start="0" length="0">
      <dxf/>
    </rfmt>
    <rfmt sheetId="2" sqref="BN774" start="0" length="0">
      <dxf/>
    </rfmt>
    <rfmt sheetId="2" sqref="BO774" start="0" length="0">
      <dxf/>
    </rfmt>
    <rfmt sheetId="2" sqref="BP774" start="0" length="0">
      <dxf/>
    </rfmt>
    <rfmt sheetId="2" sqref="BQ774" start="0" length="0">
      <dxf/>
    </rfmt>
    <rfmt sheetId="2" sqref="BR774" start="0" length="0">
      <dxf/>
    </rfmt>
    <rfmt sheetId="2" sqref="BS774" start="0" length="0">
      <dxf/>
    </rfmt>
    <rfmt sheetId="2" sqref="BT774" start="0" length="0">
      <dxf/>
    </rfmt>
    <rfmt sheetId="2" sqref="BU774" start="0" length="0">
      <dxf/>
    </rfmt>
    <rfmt sheetId="2" sqref="BV774" start="0" length="0">
      <dxf/>
    </rfmt>
    <rfmt sheetId="2" sqref="BW774" start="0" length="0">
      <dxf/>
    </rfmt>
    <rfmt sheetId="2" sqref="BX774" start="0" length="0">
      <dxf/>
    </rfmt>
    <rfmt sheetId="2" sqref="BY774" start="0" length="0">
      <dxf/>
    </rfmt>
    <rfmt sheetId="2" sqref="BZ774" start="0" length="0">
      <dxf/>
    </rfmt>
    <rfmt sheetId="2" sqref="CA774" start="0" length="0">
      <dxf/>
    </rfmt>
    <rfmt sheetId="2" sqref="CB774" start="0" length="0">
      <dxf/>
    </rfmt>
    <rfmt sheetId="2" sqref="CC774" start="0" length="0">
      <dxf/>
    </rfmt>
    <rfmt sheetId="2" sqref="CD774" start="0" length="0">
      <dxf/>
    </rfmt>
    <rfmt sheetId="2" sqref="CE774" start="0" length="0">
      <dxf/>
    </rfmt>
    <rfmt sheetId="2" sqref="CF774" start="0" length="0">
      <dxf/>
    </rfmt>
    <rfmt sheetId="2" sqref="CG774" start="0" length="0">
      <dxf/>
    </rfmt>
    <rfmt sheetId="2" sqref="CH774" start="0" length="0">
      <dxf/>
    </rfmt>
    <rfmt sheetId="2" sqref="CI774" start="0" length="0">
      <dxf/>
    </rfmt>
    <rfmt sheetId="2" sqref="CJ774" start="0" length="0">
      <dxf/>
    </rfmt>
    <rfmt sheetId="2" sqref="CK774" start="0" length="0">
      <dxf/>
    </rfmt>
    <rfmt sheetId="2" sqref="CL774" start="0" length="0">
      <dxf/>
    </rfmt>
    <rfmt sheetId="2" sqref="CM774" start="0" length="0">
      <dxf/>
    </rfmt>
    <rfmt sheetId="2" sqref="CN774" start="0" length="0">
      <dxf/>
    </rfmt>
    <rfmt sheetId="2" sqref="CO774" start="0" length="0">
      <dxf/>
    </rfmt>
    <rfmt sheetId="2" sqref="CP774" start="0" length="0">
      <dxf/>
    </rfmt>
    <rfmt sheetId="2" sqref="CQ774" start="0" length="0">
      <dxf/>
    </rfmt>
    <rfmt sheetId="2" sqref="CR774" start="0" length="0">
      <dxf/>
    </rfmt>
    <rfmt sheetId="2" sqref="CS774" start="0" length="0">
      <dxf/>
    </rfmt>
    <rfmt sheetId="2" sqref="CT774" start="0" length="0">
      <dxf/>
    </rfmt>
    <rfmt sheetId="2" sqref="CU774" start="0" length="0">
      <dxf/>
    </rfmt>
    <rfmt sheetId="2" sqref="CV774" start="0" length="0">
      <dxf/>
    </rfmt>
    <rfmt sheetId="2" sqref="CW774" start="0" length="0">
      <dxf/>
    </rfmt>
    <rfmt sheetId="2" sqref="CX774" start="0" length="0">
      <dxf/>
    </rfmt>
    <rfmt sheetId="2" sqref="CY774" start="0" length="0">
      <dxf/>
    </rfmt>
    <rfmt sheetId="2" sqref="CZ774" start="0" length="0">
      <dxf/>
    </rfmt>
    <rfmt sheetId="2" sqref="DA774" start="0" length="0">
      <dxf/>
    </rfmt>
    <rfmt sheetId="2" sqref="DB774" start="0" length="0">
      <dxf/>
    </rfmt>
    <rfmt sheetId="2" sqref="DC774" start="0" length="0">
      <dxf/>
    </rfmt>
    <rfmt sheetId="2" sqref="DD774" start="0" length="0">
      <dxf/>
    </rfmt>
    <rfmt sheetId="2" sqref="DE774" start="0" length="0">
      <dxf/>
    </rfmt>
    <rfmt sheetId="2" sqref="DF774" start="0" length="0">
      <dxf/>
    </rfmt>
    <rfmt sheetId="2" sqref="DG774" start="0" length="0">
      <dxf/>
    </rfmt>
    <rfmt sheetId="2" sqref="DH774" start="0" length="0">
      <dxf/>
    </rfmt>
    <rfmt sheetId="2" sqref="DI774" start="0" length="0">
      <dxf/>
    </rfmt>
    <rfmt sheetId="2" sqref="DJ774" start="0" length="0">
      <dxf/>
    </rfmt>
    <rfmt sheetId="2" sqref="DK774" start="0" length="0">
      <dxf/>
    </rfmt>
    <rfmt sheetId="2" sqref="DL774" start="0" length="0">
      <dxf/>
    </rfmt>
    <rfmt sheetId="2" sqref="DM774" start="0" length="0">
      <dxf/>
    </rfmt>
    <rfmt sheetId="2" sqref="DN774" start="0" length="0">
      <dxf/>
    </rfmt>
    <rfmt sheetId="2" sqref="DO774" start="0" length="0">
      <dxf/>
    </rfmt>
    <rfmt sheetId="2" sqref="DP774" start="0" length="0">
      <dxf/>
    </rfmt>
    <rfmt sheetId="2" sqref="DQ774" start="0" length="0">
      <dxf/>
    </rfmt>
    <rfmt sheetId="2" sqref="DR774" start="0" length="0">
      <dxf/>
    </rfmt>
    <rfmt sheetId="2" sqref="DS774" start="0" length="0">
      <dxf/>
    </rfmt>
    <rfmt sheetId="2" sqref="DT774" start="0" length="0">
      <dxf/>
    </rfmt>
    <rfmt sheetId="2" sqref="DU774" start="0" length="0">
      <dxf/>
    </rfmt>
    <rfmt sheetId="2" sqref="DV774" start="0" length="0">
      <dxf/>
    </rfmt>
    <rfmt sheetId="2" sqref="DW774" start="0" length="0">
      <dxf/>
    </rfmt>
    <rfmt sheetId="2" sqref="DX774" start="0" length="0">
      <dxf/>
    </rfmt>
    <rfmt sheetId="2" sqref="DY774" start="0" length="0">
      <dxf/>
    </rfmt>
    <rfmt sheetId="2" sqref="DZ774" start="0" length="0">
      <dxf/>
    </rfmt>
    <rfmt sheetId="2" sqref="EA774" start="0" length="0">
      <dxf/>
    </rfmt>
    <rfmt sheetId="2" sqref="EB774" start="0" length="0">
      <dxf/>
    </rfmt>
    <rfmt sheetId="2" sqref="EC774" start="0" length="0">
      <dxf/>
    </rfmt>
    <rfmt sheetId="2" sqref="ED774" start="0" length="0">
      <dxf/>
    </rfmt>
    <rfmt sheetId="2" sqref="EE774" start="0" length="0">
      <dxf/>
    </rfmt>
    <rfmt sheetId="2" sqref="EF774" start="0" length="0">
      <dxf/>
    </rfmt>
    <rfmt sheetId="2" sqref="EG774" start="0" length="0">
      <dxf/>
    </rfmt>
    <rfmt sheetId="2" sqref="EH774" start="0" length="0">
      <dxf/>
    </rfmt>
    <rfmt sheetId="2" sqref="EI774" start="0" length="0">
      <dxf/>
    </rfmt>
    <rfmt sheetId="2" sqref="EJ774" start="0" length="0">
      <dxf/>
    </rfmt>
    <rfmt sheetId="2" sqref="EK774" start="0" length="0">
      <dxf/>
    </rfmt>
    <rfmt sheetId="2" sqref="EL774" start="0" length="0">
      <dxf/>
    </rfmt>
    <rfmt sheetId="2" sqref="EM774" start="0" length="0">
      <dxf/>
    </rfmt>
    <rfmt sheetId="2" sqref="EN774" start="0" length="0">
      <dxf/>
    </rfmt>
    <rfmt sheetId="2" sqref="EO774" start="0" length="0">
      <dxf/>
    </rfmt>
    <rfmt sheetId="2" sqref="EP774" start="0" length="0">
      <dxf/>
    </rfmt>
    <rfmt sheetId="2" sqref="EQ774" start="0" length="0">
      <dxf/>
    </rfmt>
    <rfmt sheetId="2" sqref="ER774" start="0" length="0">
      <dxf/>
    </rfmt>
    <rfmt sheetId="2" sqref="ES774" start="0" length="0">
      <dxf/>
    </rfmt>
    <rfmt sheetId="2" sqref="ET774" start="0" length="0">
      <dxf/>
    </rfmt>
    <rfmt sheetId="2" sqref="EU774" start="0" length="0">
      <dxf/>
    </rfmt>
    <rfmt sheetId="2" sqref="EV774" start="0" length="0">
      <dxf/>
    </rfmt>
    <rfmt sheetId="2" sqref="EW774" start="0" length="0">
      <dxf/>
    </rfmt>
    <rfmt sheetId="2" sqref="EX774" start="0" length="0">
      <dxf/>
    </rfmt>
    <rfmt sheetId="2" sqref="EY774" start="0" length="0">
      <dxf/>
    </rfmt>
    <rfmt sheetId="2" sqref="EZ774" start="0" length="0">
      <dxf/>
    </rfmt>
    <rfmt sheetId="2" sqref="FA774" start="0" length="0">
      <dxf/>
    </rfmt>
    <rfmt sheetId="2" sqref="FB774" start="0" length="0">
      <dxf/>
    </rfmt>
    <rfmt sheetId="2" sqref="FC774" start="0" length="0">
      <dxf/>
    </rfmt>
    <rfmt sheetId="2" sqref="FD774" start="0" length="0">
      <dxf/>
    </rfmt>
    <rfmt sheetId="2" sqref="FE774" start="0" length="0">
      <dxf/>
    </rfmt>
    <rfmt sheetId="2" sqref="FF774" start="0" length="0">
      <dxf/>
    </rfmt>
    <rfmt sheetId="2" sqref="FG774" start="0" length="0">
      <dxf/>
    </rfmt>
    <rfmt sheetId="2" sqref="FH774" start="0" length="0">
      <dxf/>
    </rfmt>
    <rfmt sheetId="2" sqref="FI774" start="0" length="0">
      <dxf/>
    </rfmt>
    <rfmt sheetId="2" sqref="FJ774" start="0" length="0">
      <dxf/>
    </rfmt>
    <rfmt sheetId="2" sqref="FK774" start="0" length="0">
      <dxf/>
    </rfmt>
    <rfmt sheetId="2" sqref="FL774" start="0" length="0">
      <dxf/>
    </rfmt>
    <rfmt sheetId="2" sqref="FM774" start="0" length="0">
      <dxf/>
    </rfmt>
    <rfmt sheetId="2" sqref="FN774" start="0" length="0">
      <dxf/>
    </rfmt>
    <rfmt sheetId="2" sqref="FO774" start="0" length="0">
      <dxf/>
    </rfmt>
    <rfmt sheetId="2" sqref="FP774" start="0" length="0">
      <dxf/>
    </rfmt>
    <rfmt sheetId="2" sqref="FQ774" start="0" length="0">
      <dxf/>
    </rfmt>
    <rfmt sheetId="2" sqref="FR774" start="0" length="0">
      <dxf/>
    </rfmt>
    <rfmt sheetId="2" sqref="FS774" start="0" length="0">
      <dxf/>
    </rfmt>
    <rfmt sheetId="2" sqref="FT774" start="0" length="0">
      <dxf/>
    </rfmt>
    <rfmt sheetId="2" sqref="FU774" start="0" length="0">
      <dxf/>
    </rfmt>
    <rfmt sheetId="2" sqref="FV774" start="0" length="0">
      <dxf/>
    </rfmt>
    <rfmt sheetId="2" sqref="FW774" start="0" length="0">
      <dxf/>
    </rfmt>
    <rfmt sheetId="2" sqref="FX774" start="0" length="0">
      <dxf/>
    </rfmt>
    <rfmt sheetId="2" sqref="FY774" start="0" length="0">
      <dxf/>
    </rfmt>
    <rfmt sheetId="2" sqref="FZ774" start="0" length="0">
      <dxf/>
    </rfmt>
    <rfmt sheetId="2" sqref="GA774" start="0" length="0">
      <dxf/>
    </rfmt>
    <rfmt sheetId="2" sqref="GB774" start="0" length="0">
      <dxf/>
    </rfmt>
    <rfmt sheetId="2" sqref="GC774" start="0" length="0">
      <dxf/>
    </rfmt>
    <rfmt sheetId="2" sqref="GD774" start="0" length="0">
      <dxf/>
    </rfmt>
    <rfmt sheetId="2" sqref="GE774" start="0" length="0">
      <dxf/>
    </rfmt>
    <rfmt sheetId="2" sqref="GF774" start="0" length="0">
      <dxf/>
    </rfmt>
    <rfmt sheetId="2" sqref="GG774" start="0" length="0">
      <dxf/>
    </rfmt>
    <rfmt sheetId="2" sqref="GH774" start="0" length="0">
      <dxf/>
    </rfmt>
    <rfmt sheetId="2" sqref="GI774" start="0" length="0">
      <dxf/>
    </rfmt>
    <rfmt sheetId="2" sqref="GJ774" start="0" length="0">
      <dxf/>
    </rfmt>
    <rfmt sheetId="2" sqref="GK774" start="0" length="0">
      <dxf/>
    </rfmt>
    <rfmt sheetId="2" sqref="GL774" start="0" length="0">
      <dxf/>
    </rfmt>
    <rfmt sheetId="2" sqref="GM774" start="0" length="0">
      <dxf/>
    </rfmt>
    <rfmt sheetId="2" sqref="GN774" start="0" length="0">
      <dxf/>
    </rfmt>
    <rfmt sheetId="2" sqref="GO774" start="0" length="0">
      <dxf/>
    </rfmt>
    <rfmt sheetId="2" sqref="GP774" start="0" length="0">
      <dxf/>
    </rfmt>
    <rfmt sheetId="2" sqref="GQ774" start="0" length="0">
      <dxf/>
    </rfmt>
    <rfmt sheetId="2" sqref="GR774" start="0" length="0">
      <dxf/>
    </rfmt>
    <rfmt sheetId="2" sqref="GS774" start="0" length="0">
      <dxf/>
    </rfmt>
    <rfmt sheetId="2" sqref="GT774" start="0" length="0">
      <dxf/>
    </rfmt>
    <rfmt sheetId="2" sqref="GU774" start="0" length="0">
      <dxf/>
    </rfmt>
    <rfmt sheetId="2" sqref="GV774" start="0" length="0">
      <dxf/>
    </rfmt>
    <rfmt sheetId="2" sqref="GW774" start="0" length="0">
      <dxf/>
    </rfmt>
    <rfmt sheetId="2" sqref="GX774" start="0" length="0">
      <dxf/>
    </rfmt>
    <rfmt sheetId="2" sqref="GY774" start="0" length="0">
      <dxf/>
    </rfmt>
    <rfmt sheetId="2" sqref="GZ774" start="0" length="0">
      <dxf/>
    </rfmt>
    <rfmt sheetId="2" sqref="HA774" start="0" length="0">
      <dxf/>
    </rfmt>
    <rfmt sheetId="2" sqref="HB774" start="0" length="0">
      <dxf/>
    </rfmt>
    <rfmt sheetId="2" sqref="HC774" start="0" length="0">
      <dxf/>
    </rfmt>
    <rfmt sheetId="2" sqref="HD774" start="0" length="0">
      <dxf/>
    </rfmt>
    <rfmt sheetId="2" sqref="HE774" start="0" length="0">
      <dxf/>
    </rfmt>
    <rfmt sheetId="2" sqref="HF774" start="0" length="0">
      <dxf/>
    </rfmt>
    <rfmt sheetId="2" sqref="HG774" start="0" length="0">
      <dxf/>
    </rfmt>
    <rfmt sheetId="2" sqref="HH774" start="0" length="0">
      <dxf/>
    </rfmt>
    <rfmt sheetId="2" sqref="HI774" start="0" length="0">
      <dxf/>
    </rfmt>
    <rfmt sheetId="2" sqref="HJ774" start="0" length="0">
      <dxf/>
    </rfmt>
    <rfmt sheetId="2" sqref="HK774" start="0" length="0">
      <dxf/>
    </rfmt>
    <rfmt sheetId="2" sqref="HL774" start="0" length="0">
      <dxf/>
    </rfmt>
    <rfmt sheetId="2" sqref="HM774" start="0" length="0">
      <dxf/>
    </rfmt>
    <rfmt sheetId="2" sqref="HN774" start="0" length="0">
      <dxf/>
    </rfmt>
    <rfmt sheetId="2" sqref="HO774" start="0" length="0">
      <dxf/>
    </rfmt>
    <rfmt sheetId="2" sqref="HP774" start="0" length="0">
      <dxf/>
    </rfmt>
    <rfmt sheetId="2" sqref="HQ774" start="0" length="0">
      <dxf/>
    </rfmt>
    <rfmt sheetId="2" sqref="HR774" start="0" length="0">
      <dxf/>
    </rfmt>
    <rfmt sheetId="2" sqref="HS774" start="0" length="0">
      <dxf/>
    </rfmt>
    <rfmt sheetId="2" sqref="HT774" start="0" length="0">
      <dxf/>
    </rfmt>
    <rfmt sheetId="2" sqref="HU774" start="0" length="0">
      <dxf/>
    </rfmt>
    <rfmt sheetId="2" sqref="HV774" start="0" length="0">
      <dxf/>
    </rfmt>
    <rfmt sheetId="2" sqref="HW774" start="0" length="0">
      <dxf/>
    </rfmt>
    <rfmt sheetId="2" sqref="HX774" start="0" length="0">
      <dxf/>
    </rfmt>
    <rfmt sheetId="2" sqref="HY774" start="0" length="0">
      <dxf/>
    </rfmt>
    <rfmt sheetId="2" sqref="HZ774" start="0" length="0">
      <dxf/>
    </rfmt>
    <rfmt sheetId="2" sqref="IA774" start="0" length="0">
      <dxf/>
    </rfmt>
    <rfmt sheetId="2" sqref="IB774" start="0" length="0">
      <dxf/>
    </rfmt>
    <rfmt sheetId="2" sqref="IC774" start="0" length="0">
      <dxf/>
    </rfmt>
    <rfmt sheetId="2" sqref="ID774" start="0" length="0">
      <dxf/>
    </rfmt>
    <rfmt sheetId="2" sqref="IE774" start="0" length="0">
      <dxf/>
    </rfmt>
    <rfmt sheetId="2" sqref="IF774" start="0" length="0">
      <dxf/>
    </rfmt>
    <rfmt sheetId="2" sqref="IG774" start="0" length="0">
      <dxf/>
    </rfmt>
    <rfmt sheetId="2" sqref="IH774" start="0" length="0">
      <dxf/>
    </rfmt>
    <rfmt sheetId="2" sqref="II774" start="0" length="0">
      <dxf/>
    </rfmt>
    <rfmt sheetId="2" sqref="IJ774" start="0" length="0">
      <dxf/>
    </rfmt>
    <rfmt sheetId="2" sqref="IK774" start="0" length="0">
      <dxf/>
    </rfmt>
    <rfmt sheetId="2" sqref="IL774" start="0" length="0">
      <dxf/>
    </rfmt>
    <rfmt sheetId="2" sqref="IM774" start="0" length="0">
      <dxf/>
    </rfmt>
    <rfmt sheetId="2" sqref="IN774" start="0" length="0">
      <dxf/>
    </rfmt>
    <rfmt sheetId="2" sqref="IO774" start="0" length="0">
      <dxf/>
    </rfmt>
    <rfmt sheetId="2" sqref="IP774" start="0" length="0">
      <dxf/>
    </rfmt>
    <rfmt sheetId="2" sqref="IQ774" start="0" length="0">
      <dxf/>
    </rfmt>
    <rfmt sheetId="2" sqref="IR774" start="0" length="0">
      <dxf/>
    </rfmt>
    <rfmt sheetId="2" sqref="IS774" start="0" length="0">
      <dxf/>
    </rfmt>
    <rfmt sheetId="2" sqref="IT774" start="0" length="0">
      <dxf/>
    </rfmt>
    <rfmt sheetId="2" sqref="IU774" start="0" length="0">
      <dxf/>
    </rfmt>
    <rfmt sheetId="2" sqref="IV774" start="0" length="0">
      <dxf/>
    </rfmt>
    <rfmt sheetId="2" sqref="IW774" start="0" length="0">
      <dxf/>
    </rfmt>
    <rfmt sheetId="2" sqref="IX774" start="0" length="0">
      <dxf/>
    </rfmt>
    <rfmt sheetId="2" sqref="IY774" start="0" length="0">
      <dxf/>
    </rfmt>
    <rfmt sheetId="2" sqref="IZ774" start="0" length="0">
      <dxf/>
    </rfmt>
    <rfmt sheetId="2" sqref="JA774" start="0" length="0">
      <dxf/>
    </rfmt>
    <rfmt sheetId="2" sqref="JB774" start="0" length="0">
      <dxf/>
    </rfmt>
    <rfmt sheetId="2" sqref="JC774" start="0" length="0">
      <dxf/>
    </rfmt>
    <rfmt sheetId="2" sqref="JD774" start="0" length="0">
      <dxf/>
    </rfmt>
    <rfmt sheetId="2" sqref="JE774" start="0" length="0">
      <dxf/>
    </rfmt>
    <rfmt sheetId="2" sqref="JF774" start="0" length="0">
      <dxf/>
    </rfmt>
    <rfmt sheetId="2" sqref="JG774" start="0" length="0">
      <dxf/>
    </rfmt>
    <rfmt sheetId="2" sqref="JH774" start="0" length="0">
      <dxf/>
    </rfmt>
    <rfmt sheetId="2" sqref="JI774" start="0" length="0">
      <dxf/>
    </rfmt>
    <rfmt sheetId="2" sqref="JJ774" start="0" length="0">
      <dxf/>
    </rfmt>
    <rfmt sheetId="2" sqref="JK774" start="0" length="0">
      <dxf/>
    </rfmt>
    <rfmt sheetId="2" sqref="JL774" start="0" length="0">
      <dxf/>
    </rfmt>
    <rfmt sheetId="2" sqref="JM774" start="0" length="0">
      <dxf/>
    </rfmt>
    <rfmt sheetId="2" sqref="JN774" start="0" length="0">
      <dxf/>
    </rfmt>
    <rfmt sheetId="2" sqref="JO774" start="0" length="0">
      <dxf/>
    </rfmt>
    <rfmt sheetId="2" sqref="JP774" start="0" length="0">
      <dxf/>
    </rfmt>
    <rfmt sheetId="2" sqref="JQ774" start="0" length="0">
      <dxf/>
    </rfmt>
    <rfmt sheetId="2" sqref="JR774" start="0" length="0">
      <dxf/>
    </rfmt>
    <rfmt sheetId="2" sqref="JS774" start="0" length="0">
      <dxf/>
    </rfmt>
    <rfmt sheetId="2" sqref="JT774" start="0" length="0">
      <dxf/>
    </rfmt>
    <rfmt sheetId="2" sqref="JU774" start="0" length="0">
      <dxf/>
    </rfmt>
    <rfmt sheetId="2" sqref="JV774" start="0" length="0">
      <dxf/>
    </rfmt>
    <rfmt sheetId="2" sqref="JW774" start="0" length="0">
      <dxf/>
    </rfmt>
    <rfmt sheetId="2" sqref="JX774" start="0" length="0">
      <dxf/>
    </rfmt>
    <rfmt sheetId="2" sqref="JY774" start="0" length="0">
      <dxf/>
    </rfmt>
    <rfmt sheetId="2" sqref="JZ774" start="0" length="0">
      <dxf/>
    </rfmt>
    <rfmt sheetId="2" sqref="KA774" start="0" length="0">
      <dxf/>
    </rfmt>
    <rfmt sheetId="2" sqref="KB774" start="0" length="0">
      <dxf/>
    </rfmt>
    <rfmt sheetId="2" sqref="KC774" start="0" length="0">
      <dxf/>
    </rfmt>
    <rfmt sheetId="2" sqref="KD774" start="0" length="0">
      <dxf/>
    </rfmt>
    <rfmt sheetId="2" sqref="KE774" start="0" length="0">
      <dxf/>
    </rfmt>
    <rfmt sheetId="2" sqref="KF774" start="0" length="0">
      <dxf/>
    </rfmt>
    <rfmt sheetId="2" sqref="KG774" start="0" length="0">
      <dxf/>
    </rfmt>
    <rfmt sheetId="2" sqref="KH774" start="0" length="0">
      <dxf/>
    </rfmt>
    <rfmt sheetId="2" sqref="KI774" start="0" length="0">
      <dxf/>
    </rfmt>
    <rfmt sheetId="2" sqref="KJ774" start="0" length="0">
      <dxf/>
    </rfmt>
    <rfmt sheetId="2" sqref="KK774" start="0" length="0">
      <dxf/>
    </rfmt>
    <rfmt sheetId="2" sqref="KL774" start="0" length="0">
      <dxf/>
    </rfmt>
    <rfmt sheetId="2" sqref="KM774" start="0" length="0">
      <dxf/>
    </rfmt>
    <rfmt sheetId="2" sqref="KN774" start="0" length="0">
      <dxf/>
    </rfmt>
    <rfmt sheetId="2" sqref="KO774" start="0" length="0">
      <dxf/>
    </rfmt>
    <rfmt sheetId="2" sqref="KP774" start="0" length="0">
      <dxf/>
    </rfmt>
    <rfmt sheetId="2" sqref="KQ774" start="0" length="0">
      <dxf/>
    </rfmt>
    <rfmt sheetId="2" sqref="KR774" start="0" length="0">
      <dxf/>
    </rfmt>
    <rfmt sheetId="2" sqref="KS774" start="0" length="0">
      <dxf/>
    </rfmt>
    <rfmt sheetId="2" sqref="KT774" start="0" length="0">
      <dxf/>
    </rfmt>
    <rfmt sheetId="2" sqref="KU774" start="0" length="0">
      <dxf/>
    </rfmt>
    <rfmt sheetId="2" sqref="KV774" start="0" length="0">
      <dxf/>
    </rfmt>
    <rfmt sheetId="2" sqref="KW774" start="0" length="0">
      <dxf/>
    </rfmt>
    <rfmt sheetId="2" sqref="KX774" start="0" length="0">
      <dxf/>
    </rfmt>
    <rfmt sheetId="2" sqref="KY774" start="0" length="0">
      <dxf/>
    </rfmt>
    <rfmt sheetId="2" sqref="KZ774" start="0" length="0">
      <dxf/>
    </rfmt>
    <rfmt sheetId="2" sqref="LA774" start="0" length="0">
      <dxf/>
    </rfmt>
    <rfmt sheetId="2" sqref="LB774" start="0" length="0">
      <dxf/>
    </rfmt>
    <rfmt sheetId="2" sqref="LC774" start="0" length="0">
      <dxf/>
    </rfmt>
    <rfmt sheetId="2" sqref="LD774" start="0" length="0">
      <dxf/>
    </rfmt>
    <rfmt sheetId="2" sqref="LE774" start="0" length="0">
      <dxf/>
    </rfmt>
    <rfmt sheetId="2" sqref="LF774" start="0" length="0">
      <dxf/>
    </rfmt>
    <rfmt sheetId="2" sqref="LG774" start="0" length="0">
      <dxf/>
    </rfmt>
    <rfmt sheetId="2" sqref="LH774" start="0" length="0">
      <dxf/>
    </rfmt>
    <rfmt sheetId="2" sqref="LI774" start="0" length="0">
      <dxf/>
    </rfmt>
    <rfmt sheetId="2" sqref="LJ774" start="0" length="0">
      <dxf/>
    </rfmt>
    <rfmt sheetId="2" sqref="LK774" start="0" length="0">
      <dxf/>
    </rfmt>
    <rfmt sheetId="2" sqref="LL774" start="0" length="0">
      <dxf/>
    </rfmt>
    <rfmt sheetId="2" sqref="LM774" start="0" length="0">
      <dxf/>
    </rfmt>
    <rfmt sheetId="2" sqref="LN774" start="0" length="0">
      <dxf/>
    </rfmt>
    <rfmt sheetId="2" sqref="LO774" start="0" length="0">
      <dxf/>
    </rfmt>
    <rfmt sheetId="2" sqref="LP774" start="0" length="0">
      <dxf/>
    </rfmt>
    <rfmt sheetId="2" sqref="LQ774" start="0" length="0">
      <dxf/>
    </rfmt>
    <rfmt sheetId="2" sqref="LR774" start="0" length="0">
      <dxf/>
    </rfmt>
    <rfmt sheetId="2" sqref="LS774" start="0" length="0">
      <dxf/>
    </rfmt>
    <rfmt sheetId="2" sqref="LT774" start="0" length="0">
      <dxf/>
    </rfmt>
    <rfmt sheetId="2" sqref="LU774" start="0" length="0">
      <dxf/>
    </rfmt>
    <rfmt sheetId="2" sqref="LV774" start="0" length="0">
      <dxf/>
    </rfmt>
    <rfmt sheetId="2" sqref="LW774" start="0" length="0">
      <dxf/>
    </rfmt>
    <rfmt sheetId="2" sqref="LX774" start="0" length="0">
      <dxf/>
    </rfmt>
    <rfmt sheetId="2" sqref="LY774" start="0" length="0">
      <dxf/>
    </rfmt>
    <rfmt sheetId="2" sqref="LZ774" start="0" length="0">
      <dxf/>
    </rfmt>
    <rfmt sheetId="2" sqref="MA774" start="0" length="0">
      <dxf/>
    </rfmt>
    <rfmt sheetId="2" sqref="MB774" start="0" length="0">
      <dxf/>
    </rfmt>
  </rm>
  <rrc rId="2376" sId="2" ref="A771:XFD771" action="deleteRow">
    <undo index="0" exp="area" ref3D="1" dr="$A$1:$A$1048576" dn="Z_D108A94F_96BE_4B2E_9408_7CE19DC55699_.wvu.Cols" sId="2"/>
    <undo index="0" exp="area" ref3D="1" dr="$A$1:$A$1048576" dn="Z_F607B316_DD6D_4909_B40C_8E7F3D6FB597_.wvu.Cols" sId="2"/>
    <undo index="0" exp="area" ref3D="1" dr="$A$1:$A$1048576" dn="Z_F261CC3E_BBAF_4421_92E0_E43167440BFB_.wvu.Cols" sId="2"/>
    <undo index="0" exp="area" ref3D="1" dr="$A$1:$A$1048576" dn="Z_5AFECFD9_E8A5_469F_BA7F_E625784BB00E_.wvu.Cols" sId="2"/>
    <undo index="0" exp="area" ref3D="1" dr="$A$1:$A$1048576" dn="Z_8578D927_8BDE_4C99_A2DB_3E44DFA36FF2_.wvu.Cols" sId="2"/>
    <rfmt sheetId="2" xfDxf="1" sqref="A771:XFD771" start="0" length="0">
      <dxf>
        <font>
          <sz val="10"/>
          <name val="Arial"/>
          <scheme val="none"/>
        </font>
        <alignment horizontal="center" readingOrder="0"/>
      </dxf>
    </rfmt>
    <rfmt sheetId="2" sqref="A77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1" start="0" length="0">
      <dxf>
        <numFmt numFmtId="176" formatCode="m/d;@"/>
      </dxf>
    </rfmt>
    <rfmt sheetId="2" sqref="P77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1" start="0" length="0">
      <dxf/>
    </rfmt>
    <rfmt sheetId="2" sqref="U771" start="0" length="0">
      <dxf/>
    </rfmt>
    <rfmt sheetId="2" sqref="V771" start="0" length="0">
      <dxf/>
    </rfmt>
    <rfmt sheetId="2" sqref="W771" start="0" length="0">
      <dxf/>
    </rfmt>
    <rfmt sheetId="2" sqref="X771" start="0" length="0">
      <dxf/>
    </rfmt>
    <rfmt sheetId="2" sqref="Y771" start="0" length="0">
      <dxf/>
    </rfmt>
    <rfmt sheetId="2" sqref="Z771" start="0" length="0">
      <dxf/>
    </rfmt>
    <rfmt sheetId="2" sqref="AA771" start="0" length="0">
      <dxf/>
    </rfmt>
    <rfmt sheetId="2" sqref="AB771" start="0" length="0">
      <dxf/>
    </rfmt>
    <rfmt sheetId="2" sqref="AC771" start="0" length="0">
      <dxf/>
    </rfmt>
    <rfmt sheetId="2" sqref="AD771" start="0" length="0">
      <dxf/>
    </rfmt>
    <rfmt sheetId="2" sqref="AE771" start="0" length="0">
      <dxf/>
    </rfmt>
    <rfmt sheetId="2" sqref="AF771" start="0" length="0">
      <dxf/>
    </rfmt>
    <rfmt sheetId="2" sqref="AG771" start="0" length="0">
      <dxf/>
    </rfmt>
    <rfmt sheetId="2" sqref="AH771" start="0" length="0">
      <dxf/>
    </rfmt>
    <rfmt sheetId="2" sqref="AI771" start="0" length="0">
      <dxf/>
    </rfmt>
    <rfmt sheetId="2" sqref="AJ771" start="0" length="0">
      <dxf/>
    </rfmt>
    <rfmt sheetId="2" sqref="AK771" start="0" length="0">
      <dxf/>
    </rfmt>
    <rfmt sheetId="2" sqref="AL771" start="0" length="0">
      <dxf/>
    </rfmt>
    <rfmt sheetId="2" sqref="AM771" start="0" length="0">
      <dxf/>
    </rfmt>
    <rfmt sheetId="2" sqref="AN771" start="0" length="0">
      <dxf/>
    </rfmt>
    <rfmt sheetId="2" sqref="AO771" start="0" length="0">
      <dxf/>
    </rfmt>
    <rfmt sheetId="2" sqref="AP771" start="0" length="0">
      <dxf/>
    </rfmt>
    <rfmt sheetId="2" sqref="AQ771" start="0" length="0">
      <dxf/>
    </rfmt>
    <rfmt sheetId="2" sqref="AR771" start="0" length="0">
      <dxf/>
    </rfmt>
    <rfmt sheetId="2" sqref="AS771" start="0" length="0">
      <dxf/>
    </rfmt>
    <rfmt sheetId="2" sqref="AT771" start="0" length="0">
      <dxf/>
    </rfmt>
    <rfmt sheetId="2" sqref="AU771" start="0" length="0">
      <dxf/>
    </rfmt>
    <rfmt sheetId="2" sqref="AV771" start="0" length="0">
      <dxf/>
    </rfmt>
    <rfmt sheetId="2" sqref="AW771" start="0" length="0">
      <dxf/>
    </rfmt>
    <rfmt sheetId="2" sqref="AX771" start="0" length="0">
      <dxf/>
    </rfmt>
    <rfmt sheetId="2" sqref="AY771" start="0" length="0">
      <dxf/>
    </rfmt>
    <rfmt sheetId="2" sqref="AZ771" start="0" length="0">
      <dxf/>
    </rfmt>
    <rfmt sheetId="2" sqref="BA771" start="0" length="0">
      <dxf/>
    </rfmt>
    <rfmt sheetId="2" sqref="BB771" start="0" length="0">
      <dxf/>
    </rfmt>
    <rfmt sheetId="2" sqref="BC771" start="0" length="0">
      <dxf/>
    </rfmt>
    <rfmt sheetId="2" sqref="BD771" start="0" length="0">
      <dxf/>
    </rfmt>
    <rfmt sheetId="2" sqref="BE771" start="0" length="0">
      <dxf/>
    </rfmt>
    <rfmt sheetId="2" sqref="BF771" start="0" length="0">
      <dxf/>
    </rfmt>
    <rfmt sheetId="2" sqref="BG771" start="0" length="0">
      <dxf/>
    </rfmt>
    <rfmt sheetId="2" sqref="BH771" start="0" length="0">
      <dxf/>
    </rfmt>
    <rfmt sheetId="2" sqref="BI771" start="0" length="0">
      <dxf/>
    </rfmt>
    <rfmt sheetId="2" sqref="BJ771" start="0" length="0">
      <dxf/>
    </rfmt>
    <rfmt sheetId="2" sqref="BK771" start="0" length="0">
      <dxf/>
    </rfmt>
    <rfmt sheetId="2" sqref="BL771" start="0" length="0">
      <dxf/>
    </rfmt>
    <rfmt sheetId="2" sqref="BM771" start="0" length="0">
      <dxf/>
    </rfmt>
    <rfmt sheetId="2" sqref="BN771" start="0" length="0">
      <dxf/>
    </rfmt>
    <rfmt sheetId="2" sqref="BO771" start="0" length="0">
      <dxf/>
    </rfmt>
    <rfmt sheetId="2" sqref="BP771" start="0" length="0">
      <dxf/>
    </rfmt>
    <rfmt sheetId="2" sqref="BQ771" start="0" length="0">
      <dxf/>
    </rfmt>
    <rfmt sheetId="2" sqref="BR771" start="0" length="0">
      <dxf/>
    </rfmt>
    <rfmt sheetId="2" sqref="BS771" start="0" length="0">
      <dxf/>
    </rfmt>
    <rfmt sheetId="2" sqref="BT771" start="0" length="0">
      <dxf/>
    </rfmt>
    <rfmt sheetId="2" sqref="BU771" start="0" length="0">
      <dxf/>
    </rfmt>
    <rfmt sheetId="2" sqref="BV771" start="0" length="0">
      <dxf/>
    </rfmt>
    <rfmt sheetId="2" sqref="BW771" start="0" length="0">
      <dxf/>
    </rfmt>
    <rfmt sheetId="2" sqref="BX771" start="0" length="0">
      <dxf/>
    </rfmt>
    <rfmt sheetId="2" sqref="BY771" start="0" length="0">
      <dxf/>
    </rfmt>
    <rfmt sheetId="2" sqref="BZ771" start="0" length="0">
      <dxf/>
    </rfmt>
    <rfmt sheetId="2" sqref="CA771" start="0" length="0">
      <dxf/>
    </rfmt>
    <rfmt sheetId="2" sqref="CB771" start="0" length="0">
      <dxf/>
    </rfmt>
    <rfmt sheetId="2" sqref="CC771" start="0" length="0">
      <dxf/>
    </rfmt>
    <rfmt sheetId="2" sqref="CD771" start="0" length="0">
      <dxf/>
    </rfmt>
    <rfmt sheetId="2" sqref="CE771" start="0" length="0">
      <dxf/>
    </rfmt>
    <rfmt sheetId="2" sqref="CF771" start="0" length="0">
      <dxf/>
    </rfmt>
    <rfmt sheetId="2" sqref="CG771" start="0" length="0">
      <dxf/>
    </rfmt>
    <rfmt sheetId="2" sqref="CH771" start="0" length="0">
      <dxf/>
    </rfmt>
    <rfmt sheetId="2" sqref="CI771" start="0" length="0">
      <dxf/>
    </rfmt>
    <rfmt sheetId="2" sqref="CJ771" start="0" length="0">
      <dxf/>
    </rfmt>
    <rfmt sheetId="2" sqref="CK771" start="0" length="0">
      <dxf/>
    </rfmt>
    <rfmt sheetId="2" sqref="CL771" start="0" length="0">
      <dxf/>
    </rfmt>
    <rfmt sheetId="2" sqref="CM771" start="0" length="0">
      <dxf/>
    </rfmt>
    <rfmt sheetId="2" sqref="CN771" start="0" length="0">
      <dxf/>
    </rfmt>
    <rfmt sheetId="2" sqref="CO771" start="0" length="0">
      <dxf/>
    </rfmt>
    <rfmt sheetId="2" sqref="CP771" start="0" length="0">
      <dxf/>
    </rfmt>
    <rfmt sheetId="2" sqref="CQ771" start="0" length="0">
      <dxf/>
    </rfmt>
    <rfmt sheetId="2" sqref="CR771" start="0" length="0">
      <dxf/>
    </rfmt>
    <rfmt sheetId="2" sqref="CS771" start="0" length="0">
      <dxf/>
    </rfmt>
    <rfmt sheetId="2" sqref="CT771" start="0" length="0">
      <dxf/>
    </rfmt>
    <rfmt sheetId="2" sqref="CU771" start="0" length="0">
      <dxf/>
    </rfmt>
    <rfmt sheetId="2" sqref="CV771" start="0" length="0">
      <dxf/>
    </rfmt>
    <rfmt sheetId="2" sqref="CW771" start="0" length="0">
      <dxf/>
    </rfmt>
    <rfmt sheetId="2" sqref="CX771" start="0" length="0">
      <dxf/>
    </rfmt>
    <rfmt sheetId="2" sqref="CY771" start="0" length="0">
      <dxf/>
    </rfmt>
    <rfmt sheetId="2" sqref="CZ771" start="0" length="0">
      <dxf/>
    </rfmt>
    <rfmt sheetId="2" sqref="DA771" start="0" length="0">
      <dxf/>
    </rfmt>
    <rfmt sheetId="2" sqref="DB771" start="0" length="0">
      <dxf/>
    </rfmt>
    <rfmt sheetId="2" sqref="DC771" start="0" length="0">
      <dxf/>
    </rfmt>
    <rfmt sheetId="2" sqref="DD771" start="0" length="0">
      <dxf/>
    </rfmt>
    <rfmt sheetId="2" sqref="DE771" start="0" length="0">
      <dxf/>
    </rfmt>
    <rfmt sheetId="2" sqref="DF771" start="0" length="0">
      <dxf/>
    </rfmt>
    <rfmt sheetId="2" sqref="DG771" start="0" length="0">
      <dxf/>
    </rfmt>
    <rfmt sheetId="2" sqref="DH771" start="0" length="0">
      <dxf/>
    </rfmt>
    <rfmt sheetId="2" sqref="DI771" start="0" length="0">
      <dxf/>
    </rfmt>
    <rfmt sheetId="2" sqref="DJ771" start="0" length="0">
      <dxf/>
    </rfmt>
    <rfmt sheetId="2" sqref="DK771" start="0" length="0">
      <dxf/>
    </rfmt>
    <rfmt sheetId="2" sqref="DL771" start="0" length="0">
      <dxf/>
    </rfmt>
    <rfmt sheetId="2" sqref="DM771" start="0" length="0">
      <dxf/>
    </rfmt>
    <rfmt sheetId="2" sqref="DN771" start="0" length="0">
      <dxf/>
    </rfmt>
    <rfmt sheetId="2" sqref="DO771" start="0" length="0">
      <dxf/>
    </rfmt>
    <rfmt sheetId="2" sqref="DP771" start="0" length="0">
      <dxf/>
    </rfmt>
    <rfmt sheetId="2" sqref="DQ771" start="0" length="0">
      <dxf/>
    </rfmt>
    <rfmt sheetId="2" sqref="DR771" start="0" length="0">
      <dxf/>
    </rfmt>
    <rfmt sheetId="2" sqref="DS771" start="0" length="0">
      <dxf/>
    </rfmt>
    <rfmt sheetId="2" sqref="DT771" start="0" length="0">
      <dxf/>
    </rfmt>
    <rfmt sheetId="2" sqref="DU771" start="0" length="0">
      <dxf/>
    </rfmt>
    <rfmt sheetId="2" sqref="DV771" start="0" length="0">
      <dxf/>
    </rfmt>
    <rfmt sheetId="2" sqref="DW771" start="0" length="0">
      <dxf/>
    </rfmt>
    <rfmt sheetId="2" sqref="DX771" start="0" length="0">
      <dxf/>
    </rfmt>
    <rfmt sheetId="2" sqref="DY771" start="0" length="0">
      <dxf/>
    </rfmt>
    <rfmt sheetId="2" sqref="DZ771" start="0" length="0">
      <dxf/>
    </rfmt>
    <rfmt sheetId="2" sqref="EA771" start="0" length="0">
      <dxf/>
    </rfmt>
    <rfmt sheetId="2" sqref="EB771" start="0" length="0">
      <dxf/>
    </rfmt>
    <rfmt sheetId="2" sqref="EC771" start="0" length="0">
      <dxf/>
    </rfmt>
    <rfmt sheetId="2" sqref="ED771" start="0" length="0">
      <dxf/>
    </rfmt>
    <rfmt sheetId="2" sqref="EE771" start="0" length="0">
      <dxf/>
    </rfmt>
    <rfmt sheetId="2" sqref="EF771" start="0" length="0">
      <dxf/>
    </rfmt>
    <rfmt sheetId="2" sqref="EG771" start="0" length="0">
      <dxf/>
    </rfmt>
    <rfmt sheetId="2" sqref="EH771" start="0" length="0">
      <dxf/>
    </rfmt>
    <rfmt sheetId="2" sqref="EI771" start="0" length="0">
      <dxf/>
    </rfmt>
    <rfmt sheetId="2" sqref="EJ771" start="0" length="0">
      <dxf/>
    </rfmt>
    <rfmt sheetId="2" sqref="EK771" start="0" length="0">
      <dxf/>
    </rfmt>
    <rfmt sheetId="2" sqref="EL771" start="0" length="0">
      <dxf/>
    </rfmt>
    <rfmt sheetId="2" sqref="EM771" start="0" length="0">
      <dxf/>
    </rfmt>
    <rfmt sheetId="2" sqref="EN771" start="0" length="0">
      <dxf/>
    </rfmt>
    <rfmt sheetId="2" sqref="EO771" start="0" length="0">
      <dxf/>
    </rfmt>
    <rfmt sheetId="2" sqref="EP771" start="0" length="0">
      <dxf/>
    </rfmt>
    <rfmt sheetId="2" sqref="EQ771" start="0" length="0">
      <dxf/>
    </rfmt>
    <rfmt sheetId="2" sqref="ER771" start="0" length="0">
      <dxf/>
    </rfmt>
    <rfmt sheetId="2" sqref="ES771" start="0" length="0">
      <dxf/>
    </rfmt>
    <rfmt sheetId="2" sqref="ET771" start="0" length="0">
      <dxf/>
    </rfmt>
    <rfmt sheetId="2" sqref="EU771" start="0" length="0">
      <dxf/>
    </rfmt>
    <rfmt sheetId="2" sqref="EV771" start="0" length="0">
      <dxf/>
    </rfmt>
    <rfmt sheetId="2" sqref="EW771" start="0" length="0">
      <dxf/>
    </rfmt>
    <rfmt sheetId="2" sqref="EX771" start="0" length="0">
      <dxf/>
    </rfmt>
    <rfmt sheetId="2" sqref="EY771" start="0" length="0">
      <dxf/>
    </rfmt>
    <rfmt sheetId="2" sqref="EZ771" start="0" length="0">
      <dxf/>
    </rfmt>
    <rfmt sheetId="2" sqref="FA771" start="0" length="0">
      <dxf/>
    </rfmt>
    <rfmt sheetId="2" sqref="FB771" start="0" length="0">
      <dxf/>
    </rfmt>
    <rfmt sheetId="2" sqref="FC771" start="0" length="0">
      <dxf/>
    </rfmt>
    <rfmt sheetId="2" sqref="FD771" start="0" length="0">
      <dxf/>
    </rfmt>
    <rfmt sheetId="2" sqref="FE771" start="0" length="0">
      <dxf/>
    </rfmt>
    <rfmt sheetId="2" sqref="FF771" start="0" length="0">
      <dxf/>
    </rfmt>
    <rfmt sheetId="2" sqref="FG771" start="0" length="0">
      <dxf/>
    </rfmt>
    <rfmt sheetId="2" sqref="FH771" start="0" length="0">
      <dxf/>
    </rfmt>
    <rfmt sheetId="2" sqref="FI771" start="0" length="0">
      <dxf/>
    </rfmt>
    <rfmt sheetId="2" sqref="FJ771" start="0" length="0">
      <dxf/>
    </rfmt>
    <rfmt sheetId="2" sqref="FK771" start="0" length="0">
      <dxf/>
    </rfmt>
    <rfmt sheetId="2" sqref="FL771" start="0" length="0">
      <dxf/>
    </rfmt>
    <rfmt sheetId="2" sqref="FM771" start="0" length="0">
      <dxf/>
    </rfmt>
    <rfmt sheetId="2" sqref="FN771" start="0" length="0">
      <dxf/>
    </rfmt>
    <rfmt sheetId="2" sqref="FO771" start="0" length="0">
      <dxf/>
    </rfmt>
    <rfmt sheetId="2" sqref="FP771" start="0" length="0">
      <dxf/>
    </rfmt>
    <rfmt sheetId="2" sqref="FQ771" start="0" length="0">
      <dxf/>
    </rfmt>
    <rfmt sheetId="2" sqref="FR771" start="0" length="0">
      <dxf/>
    </rfmt>
    <rfmt sheetId="2" sqref="FS771" start="0" length="0">
      <dxf/>
    </rfmt>
    <rfmt sheetId="2" sqref="FT771" start="0" length="0">
      <dxf/>
    </rfmt>
    <rfmt sheetId="2" sqref="FU771" start="0" length="0">
      <dxf/>
    </rfmt>
    <rfmt sheetId="2" sqref="FV771" start="0" length="0">
      <dxf/>
    </rfmt>
    <rfmt sheetId="2" sqref="FW771" start="0" length="0">
      <dxf/>
    </rfmt>
    <rfmt sheetId="2" sqref="FX771" start="0" length="0">
      <dxf/>
    </rfmt>
    <rfmt sheetId="2" sqref="FY771" start="0" length="0">
      <dxf/>
    </rfmt>
    <rfmt sheetId="2" sqref="FZ771" start="0" length="0">
      <dxf/>
    </rfmt>
    <rfmt sheetId="2" sqref="GA771" start="0" length="0">
      <dxf/>
    </rfmt>
    <rfmt sheetId="2" sqref="GB771" start="0" length="0">
      <dxf/>
    </rfmt>
    <rfmt sheetId="2" sqref="GC771" start="0" length="0">
      <dxf/>
    </rfmt>
    <rfmt sheetId="2" sqref="GD771" start="0" length="0">
      <dxf/>
    </rfmt>
    <rfmt sheetId="2" sqref="GE771" start="0" length="0">
      <dxf/>
    </rfmt>
    <rfmt sheetId="2" sqref="GF771" start="0" length="0">
      <dxf/>
    </rfmt>
    <rfmt sheetId="2" sqref="GG771" start="0" length="0">
      <dxf/>
    </rfmt>
    <rfmt sheetId="2" sqref="GH771" start="0" length="0">
      <dxf/>
    </rfmt>
    <rfmt sheetId="2" sqref="GI771" start="0" length="0">
      <dxf/>
    </rfmt>
    <rfmt sheetId="2" sqref="GJ771" start="0" length="0">
      <dxf/>
    </rfmt>
    <rfmt sheetId="2" sqref="GK771" start="0" length="0">
      <dxf/>
    </rfmt>
    <rfmt sheetId="2" sqref="GL771" start="0" length="0">
      <dxf/>
    </rfmt>
    <rfmt sheetId="2" sqref="GM771" start="0" length="0">
      <dxf/>
    </rfmt>
    <rfmt sheetId="2" sqref="GN771" start="0" length="0">
      <dxf/>
    </rfmt>
    <rfmt sheetId="2" sqref="GO771" start="0" length="0">
      <dxf/>
    </rfmt>
    <rfmt sheetId="2" sqref="GP771" start="0" length="0">
      <dxf/>
    </rfmt>
    <rfmt sheetId="2" sqref="GQ771" start="0" length="0">
      <dxf/>
    </rfmt>
    <rfmt sheetId="2" sqref="GR771" start="0" length="0">
      <dxf/>
    </rfmt>
    <rfmt sheetId="2" sqref="GS771" start="0" length="0">
      <dxf/>
    </rfmt>
    <rfmt sheetId="2" sqref="GT771" start="0" length="0">
      <dxf/>
    </rfmt>
    <rfmt sheetId="2" sqref="GU771" start="0" length="0">
      <dxf/>
    </rfmt>
    <rfmt sheetId="2" sqref="GV771" start="0" length="0">
      <dxf/>
    </rfmt>
    <rfmt sheetId="2" sqref="GW771" start="0" length="0">
      <dxf/>
    </rfmt>
    <rfmt sheetId="2" sqref="GX771" start="0" length="0">
      <dxf/>
    </rfmt>
    <rfmt sheetId="2" sqref="GY771" start="0" length="0">
      <dxf/>
    </rfmt>
    <rfmt sheetId="2" sqref="GZ771" start="0" length="0">
      <dxf/>
    </rfmt>
    <rfmt sheetId="2" sqref="HA771" start="0" length="0">
      <dxf/>
    </rfmt>
    <rfmt sheetId="2" sqref="HB771" start="0" length="0">
      <dxf/>
    </rfmt>
    <rfmt sheetId="2" sqref="HC771" start="0" length="0">
      <dxf/>
    </rfmt>
    <rfmt sheetId="2" sqref="HD771" start="0" length="0">
      <dxf/>
    </rfmt>
    <rfmt sheetId="2" sqref="HE771" start="0" length="0">
      <dxf/>
    </rfmt>
    <rfmt sheetId="2" sqref="HF771" start="0" length="0">
      <dxf/>
    </rfmt>
    <rfmt sheetId="2" sqref="HG771" start="0" length="0">
      <dxf/>
    </rfmt>
    <rfmt sheetId="2" sqref="HH771" start="0" length="0">
      <dxf/>
    </rfmt>
    <rfmt sheetId="2" sqref="HI771" start="0" length="0">
      <dxf/>
    </rfmt>
    <rfmt sheetId="2" sqref="HJ771" start="0" length="0">
      <dxf/>
    </rfmt>
    <rfmt sheetId="2" sqref="HK771" start="0" length="0">
      <dxf/>
    </rfmt>
    <rfmt sheetId="2" sqref="HL771" start="0" length="0">
      <dxf/>
    </rfmt>
    <rfmt sheetId="2" sqref="HM771" start="0" length="0">
      <dxf/>
    </rfmt>
    <rfmt sheetId="2" sqref="HN771" start="0" length="0">
      <dxf/>
    </rfmt>
    <rfmt sheetId="2" sqref="HO771" start="0" length="0">
      <dxf/>
    </rfmt>
    <rfmt sheetId="2" sqref="HP771" start="0" length="0">
      <dxf/>
    </rfmt>
    <rfmt sheetId="2" sqref="HQ771" start="0" length="0">
      <dxf/>
    </rfmt>
    <rfmt sheetId="2" sqref="HR771" start="0" length="0">
      <dxf/>
    </rfmt>
    <rfmt sheetId="2" sqref="HS771" start="0" length="0">
      <dxf/>
    </rfmt>
    <rfmt sheetId="2" sqref="HT771" start="0" length="0">
      <dxf/>
    </rfmt>
    <rfmt sheetId="2" sqref="HU771" start="0" length="0">
      <dxf/>
    </rfmt>
    <rfmt sheetId="2" sqref="HV771" start="0" length="0">
      <dxf/>
    </rfmt>
    <rfmt sheetId="2" sqref="HW771" start="0" length="0">
      <dxf/>
    </rfmt>
    <rfmt sheetId="2" sqref="HX771" start="0" length="0">
      <dxf/>
    </rfmt>
    <rfmt sheetId="2" sqref="HY771" start="0" length="0">
      <dxf/>
    </rfmt>
    <rfmt sheetId="2" sqref="HZ771" start="0" length="0">
      <dxf/>
    </rfmt>
    <rfmt sheetId="2" sqref="IA771" start="0" length="0">
      <dxf/>
    </rfmt>
    <rfmt sheetId="2" sqref="IB771" start="0" length="0">
      <dxf/>
    </rfmt>
    <rfmt sheetId="2" sqref="IC771" start="0" length="0">
      <dxf/>
    </rfmt>
    <rfmt sheetId="2" sqref="ID771" start="0" length="0">
      <dxf/>
    </rfmt>
    <rfmt sheetId="2" sqref="IE771" start="0" length="0">
      <dxf/>
    </rfmt>
    <rfmt sheetId="2" sqref="IF771" start="0" length="0">
      <dxf/>
    </rfmt>
    <rfmt sheetId="2" sqref="IG771" start="0" length="0">
      <dxf/>
    </rfmt>
    <rfmt sheetId="2" sqref="IH771" start="0" length="0">
      <dxf/>
    </rfmt>
    <rfmt sheetId="2" sqref="II771" start="0" length="0">
      <dxf/>
    </rfmt>
    <rfmt sheetId="2" sqref="IJ771" start="0" length="0">
      <dxf/>
    </rfmt>
    <rfmt sheetId="2" sqref="IK771" start="0" length="0">
      <dxf/>
    </rfmt>
    <rfmt sheetId="2" sqref="IL771" start="0" length="0">
      <dxf/>
    </rfmt>
    <rfmt sheetId="2" sqref="IM771" start="0" length="0">
      <dxf/>
    </rfmt>
    <rfmt sheetId="2" sqref="IN771" start="0" length="0">
      <dxf/>
    </rfmt>
    <rfmt sheetId="2" sqref="IO771" start="0" length="0">
      <dxf/>
    </rfmt>
    <rfmt sheetId="2" sqref="IP771" start="0" length="0">
      <dxf/>
    </rfmt>
    <rfmt sheetId="2" sqref="IQ771" start="0" length="0">
      <dxf/>
    </rfmt>
    <rfmt sheetId="2" sqref="IR771" start="0" length="0">
      <dxf/>
    </rfmt>
    <rfmt sheetId="2" sqref="IS771" start="0" length="0">
      <dxf/>
    </rfmt>
    <rfmt sheetId="2" sqref="IT771" start="0" length="0">
      <dxf/>
    </rfmt>
    <rfmt sheetId="2" sqref="IU771" start="0" length="0">
      <dxf/>
    </rfmt>
    <rfmt sheetId="2" sqref="IV771" start="0" length="0">
      <dxf/>
    </rfmt>
    <rfmt sheetId="2" sqref="IW771" start="0" length="0">
      <dxf/>
    </rfmt>
    <rfmt sheetId="2" sqref="IX771" start="0" length="0">
      <dxf/>
    </rfmt>
    <rfmt sheetId="2" sqref="IY771" start="0" length="0">
      <dxf/>
    </rfmt>
    <rfmt sheetId="2" sqref="IZ771" start="0" length="0">
      <dxf/>
    </rfmt>
    <rfmt sheetId="2" sqref="JA771" start="0" length="0">
      <dxf/>
    </rfmt>
    <rfmt sheetId="2" sqref="JB771" start="0" length="0">
      <dxf/>
    </rfmt>
    <rfmt sheetId="2" sqref="JC771" start="0" length="0">
      <dxf/>
    </rfmt>
    <rfmt sheetId="2" sqref="JD771" start="0" length="0">
      <dxf/>
    </rfmt>
    <rfmt sheetId="2" sqref="JE771" start="0" length="0">
      <dxf/>
    </rfmt>
    <rfmt sheetId="2" sqref="JF771" start="0" length="0">
      <dxf/>
    </rfmt>
    <rfmt sheetId="2" sqref="JG771" start="0" length="0">
      <dxf/>
    </rfmt>
    <rfmt sheetId="2" sqref="JH771" start="0" length="0">
      <dxf/>
    </rfmt>
    <rfmt sheetId="2" sqref="JI771" start="0" length="0">
      <dxf/>
    </rfmt>
    <rfmt sheetId="2" sqref="JJ771" start="0" length="0">
      <dxf/>
    </rfmt>
    <rfmt sheetId="2" sqref="JK771" start="0" length="0">
      <dxf/>
    </rfmt>
    <rfmt sheetId="2" sqref="JL771" start="0" length="0">
      <dxf/>
    </rfmt>
    <rfmt sheetId="2" sqref="JM771" start="0" length="0">
      <dxf/>
    </rfmt>
    <rfmt sheetId="2" sqref="JN771" start="0" length="0">
      <dxf/>
    </rfmt>
    <rfmt sheetId="2" sqref="JO771" start="0" length="0">
      <dxf/>
    </rfmt>
    <rfmt sheetId="2" sqref="JP771" start="0" length="0">
      <dxf/>
    </rfmt>
    <rfmt sheetId="2" sqref="JQ771" start="0" length="0">
      <dxf/>
    </rfmt>
    <rfmt sheetId="2" sqref="JR771" start="0" length="0">
      <dxf/>
    </rfmt>
    <rfmt sheetId="2" sqref="JS771" start="0" length="0">
      <dxf/>
    </rfmt>
    <rfmt sheetId="2" sqref="JT771" start="0" length="0">
      <dxf/>
    </rfmt>
    <rfmt sheetId="2" sqref="JU771" start="0" length="0">
      <dxf/>
    </rfmt>
    <rfmt sheetId="2" sqref="JV771" start="0" length="0">
      <dxf/>
    </rfmt>
    <rfmt sheetId="2" sqref="JW771" start="0" length="0">
      <dxf/>
    </rfmt>
    <rfmt sheetId="2" sqref="JX771" start="0" length="0">
      <dxf/>
    </rfmt>
    <rfmt sheetId="2" sqref="JY771" start="0" length="0">
      <dxf/>
    </rfmt>
    <rfmt sheetId="2" sqref="JZ771" start="0" length="0">
      <dxf/>
    </rfmt>
    <rfmt sheetId="2" sqref="KA771" start="0" length="0">
      <dxf/>
    </rfmt>
    <rfmt sheetId="2" sqref="KB771" start="0" length="0">
      <dxf/>
    </rfmt>
    <rfmt sheetId="2" sqref="KC771" start="0" length="0">
      <dxf/>
    </rfmt>
    <rfmt sheetId="2" sqref="KD771" start="0" length="0">
      <dxf/>
    </rfmt>
    <rfmt sheetId="2" sqref="KE771" start="0" length="0">
      <dxf/>
    </rfmt>
    <rfmt sheetId="2" sqref="KF771" start="0" length="0">
      <dxf/>
    </rfmt>
    <rfmt sheetId="2" sqref="KG771" start="0" length="0">
      <dxf/>
    </rfmt>
    <rfmt sheetId="2" sqref="KH771" start="0" length="0">
      <dxf/>
    </rfmt>
    <rfmt sheetId="2" sqref="KI771" start="0" length="0">
      <dxf/>
    </rfmt>
    <rfmt sheetId="2" sqref="KJ771" start="0" length="0">
      <dxf/>
    </rfmt>
    <rfmt sheetId="2" sqref="KK771" start="0" length="0">
      <dxf/>
    </rfmt>
    <rfmt sheetId="2" sqref="KL771" start="0" length="0">
      <dxf/>
    </rfmt>
    <rfmt sheetId="2" sqref="KM771" start="0" length="0">
      <dxf/>
    </rfmt>
    <rfmt sheetId="2" sqref="KN771" start="0" length="0">
      <dxf/>
    </rfmt>
    <rfmt sheetId="2" sqref="KO771" start="0" length="0">
      <dxf/>
    </rfmt>
    <rfmt sheetId="2" sqref="KP771" start="0" length="0">
      <dxf/>
    </rfmt>
    <rfmt sheetId="2" sqref="KQ771" start="0" length="0">
      <dxf/>
    </rfmt>
    <rfmt sheetId="2" sqref="KR771" start="0" length="0">
      <dxf/>
    </rfmt>
    <rfmt sheetId="2" sqref="KS771" start="0" length="0">
      <dxf/>
    </rfmt>
    <rfmt sheetId="2" sqref="KT771" start="0" length="0">
      <dxf/>
    </rfmt>
    <rfmt sheetId="2" sqref="KU771" start="0" length="0">
      <dxf/>
    </rfmt>
    <rfmt sheetId="2" sqref="KV771" start="0" length="0">
      <dxf/>
    </rfmt>
    <rfmt sheetId="2" sqref="KW771" start="0" length="0">
      <dxf/>
    </rfmt>
    <rfmt sheetId="2" sqref="KX771" start="0" length="0">
      <dxf/>
    </rfmt>
    <rfmt sheetId="2" sqref="KY771" start="0" length="0">
      <dxf/>
    </rfmt>
    <rfmt sheetId="2" sqref="KZ771" start="0" length="0">
      <dxf/>
    </rfmt>
    <rfmt sheetId="2" sqref="LA771" start="0" length="0">
      <dxf/>
    </rfmt>
    <rfmt sheetId="2" sqref="LB771" start="0" length="0">
      <dxf/>
    </rfmt>
    <rfmt sheetId="2" sqref="LC771" start="0" length="0">
      <dxf/>
    </rfmt>
    <rfmt sheetId="2" sqref="LD771" start="0" length="0">
      <dxf/>
    </rfmt>
    <rfmt sheetId="2" sqref="LE771" start="0" length="0">
      <dxf/>
    </rfmt>
    <rfmt sheetId="2" sqref="LF771" start="0" length="0">
      <dxf/>
    </rfmt>
    <rfmt sheetId="2" sqref="LG771" start="0" length="0">
      <dxf/>
    </rfmt>
    <rfmt sheetId="2" sqref="LH771" start="0" length="0">
      <dxf/>
    </rfmt>
    <rfmt sheetId="2" sqref="LI771" start="0" length="0">
      <dxf/>
    </rfmt>
    <rfmt sheetId="2" sqref="LJ771" start="0" length="0">
      <dxf/>
    </rfmt>
    <rfmt sheetId="2" sqref="LK771" start="0" length="0">
      <dxf/>
    </rfmt>
    <rfmt sheetId="2" sqref="LL771" start="0" length="0">
      <dxf/>
    </rfmt>
    <rfmt sheetId="2" sqref="LM771" start="0" length="0">
      <dxf/>
    </rfmt>
    <rfmt sheetId="2" sqref="LN771" start="0" length="0">
      <dxf/>
    </rfmt>
    <rfmt sheetId="2" sqref="LO771" start="0" length="0">
      <dxf/>
    </rfmt>
    <rfmt sheetId="2" sqref="LP771" start="0" length="0">
      <dxf/>
    </rfmt>
    <rfmt sheetId="2" sqref="LQ771" start="0" length="0">
      <dxf/>
    </rfmt>
    <rfmt sheetId="2" sqref="LR771" start="0" length="0">
      <dxf/>
    </rfmt>
    <rfmt sheetId="2" sqref="LS771" start="0" length="0">
      <dxf/>
    </rfmt>
    <rfmt sheetId="2" sqref="LT771" start="0" length="0">
      <dxf/>
    </rfmt>
    <rfmt sheetId="2" sqref="LU771" start="0" length="0">
      <dxf/>
    </rfmt>
    <rfmt sheetId="2" sqref="LV771" start="0" length="0">
      <dxf/>
    </rfmt>
    <rfmt sheetId="2" sqref="LW771" start="0" length="0">
      <dxf/>
    </rfmt>
    <rfmt sheetId="2" sqref="LX771" start="0" length="0">
      <dxf/>
    </rfmt>
    <rfmt sheetId="2" sqref="LY771" start="0" length="0">
      <dxf/>
    </rfmt>
    <rfmt sheetId="2" sqref="LZ771" start="0" length="0">
      <dxf/>
    </rfmt>
    <rfmt sheetId="2" sqref="MA771" start="0" length="0">
      <dxf/>
    </rfmt>
    <rfmt sheetId="2" sqref="MB771" start="0" length="0">
      <dxf/>
    </rfmt>
  </rrc>
  <rcc rId="2377" sId="2" numFmtId="19">
    <oc r="B773">
      <v>46280</v>
    </oc>
    <nc r="B773">
      <v>46281</v>
    </nc>
  </rcc>
  <rfmt sheetId="2" sqref="B773" start="0" length="2147483647">
    <dxf>
      <font>
        <color rgb="FF0000FF"/>
      </font>
    </dxf>
  </rfmt>
  <rcc rId="2378" sId="4" numFmtId="19">
    <oc r="B168">
      <v>46280</v>
    </oc>
    <nc r="B168">
      <v>46282</v>
    </nc>
  </rcc>
  <rcc rId="2379" sId="4" numFmtId="19">
    <oc r="B169">
      <v>46282</v>
    </oc>
    <nc r="B169">
      <v>46284</v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'IPAHQ(TANK)-南科'!$A$2:$S$191</formula>
    <oldFormula>'IPAHQ(TANK)-南科'!$A$2:$S$191</oldFormula>
  </rdn>
  <rcv guid="{8578D927-8BDE-4C99-A2DB-3E44DFA36FF2}" action="add"/>
</revisions>
</file>

<file path=xl/revisions/revisionLog1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2" sId="2">
    <nc r="C769" t="inlineStr">
      <is>
        <t>26912E3081</t>
        <phoneticPr fontId="30160" type="noConversion"/>
      </is>
    </nc>
  </rcc>
  <rcc rId="2393" sId="2">
    <nc r="C771" t="inlineStr">
      <is>
        <t>26913E3051</t>
        <phoneticPr fontId="30160" type="noConversion"/>
      </is>
    </nc>
  </rcc>
  <rcc rId="2394" sId="2">
    <nc r="C772" t="inlineStr">
      <is>
        <t>26913E3191</t>
        <phoneticPr fontId="30160" type="noConversion"/>
      </is>
    </nc>
  </rcc>
</revisions>
</file>

<file path=xl/revisions/revisionLog1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95" sId="2" numFmtId="25">
    <nc r="N768">
      <v>0.70833333333333337</v>
    </nc>
  </rcc>
  <rcc rId="2396" sId="2" numFmtId="25">
    <nc r="N769">
      <v>0</v>
    </nc>
  </rcc>
  <rcc rId="2397" sId="2" numFmtId="25">
    <nc r="N770">
      <v>0.58333333333333337</v>
    </nc>
  </rcc>
  <rcc rId="2398" sId="2" numFmtId="25">
    <nc r="N771">
      <v>0.16666666666666666</v>
    </nc>
  </rcc>
  <rcc rId="2399" sId="2" numFmtId="25">
    <nc r="N772">
      <v>0.625</v>
    </nc>
  </rcc>
</revisions>
</file>

<file path=xl/revisions/revisionLog1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765:B767" start="0" length="2147483647">
    <dxf>
      <font>
        <color theme="1"/>
      </font>
    </dxf>
  </rfmt>
</revisions>
</file>

<file path=xl/revisions/revisionLog1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769" start="0" length="2147483647">
    <dxf>
      <font>
        <color theme="1"/>
      </font>
    </dxf>
  </rfmt>
  <rfmt sheetId="2" sqref="B773" start="0" length="2147483647">
    <dxf>
      <font>
        <color theme="1"/>
      </font>
    </dxf>
  </rfmt>
</revisions>
</file>

<file path=xl/revisions/revisionLog1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0" sId="2">
    <oc r="G771" t="inlineStr">
      <is>
        <t>4800384805/300</t>
        <phoneticPr fontId="30160" type="noConversion"/>
      </is>
    </oc>
    <nc r="G771" t="inlineStr">
      <is>
        <t>4800384805/300</t>
        <phoneticPr fontId="30160" type="noConversion"/>
      </is>
    </nc>
  </rcc>
  <rcc rId="2401" sId="2">
    <oc r="C768" t="inlineStr">
      <is>
        <t>26912E3071</t>
        <phoneticPr fontId="30160" type="noConversion"/>
      </is>
    </oc>
    <nc r="C768" t="inlineStr">
      <is>
        <t>26912E3071</t>
        <phoneticPr fontId="30160" type="noConversion"/>
      </is>
    </nc>
  </rcc>
  <rcc rId="2402" sId="2">
    <oc r="C769" t="inlineStr">
      <is>
        <t>26912E3081</t>
        <phoneticPr fontId="30160" type="noConversion"/>
      </is>
    </oc>
    <nc r="C769" t="inlineStr">
      <is>
        <t>26912E3081</t>
        <phoneticPr fontId="30160" type="noConversion"/>
      </is>
    </nc>
  </rcc>
  <rcc rId="2403" sId="2">
    <nc r="C770" t="inlineStr">
      <is>
        <t>26914E44J1</t>
        <phoneticPr fontId="30160" type="noConversion"/>
      </is>
    </nc>
  </rcc>
</revisions>
</file>

<file path=xl/revisions/revisionLog1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4" sId="4">
    <oc r="K167">
      <f>J167/0.786</f>
    </oc>
    <nc r="K167">
      <f>J167/0.786+1</f>
    </nc>
  </rcc>
  <rcc rId="2405" sId="4" odxf="1" dxf="1">
    <nc r="I166">
      <v>4180</v>
    </nc>
    <ndxf>
      <alignment horizontal="right" readingOrder="0"/>
    </ndxf>
  </rcc>
  <rcc rId="2406" sId="4" odxf="1" dxf="1">
    <nc r="J166">
      <v>4200</v>
    </nc>
    <ndxf>
      <alignment horizontal="right" readingOrder="0"/>
    </ndxf>
  </rcc>
  <rcc rId="2407" sId="4" odxf="1" dxf="1">
    <nc r="I167">
      <v>4400</v>
    </nc>
    <ndxf>
      <alignment horizontal="right" readingOrder="0"/>
    </ndxf>
  </rcc>
  <rcc rId="2408" sId="4" odxf="1" dxf="1">
    <nc r="J167">
      <v>4310</v>
    </nc>
    <ndxf>
      <alignment horizontal="right" readingOrder="0"/>
    </ndxf>
  </rcc>
  <rfmt sheetId="4" sqref="I168" start="0" length="0">
    <dxf>
      <alignment horizontal="right" readingOrder="0"/>
    </dxf>
  </rfmt>
  <rfmt sheetId="4" sqref="J168" start="0" length="0">
    <dxf>
      <alignment horizontal="right" readingOrder="0"/>
    </dxf>
  </rfmt>
  <rfmt sheetId="4" sqref="I169" start="0" length="0">
    <dxf>
      <alignment horizontal="right" readingOrder="0"/>
    </dxf>
  </rfmt>
  <rfmt sheetId="4" sqref="J169" start="0" length="0">
    <dxf>
      <alignment horizontal="right" readingOrder="0"/>
    </dxf>
  </rfmt>
</revisions>
</file>

<file path=xl/revisions/revisionLog1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09" sId="2" numFmtId="34">
    <nc r="I752">
      <v>4310</v>
    </nc>
  </rcc>
  <rcc rId="2410" sId="2" numFmtId="34">
    <nc r="J752">
      <v>4350</v>
    </nc>
  </rcc>
  <rcc rId="2411" sId="2">
    <oc r="K752">
      <f>J752/0.786</f>
    </oc>
    <nc r="K752">
      <f>J752/0.786+1</f>
    </nc>
  </rcc>
  <rcc rId="2412" sId="2" numFmtId="34">
    <nc r="I755">
      <v>4350</v>
    </nc>
  </rcc>
  <rcc rId="2413" sId="2" numFmtId="34">
    <nc r="J755">
      <v>4330</v>
    </nc>
  </rcc>
</revisions>
</file>

<file path=xl/revisions/revisionLog1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14" sId="2" numFmtId="34">
    <nc r="I756">
      <v>4220</v>
    </nc>
  </rcc>
  <rcc rId="2415" sId="2" numFmtId="34">
    <nc r="J756">
      <v>4100</v>
    </nc>
  </rcc>
  <rcc rId="2416" sId="2">
    <oc r="K756">
      <f>J756/0.786</f>
    </oc>
    <nc r="K756">
      <f>J756/0.786+1</f>
    </nc>
  </rcc>
  <rcc rId="2417" sId="2" numFmtId="34">
    <nc r="I757">
      <v>4340</v>
    </nc>
  </rcc>
  <rcc rId="2418" sId="2" numFmtId="34">
    <nc r="J757">
      <v>4290</v>
    </nc>
  </rcc>
  <rcc rId="2419" sId="2">
    <oc r="K757">
      <f>J757/0.786</f>
    </oc>
    <nc r="K757">
      <f>J757/0.786+1</f>
    </nc>
  </rcc>
  <rfmt sheetId="2" sqref="B760:H760" start="0" length="2147483647">
    <dxf>
      <font>
        <color theme="1"/>
      </font>
    </dxf>
  </rfmt>
</revisions>
</file>

<file path=xl/revisions/revisionLog1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20" sId="2" odxf="1" dxf="1">
    <oc r="K763">
      <f>J763/0.786</f>
    </oc>
    <nc r="K763">
      <f>J763/0.786</f>
    </nc>
    <ndxf>
      <font>
        <sz val="10"/>
        <color rgb="FFFF0000"/>
        <name val="Arial"/>
        <scheme val="none"/>
      </font>
    </ndxf>
  </rcc>
  <rfmt sheetId="2" sqref="K760" start="0" length="2147483647">
    <dxf>
      <font>
        <color theme="1"/>
      </font>
    </dxf>
  </rfmt>
  <rfmt sheetId="2" sqref="K763" start="0" length="2147483647">
    <dxf>
      <font>
        <color theme="1"/>
      </font>
    </dxf>
  </rfmt>
</revisions>
</file>

<file path=xl/revisions/revisionLog1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B768" start="0" length="2147483647">
    <dxf>
      <font>
        <color theme="1"/>
      </font>
    </dxf>
  </rfmt>
</revisions>
</file>

<file path=xl/revisions/revisionLog1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421" sId="4" ref="A168:XFD168" action="insertRow">
    <undo index="0" exp="area" ref3D="1" dr="$A$1:$A$1048576" dn="Z_F607B316_DD6D_4909_B40C_8E7F3D6FB597_.wvu.Cols" sId="4"/>
    <undo index="0" exp="area" ref3D="1" dr="$A$1:$A$1048576" dn="Z_D108A94F_96BE_4B2E_9408_7CE19DC55699_.wvu.Cols" sId="4"/>
    <undo index="0" exp="area" ref3D="1" dr="$A$1:$A$1048576" dn="Z_F261CC3E_BBAF_4421_92E0_E43167440BFB_.wvu.Cols" sId="4"/>
    <undo index="0" exp="area" ref3D="1" dr="$A$1:$A$1048576" dn="Z_8578D927_8BDE_4C99_A2DB_3E44DFA36FF2_.wvu.Cols" sId="4"/>
    <undo index="0" exp="area" ref3D="1" dr="$A$1:$A$1048576" dn="Z_5AFECFD9_E8A5_469F_BA7F_E625784BB00E_.wvu.Cols" sId="4"/>
  </rrc>
  <rfmt sheetId="4" sqref="B168" start="0" length="0">
    <dxf>
      <fill>
        <patternFill>
          <bgColor theme="3" tint="0.79998168889431442"/>
        </patternFill>
      </fill>
    </dxf>
  </rfmt>
  <rfmt sheetId="4" sqref="C168" start="0" length="0">
    <dxf>
      <fill>
        <patternFill>
          <bgColor theme="3" tint="0.79998168889431442"/>
        </patternFill>
      </fill>
    </dxf>
  </rfmt>
  <rfmt sheetId="4" sqref="D168" start="0" length="0">
    <dxf>
      <fill>
        <patternFill>
          <bgColor theme="3" tint="0.79998168889431442"/>
        </patternFill>
      </fill>
    </dxf>
  </rfmt>
  <rcc rId="2422" sId="4" odxf="1" dxf="1">
    <nc r="E168" t="inlineStr">
      <is>
        <t>18P8A</t>
        <phoneticPr fontId="629" type="noConversion"/>
      </is>
    </nc>
    <odxf>
      <fill>
        <patternFill>
          <bgColor theme="9" tint="0.59999389629810485"/>
        </patternFill>
      </fill>
    </odxf>
    <ndxf>
      <fill>
        <patternFill>
          <bgColor theme="3" tint="0.79998168889431442"/>
        </patternFill>
      </fill>
    </ndxf>
  </rcc>
  <rfmt sheetId="4" sqref="F168" start="0" length="0">
    <dxf>
      <fill>
        <patternFill>
          <bgColor theme="3" tint="0.79998168889431442"/>
        </patternFill>
      </fill>
    </dxf>
  </rfmt>
  <rcc rId="2423" sId="4" odxf="1" dxf="1">
    <nc r="G168" t="inlineStr">
      <is>
        <t>4800388739/200</t>
        <phoneticPr fontId="629" type="noConversion"/>
      </is>
    </nc>
    <odxf>
      <fill>
        <patternFill>
          <bgColor theme="9" tint="0.59999389629810485"/>
        </patternFill>
      </fill>
    </odxf>
    <ndxf>
      <fill>
        <patternFill>
          <bgColor theme="3" tint="0.79998168889431442"/>
        </patternFill>
      </fill>
    </ndxf>
  </rcc>
  <rfmt sheetId="4" sqref="H168" start="0" length="0">
    <dxf>
      <fill>
        <patternFill>
          <bgColor theme="3" tint="0.79998168889431442"/>
        </patternFill>
      </fill>
    </dxf>
  </rfmt>
  <rcc rId="2424" sId="4" numFmtId="19">
    <nc r="B168">
      <v>46280</v>
    </nc>
  </rcc>
  <rcc rId="2425" sId="4">
    <nc r="H168">
      <f>H165-K168</f>
    </nc>
  </rcc>
  <rfmt sheetId="4" sqref="I168" start="0" length="0">
    <dxf>
      <fill>
        <patternFill>
          <bgColor theme="3" tint="0.79998168889431442"/>
        </patternFill>
      </fill>
    </dxf>
  </rfmt>
  <rfmt sheetId="4" sqref="J168" start="0" length="0">
    <dxf>
      <fill>
        <patternFill>
          <bgColor theme="3" tint="0.79998168889431442"/>
        </patternFill>
      </fill>
    </dxf>
  </rfmt>
  <rfmt sheetId="4" sqref="K168" start="0" length="0">
    <dxf>
      <fill>
        <patternFill>
          <bgColor theme="3" tint="0.79998168889431442"/>
        </patternFill>
      </fill>
    </dxf>
  </rfmt>
  <rcc rId="2426" sId="4" odxf="1" dxf="1">
    <nc r="L168" t="inlineStr">
      <is>
        <t>新槽車pi-run</t>
        <phoneticPr fontId="629" type="noConversion"/>
      </is>
    </nc>
    <odxf>
      <font>
        <sz val="10"/>
        <name val="Arial"/>
        <scheme val="none"/>
      </font>
      <fill>
        <patternFill>
          <bgColor theme="9" tint="0.59999389629810485"/>
        </patternFill>
      </fill>
    </odxf>
    <ndxf>
      <font>
        <sz val="10"/>
        <color rgb="FFFF0000"/>
        <name val="細明體"/>
        <scheme val="none"/>
      </font>
      <fill>
        <patternFill>
          <bgColor theme="3" tint="0.79998168889431442"/>
        </patternFill>
      </fill>
    </ndxf>
  </rcc>
  <rfmt sheetId="4" sqref="M168" start="0" length="0">
    <dxf>
      <fill>
        <patternFill>
          <bgColor theme="3" tint="0.79998168889431442"/>
        </patternFill>
      </fill>
    </dxf>
  </rfmt>
  <rfmt sheetId="4" sqref="N168" start="0" length="0">
    <dxf>
      <fill>
        <patternFill>
          <bgColor theme="3" tint="0.79998168889431442"/>
        </patternFill>
      </fill>
    </dxf>
  </rfmt>
  <rcc rId="2427" sId="4">
    <nc r="K168">
      <f>J168/0.786</f>
    </nc>
  </rcc>
  <rcc rId="2428" sId="4" numFmtId="25">
    <nc r="N168">
      <v>0.20833333333333334</v>
    </nc>
  </rcc>
  <rcc rId="2429" sId="4">
    <nc r="P168">
      <f>DATE(YEAR(O168)+1,MONTH(O168),DAY(O168))-1</f>
    </nc>
  </rcc>
  <rcc rId="2430" sId="4">
    <nc r="F168">
      <v>20260914010</v>
    </nc>
  </rcc>
  <rcc rId="2431" sId="4">
    <nc r="C168" t="inlineStr">
      <is>
        <t>26914E3201</t>
        <phoneticPr fontId="629" type="noConversion"/>
      </is>
    </nc>
  </rcc>
  <rcc rId="2432" sId="4">
    <nc r="D168">
      <f>IF($C168="", "", MID($C168, 6, IF(MID($C168, LEN($C168)-1, 1)="J", 3, 4)))</f>
    </nc>
  </rcc>
  <rcc rId="2433" sId="4">
    <nc r="O168">
      <f>IF($C168="","",DATE(2000+LEFT($C168,2), HEX2DEC(MID($C168,3,1)), MID($C168,4,2)))</f>
    </nc>
  </rcc>
</revisions>
</file>

<file path=xl/revisions/revisionLog1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4" sId="2">
    <oc r="G770" t="inlineStr">
      <is>
        <t>4800384805/400</t>
        <phoneticPr fontId="0" type="noConversion"/>
      </is>
    </oc>
    <nc r="G770" t="inlineStr">
      <is>
        <t>4800384805/400</t>
        <phoneticPr fontId="0" type="noConversion"/>
      </is>
    </nc>
  </rcc>
</revisions>
</file>

<file path=xl/revisions/revisionLog1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35" sId="4">
    <oc r="G168" t="inlineStr">
      <is>
        <t>4800388739/200</t>
        <phoneticPr fontId="30160" type="noConversion"/>
      </is>
    </oc>
    <nc r="G168" t="inlineStr">
      <is>
        <t>4800388739/200</t>
        <phoneticPr fontId="30160" type="noConversion"/>
      </is>
    </nc>
  </rcc>
  <rcc rId="2436" sId="2">
    <oc r="C770" t="inlineStr">
      <is>
        <t>26914E44J1</t>
        <phoneticPr fontId="30160" type="noConversion"/>
      </is>
    </oc>
    <nc r="C770" t="inlineStr">
      <is>
        <t>26914E44J1</t>
        <phoneticPr fontId="30160" type="noConversion"/>
      </is>
    </nc>
  </rcc>
  <rcc rId="2437" sId="4">
    <oc r="C168" t="inlineStr">
      <is>
        <t>26914E3201</t>
        <phoneticPr fontId="30160" type="noConversion"/>
      </is>
    </oc>
    <nc r="C168" t="inlineStr">
      <is>
        <t>26914E3201</t>
        <phoneticPr fontId="30160" type="noConversion"/>
      </is>
    </nc>
  </rcc>
  <rcc rId="2438" sId="4">
    <oc r="D180">
      <f>IF($C180="", "", MID($C180, 6, IF(MID($C180, LEN($C180)-1, 1)="J", 3, 4)))</f>
    </oc>
    <nc r="D180" t="inlineStr">
      <is>
        <t xml:space="preserve"> </t>
        <phoneticPr fontId="30160" type="noConversion"/>
      </is>
    </nc>
  </rcc>
</revisions>
</file>

<file path=xl/revisions/revisionLog1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mt sheetId="4" cell="L168" guid="{00747768-6102-45E7-94B6-CE429F939A4A}" author="C776-PC" newLength="24"/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'IPAHQ(TANK)-南科'!$A$2:$S$192</formula>
    <oldFormula>'IPAHQ(TANK)-南科'!$A$2:$S$192</oldFormula>
  </rdn>
  <rcv guid="{8578D927-8BDE-4C99-A2DB-3E44DFA36FF2}" action="add"/>
</revisions>
</file>

<file path=xl/revisions/revisionLog1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51" sId="2">
    <nc r="C773" t="inlineStr">
      <is>
        <t>26914E29J1</t>
        <phoneticPr fontId="30098" type="noConversion"/>
      </is>
    </nc>
  </rcc>
  <rcc rId="2452" sId="2">
    <nc r="C775" t="inlineStr">
      <is>
        <t>26914E3031</t>
        <phoneticPr fontId="30098" type="noConversion"/>
      </is>
    </nc>
  </rcc>
  <rcc rId="2453" sId="2">
    <nc r="C776" t="inlineStr">
      <is>
        <t>26914E3061</t>
        <phoneticPr fontId="30098" type="noConversion"/>
      </is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'IPAHQ(TANK)-南科'!$A$2:$S$192</formula>
    <oldFormula>'IPAHQ(TANK)-南科'!$A$2:$S$192</oldFormula>
  </rdn>
  <rcv guid="{8578D927-8BDE-4C99-A2DB-3E44DFA36FF2}" action="add"/>
</revisions>
</file>

<file path=xl/revisions/revisionLog1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6" sId="2">
    <nc r="C774" t="inlineStr">
      <is>
        <t>26915E3171</t>
        <phoneticPr fontId="30098" type="noConversion"/>
      </is>
    </nc>
  </rcc>
</revisions>
</file>

<file path=xl/revisions/revisionLog1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467" sId="2" numFmtId="25">
    <nc r="N773">
      <v>0.25</v>
    </nc>
  </rcc>
  <rcc rId="2468" sId="2" numFmtId="25">
    <nc r="N774">
      <v>0.875</v>
    </nc>
  </rcc>
  <rcc rId="2469" sId="2" numFmtId="25">
    <nc r="N775">
      <v>8.3333333333333329E-2</v>
    </nc>
  </rcc>
  <rcc rId="2470" sId="2" numFmtId="25">
    <nc r="N776">
      <v>0.58333333333333337</v>
    </nc>
  </rcc>
  <rcc rId="2471" sId="2">
    <oc r="G773" t="inlineStr">
      <is>
        <t>4800384805/400</t>
        <phoneticPr fontId="30098" type="noConversion"/>
      </is>
    </oc>
    <nc r="G773" t="inlineStr">
      <is>
        <t>4800384805/400</t>
        <phoneticPr fontId="30098" type="noConversion"/>
      </is>
    </nc>
  </rcc>
  <rcc rId="2472" sId="2">
    <oc r="C773" t="inlineStr">
      <is>
        <t>26914E29J1</t>
        <phoneticPr fontId="30098" type="noConversion"/>
      </is>
    </oc>
    <nc r="C773" t="inlineStr">
      <is>
        <t>26914E29J1</t>
        <phoneticPr fontId="30098" type="noConversion"/>
      </is>
    </nc>
  </rcc>
  <rfmt sheetId="4" sqref="B171" start="0" length="0">
    <dxf>
      <fill>
        <patternFill patternType="solid">
          <bgColor theme="9" tint="0.59999389629810485"/>
        </patternFill>
      </fill>
    </dxf>
  </rfmt>
  <rfmt sheetId="4" sqref="C171" start="0" length="0">
    <dxf>
      <fill>
        <patternFill patternType="solid">
          <bgColor theme="9" tint="0.59999389629810485"/>
        </patternFill>
      </fill>
    </dxf>
  </rfmt>
  <rcc rId="2473" sId="4">
    <oc r="D171">
      <f>IF($C171="", "", MID($C171, 6, IF(MID($C171, LEN($C171)-1, 1)="J", 3, 4)))</f>
    </oc>
    <nc r="D171">
      <f>IF($C171="", "", MID($C171, 6, IF(MID($C171, LEN($C171)-1, 1)="J", 3, 4)))</f>
    </nc>
  </rcc>
  <rcc rId="2474" sId="4" odxf="1" dxf="1">
    <nc r="E171" t="inlineStr">
      <is>
        <t>18P3A</t>
        <phoneticPr fontId="0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fmt sheetId="4" sqref="F171" start="0" length="0">
    <dxf>
      <fill>
        <patternFill patternType="solid">
          <bgColor theme="9" tint="0.59999389629810485"/>
        </patternFill>
      </fill>
    </dxf>
  </rfmt>
  <rcc rId="2475" sId="4" odxf="1" dxf="1">
    <nc r="G171" t="inlineStr">
      <is>
        <t>4800388490/100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fmt sheetId="4" s="1" sqref="H171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dxf>
  </rfmt>
  <rfmt sheetId="4" sqref="I171" start="0" length="0">
    <dxf>
      <fill>
        <patternFill patternType="solid">
          <bgColor theme="9" tint="0.59999389629810485"/>
        </patternFill>
      </fill>
      <alignment horizontal="right" readingOrder="0"/>
    </dxf>
  </rfmt>
  <rfmt sheetId="4" sqref="J171" start="0" length="0">
    <dxf>
      <fill>
        <patternFill patternType="solid">
          <bgColor theme="9" tint="0.59999389629810485"/>
        </patternFill>
      </fill>
      <alignment horizontal="right" readingOrder="0"/>
    </dxf>
  </rfmt>
  <rcc rId="2476" sId="4" odxf="1" s="1" dxf="1">
    <nc r="K171">
      <f>J171/0.786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71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71" start="0" length="0">
    <dxf>
      <fill>
        <patternFill patternType="solid">
          <bgColor theme="9" tint="0.59999389629810485"/>
        </patternFill>
      </fill>
    </dxf>
  </rfmt>
  <rfmt sheetId="4" sqref="N171" start="0" length="0">
    <dxf>
      <fill>
        <patternFill patternType="solid">
          <bgColor theme="9" tint="0.59999389629810485"/>
        </patternFill>
      </fill>
    </dxf>
  </rfmt>
  <rcc rId="2477" sId="4" numFmtId="19">
    <nc r="B171">
      <v>46286</v>
    </nc>
  </rcc>
  <rcc rId="2478" sId="4">
    <nc r="H171">
      <f>H170-K171</f>
    </nc>
  </rcc>
  <rfmt sheetId="4" sqref="B172" start="0" length="0">
    <dxf>
      <fill>
        <patternFill patternType="solid">
          <bgColor theme="9" tint="0.59999389629810485"/>
        </patternFill>
      </fill>
    </dxf>
  </rfmt>
  <rfmt sheetId="4" sqref="C172" start="0" length="0">
    <dxf>
      <fill>
        <patternFill patternType="solid">
          <bgColor theme="9" tint="0.59999389629810485"/>
        </patternFill>
      </fill>
    </dxf>
  </rfmt>
  <rcc rId="2479" sId="4">
    <oc r="D172">
      <f>IF($C172="", "", MID($C172, 6, IF(MID($C172, LEN($C172)-1, 1)="J", 3, 4)))</f>
    </oc>
    <nc r="D172">
      <f>IF($C172="", "", MID($C172, 6, IF(MID($C172, LEN($C172)-1, 1)="J", 3, 4)))</f>
    </nc>
  </rcc>
  <rcc rId="2480" sId="4" odxf="1" dxf="1">
    <nc r="E172" t="inlineStr">
      <is>
        <t>18P3A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fmt sheetId="4" sqref="F172" start="0" length="0">
    <dxf>
      <fill>
        <patternFill patternType="solid">
          <bgColor theme="9" tint="0.59999389629810485"/>
        </patternFill>
      </fill>
    </dxf>
  </rfmt>
  <rcc rId="2481" sId="4" odxf="1" dxf="1">
    <nc r="G172" t="inlineStr">
      <is>
        <t>4800388490/100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9" tint="0.59999389629810485"/>
        </patternFill>
      </fill>
    </ndxf>
  </rcc>
  <rcc rId="2482" sId="4" odxf="1" s="1" dxf="1">
    <nc r="H172">
      <f>H171-K172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I172" start="0" length="0">
    <dxf>
      <fill>
        <patternFill patternType="solid">
          <bgColor theme="9" tint="0.59999389629810485"/>
        </patternFill>
      </fill>
      <alignment horizontal="right" readingOrder="0"/>
    </dxf>
  </rfmt>
  <rfmt sheetId="4" sqref="J172" start="0" length="0">
    <dxf>
      <fill>
        <patternFill patternType="solid">
          <bgColor theme="9" tint="0.59999389629810485"/>
        </patternFill>
      </fill>
      <alignment horizontal="right" readingOrder="0"/>
    </dxf>
  </rfmt>
  <rcc rId="2483" sId="4" odxf="1" s="1" dxf="1">
    <nc r="K172">
      <f>J172/0.786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9" tint="0.59999389629810485"/>
        </patternFill>
      </fill>
    </ndxf>
  </rcc>
  <rfmt sheetId="4" sqref="L172" start="0" length="0">
    <dxf>
      <numFmt numFmtId="0" formatCode="General"/>
      <fill>
        <patternFill patternType="solid">
          <bgColor theme="9" tint="0.59999389629810485"/>
        </patternFill>
      </fill>
    </dxf>
  </rfmt>
  <rfmt sheetId="4" sqref="M172" start="0" length="0">
    <dxf>
      <fill>
        <patternFill patternType="solid">
          <bgColor theme="9" tint="0.59999389629810485"/>
        </patternFill>
      </fill>
    </dxf>
  </rfmt>
  <rfmt sheetId="4" sqref="N172" start="0" length="0">
    <dxf>
      <fill>
        <patternFill patternType="solid">
          <bgColor theme="9" tint="0.59999389629810485"/>
        </patternFill>
      </fill>
    </dxf>
  </rfmt>
  <rcc rId="2484" sId="4" numFmtId="19">
    <nc r="B172">
      <v>46288</v>
    </nc>
  </rcc>
  <rfmt sheetId="2" sqref="B780" start="0" length="0">
    <dxf>
      <fill>
        <patternFill patternType="solid">
          <bgColor theme="6" tint="0.59999389629810485"/>
        </patternFill>
      </fill>
    </dxf>
  </rfmt>
  <rfmt sheetId="2" sqref="C780" start="0" length="0">
    <dxf>
      <fill>
        <patternFill patternType="solid">
          <bgColor theme="6" tint="0.59999389629810485"/>
        </patternFill>
      </fill>
    </dxf>
  </rfmt>
  <rfmt sheetId="2" sqref="D780" start="0" length="0">
    <dxf>
      <fill>
        <patternFill patternType="solid">
          <bgColor theme="6" tint="0.59999389629810485"/>
        </patternFill>
      </fill>
    </dxf>
  </rfmt>
  <rcc rId="2485" sId="2" odxf="1" dxf="1">
    <nc r="E780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0" start="0" length="0">
    <dxf>
      <fill>
        <patternFill patternType="solid">
          <bgColor theme="6" tint="0.59999389629810485"/>
        </patternFill>
      </fill>
    </dxf>
  </rfmt>
  <rcc rId="2486" sId="2" odxf="1" dxf="1">
    <nc r="G780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fmt sheetId="2" s="1" sqref="H780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I780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0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487" sId="2" odxf="1" s="1" dxf="1">
    <nc r="K780">
      <f>J780/0.786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0" start="0" length="0">
    <dxf>
      <fill>
        <patternFill patternType="solid">
          <bgColor theme="6" tint="0.59999389629810485"/>
        </patternFill>
      </fill>
    </dxf>
  </rfmt>
  <rfmt sheetId="2" sqref="M780" start="0" length="0">
    <dxf>
      <fill>
        <patternFill patternType="solid">
          <bgColor theme="6" tint="0.59999389629810485"/>
        </patternFill>
      </fill>
    </dxf>
  </rfmt>
  <rfmt sheetId="2" sqref="N780" start="0" length="0">
    <dxf>
      <fill>
        <patternFill patternType="solid">
          <bgColor theme="6" tint="0.59999389629810485"/>
        </patternFill>
      </fill>
    </dxf>
  </rfmt>
  <rcc rId="2488" sId="2">
    <nc r="H780">
      <f>H774-K780</f>
    </nc>
  </rcc>
  <rfmt sheetId="2" sqref="B781" start="0" length="0">
    <dxf>
      <fill>
        <patternFill patternType="solid">
          <bgColor theme="6" tint="0.59999389629810485"/>
        </patternFill>
      </fill>
    </dxf>
  </rfmt>
  <rfmt sheetId="2" sqref="C781" start="0" length="0">
    <dxf>
      <fill>
        <patternFill patternType="solid">
          <bgColor theme="6" tint="0.59999389629810485"/>
        </patternFill>
      </fill>
    </dxf>
  </rfmt>
  <rfmt sheetId="2" sqref="D781" start="0" length="0">
    <dxf>
      <fill>
        <patternFill patternType="solid">
          <bgColor theme="6" tint="0.59999389629810485"/>
        </patternFill>
      </fill>
    </dxf>
  </rfmt>
  <rcc rId="2489" sId="2" odxf="1" dxf="1">
    <nc r="E781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1" start="0" length="0">
    <dxf>
      <fill>
        <patternFill patternType="solid">
          <bgColor theme="6" tint="0.59999389629810485"/>
        </patternFill>
      </fill>
    </dxf>
  </rfmt>
  <rcc rId="2490" sId="2" odxf="1" dxf="1">
    <nc r="G781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fmt sheetId="2" s="1" sqref="H781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I781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1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491" sId="2" odxf="1" s="1" dxf="1">
    <nc r="K781">
      <f>J781/0.786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1" start="0" length="0">
    <dxf>
      <fill>
        <patternFill patternType="solid">
          <bgColor theme="6" tint="0.59999389629810485"/>
        </patternFill>
      </fill>
    </dxf>
  </rfmt>
  <rfmt sheetId="2" sqref="M781" start="0" length="0">
    <dxf>
      <fill>
        <patternFill patternType="solid">
          <bgColor theme="6" tint="0.59999389629810485"/>
        </patternFill>
      </fill>
    </dxf>
  </rfmt>
  <rfmt sheetId="2" sqref="N781" start="0" length="0">
    <dxf>
      <fill>
        <patternFill patternType="solid">
          <bgColor theme="6" tint="0.59999389629810485"/>
        </patternFill>
      </fill>
    </dxf>
  </rfmt>
  <rcc rId="2492" sId="2">
    <nc r="H781">
      <f>H780-K781</f>
    </nc>
  </rcc>
  <rfmt sheetId="2" sqref="B782" start="0" length="0">
    <dxf>
      <fill>
        <patternFill patternType="solid">
          <bgColor theme="6" tint="0.59999389629810485"/>
        </patternFill>
      </fill>
    </dxf>
  </rfmt>
  <rfmt sheetId="2" sqref="C782" start="0" length="0">
    <dxf>
      <fill>
        <patternFill patternType="solid">
          <bgColor theme="6" tint="0.59999389629810485"/>
        </patternFill>
      </fill>
    </dxf>
  </rfmt>
  <rfmt sheetId="2" sqref="D782" start="0" length="0">
    <dxf>
      <fill>
        <patternFill patternType="solid">
          <bgColor theme="6" tint="0.59999389629810485"/>
        </patternFill>
      </fill>
    </dxf>
  </rfmt>
  <rcc rId="2493" sId="2" odxf="1" dxf="1">
    <nc r="E782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2" start="0" length="0">
    <dxf>
      <fill>
        <patternFill patternType="solid">
          <bgColor theme="6" tint="0.59999389629810485"/>
        </patternFill>
      </fill>
    </dxf>
  </rfmt>
  <rcc rId="2494" sId="2" odxf="1" dxf="1">
    <nc r="G782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495" sId="2" odxf="1" s="1" dxf="1">
    <nc r="H782">
      <f>H781-K782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82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2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496" sId="2" odxf="1" s="1" dxf="1">
    <nc r="K782">
      <f>J782/0.786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2" start="0" length="0">
    <dxf>
      <fill>
        <patternFill patternType="solid">
          <bgColor theme="6" tint="0.59999389629810485"/>
        </patternFill>
      </fill>
    </dxf>
  </rfmt>
  <rfmt sheetId="2" sqref="M782" start="0" length="0">
    <dxf>
      <fill>
        <patternFill patternType="solid">
          <bgColor theme="6" tint="0.59999389629810485"/>
        </patternFill>
      </fill>
    </dxf>
  </rfmt>
  <rfmt sheetId="2" sqref="N782" start="0" length="0">
    <dxf>
      <fill>
        <patternFill patternType="solid">
          <bgColor theme="6" tint="0.59999389629810485"/>
        </patternFill>
      </fill>
    </dxf>
  </rfmt>
  <rfmt sheetId="2" sqref="B783" start="0" length="0">
    <dxf>
      <fill>
        <patternFill patternType="solid">
          <bgColor theme="6" tint="0.59999389629810485"/>
        </patternFill>
      </fill>
    </dxf>
  </rfmt>
  <rfmt sheetId="2" sqref="C783" start="0" length="0">
    <dxf>
      <fill>
        <patternFill patternType="solid">
          <bgColor theme="6" tint="0.59999389629810485"/>
        </patternFill>
      </fill>
    </dxf>
  </rfmt>
  <rfmt sheetId="2" sqref="D783" start="0" length="0">
    <dxf>
      <fill>
        <patternFill patternType="solid">
          <bgColor theme="6" tint="0.59999389629810485"/>
        </patternFill>
      </fill>
    </dxf>
  </rfmt>
  <rcc rId="2497" sId="2" odxf="1" dxf="1">
    <nc r="E783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3" start="0" length="0">
    <dxf>
      <fill>
        <patternFill patternType="solid">
          <bgColor theme="6" tint="0.59999389629810485"/>
        </patternFill>
      </fill>
    </dxf>
  </rfmt>
  <rcc rId="2498" sId="2" odxf="1" dxf="1">
    <nc r="G783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499" sId="2" odxf="1" s="1" dxf="1">
    <nc r="H783">
      <f>H782-K783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8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00" sId="2" odxf="1" s="1" dxf="1">
    <nc r="K783">
      <f>J783/0.786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3" start="0" length="0">
    <dxf>
      <fill>
        <patternFill patternType="solid">
          <bgColor theme="6" tint="0.59999389629810485"/>
        </patternFill>
      </fill>
    </dxf>
  </rfmt>
  <rfmt sheetId="2" sqref="M783" start="0" length="0">
    <dxf>
      <fill>
        <patternFill patternType="solid">
          <bgColor theme="6" tint="0.59999389629810485"/>
        </patternFill>
      </fill>
    </dxf>
  </rfmt>
  <rfmt sheetId="2" sqref="N783" start="0" length="0">
    <dxf>
      <fill>
        <patternFill patternType="solid">
          <bgColor theme="6" tint="0.59999389629810485"/>
        </patternFill>
      </fill>
    </dxf>
  </rfmt>
  <rfmt sheetId="2" sqref="B784" start="0" length="0">
    <dxf>
      <fill>
        <patternFill patternType="solid">
          <bgColor theme="6" tint="0.59999389629810485"/>
        </patternFill>
      </fill>
    </dxf>
  </rfmt>
  <rfmt sheetId="2" sqref="C784" start="0" length="0">
    <dxf>
      <fill>
        <patternFill patternType="solid">
          <bgColor theme="6" tint="0.59999389629810485"/>
        </patternFill>
      </fill>
    </dxf>
  </rfmt>
  <rfmt sheetId="2" sqref="D784" start="0" length="0">
    <dxf>
      <fill>
        <patternFill patternType="solid">
          <bgColor theme="6" tint="0.59999389629810485"/>
        </patternFill>
      </fill>
    </dxf>
  </rfmt>
  <rcc rId="2501" sId="2" odxf="1" dxf="1">
    <nc r="E784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4" start="0" length="0">
    <dxf>
      <fill>
        <patternFill patternType="solid">
          <bgColor theme="6" tint="0.59999389629810485"/>
        </patternFill>
      </fill>
    </dxf>
  </rfmt>
  <rcc rId="2502" sId="2" odxf="1" dxf="1">
    <nc r="G784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03" sId="2" odxf="1" s="1" dxf="1">
    <nc r="H784">
      <f>H783-K784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84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4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04" sId="2" odxf="1" s="1" dxf="1">
    <nc r="K784">
      <f>J784/0.786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4" start="0" length="0">
    <dxf>
      <fill>
        <patternFill patternType="solid">
          <bgColor theme="6" tint="0.59999389629810485"/>
        </patternFill>
      </fill>
    </dxf>
  </rfmt>
  <rfmt sheetId="2" sqref="M784" start="0" length="0">
    <dxf>
      <fill>
        <patternFill patternType="solid">
          <bgColor theme="6" tint="0.59999389629810485"/>
        </patternFill>
      </fill>
    </dxf>
  </rfmt>
  <rfmt sheetId="2" sqref="N784" start="0" length="0">
    <dxf>
      <fill>
        <patternFill patternType="solid">
          <bgColor theme="6" tint="0.59999389629810485"/>
        </patternFill>
      </fill>
    </dxf>
  </rfmt>
  <rfmt sheetId="2" sqref="B785" start="0" length="0">
    <dxf>
      <fill>
        <patternFill patternType="solid">
          <bgColor theme="6" tint="0.59999389629810485"/>
        </patternFill>
      </fill>
    </dxf>
  </rfmt>
  <rfmt sheetId="2" sqref="C785" start="0" length="0">
    <dxf>
      <fill>
        <patternFill patternType="solid">
          <bgColor theme="6" tint="0.59999389629810485"/>
        </patternFill>
      </fill>
    </dxf>
  </rfmt>
  <rfmt sheetId="2" sqref="D785" start="0" length="0">
    <dxf>
      <fill>
        <patternFill patternType="solid">
          <bgColor theme="6" tint="0.59999389629810485"/>
        </patternFill>
      </fill>
    </dxf>
  </rfmt>
  <rcc rId="2505" sId="2" odxf="1" dxf="1">
    <nc r="E785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5" start="0" length="0">
    <dxf>
      <fill>
        <patternFill patternType="solid">
          <bgColor theme="6" tint="0.59999389629810485"/>
        </patternFill>
      </fill>
    </dxf>
  </rfmt>
  <rcc rId="2506" sId="2" odxf="1" dxf="1">
    <nc r="G785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07" sId="2" odxf="1" s="1" dxf="1">
    <nc r="H785">
      <f>H784-K785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85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5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08" sId="2" odxf="1" s="1" dxf="1">
    <nc r="K785">
      <f>J785/0.786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5" start="0" length="0">
    <dxf>
      <fill>
        <patternFill patternType="solid">
          <bgColor theme="6" tint="0.59999389629810485"/>
        </patternFill>
      </fill>
    </dxf>
  </rfmt>
  <rfmt sheetId="2" sqref="M785" start="0" length="0">
    <dxf>
      <fill>
        <patternFill patternType="solid">
          <bgColor theme="6" tint="0.59999389629810485"/>
        </patternFill>
      </fill>
    </dxf>
  </rfmt>
  <rfmt sheetId="2" sqref="N785" start="0" length="0">
    <dxf>
      <fill>
        <patternFill patternType="solid">
          <bgColor theme="6" tint="0.59999389629810485"/>
        </patternFill>
      </fill>
    </dxf>
  </rfmt>
  <rfmt sheetId="2" sqref="B786" start="0" length="0">
    <dxf>
      <fill>
        <patternFill patternType="solid">
          <bgColor theme="6" tint="0.59999389629810485"/>
        </patternFill>
      </fill>
    </dxf>
  </rfmt>
  <rfmt sheetId="2" sqref="C786" start="0" length="0">
    <dxf>
      <fill>
        <patternFill patternType="solid">
          <bgColor theme="6" tint="0.59999389629810485"/>
        </patternFill>
      </fill>
    </dxf>
  </rfmt>
  <rfmt sheetId="2" sqref="D786" start="0" length="0">
    <dxf>
      <fill>
        <patternFill patternType="solid">
          <bgColor theme="6" tint="0.59999389629810485"/>
        </patternFill>
      </fill>
    </dxf>
  </rfmt>
  <rcc rId="2509" sId="2" odxf="1" dxf="1">
    <nc r="E786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6" start="0" length="0">
    <dxf>
      <fill>
        <patternFill patternType="solid">
          <bgColor theme="6" tint="0.59999389629810485"/>
        </patternFill>
      </fill>
    </dxf>
  </rfmt>
  <rcc rId="2510" sId="2" odxf="1" dxf="1">
    <nc r="G786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11" sId="2" odxf="1" s="1" dxf="1">
    <nc r="H786">
      <f>H785-K786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86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6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12" sId="2" odxf="1" s="1" dxf="1">
    <nc r="K786">
      <f>J786/0.786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6" start="0" length="0">
    <dxf>
      <fill>
        <patternFill patternType="solid">
          <bgColor theme="6" tint="0.59999389629810485"/>
        </patternFill>
      </fill>
    </dxf>
  </rfmt>
  <rfmt sheetId="2" sqref="M786" start="0" length="0">
    <dxf>
      <fill>
        <patternFill patternType="solid">
          <bgColor theme="6" tint="0.59999389629810485"/>
        </patternFill>
      </fill>
    </dxf>
  </rfmt>
  <rfmt sheetId="2" sqref="N786" start="0" length="0">
    <dxf>
      <fill>
        <patternFill patternType="solid">
          <bgColor theme="6" tint="0.59999389629810485"/>
        </patternFill>
      </fill>
    </dxf>
  </rfmt>
  <rfmt sheetId="2" sqref="B787" start="0" length="0">
    <dxf>
      <fill>
        <patternFill patternType="solid">
          <bgColor theme="6" tint="0.59999389629810485"/>
        </patternFill>
      </fill>
    </dxf>
  </rfmt>
  <rfmt sheetId="2" sqref="C787" start="0" length="0">
    <dxf>
      <fill>
        <patternFill patternType="solid">
          <bgColor theme="6" tint="0.59999389629810485"/>
        </patternFill>
      </fill>
    </dxf>
  </rfmt>
  <rfmt sheetId="2" sqref="D787" start="0" length="0">
    <dxf>
      <fill>
        <patternFill patternType="solid">
          <bgColor theme="6" tint="0.59999389629810485"/>
        </patternFill>
      </fill>
    </dxf>
  </rfmt>
  <rcc rId="2513" sId="2" odxf="1" dxf="1">
    <nc r="E787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7" start="0" length="0">
    <dxf>
      <fill>
        <patternFill patternType="solid">
          <bgColor theme="6" tint="0.59999389629810485"/>
        </patternFill>
      </fill>
    </dxf>
  </rfmt>
  <rcc rId="2514" sId="2" odxf="1" dxf="1">
    <nc r="G787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15" sId="2" odxf="1" s="1" dxf="1">
    <nc r="H787">
      <f>H786-K787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87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7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16" sId="2" odxf="1" s="1" dxf="1">
    <nc r="K787">
      <f>J787/0.786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7" start="0" length="0">
    <dxf>
      <fill>
        <patternFill patternType="solid">
          <bgColor theme="6" tint="0.59999389629810485"/>
        </patternFill>
      </fill>
    </dxf>
  </rfmt>
  <rfmt sheetId="2" sqref="M787" start="0" length="0">
    <dxf>
      <fill>
        <patternFill patternType="solid">
          <bgColor theme="6" tint="0.59999389629810485"/>
        </patternFill>
      </fill>
    </dxf>
  </rfmt>
  <rfmt sheetId="2" sqref="N787" start="0" length="0">
    <dxf>
      <fill>
        <patternFill patternType="solid">
          <bgColor theme="6" tint="0.59999389629810485"/>
        </patternFill>
      </fill>
    </dxf>
  </rfmt>
  <rfmt sheetId="2" sqref="B788" start="0" length="0">
    <dxf>
      <fill>
        <patternFill patternType="solid">
          <bgColor theme="6" tint="0.59999389629810485"/>
        </patternFill>
      </fill>
    </dxf>
  </rfmt>
  <rfmt sheetId="2" sqref="C788" start="0" length="0">
    <dxf>
      <fill>
        <patternFill patternType="solid">
          <bgColor theme="6" tint="0.59999389629810485"/>
        </patternFill>
      </fill>
    </dxf>
  </rfmt>
  <rfmt sheetId="2" sqref="D788" start="0" length="0">
    <dxf>
      <fill>
        <patternFill patternType="solid">
          <bgColor theme="6" tint="0.59999389629810485"/>
        </patternFill>
      </fill>
    </dxf>
  </rfmt>
  <rcc rId="2517" sId="2" odxf="1" dxf="1">
    <nc r="E788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8" start="0" length="0">
    <dxf>
      <fill>
        <patternFill patternType="solid">
          <bgColor theme="6" tint="0.59999389629810485"/>
        </patternFill>
      </fill>
    </dxf>
  </rfmt>
  <rcc rId="2518" sId="2" odxf="1" dxf="1">
    <nc r="G788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19" sId="2" odxf="1" s="1" dxf="1">
    <nc r="H788">
      <f>H787-K788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8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20" sId="2" odxf="1" s="1" dxf="1">
    <nc r="K788">
      <f>J788/0.786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8" start="0" length="0">
    <dxf>
      <fill>
        <patternFill patternType="solid">
          <bgColor theme="6" tint="0.59999389629810485"/>
        </patternFill>
      </fill>
    </dxf>
  </rfmt>
  <rfmt sheetId="2" sqref="M788" start="0" length="0">
    <dxf>
      <fill>
        <patternFill patternType="solid">
          <bgColor theme="6" tint="0.59999389629810485"/>
        </patternFill>
      </fill>
    </dxf>
  </rfmt>
  <rfmt sheetId="2" sqref="N788" start="0" length="0">
    <dxf>
      <fill>
        <patternFill patternType="solid">
          <bgColor theme="6" tint="0.59999389629810485"/>
        </patternFill>
      </fill>
    </dxf>
  </rfmt>
  <rfmt sheetId="2" sqref="B789" start="0" length="0">
    <dxf>
      <fill>
        <patternFill patternType="solid">
          <bgColor theme="6" tint="0.59999389629810485"/>
        </patternFill>
      </fill>
    </dxf>
  </rfmt>
  <rfmt sheetId="2" sqref="C789" start="0" length="0">
    <dxf>
      <fill>
        <patternFill patternType="solid">
          <bgColor theme="6" tint="0.59999389629810485"/>
        </patternFill>
      </fill>
    </dxf>
  </rfmt>
  <rfmt sheetId="2" sqref="D789" start="0" length="0">
    <dxf>
      <fill>
        <patternFill patternType="solid">
          <bgColor theme="6" tint="0.59999389629810485"/>
        </patternFill>
      </fill>
    </dxf>
  </rfmt>
  <rcc rId="2521" sId="2" odxf="1" dxf="1">
    <nc r="E789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89" start="0" length="0">
    <dxf>
      <fill>
        <patternFill patternType="solid">
          <bgColor theme="6" tint="0.59999389629810485"/>
        </patternFill>
      </fill>
    </dxf>
  </rfmt>
  <rcc rId="2522" sId="2" odxf="1" dxf="1">
    <nc r="G789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23" sId="2" odxf="1" s="1" dxf="1">
    <nc r="H789">
      <f>H788-K789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8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8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24" sId="2" odxf="1" s="1" dxf="1">
    <nc r="K789">
      <f>J789/0.786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89" start="0" length="0">
    <dxf>
      <fill>
        <patternFill patternType="solid">
          <bgColor theme="6" tint="0.59999389629810485"/>
        </patternFill>
      </fill>
    </dxf>
  </rfmt>
  <rfmt sheetId="2" sqref="M789" start="0" length="0">
    <dxf>
      <fill>
        <patternFill patternType="solid">
          <bgColor theme="6" tint="0.59999389629810485"/>
        </patternFill>
      </fill>
    </dxf>
  </rfmt>
  <rfmt sheetId="2" sqref="N789" start="0" length="0">
    <dxf>
      <fill>
        <patternFill patternType="solid">
          <bgColor theme="6" tint="0.59999389629810485"/>
        </patternFill>
      </fill>
    </dxf>
  </rfmt>
  <rfmt sheetId="2" sqref="B790" start="0" length="0">
    <dxf>
      <fill>
        <patternFill patternType="solid">
          <bgColor theme="6" tint="0.59999389629810485"/>
        </patternFill>
      </fill>
    </dxf>
  </rfmt>
  <rfmt sheetId="2" sqref="C790" start="0" length="0">
    <dxf>
      <fill>
        <patternFill patternType="solid">
          <bgColor theme="6" tint="0.59999389629810485"/>
        </patternFill>
      </fill>
    </dxf>
  </rfmt>
  <rfmt sheetId="2" sqref="D790" start="0" length="0">
    <dxf>
      <fill>
        <patternFill patternType="solid">
          <bgColor theme="6" tint="0.59999389629810485"/>
        </patternFill>
      </fill>
    </dxf>
  </rfmt>
  <rcc rId="2525" sId="2" odxf="1" dxf="1">
    <nc r="E790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90" start="0" length="0">
    <dxf>
      <fill>
        <patternFill patternType="solid">
          <bgColor theme="6" tint="0.59999389629810485"/>
        </patternFill>
      </fill>
    </dxf>
  </rfmt>
  <rcc rId="2526" sId="2" odxf="1" dxf="1">
    <nc r="G790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27" sId="2" odxf="1" s="1" dxf="1">
    <nc r="H790">
      <f>H789-K790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90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90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28" sId="2" odxf="1" s="1" dxf="1">
    <nc r="K790">
      <f>J790/0.786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90" start="0" length="0">
    <dxf>
      <fill>
        <patternFill patternType="solid">
          <bgColor theme="6" tint="0.59999389629810485"/>
        </patternFill>
      </fill>
    </dxf>
  </rfmt>
  <rfmt sheetId="2" sqref="M790" start="0" length="0">
    <dxf>
      <fill>
        <patternFill patternType="solid">
          <bgColor theme="6" tint="0.59999389629810485"/>
        </patternFill>
      </fill>
    </dxf>
  </rfmt>
  <rfmt sheetId="2" sqref="N790" start="0" length="0">
    <dxf>
      <fill>
        <patternFill patternType="solid">
          <bgColor theme="6" tint="0.59999389629810485"/>
        </patternFill>
      </fill>
    </dxf>
  </rfmt>
  <rfmt sheetId="2" sqref="B791" start="0" length="0">
    <dxf>
      <fill>
        <patternFill patternType="solid">
          <bgColor theme="6" tint="0.59999389629810485"/>
        </patternFill>
      </fill>
    </dxf>
  </rfmt>
  <rfmt sheetId="2" sqref="C791" start="0" length="0">
    <dxf>
      <fill>
        <patternFill patternType="solid">
          <bgColor theme="6" tint="0.59999389629810485"/>
        </patternFill>
      </fill>
    </dxf>
  </rfmt>
  <rfmt sheetId="2" sqref="D791" start="0" length="0">
    <dxf>
      <fill>
        <patternFill patternType="solid">
          <bgColor theme="6" tint="0.59999389629810485"/>
        </patternFill>
      </fill>
    </dxf>
  </rfmt>
  <rcc rId="2529" sId="2" odxf="1" dxf="1">
    <nc r="E791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91" start="0" length="0">
    <dxf>
      <fill>
        <patternFill patternType="solid">
          <bgColor theme="6" tint="0.59999389629810485"/>
        </patternFill>
      </fill>
    </dxf>
  </rfmt>
  <rcc rId="2530" sId="2" odxf="1" dxf="1">
    <nc r="G791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31" sId="2" odxf="1" s="1" dxf="1">
    <nc r="H791">
      <f>H790-K791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91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91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32" sId="2" odxf="1" s="1" dxf="1">
    <nc r="K791">
      <f>J791/0.786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91" start="0" length="0">
    <dxf>
      <fill>
        <patternFill patternType="solid">
          <bgColor theme="6" tint="0.59999389629810485"/>
        </patternFill>
      </fill>
    </dxf>
  </rfmt>
  <rfmt sheetId="2" sqref="M791" start="0" length="0">
    <dxf>
      <fill>
        <patternFill patternType="solid">
          <bgColor theme="6" tint="0.59999389629810485"/>
        </patternFill>
      </fill>
    </dxf>
  </rfmt>
  <rfmt sheetId="2" sqref="N791" start="0" length="0">
    <dxf>
      <fill>
        <patternFill patternType="solid">
          <bgColor theme="6" tint="0.59999389629810485"/>
        </patternFill>
      </fill>
    </dxf>
  </rfmt>
  <rfmt sheetId="2" sqref="B792" start="0" length="0">
    <dxf>
      <fill>
        <patternFill patternType="solid">
          <bgColor theme="6" tint="0.59999389629810485"/>
        </patternFill>
      </fill>
    </dxf>
  </rfmt>
  <rfmt sheetId="2" sqref="C792" start="0" length="0">
    <dxf>
      <fill>
        <patternFill patternType="solid">
          <bgColor theme="6" tint="0.59999389629810485"/>
        </patternFill>
      </fill>
    </dxf>
  </rfmt>
  <rfmt sheetId="2" sqref="D792" start="0" length="0">
    <dxf>
      <fill>
        <patternFill patternType="solid">
          <bgColor theme="6" tint="0.59999389629810485"/>
        </patternFill>
      </fill>
    </dxf>
  </rfmt>
  <rcc rId="2533" sId="2" odxf="1" dxf="1">
    <nc r="E792" t="inlineStr">
      <is>
        <t>15P5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6" tint="0.59999389629810485"/>
        </patternFill>
      </fill>
    </ndxf>
  </rcc>
  <rfmt sheetId="2" sqref="F792" start="0" length="0">
    <dxf>
      <fill>
        <patternFill patternType="solid">
          <bgColor theme="6" tint="0.59999389629810485"/>
        </patternFill>
      </fill>
    </dxf>
  </rfmt>
  <rcc rId="2534" sId="2" odxf="1" dxf="1">
    <nc r="G792" t="inlineStr">
      <is>
        <t>4800384805/400</t>
        <phoneticPr fontId="591" type="noConversion"/>
      </is>
    </nc>
    <odxf>
      <font>
        <sz val="10"/>
        <name val="Arial"/>
        <scheme val="none"/>
      </font>
      <fill>
        <patternFill patternType="none">
          <bgColor indexed="65"/>
        </patternFill>
      </fill>
    </odxf>
    <ndxf>
      <font>
        <sz val="10"/>
        <color auto="1"/>
        <name val="Arial"/>
        <scheme val="none"/>
      </font>
      <fill>
        <patternFill patternType="solid">
          <bgColor theme="6" tint="0.59999389629810485"/>
        </patternFill>
      </fill>
    </ndxf>
  </rcc>
  <rcc rId="2535" sId="2" odxf="1" s="1" dxf="1">
    <nc r="H792">
      <f>H791-K792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="1" sqref="I792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fmt sheetId="2" s="1" sqref="J792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dxf>
  </rfmt>
  <rcc rId="2536" sId="2" odxf="1" s="1" dxf="1">
    <nc r="K792">
      <f>J792/0.786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6" tint="0.59999389629810485"/>
        </patternFill>
      </fill>
    </ndxf>
  </rcc>
  <rfmt sheetId="2" sqref="L792" start="0" length="0">
    <dxf>
      <fill>
        <patternFill patternType="solid">
          <bgColor theme="6" tint="0.59999389629810485"/>
        </patternFill>
      </fill>
    </dxf>
  </rfmt>
  <rfmt sheetId="2" sqref="M792" start="0" length="0">
    <dxf>
      <fill>
        <patternFill patternType="solid">
          <bgColor theme="6" tint="0.59999389629810485"/>
        </patternFill>
      </fill>
    </dxf>
  </rfmt>
  <rfmt sheetId="2" sqref="N792" start="0" length="0">
    <dxf>
      <fill>
        <patternFill patternType="solid">
          <bgColor theme="6" tint="0.59999389629810485"/>
        </patternFill>
      </fill>
    </dxf>
  </rfmt>
  <rcc rId="2537" sId="2" numFmtId="19">
    <nc r="B780">
      <v>46282</v>
    </nc>
  </rcc>
  <rcc rId="2538" sId="2" numFmtId="19">
    <nc r="B781">
      <v>46283</v>
    </nc>
  </rcc>
  <rcc rId="2539" sId="2" numFmtId="19">
    <nc r="B782">
      <v>46283</v>
    </nc>
  </rcc>
  <rcc rId="2540" sId="2" numFmtId="19">
    <nc r="B783">
      <v>46284</v>
    </nc>
  </rcc>
  <rcc rId="2541" sId="2" numFmtId="19">
    <nc r="B784">
      <v>46284</v>
    </nc>
  </rcc>
  <rcc rId="2542" sId="2" numFmtId="19">
    <nc r="B785">
      <v>46285</v>
    </nc>
  </rcc>
  <rcc rId="2543" sId="2" numFmtId="19">
    <nc r="B786">
      <v>46286</v>
    </nc>
  </rcc>
  <rcc rId="2544" sId="2" numFmtId="19">
    <nc r="B787">
      <v>46286</v>
    </nc>
  </rcc>
  <rcc rId="2545" sId="2" numFmtId="19">
    <nc r="B788">
      <v>46287</v>
    </nc>
  </rcc>
  <rcc rId="2546" sId="2" numFmtId="19">
    <nc r="B789">
      <v>46288</v>
    </nc>
  </rcc>
  <rcc rId="2547" sId="2" numFmtId="19">
    <nc r="B790">
      <v>46288</v>
    </nc>
  </rcc>
  <rcc rId="2548" sId="2" numFmtId="19">
    <nc r="B791">
      <v>46289</v>
    </nc>
  </rcc>
  <rcc rId="2549" sId="2" numFmtId="19">
    <nc r="B792">
      <v>46289</v>
    </nc>
  </rcc>
  <rfmt sheetId="2" sqref="B793" start="0" length="0">
    <dxf>
      <fill>
        <patternFill patternType="solid">
          <bgColor theme="8" tint="0.59999389629810485"/>
        </patternFill>
      </fill>
    </dxf>
  </rfmt>
  <rfmt sheetId="2" sqref="C793" start="0" length="0">
    <dxf>
      <fill>
        <patternFill patternType="solid">
          <bgColor theme="8" tint="0.59999389629810485"/>
        </patternFill>
      </fill>
    </dxf>
  </rfmt>
  <rfmt sheetId="2" sqref="D793" start="0" length="0">
    <dxf>
      <fill>
        <patternFill patternType="solid">
          <bgColor theme="8" tint="0.59999389629810485"/>
        </patternFill>
      </fill>
    </dxf>
  </rfmt>
  <rcc rId="2550" sId="2" odxf="1" dxf="1">
    <nc r="E793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793" start="0" length="0">
    <dxf>
      <fill>
        <patternFill patternType="solid">
          <bgColor theme="8" tint="0.59999389629810485"/>
        </patternFill>
      </fill>
    </dxf>
  </rfmt>
  <rcc rId="2551" sId="2" odxf="1" dxf="1">
    <nc r="G793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="1" sqref="H79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I79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79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52" sId="2" odxf="1" s="1" dxf="1">
    <nc r="K793">
      <f>J793/0.786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793" start="0" length="0">
    <dxf>
      <fill>
        <patternFill patternType="solid">
          <bgColor theme="8" tint="0.59999389629810485"/>
        </patternFill>
      </fill>
    </dxf>
  </rfmt>
  <rfmt sheetId="2" sqref="M793" start="0" length="0">
    <dxf>
      <fill>
        <patternFill patternType="solid">
          <bgColor theme="8" tint="0.59999389629810485"/>
        </patternFill>
      </fill>
    </dxf>
  </rfmt>
  <rfmt sheetId="2" sqref="N793" start="0" length="0">
    <dxf>
      <fill>
        <patternFill patternType="solid">
          <bgColor theme="8" tint="0.59999389629810485"/>
        </patternFill>
      </fill>
    </dxf>
  </rfmt>
  <rcc rId="2553" sId="2" numFmtId="19">
    <nc r="B793">
      <v>46282</v>
    </nc>
  </rcc>
  <rcc rId="2554" sId="2">
    <nc r="H793">
      <f>H776-K793</f>
    </nc>
  </rcc>
  <rcc rId="2555" sId="2" odxf="1" dxf="1" numFmtId="19">
    <nc r="B794">
      <v>46282</v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C794" start="0" length="0">
    <dxf>
      <fill>
        <patternFill patternType="solid">
          <bgColor theme="8" tint="0.59999389629810485"/>
        </patternFill>
      </fill>
    </dxf>
  </rfmt>
  <rfmt sheetId="2" sqref="D794" start="0" length="0">
    <dxf>
      <fill>
        <patternFill patternType="solid">
          <bgColor theme="8" tint="0.59999389629810485"/>
        </patternFill>
      </fill>
    </dxf>
  </rfmt>
  <rcc rId="2556" sId="2" odxf="1" dxf="1">
    <nc r="E794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794" start="0" length="0">
    <dxf>
      <fill>
        <patternFill patternType="solid">
          <bgColor theme="8" tint="0.59999389629810485"/>
        </patternFill>
      </fill>
    </dxf>
  </rfmt>
  <rcc rId="2557" sId="2" odxf="1" dxf="1">
    <nc r="G794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="1" sqref="H794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I794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794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58" sId="2" odxf="1" s="1" dxf="1">
    <nc r="K794">
      <f>J794/0.786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794" start="0" length="0">
    <dxf>
      <fill>
        <patternFill patternType="solid">
          <bgColor theme="8" tint="0.59999389629810485"/>
        </patternFill>
      </fill>
    </dxf>
  </rfmt>
  <rfmt sheetId="2" sqref="M794" start="0" length="0">
    <dxf>
      <fill>
        <patternFill patternType="solid">
          <bgColor theme="8" tint="0.59999389629810485"/>
        </patternFill>
      </fill>
    </dxf>
  </rfmt>
  <rfmt sheetId="2" sqref="N794" start="0" length="0">
    <dxf>
      <fill>
        <patternFill patternType="solid">
          <bgColor theme="8" tint="0.59999389629810485"/>
        </patternFill>
      </fill>
    </dxf>
  </rfmt>
  <rcc rId="2559" sId="2">
    <nc r="H794">
      <f>H793-K794</f>
    </nc>
  </rcc>
  <rfmt sheetId="2" sqref="B795" start="0" length="0">
    <dxf>
      <fill>
        <patternFill patternType="solid">
          <bgColor theme="8" tint="0.59999389629810485"/>
        </patternFill>
      </fill>
    </dxf>
  </rfmt>
  <rfmt sheetId="2" sqref="C795" start="0" length="0">
    <dxf>
      <fill>
        <patternFill patternType="solid">
          <bgColor theme="8" tint="0.59999389629810485"/>
        </patternFill>
      </fill>
    </dxf>
  </rfmt>
  <rfmt sheetId="2" sqref="D795" start="0" length="0">
    <dxf>
      <fill>
        <patternFill patternType="solid">
          <bgColor theme="8" tint="0.59999389629810485"/>
        </patternFill>
      </fill>
    </dxf>
  </rfmt>
  <rcc rId="2560" sId="2" odxf="1" dxf="1">
    <nc r="E795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795" start="0" length="0">
    <dxf>
      <fill>
        <patternFill patternType="solid">
          <bgColor theme="8" tint="0.59999389629810485"/>
        </patternFill>
      </fill>
    </dxf>
  </rfmt>
  <rcc rId="2561" sId="2" odxf="1" dxf="1">
    <nc r="G795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cc rId="2562" sId="2" odxf="1" s="1" dxf="1">
    <nc r="H795">
      <f>H794-K795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="1" sqref="I795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795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63" sId="2" odxf="1" s="1" dxf="1">
    <nc r="K795">
      <f>J795/0.786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795" start="0" length="0">
    <dxf>
      <fill>
        <patternFill patternType="solid">
          <bgColor theme="8" tint="0.59999389629810485"/>
        </patternFill>
      </fill>
    </dxf>
  </rfmt>
  <rfmt sheetId="2" sqref="M795" start="0" length="0">
    <dxf>
      <fill>
        <patternFill patternType="solid">
          <bgColor theme="8" tint="0.59999389629810485"/>
        </patternFill>
      </fill>
    </dxf>
  </rfmt>
  <rfmt sheetId="2" sqref="N795" start="0" length="0">
    <dxf>
      <fill>
        <patternFill patternType="solid">
          <bgColor theme="8" tint="0.59999389629810485"/>
        </patternFill>
      </fill>
    </dxf>
  </rfmt>
  <rfmt sheetId="2" sqref="B796" start="0" length="0">
    <dxf>
      <fill>
        <patternFill patternType="solid">
          <bgColor theme="8" tint="0.59999389629810485"/>
        </patternFill>
      </fill>
    </dxf>
  </rfmt>
  <rfmt sheetId="2" sqref="C796" start="0" length="0">
    <dxf>
      <fill>
        <patternFill patternType="solid">
          <bgColor theme="8" tint="0.59999389629810485"/>
        </patternFill>
      </fill>
    </dxf>
  </rfmt>
  <rfmt sheetId="2" sqref="D796" start="0" length="0">
    <dxf>
      <fill>
        <patternFill patternType="solid">
          <bgColor theme="8" tint="0.59999389629810485"/>
        </patternFill>
      </fill>
    </dxf>
  </rfmt>
  <rcc rId="2564" sId="2" odxf="1" dxf="1">
    <nc r="E796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796" start="0" length="0">
    <dxf>
      <fill>
        <patternFill patternType="solid">
          <bgColor theme="8" tint="0.59999389629810485"/>
        </patternFill>
      </fill>
    </dxf>
  </rfmt>
  <rcc rId="2565" sId="2" odxf="1" dxf="1">
    <nc r="G796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="1" sqref="H796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I796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796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66" sId="2" odxf="1" s="1" dxf="1">
    <nc r="K796">
      <f>J796/0.786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796" start="0" length="0">
    <dxf>
      <fill>
        <patternFill patternType="solid">
          <bgColor theme="8" tint="0.59999389629810485"/>
        </patternFill>
      </fill>
    </dxf>
  </rfmt>
  <rfmt sheetId="2" sqref="M796" start="0" length="0">
    <dxf>
      <fill>
        <patternFill patternType="solid">
          <bgColor theme="8" tint="0.59999389629810485"/>
        </patternFill>
      </fill>
    </dxf>
  </rfmt>
  <rfmt sheetId="2" sqref="N796" start="0" length="0">
    <dxf>
      <fill>
        <patternFill patternType="solid">
          <bgColor theme="8" tint="0.59999389629810485"/>
        </patternFill>
      </fill>
    </dxf>
  </rfmt>
  <rfmt sheetId="2" sqref="B797" start="0" length="0">
    <dxf>
      <fill>
        <patternFill patternType="solid">
          <bgColor theme="8" tint="0.59999389629810485"/>
        </patternFill>
      </fill>
    </dxf>
  </rfmt>
  <rfmt sheetId="2" sqref="C797" start="0" length="0">
    <dxf>
      <fill>
        <patternFill patternType="solid">
          <bgColor theme="8" tint="0.59999389629810485"/>
        </patternFill>
      </fill>
    </dxf>
  </rfmt>
  <rfmt sheetId="2" sqref="D797" start="0" length="0">
    <dxf>
      <fill>
        <patternFill patternType="solid">
          <bgColor theme="8" tint="0.59999389629810485"/>
        </patternFill>
      </fill>
    </dxf>
  </rfmt>
  <rcc rId="2567" sId="2" odxf="1" dxf="1">
    <nc r="E797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797" start="0" length="0">
    <dxf>
      <fill>
        <patternFill patternType="solid">
          <bgColor theme="8" tint="0.59999389629810485"/>
        </patternFill>
      </fill>
    </dxf>
  </rfmt>
  <rcc rId="2568" sId="2" odxf="1" dxf="1">
    <nc r="G797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="1" sqref="H797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I797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797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69" sId="2" odxf="1" s="1" dxf="1">
    <nc r="K797">
      <f>J797/0.786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797" start="0" length="0">
    <dxf>
      <fill>
        <patternFill patternType="solid">
          <bgColor theme="8" tint="0.59999389629810485"/>
        </patternFill>
      </fill>
    </dxf>
  </rfmt>
  <rfmt sheetId="2" sqref="M797" start="0" length="0">
    <dxf>
      <fill>
        <patternFill patternType="solid">
          <bgColor theme="8" tint="0.59999389629810485"/>
        </patternFill>
      </fill>
    </dxf>
  </rfmt>
  <rfmt sheetId="2" sqref="N797" start="0" length="0">
    <dxf>
      <fill>
        <patternFill patternType="solid">
          <bgColor theme="8" tint="0.59999389629810485"/>
        </patternFill>
      </fill>
    </dxf>
  </rfmt>
  <rfmt sheetId="2" sqref="B798" start="0" length="0">
    <dxf>
      <fill>
        <patternFill patternType="solid">
          <bgColor theme="8" tint="0.59999389629810485"/>
        </patternFill>
      </fill>
    </dxf>
  </rfmt>
  <rfmt sheetId="2" sqref="C798" start="0" length="0">
    <dxf>
      <fill>
        <patternFill patternType="solid">
          <bgColor theme="8" tint="0.59999389629810485"/>
        </patternFill>
      </fill>
    </dxf>
  </rfmt>
  <rfmt sheetId="2" sqref="D798" start="0" length="0">
    <dxf>
      <fill>
        <patternFill patternType="solid">
          <bgColor theme="8" tint="0.59999389629810485"/>
        </patternFill>
      </fill>
    </dxf>
  </rfmt>
  <rcc rId="2570" sId="2" odxf="1" dxf="1">
    <nc r="E798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798" start="0" length="0">
    <dxf>
      <fill>
        <patternFill patternType="solid">
          <bgColor theme="8" tint="0.59999389629810485"/>
        </patternFill>
      </fill>
    </dxf>
  </rfmt>
  <rcc rId="2571" sId="2" odxf="1" dxf="1">
    <nc r="G798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="1" sqref="H79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I79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798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72" sId="2" odxf="1" s="1" dxf="1">
    <nc r="K798">
      <f>J798/0.786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798" start="0" length="0">
    <dxf>
      <fill>
        <patternFill patternType="solid">
          <bgColor theme="8" tint="0.59999389629810485"/>
        </patternFill>
      </fill>
    </dxf>
  </rfmt>
  <rfmt sheetId="2" sqref="M798" start="0" length="0">
    <dxf>
      <fill>
        <patternFill patternType="solid">
          <bgColor theme="8" tint="0.59999389629810485"/>
        </patternFill>
      </fill>
    </dxf>
  </rfmt>
  <rfmt sheetId="2" sqref="N798" start="0" length="0">
    <dxf>
      <fill>
        <patternFill patternType="solid">
          <bgColor theme="8" tint="0.59999389629810485"/>
        </patternFill>
      </fill>
    </dxf>
  </rfmt>
  <rfmt sheetId="2" sqref="B799" start="0" length="0">
    <dxf>
      <fill>
        <patternFill patternType="solid">
          <bgColor theme="8" tint="0.59999389629810485"/>
        </patternFill>
      </fill>
    </dxf>
  </rfmt>
  <rfmt sheetId="2" sqref="C799" start="0" length="0">
    <dxf>
      <fill>
        <patternFill patternType="solid">
          <bgColor theme="8" tint="0.59999389629810485"/>
        </patternFill>
      </fill>
    </dxf>
  </rfmt>
  <rfmt sheetId="2" sqref="D799" start="0" length="0">
    <dxf>
      <fill>
        <patternFill patternType="solid">
          <bgColor theme="8" tint="0.59999389629810485"/>
        </patternFill>
      </fill>
    </dxf>
  </rfmt>
  <rcc rId="2573" sId="2" odxf="1" dxf="1">
    <nc r="E799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799" start="0" length="0">
    <dxf>
      <fill>
        <patternFill patternType="solid">
          <bgColor theme="8" tint="0.59999389629810485"/>
        </patternFill>
      </fill>
    </dxf>
  </rfmt>
  <rcc rId="2574" sId="2" odxf="1" dxf="1">
    <nc r="G799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cc rId="2575" sId="2" odxf="1" s="1" dxf="1">
    <nc r="H799">
      <f>H798-K799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="1" sqref="I79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799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76" sId="2" odxf="1" s="1" dxf="1">
    <nc r="K799">
      <f>J799/0.786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799" start="0" length="0">
    <dxf>
      <fill>
        <patternFill patternType="solid">
          <bgColor theme="8" tint="0.59999389629810485"/>
        </patternFill>
      </fill>
    </dxf>
  </rfmt>
  <rfmt sheetId="2" sqref="M799" start="0" length="0">
    <dxf>
      <fill>
        <patternFill patternType="solid">
          <bgColor theme="8" tint="0.59999389629810485"/>
        </patternFill>
      </fill>
    </dxf>
  </rfmt>
  <rfmt sheetId="2" sqref="N799" start="0" length="0">
    <dxf>
      <fill>
        <patternFill patternType="solid">
          <bgColor theme="8" tint="0.59999389629810485"/>
        </patternFill>
      </fill>
    </dxf>
  </rfmt>
  <rfmt sheetId="2" sqref="B800" start="0" length="0">
    <dxf>
      <fill>
        <patternFill patternType="solid">
          <bgColor theme="8" tint="0.59999389629810485"/>
        </patternFill>
      </fill>
    </dxf>
  </rfmt>
  <rfmt sheetId="2" sqref="C800" start="0" length="0">
    <dxf>
      <fill>
        <patternFill patternType="solid">
          <bgColor theme="8" tint="0.59999389629810485"/>
        </patternFill>
      </fill>
    </dxf>
  </rfmt>
  <rfmt sheetId="2" sqref="D800" start="0" length="0">
    <dxf>
      <fill>
        <patternFill patternType="solid">
          <bgColor theme="8" tint="0.59999389629810485"/>
        </patternFill>
      </fill>
    </dxf>
  </rfmt>
  <rcc rId="2577" sId="2" odxf="1" dxf="1">
    <nc r="E800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800" start="0" length="0">
    <dxf>
      <fill>
        <patternFill patternType="solid">
          <bgColor theme="8" tint="0.59999389629810485"/>
        </patternFill>
      </fill>
    </dxf>
  </rfmt>
  <rcc rId="2578" sId="2" odxf="1" dxf="1">
    <nc r="G800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="1" sqref="H800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I800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800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79" sId="2" odxf="1" s="1" dxf="1">
    <nc r="K800">
      <f>J800/0.786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800" start="0" length="0">
    <dxf>
      <fill>
        <patternFill patternType="solid">
          <bgColor theme="8" tint="0.59999389629810485"/>
        </patternFill>
      </fill>
    </dxf>
  </rfmt>
  <rfmt sheetId="2" sqref="M800" start="0" length="0">
    <dxf>
      <fill>
        <patternFill patternType="solid">
          <bgColor theme="8" tint="0.59999389629810485"/>
        </patternFill>
      </fill>
    </dxf>
  </rfmt>
  <rfmt sheetId="2" sqref="N800" start="0" length="0">
    <dxf>
      <fill>
        <patternFill patternType="solid">
          <bgColor theme="8" tint="0.59999389629810485"/>
        </patternFill>
      </fill>
    </dxf>
  </rfmt>
  <rfmt sheetId="2" sqref="B801" start="0" length="0">
    <dxf>
      <fill>
        <patternFill patternType="solid">
          <bgColor theme="8" tint="0.59999389629810485"/>
        </patternFill>
      </fill>
    </dxf>
  </rfmt>
  <rfmt sheetId="2" sqref="C801" start="0" length="0">
    <dxf>
      <fill>
        <patternFill patternType="solid">
          <bgColor theme="8" tint="0.59999389629810485"/>
        </patternFill>
      </fill>
    </dxf>
  </rfmt>
  <rfmt sheetId="2" sqref="D801" start="0" length="0">
    <dxf>
      <fill>
        <patternFill patternType="solid">
          <bgColor theme="8" tint="0.59999389629810485"/>
        </patternFill>
      </fill>
    </dxf>
  </rfmt>
  <rcc rId="2580" sId="2" odxf="1" dxf="1">
    <nc r="E801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801" start="0" length="0">
    <dxf>
      <fill>
        <patternFill patternType="solid">
          <bgColor theme="8" tint="0.59999389629810485"/>
        </patternFill>
      </fill>
    </dxf>
  </rfmt>
  <rcc rId="2581" sId="2" odxf="1" dxf="1">
    <nc r="G801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cc rId="2582" sId="2" odxf="1" s="1" dxf="1">
    <nc r="H801">
      <f>H800-K801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="1" sqref="I801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801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83" sId="2" odxf="1" s="1" dxf="1">
    <nc r="K801">
      <f>J801/0.786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801" start="0" length="0">
    <dxf>
      <fill>
        <patternFill patternType="solid">
          <bgColor theme="8" tint="0.59999389629810485"/>
        </patternFill>
      </fill>
    </dxf>
  </rfmt>
  <rfmt sheetId="2" sqref="M801" start="0" length="0">
    <dxf>
      <fill>
        <patternFill patternType="solid">
          <bgColor theme="8" tint="0.59999389629810485"/>
        </patternFill>
      </fill>
    </dxf>
  </rfmt>
  <rfmt sheetId="2" sqref="N801" start="0" length="0">
    <dxf>
      <fill>
        <patternFill patternType="solid">
          <bgColor theme="8" tint="0.59999389629810485"/>
        </patternFill>
      </fill>
    </dxf>
  </rfmt>
  <rfmt sheetId="2" sqref="B802" start="0" length="0">
    <dxf>
      <fill>
        <patternFill patternType="solid">
          <bgColor theme="8" tint="0.59999389629810485"/>
        </patternFill>
      </fill>
    </dxf>
  </rfmt>
  <rfmt sheetId="2" sqref="C802" start="0" length="0">
    <dxf>
      <fill>
        <patternFill patternType="solid">
          <bgColor theme="8" tint="0.59999389629810485"/>
        </patternFill>
      </fill>
    </dxf>
  </rfmt>
  <rfmt sheetId="2" sqref="D802" start="0" length="0">
    <dxf>
      <fill>
        <patternFill patternType="solid">
          <bgColor theme="8" tint="0.59999389629810485"/>
        </patternFill>
      </fill>
    </dxf>
  </rfmt>
  <rcc rId="2584" sId="2" odxf="1" dxf="1">
    <nc r="E802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802" start="0" length="0">
    <dxf>
      <fill>
        <patternFill patternType="solid">
          <bgColor theme="8" tint="0.59999389629810485"/>
        </patternFill>
      </fill>
    </dxf>
  </rfmt>
  <rcc rId="2585" sId="2" odxf="1" dxf="1">
    <nc r="G802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cc rId="2586" sId="2" odxf="1" s="1" dxf="1">
    <nc r="H802">
      <f>H801-K802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="1" sqref="I802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802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87" sId="2" odxf="1" s="1" dxf="1">
    <nc r="K802">
      <f>J802/0.786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802" start="0" length="0">
    <dxf>
      <fill>
        <patternFill patternType="solid">
          <bgColor theme="8" tint="0.59999389629810485"/>
        </patternFill>
      </fill>
    </dxf>
  </rfmt>
  <rfmt sheetId="2" sqref="M802" start="0" length="0">
    <dxf>
      <fill>
        <patternFill patternType="solid">
          <bgColor theme="8" tint="0.59999389629810485"/>
        </patternFill>
      </fill>
    </dxf>
  </rfmt>
  <rfmt sheetId="2" sqref="N802" start="0" length="0">
    <dxf>
      <fill>
        <patternFill patternType="solid">
          <bgColor theme="8" tint="0.59999389629810485"/>
        </patternFill>
      </fill>
    </dxf>
  </rfmt>
  <rfmt sheetId="2" sqref="B803" start="0" length="0">
    <dxf>
      <fill>
        <patternFill patternType="solid">
          <bgColor theme="8" tint="0.59999389629810485"/>
        </patternFill>
      </fill>
    </dxf>
  </rfmt>
  <rfmt sheetId="2" sqref="C803" start="0" length="0">
    <dxf>
      <fill>
        <patternFill patternType="solid">
          <bgColor theme="8" tint="0.59999389629810485"/>
        </patternFill>
      </fill>
    </dxf>
  </rfmt>
  <rfmt sheetId="2" sqref="D803" start="0" length="0">
    <dxf>
      <fill>
        <patternFill patternType="solid">
          <bgColor theme="8" tint="0.59999389629810485"/>
        </patternFill>
      </fill>
    </dxf>
  </rfmt>
  <rcc rId="2588" sId="2" odxf="1" dxf="1">
    <nc r="E803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803" start="0" length="0">
    <dxf>
      <fill>
        <patternFill patternType="solid">
          <bgColor theme="8" tint="0.59999389629810485"/>
        </patternFill>
      </fill>
    </dxf>
  </rfmt>
  <rcc rId="2589" sId="2" odxf="1" dxf="1">
    <nc r="G803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cc rId="2590" sId="2" odxf="1" s="1" dxf="1">
    <nc r="H803">
      <f>H802-K803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="1" sqref="I80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803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91" sId="2" odxf="1" s="1" dxf="1">
    <nc r="K803">
      <f>J803/0.786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803" start="0" length="0">
    <dxf>
      <fill>
        <patternFill patternType="solid">
          <bgColor theme="8" tint="0.59999389629810485"/>
        </patternFill>
      </fill>
    </dxf>
  </rfmt>
  <rfmt sheetId="2" sqref="M803" start="0" length="0">
    <dxf>
      <fill>
        <patternFill patternType="solid">
          <bgColor theme="8" tint="0.59999389629810485"/>
        </patternFill>
      </fill>
    </dxf>
  </rfmt>
  <rfmt sheetId="2" sqref="N803" start="0" length="0">
    <dxf>
      <fill>
        <patternFill patternType="solid">
          <bgColor theme="8" tint="0.59999389629810485"/>
        </patternFill>
      </fill>
    </dxf>
  </rfmt>
  <rfmt sheetId="2" sqref="B804" start="0" length="0">
    <dxf>
      <fill>
        <patternFill patternType="solid">
          <bgColor theme="8" tint="0.59999389629810485"/>
        </patternFill>
      </fill>
    </dxf>
  </rfmt>
  <rfmt sheetId="2" sqref="C804" start="0" length="0">
    <dxf>
      <fill>
        <patternFill patternType="solid">
          <bgColor theme="8" tint="0.59999389629810485"/>
        </patternFill>
      </fill>
    </dxf>
  </rfmt>
  <rfmt sheetId="2" sqref="D804" start="0" length="0">
    <dxf>
      <fill>
        <patternFill patternType="solid">
          <bgColor theme="8" tint="0.59999389629810485"/>
        </patternFill>
      </fill>
    </dxf>
  </rfmt>
  <rcc rId="2592" sId="2" odxf="1" dxf="1">
    <nc r="E804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804" start="0" length="0">
    <dxf>
      <fill>
        <patternFill patternType="solid">
          <bgColor theme="8" tint="0.59999389629810485"/>
        </patternFill>
      </fill>
    </dxf>
  </rfmt>
  <rcc rId="2593" sId="2" odxf="1" dxf="1">
    <nc r="G804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cc rId="2594" sId="2" odxf="1" s="1" dxf="1">
    <nc r="H804">
      <f>H803-K804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="1" sqref="I804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804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95" sId="2" odxf="1" s="1" dxf="1">
    <nc r="K804">
      <f>J804/0.786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804" start="0" length="0">
    <dxf>
      <fill>
        <patternFill patternType="solid">
          <bgColor theme="8" tint="0.59999389629810485"/>
        </patternFill>
      </fill>
    </dxf>
  </rfmt>
  <rfmt sheetId="2" sqref="M804" start="0" length="0">
    <dxf>
      <fill>
        <patternFill patternType="solid">
          <bgColor theme="8" tint="0.59999389629810485"/>
        </patternFill>
      </fill>
    </dxf>
  </rfmt>
  <rfmt sheetId="2" sqref="N804" start="0" length="0">
    <dxf>
      <fill>
        <patternFill patternType="solid">
          <bgColor theme="8" tint="0.59999389629810485"/>
        </patternFill>
      </fill>
    </dxf>
  </rfmt>
  <rfmt sheetId="2" sqref="B805" start="0" length="0">
    <dxf>
      <fill>
        <patternFill patternType="solid">
          <bgColor theme="8" tint="0.59999389629810485"/>
        </patternFill>
      </fill>
    </dxf>
  </rfmt>
  <rfmt sheetId="2" sqref="C805" start="0" length="0">
    <dxf>
      <fill>
        <patternFill patternType="solid">
          <bgColor theme="8" tint="0.59999389629810485"/>
        </patternFill>
      </fill>
    </dxf>
  </rfmt>
  <rfmt sheetId="2" sqref="D805" start="0" length="0">
    <dxf>
      <fill>
        <patternFill patternType="solid">
          <bgColor theme="8" tint="0.59999389629810485"/>
        </patternFill>
      </fill>
    </dxf>
  </rfmt>
  <rcc rId="2596" sId="2" odxf="1" dxf="1">
    <nc r="E805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805" start="0" length="0">
    <dxf>
      <fill>
        <patternFill patternType="solid">
          <bgColor theme="8" tint="0.59999389629810485"/>
        </patternFill>
      </fill>
    </dxf>
  </rfmt>
  <rcc rId="2597" sId="2" odxf="1" dxf="1">
    <nc r="G805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cc rId="2598" sId="2" odxf="1" s="1" dxf="1">
    <nc r="H805">
      <f>H804-K805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79" formatCode="0_);[Red]\(0\)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="1" sqref="I805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805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599" sId="2" odxf="1" s="1" dxf="1">
    <nc r="K805">
      <f>J805/0.786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805" start="0" length="0">
    <dxf>
      <fill>
        <patternFill patternType="solid">
          <bgColor theme="8" tint="0.59999389629810485"/>
        </patternFill>
      </fill>
    </dxf>
  </rfmt>
  <rfmt sheetId="2" sqref="M805" start="0" length="0">
    <dxf>
      <fill>
        <patternFill patternType="solid">
          <bgColor theme="8" tint="0.59999389629810485"/>
        </patternFill>
      </fill>
    </dxf>
  </rfmt>
  <rfmt sheetId="2" sqref="N805" start="0" length="0">
    <dxf>
      <fill>
        <patternFill patternType="solid">
          <bgColor theme="8" tint="0.59999389629810485"/>
        </patternFill>
      </fill>
    </dxf>
  </rfmt>
  <rcc rId="2600" sId="2">
    <nc r="H796">
      <f>H795-K796</f>
    </nc>
  </rcc>
  <rcc rId="2601" sId="2">
    <nc r="H797">
      <f>H796-K797</f>
    </nc>
  </rcc>
  <rcc rId="2602" sId="2">
    <nc r="H798">
      <f>H797-K798</f>
    </nc>
  </rcc>
  <rcc rId="2603" sId="2">
    <nc r="H800">
      <f>H799-K800</f>
    </nc>
  </rcc>
  <rfmt sheetId="2" sqref="B806" start="0" length="0">
    <dxf>
      <fill>
        <patternFill patternType="solid">
          <bgColor theme="8" tint="0.59999389629810485"/>
        </patternFill>
      </fill>
    </dxf>
  </rfmt>
  <rfmt sheetId="2" sqref="C806" start="0" length="0">
    <dxf>
      <fill>
        <patternFill patternType="solid">
          <bgColor theme="8" tint="0.59999389629810485"/>
        </patternFill>
      </fill>
    </dxf>
  </rfmt>
  <rfmt sheetId="2" sqref="D806" start="0" length="0">
    <dxf>
      <fill>
        <patternFill patternType="solid">
          <bgColor theme="8" tint="0.59999389629810485"/>
        </patternFill>
      </fill>
    </dxf>
  </rfmt>
  <rcc rId="2604" sId="2" odxf="1" dxf="1">
    <nc r="E806" t="inlineStr">
      <is>
        <t>15P6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qref="F806" start="0" length="0">
    <dxf>
      <fill>
        <patternFill patternType="solid">
          <bgColor theme="8" tint="0.59999389629810485"/>
        </patternFill>
      </fill>
    </dxf>
  </rfmt>
  <rcc rId="2605" sId="2" odxf="1" dxf="1">
    <nc r="G806" t="inlineStr">
      <is>
        <t>4800384805/300</t>
        <phoneticPr fontId="591" type="noConversion"/>
      </is>
    </nc>
    <odxf>
      <fill>
        <patternFill patternType="none">
          <bgColor indexed="65"/>
        </patternFill>
      </fill>
    </odxf>
    <ndxf>
      <fill>
        <patternFill patternType="solid">
          <bgColor theme="8" tint="0.59999389629810485"/>
        </patternFill>
      </fill>
    </ndxf>
  </rcc>
  <rfmt sheetId="2" s="1" sqref="H806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I806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fmt sheetId="2" s="1" sqref="J806" start="0" length="0">
    <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dxf>
  </rfmt>
  <rcc rId="2606" sId="2" odxf="1" s="1" dxf="1">
    <nc r="K806">
      <f>J806/0.786</f>
    </nc>
    <o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1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odxf>
    <ndxf>
      <font>
        <sz val="10"/>
        <color auto="1"/>
        <name val="Arial"/>
        <scheme val="none"/>
      </font>
      <numFmt numFmtId="178" formatCode="_-* #,##0_-;\-* #,##0_-;_-* &quot;-&quot;??_-;_-@_-"/>
      <fill>
        <patternFill patternType="solid">
          <bgColor theme="8" tint="0.59999389629810485"/>
        </patternFill>
      </fill>
    </ndxf>
  </rcc>
  <rfmt sheetId="2" sqref="L806" start="0" length="0">
    <dxf>
      <fill>
        <patternFill patternType="solid">
          <bgColor theme="8" tint="0.59999389629810485"/>
        </patternFill>
      </fill>
    </dxf>
  </rfmt>
  <rfmt sheetId="2" sqref="M806" start="0" length="0">
    <dxf>
      <fill>
        <patternFill patternType="solid">
          <bgColor theme="8" tint="0.59999389629810485"/>
        </patternFill>
      </fill>
    </dxf>
  </rfmt>
  <rfmt sheetId="2" sqref="N806" start="0" length="0">
    <dxf>
      <fill>
        <patternFill patternType="solid">
          <bgColor theme="8" tint="0.59999389629810485"/>
        </patternFill>
      </fill>
    </dxf>
  </rfmt>
  <rcc rId="2607" sId="2">
    <nc r="H806">
      <f>H805-K806</f>
    </nc>
  </rcc>
  <rcc rId="2608" sId="2" numFmtId="19">
    <nc r="B795">
      <v>46283</v>
    </nc>
  </rcc>
  <rcc rId="2609" sId="2" numFmtId="19">
    <nc r="B796">
      <v>46283</v>
    </nc>
  </rcc>
  <rcc rId="2610" sId="2" numFmtId="19">
    <nc r="B797">
      <v>46284</v>
    </nc>
  </rcc>
  <rcc rId="2611" sId="2" numFmtId="19">
    <nc r="B798">
      <v>46284</v>
    </nc>
  </rcc>
  <rcc rId="2612" sId="2" numFmtId="19">
    <nc r="B799">
      <v>46285</v>
    </nc>
  </rcc>
  <rcc rId="2613" sId="2" numFmtId="19">
    <nc r="B800">
      <v>46285</v>
    </nc>
  </rcc>
  <rcc rId="2614" sId="2" numFmtId="19">
    <nc r="B801">
      <v>46286</v>
    </nc>
  </rcc>
  <rcc rId="2615" sId="2" numFmtId="19">
    <nc r="B802">
      <v>46286</v>
    </nc>
  </rcc>
  <rcc rId="2616" sId="2" numFmtId="19">
    <nc r="B803">
      <v>46287</v>
    </nc>
  </rcc>
  <rcc rId="2617" sId="2" numFmtId="19">
    <nc r="B804">
      <v>46287</v>
    </nc>
  </rcc>
  <rcc rId="2618" sId="2" numFmtId="19">
    <nc r="B805">
      <v>46288</v>
    </nc>
  </rcc>
  <rcc rId="2619" sId="2" numFmtId="19">
    <nc r="B806">
      <v>46288</v>
    </nc>
  </rcc>
</revisions>
</file>

<file path=xl/revisions/revisionLog1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20" sId="4">
    <nc r="F171">
      <v>20260915031</v>
    </nc>
  </rcc>
  <rcc rId="2621" sId="4">
    <nc r="F172">
      <v>20260915032</v>
    </nc>
  </rcc>
  <rcc rId="2622" sId="2">
    <nc r="F780">
      <v>20260915004</v>
    </nc>
  </rcc>
  <rcc rId="2623" sId="2">
    <nc r="F781">
      <v>20260915005</v>
    </nc>
  </rcc>
  <rcc rId="2624" sId="2">
    <nc r="F782">
      <v>20260915006</v>
    </nc>
  </rcc>
  <rcc rId="2625" sId="2">
    <nc r="F783">
      <v>20260915007</v>
    </nc>
  </rcc>
  <rcc rId="2626" sId="2">
    <nc r="F784">
      <v>20260915008</v>
    </nc>
  </rcc>
  <rcc rId="2627" sId="2">
    <nc r="F785">
      <v>20260915009</v>
    </nc>
  </rcc>
  <rcc rId="2628" sId="2">
    <nc r="F786">
      <v>20260915010</v>
    </nc>
  </rcc>
  <rcc rId="2629" sId="2">
    <nc r="F787">
      <v>20260915011</v>
    </nc>
  </rcc>
  <rcc rId="2630" sId="2">
    <nc r="F788">
      <v>20260915012</v>
    </nc>
  </rcc>
  <rcc rId="2631" sId="2">
    <nc r="F789">
      <v>20260915013</v>
    </nc>
  </rcc>
  <rcc rId="2632" sId="2">
    <nc r="F790">
      <v>20260915014</v>
    </nc>
  </rcc>
  <rcc rId="2633" sId="2">
    <nc r="F791">
      <v>20260915015</v>
    </nc>
  </rcc>
  <rcc rId="2634" sId="2">
    <nc r="F792">
      <v>20260915016</v>
    </nc>
  </rcc>
  <rcc rId="2635" sId="2">
    <nc r="F793">
      <v>20260915017</v>
    </nc>
  </rcc>
  <rcc rId="2636" sId="2">
    <nc r="F794">
      <v>20260915018</v>
    </nc>
  </rcc>
  <rcc rId="2637" sId="2">
    <nc r="F795">
      <v>20260915019</v>
    </nc>
  </rcc>
  <rcc rId="2638" sId="2">
    <nc r="F796">
      <v>20260915020</v>
    </nc>
  </rcc>
  <rcc rId="2639" sId="2">
    <nc r="F797">
      <v>20260915021</v>
    </nc>
  </rcc>
  <rcc rId="2640" sId="2">
    <nc r="F798">
      <v>20260915022</v>
    </nc>
  </rcc>
  <rcc rId="2641" sId="2">
    <nc r="F799">
      <v>20260915023</v>
    </nc>
  </rcc>
  <rcc rId="2642" sId="2">
    <nc r="F800">
      <v>20260915024</v>
    </nc>
  </rcc>
  <rcc rId="2643" sId="2">
    <nc r="F801">
      <v>20260915025</v>
    </nc>
  </rcc>
  <rcc rId="2644" sId="2">
    <nc r="F802">
      <v>20260915026</v>
    </nc>
  </rcc>
  <rcc rId="2645" sId="2">
    <nc r="F803">
      <v>20260915027</v>
    </nc>
  </rcc>
  <rcc rId="2646" sId="2">
    <nc r="F804">
      <v>20260915028</v>
    </nc>
  </rcc>
  <rcc rId="2647" sId="2">
    <nc r="F805">
      <v>20260915029</v>
    </nc>
  </rcc>
  <rcc rId="2648" sId="2">
    <nc r="F806">
      <v>20260915030</v>
    </nc>
  </rcc>
</revisions>
</file>

<file path=xl/revisions/revisionLog1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49" sId="2" numFmtId="19">
    <oc r="B777">
      <v>46281</v>
    </oc>
    <nc r="B777">
      <v>46282</v>
    </nc>
  </rcc>
  <rrc rId="2650" sId="2" ref="A778:XFD778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51" sheetId="2" source="A781:XFD781" destination="A778:XFD778" sourceSheetId="2">
    <rfmt sheetId="2" xfDxf="1" sqref="A778:XFD778" start="0" length="0">
      <dxf>
        <font>
          <sz val="10"/>
          <name val="Arial"/>
          <scheme val="none"/>
        </font>
        <alignment horizontal="center" readingOrder="0"/>
      </dxf>
    </rfmt>
    <rfmt sheetId="2" sqref="A77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8" start="0" length="0">
      <dxf>
        <numFmt numFmtId="176" formatCode="m/d;@"/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8" start="0" length="0">
      <dxf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8" start="0" length="0">
      <dxf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8" start="0" length="0">
      <dxf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8" start="0" length="0">
      <dxf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8" start="0" length="0">
      <dxf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7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7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7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7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8" start="0" length="0">
      <dxf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8" start="0" length="0">
      <dxf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8" start="0" length="0">
      <dxf>
        <numFmt numFmtId="25" formatCode="hh:mm"/>
        <fill>
          <patternFill patternType="solid">
            <bgColor theme="5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8" start="0" length="0">
      <dxf>
        <numFmt numFmtId="176" formatCode="m/d;@"/>
      </dxf>
    </rfmt>
    <rfmt sheetId="2" sqref="P77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8" start="0" length="0">
      <dxf/>
    </rfmt>
    <rfmt sheetId="2" sqref="U778" start="0" length="0">
      <dxf/>
    </rfmt>
    <rfmt sheetId="2" sqref="V778" start="0" length="0">
      <dxf/>
    </rfmt>
    <rfmt sheetId="2" sqref="W778" start="0" length="0">
      <dxf/>
    </rfmt>
    <rfmt sheetId="2" sqref="X778" start="0" length="0">
      <dxf/>
    </rfmt>
    <rfmt sheetId="2" sqref="Y778" start="0" length="0">
      <dxf/>
    </rfmt>
    <rfmt sheetId="2" sqref="Z778" start="0" length="0">
      <dxf/>
    </rfmt>
    <rfmt sheetId="2" sqref="AA778" start="0" length="0">
      <dxf/>
    </rfmt>
    <rfmt sheetId="2" sqref="AB778" start="0" length="0">
      <dxf/>
    </rfmt>
    <rfmt sheetId="2" sqref="AC778" start="0" length="0">
      <dxf/>
    </rfmt>
    <rfmt sheetId="2" sqref="AD778" start="0" length="0">
      <dxf/>
    </rfmt>
    <rfmt sheetId="2" sqref="AE778" start="0" length="0">
      <dxf/>
    </rfmt>
    <rfmt sheetId="2" sqref="AF778" start="0" length="0">
      <dxf/>
    </rfmt>
    <rfmt sheetId="2" sqref="AG778" start="0" length="0">
      <dxf/>
    </rfmt>
    <rfmt sheetId="2" sqref="AH778" start="0" length="0">
      <dxf/>
    </rfmt>
    <rfmt sheetId="2" sqref="AI778" start="0" length="0">
      <dxf/>
    </rfmt>
    <rfmt sheetId="2" sqref="AJ778" start="0" length="0">
      <dxf/>
    </rfmt>
    <rfmt sheetId="2" sqref="AK778" start="0" length="0">
      <dxf/>
    </rfmt>
    <rfmt sheetId="2" sqref="AL778" start="0" length="0">
      <dxf/>
    </rfmt>
    <rfmt sheetId="2" sqref="AM778" start="0" length="0">
      <dxf/>
    </rfmt>
    <rfmt sheetId="2" sqref="AN778" start="0" length="0">
      <dxf/>
    </rfmt>
    <rfmt sheetId="2" sqref="AO778" start="0" length="0">
      <dxf/>
    </rfmt>
    <rfmt sheetId="2" sqref="AP778" start="0" length="0">
      <dxf/>
    </rfmt>
    <rfmt sheetId="2" sqref="AQ778" start="0" length="0">
      <dxf/>
    </rfmt>
    <rfmt sheetId="2" sqref="AR778" start="0" length="0">
      <dxf/>
    </rfmt>
    <rfmt sheetId="2" sqref="AS778" start="0" length="0">
      <dxf/>
    </rfmt>
    <rfmt sheetId="2" sqref="AT778" start="0" length="0">
      <dxf/>
    </rfmt>
    <rfmt sheetId="2" sqref="AU778" start="0" length="0">
      <dxf/>
    </rfmt>
    <rfmt sheetId="2" sqref="AV778" start="0" length="0">
      <dxf/>
    </rfmt>
    <rfmt sheetId="2" sqref="AW778" start="0" length="0">
      <dxf/>
    </rfmt>
    <rfmt sheetId="2" sqref="AX778" start="0" length="0">
      <dxf/>
    </rfmt>
    <rfmt sheetId="2" sqref="AY778" start="0" length="0">
      <dxf/>
    </rfmt>
    <rfmt sheetId="2" sqref="AZ778" start="0" length="0">
      <dxf/>
    </rfmt>
    <rfmt sheetId="2" sqref="BA778" start="0" length="0">
      <dxf/>
    </rfmt>
    <rfmt sheetId="2" sqref="BB778" start="0" length="0">
      <dxf/>
    </rfmt>
    <rfmt sheetId="2" sqref="BC778" start="0" length="0">
      <dxf/>
    </rfmt>
    <rfmt sheetId="2" sqref="BD778" start="0" length="0">
      <dxf/>
    </rfmt>
    <rfmt sheetId="2" sqref="BE778" start="0" length="0">
      <dxf/>
    </rfmt>
    <rfmt sheetId="2" sqref="BF778" start="0" length="0">
      <dxf/>
    </rfmt>
    <rfmt sheetId="2" sqref="BG778" start="0" length="0">
      <dxf/>
    </rfmt>
    <rfmt sheetId="2" sqref="BH778" start="0" length="0">
      <dxf/>
    </rfmt>
    <rfmt sheetId="2" sqref="BI778" start="0" length="0">
      <dxf/>
    </rfmt>
    <rfmt sheetId="2" sqref="BJ778" start="0" length="0">
      <dxf/>
    </rfmt>
    <rfmt sheetId="2" sqref="BK778" start="0" length="0">
      <dxf/>
    </rfmt>
    <rfmt sheetId="2" sqref="BL778" start="0" length="0">
      <dxf/>
    </rfmt>
    <rfmt sheetId="2" sqref="BM778" start="0" length="0">
      <dxf/>
    </rfmt>
    <rfmt sheetId="2" sqref="BN778" start="0" length="0">
      <dxf/>
    </rfmt>
    <rfmt sheetId="2" sqref="BO778" start="0" length="0">
      <dxf/>
    </rfmt>
    <rfmt sheetId="2" sqref="BP778" start="0" length="0">
      <dxf/>
    </rfmt>
    <rfmt sheetId="2" sqref="BQ778" start="0" length="0">
      <dxf/>
    </rfmt>
    <rfmt sheetId="2" sqref="BR778" start="0" length="0">
      <dxf/>
    </rfmt>
    <rfmt sheetId="2" sqref="BS778" start="0" length="0">
      <dxf/>
    </rfmt>
    <rfmt sheetId="2" sqref="BT778" start="0" length="0">
      <dxf/>
    </rfmt>
    <rfmt sheetId="2" sqref="BU778" start="0" length="0">
      <dxf/>
    </rfmt>
    <rfmt sheetId="2" sqref="BV778" start="0" length="0">
      <dxf/>
    </rfmt>
    <rfmt sheetId="2" sqref="BW778" start="0" length="0">
      <dxf/>
    </rfmt>
    <rfmt sheetId="2" sqref="BX778" start="0" length="0">
      <dxf/>
    </rfmt>
    <rfmt sheetId="2" sqref="BY778" start="0" length="0">
      <dxf/>
    </rfmt>
    <rfmt sheetId="2" sqref="BZ778" start="0" length="0">
      <dxf/>
    </rfmt>
    <rfmt sheetId="2" sqref="CA778" start="0" length="0">
      <dxf/>
    </rfmt>
    <rfmt sheetId="2" sqref="CB778" start="0" length="0">
      <dxf/>
    </rfmt>
    <rfmt sheetId="2" sqref="CC778" start="0" length="0">
      <dxf/>
    </rfmt>
    <rfmt sheetId="2" sqref="CD778" start="0" length="0">
      <dxf/>
    </rfmt>
    <rfmt sheetId="2" sqref="CE778" start="0" length="0">
      <dxf/>
    </rfmt>
    <rfmt sheetId="2" sqref="CF778" start="0" length="0">
      <dxf/>
    </rfmt>
    <rfmt sheetId="2" sqref="CG778" start="0" length="0">
      <dxf/>
    </rfmt>
    <rfmt sheetId="2" sqref="CH778" start="0" length="0">
      <dxf/>
    </rfmt>
    <rfmt sheetId="2" sqref="CI778" start="0" length="0">
      <dxf/>
    </rfmt>
    <rfmt sheetId="2" sqref="CJ778" start="0" length="0">
      <dxf/>
    </rfmt>
    <rfmt sheetId="2" sqref="CK778" start="0" length="0">
      <dxf/>
    </rfmt>
    <rfmt sheetId="2" sqref="CL778" start="0" length="0">
      <dxf/>
    </rfmt>
    <rfmt sheetId="2" sqref="CM778" start="0" length="0">
      <dxf/>
    </rfmt>
    <rfmt sheetId="2" sqref="CN778" start="0" length="0">
      <dxf/>
    </rfmt>
    <rfmt sheetId="2" sqref="CO778" start="0" length="0">
      <dxf/>
    </rfmt>
    <rfmt sheetId="2" sqref="CP778" start="0" length="0">
      <dxf/>
    </rfmt>
    <rfmt sheetId="2" sqref="CQ778" start="0" length="0">
      <dxf/>
    </rfmt>
    <rfmt sheetId="2" sqref="CR778" start="0" length="0">
      <dxf/>
    </rfmt>
    <rfmt sheetId="2" sqref="CS778" start="0" length="0">
      <dxf/>
    </rfmt>
    <rfmt sheetId="2" sqref="CT778" start="0" length="0">
      <dxf/>
    </rfmt>
    <rfmt sheetId="2" sqref="CU778" start="0" length="0">
      <dxf/>
    </rfmt>
    <rfmt sheetId="2" sqref="CV778" start="0" length="0">
      <dxf/>
    </rfmt>
    <rfmt sheetId="2" sqref="CW778" start="0" length="0">
      <dxf/>
    </rfmt>
    <rfmt sheetId="2" sqref="CX778" start="0" length="0">
      <dxf/>
    </rfmt>
    <rfmt sheetId="2" sqref="CY778" start="0" length="0">
      <dxf/>
    </rfmt>
    <rfmt sheetId="2" sqref="CZ778" start="0" length="0">
      <dxf/>
    </rfmt>
    <rfmt sheetId="2" sqref="DA778" start="0" length="0">
      <dxf/>
    </rfmt>
    <rfmt sheetId="2" sqref="DB778" start="0" length="0">
      <dxf/>
    </rfmt>
    <rfmt sheetId="2" sqref="DC778" start="0" length="0">
      <dxf/>
    </rfmt>
    <rfmt sheetId="2" sqref="DD778" start="0" length="0">
      <dxf/>
    </rfmt>
    <rfmt sheetId="2" sqref="DE778" start="0" length="0">
      <dxf/>
    </rfmt>
    <rfmt sheetId="2" sqref="DF778" start="0" length="0">
      <dxf/>
    </rfmt>
    <rfmt sheetId="2" sqref="DG778" start="0" length="0">
      <dxf/>
    </rfmt>
    <rfmt sheetId="2" sqref="DH778" start="0" length="0">
      <dxf/>
    </rfmt>
    <rfmt sheetId="2" sqref="DI778" start="0" length="0">
      <dxf/>
    </rfmt>
    <rfmt sheetId="2" sqref="DJ778" start="0" length="0">
      <dxf/>
    </rfmt>
    <rfmt sheetId="2" sqref="DK778" start="0" length="0">
      <dxf/>
    </rfmt>
    <rfmt sheetId="2" sqref="DL778" start="0" length="0">
      <dxf/>
    </rfmt>
    <rfmt sheetId="2" sqref="DM778" start="0" length="0">
      <dxf/>
    </rfmt>
    <rfmt sheetId="2" sqref="DN778" start="0" length="0">
      <dxf/>
    </rfmt>
    <rfmt sheetId="2" sqref="DO778" start="0" length="0">
      <dxf/>
    </rfmt>
    <rfmt sheetId="2" sqref="DP778" start="0" length="0">
      <dxf/>
    </rfmt>
    <rfmt sheetId="2" sqref="DQ778" start="0" length="0">
      <dxf/>
    </rfmt>
    <rfmt sheetId="2" sqref="DR778" start="0" length="0">
      <dxf/>
    </rfmt>
    <rfmt sheetId="2" sqref="DS778" start="0" length="0">
      <dxf/>
    </rfmt>
    <rfmt sheetId="2" sqref="DT778" start="0" length="0">
      <dxf/>
    </rfmt>
    <rfmt sheetId="2" sqref="DU778" start="0" length="0">
      <dxf/>
    </rfmt>
    <rfmt sheetId="2" sqref="DV778" start="0" length="0">
      <dxf/>
    </rfmt>
    <rfmt sheetId="2" sqref="DW778" start="0" length="0">
      <dxf/>
    </rfmt>
    <rfmt sheetId="2" sqref="DX778" start="0" length="0">
      <dxf/>
    </rfmt>
    <rfmt sheetId="2" sqref="DY778" start="0" length="0">
      <dxf/>
    </rfmt>
    <rfmt sheetId="2" sqref="DZ778" start="0" length="0">
      <dxf/>
    </rfmt>
    <rfmt sheetId="2" sqref="EA778" start="0" length="0">
      <dxf/>
    </rfmt>
    <rfmt sheetId="2" sqref="EB778" start="0" length="0">
      <dxf/>
    </rfmt>
    <rfmt sheetId="2" sqref="EC778" start="0" length="0">
      <dxf/>
    </rfmt>
    <rfmt sheetId="2" sqref="ED778" start="0" length="0">
      <dxf/>
    </rfmt>
    <rfmt sheetId="2" sqref="EE778" start="0" length="0">
      <dxf/>
    </rfmt>
    <rfmt sheetId="2" sqref="EF778" start="0" length="0">
      <dxf/>
    </rfmt>
    <rfmt sheetId="2" sqref="EG778" start="0" length="0">
      <dxf/>
    </rfmt>
    <rfmt sheetId="2" sqref="EH778" start="0" length="0">
      <dxf/>
    </rfmt>
    <rfmt sheetId="2" sqref="EI778" start="0" length="0">
      <dxf/>
    </rfmt>
    <rfmt sheetId="2" sqref="EJ778" start="0" length="0">
      <dxf/>
    </rfmt>
    <rfmt sheetId="2" sqref="EK778" start="0" length="0">
      <dxf/>
    </rfmt>
    <rfmt sheetId="2" sqref="EL778" start="0" length="0">
      <dxf/>
    </rfmt>
    <rfmt sheetId="2" sqref="EM778" start="0" length="0">
      <dxf/>
    </rfmt>
    <rfmt sheetId="2" sqref="EN778" start="0" length="0">
      <dxf/>
    </rfmt>
    <rfmt sheetId="2" sqref="EO778" start="0" length="0">
      <dxf/>
    </rfmt>
    <rfmt sheetId="2" sqref="EP778" start="0" length="0">
      <dxf/>
    </rfmt>
    <rfmt sheetId="2" sqref="EQ778" start="0" length="0">
      <dxf/>
    </rfmt>
    <rfmt sheetId="2" sqref="ER778" start="0" length="0">
      <dxf/>
    </rfmt>
    <rfmt sheetId="2" sqref="ES778" start="0" length="0">
      <dxf/>
    </rfmt>
    <rfmt sheetId="2" sqref="ET778" start="0" length="0">
      <dxf/>
    </rfmt>
    <rfmt sheetId="2" sqref="EU778" start="0" length="0">
      <dxf/>
    </rfmt>
    <rfmt sheetId="2" sqref="EV778" start="0" length="0">
      <dxf/>
    </rfmt>
    <rfmt sheetId="2" sqref="EW778" start="0" length="0">
      <dxf/>
    </rfmt>
    <rfmt sheetId="2" sqref="EX778" start="0" length="0">
      <dxf/>
    </rfmt>
    <rfmt sheetId="2" sqref="EY778" start="0" length="0">
      <dxf/>
    </rfmt>
    <rfmt sheetId="2" sqref="EZ778" start="0" length="0">
      <dxf/>
    </rfmt>
    <rfmt sheetId="2" sqref="FA778" start="0" length="0">
      <dxf/>
    </rfmt>
    <rfmt sheetId="2" sqref="FB778" start="0" length="0">
      <dxf/>
    </rfmt>
    <rfmt sheetId="2" sqref="FC778" start="0" length="0">
      <dxf/>
    </rfmt>
    <rfmt sheetId="2" sqref="FD778" start="0" length="0">
      <dxf/>
    </rfmt>
    <rfmt sheetId="2" sqref="FE778" start="0" length="0">
      <dxf/>
    </rfmt>
    <rfmt sheetId="2" sqref="FF778" start="0" length="0">
      <dxf/>
    </rfmt>
    <rfmt sheetId="2" sqref="FG778" start="0" length="0">
      <dxf/>
    </rfmt>
    <rfmt sheetId="2" sqref="FH778" start="0" length="0">
      <dxf/>
    </rfmt>
    <rfmt sheetId="2" sqref="FI778" start="0" length="0">
      <dxf/>
    </rfmt>
    <rfmt sheetId="2" sqref="FJ778" start="0" length="0">
      <dxf/>
    </rfmt>
    <rfmt sheetId="2" sqref="FK778" start="0" length="0">
      <dxf/>
    </rfmt>
    <rfmt sheetId="2" sqref="FL778" start="0" length="0">
      <dxf/>
    </rfmt>
    <rfmt sheetId="2" sqref="FM778" start="0" length="0">
      <dxf/>
    </rfmt>
    <rfmt sheetId="2" sqref="FN778" start="0" length="0">
      <dxf/>
    </rfmt>
    <rfmt sheetId="2" sqref="FO778" start="0" length="0">
      <dxf/>
    </rfmt>
    <rfmt sheetId="2" sqref="FP778" start="0" length="0">
      <dxf/>
    </rfmt>
    <rfmt sheetId="2" sqref="FQ778" start="0" length="0">
      <dxf/>
    </rfmt>
    <rfmt sheetId="2" sqref="FR778" start="0" length="0">
      <dxf/>
    </rfmt>
    <rfmt sheetId="2" sqref="FS778" start="0" length="0">
      <dxf/>
    </rfmt>
    <rfmt sheetId="2" sqref="FT778" start="0" length="0">
      <dxf/>
    </rfmt>
    <rfmt sheetId="2" sqref="FU778" start="0" length="0">
      <dxf/>
    </rfmt>
    <rfmt sheetId="2" sqref="FV778" start="0" length="0">
      <dxf/>
    </rfmt>
    <rfmt sheetId="2" sqref="FW778" start="0" length="0">
      <dxf/>
    </rfmt>
    <rfmt sheetId="2" sqref="FX778" start="0" length="0">
      <dxf/>
    </rfmt>
    <rfmt sheetId="2" sqref="FY778" start="0" length="0">
      <dxf/>
    </rfmt>
    <rfmt sheetId="2" sqref="FZ778" start="0" length="0">
      <dxf/>
    </rfmt>
    <rfmt sheetId="2" sqref="GA778" start="0" length="0">
      <dxf/>
    </rfmt>
    <rfmt sheetId="2" sqref="GB778" start="0" length="0">
      <dxf/>
    </rfmt>
    <rfmt sheetId="2" sqref="GC778" start="0" length="0">
      <dxf/>
    </rfmt>
    <rfmt sheetId="2" sqref="GD778" start="0" length="0">
      <dxf/>
    </rfmt>
    <rfmt sheetId="2" sqref="GE778" start="0" length="0">
      <dxf/>
    </rfmt>
    <rfmt sheetId="2" sqref="GF778" start="0" length="0">
      <dxf/>
    </rfmt>
    <rfmt sheetId="2" sqref="GG778" start="0" length="0">
      <dxf/>
    </rfmt>
    <rfmt sheetId="2" sqref="GH778" start="0" length="0">
      <dxf/>
    </rfmt>
    <rfmt sheetId="2" sqref="GI778" start="0" length="0">
      <dxf/>
    </rfmt>
    <rfmt sheetId="2" sqref="GJ778" start="0" length="0">
      <dxf/>
    </rfmt>
    <rfmt sheetId="2" sqref="GK778" start="0" length="0">
      <dxf/>
    </rfmt>
    <rfmt sheetId="2" sqref="GL778" start="0" length="0">
      <dxf/>
    </rfmt>
    <rfmt sheetId="2" sqref="GM778" start="0" length="0">
      <dxf/>
    </rfmt>
    <rfmt sheetId="2" sqref="GN778" start="0" length="0">
      <dxf/>
    </rfmt>
    <rfmt sheetId="2" sqref="GO778" start="0" length="0">
      <dxf/>
    </rfmt>
    <rfmt sheetId="2" sqref="GP778" start="0" length="0">
      <dxf/>
    </rfmt>
    <rfmt sheetId="2" sqref="GQ778" start="0" length="0">
      <dxf/>
    </rfmt>
    <rfmt sheetId="2" sqref="GR778" start="0" length="0">
      <dxf/>
    </rfmt>
    <rfmt sheetId="2" sqref="GS778" start="0" length="0">
      <dxf/>
    </rfmt>
    <rfmt sheetId="2" sqref="GT778" start="0" length="0">
      <dxf/>
    </rfmt>
    <rfmt sheetId="2" sqref="GU778" start="0" length="0">
      <dxf/>
    </rfmt>
    <rfmt sheetId="2" sqref="GV778" start="0" length="0">
      <dxf/>
    </rfmt>
    <rfmt sheetId="2" sqref="GW778" start="0" length="0">
      <dxf/>
    </rfmt>
    <rfmt sheetId="2" sqref="GX778" start="0" length="0">
      <dxf/>
    </rfmt>
    <rfmt sheetId="2" sqref="GY778" start="0" length="0">
      <dxf/>
    </rfmt>
    <rfmt sheetId="2" sqref="GZ778" start="0" length="0">
      <dxf/>
    </rfmt>
    <rfmt sheetId="2" sqref="HA778" start="0" length="0">
      <dxf/>
    </rfmt>
    <rfmt sheetId="2" sqref="HB778" start="0" length="0">
      <dxf/>
    </rfmt>
    <rfmt sheetId="2" sqref="HC778" start="0" length="0">
      <dxf/>
    </rfmt>
    <rfmt sheetId="2" sqref="HD778" start="0" length="0">
      <dxf/>
    </rfmt>
    <rfmt sheetId="2" sqref="HE778" start="0" length="0">
      <dxf/>
    </rfmt>
    <rfmt sheetId="2" sqref="HF778" start="0" length="0">
      <dxf/>
    </rfmt>
    <rfmt sheetId="2" sqref="HG778" start="0" length="0">
      <dxf/>
    </rfmt>
    <rfmt sheetId="2" sqref="HH778" start="0" length="0">
      <dxf/>
    </rfmt>
    <rfmt sheetId="2" sqref="HI778" start="0" length="0">
      <dxf/>
    </rfmt>
    <rfmt sheetId="2" sqref="HJ778" start="0" length="0">
      <dxf/>
    </rfmt>
    <rfmt sheetId="2" sqref="HK778" start="0" length="0">
      <dxf/>
    </rfmt>
    <rfmt sheetId="2" sqref="HL778" start="0" length="0">
      <dxf/>
    </rfmt>
    <rfmt sheetId="2" sqref="HM778" start="0" length="0">
      <dxf/>
    </rfmt>
    <rfmt sheetId="2" sqref="HN778" start="0" length="0">
      <dxf/>
    </rfmt>
    <rfmt sheetId="2" sqref="HO778" start="0" length="0">
      <dxf/>
    </rfmt>
    <rfmt sheetId="2" sqref="HP778" start="0" length="0">
      <dxf/>
    </rfmt>
    <rfmt sheetId="2" sqref="HQ778" start="0" length="0">
      <dxf/>
    </rfmt>
    <rfmt sheetId="2" sqref="HR778" start="0" length="0">
      <dxf/>
    </rfmt>
    <rfmt sheetId="2" sqref="HS778" start="0" length="0">
      <dxf/>
    </rfmt>
    <rfmt sheetId="2" sqref="HT778" start="0" length="0">
      <dxf/>
    </rfmt>
    <rfmt sheetId="2" sqref="HU778" start="0" length="0">
      <dxf/>
    </rfmt>
    <rfmt sheetId="2" sqref="HV778" start="0" length="0">
      <dxf/>
    </rfmt>
    <rfmt sheetId="2" sqref="HW778" start="0" length="0">
      <dxf/>
    </rfmt>
    <rfmt sheetId="2" sqref="HX778" start="0" length="0">
      <dxf/>
    </rfmt>
    <rfmt sheetId="2" sqref="HY778" start="0" length="0">
      <dxf/>
    </rfmt>
    <rfmt sheetId="2" sqref="HZ778" start="0" length="0">
      <dxf/>
    </rfmt>
    <rfmt sheetId="2" sqref="IA778" start="0" length="0">
      <dxf/>
    </rfmt>
    <rfmt sheetId="2" sqref="IB778" start="0" length="0">
      <dxf/>
    </rfmt>
    <rfmt sheetId="2" sqref="IC778" start="0" length="0">
      <dxf/>
    </rfmt>
    <rfmt sheetId="2" sqref="ID778" start="0" length="0">
      <dxf/>
    </rfmt>
    <rfmt sheetId="2" sqref="IE778" start="0" length="0">
      <dxf/>
    </rfmt>
    <rfmt sheetId="2" sqref="IF778" start="0" length="0">
      <dxf/>
    </rfmt>
    <rfmt sheetId="2" sqref="IG778" start="0" length="0">
      <dxf/>
    </rfmt>
    <rfmt sheetId="2" sqref="IH778" start="0" length="0">
      <dxf/>
    </rfmt>
    <rfmt sheetId="2" sqref="II778" start="0" length="0">
      <dxf/>
    </rfmt>
    <rfmt sheetId="2" sqref="IJ778" start="0" length="0">
      <dxf/>
    </rfmt>
    <rfmt sheetId="2" sqref="IK778" start="0" length="0">
      <dxf/>
    </rfmt>
    <rfmt sheetId="2" sqref="IL778" start="0" length="0">
      <dxf/>
    </rfmt>
    <rfmt sheetId="2" sqref="IM778" start="0" length="0">
      <dxf/>
    </rfmt>
    <rfmt sheetId="2" sqref="IN778" start="0" length="0">
      <dxf/>
    </rfmt>
    <rfmt sheetId="2" sqref="IO778" start="0" length="0">
      <dxf/>
    </rfmt>
    <rfmt sheetId="2" sqref="IP778" start="0" length="0">
      <dxf/>
    </rfmt>
    <rfmt sheetId="2" sqref="IQ778" start="0" length="0">
      <dxf/>
    </rfmt>
    <rfmt sheetId="2" sqref="IR778" start="0" length="0">
      <dxf/>
    </rfmt>
    <rfmt sheetId="2" sqref="IS778" start="0" length="0">
      <dxf/>
    </rfmt>
    <rfmt sheetId="2" sqref="IT778" start="0" length="0">
      <dxf/>
    </rfmt>
    <rfmt sheetId="2" sqref="IU778" start="0" length="0">
      <dxf/>
    </rfmt>
    <rfmt sheetId="2" sqref="IV778" start="0" length="0">
      <dxf/>
    </rfmt>
    <rfmt sheetId="2" sqref="IW778" start="0" length="0">
      <dxf/>
    </rfmt>
    <rfmt sheetId="2" sqref="IX778" start="0" length="0">
      <dxf/>
    </rfmt>
    <rfmt sheetId="2" sqref="IY778" start="0" length="0">
      <dxf/>
    </rfmt>
    <rfmt sheetId="2" sqref="IZ778" start="0" length="0">
      <dxf/>
    </rfmt>
    <rfmt sheetId="2" sqref="JA778" start="0" length="0">
      <dxf/>
    </rfmt>
    <rfmt sheetId="2" sqref="JB778" start="0" length="0">
      <dxf/>
    </rfmt>
    <rfmt sheetId="2" sqref="JC778" start="0" length="0">
      <dxf/>
    </rfmt>
    <rfmt sheetId="2" sqref="JD778" start="0" length="0">
      <dxf/>
    </rfmt>
    <rfmt sheetId="2" sqref="JE778" start="0" length="0">
      <dxf/>
    </rfmt>
    <rfmt sheetId="2" sqref="JF778" start="0" length="0">
      <dxf/>
    </rfmt>
    <rfmt sheetId="2" sqref="JG778" start="0" length="0">
      <dxf/>
    </rfmt>
    <rfmt sheetId="2" sqref="JH778" start="0" length="0">
      <dxf/>
    </rfmt>
    <rfmt sheetId="2" sqref="JI778" start="0" length="0">
      <dxf/>
    </rfmt>
    <rfmt sheetId="2" sqref="JJ778" start="0" length="0">
      <dxf/>
    </rfmt>
    <rfmt sheetId="2" sqref="JK778" start="0" length="0">
      <dxf/>
    </rfmt>
    <rfmt sheetId="2" sqref="JL778" start="0" length="0">
      <dxf/>
    </rfmt>
    <rfmt sheetId="2" sqref="JM778" start="0" length="0">
      <dxf/>
    </rfmt>
    <rfmt sheetId="2" sqref="JN778" start="0" length="0">
      <dxf/>
    </rfmt>
    <rfmt sheetId="2" sqref="JO778" start="0" length="0">
      <dxf/>
    </rfmt>
    <rfmt sheetId="2" sqref="JP778" start="0" length="0">
      <dxf/>
    </rfmt>
    <rfmt sheetId="2" sqref="JQ778" start="0" length="0">
      <dxf/>
    </rfmt>
    <rfmt sheetId="2" sqref="JR778" start="0" length="0">
      <dxf/>
    </rfmt>
    <rfmt sheetId="2" sqref="JS778" start="0" length="0">
      <dxf/>
    </rfmt>
    <rfmt sheetId="2" sqref="JT778" start="0" length="0">
      <dxf/>
    </rfmt>
    <rfmt sheetId="2" sqref="JU778" start="0" length="0">
      <dxf/>
    </rfmt>
    <rfmt sheetId="2" sqref="JV778" start="0" length="0">
      <dxf/>
    </rfmt>
    <rfmt sheetId="2" sqref="JW778" start="0" length="0">
      <dxf/>
    </rfmt>
    <rfmt sheetId="2" sqref="JX778" start="0" length="0">
      <dxf/>
    </rfmt>
    <rfmt sheetId="2" sqref="JY778" start="0" length="0">
      <dxf/>
    </rfmt>
    <rfmt sheetId="2" sqref="JZ778" start="0" length="0">
      <dxf/>
    </rfmt>
    <rfmt sheetId="2" sqref="KA778" start="0" length="0">
      <dxf/>
    </rfmt>
    <rfmt sheetId="2" sqref="KB778" start="0" length="0">
      <dxf/>
    </rfmt>
    <rfmt sheetId="2" sqref="KC778" start="0" length="0">
      <dxf/>
    </rfmt>
    <rfmt sheetId="2" sqref="KD778" start="0" length="0">
      <dxf/>
    </rfmt>
    <rfmt sheetId="2" sqref="KE778" start="0" length="0">
      <dxf/>
    </rfmt>
    <rfmt sheetId="2" sqref="KF778" start="0" length="0">
      <dxf/>
    </rfmt>
    <rfmt sheetId="2" sqref="KG778" start="0" length="0">
      <dxf/>
    </rfmt>
    <rfmt sheetId="2" sqref="KH778" start="0" length="0">
      <dxf/>
    </rfmt>
    <rfmt sheetId="2" sqref="KI778" start="0" length="0">
      <dxf/>
    </rfmt>
    <rfmt sheetId="2" sqref="KJ778" start="0" length="0">
      <dxf/>
    </rfmt>
    <rfmt sheetId="2" sqref="KK778" start="0" length="0">
      <dxf/>
    </rfmt>
    <rfmt sheetId="2" sqref="KL778" start="0" length="0">
      <dxf/>
    </rfmt>
    <rfmt sheetId="2" sqref="KM778" start="0" length="0">
      <dxf/>
    </rfmt>
    <rfmt sheetId="2" sqref="KN778" start="0" length="0">
      <dxf/>
    </rfmt>
    <rfmt sheetId="2" sqref="KO778" start="0" length="0">
      <dxf/>
    </rfmt>
    <rfmt sheetId="2" sqref="KP778" start="0" length="0">
      <dxf/>
    </rfmt>
    <rfmt sheetId="2" sqref="KQ778" start="0" length="0">
      <dxf/>
    </rfmt>
    <rfmt sheetId="2" sqref="KR778" start="0" length="0">
      <dxf/>
    </rfmt>
    <rfmt sheetId="2" sqref="KS778" start="0" length="0">
      <dxf/>
    </rfmt>
    <rfmt sheetId="2" sqref="KT778" start="0" length="0">
      <dxf/>
    </rfmt>
    <rfmt sheetId="2" sqref="KU778" start="0" length="0">
      <dxf/>
    </rfmt>
    <rfmt sheetId="2" sqref="KV778" start="0" length="0">
      <dxf/>
    </rfmt>
    <rfmt sheetId="2" sqref="KW778" start="0" length="0">
      <dxf/>
    </rfmt>
    <rfmt sheetId="2" sqref="KX778" start="0" length="0">
      <dxf/>
    </rfmt>
    <rfmt sheetId="2" sqref="KY778" start="0" length="0">
      <dxf/>
    </rfmt>
    <rfmt sheetId="2" sqref="KZ778" start="0" length="0">
      <dxf/>
    </rfmt>
    <rfmt sheetId="2" sqref="LA778" start="0" length="0">
      <dxf/>
    </rfmt>
    <rfmt sheetId="2" sqref="LB778" start="0" length="0">
      <dxf/>
    </rfmt>
    <rfmt sheetId="2" sqref="LC778" start="0" length="0">
      <dxf/>
    </rfmt>
    <rfmt sheetId="2" sqref="LD778" start="0" length="0">
      <dxf/>
    </rfmt>
    <rfmt sheetId="2" sqref="LE778" start="0" length="0">
      <dxf/>
    </rfmt>
    <rfmt sheetId="2" sqref="LF778" start="0" length="0">
      <dxf/>
    </rfmt>
    <rfmt sheetId="2" sqref="LG778" start="0" length="0">
      <dxf/>
    </rfmt>
    <rfmt sheetId="2" sqref="LH778" start="0" length="0">
      <dxf/>
    </rfmt>
    <rfmt sheetId="2" sqref="LI778" start="0" length="0">
      <dxf/>
    </rfmt>
    <rfmt sheetId="2" sqref="LJ778" start="0" length="0">
      <dxf/>
    </rfmt>
    <rfmt sheetId="2" sqref="LK778" start="0" length="0">
      <dxf/>
    </rfmt>
    <rfmt sheetId="2" sqref="LL778" start="0" length="0">
      <dxf/>
    </rfmt>
    <rfmt sheetId="2" sqref="LM778" start="0" length="0">
      <dxf/>
    </rfmt>
    <rfmt sheetId="2" sqref="LN778" start="0" length="0">
      <dxf/>
    </rfmt>
    <rfmt sheetId="2" sqref="LO778" start="0" length="0">
      <dxf/>
    </rfmt>
    <rfmt sheetId="2" sqref="LP778" start="0" length="0">
      <dxf/>
    </rfmt>
    <rfmt sheetId="2" sqref="LQ778" start="0" length="0">
      <dxf/>
    </rfmt>
    <rfmt sheetId="2" sqref="LR778" start="0" length="0">
      <dxf/>
    </rfmt>
    <rfmt sheetId="2" sqref="LS778" start="0" length="0">
      <dxf/>
    </rfmt>
    <rfmt sheetId="2" sqref="LT778" start="0" length="0">
      <dxf/>
    </rfmt>
    <rfmt sheetId="2" sqref="LU778" start="0" length="0">
      <dxf/>
    </rfmt>
    <rfmt sheetId="2" sqref="LV778" start="0" length="0">
      <dxf/>
    </rfmt>
    <rfmt sheetId="2" sqref="LW778" start="0" length="0">
      <dxf/>
    </rfmt>
    <rfmt sheetId="2" sqref="LX778" start="0" length="0">
      <dxf/>
    </rfmt>
    <rfmt sheetId="2" sqref="LY778" start="0" length="0">
      <dxf/>
    </rfmt>
    <rfmt sheetId="2" sqref="LZ778" start="0" length="0">
      <dxf/>
    </rfmt>
    <rfmt sheetId="2" sqref="MA778" start="0" length="0">
      <dxf/>
    </rfmt>
    <rfmt sheetId="2" sqref="MB778" start="0" length="0">
      <dxf/>
    </rfmt>
  </rm>
  <rrc rId="2652" sId="2" ref="A781:XFD781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81:XFD781" start="0" length="0">
      <dxf>
        <font>
          <sz val="10"/>
          <name val="Arial"/>
          <scheme val="none"/>
        </font>
        <alignment horizontal="center" readingOrder="0"/>
      </dxf>
    </rfmt>
    <rfmt sheetId="2" sqref="A78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8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8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8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8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81" start="0" length="0">
      <dxf>
        <numFmt numFmtId="176" formatCode="m/d;@"/>
      </dxf>
    </rfmt>
    <rfmt sheetId="2" sqref="P78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81" start="0" length="0">
      <dxf/>
    </rfmt>
    <rfmt sheetId="2" sqref="U781" start="0" length="0">
      <dxf/>
    </rfmt>
    <rfmt sheetId="2" sqref="V781" start="0" length="0">
      <dxf/>
    </rfmt>
    <rfmt sheetId="2" sqref="W781" start="0" length="0">
      <dxf/>
    </rfmt>
    <rfmt sheetId="2" sqref="X781" start="0" length="0">
      <dxf/>
    </rfmt>
    <rfmt sheetId="2" sqref="Y781" start="0" length="0">
      <dxf/>
    </rfmt>
    <rfmt sheetId="2" sqref="Z781" start="0" length="0">
      <dxf/>
    </rfmt>
    <rfmt sheetId="2" sqref="AA781" start="0" length="0">
      <dxf/>
    </rfmt>
    <rfmt sheetId="2" sqref="AB781" start="0" length="0">
      <dxf/>
    </rfmt>
    <rfmt sheetId="2" sqref="AC781" start="0" length="0">
      <dxf/>
    </rfmt>
    <rfmt sheetId="2" sqref="AD781" start="0" length="0">
      <dxf/>
    </rfmt>
    <rfmt sheetId="2" sqref="AE781" start="0" length="0">
      <dxf/>
    </rfmt>
    <rfmt sheetId="2" sqref="AF781" start="0" length="0">
      <dxf/>
    </rfmt>
    <rfmt sheetId="2" sqref="AG781" start="0" length="0">
      <dxf/>
    </rfmt>
    <rfmt sheetId="2" sqref="AH781" start="0" length="0">
      <dxf/>
    </rfmt>
    <rfmt sheetId="2" sqref="AI781" start="0" length="0">
      <dxf/>
    </rfmt>
    <rfmt sheetId="2" sqref="AJ781" start="0" length="0">
      <dxf/>
    </rfmt>
    <rfmt sheetId="2" sqref="AK781" start="0" length="0">
      <dxf/>
    </rfmt>
    <rfmt sheetId="2" sqref="AL781" start="0" length="0">
      <dxf/>
    </rfmt>
    <rfmt sheetId="2" sqref="AM781" start="0" length="0">
      <dxf/>
    </rfmt>
    <rfmt sheetId="2" sqref="AN781" start="0" length="0">
      <dxf/>
    </rfmt>
    <rfmt sheetId="2" sqref="AO781" start="0" length="0">
      <dxf/>
    </rfmt>
    <rfmt sheetId="2" sqref="AP781" start="0" length="0">
      <dxf/>
    </rfmt>
    <rfmt sheetId="2" sqref="AQ781" start="0" length="0">
      <dxf/>
    </rfmt>
    <rfmt sheetId="2" sqref="AR781" start="0" length="0">
      <dxf/>
    </rfmt>
    <rfmt sheetId="2" sqref="AS781" start="0" length="0">
      <dxf/>
    </rfmt>
    <rfmt sheetId="2" sqref="AT781" start="0" length="0">
      <dxf/>
    </rfmt>
    <rfmt sheetId="2" sqref="AU781" start="0" length="0">
      <dxf/>
    </rfmt>
    <rfmt sheetId="2" sqref="AV781" start="0" length="0">
      <dxf/>
    </rfmt>
    <rfmt sheetId="2" sqref="AW781" start="0" length="0">
      <dxf/>
    </rfmt>
    <rfmt sheetId="2" sqref="AX781" start="0" length="0">
      <dxf/>
    </rfmt>
    <rfmt sheetId="2" sqref="AY781" start="0" length="0">
      <dxf/>
    </rfmt>
    <rfmt sheetId="2" sqref="AZ781" start="0" length="0">
      <dxf/>
    </rfmt>
    <rfmt sheetId="2" sqref="BA781" start="0" length="0">
      <dxf/>
    </rfmt>
    <rfmt sheetId="2" sqref="BB781" start="0" length="0">
      <dxf/>
    </rfmt>
    <rfmt sheetId="2" sqref="BC781" start="0" length="0">
      <dxf/>
    </rfmt>
    <rfmt sheetId="2" sqref="BD781" start="0" length="0">
      <dxf/>
    </rfmt>
    <rfmt sheetId="2" sqref="BE781" start="0" length="0">
      <dxf/>
    </rfmt>
    <rfmt sheetId="2" sqref="BF781" start="0" length="0">
      <dxf/>
    </rfmt>
    <rfmt sheetId="2" sqref="BG781" start="0" length="0">
      <dxf/>
    </rfmt>
    <rfmt sheetId="2" sqref="BH781" start="0" length="0">
      <dxf/>
    </rfmt>
    <rfmt sheetId="2" sqref="BI781" start="0" length="0">
      <dxf/>
    </rfmt>
    <rfmt sheetId="2" sqref="BJ781" start="0" length="0">
      <dxf/>
    </rfmt>
    <rfmt sheetId="2" sqref="BK781" start="0" length="0">
      <dxf/>
    </rfmt>
    <rfmt sheetId="2" sqref="BL781" start="0" length="0">
      <dxf/>
    </rfmt>
    <rfmt sheetId="2" sqref="BM781" start="0" length="0">
      <dxf/>
    </rfmt>
    <rfmt sheetId="2" sqref="BN781" start="0" length="0">
      <dxf/>
    </rfmt>
    <rfmt sheetId="2" sqref="BO781" start="0" length="0">
      <dxf/>
    </rfmt>
    <rfmt sheetId="2" sqref="BP781" start="0" length="0">
      <dxf/>
    </rfmt>
    <rfmt sheetId="2" sqref="BQ781" start="0" length="0">
      <dxf/>
    </rfmt>
    <rfmt sheetId="2" sqref="BR781" start="0" length="0">
      <dxf/>
    </rfmt>
    <rfmt sheetId="2" sqref="BS781" start="0" length="0">
      <dxf/>
    </rfmt>
    <rfmt sheetId="2" sqref="BT781" start="0" length="0">
      <dxf/>
    </rfmt>
    <rfmt sheetId="2" sqref="BU781" start="0" length="0">
      <dxf/>
    </rfmt>
    <rfmt sheetId="2" sqref="BV781" start="0" length="0">
      <dxf/>
    </rfmt>
    <rfmt sheetId="2" sqref="BW781" start="0" length="0">
      <dxf/>
    </rfmt>
    <rfmt sheetId="2" sqref="BX781" start="0" length="0">
      <dxf/>
    </rfmt>
    <rfmt sheetId="2" sqref="BY781" start="0" length="0">
      <dxf/>
    </rfmt>
    <rfmt sheetId="2" sqref="BZ781" start="0" length="0">
      <dxf/>
    </rfmt>
    <rfmt sheetId="2" sqref="CA781" start="0" length="0">
      <dxf/>
    </rfmt>
    <rfmt sheetId="2" sqref="CB781" start="0" length="0">
      <dxf/>
    </rfmt>
    <rfmt sheetId="2" sqref="CC781" start="0" length="0">
      <dxf/>
    </rfmt>
    <rfmt sheetId="2" sqref="CD781" start="0" length="0">
      <dxf/>
    </rfmt>
    <rfmt sheetId="2" sqref="CE781" start="0" length="0">
      <dxf/>
    </rfmt>
    <rfmt sheetId="2" sqref="CF781" start="0" length="0">
      <dxf/>
    </rfmt>
    <rfmt sheetId="2" sqref="CG781" start="0" length="0">
      <dxf/>
    </rfmt>
    <rfmt sheetId="2" sqref="CH781" start="0" length="0">
      <dxf/>
    </rfmt>
    <rfmt sheetId="2" sqref="CI781" start="0" length="0">
      <dxf/>
    </rfmt>
    <rfmt sheetId="2" sqref="CJ781" start="0" length="0">
      <dxf/>
    </rfmt>
    <rfmt sheetId="2" sqref="CK781" start="0" length="0">
      <dxf/>
    </rfmt>
    <rfmt sheetId="2" sqref="CL781" start="0" length="0">
      <dxf/>
    </rfmt>
    <rfmt sheetId="2" sqref="CM781" start="0" length="0">
      <dxf/>
    </rfmt>
    <rfmt sheetId="2" sqref="CN781" start="0" length="0">
      <dxf/>
    </rfmt>
    <rfmt sheetId="2" sqref="CO781" start="0" length="0">
      <dxf/>
    </rfmt>
    <rfmt sheetId="2" sqref="CP781" start="0" length="0">
      <dxf/>
    </rfmt>
    <rfmt sheetId="2" sqref="CQ781" start="0" length="0">
      <dxf/>
    </rfmt>
    <rfmt sheetId="2" sqref="CR781" start="0" length="0">
      <dxf/>
    </rfmt>
    <rfmt sheetId="2" sqref="CS781" start="0" length="0">
      <dxf/>
    </rfmt>
    <rfmt sheetId="2" sqref="CT781" start="0" length="0">
      <dxf/>
    </rfmt>
    <rfmt sheetId="2" sqref="CU781" start="0" length="0">
      <dxf/>
    </rfmt>
    <rfmt sheetId="2" sqref="CV781" start="0" length="0">
      <dxf/>
    </rfmt>
    <rfmt sheetId="2" sqref="CW781" start="0" length="0">
      <dxf/>
    </rfmt>
    <rfmt sheetId="2" sqref="CX781" start="0" length="0">
      <dxf/>
    </rfmt>
    <rfmt sheetId="2" sqref="CY781" start="0" length="0">
      <dxf/>
    </rfmt>
    <rfmt sheetId="2" sqref="CZ781" start="0" length="0">
      <dxf/>
    </rfmt>
    <rfmt sheetId="2" sqref="DA781" start="0" length="0">
      <dxf/>
    </rfmt>
    <rfmt sheetId="2" sqref="DB781" start="0" length="0">
      <dxf/>
    </rfmt>
    <rfmt sheetId="2" sqref="DC781" start="0" length="0">
      <dxf/>
    </rfmt>
    <rfmt sheetId="2" sqref="DD781" start="0" length="0">
      <dxf/>
    </rfmt>
    <rfmt sheetId="2" sqref="DE781" start="0" length="0">
      <dxf/>
    </rfmt>
    <rfmt sheetId="2" sqref="DF781" start="0" length="0">
      <dxf/>
    </rfmt>
    <rfmt sheetId="2" sqref="DG781" start="0" length="0">
      <dxf/>
    </rfmt>
    <rfmt sheetId="2" sqref="DH781" start="0" length="0">
      <dxf/>
    </rfmt>
    <rfmt sheetId="2" sqref="DI781" start="0" length="0">
      <dxf/>
    </rfmt>
    <rfmt sheetId="2" sqref="DJ781" start="0" length="0">
      <dxf/>
    </rfmt>
    <rfmt sheetId="2" sqref="DK781" start="0" length="0">
      <dxf/>
    </rfmt>
    <rfmt sheetId="2" sqref="DL781" start="0" length="0">
      <dxf/>
    </rfmt>
    <rfmt sheetId="2" sqref="DM781" start="0" length="0">
      <dxf/>
    </rfmt>
    <rfmt sheetId="2" sqref="DN781" start="0" length="0">
      <dxf/>
    </rfmt>
    <rfmt sheetId="2" sqref="DO781" start="0" length="0">
      <dxf/>
    </rfmt>
    <rfmt sheetId="2" sqref="DP781" start="0" length="0">
      <dxf/>
    </rfmt>
    <rfmt sheetId="2" sqref="DQ781" start="0" length="0">
      <dxf/>
    </rfmt>
    <rfmt sheetId="2" sqref="DR781" start="0" length="0">
      <dxf/>
    </rfmt>
    <rfmt sheetId="2" sqref="DS781" start="0" length="0">
      <dxf/>
    </rfmt>
    <rfmt sheetId="2" sqref="DT781" start="0" length="0">
      <dxf/>
    </rfmt>
    <rfmt sheetId="2" sqref="DU781" start="0" length="0">
      <dxf/>
    </rfmt>
    <rfmt sheetId="2" sqref="DV781" start="0" length="0">
      <dxf/>
    </rfmt>
    <rfmt sheetId="2" sqref="DW781" start="0" length="0">
      <dxf/>
    </rfmt>
    <rfmt sheetId="2" sqref="DX781" start="0" length="0">
      <dxf/>
    </rfmt>
    <rfmt sheetId="2" sqref="DY781" start="0" length="0">
      <dxf/>
    </rfmt>
    <rfmt sheetId="2" sqref="DZ781" start="0" length="0">
      <dxf/>
    </rfmt>
    <rfmt sheetId="2" sqref="EA781" start="0" length="0">
      <dxf/>
    </rfmt>
    <rfmt sheetId="2" sqref="EB781" start="0" length="0">
      <dxf/>
    </rfmt>
    <rfmt sheetId="2" sqref="EC781" start="0" length="0">
      <dxf/>
    </rfmt>
    <rfmt sheetId="2" sqref="ED781" start="0" length="0">
      <dxf/>
    </rfmt>
    <rfmt sheetId="2" sqref="EE781" start="0" length="0">
      <dxf/>
    </rfmt>
    <rfmt sheetId="2" sqref="EF781" start="0" length="0">
      <dxf/>
    </rfmt>
    <rfmt sheetId="2" sqref="EG781" start="0" length="0">
      <dxf/>
    </rfmt>
    <rfmt sheetId="2" sqref="EH781" start="0" length="0">
      <dxf/>
    </rfmt>
    <rfmt sheetId="2" sqref="EI781" start="0" length="0">
      <dxf/>
    </rfmt>
    <rfmt sheetId="2" sqref="EJ781" start="0" length="0">
      <dxf/>
    </rfmt>
    <rfmt sheetId="2" sqref="EK781" start="0" length="0">
      <dxf/>
    </rfmt>
    <rfmt sheetId="2" sqref="EL781" start="0" length="0">
      <dxf/>
    </rfmt>
    <rfmt sheetId="2" sqref="EM781" start="0" length="0">
      <dxf/>
    </rfmt>
    <rfmt sheetId="2" sqref="EN781" start="0" length="0">
      <dxf/>
    </rfmt>
    <rfmt sheetId="2" sqref="EO781" start="0" length="0">
      <dxf/>
    </rfmt>
    <rfmt sheetId="2" sqref="EP781" start="0" length="0">
      <dxf/>
    </rfmt>
    <rfmt sheetId="2" sqref="EQ781" start="0" length="0">
      <dxf/>
    </rfmt>
    <rfmt sheetId="2" sqref="ER781" start="0" length="0">
      <dxf/>
    </rfmt>
    <rfmt sheetId="2" sqref="ES781" start="0" length="0">
      <dxf/>
    </rfmt>
    <rfmt sheetId="2" sqref="ET781" start="0" length="0">
      <dxf/>
    </rfmt>
    <rfmt sheetId="2" sqref="EU781" start="0" length="0">
      <dxf/>
    </rfmt>
    <rfmt sheetId="2" sqref="EV781" start="0" length="0">
      <dxf/>
    </rfmt>
    <rfmt sheetId="2" sqref="EW781" start="0" length="0">
      <dxf/>
    </rfmt>
    <rfmt sheetId="2" sqref="EX781" start="0" length="0">
      <dxf/>
    </rfmt>
    <rfmt sheetId="2" sqref="EY781" start="0" length="0">
      <dxf/>
    </rfmt>
    <rfmt sheetId="2" sqref="EZ781" start="0" length="0">
      <dxf/>
    </rfmt>
    <rfmt sheetId="2" sqref="FA781" start="0" length="0">
      <dxf/>
    </rfmt>
    <rfmt sheetId="2" sqref="FB781" start="0" length="0">
      <dxf/>
    </rfmt>
    <rfmt sheetId="2" sqref="FC781" start="0" length="0">
      <dxf/>
    </rfmt>
    <rfmt sheetId="2" sqref="FD781" start="0" length="0">
      <dxf/>
    </rfmt>
    <rfmt sheetId="2" sqref="FE781" start="0" length="0">
      <dxf/>
    </rfmt>
    <rfmt sheetId="2" sqref="FF781" start="0" length="0">
      <dxf/>
    </rfmt>
    <rfmt sheetId="2" sqref="FG781" start="0" length="0">
      <dxf/>
    </rfmt>
    <rfmt sheetId="2" sqref="FH781" start="0" length="0">
      <dxf/>
    </rfmt>
    <rfmt sheetId="2" sqref="FI781" start="0" length="0">
      <dxf/>
    </rfmt>
    <rfmt sheetId="2" sqref="FJ781" start="0" length="0">
      <dxf/>
    </rfmt>
    <rfmt sheetId="2" sqref="FK781" start="0" length="0">
      <dxf/>
    </rfmt>
    <rfmt sheetId="2" sqref="FL781" start="0" length="0">
      <dxf/>
    </rfmt>
    <rfmt sheetId="2" sqref="FM781" start="0" length="0">
      <dxf/>
    </rfmt>
    <rfmt sheetId="2" sqref="FN781" start="0" length="0">
      <dxf/>
    </rfmt>
    <rfmt sheetId="2" sqref="FO781" start="0" length="0">
      <dxf/>
    </rfmt>
    <rfmt sheetId="2" sqref="FP781" start="0" length="0">
      <dxf/>
    </rfmt>
    <rfmt sheetId="2" sqref="FQ781" start="0" length="0">
      <dxf/>
    </rfmt>
    <rfmt sheetId="2" sqref="FR781" start="0" length="0">
      <dxf/>
    </rfmt>
    <rfmt sheetId="2" sqref="FS781" start="0" length="0">
      <dxf/>
    </rfmt>
    <rfmt sheetId="2" sqref="FT781" start="0" length="0">
      <dxf/>
    </rfmt>
    <rfmt sheetId="2" sqref="FU781" start="0" length="0">
      <dxf/>
    </rfmt>
    <rfmt sheetId="2" sqref="FV781" start="0" length="0">
      <dxf/>
    </rfmt>
    <rfmt sheetId="2" sqref="FW781" start="0" length="0">
      <dxf/>
    </rfmt>
    <rfmt sheetId="2" sqref="FX781" start="0" length="0">
      <dxf/>
    </rfmt>
    <rfmt sheetId="2" sqref="FY781" start="0" length="0">
      <dxf/>
    </rfmt>
    <rfmt sheetId="2" sqref="FZ781" start="0" length="0">
      <dxf/>
    </rfmt>
    <rfmt sheetId="2" sqref="GA781" start="0" length="0">
      <dxf/>
    </rfmt>
    <rfmt sheetId="2" sqref="GB781" start="0" length="0">
      <dxf/>
    </rfmt>
    <rfmt sheetId="2" sqref="GC781" start="0" length="0">
      <dxf/>
    </rfmt>
    <rfmt sheetId="2" sqref="GD781" start="0" length="0">
      <dxf/>
    </rfmt>
    <rfmt sheetId="2" sqref="GE781" start="0" length="0">
      <dxf/>
    </rfmt>
    <rfmt sheetId="2" sqref="GF781" start="0" length="0">
      <dxf/>
    </rfmt>
    <rfmt sheetId="2" sqref="GG781" start="0" length="0">
      <dxf/>
    </rfmt>
    <rfmt sheetId="2" sqref="GH781" start="0" length="0">
      <dxf/>
    </rfmt>
    <rfmt sheetId="2" sqref="GI781" start="0" length="0">
      <dxf/>
    </rfmt>
    <rfmt sheetId="2" sqref="GJ781" start="0" length="0">
      <dxf/>
    </rfmt>
    <rfmt sheetId="2" sqref="GK781" start="0" length="0">
      <dxf/>
    </rfmt>
    <rfmt sheetId="2" sqref="GL781" start="0" length="0">
      <dxf/>
    </rfmt>
    <rfmt sheetId="2" sqref="GM781" start="0" length="0">
      <dxf/>
    </rfmt>
    <rfmt sheetId="2" sqref="GN781" start="0" length="0">
      <dxf/>
    </rfmt>
    <rfmt sheetId="2" sqref="GO781" start="0" length="0">
      <dxf/>
    </rfmt>
    <rfmt sheetId="2" sqref="GP781" start="0" length="0">
      <dxf/>
    </rfmt>
    <rfmt sheetId="2" sqref="GQ781" start="0" length="0">
      <dxf/>
    </rfmt>
    <rfmt sheetId="2" sqref="GR781" start="0" length="0">
      <dxf/>
    </rfmt>
    <rfmt sheetId="2" sqref="GS781" start="0" length="0">
      <dxf/>
    </rfmt>
    <rfmt sheetId="2" sqref="GT781" start="0" length="0">
      <dxf/>
    </rfmt>
    <rfmt sheetId="2" sqref="GU781" start="0" length="0">
      <dxf/>
    </rfmt>
    <rfmt sheetId="2" sqref="GV781" start="0" length="0">
      <dxf/>
    </rfmt>
    <rfmt sheetId="2" sqref="GW781" start="0" length="0">
      <dxf/>
    </rfmt>
    <rfmt sheetId="2" sqref="GX781" start="0" length="0">
      <dxf/>
    </rfmt>
    <rfmt sheetId="2" sqref="GY781" start="0" length="0">
      <dxf/>
    </rfmt>
    <rfmt sheetId="2" sqref="GZ781" start="0" length="0">
      <dxf/>
    </rfmt>
    <rfmt sheetId="2" sqref="HA781" start="0" length="0">
      <dxf/>
    </rfmt>
    <rfmt sheetId="2" sqref="HB781" start="0" length="0">
      <dxf/>
    </rfmt>
    <rfmt sheetId="2" sqref="HC781" start="0" length="0">
      <dxf/>
    </rfmt>
    <rfmt sheetId="2" sqref="HD781" start="0" length="0">
      <dxf/>
    </rfmt>
    <rfmt sheetId="2" sqref="HE781" start="0" length="0">
      <dxf/>
    </rfmt>
    <rfmt sheetId="2" sqref="HF781" start="0" length="0">
      <dxf/>
    </rfmt>
    <rfmt sheetId="2" sqref="HG781" start="0" length="0">
      <dxf/>
    </rfmt>
    <rfmt sheetId="2" sqref="HH781" start="0" length="0">
      <dxf/>
    </rfmt>
    <rfmt sheetId="2" sqref="HI781" start="0" length="0">
      <dxf/>
    </rfmt>
    <rfmt sheetId="2" sqref="HJ781" start="0" length="0">
      <dxf/>
    </rfmt>
    <rfmt sheetId="2" sqref="HK781" start="0" length="0">
      <dxf/>
    </rfmt>
    <rfmt sheetId="2" sqref="HL781" start="0" length="0">
      <dxf/>
    </rfmt>
    <rfmt sheetId="2" sqref="HM781" start="0" length="0">
      <dxf/>
    </rfmt>
    <rfmt sheetId="2" sqref="HN781" start="0" length="0">
      <dxf/>
    </rfmt>
    <rfmt sheetId="2" sqref="HO781" start="0" length="0">
      <dxf/>
    </rfmt>
    <rfmt sheetId="2" sqref="HP781" start="0" length="0">
      <dxf/>
    </rfmt>
    <rfmt sheetId="2" sqref="HQ781" start="0" length="0">
      <dxf/>
    </rfmt>
    <rfmt sheetId="2" sqref="HR781" start="0" length="0">
      <dxf/>
    </rfmt>
    <rfmt sheetId="2" sqref="HS781" start="0" length="0">
      <dxf/>
    </rfmt>
    <rfmt sheetId="2" sqref="HT781" start="0" length="0">
      <dxf/>
    </rfmt>
    <rfmt sheetId="2" sqref="HU781" start="0" length="0">
      <dxf/>
    </rfmt>
    <rfmt sheetId="2" sqref="HV781" start="0" length="0">
      <dxf/>
    </rfmt>
    <rfmt sheetId="2" sqref="HW781" start="0" length="0">
      <dxf/>
    </rfmt>
    <rfmt sheetId="2" sqref="HX781" start="0" length="0">
      <dxf/>
    </rfmt>
    <rfmt sheetId="2" sqref="HY781" start="0" length="0">
      <dxf/>
    </rfmt>
    <rfmt sheetId="2" sqref="HZ781" start="0" length="0">
      <dxf/>
    </rfmt>
    <rfmt sheetId="2" sqref="IA781" start="0" length="0">
      <dxf/>
    </rfmt>
    <rfmt sheetId="2" sqref="IB781" start="0" length="0">
      <dxf/>
    </rfmt>
    <rfmt sheetId="2" sqref="IC781" start="0" length="0">
      <dxf/>
    </rfmt>
    <rfmt sheetId="2" sqref="ID781" start="0" length="0">
      <dxf/>
    </rfmt>
    <rfmt sheetId="2" sqref="IE781" start="0" length="0">
      <dxf/>
    </rfmt>
    <rfmt sheetId="2" sqref="IF781" start="0" length="0">
      <dxf/>
    </rfmt>
    <rfmt sheetId="2" sqref="IG781" start="0" length="0">
      <dxf/>
    </rfmt>
    <rfmt sheetId="2" sqref="IH781" start="0" length="0">
      <dxf/>
    </rfmt>
    <rfmt sheetId="2" sqref="II781" start="0" length="0">
      <dxf/>
    </rfmt>
    <rfmt sheetId="2" sqref="IJ781" start="0" length="0">
      <dxf/>
    </rfmt>
    <rfmt sheetId="2" sqref="IK781" start="0" length="0">
      <dxf/>
    </rfmt>
    <rfmt sheetId="2" sqref="IL781" start="0" length="0">
      <dxf/>
    </rfmt>
    <rfmt sheetId="2" sqref="IM781" start="0" length="0">
      <dxf/>
    </rfmt>
    <rfmt sheetId="2" sqref="IN781" start="0" length="0">
      <dxf/>
    </rfmt>
    <rfmt sheetId="2" sqref="IO781" start="0" length="0">
      <dxf/>
    </rfmt>
    <rfmt sheetId="2" sqref="IP781" start="0" length="0">
      <dxf/>
    </rfmt>
    <rfmt sheetId="2" sqref="IQ781" start="0" length="0">
      <dxf/>
    </rfmt>
    <rfmt sheetId="2" sqref="IR781" start="0" length="0">
      <dxf/>
    </rfmt>
    <rfmt sheetId="2" sqref="IS781" start="0" length="0">
      <dxf/>
    </rfmt>
    <rfmt sheetId="2" sqref="IT781" start="0" length="0">
      <dxf/>
    </rfmt>
    <rfmt sheetId="2" sqref="IU781" start="0" length="0">
      <dxf/>
    </rfmt>
    <rfmt sheetId="2" sqref="IV781" start="0" length="0">
      <dxf/>
    </rfmt>
    <rfmt sheetId="2" sqref="IW781" start="0" length="0">
      <dxf/>
    </rfmt>
    <rfmt sheetId="2" sqref="IX781" start="0" length="0">
      <dxf/>
    </rfmt>
    <rfmt sheetId="2" sqref="IY781" start="0" length="0">
      <dxf/>
    </rfmt>
    <rfmt sheetId="2" sqref="IZ781" start="0" length="0">
      <dxf/>
    </rfmt>
    <rfmt sheetId="2" sqref="JA781" start="0" length="0">
      <dxf/>
    </rfmt>
    <rfmt sheetId="2" sqref="JB781" start="0" length="0">
      <dxf/>
    </rfmt>
    <rfmt sheetId="2" sqref="JC781" start="0" length="0">
      <dxf/>
    </rfmt>
    <rfmt sheetId="2" sqref="JD781" start="0" length="0">
      <dxf/>
    </rfmt>
    <rfmt sheetId="2" sqref="JE781" start="0" length="0">
      <dxf/>
    </rfmt>
    <rfmt sheetId="2" sqref="JF781" start="0" length="0">
      <dxf/>
    </rfmt>
    <rfmt sheetId="2" sqref="JG781" start="0" length="0">
      <dxf/>
    </rfmt>
    <rfmt sheetId="2" sqref="JH781" start="0" length="0">
      <dxf/>
    </rfmt>
    <rfmt sheetId="2" sqref="JI781" start="0" length="0">
      <dxf/>
    </rfmt>
    <rfmt sheetId="2" sqref="JJ781" start="0" length="0">
      <dxf/>
    </rfmt>
    <rfmt sheetId="2" sqref="JK781" start="0" length="0">
      <dxf/>
    </rfmt>
    <rfmt sheetId="2" sqref="JL781" start="0" length="0">
      <dxf/>
    </rfmt>
    <rfmt sheetId="2" sqref="JM781" start="0" length="0">
      <dxf/>
    </rfmt>
    <rfmt sheetId="2" sqref="JN781" start="0" length="0">
      <dxf/>
    </rfmt>
    <rfmt sheetId="2" sqref="JO781" start="0" length="0">
      <dxf/>
    </rfmt>
    <rfmt sheetId="2" sqref="JP781" start="0" length="0">
      <dxf/>
    </rfmt>
    <rfmt sheetId="2" sqref="JQ781" start="0" length="0">
      <dxf/>
    </rfmt>
    <rfmt sheetId="2" sqref="JR781" start="0" length="0">
      <dxf/>
    </rfmt>
    <rfmt sheetId="2" sqref="JS781" start="0" length="0">
      <dxf/>
    </rfmt>
    <rfmt sheetId="2" sqref="JT781" start="0" length="0">
      <dxf/>
    </rfmt>
    <rfmt sheetId="2" sqref="JU781" start="0" length="0">
      <dxf/>
    </rfmt>
    <rfmt sheetId="2" sqref="JV781" start="0" length="0">
      <dxf/>
    </rfmt>
    <rfmt sheetId="2" sqref="JW781" start="0" length="0">
      <dxf/>
    </rfmt>
    <rfmt sheetId="2" sqref="JX781" start="0" length="0">
      <dxf/>
    </rfmt>
    <rfmt sheetId="2" sqref="JY781" start="0" length="0">
      <dxf/>
    </rfmt>
    <rfmt sheetId="2" sqref="JZ781" start="0" length="0">
      <dxf/>
    </rfmt>
    <rfmt sheetId="2" sqref="KA781" start="0" length="0">
      <dxf/>
    </rfmt>
    <rfmt sheetId="2" sqref="KB781" start="0" length="0">
      <dxf/>
    </rfmt>
    <rfmt sheetId="2" sqref="KC781" start="0" length="0">
      <dxf/>
    </rfmt>
    <rfmt sheetId="2" sqref="KD781" start="0" length="0">
      <dxf/>
    </rfmt>
    <rfmt sheetId="2" sqref="KE781" start="0" length="0">
      <dxf/>
    </rfmt>
    <rfmt sheetId="2" sqref="KF781" start="0" length="0">
      <dxf/>
    </rfmt>
    <rfmt sheetId="2" sqref="KG781" start="0" length="0">
      <dxf/>
    </rfmt>
    <rfmt sheetId="2" sqref="KH781" start="0" length="0">
      <dxf/>
    </rfmt>
    <rfmt sheetId="2" sqref="KI781" start="0" length="0">
      <dxf/>
    </rfmt>
    <rfmt sheetId="2" sqref="KJ781" start="0" length="0">
      <dxf/>
    </rfmt>
    <rfmt sheetId="2" sqref="KK781" start="0" length="0">
      <dxf/>
    </rfmt>
    <rfmt sheetId="2" sqref="KL781" start="0" length="0">
      <dxf/>
    </rfmt>
    <rfmt sheetId="2" sqref="KM781" start="0" length="0">
      <dxf/>
    </rfmt>
    <rfmt sheetId="2" sqref="KN781" start="0" length="0">
      <dxf/>
    </rfmt>
    <rfmt sheetId="2" sqref="KO781" start="0" length="0">
      <dxf/>
    </rfmt>
    <rfmt sheetId="2" sqref="KP781" start="0" length="0">
      <dxf/>
    </rfmt>
    <rfmt sheetId="2" sqref="KQ781" start="0" length="0">
      <dxf/>
    </rfmt>
    <rfmt sheetId="2" sqref="KR781" start="0" length="0">
      <dxf/>
    </rfmt>
    <rfmt sheetId="2" sqref="KS781" start="0" length="0">
      <dxf/>
    </rfmt>
    <rfmt sheetId="2" sqref="KT781" start="0" length="0">
      <dxf/>
    </rfmt>
    <rfmt sheetId="2" sqref="KU781" start="0" length="0">
      <dxf/>
    </rfmt>
    <rfmt sheetId="2" sqref="KV781" start="0" length="0">
      <dxf/>
    </rfmt>
    <rfmt sheetId="2" sqref="KW781" start="0" length="0">
      <dxf/>
    </rfmt>
    <rfmt sheetId="2" sqref="KX781" start="0" length="0">
      <dxf/>
    </rfmt>
    <rfmt sheetId="2" sqref="KY781" start="0" length="0">
      <dxf/>
    </rfmt>
    <rfmt sheetId="2" sqref="KZ781" start="0" length="0">
      <dxf/>
    </rfmt>
    <rfmt sheetId="2" sqref="LA781" start="0" length="0">
      <dxf/>
    </rfmt>
    <rfmt sheetId="2" sqref="LB781" start="0" length="0">
      <dxf/>
    </rfmt>
    <rfmt sheetId="2" sqref="LC781" start="0" length="0">
      <dxf/>
    </rfmt>
    <rfmt sheetId="2" sqref="LD781" start="0" length="0">
      <dxf/>
    </rfmt>
    <rfmt sheetId="2" sqref="LE781" start="0" length="0">
      <dxf/>
    </rfmt>
    <rfmt sheetId="2" sqref="LF781" start="0" length="0">
      <dxf/>
    </rfmt>
    <rfmt sheetId="2" sqref="LG781" start="0" length="0">
      <dxf/>
    </rfmt>
    <rfmt sheetId="2" sqref="LH781" start="0" length="0">
      <dxf/>
    </rfmt>
    <rfmt sheetId="2" sqref="LI781" start="0" length="0">
      <dxf/>
    </rfmt>
    <rfmt sheetId="2" sqref="LJ781" start="0" length="0">
      <dxf/>
    </rfmt>
    <rfmt sheetId="2" sqref="LK781" start="0" length="0">
      <dxf/>
    </rfmt>
    <rfmt sheetId="2" sqref="LL781" start="0" length="0">
      <dxf/>
    </rfmt>
    <rfmt sheetId="2" sqref="LM781" start="0" length="0">
      <dxf/>
    </rfmt>
    <rfmt sheetId="2" sqref="LN781" start="0" length="0">
      <dxf/>
    </rfmt>
    <rfmt sheetId="2" sqref="LO781" start="0" length="0">
      <dxf/>
    </rfmt>
    <rfmt sheetId="2" sqref="LP781" start="0" length="0">
      <dxf/>
    </rfmt>
    <rfmt sheetId="2" sqref="LQ781" start="0" length="0">
      <dxf/>
    </rfmt>
    <rfmt sheetId="2" sqref="LR781" start="0" length="0">
      <dxf/>
    </rfmt>
    <rfmt sheetId="2" sqref="LS781" start="0" length="0">
      <dxf/>
    </rfmt>
    <rfmt sheetId="2" sqref="LT781" start="0" length="0">
      <dxf/>
    </rfmt>
    <rfmt sheetId="2" sqref="LU781" start="0" length="0">
      <dxf/>
    </rfmt>
    <rfmt sheetId="2" sqref="LV781" start="0" length="0">
      <dxf/>
    </rfmt>
    <rfmt sheetId="2" sqref="LW781" start="0" length="0">
      <dxf/>
    </rfmt>
    <rfmt sheetId="2" sqref="LX781" start="0" length="0">
      <dxf/>
    </rfmt>
    <rfmt sheetId="2" sqref="LY781" start="0" length="0">
      <dxf/>
    </rfmt>
    <rfmt sheetId="2" sqref="LZ781" start="0" length="0">
      <dxf/>
    </rfmt>
    <rfmt sheetId="2" sqref="MA781" start="0" length="0">
      <dxf/>
    </rfmt>
    <rfmt sheetId="2" sqref="MB781" start="0" length="0">
      <dxf/>
    </rfmt>
  </rrc>
  <rrc rId="2653" sId="2" ref="A807:XFD808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54" sheetId="2" source="A779:XFD780" destination="A807:XFD808" sourceSheetId="2">
    <rfmt sheetId="2" xfDxf="1" sqref="A807:XFD807" start="0" length="0">
      <dxf>
        <font>
          <sz val="10"/>
          <name val="Arial"/>
          <scheme val="none"/>
        </font>
        <alignment horizontal="center" readingOrder="0"/>
      </dxf>
    </rfmt>
    <rfmt sheetId="2" xfDxf="1" sqref="A808:XFD808" start="0" length="0">
      <dxf>
        <font>
          <sz val="10"/>
          <name val="Arial"/>
          <scheme val="none"/>
        </font>
        <alignment horizontal="center" readingOrder="0"/>
      </dxf>
    </rfmt>
    <rfmt sheetId="2" sqref="A80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7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7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7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7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7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7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80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80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80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80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7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7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7" start="0" length="0">
      <dxf>
        <numFmt numFmtId="25" formatCode="hh:mm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7" start="0" length="0">
      <dxf>
        <numFmt numFmtId="176" formatCode="m/d;@"/>
      </dxf>
    </rfmt>
    <rfmt sheetId="2" sqref="P80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7" start="0" length="0">
      <dxf/>
    </rfmt>
    <rfmt sheetId="2" sqref="U807" start="0" length="0">
      <dxf/>
    </rfmt>
    <rfmt sheetId="2" sqref="V807" start="0" length="0">
      <dxf/>
    </rfmt>
    <rfmt sheetId="2" sqref="W807" start="0" length="0">
      <dxf/>
    </rfmt>
    <rfmt sheetId="2" sqref="X807" start="0" length="0">
      <dxf/>
    </rfmt>
    <rfmt sheetId="2" sqref="Y807" start="0" length="0">
      <dxf/>
    </rfmt>
    <rfmt sheetId="2" sqref="Z807" start="0" length="0">
      <dxf/>
    </rfmt>
    <rfmt sheetId="2" sqref="AA807" start="0" length="0">
      <dxf/>
    </rfmt>
    <rfmt sheetId="2" sqref="AB807" start="0" length="0">
      <dxf/>
    </rfmt>
    <rfmt sheetId="2" sqref="AC807" start="0" length="0">
      <dxf/>
    </rfmt>
    <rfmt sheetId="2" sqref="AD807" start="0" length="0">
      <dxf/>
    </rfmt>
    <rfmt sheetId="2" sqref="AE807" start="0" length="0">
      <dxf/>
    </rfmt>
    <rfmt sheetId="2" sqref="AF807" start="0" length="0">
      <dxf/>
    </rfmt>
    <rfmt sheetId="2" sqref="AG807" start="0" length="0">
      <dxf/>
    </rfmt>
    <rfmt sheetId="2" sqref="AH807" start="0" length="0">
      <dxf/>
    </rfmt>
    <rfmt sheetId="2" sqref="AI807" start="0" length="0">
      <dxf/>
    </rfmt>
    <rfmt sheetId="2" sqref="AJ807" start="0" length="0">
      <dxf/>
    </rfmt>
    <rfmt sheetId="2" sqref="AK807" start="0" length="0">
      <dxf/>
    </rfmt>
    <rfmt sheetId="2" sqref="AL807" start="0" length="0">
      <dxf/>
    </rfmt>
    <rfmt sheetId="2" sqref="AM807" start="0" length="0">
      <dxf/>
    </rfmt>
    <rfmt sheetId="2" sqref="AN807" start="0" length="0">
      <dxf/>
    </rfmt>
    <rfmt sheetId="2" sqref="AO807" start="0" length="0">
      <dxf/>
    </rfmt>
    <rfmt sheetId="2" sqref="AP807" start="0" length="0">
      <dxf/>
    </rfmt>
    <rfmt sheetId="2" sqref="AQ807" start="0" length="0">
      <dxf/>
    </rfmt>
    <rfmt sheetId="2" sqref="AR807" start="0" length="0">
      <dxf/>
    </rfmt>
    <rfmt sheetId="2" sqref="AS807" start="0" length="0">
      <dxf/>
    </rfmt>
    <rfmt sheetId="2" sqref="AT807" start="0" length="0">
      <dxf/>
    </rfmt>
    <rfmt sheetId="2" sqref="AU807" start="0" length="0">
      <dxf/>
    </rfmt>
    <rfmt sheetId="2" sqref="AV807" start="0" length="0">
      <dxf/>
    </rfmt>
    <rfmt sheetId="2" sqref="AW807" start="0" length="0">
      <dxf/>
    </rfmt>
    <rfmt sheetId="2" sqref="AX807" start="0" length="0">
      <dxf/>
    </rfmt>
    <rfmt sheetId="2" sqref="AY807" start="0" length="0">
      <dxf/>
    </rfmt>
    <rfmt sheetId="2" sqref="AZ807" start="0" length="0">
      <dxf/>
    </rfmt>
    <rfmt sheetId="2" sqref="BA807" start="0" length="0">
      <dxf/>
    </rfmt>
    <rfmt sheetId="2" sqref="BB807" start="0" length="0">
      <dxf/>
    </rfmt>
    <rfmt sheetId="2" sqref="BC807" start="0" length="0">
      <dxf/>
    </rfmt>
    <rfmt sheetId="2" sqref="BD807" start="0" length="0">
      <dxf/>
    </rfmt>
    <rfmt sheetId="2" sqref="BE807" start="0" length="0">
      <dxf/>
    </rfmt>
    <rfmt sheetId="2" sqref="BF807" start="0" length="0">
      <dxf/>
    </rfmt>
    <rfmt sheetId="2" sqref="BG807" start="0" length="0">
      <dxf/>
    </rfmt>
    <rfmt sheetId="2" sqref="BH807" start="0" length="0">
      <dxf/>
    </rfmt>
    <rfmt sheetId="2" sqref="BI807" start="0" length="0">
      <dxf/>
    </rfmt>
    <rfmt sheetId="2" sqref="BJ807" start="0" length="0">
      <dxf/>
    </rfmt>
    <rfmt sheetId="2" sqref="BK807" start="0" length="0">
      <dxf/>
    </rfmt>
    <rfmt sheetId="2" sqref="BL807" start="0" length="0">
      <dxf/>
    </rfmt>
    <rfmt sheetId="2" sqref="BM807" start="0" length="0">
      <dxf/>
    </rfmt>
    <rfmt sheetId="2" sqref="BN807" start="0" length="0">
      <dxf/>
    </rfmt>
    <rfmt sheetId="2" sqref="BO807" start="0" length="0">
      <dxf/>
    </rfmt>
    <rfmt sheetId="2" sqref="BP807" start="0" length="0">
      <dxf/>
    </rfmt>
    <rfmt sheetId="2" sqref="BQ807" start="0" length="0">
      <dxf/>
    </rfmt>
    <rfmt sheetId="2" sqref="BR807" start="0" length="0">
      <dxf/>
    </rfmt>
    <rfmt sheetId="2" sqref="BS807" start="0" length="0">
      <dxf/>
    </rfmt>
    <rfmt sheetId="2" sqref="BT807" start="0" length="0">
      <dxf/>
    </rfmt>
    <rfmt sheetId="2" sqref="BU807" start="0" length="0">
      <dxf/>
    </rfmt>
    <rfmt sheetId="2" sqref="BV807" start="0" length="0">
      <dxf/>
    </rfmt>
    <rfmt sheetId="2" sqref="BW807" start="0" length="0">
      <dxf/>
    </rfmt>
    <rfmt sheetId="2" sqref="BX807" start="0" length="0">
      <dxf/>
    </rfmt>
    <rfmt sheetId="2" sqref="BY807" start="0" length="0">
      <dxf/>
    </rfmt>
    <rfmt sheetId="2" sqref="BZ807" start="0" length="0">
      <dxf/>
    </rfmt>
    <rfmt sheetId="2" sqref="CA807" start="0" length="0">
      <dxf/>
    </rfmt>
    <rfmt sheetId="2" sqref="CB807" start="0" length="0">
      <dxf/>
    </rfmt>
    <rfmt sheetId="2" sqref="CC807" start="0" length="0">
      <dxf/>
    </rfmt>
    <rfmt sheetId="2" sqref="CD807" start="0" length="0">
      <dxf/>
    </rfmt>
    <rfmt sheetId="2" sqref="CE807" start="0" length="0">
      <dxf/>
    </rfmt>
    <rfmt sheetId="2" sqref="CF807" start="0" length="0">
      <dxf/>
    </rfmt>
    <rfmt sheetId="2" sqref="CG807" start="0" length="0">
      <dxf/>
    </rfmt>
    <rfmt sheetId="2" sqref="CH807" start="0" length="0">
      <dxf/>
    </rfmt>
    <rfmt sheetId="2" sqref="CI807" start="0" length="0">
      <dxf/>
    </rfmt>
    <rfmt sheetId="2" sqref="CJ807" start="0" length="0">
      <dxf/>
    </rfmt>
    <rfmt sheetId="2" sqref="CK807" start="0" length="0">
      <dxf/>
    </rfmt>
    <rfmt sheetId="2" sqref="CL807" start="0" length="0">
      <dxf/>
    </rfmt>
    <rfmt sheetId="2" sqref="CM807" start="0" length="0">
      <dxf/>
    </rfmt>
    <rfmt sheetId="2" sqref="CN807" start="0" length="0">
      <dxf/>
    </rfmt>
    <rfmt sheetId="2" sqref="CO807" start="0" length="0">
      <dxf/>
    </rfmt>
    <rfmt sheetId="2" sqref="CP807" start="0" length="0">
      <dxf/>
    </rfmt>
    <rfmt sheetId="2" sqref="CQ807" start="0" length="0">
      <dxf/>
    </rfmt>
    <rfmt sheetId="2" sqref="CR807" start="0" length="0">
      <dxf/>
    </rfmt>
    <rfmt sheetId="2" sqref="CS807" start="0" length="0">
      <dxf/>
    </rfmt>
    <rfmt sheetId="2" sqref="CT807" start="0" length="0">
      <dxf/>
    </rfmt>
    <rfmt sheetId="2" sqref="CU807" start="0" length="0">
      <dxf/>
    </rfmt>
    <rfmt sheetId="2" sqref="CV807" start="0" length="0">
      <dxf/>
    </rfmt>
    <rfmt sheetId="2" sqref="CW807" start="0" length="0">
      <dxf/>
    </rfmt>
    <rfmt sheetId="2" sqref="CX807" start="0" length="0">
      <dxf/>
    </rfmt>
    <rfmt sheetId="2" sqref="CY807" start="0" length="0">
      <dxf/>
    </rfmt>
    <rfmt sheetId="2" sqref="CZ807" start="0" length="0">
      <dxf/>
    </rfmt>
    <rfmt sheetId="2" sqref="DA807" start="0" length="0">
      <dxf/>
    </rfmt>
    <rfmt sheetId="2" sqref="DB807" start="0" length="0">
      <dxf/>
    </rfmt>
    <rfmt sheetId="2" sqref="DC807" start="0" length="0">
      <dxf/>
    </rfmt>
    <rfmt sheetId="2" sqref="DD807" start="0" length="0">
      <dxf/>
    </rfmt>
    <rfmt sheetId="2" sqref="DE807" start="0" length="0">
      <dxf/>
    </rfmt>
    <rfmt sheetId="2" sqref="DF807" start="0" length="0">
      <dxf/>
    </rfmt>
    <rfmt sheetId="2" sqref="DG807" start="0" length="0">
      <dxf/>
    </rfmt>
    <rfmt sheetId="2" sqref="DH807" start="0" length="0">
      <dxf/>
    </rfmt>
    <rfmt sheetId="2" sqref="DI807" start="0" length="0">
      <dxf/>
    </rfmt>
    <rfmt sheetId="2" sqref="DJ807" start="0" length="0">
      <dxf/>
    </rfmt>
    <rfmt sheetId="2" sqref="DK807" start="0" length="0">
      <dxf/>
    </rfmt>
    <rfmt sheetId="2" sqref="DL807" start="0" length="0">
      <dxf/>
    </rfmt>
    <rfmt sheetId="2" sqref="DM807" start="0" length="0">
      <dxf/>
    </rfmt>
    <rfmt sheetId="2" sqref="DN807" start="0" length="0">
      <dxf/>
    </rfmt>
    <rfmt sheetId="2" sqref="DO807" start="0" length="0">
      <dxf/>
    </rfmt>
    <rfmt sheetId="2" sqref="DP807" start="0" length="0">
      <dxf/>
    </rfmt>
    <rfmt sheetId="2" sqref="DQ807" start="0" length="0">
      <dxf/>
    </rfmt>
    <rfmt sheetId="2" sqref="DR807" start="0" length="0">
      <dxf/>
    </rfmt>
    <rfmt sheetId="2" sqref="DS807" start="0" length="0">
      <dxf/>
    </rfmt>
    <rfmt sheetId="2" sqref="DT807" start="0" length="0">
      <dxf/>
    </rfmt>
    <rfmt sheetId="2" sqref="DU807" start="0" length="0">
      <dxf/>
    </rfmt>
    <rfmt sheetId="2" sqref="DV807" start="0" length="0">
      <dxf/>
    </rfmt>
    <rfmt sheetId="2" sqref="DW807" start="0" length="0">
      <dxf/>
    </rfmt>
    <rfmt sheetId="2" sqref="DX807" start="0" length="0">
      <dxf/>
    </rfmt>
    <rfmt sheetId="2" sqref="DY807" start="0" length="0">
      <dxf/>
    </rfmt>
    <rfmt sheetId="2" sqref="DZ807" start="0" length="0">
      <dxf/>
    </rfmt>
    <rfmt sheetId="2" sqref="EA807" start="0" length="0">
      <dxf/>
    </rfmt>
    <rfmt sheetId="2" sqref="EB807" start="0" length="0">
      <dxf/>
    </rfmt>
    <rfmt sheetId="2" sqref="EC807" start="0" length="0">
      <dxf/>
    </rfmt>
    <rfmt sheetId="2" sqref="ED807" start="0" length="0">
      <dxf/>
    </rfmt>
    <rfmt sheetId="2" sqref="EE807" start="0" length="0">
      <dxf/>
    </rfmt>
    <rfmt sheetId="2" sqref="EF807" start="0" length="0">
      <dxf/>
    </rfmt>
    <rfmt sheetId="2" sqref="EG807" start="0" length="0">
      <dxf/>
    </rfmt>
    <rfmt sheetId="2" sqref="EH807" start="0" length="0">
      <dxf/>
    </rfmt>
    <rfmt sheetId="2" sqref="EI807" start="0" length="0">
      <dxf/>
    </rfmt>
    <rfmt sheetId="2" sqref="EJ807" start="0" length="0">
      <dxf/>
    </rfmt>
    <rfmt sheetId="2" sqref="EK807" start="0" length="0">
      <dxf/>
    </rfmt>
    <rfmt sheetId="2" sqref="EL807" start="0" length="0">
      <dxf/>
    </rfmt>
    <rfmt sheetId="2" sqref="EM807" start="0" length="0">
      <dxf/>
    </rfmt>
    <rfmt sheetId="2" sqref="EN807" start="0" length="0">
      <dxf/>
    </rfmt>
    <rfmt sheetId="2" sqref="EO807" start="0" length="0">
      <dxf/>
    </rfmt>
    <rfmt sheetId="2" sqref="EP807" start="0" length="0">
      <dxf/>
    </rfmt>
    <rfmt sheetId="2" sqref="EQ807" start="0" length="0">
      <dxf/>
    </rfmt>
    <rfmt sheetId="2" sqref="ER807" start="0" length="0">
      <dxf/>
    </rfmt>
    <rfmt sheetId="2" sqref="ES807" start="0" length="0">
      <dxf/>
    </rfmt>
    <rfmt sheetId="2" sqref="ET807" start="0" length="0">
      <dxf/>
    </rfmt>
    <rfmt sheetId="2" sqref="EU807" start="0" length="0">
      <dxf/>
    </rfmt>
    <rfmt sheetId="2" sqref="EV807" start="0" length="0">
      <dxf/>
    </rfmt>
    <rfmt sheetId="2" sqref="EW807" start="0" length="0">
      <dxf/>
    </rfmt>
    <rfmt sheetId="2" sqref="EX807" start="0" length="0">
      <dxf/>
    </rfmt>
    <rfmt sheetId="2" sqref="EY807" start="0" length="0">
      <dxf/>
    </rfmt>
    <rfmt sheetId="2" sqref="EZ807" start="0" length="0">
      <dxf/>
    </rfmt>
    <rfmt sheetId="2" sqref="FA807" start="0" length="0">
      <dxf/>
    </rfmt>
    <rfmt sheetId="2" sqref="FB807" start="0" length="0">
      <dxf/>
    </rfmt>
    <rfmt sheetId="2" sqref="FC807" start="0" length="0">
      <dxf/>
    </rfmt>
    <rfmt sheetId="2" sqref="FD807" start="0" length="0">
      <dxf/>
    </rfmt>
    <rfmt sheetId="2" sqref="FE807" start="0" length="0">
      <dxf/>
    </rfmt>
    <rfmt sheetId="2" sqref="FF807" start="0" length="0">
      <dxf/>
    </rfmt>
    <rfmt sheetId="2" sqref="FG807" start="0" length="0">
      <dxf/>
    </rfmt>
    <rfmt sheetId="2" sqref="FH807" start="0" length="0">
      <dxf/>
    </rfmt>
    <rfmt sheetId="2" sqref="FI807" start="0" length="0">
      <dxf/>
    </rfmt>
    <rfmt sheetId="2" sqref="FJ807" start="0" length="0">
      <dxf/>
    </rfmt>
    <rfmt sheetId="2" sqref="FK807" start="0" length="0">
      <dxf/>
    </rfmt>
    <rfmt sheetId="2" sqref="FL807" start="0" length="0">
      <dxf/>
    </rfmt>
    <rfmt sheetId="2" sqref="FM807" start="0" length="0">
      <dxf/>
    </rfmt>
    <rfmt sheetId="2" sqref="FN807" start="0" length="0">
      <dxf/>
    </rfmt>
    <rfmt sheetId="2" sqref="FO807" start="0" length="0">
      <dxf/>
    </rfmt>
    <rfmt sheetId="2" sqref="FP807" start="0" length="0">
      <dxf/>
    </rfmt>
    <rfmt sheetId="2" sqref="FQ807" start="0" length="0">
      <dxf/>
    </rfmt>
    <rfmt sheetId="2" sqref="FR807" start="0" length="0">
      <dxf/>
    </rfmt>
    <rfmt sheetId="2" sqref="FS807" start="0" length="0">
      <dxf/>
    </rfmt>
    <rfmt sheetId="2" sqref="FT807" start="0" length="0">
      <dxf/>
    </rfmt>
    <rfmt sheetId="2" sqref="FU807" start="0" length="0">
      <dxf/>
    </rfmt>
    <rfmt sheetId="2" sqref="FV807" start="0" length="0">
      <dxf/>
    </rfmt>
    <rfmt sheetId="2" sqref="FW807" start="0" length="0">
      <dxf/>
    </rfmt>
    <rfmt sheetId="2" sqref="FX807" start="0" length="0">
      <dxf/>
    </rfmt>
    <rfmt sheetId="2" sqref="FY807" start="0" length="0">
      <dxf/>
    </rfmt>
    <rfmt sheetId="2" sqref="FZ807" start="0" length="0">
      <dxf/>
    </rfmt>
    <rfmt sheetId="2" sqref="GA807" start="0" length="0">
      <dxf/>
    </rfmt>
    <rfmt sheetId="2" sqref="GB807" start="0" length="0">
      <dxf/>
    </rfmt>
    <rfmt sheetId="2" sqref="GC807" start="0" length="0">
      <dxf/>
    </rfmt>
    <rfmt sheetId="2" sqref="GD807" start="0" length="0">
      <dxf/>
    </rfmt>
    <rfmt sheetId="2" sqref="GE807" start="0" length="0">
      <dxf/>
    </rfmt>
    <rfmt sheetId="2" sqref="GF807" start="0" length="0">
      <dxf/>
    </rfmt>
    <rfmt sheetId="2" sqref="GG807" start="0" length="0">
      <dxf/>
    </rfmt>
    <rfmt sheetId="2" sqref="GH807" start="0" length="0">
      <dxf/>
    </rfmt>
    <rfmt sheetId="2" sqref="GI807" start="0" length="0">
      <dxf/>
    </rfmt>
    <rfmt sheetId="2" sqref="GJ807" start="0" length="0">
      <dxf/>
    </rfmt>
    <rfmt sheetId="2" sqref="GK807" start="0" length="0">
      <dxf/>
    </rfmt>
    <rfmt sheetId="2" sqref="GL807" start="0" length="0">
      <dxf/>
    </rfmt>
    <rfmt sheetId="2" sqref="GM807" start="0" length="0">
      <dxf/>
    </rfmt>
    <rfmt sheetId="2" sqref="GN807" start="0" length="0">
      <dxf/>
    </rfmt>
    <rfmt sheetId="2" sqref="GO807" start="0" length="0">
      <dxf/>
    </rfmt>
    <rfmt sheetId="2" sqref="GP807" start="0" length="0">
      <dxf/>
    </rfmt>
    <rfmt sheetId="2" sqref="GQ807" start="0" length="0">
      <dxf/>
    </rfmt>
    <rfmt sheetId="2" sqref="GR807" start="0" length="0">
      <dxf/>
    </rfmt>
    <rfmt sheetId="2" sqref="GS807" start="0" length="0">
      <dxf/>
    </rfmt>
    <rfmt sheetId="2" sqref="GT807" start="0" length="0">
      <dxf/>
    </rfmt>
    <rfmt sheetId="2" sqref="GU807" start="0" length="0">
      <dxf/>
    </rfmt>
    <rfmt sheetId="2" sqref="GV807" start="0" length="0">
      <dxf/>
    </rfmt>
    <rfmt sheetId="2" sqref="GW807" start="0" length="0">
      <dxf/>
    </rfmt>
    <rfmt sheetId="2" sqref="GX807" start="0" length="0">
      <dxf/>
    </rfmt>
    <rfmt sheetId="2" sqref="GY807" start="0" length="0">
      <dxf/>
    </rfmt>
    <rfmt sheetId="2" sqref="GZ807" start="0" length="0">
      <dxf/>
    </rfmt>
    <rfmt sheetId="2" sqref="HA807" start="0" length="0">
      <dxf/>
    </rfmt>
    <rfmt sheetId="2" sqref="HB807" start="0" length="0">
      <dxf/>
    </rfmt>
    <rfmt sheetId="2" sqref="HC807" start="0" length="0">
      <dxf/>
    </rfmt>
    <rfmt sheetId="2" sqref="HD807" start="0" length="0">
      <dxf/>
    </rfmt>
    <rfmt sheetId="2" sqref="HE807" start="0" length="0">
      <dxf/>
    </rfmt>
    <rfmt sheetId="2" sqref="HF807" start="0" length="0">
      <dxf/>
    </rfmt>
    <rfmt sheetId="2" sqref="HG807" start="0" length="0">
      <dxf/>
    </rfmt>
    <rfmt sheetId="2" sqref="HH807" start="0" length="0">
      <dxf/>
    </rfmt>
    <rfmt sheetId="2" sqref="HI807" start="0" length="0">
      <dxf/>
    </rfmt>
    <rfmt sheetId="2" sqref="HJ807" start="0" length="0">
      <dxf/>
    </rfmt>
    <rfmt sheetId="2" sqref="HK807" start="0" length="0">
      <dxf/>
    </rfmt>
    <rfmt sheetId="2" sqref="HL807" start="0" length="0">
      <dxf/>
    </rfmt>
    <rfmt sheetId="2" sqref="HM807" start="0" length="0">
      <dxf/>
    </rfmt>
    <rfmt sheetId="2" sqref="HN807" start="0" length="0">
      <dxf/>
    </rfmt>
    <rfmt sheetId="2" sqref="HO807" start="0" length="0">
      <dxf/>
    </rfmt>
    <rfmt sheetId="2" sqref="HP807" start="0" length="0">
      <dxf/>
    </rfmt>
    <rfmt sheetId="2" sqref="HQ807" start="0" length="0">
      <dxf/>
    </rfmt>
    <rfmt sheetId="2" sqref="HR807" start="0" length="0">
      <dxf/>
    </rfmt>
    <rfmt sheetId="2" sqref="HS807" start="0" length="0">
      <dxf/>
    </rfmt>
    <rfmt sheetId="2" sqref="HT807" start="0" length="0">
      <dxf/>
    </rfmt>
    <rfmt sheetId="2" sqref="HU807" start="0" length="0">
      <dxf/>
    </rfmt>
    <rfmt sheetId="2" sqref="HV807" start="0" length="0">
      <dxf/>
    </rfmt>
    <rfmt sheetId="2" sqref="HW807" start="0" length="0">
      <dxf/>
    </rfmt>
    <rfmt sheetId="2" sqref="HX807" start="0" length="0">
      <dxf/>
    </rfmt>
    <rfmt sheetId="2" sqref="HY807" start="0" length="0">
      <dxf/>
    </rfmt>
    <rfmt sheetId="2" sqref="HZ807" start="0" length="0">
      <dxf/>
    </rfmt>
    <rfmt sheetId="2" sqref="IA807" start="0" length="0">
      <dxf/>
    </rfmt>
    <rfmt sheetId="2" sqref="IB807" start="0" length="0">
      <dxf/>
    </rfmt>
    <rfmt sheetId="2" sqref="IC807" start="0" length="0">
      <dxf/>
    </rfmt>
    <rfmt sheetId="2" sqref="ID807" start="0" length="0">
      <dxf/>
    </rfmt>
    <rfmt sheetId="2" sqref="IE807" start="0" length="0">
      <dxf/>
    </rfmt>
    <rfmt sheetId="2" sqref="IF807" start="0" length="0">
      <dxf/>
    </rfmt>
    <rfmt sheetId="2" sqref="IG807" start="0" length="0">
      <dxf/>
    </rfmt>
    <rfmt sheetId="2" sqref="IH807" start="0" length="0">
      <dxf/>
    </rfmt>
    <rfmt sheetId="2" sqref="II807" start="0" length="0">
      <dxf/>
    </rfmt>
    <rfmt sheetId="2" sqref="IJ807" start="0" length="0">
      <dxf/>
    </rfmt>
    <rfmt sheetId="2" sqref="IK807" start="0" length="0">
      <dxf/>
    </rfmt>
    <rfmt sheetId="2" sqref="IL807" start="0" length="0">
      <dxf/>
    </rfmt>
    <rfmt sheetId="2" sqref="IM807" start="0" length="0">
      <dxf/>
    </rfmt>
    <rfmt sheetId="2" sqref="IN807" start="0" length="0">
      <dxf/>
    </rfmt>
    <rfmt sheetId="2" sqref="IO807" start="0" length="0">
      <dxf/>
    </rfmt>
    <rfmt sheetId="2" sqref="IP807" start="0" length="0">
      <dxf/>
    </rfmt>
    <rfmt sheetId="2" sqref="IQ807" start="0" length="0">
      <dxf/>
    </rfmt>
    <rfmt sheetId="2" sqref="IR807" start="0" length="0">
      <dxf/>
    </rfmt>
    <rfmt sheetId="2" sqref="IS807" start="0" length="0">
      <dxf/>
    </rfmt>
    <rfmt sheetId="2" sqref="IT807" start="0" length="0">
      <dxf/>
    </rfmt>
    <rfmt sheetId="2" sqref="IU807" start="0" length="0">
      <dxf/>
    </rfmt>
    <rfmt sheetId="2" sqref="IV807" start="0" length="0">
      <dxf/>
    </rfmt>
    <rfmt sheetId="2" sqref="IW807" start="0" length="0">
      <dxf/>
    </rfmt>
    <rfmt sheetId="2" sqref="IX807" start="0" length="0">
      <dxf/>
    </rfmt>
    <rfmt sheetId="2" sqref="IY807" start="0" length="0">
      <dxf/>
    </rfmt>
    <rfmt sheetId="2" sqref="IZ807" start="0" length="0">
      <dxf/>
    </rfmt>
    <rfmt sheetId="2" sqref="JA807" start="0" length="0">
      <dxf/>
    </rfmt>
    <rfmt sheetId="2" sqref="JB807" start="0" length="0">
      <dxf/>
    </rfmt>
    <rfmt sheetId="2" sqref="JC807" start="0" length="0">
      <dxf/>
    </rfmt>
    <rfmt sheetId="2" sqref="JD807" start="0" length="0">
      <dxf/>
    </rfmt>
    <rfmt sheetId="2" sqref="JE807" start="0" length="0">
      <dxf/>
    </rfmt>
    <rfmt sheetId="2" sqref="JF807" start="0" length="0">
      <dxf/>
    </rfmt>
    <rfmt sheetId="2" sqref="JG807" start="0" length="0">
      <dxf/>
    </rfmt>
    <rfmt sheetId="2" sqref="JH807" start="0" length="0">
      <dxf/>
    </rfmt>
    <rfmt sheetId="2" sqref="JI807" start="0" length="0">
      <dxf/>
    </rfmt>
    <rfmt sheetId="2" sqref="JJ807" start="0" length="0">
      <dxf/>
    </rfmt>
    <rfmt sheetId="2" sqref="JK807" start="0" length="0">
      <dxf/>
    </rfmt>
    <rfmt sheetId="2" sqref="JL807" start="0" length="0">
      <dxf/>
    </rfmt>
    <rfmt sheetId="2" sqref="JM807" start="0" length="0">
      <dxf/>
    </rfmt>
    <rfmt sheetId="2" sqref="JN807" start="0" length="0">
      <dxf/>
    </rfmt>
    <rfmt sheetId="2" sqref="JO807" start="0" length="0">
      <dxf/>
    </rfmt>
    <rfmt sheetId="2" sqref="JP807" start="0" length="0">
      <dxf/>
    </rfmt>
    <rfmt sheetId="2" sqref="JQ807" start="0" length="0">
      <dxf/>
    </rfmt>
    <rfmt sheetId="2" sqref="JR807" start="0" length="0">
      <dxf/>
    </rfmt>
    <rfmt sheetId="2" sqref="JS807" start="0" length="0">
      <dxf/>
    </rfmt>
    <rfmt sheetId="2" sqref="JT807" start="0" length="0">
      <dxf/>
    </rfmt>
    <rfmt sheetId="2" sqref="JU807" start="0" length="0">
      <dxf/>
    </rfmt>
    <rfmt sheetId="2" sqref="JV807" start="0" length="0">
      <dxf/>
    </rfmt>
    <rfmt sheetId="2" sqref="JW807" start="0" length="0">
      <dxf/>
    </rfmt>
    <rfmt sheetId="2" sqref="JX807" start="0" length="0">
      <dxf/>
    </rfmt>
    <rfmt sheetId="2" sqref="JY807" start="0" length="0">
      <dxf/>
    </rfmt>
    <rfmt sheetId="2" sqref="JZ807" start="0" length="0">
      <dxf/>
    </rfmt>
    <rfmt sheetId="2" sqref="KA807" start="0" length="0">
      <dxf/>
    </rfmt>
    <rfmt sheetId="2" sqref="KB807" start="0" length="0">
      <dxf/>
    </rfmt>
    <rfmt sheetId="2" sqref="KC807" start="0" length="0">
      <dxf/>
    </rfmt>
    <rfmt sheetId="2" sqref="KD807" start="0" length="0">
      <dxf/>
    </rfmt>
    <rfmt sheetId="2" sqref="KE807" start="0" length="0">
      <dxf/>
    </rfmt>
    <rfmt sheetId="2" sqref="KF807" start="0" length="0">
      <dxf/>
    </rfmt>
    <rfmt sheetId="2" sqref="KG807" start="0" length="0">
      <dxf/>
    </rfmt>
    <rfmt sheetId="2" sqref="KH807" start="0" length="0">
      <dxf/>
    </rfmt>
    <rfmt sheetId="2" sqref="KI807" start="0" length="0">
      <dxf/>
    </rfmt>
    <rfmt sheetId="2" sqref="KJ807" start="0" length="0">
      <dxf/>
    </rfmt>
    <rfmt sheetId="2" sqref="KK807" start="0" length="0">
      <dxf/>
    </rfmt>
    <rfmt sheetId="2" sqref="KL807" start="0" length="0">
      <dxf/>
    </rfmt>
    <rfmt sheetId="2" sqref="KM807" start="0" length="0">
      <dxf/>
    </rfmt>
    <rfmt sheetId="2" sqref="KN807" start="0" length="0">
      <dxf/>
    </rfmt>
    <rfmt sheetId="2" sqref="KO807" start="0" length="0">
      <dxf/>
    </rfmt>
    <rfmt sheetId="2" sqref="KP807" start="0" length="0">
      <dxf/>
    </rfmt>
    <rfmt sheetId="2" sqref="KQ807" start="0" length="0">
      <dxf/>
    </rfmt>
    <rfmt sheetId="2" sqref="KR807" start="0" length="0">
      <dxf/>
    </rfmt>
    <rfmt sheetId="2" sqref="KS807" start="0" length="0">
      <dxf/>
    </rfmt>
    <rfmt sheetId="2" sqref="KT807" start="0" length="0">
      <dxf/>
    </rfmt>
    <rfmt sheetId="2" sqref="KU807" start="0" length="0">
      <dxf/>
    </rfmt>
    <rfmt sheetId="2" sqref="KV807" start="0" length="0">
      <dxf/>
    </rfmt>
    <rfmt sheetId="2" sqref="KW807" start="0" length="0">
      <dxf/>
    </rfmt>
    <rfmt sheetId="2" sqref="KX807" start="0" length="0">
      <dxf/>
    </rfmt>
    <rfmt sheetId="2" sqref="KY807" start="0" length="0">
      <dxf/>
    </rfmt>
    <rfmt sheetId="2" sqref="KZ807" start="0" length="0">
      <dxf/>
    </rfmt>
    <rfmt sheetId="2" sqref="LA807" start="0" length="0">
      <dxf/>
    </rfmt>
    <rfmt sheetId="2" sqref="LB807" start="0" length="0">
      <dxf/>
    </rfmt>
    <rfmt sheetId="2" sqref="LC807" start="0" length="0">
      <dxf/>
    </rfmt>
    <rfmt sheetId="2" sqref="LD807" start="0" length="0">
      <dxf/>
    </rfmt>
    <rfmt sheetId="2" sqref="LE807" start="0" length="0">
      <dxf/>
    </rfmt>
    <rfmt sheetId="2" sqref="LF807" start="0" length="0">
      <dxf/>
    </rfmt>
    <rfmt sheetId="2" sqref="LG807" start="0" length="0">
      <dxf/>
    </rfmt>
    <rfmt sheetId="2" sqref="LH807" start="0" length="0">
      <dxf/>
    </rfmt>
    <rfmt sheetId="2" sqref="LI807" start="0" length="0">
      <dxf/>
    </rfmt>
    <rfmt sheetId="2" sqref="LJ807" start="0" length="0">
      <dxf/>
    </rfmt>
    <rfmt sheetId="2" sqref="LK807" start="0" length="0">
      <dxf/>
    </rfmt>
    <rfmt sheetId="2" sqref="LL807" start="0" length="0">
      <dxf/>
    </rfmt>
    <rfmt sheetId="2" sqref="LM807" start="0" length="0">
      <dxf/>
    </rfmt>
    <rfmt sheetId="2" sqref="LN807" start="0" length="0">
      <dxf/>
    </rfmt>
    <rfmt sheetId="2" sqref="LO807" start="0" length="0">
      <dxf/>
    </rfmt>
    <rfmt sheetId="2" sqref="LP807" start="0" length="0">
      <dxf/>
    </rfmt>
    <rfmt sheetId="2" sqref="LQ807" start="0" length="0">
      <dxf/>
    </rfmt>
    <rfmt sheetId="2" sqref="LR807" start="0" length="0">
      <dxf/>
    </rfmt>
    <rfmt sheetId="2" sqref="LS807" start="0" length="0">
      <dxf/>
    </rfmt>
    <rfmt sheetId="2" sqref="LT807" start="0" length="0">
      <dxf/>
    </rfmt>
    <rfmt sheetId="2" sqref="LU807" start="0" length="0">
      <dxf/>
    </rfmt>
    <rfmt sheetId="2" sqref="LV807" start="0" length="0">
      <dxf/>
    </rfmt>
    <rfmt sheetId="2" sqref="LW807" start="0" length="0">
      <dxf/>
    </rfmt>
    <rfmt sheetId="2" sqref="LX807" start="0" length="0">
      <dxf/>
    </rfmt>
    <rfmt sheetId="2" sqref="LY807" start="0" length="0">
      <dxf/>
    </rfmt>
    <rfmt sheetId="2" sqref="LZ807" start="0" length="0">
      <dxf/>
    </rfmt>
    <rfmt sheetId="2" sqref="MA807" start="0" length="0">
      <dxf/>
    </rfmt>
    <rfmt sheetId="2" sqref="MB807" start="0" length="0">
      <dxf/>
    </rfmt>
    <rfmt sheetId="2" sqref="A80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8" start="0" length="0">
      <dxf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80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80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80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80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8" start="0" length="0">
      <dxf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8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8" start="0" length="0">
      <dxf>
        <numFmt numFmtId="25" formatCode="hh:mm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8" start="0" length="0">
      <dxf>
        <numFmt numFmtId="176" formatCode="m/d;@"/>
      </dxf>
    </rfmt>
    <rfmt sheetId="2" sqref="P80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8" start="0" length="0">
      <dxf/>
    </rfmt>
    <rfmt sheetId="2" sqref="U808" start="0" length="0">
      <dxf/>
    </rfmt>
    <rfmt sheetId="2" sqref="V808" start="0" length="0">
      <dxf/>
    </rfmt>
    <rfmt sheetId="2" sqref="W808" start="0" length="0">
      <dxf/>
    </rfmt>
    <rfmt sheetId="2" sqref="X808" start="0" length="0">
      <dxf/>
    </rfmt>
    <rfmt sheetId="2" sqref="Y808" start="0" length="0">
      <dxf/>
    </rfmt>
    <rfmt sheetId="2" sqref="Z808" start="0" length="0">
      <dxf/>
    </rfmt>
    <rfmt sheetId="2" sqref="AA808" start="0" length="0">
      <dxf/>
    </rfmt>
    <rfmt sheetId="2" sqref="AB808" start="0" length="0">
      <dxf/>
    </rfmt>
    <rfmt sheetId="2" sqref="AC808" start="0" length="0">
      <dxf/>
    </rfmt>
    <rfmt sheetId="2" sqref="AD808" start="0" length="0">
      <dxf/>
    </rfmt>
    <rfmt sheetId="2" sqref="AE808" start="0" length="0">
      <dxf/>
    </rfmt>
    <rfmt sheetId="2" sqref="AF808" start="0" length="0">
      <dxf/>
    </rfmt>
    <rfmt sheetId="2" sqref="AG808" start="0" length="0">
      <dxf/>
    </rfmt>
    <rfmt sheetId="2" sqref="AH808" start="0" length="0">
      <dxf/>
    </rfmt>
    <rfmt sheetId="2" sqref="AI808" start="0" length="0">
      <dxf/>
    </rfmt>
    <rfmt sheetId="2" sqref="AJ808" start="0" length="0">
      <dxf/>
    </rfmt>
    <rfmt sheetId="2" sqref="AK808" start="0" length="0">
      <dxf/>
    </rfmt>
    <rfmt sheetId="2" sqref="AL808" start="0" length="0">
      <dxf/>
    </rfmt>
    <rfmt sheetId="2" sqref="AM808" start="0" length="0">
      <dxf/>
    </rfmt>
    <rfmt sheetId="2" sqref="AN808" start="0" length="0">
      <dxf/>
    </rfmt>
    <rfmt sheetId="2" sqref="AO808" start="0" length="0">
      <dxf/>
    </rfmt>
    <rfmt sheetId="2" sqref="AP808" start="0" length="0">
      <dxf/>
    </rfmt>
    <rfmt sheetId="2" sqref="AQ808" start="0" length="0">
      <dxf/>
    </rfmt>
    <rfmt sheetId="2" sqref="AR808" start="0" length="0">
      <dxf/>
    </rfmt>
    <rfmt sheetId="2" sqref="AS808" start="0" length="0">
      <dxf/>
    </rfmt>
    <rfmt sheetId="2" sqref="AT808" start="0" length="0">
      <dxf/>
    </rfmt>
    <rfmt sheetId="2" sqref="AU808" start="0" length="0">
      <dxf/>
    </rfmt>
    <rfmt sheetId="2" sqref="AV808" start="0" length="0">
      <dxf/>
    </rfmt>
    <rfmt sheetId="2" sqref="AW808" start="0" length="0">
      <dxf/>
    </rfmt>
    <rfmt sheetId="2" sqref="AX808" start="0" length="0">
      <dxf/>
    </rfmt>
    <rfmt sheetId="2" sqref="AY808" start="0" length="0">
      <dxf/>
    </rfmt>
    <rfmt sheetId="2" sqref="AZ808" start="0" length="0">
      <dxf/>
    </rfmt>
    <rfmt sheetId="2" sqref="BA808" start="0" length="0">
      <dxf/>
    </rfmt>
    <rfmt sheetId="2" sqref="BB808" start="0" length="0">
      <dxf/>
    </rfmt>
    <rfmt sheetId="2" sqref="BC808" start="0" length="0">
      <dxf/>
    </rfmt>
    <rfmt sheetId="2" sqref="BD808" start="0" length="0">
      <dxf/>
    </rfmt>
    <rfmt sheetId="2" sqref="BE808" start="0" length="0">
      <dxf/>
    </rfmt>
    <rfmt sheetId="2" sqref="BF808" start="0" length="0">
      <dxf/>
    </rfmt>
    <rfmt sheetId="2" sqref="BG808" start="0" length="0">
      <dxf/>
    </rfmt>
    <rfmt sheetId="2" sqref="BH808" start="0" length="0">
      <dxf/>
    </rfmt>
    <rfmt sheetId="2" sqref="BI808" start="0" length="0">
      <dxf/>
    </rfmt>
    <rfmt sheetId="2" sqref="BJ808" start="0" length="0">
      <dxf/>
    </rfmt>
    <rfmt sheetId="2" sqref="BK808" start="0" length="0">
      <dxf/>
    </rfmt>
    <rfmt sheetId="2" sqref="BL808" start="0" length="0">
      <dxf/>
    </rfmt>
    <rfmt sheetId="2" sqref="BM808" start="0" length="0">
      <dxf/>
    </rfmt>
    <rfmt sheetId="2" sqref="BN808" start="0" length="0">
      <dxf/>
    </rfmt>
    <rfmt sheetId="2" sqref="BO808" start="0" length="0">
      <dxf/>
    </rfmt>
    <rfmt sheetId="2" sqref="BP808" start="0" length="0">
      <dxf/>
    </rfmt>
    <rfmt sheetId="2" sqref="BQ808" start="0" length="0">
      <dxf/>
    </rfmt>
    <rfmt sheetId="2" sqref="BR808" start="0" length="0">
      <dxf/>
    </rfmt>
    <rfmt sheetId="2" sqref="BS808" start="0" length="0">
      <dxf/>
    </rfmt>
    <rfmt sheetId="2" sqref="BT808" start="0" length="0">
      <dxf/>
    </rfmt>
    <rfmt sheetId="2" sqref="BU808" start="0" length="0">
      <dxf/>
    </rfmt>
    <rfmt sheetId="2" sqref="BV808" start="0" length="0">
      <dxf/>
    </rfmt>
    <rfmt sheetId="2" sqref="BW808" start="0" length="0">
      <dxf/>
    </rfmt>
    <rfmt sheetId="2" sqref="BX808" start="0" length="0">
      <dxf/>
    </rfmt>
    <rfmt sheetId="2" sqref="BY808" start="0" length="0">
      <dxf/>
    </rfmt>
    <rfmt sheetId="2" sqref="BZ808" start="0" length="0">
      <dxf/>
    </rfmt>
    <rfmt sheetId="2" sqref="CA808" start="0" length="0">
      <dxf/>
    </rfmt>
    <rfmt sheetId="2" sqref="CB808" start="0" length="0">
      <dxf/>
    </rfmt>
    <rfmt sheetId="2" sqref="CC808" start="0" length="0">
      <dxf/>
    </rfmt>
    <rfmt sheetId="2" sqref="CD808" start="0" length="0">
      <dxf/>
    </rfmt>
    <rfmt sheetId="2" sqref="CE808" start="0" length="0">
      <dxf/>
    </rfmt>
    <rfmt sheetId="2" sqref="CF808" start="0" length="0">
      <dxf/>
    </rfmt>
    <rfmt sheetId="2" sqref="CG808" start="0" length="0">
      <dxf/>
    </rfmt>
    <rfmt sheetId="2" sqref="CH808" start="0" length="0">
      <dxf/>
    </rfmt>
    <rfmt sheetId="2" sqref="CI808" start="0" length="0">
      <dxf/>
    </rfmt>
    <rfmt sheetId="2" sqref="CJ808" start="0" length="0">
      <dxf/>
    </rfmt>
    <rfmt sheetId="2" sqref="CK808" start="0" length="0">
      <dxf/>
    </rfmt>
    <rfmt sheetId="2" sqref="CL808" start="0" length="0">
      <dxf/>
    </rfmt>
    <rfmt sheetId="2" sqref="CM808" start="0" length="0">
      <dxf/>
    </rfmt>
    <rfmt sheetId="2" sqref="CN808" start="0" length="0">
      <dxf/>
    </rfmt>
    <rfmt sheetId="2" sqref="CO808" start="0" length="0">
      <dxf/>
    </rfmt>
    <rfmt sheetId="2" sqref="CP808" start="0" length="0">
      <dxf/>
    </rfmt>
    <rfmt sheetId="2" sqref="CQ808" start="0" length="0">
      <dxf/>
    </rfmt>
    <rfmt sheetId="2" sqref="CR808" start="0" length="0">
      <dxf/>
    </rfmt>
    <rfmt sheetId="2" sqref="CS808" start="0" length="0">
      <dxf/>
    </rfmt>
    <rfmt sheetId="2" sqref="CT808" start="0" length="0">
      <dxf/>
    </rfmt>
    <rfmt sheetId="2" sqref="CU808" start="0" length="0">
      <dxf/>
    </rfmt>
    <rfmt sheetId="2" sqref="CV808" start="0" length="0">
      <dxf/>
    </rfmt>
    <rfmt sheetId="2" sqref="CW808" start="0" length="0">
      <dxf/>
    </rfmt>
    <rfmt sheetId="2" sqref="CX808" start="0" length="0">
      <dxf/>
    </rfmt>
    <rfmt sheetId="2" sqref="CY808" start="0" length="0">
      <dxf/>
    </rfmt>
    <rfmt sheetId="2" sqref="CZ808" start="0" length="0">
      <dxf/>
    </rfmt>
    <rfmt sheetId="2" sqref="DA808" start="0" length="0">
      <dxf/>
    </rfmt>
    <rfmt sheetId="2" sqref="DB808" start="0" length="0">
      <dxf/>
    </rfmt>
    <rfmt sheetId="2" sqref="DC808" start="0" length="0">
      <dxf/>
    </rfmt>
    <rfmt sheetId="2" sqref="DD808" start="0" length="0">
      <dxf/>
    </rfmt>
    <rfmt sheetId="2" sqref="DE808" start="0" length="0">
      <dxf/>
    </rfmt>
    <rfmt sheetId="2" sqref="DF808" start="0" length="0">
      <dxf/>
    </rfmt>
    <rfmt sheetId="2" sqref="DG808" start="0" length="0">
      <dxf/>
    </rfmt>
    <rfmt sheetId="2" sqref="DH808" start="0" length="0">
      <dxf/>
    </rfmt>
    <rfmt sheetId="2" sqref="DI808" start="0" length="0">
      <dxf/>
    </rfmt>
    <rfmt sheetId="2" sqref="DJ808" start="0" length="0">
      <dxf/>
    </rfmt>
    <rfmt sheetId="2" sqref="DK808" start="0" length="0">
      <dxf/>
    </rfmt>
    <rfmt sheetId="2" sqref="DL808" start="0" length="0">
      <dxf/>
    </rfmt>
    <rfmt sheetId="2" sqref="DM808" start="0" length="0">
      <dxf/>
    </rfmt>
    <rfmt sheetId="2" sqref="DN808" start="0" length="0">
      <dxf/>
    </rfmt>
    <rfmt sheetId="2" sqref="DO808" start="0" length="0">
      <dxf/>
    </rfmt>
    <rfmt sheetId="2" sqref="DP808" start="0" length="0">
      <dxf/>
    </rfmt>
    <rfmt sheetId="2" sqref="DQ808" start="0" length="0">
      <dxf/>
    </rfmt>
    <rfmt sheetId="2" sqref="DR808" start="0" length="0">
      <dxf/>
    </rfmt>
    <rfmt sheetId="2" sqref="DS808" start="0" length="0">
      <dxf/>
    </rfmt>
    <rfmt sheetId="2" sqref="DT808" start="0" length="0">
      <dxf/>
    </rfmt>
    <rfmt sheetId="2" sqref="DU808" start="0" length="0">
      <dxf/>
    </rfmt>
    <rfmt sheetId="2" sqref="DV808" start="0" length="0">
      <dxf/>
    </rfmt>
    <rfmt sheetId="2" sqref="DW808" start="0" length="0">
      <dxf/>
    </rfmt>
    <rfmt sheetId="2" sqref="DX808" start="0" length="0">
      <dxf/>
    </rfmt>
    <rfmt sheetId="2" sqref="DY808" start="0" length="0">
      <dxf/>
    </rfmt>
    <rfmt sheetId="2" sqref="DZ808" start="0" length="0">
      <dxf/>
    </rfmt>
    <rfmt sheetId="2" sqref="EA808" start="0" length="0">
      <dxf/>
    </rfmt>
    <rfmt sheetId="2" sqref="EB808" start="0" length="0">
      <dxf/>
    </rfmt>
    <rfmt sheetId="2" sqref="EC808" start="0" length="0">
      <dxf/>
    </rfmt>
    <rfmt sheetId="2" sqref="ED808" start="0" length="0">
      <dxf/>
    </rfmt>
    <rfmt sheetId="2" sqref="EE808" start="0" length="0">
      <dxf/>
    </rfmt>
    <rfmt sheetId="2" sqref="EF808" start="0" length="0">
      <dxf/>
    </rfmt>
    <rfmt sheetId="2" sqref="EG808" start="0" length="0">
      <dxf/>
    </rfmt>
    <rfmt sheetId="2" sqref="EH808" start="0" length="0">
      <dxf/>
    </rfmt>
    <rfmt sheetId="2" sqref="EI808" start="0" length="0">
      <dxf/>
    </rfmt>
    <rfmt sheetId="2" sqref="EJ808" start="0" length="0">
      <dxf/>
    </rfmt>
    <rfmt sheetId="2" sqref="EK808" start="0" length="0">
      <dxf/>
    </rfmt>
    <rfmt sheetId="2" sqref="EL808" start="0" length="0">
      <dxf/>
    </rfmt>
    <rfmt sheetId="2" sqref="EM808" start="0" length="0">
      <dxf/>
    </rfmt>
    <rfmt sheetId="2" sqref="EN808" start="0" length="0">
      <dxf/>
    </rfmt>
    <rfmt sheetId="2" sqref="EO808" start="0" length="0">
      <dxf/>
    </rfmt>
    <rfmt sheetId="2" sqref="EP808" start="0" length="0">
      <dxf/>
    </rfmt>
    <rfmt sheetId="2" sqref="EQ808" start="0" length="0">
      <dxf/>
    </rfmt>
    <rfmt sheetId="2" sqref="ER808" start="0" length="0">
      <dxf/>
    </rfmt>
    <rfmt sheetId="2" sqref="ES808" start="0" length="0">
      <dxf/>
    </rfmt>
    <rfmt sheetId="2" sqref="ET808" start="0" length="0">
      <dxf/>
    </rfmt>
    <rfmt sheetId="2" sqref="EU808" start="0" length="0">
      <dxf/>
    </rfmt>
    <rfmt sheetId="2" sqref="EV808" start="0" length="0">
      <dxf/>
    </rfmt>
    <rfmt sheetId="2" sqref="EW808" start="0" length="0">
      <dxf/>
    </rfmt>
    <rfmt sheetId="2" sqref="EX808" start="0" length="0">
      <dxf/>
    </rfmt>
    <rfmt sheetId="2" sqref="EY808" start="0" length="0">
      <dxf/>
    </rfmt>
    <rfmt sheetId="2" sqref="EZ808" start="0" length="0">
      <dxf/>
    </rfmt>
    <rfmt sheetId="2" sqref="FA808" start="0" length="0">
      <dxf/>
    </rfmt>
    <rfmt sheetId="2" sqref="FB808" start="0" length="0">
      <dxf/>
    </rfmt>
    <rfmt sheetId="2" sqref="FC808" start="0" length="0">
      <dxf/>
    </rfmt>
    <rfmt sheetId="2" sqref="FD808" start="0" length="0">
      <dxf/>
    </rfmt>
    <rfmt sheetId="2" sqref="FE808" start="0" length="0">
      <dxf/>
    </rfmt>
    <rfmt sheetId="2" sqref="FF808" start="0" length="0">
      <dxf/>
    </rfmt>
    <rfmt sheetId="2" sqref="FG808" start="0" length="0">
      <dxf/>
    </rfmt>
    <rfmt sheetId="2" sqref="FH808" start="0" length="0">
      <dxf/>
    </rfmt>
    <rfmt sheetId="2" sqref="FI808" start="0" length="0">
      <dxf/>
    </rfmt>
    <rfmt sheetId="2" sqref="FJ808" start="0" length="0">
      <dxf/>
    </rfmt>
    <rfmt sheetId="2" sqref="FK808" start="0" length="0">
      <dxf/>
    </rfmt>
    <rfmt sheetId="2" sqref="FL808" start="0" length="0">
      <dxf/>
    </rfmt>
    <rfmt sheetId="2" sqref="FM808" start="0" length="0">
      <dxf/>
    </rfmt>
    <rfmt sheetId="2" sqref="FN808" start="0" length="0">
      <dxf/>
    </rfmt>
    <rfmt sheetId="2" sqref="FO808" start="0" length="0">
      <dxf/>
    </rfmt>
    <rfmt sheetId="2" sqref="FP808" start="0" length="0">
      <dxf/>
    </rfmt>
    <rfmt sheetId="2" sqref="FQ808" start="0" length="0">
      <dxf/>
    </rfmt>
    <rfmt sheetId="2" sqref="FR808" start="0" length="0">
      <dxf/>
    </rfmt>
    <rfmt sheetId="2" sqref="FS808" start="0" length="0">
      <dxf/>
    </rfmt>
    <rfmt sheetId="2" sqref="FT808" start="0" length="0">
      <dxf/>
    </rfmt>
    <rfmt sheetId="2" sqref="FU808" start="0" length="0">
      <dxf/>
    </rfmt>
    <rfmt sheetId="2" sqref="FV808" start="0" length="0">
      <dxf/>
    </rfmt>
    <rfmt sheetId="2" sqref="FW808" start="0" length="0">
      <dxf/>
    </rfmt>
    <rfmt sheetId="2" sqref="FX808" start="0" length="0">
      <dxf/>
    </rfmt>
    <rfmt sheetId="2" sqref="FY808" start="0" length="0">
      <dxf/>
    </rfmt>
    <rfmt sheetId="2" sqref="FZ808" start="0" length="0">
      <dxf/>
    </rfmt>
    <rfmt sheetId="2" sqref="GA808" start="0" length="0">
      <dxf/>
    </rfmt>
    <rfmt sheetId="2" sqref="GB808" start="0" length="0">
      <dxf/>
    </rfmt>
    <rfmt sheetId="2" sqref="GC808" start="0" length="0">
      <dxf/>
    </rfmt>
    <rfmt sheetId="2" sqref="GD808" start="0" length="0">
      <dxf/>
    </rfmt>
    <rfmt sheetId="2" sqref="GE808" start="0" length="0">
      <dxf/>
    </rfmt>
    <rfmt sheetId="2" sqref="GF808" start="0" length="0">
      <dxf/>
    </rfmt>
    <rfmt sheetId="2" sqref="GG808" start="0" length="0">
      <dxf/>
    </rfmt>
    <rfmt sheetId="2" sqref="GH808" start="0" length="0">
      <dxf/>
    </rfmt>
    <rfmt sheetId="2" sqref="GI808" start="0" length="0">
      <dxf/>
    </rfmt>
    <rfmt sheetId="2" sqref="GJ808" start="0" length="0">
      <dxf/>
    </rfmt>
    <rfmt sheetId="2" sqref="GK808" start="0" length="0">
      <dxf/>
    </rfmt>
    <rfmt sheetId="2" sqref="GL808" start="0" length="0">
      <dxf/>
    </rfmt>
    <rfmt sheetId="2" sqref="GM808" start="0" length="0">
      <dxf/>
    </rfmt>
    <rfmt sheetId="2" sqref="GN808" start="0" length="0">
      <dxf/>
    </rfmt>
    <rfmt sheetId="2" sqref="GO808" start="0" length="0">
      <dxf/>
    </rfmt>
    <rfmt sheetId="2" sqref="GP808" start="0" length="0">
      <dxf/>
    </rfmt>
    <rfmt sheetId="2" sqref="GQ808" start="0" length="0">
      <dxf/>
    </rfmt>
    <rfmt sheetId="2" sqref="GR808" start="0" length="0">
      <dxf/>
    </rfmt>
    <rfmt sheetId="2" sqref="GS808" start="0" length="0">
      <dxf/>
    </rfmt>
    <rfmt sheetId="2" sqref="GT808" start="0" length="0">
      <dxf/>
    </rfmt>
    <rfmt sheetId="2" sqref="GU808" start="0" length="0">
      <dxf/>
    </rfmt>
    <rfmt sheetId="2" sqref="GV808" start="0" length="0">
      <dxf/>
    </rfmt>
    <rfmt sheetId="2" sqref="GW808" start="0" length="0">
      <dxf/>
    </rfmt>
    <rfmt sheetId="2" sqref="GX808" start="0" length="0">
      <dxf/>
    </rfmt>
    <rfmt sheetId="2" sqref="GY808" start="0" length="0">
      <dxf/>
    </rfmt>
    <rfmt sheetId="2" sqref="GZ808" start="0" length="0">
      <dxf/>
    </rfmt>
    <rfmt sheetId="2" sqref="HA808" start="0" length="0">
      <dxf/>
    </rfmt>
    <rfmt sheetId="2" sqref="HB808" start="0" length="0">
      <dxf/>
    </rfmt>
    <rfmt sheetId="2" sqref="HC808" start="0" length="0">
      <dxf/>
    </rfmt>
    <rfmt sheetId="2" sqref="HD808" start="0" length="0">
      <dxf/>
    </rfmt>
    <rfmt sheetId="2" sqref="HE808" start="0" length="0">
      <dxf/>
    </rfmt>
    <rfmt sheetId="2" sqref="HF808" start="0" length="0">
      <dxf/>
    </rfmt>
    <rfmt sheetId="2" sqref="HG808" start="0" length="0">
      <dxf/>
    </rfmt>
    <rfmt sheetId="2" sqref="HH808" start="0" length="0">
      <dxf/>
    </rfmt>
    <rfmt sheetId="2" sqref="HI808" start="0" length="0">
      <dxf/>
    </rfmt>
    <rfmt sheetId="2" sqref="HJ808" start="0" length="0">
      <dxf/>
    </rfmt>
    <rfmt sheetId="2" sqref="HK808" start="0" length="0">
      <dxf/>
    </rfmt>
    <rfmt sheetId="2" sqref="HL808" start="0" length="0">
      <dxf/>
    </rfmt>
    <rfmt sheetId="2" sqref="HM808" start="0" length="0">
      <dxf/>
    </rfmt>
    <rfmt sheetId="2" sqref="HN808" start="0" length="0">
      <dxf/>
    </rfmt>
    <rfmt sheetId="2" sqref="HO808" start="0" length="0">
      <dxf/>
    </rfmt>
    <rfmt sheetId="2" sqref="HP808" start="0" length="0">
      <dxf/>
    </rfmt>
    <rfmt sheetId="2" sqref="HQ808" start="0" length="0">
      <dxf/>
    </rfmt>
    <rfmt sheetId="2" sqref="HR808" start="0" length="0">
      <dxf/>
    </rfmt>
    <rfmt sheetId="2" sqref="HS808" start="0" length="0">
      <dxf/>
    </rfmt>
    <rfmt sheetId="2" sqref="HT808" start="0" length="0">
      <dxf/>
    </rfmt>
    <rfmt sheetId="2" sqref="HU808" start="0" length="0">
      <dxf/>
    </rfmt>
    <rfmt sheetId="2" sqref="HV808" start="0" length="0">
      <dxf/>
    </rfmt>
    <rfmt sheetId="2" sqref="HW808" start="0" length="0">
      <dxf/>
    </rfmt>
    <rfmt sheetId="2" sqref="HX808" start="0" length="0">
      <dxf/>
    </rfmt>
    <rfmt sheetId="2" sqref="HY808" start="0" length="0">
      <dxf/>
    </rfmt>
    <rfmt sheetId="2" sqref="HZ808" start="0" length="0">
      <dxf/>
    </rfmt>
    <rfmt sheetId="2" sqref="IA808" start="0" length="0">
      <dxf/>
    </rfmt>
    <rfmt sheetId="2" sqref="IB808" start="0" length="0">
      <dxf/>
    </rfmt>
    <rfmt sheetId="2" sqref="IC808" start="0" length="0">
      <dxf/>
    </rfmt>
    <rfmt sheetId="2" sqref="ID808" start="0" length="0">
      <dxf/>
    </rfmt>
    <rfmt sheetId="2" sqref="IE808" start="0" length="0">
      <dxf/>
    </rfmt>
    <rfmt sheetId="2" sqref="IF808" start="0" length="0">
      <dxf/>
    </rfmt>
    <rfmt sheetId="2" sqref="IG808" start="0" length="0">
      <dxf/>
    </rfmt>
    <rfmt sheetId="2" sqref="IH808" start="0" length="0">
      <dxf/>
    </rfmt>
    <rfmt sheetId="2" sqref="II808" start="0" length="0">
      <dxf/>
    </rfmt>
    <rfmt sheetId="2" sqref="IJ808" start="0" length="0">
      <dxf/>
    </rfmt>
    <rfmt sheetId="2" sqref="IK808" start="0" length="0">
      <dxf/>
    </rfmt>
    <rfmt sheetId="2" sqref="IL808" start="0" length="0">
      <dxf/>
    </rfmt>
    <rfmt sheetId="2" sqref="IM808" start="0" length="0">
      <dxf/>
    </rfmt>
    <rfmt sheetId="2" sqref="IN808" start="0" length="0">
      <dxf/>
    </rfmt>
    <rfmt sheetId="2" sqref="IO808" start="0" length="0">
      <dxf/>
    </rfmt>
    <rfmt sheetId="2" sqref="IP808" start="0" length="0">
      <dxf/>
    </rfmt>
    <rfmt sheetId="2" sqref="IQ808" start="0" length="0">
      <dxf/>
    </rfmt>
    <rfmt sheetId="2" sqref="IR808" start="0" length="0">
      <dxf/>
    </rfmt>
    <rfmt sheetId="2" sqref="IS808" start="0" length="0">
      <dxf/>
    </rfmt>
    <rfmt sheetId="2" sqref="IT808" start="0" length="0">
      <dxf/>
    </rfmt>
    <rfmt sheetId="2" sqref="IU808" start="0" length="0">
      <dxf/>
    </rfmt>
    <rfmt sheetId="2" sqref="IV808" start="0" length="0">
      <dxf/>
    </rfmt>
    <rfmt sheetId="2" sqref="IW808" start="0" length="0">
      <dxf/>
    </rfmt>
    <rfmt sheetId="2" sqref="IX808" start="0" length="0">
      <dxf/>
    </rfmt>
    <rfmt sheetId="2" sqref="IY808" start="0" length="0">
      <dxf/>
    </rfmt>
    <rfmt sheetId="2" sqref="IZ808" start="0" length="0">
      <dxf/>
    </rfmt>
    <rfmt sheetId="2" sqref="JA808" start="0" length="0">
      <dxf/>
    </rfmt>
    <rfmt sheetId="2" sqref="JB808" start="0" length="0">
      <dxf/>
    </rfmt>
    <rfmt sheetId="2" sqref="JC808" start="0" length="0">
      <dxf/>
    </rfmt>
    <rfmt sheetId="2" sqref="JD808" start="0" length="0">
      <dxf/>
    </rfmt>
    <rfmt sheetId="2" sqref="JE808" start="0" length="0">
      <dxf/>
    </rfmt>
    <rfmt sheetId="2" sqref="JF808" start="0" length="0">
      <dxf/>
    </rfmt>
    <rfmt sheetId="2" sqref="JG808" start="0" length="0">
      <dxf/>
    </rfmt>
    <rfmt sheetId="2" sqref="JH808" start="0" length="0">
      <dxf/>
    </rfmt>
    <rfmt sheetId="2" sqref="JI808" start="0" length="0">
      <dxf/>
    </rfmt>
    <rfmt sheetId="2" sqref="JJ808" start="0" length="0">
      <dxf/>
    </rfmt>
    <rfmt sheetId="2" sqref="JK808" start="0" length="0">
      <dxf/>
    </rfmt>
    <rfmt sheetId="2" sqref="JL808" start="0" length="0">
      <dxf/>
    </rfmt>
    <rfmt sheetId="2" sqref="JM808" start="0" length="0">
      <dxf/>
    </rfmt>
    <rfmt sheetId="2" sqref="JN808" start="0" length="0">
      <dxf/>
    </rfmt>
    <rfmt sheetId="2" sqref="JO808" start="0" length="0">
      <dxf/>
    </rfmt>
    <rfmt sheetId="2" sqref="JP808" start="0" length="0">
      <dxf/>
    </rfmt>
    <rfmt sheetId="2" sqref="JQ808" start="0" length="0">
      <dxf/>
    </rfmt>
    <rfmt sheetId="2" sqref="JR808" start="0" length="0">
      <dxf/>
    </rfmt>
    <rfmt sheetId="2" sqref="JS808" start="0" length="0">
      <dxf/>
    </rfmt>
    <rfmt sheetId="2" sqref="JT808" start="0" length="0">
      <dxf/>
    </rfmt>
    <rfmt sheetId="2" sqref="JU808" start="0" length="0">
      <dxf/>
    </rfmt>
    <rfmt sheetId="2" sqref="JV808" start="0" length="0">
      <dxf/>
    </rfmt>
    <rfmt sheetId="2" sqref="JW808" start="0" length="0">
      <dxf/>
    </rfmt>
    <rfmt sheetId="2" sqref="JX808" start="0" length="0">
      <dxf/>
    </rfmt>
    <rfmt sheetId="2" sqref="JY808" start="0" length="0">
      <dxf/>
    </rfmt>
    <rfmt sheetId="2" sqref="JZ808" start="0" length="0">
      <dxf/>
    </rfmt>
    <rfmt sheetId="2" sqref="KA808" start="0" length="0">
      <dxf/>
    </rfmt>
    <rfmt sheetId="2" sqref="KB808" start="0" length="0">
      <dxf/>
    </rfmt>
    <rfmt sheetId="2" sqref="KC808" start="0" length="0">
      <dxf/>
    </rfmt>
    <rfmt sheetId="2" sqref="KD808" start="0" length="0">
      <dxf/>
    </rfmt>
    <rfmt sheetId="2" sqref="KE808" start="0" length="0">
      <dxf/>
    </rfmt>
    <rfmt sheetId="2" sqref="KF808" start="0" length="0">
      <dxf/>
    </rfmt>
    <rfmt sheetId="2" sqref="KG808" start="0" length="0">
      <dxf/>
    </rfmt>
    <rfmt sheetId="2" sqref="KH808" start="0" length="0">
      <dxf/>
    </rfmt>
    <rfmt sheetId="2" sqref="KI808" start="0" length="0">
      <dxf/>
    </rfmt>
    <rfmt sheetId="2" sqref="KJ808" start="0" length="0">
      <dxf/>
    </rfmt>
    <rfmt sheetId="2" sqref="KK808" start="0" length="0">
      <dxf/>
    </rfmt>
    <rfmt sheetId="2" sqref="KL808" start="0" length="0">
      <dxf/>
    </rfmt>
    <rfmt sheetId="2" sqref="KM808" start="0" length="0">
      <dxf/>
    </rfmt>
    <rfmt sheetId="2" sqref="KN808" start="0" length="0">
      <dxf/>
    </rfmt>
    <rfmt sheetId="2" sqref="KO808" start="0" length="0">
      <dxf/>
    </rfmt>
    <rfmt sheetId="2" sqref="KP808" start="0" length="0">
      <dxf/>
    </rfmt>
    <rfmt sheetId="2" sqref="KQ808" start="0" length="0">
      <dxf/>
    </rfmt>
    <rfmt sheetId="2" sqref="KR808" start="0" length="0">
      <dxf/>
    </rfmt>
    <rfmt sheetId="2" sqref="KS808" start="0" length="0">
      <dxf/>
    </rfmt>
    <rfmt sheetId="2" sqref="KT808" start="0" length="0">
      <dxf/>
    </rfmt>
    <rfmt sheetId="2" sqref="KU808" start="0" length="0">
      <dxf/>
    </rfmt>
    <rfmt sheetId="2" sqref="KV808" start="0" length="0">
      <dxf/>
    </rfmt>
    <rfmt sheetId="2" sqref="KW808" start="0" length="0">
      <dxf/>
    </rfmt>
    <rfmt sheetId="2" sqref="KX808" start="0" length="0">
      <dxf/>
    </rfmt>
    <rfmt sheetId="2" sqref="KY808" start="0" length="0">
      <dxf/>
    </rfmt>
    <rfmt sheetId="2" sqref="KZ808" start="0" length="0">
      <dxf/>
    </rfmt>
    <rfmt sheetId="2" sqref="LA808" start="0" length="0">
      <dxf/>
    </rfmt>
    <rfmt sheetId="2" sqref="LB808" start="0" length="0">
      <dxf/>
    </rfmt>
    <rfmt sheetId="2" sqref="LC808" start="0" length="0">
      <dxf/>
    </rfmt>
    <rfmt sheetId="2" sqref="LD808" start="0" length="0">
      <dxf/>
    </rfmt>
    <rfmt sheetId="2" sqref="LE808" start="0" length="0">
      <dxf/>
    </rfmt>
    <rfmt sheetId="2" sqref="LF808" start="0" length="0">
      <dxf/>
    </rfmt>
    <rfmt sheetId="2" sqref="LG808" start="0" length="0">
      <dxf/>
    </rfmt>
    <rfmt sheetId="2" sqref="LH808" start="0" length="0">
      <dxf/>
    </rfmt>
    <rfmt sheetId="2" sqref="LI808" start="0" length="0">
      <dxf/>
    </rfmt>
    <rfmt sheetId="2" sqref="LJ808" start="0" length="0">
      <dxf/>
    </rfmt>
    <rfmt sheetId="2" sqref="LK808" start="0" length="0">
      <dxf/>
    </rfmt>
    <rfmt sheetId="2" sqref="LL808" start="0" length="0">
      <dxf/>
    </rfmt>
    <rfmt sheetId="2" sqref="LM808" start="0" length="0">
      <dxf/>
    </rfmt>
    <rfmt sheetId="2" sqref="LN808" start="0" length="0">
      <dxf/>
    </rfmt>
    <rfmt sheetId="2" sqref="LO808" start="0" length="0">
      <dxf/>
    </rfmt>
    <rfmt sheetId="2" sqref="LP808" start="0" length="0">
      <dxf/>
    </rfmt>
    <rfmt sheetId="2" sqref="LQ808" start="0" length="0">
      <dxf/>
    </rfmt>
    <rfmt sheetId="2" sqref="LR808" start="0" length="0">
      <dxf/>
    </rfmt>
    <rfmt sheetId="2" sqref="LS808" start="0" length="0">
      <dxf/>
    </rfmt>
    <rfmt sheetId="2" sqref="LT808" start="0" length="0">
      <dxf/>
    </rfmt>
    <rfmt sheetId="2" sqref="LU808" start="0" length="0">
      <dxf/>
    </rfmt>
    <rfmt sheetId="2" sqref="LV808" start="0" length="0">
      <dxf/>
    </rfmt>
    <rfmt sheetId="2" sqref="LW808" start="0" length="0">
      <dxf/>
    </rfmt>
    <rfmt sheetId="2" sqref="LX808" start="0" length="0">
      <dxf/>
    </rfmt>
    <rfmt sheetId="2" sqref="LY808" start="0" length="0">
      <dxf/>
    </rfmt>
    <rfmt sheetId="2" sqref="LZ808" start="0" length="0">
      <dxf/>
    </rfmt>
    <rfmt sheetId="2" sqref="MA808" start="0" length="0">
      <dxf/>
    </rfmt>
    <rfmt sheetId="2" sqref="MB808" start="0" length="0">
      <dxf/>
    </rfmt>
  </rm>
  <rrc rId="2655" sId="2" ref="A779:XFD779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79:XFD779" start="0" length="0">
      <dxf>
        <font>
          <sz val="10"/>
          <name val="Arial"/>
          <scheme val="none"/>
        </font>
        <alignment horizontal="center" readingOrder="0"/>
      </dxf>
    </rfmt>
    <rfmt sheetId="2" sqref="A77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9" start="0" length="0">
      <dxf>
        <numFmt numFmtId="176" formatCode="m/d;@"/>
      </dxf>
    </rfmt>
    <rfmt sheetId="2" sqref="P77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9" start="0" length="0">
      <dxf/>
    </rfmt>
    <rfmt sheetId="2" sqref="U779" start="0" length="0">
      <dxf/>
    </rfmt>
    <rfmt sheetId="2" sqref="V779" start="0" length="0">
      <dxf/>
    </rfmt>
    <rfmt sheetId="2" sqref="W779" start="0" length="0">
      <dxf/>
    </rfmt>
    <rfmt sheetId="2" sqref="X779" start="0" length="0">
      <dxf/>
    </rfmt>
    <rfmt sheetId="2" sqref="Y779" start="0" length="0">
      <dxf/>
    </rfmt>
    <rfmt sheetId="2" sqref="Z779" start="0" length="0">
      <dxf/>
    </rfmt>
    <rfmt sheetId="2" sqref="AA779" start="0" length="0">
      <dxf/>
    </rfmt>
    <rfmt sheetId="2" sqref="AB779" start="0" length="0">
      <dxf/>
    </rfmt>
    <rfmt sheetId="2" sqref="AC779" start="0" length="0">
      <dxf/>
    </rfmt>
    <rfmt sheetId="2" sqref="AD779" start="0" length="0">
      <dxf/>
    </rfmt>
    <rfmt sheetId="2" sqref="AE779" start="0" length="0">
      <dxf/>
    </rfmt>
    <rfmt sheetId="2" sqref="AF779" start="0" length="0">
      <dxf/>
    </rfmt>
    <rfmt sheetId="2" sqref="AG779" start="0" length="0">
      <dxf/>
    </rfmt>
    <rfmt sheetId="2" sqref="AH779" start="0" length="0">
      <dxf/>
    </rfmt>
    <rfmt sheetId="2" sqref="AI779" start="0" length="0">
      <dxf/>
    </rfmt>
    <rfmt sheetId="2" sqref="AJ779" start="0" length="0">
      <dxf/>
    </rfmt>
    <rfmt sheetId="2" sqref="AK779" start="0" length="0">
      <dxf/>
    </rfmt>
    <rfmt sheetId="2" sqref="AL779" start="0" length="0">
      <dxf/>
    </rfmt>
    <rfmt sheetId="2" sqref="AM779" start="0" length="0">
      <dxf/>
    </rfmt>
    <rfmt sheetId="2" sqref="AN779" start="0" length="0">
      <dxf/>
    </rfmt>
    <rfmt sheetId="2" sqref="AO779" start="0" length="0">
      <dxf/>
    </rfmt>
    <rfmt sheetId="2" sqref="AP779" start="0" length="0">
      <dxf/>
    </rfmt>
    <rfmt sheetId="2" sqref="AQ779" start="0" length="0">
      <dxf/>
    </rfmt>
    <rfmt sheetId="2" sqref="AR779" start="0" length="0">
      <dxf/>
    </rfmt>
    <rfmt sheetId="2" sqref="AS779" start="0" length="0">
      <dxf/>
    </rfmt>
    <rfmt sheetId="2" sqref="AT779" start="0" length="0">
      <dxf/>
    </rfmt>
    <rfmt sheetId="2" sqref="AU779" start="0" length="0">
      <dxf/>
    </rfmt>
    <rfmt sheetId="2" sqref="AV779" start="0" length="0">
      <dxf/>
    </rfmt>
    <rfmt sheetId="2" sqref="AW779" start="0" length="0">
      <dxf/>
    </rfmt>
    <rfmt sheetId="2" sqref="AX779" start="0" length="0">
      <dxf/>
    </rfmt>
    <rfmt sheetId="2" sqref="AY779" start="0" length="0">
      <dxf/>
    </rfmt>
    <rfmt sheetId="2" sqref="AZ779" start="0" length="0">
      <dxf/>
    </rfmt>
    <rfmt sheetId="2" sqref="BA779" start="0" length="0">
      <dxf/>
    </rfmt>
    <rfmt sheetId="2" sqref="BB779" start="0" length="0">
      <dxf/>
    </rfmt>
    <rfmt sheetId="2" sqref="BC779" start="0" length="0">
      <dxf/>
    </rfmt>
    <rfmt sheetId="2" sqref="BD779" start="0" length="0">
      <dxf/>
    </rfmt>
    <rfmt sheetId="2" sqref="BE779" start="0" length="0">
      <dxf/>
    </rfmt>
    <rfmt sheetId="2" sqref="BF779" start="0" length="0">
      <dxf/>
    </rfmt>
    <rfmt sheetId="2" sqref="BG779" start="0" length="0">
      <dxf/>
    </rfmt>
    <rfmt sheetId="2" sqref="BH779" start="0" length="0">
      <dxf/>
    </rfmt>
    <rfmt sheetId="2" sqref="BI779" start="0" length="0">
      <dxf/>
    </rfmt>
    <rfmt sheetId="2" sqref="BJ779" start="0" length="0">
      <dxf/>
    </rfmt>
    <rfmt sheetId="2" sqref="BK779" start="0" length="0">
      <dxf/>
    </rfmt>
    <rfmt sheetId="2" sqref="BL779" start="0" length="0">
      <dxf/>
    </rfmt>
    <rfmt sheetId="2" sqref="BM779" start="0" length="0">
      <dxf/>
    </rfmt>
    <rfmt sheetId="2" sqref="BN779" start="0" length="0">
      <dxf/>
    </rfmt>
    <rfmt sheetId="2" sqref="BO779" start="0" length="0">
      <dxf/>
    </rfmt>
    <rfmt sheetId="2" sqref="BP779" start="0" length="0">
      <dxf/>
    </rfmt>
    <rfmt sheetId="2" sqref="BQ779" start="0" length="0">
      <dxf/>
    </rfmt>
    <rfmt sheetId="2" sqref="BR779" start="0" length="0">
      <dxf/>
    </rfmt>
    <rfmt sheetId="2" sqref="BS779" start="0" length="0">
      <dxf/>
    </rfmt>
    <rfmt sheetId="2" sqref="BT779" start="0" length="0">
      <dxf/>
    </rfmt>
    <rfmt sheetId="2" sqref="BU779" start="0" length="0">
      <dxf/>
    </rfmt>
    <rfmt sheetId="2" sqref="BV779" start="0" length="0">
      <dxf/>
    </rfmt>
    <rfmt sheetId="2" sqref="BW779" start="0" length="0">
      <dxf/>
    </rfmt>
    <rfmt sheetId="2" sqref="BX779" start="0" length="0">
      <dxf/>
    </rfmt>
    <rfmt sheetId="2" sqref="BY779" start="0" length="0">
      <dxf/>
    </rfmt>
    <rfmt sheetId="2" sqref="BZ779" start="0" length="0">
      <dxf/>
    </rfmt>
    <rfmt sheetId="2" sqref="CA779" start="0" length="0">
      <dxf/>
    </rfmt>
    <rfmt sheetId="2" sqref="CB779" start="0" length="0">
      <dxf/>
    </rfmt>
    <rfmt sheetId="2" sqref="CC779" start="0" length="0">
      <dxf/>
    </rfmt>
    <rfmt sheetId="2" sqref="CD779" start="0" length="0">
      <dxf/>
    </rfmt>
    <rfmt sheetId="2" sqref="CE779" start="0" length="0">
      <dxf/>
    </rfmt>
    <rfmt sheetId="2" sqref="CF779" start="0" length="0">
      <dxf/>
    </rfmt>
    <rfmt sheetId="2" sqref="CG779" start="0" length="0">
      <dxf/>
    </rfmt>
    <rfmt sheetId="2" sqref="CH779" start="0" length="0">
      <dxf/>
    </rfmt>
    <rfmt sheetId="2" sqref="CI779" start="0" length="0">
      <dxf/>
    </rfmt>
    <rfmt sheetId="2" sqref="CJ779" start="0" length="0">
      <dxf/>
    </rfmt>
    <rfmt sheetId="2" sqref="CK779" start="0" length="0">
      <dxf/>
    </rfmt>
    <rfmt sheetId="2" sqref="CL779" start="0" length="0">
      <dxf/>
    </rfmt>
    <rfmt sheetId="2" sqref="CM779" start="0" length="0">
      <dxf/>
    </rfmt>
    <rfmt sheetId="2" sqref="CN779" start="0" length="0">
      <dxf/>
    </rfmt>
    <rfmt sheetId="2" sqref="CO779" start="0" length="0">
      <dxf/>
    </rfmt>
    <rfmt sheetId="2" sqref="CP779" start="0" length="0">
      <dxf/>
    </rfmt>
    <rfmt sheetId="2" sqref="CQ779" start="0" length="0">
      <dxf/>
    </rfmt>
    <rfmt sheetId="2" sqref="CR779" start="0" length="0">
      <dxf/>
    </rfmt>
    <rfmt sheetId="2" sqref="CS779" start="0" length="0">
      <dxf/>
    </rfmt>
    <rfmt sheetId="2" sqref="CT779" start="0" length="0">
      <dxf/>
    </rfmt>
    <rfmt sheetId="2" sqref="CU779" start="0" length="0">
      <dxf/>
    </rfmt>
    <rfmt sheetId="2" sqref="CV779" start="0" length="0">
      <dxf/>
    </rfmt>
    <rfmt sheetId="2" sqref="CW779" start="0" length="0">
      <dxf/>
    </rfmt>
    <rfmt sheetId="2" sqref="CX779" start="0" length="0">
      <dxf/>
    </rfmt>
    <rfmt sheetId="2" sqref="CY779" start="0" length="0">
      <dxf/>
    </rfmt>
    <rfmt sheetId="2" sqref="CZ779" start="0" length="0">
      <dxf/>
    </rfmt>
    <rfmt sheetId="2" sqref="DA779" start="0" length="0">
      <dxf/>
    </rfmt>
    <rfmt sheetId="2" sqref="DB779" start="0" length="0">
      <dxf/>
    </rfmt>
    <rfmt sheetId="2" sqref="DC779" start="0" length="0">
      <dxf/>
    </rfmt>
    <rfmt sheetId="2" sqref="DD779" start="0" length="0">
      <dxf/>
    </rfmt>
    <rfmt sheetId="2" sqref="DE779" start="0" length="0">
      <dxf/>
    </rfmt>
    <rfmt sheetId="2" sqref="DF779" start="0" length="0">
      <dxf/>
    </rfmt>
    <rfmt sheetId="2" sqref="DG779" start="0" length="0">
      <dxf/>
    </rfmt>
    <rfmt sheetId="2" sqref="DH779" start="0" length="0">
      <dxf/>
    </rfmt>
    <rfmt sheetId="2" sqref="DI779" start="0" length="0">
      <dxf/>
    </rfmt>
    <rfmt sheetId="2" sqref="DJ779" start="0" length="0">
      <dxf/>
    </rfmt>
    <rfmt sheetId="2" sqref="DK779" start="0" length="0">
      <dxf/>
    </rfmt>
    <rfmt sheetId="2" sqref="DL779" start="0" length="0">
      <dxf/>
    </rfmt>
    <rfmt sheetId="2" sqref="DM779" start="0" length="0">
      <dxf/>
    </rfmt>
    <rfmt sheetId="2" sqref="DN779" start="0" length="0">
      <dxf/>
    </rfmt>
    <rfmt sheetId="2" sqref="DO779" start="0" length="0">
      <dxf/>
    </rfmt>
    <rfmt sheetId="2" sqref="DP779" start="0" length="0">
      <dxf/>
    </rfmt>
    <rfmt sheetId="2" sqref="DQ779" start="0" length="0">
      <dxf/>
    </rfmt>
    <rfmt sheetId="2" sqref="DR779" start="0" length="0">
      <dxf/>
    </rfmt>
    <rfmt sheetId="2" sqref="DS779" start="0" length="0">
      <dxf/>
    </rfmt>
    <rfmt sheetId="2" sqref="DT779" start="0" length="0">
      <dxf/>
    </rfmt>
    <rfmt sheetId="2" sqref="DU779" start="0" length="0">
      <dxf/>
    </rfmt>
    <rfmt sheetId="2" sqref="DV779" start="0" length="0">
      <dxf/>
    </rfmt>
    <rfmt sheetId="2" sqref="DW779" start="0" length="0">
      <dxf/>
    </rfmt>
    <rfmt sheetId="2" sqref="DX779" start="0" length="0">
      <dxf/>
    </rfmt>
    <rfmt sheetId="2" sqref="DY779" start="0" length="0">
      <dxf/>
    </rfmt>
    <rfmt sheetId="2" sqref="DZ779" start="0" length="0">
      <dxf/>
    </rfmt>
    <rfmt sheetId="2" sqref="EA779" start="0" length="0">
      <dxf/>
    </rfmt>
    <rfmt sheetId="2" sqref="EB779" start="0" length="0">
      <dxf/>
    </rfmt>
    <rfmt sheetId="2" sqref="EC779" start="0" length="0">
      <dxf/>
    </rfmt>
    <rfmt sheetId="2" sqref="ED779" start="0" length="0">
      <dxf/>
    </rfmt>
    <rfmt sheetId="2" sqref="EE779" start="0" length="0">
      <dxf/>
    </rfmt>
    <rfmt sheetId="2" sqref="EF779" start="0" length="0">
      <dxf/>
    </rfmt>
    <rfmt sheetId="2" sqref="EG779" start="0" length="0">
      <dxf/>
    </rfmt>
    <rfmt sheetId="2" sqref="EH779" start="0" length="0">
      <dxf/>
    </rfmt>
    <rfmt sheetId="2" sqref="EI779" start="0" length="0">
      <dxf/>
    </rfmt>
    <rfmt sheetId="2" sqref="EJ779" start="0" length="0">
      <dxf/>
    </rfmt>
    <rfmt sheetId="2" sqref="EK779" start="0" length="0">
      <dxf/>
    </rfmt>
    <rfmt sheetId="2" sqref="EL779" start="0" length="0">
      <dxf/>
    </rfmt>
    <rfmt sheetId="2" sqref="EM779" start="0" length="0">
      <dxf/>
    </rfmt>
    <rfmt sheetId="2" sqref="EN779" start="0" length="0">
      <dxf/>
    </rfmt>
    <rfmt sheetId="2" sqref="EO779" start="0" length="0">
      <dxf/>
    </rfmt>
    <rfmt sheetId="2" sqref="EP779" start="0" length="0">
      <dxf/>
    </rfmt>
    <rfmt sheetId="2" sqref="EQ779" start="0" length="0">
      <dxf/>
    </rfmt>
    <rfmt sheetId="2" sqref="ER779" start="0" length="0">
      <dxf/>
    </rfmt>
    <rfmt sheetId="2" sqref="ES779" start="0" length="0">
      <dxf/>
    </rfmt>
    <rfmt sheetId="2" sqref="ET779" start="0" length="0">
      <dxf/>
    </rfmt>
    <rfmt sheetId="2" sqref="EU779" start="0" length="0">
      <dxf/>
    </rfmt>
    <rfmt sheetId="2" sqref="EV779" start="0" length="0">
      <dxf/>
    </rfmt>
    <rfmt sheetId="2" sqref="EW779" start="0" length="0">
      <dxf/>
    </rfmt>
    <rfmt sheetId="2" sqref="EX779" start="0" length="0">
      <dxf/>
    </rfmt>
    <rfmt sheetId="2" sqref="EY779" start="0" length="0">
      <dxf/>
    </rfmt>
    <rfmt sheetId="2" sqref="EZ779" start="0" length="0">
      <dxf/>
    </rfmt>
    <rfmt sheetId="2" sqref="FA779" start="0" length="0">
      <dxf/>
    </rfmt>
    <rfmt sheetId="2" sqref="FB779" start="0" length="0">
      <dxf/>
    </rfmt>
    <rfmt sheetId="2" sqref="FC779" start="0" length="0">
      <dxf/>
    </rfmt>
    <rfmt sheetId="2" sqref="FD779" start="0" length="0">
      <dxf/>
    </rfmt>
    <rfmt sheetId="2" sqref="FE779" start="0" length="0">
      <dxf/>
    </rfmt>
    <rfmt sheetId="2" sqref="FF779" start="0" length="0">
      <dxf/>
    </rfmt>
    <rfmt sheetId="2" sqref="FG779" start="0" length="0">
      <dxf/>
    </rfmt>
    <rfmt sheetId="2" sqref="FH779" start="0" length="0">
      <dxf/>
    </rfmt>
    <rfmt sheetId="2" sqref="FI779" start="0" length="0">
      <dxf/>
    </rfmt>
    <rfmt sheetId="2" sqref="FJ779" start="0" length="0">
      <dxf/>
    </rfmt>
    <rfmt sheetId="2" sqref="FK779" start="0" length="0">
      <dxf/>
    </rfmt>
    <rfmt sheetId="2" sqref="FL779" start="0" length="0">
      <dxf/>
    </rfmt>
    <rfmt sheetId="2" sqref="FM779" start="0" length="0">
      <dxf/>
    </rfmt>
    <rfmt sheetId="2" sqref="FN779" start="0" length="0">
      <dxf/>
    </rfmt>
    <rfmt sheetId="2" sqref="FO779" start="0" length="0">
      <dxf/>
    </rfmt>
    <rfmt sheetId="2" sqref="FP779" start="0" length="0">
      <dxf/>
    </rfmt>
    <rfmt sheetId="2" sqref="FQ779" start="0" length="0">
      <dxf/>
    </rfmt>
    <rfmt sheetId="2" sqref="FR779" start="0" length="0">
      <dxf/>
    </rfmt>
    <rfmt sheetId="2" sqref="FS779" start="0" length="0">
      <dxf/>
    </rfmt>
    <rfmt sheetId="2" sqref="FT779" start="0" length="0">
      <dxf/>
    </rfmt>
    <rfmt sheetId="2" sqref="FU779" start="0" length="0">
      <dxf/>
    </rfmt>
    <rfmt sheetId="2" sqref="FV779" start="0" length="0">
      <dxf/>
    </rfmt>
    <rfmt sheetId="2" sqref="FW779" start="0" length="0">
      <dxf/>
    </rfmt>
    <rfmt sheetId="2" sqref="FX779" start="0" length="0">
      <dxf/>
    </rfmt>
    <rfmt sheetId="2" sqref="FY779" start="0" length="0">
      <dxf/>
    </rfmt>
    <rfmt sheetId="2" sqref="FZ779" start="0" length="0">
      <dxf/>
    </rfmt>
    <rfmt sheetId="2" sqref="GA779" start="0" length="0">
      <dxf/>
    </rfmt>
    <rfmt sheetId="2" sqref="GB779" start="0" length="0">
      <dxf/>
    </rfmt>
    <rfmt sheetId="2" sqref="GC779" start="0" length="0">
      <dxf/>
    </rfmt>
    <rfmt sheetId="2" sqref="GD779" start="0" length="0">
      <dxf/>
    </rfmt>
    <rfmt sheetId="2" sqref="GE779" start="0" length="0">
      <dxf/>
    </rfmt>
    <rfmt sheetId="2" sqref="GF779" start="0" length="0">
      <dxf/>
    </rfmt>
    <rfmt sheetId="2" sqref="GG779" start="0" length="0">
      <dxf/>
    </rfmt>
    <rfmt sheetId="2" sqref="GH779" start="0" length="0">
      <dxf/>
    </rfmt>
    <rfmt sheetId="2" sqref="GI779" start="0" length="0">
      <dxf/>
    </rfmt>
    <rfmt sheetId="2" sqref="GJ779" start="0" length="0">
      <dxf/>
    </rfmt>
    <rfmt sheetId="2" sqref="GK779" start="0" length="0">
      <dxf/>
    </rfmt>
    <rfmt sheetId="2" sqref="GL779" start="0" length="0">
      <dxf/>
    </rfmt>
    <rfmt sheetId="2" sqref="GM779" start="0" length="0">
      <dxf/>
    </rfmt>
    <rfmt sheetId="2" sqref="GN779" start="0" length="0">
      <dxf/>
    </rfmt>
    <rfmt sheetId="2" sqref="GO779" start="0" length="0">
      <dxf/>
    </rfmt>
    <rfmt sheetId="2" sqref="GP779" start="0" length="0">
      <dxf/>
    </rfmt>
    <rfmt sheetId="2" sqref="GQ779" start="0" length="0">
      <dxf/>
    </rfmt>
    <rfmt sheetId="2" sqref="GR779" start="0" length="0">
      <dxf/>
    </rfmt>
    <rfmt sheetId="2" sqref="GS779" start="0" length="0">
      <dxf/>
    </rfmt>
    <rfmt sheetId="2" sqref="GT779" start="0" length="0">
      <dxf/>
    </rfmt>
    <rfmt sheetId="2" sqref="GU779" start="0" length="0">
      <dxf/>
    </rfmt>
    <rfmt sheetId="2" sqref="GV779" start="0" length="0">
      <dxf/>
    </rfmt>
    <rfmt sheetId="2" sqref="GW779" start="0" length="0">
      <dxf/>
    </rfmt>
    <rfmt sheetId="2" sqref="GX779" start="0" length="0">
      <dxf/>
    </rfmt>
    <rfmt sheetId="2" sqref="GY779" start="0" length="0">
      <dxf/>
    </rfmt>
    <rfmt sheetId="2" sqref="GZ779" start="0" length="0">
      <dxf/>
    </rfmt>
    <rfmt sheetId="2" sqref="HA779" start="0" length="0">
      <dxf/>
    </rfmt>
    <rfmt sheetId="2" sqref="HB779" start="0" length="0">
      <dxf/>
    </rfmt>
    <rfmt sheetId="2" sqref="HC779" start="0" length="0">
      <dxf/>
    </rfmt>
    <rfmt sheetId="2" sqref="HD779" start="0" length="0">
      <dxf/>
    </rfmt>
    <rfmt sheetId="2" sqref="HE779" start="0" length="0">
      <dxf/>
    </rfmt>
    <rfmt sheetId="2" sqref="HF779" start="0" length="0">
      <dxf/>
    </rfmt>
    <rfmt sheetId="2" sqref="HG779" start="0" length="0">
      <dxf/>
    </rfmt>
    <rfmt sheetId="2" sqref="HH779" start="0" length="0">
      <dxf/>
    </rfmt>
    <rfmt sheetId="2" sqref="HI779" start="0" length="0">
      <dxf/>
    </rfmt>
    <rfmt sheetId="2" sqref="HJ779" start="0" length="0">
      <dxf/>
    </rfmt>
    <rfmt sheetId="2" sqref="HK779" start="0" length="0">
      <dxf/>
    </rfmt>
    <rfmt sheetId="2" sqref="HL779" start="0" length="0">
      <dxf/>
    </rfmt>
    <rfmt sheetId="2" sqref="HM779" start="0" length="0">
      <dxf/>
    </rfmt>
    <rfmt sheetId="2" sqref="HN779" start="0" length="0">
      <dxf/>
    </rfmt>
    <rfmt sheetId="2" sqref="HO779" start="0" length="0">
      <dxf/>
    </rfmt>
    <rfmt sheetId="2" sqref="HP779" start="0" length="0">
      <dxf/>
    </rfmt>
    <rfmt sheetId="2" sqref="HQ779" start="0" length="0">
      <dxf/>
    </rfmt>
    <rfmt sheetId="2" sqref="HR779" start="0" length="0">
      <dxf/>
    </rfmt>
    <rfmt sheetId="2" sqref="HS779" start="0" length="0">
      <dxf/>
    </rfmt>
    <rfmt sheetId="2" sqref="HT779" start="0" length="0">
      <dxf/>
    </rfmt>
    <rfmt sheetId="2" sqref="HU779" start="0" length="0">
      <dxf/>
    </rfmt>
    <rfmt sheetId="2" sqref="HV779" start="0" length="0">
      <dxf/>
    </rfmt>
    <rfmt sheetId="2" sqref="HW779" start="0" length="0">
      <dxf/>
    </rfmt>
    <rfmt sheetId="2" sqref="HX779" start="0" length="0">
      <dxf/>
    </rfmt>
    <rfmt sheetId="2" sqref="HY779" start="0" length="0">
      <dxf/>
    </rfmt>
    <rfmt sheetId="2" sqref="HZ779" start="0" length="0">
      <dxf/>
    </rfmt>
    <rfmt sheetId="2" sqref="IA779" start="0" length="0">
      <dxf/>
    </rfmt>
    <rfmt sheetId="2" sqref="IB779" start="0" length="0">
      <dxf/>
    </rfmt>
    <rfmt sheetId="2" sqref="IC779" start="0" length="0">
      <dxf/>
    </rfmt>
    <rfmt sheetId="2" sqref="ID779" start="0" length="0">
      <dxf/>
    </rfmt>
    <rfmt sheetId="2" sqref="IE779" start="0" length="0">
      <dxf/>
    </rfmt>
    <rfmt sheetId="2" sqref="IF779" start="0" length="0">
      <dxf/>
    </rfmt>
    <rfmt sheetId="2" sqref="IG779" start="0" length="0">
      <dxf/>
    </rfmt>
    <rfmt sheetId="2" sqref="IH779" start="0" length="0">
      <dxf/>
    </rfmt>
    <rfmt sheetId="2" sqref="II779" start="0" length="0">
      <dxf/>
    </rfmt>
    <rfmt sheetId="2" sqref="IJ779" start="0" length="0">
      <dxf/>
    </rfmt>
    <rfmt sheetId="2" sqref="IK779" start="0" length="0">
      <dxf/>
    </rfmt>
    <rfmt sheetId="2" sqref="IL779" start="0" length="0">
      <dxf/>
    </rfmt>
    <rfmt sheetId="2" sqref="IM779" start="0" length="0">
      <dxf/>
    </rfmt>
    <rfmt sheetId="2" sqref="IN779" start="0" length="0">
      <dxf/>
    </rfmt>
    <rfmt sheetId="2" sqref="IO779" start="0" length="0">
      <dxf/>
    </rfmt>
    <rfmt sheetId="2" sqref="IP779" start="0" length="0">
      <dxf/>
    </rfmt>
    <rfmt sheetId="2" sqref="IQ779" start="0" length="0">
      <dxf/>
    </rfmt>
    <rfmt sheetId="2" sqref="IR779" start="0" length="0">
      <dxf/>
    </rfmt>
    <rfmt sheetId="2" sqref="IS779" start="0" length="0">
      <dxf/>
    </rfmt>
    <rfmt sheetId="2" sqref="IT779" start="0" length="0">
      <dxf/>
    </rfmt>
    <rfmt sheetId="2" sqref="IU779" start="0" length="0">
      <dxf/>
    </rfmt>
    <rfmt sheetId="2" sqref="IV779" start="0" length="0">
      <dxf/>
    </rfmt>
    <rfmt sheetId="2" sqref="IW779" start="0" length="0">
      <dxf/>
    </rfmt>
    <rfmt sheetId="2" sqref="IX779" start="0" length="0">
      <dxf/>
    </rfmt>
    <rfmt sheetId="2" sqref="IY779" start="0" length="0">
      <dxf/>
    </rfmt>
    <rfmt sheetId="2" sqref="IZ779" start="0" length="0">
      <dxf/>
    </rfmt>
    <rfmt sheetId="2" sqref="JA779" start="0" length="0">
      <dxf/>
    </rfmt>
    <rfmt sheetId="2" sqref="JB779" start="0" length="0">
      <dxf/>
    </rfmt>
    <rfmt sheetId="2" sqref="JC779" start="0" length="0">
      <dxf/>
    </rfmt>
    <rfmt sheetId="2" sqref="JD779" start="0" length="0">
      <dxf/>
    </rfmt>
    <rfmt sheetId="2" sqref="JE779" start="0" length="0">
      <dxf/>
    </rfmt>
    <rfmt sheetId="2" sqref="JF779" start="0" length="0">
      <dxf/>
    </rfmt>
    <rfmt sheetId="2" sqref="JG779" start="0" length="0">
      <dxf/>
    </rfmt>
    <rfmt sheetId="2" sqref="JH779" start="0" length="0">
      <dxf/>
    </rfmt>
    <rfmt sheetId="2" sqref="JI779" start="0" length="0">
      <dxf/>
    </rfmt>
    <rfmt sheetId="2" sqref="JJ779" start="0" length="0">
      <dxf/>
    </rfmt>
    <rfmt sheetId="2" sqref="JK779" start="0" length="0">
      <dxf/>
    </rfmt>
    <rfmt sheetId="2" sqref="JL779" start="0" length="0">
      <dxf/>
    </rfmt>
    <rfmt sheetId="2" sqref="JM779" start="0" length="0">
      <dxf/>
    </rfmt>
    <rfmt sheetId="2" sqref="JN779" start="0" length="0">
      <dxf/>
    </rfmt>
    <rfmt sheetId="2" sqref="JO779" start="0" length="0">
      <dxf/>
    </rfmt>
    <rfmt sheetId="2" sqref="JP779" start="0" length="0">
      <dxf/>
    </rfmt>
    <rfmt sheetId="2" sqref="JQ779" start="0" length="0">
      <dxf/>
    </rfmt>
    <rfmt sheetId="2" sqref="JR779" start="0" length="0">
      <dxf/>
    </rfmt>
    <rfmt sheetId="2" sqref="JS779" start="0" length="0">
      <dxf/>
    </rfmt>
    <rfmt sheetId="2" sqref="JT779" start="0" length="0">
      <dxf/>
    </rfmt>
    <rfmt sheetId="2" sqref="JU779" start="0" length="0">
      <dxf/>
    </rfmt>
    <rfmt sheetId="2" sqref="JV779" start="0" length="0">
      <dxf/>
    </rfmt>
    <rfmt sheetId="2" sqref="JW779" start="0" length="0">
      <dxf/>
    </rfmt>
    <rfmt sheetId="2" sqref="JX779" start="0" length="0">
      <dxf/>
    </rfmt>
    <rfmt sheetId="2" sqref="JY779" start="0" length="0">
      <dxf/>
    </rfmt>
    <rfmt sheetId="2" sqref="JZ779" start="0" length="0">
      <dxf/>
    </rfmt>
    <rfmt sheetId="2" sqref="KA779" start="0" length="0">
      <dxf/>
    </rfmt>
    <rfmt sheetId="2" sqref="KB779" start="0" length="0">
      <dxf/>
    </rfmt>
    <rfmt sheetId="2" sqref="KC779" start="0" length="0">
      <dxf/>
    </rfmt>
    <rfmt sheetId="2" sqref="KD779" start="0" length="0">
      <dxf/>
    </rfmt>
    <rfmt sheetId="2" sqref="KE779" start="0" length="0">
      <dxf/>
    </rfmt>
    <rfmt sheetId="2" sqref="KF779" start="0" length="0">
      <dxf/>
    </rfmt>
    <rfmt sheetId="2" sqref="KG779" start="0" length="0">
      <dxf/>
    </rfmt>
    <rfmt sheetId="2" sqref="KH779" start="0" length="0">
      <dxf/>
    </rfmt>
    <rfmt sheetId="2" sqref="KI779" start="0" length="0">
      <dxf/>
    </rfmt>
    <rfmt sheetId="2" sqref="KJ779" start="0" length="0">
      <dxf/>
    </rfmt>
    <rfmt sheetId="2" sqref="KK779" start="0" length="0">
      <dxf/>
    </rfmt>
    <rfmt sheetId="2" sqref="KL779" start="0" length="0">
      <dxf/>
    </rfmt>
    <rfmt sheetId="2" sqref="KM779" start="0" length="0">
      <dxf/>
    </rfmt>
    <rfmt sheetId="2" sqref="KN779" start="0" length="0">
      <dxf/>
    </rfmt>
    <rfmt sheetId="2" sqref="KO779" start="0" length="0">
      <dxf/>
    </rfmt>
    <rfmt sheetId="2" sqref="KP779" start="0" length="0">
      <dxf/>
    </rfmt>
    <rfmt sheetId="2" sqref="KQ779" start="0" length="0">
      <dxf/>
    </rfmt>
    <rfmt sheetId="2" sqref="KR779" start="0" length="0">
      <dxf/>
    </rfmt>
    <rfmt sheetId="2" sqref="KS779" start="0" length="0">
      <dxf/>
    </rfmt>
    <rfmt sheetId="2" sqref="KT779" start="0" length="0">
      <dxf/>
    </rfmt>
    <rfmt sheetId="2" sqref="KU779" start="0" length="0">
      <dxf/>
    </rfmt>
    <rfmt sheetId="2" sqref="KV779" start="0" length="0">
      <dxf/>
    </rfmt>
    <rfmt sheetId="2" sqref="KW779" start="0" length="0">
      <dxf/>
    </rfmt>
    <rfmt sheetId="2" sqref="KX779" start="0" length="0">
      <dxf/>
    </rfmt>
    <rfmt sheetId="2" sqref="KY779" start="0" length="0">
      <dxf/>
    </rfmt>
    <rfmt sheetId="2" sqref="KZ779" start="0" length="0">
      <dxf/>
    </rfmt>
    <rfmt sheetId="2" sqref="LA779" start="0" length="0">
      <dxf/>
    </rfmt>
    <rfmt sheetId="2" sqref="LB779" start="0" length="0">
      <dxf/>
    </rfmt>
    <rfmt sheetId="2" sqref="LC779" start="0" length="0">
      <dxf/>
    </rfmt>
    <rfmt sheetId="2" sqref="LD779" start="0" length="0">
      <dxf/>
    </rfmt>
    <rfmt sheetId="2" sqref="LE779" start="0" length="0">
      <dxf/>
    </rfmt>
    <rfmt sheetId="2" sqref="LF779" start="0" length="0">
      <dxf/>
    </rfmt>
    <rfmt sheetId="2" sqref="LG779" start="0" length="0">
      <dxf/>
    </rfmt>
    <rfmt sheetId="2" sqref="LH779" start="0" length="0">
      <dxf/>
    </rfmt>
    <rfmt sheetId="2" sqref="LI779" start="0" length="0">
      <dxf/>
    </rfmt>
    <rfmt sheetId="2" sqref="LJ779" start="0" length="0">
      <dxf/>
    </rfmt>
    <rfmt sheetId="2" sqref="LK779" start="0" length="0">
      <dxf/>
    </rfmt>
    <rfmt sheetId="2" sqref="LL779" start="0" length="0">
      <dxf/>
    </rfmt>
    <rfmt sheetId="2" sqref="LM779" start="0" length="0">
      <dxf/>
    </rfmt>
    <rfmt sheetId="2" sqref="LN779" start="0" length="0">
      <dxf/>
    </rfmt>
    <rfmt sheetId="2" sqref="LO779" start="0" length="0">
      <dxf/>
    </rfmt>
    <rfmt sheetId="2" sqref="LP779" start="0" length="0">
      <dxf/>
    </rfmt>
    <rfmt sheetId="2" sqref="LQ779" start="0" length="0">
      <dxf/>
    </rfmt>
    <rfmt sheetId="2" sqref="LR779" start="0" length="0">
      <dxf/>
    </rfmt>
    <rfmt sheetId="2" sqref="LS779" start="0" length="0">
      <dxf/>
    </rfmt>
    <rfmt sheetId="2" sqref="LT779" start="0" length="0">
      <dxf/>
    </rfmt>
    <rfmt sheetId="2" sqref="LU779" start="0" length="0">
      <dxf/>
    </rfmt>
    <rfmt sheetId="2" sqref="LV779" start="0" length="0">
      <dxf/>
    </rfmt>
    <rfmt sheetId="2" sqref="LW779" start="0" length="0">
      <dxf/>
    </rfmt>
    <rfmt sheetId="2" sqref="LX779" start="0" length="0">
      <dxf/>
    </rfmt>
    <rfmt sheetId="2" sqref="LY779" start="0" length="0">
      <dxf/>
    </rfmt>
    <rfmt sheetId="2" sqref="LZ779" start="0" length="0">
      <dxf/>
    </rfmt>
    <rfmt sheetId="2" sqref="MA779" start="0" length="0">
      <dxf/>
    </rfmt>
    <rfmt sheetId="2" sqref="MB779" start="0" length="0">
      <dxf/>
    </rfmt>
  </rrc>
  <rrc rId="2656" sId="2" ref="A779:XFD779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79:XFD779" start="0" length="0">
      <dxf>
        <font>
          <sz val="10"/>
          <name val="Arial"/>
          <scheme val="none"/>
        </font>
        <alignment horizontal="center" readingOrder="0"/>
      </dxf>
    </rfmt>
    <rfmt sheetId="2" sqref="A77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7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9" start="0" length="0">
      <dxf>
        <numFmt numFmtId="176" formatCode="m/d;@"/>
      </dxf>
    </rfmt>
    <rfmt sheetId="2" sqref="P77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9" start="0" length="0">
      <dxf/>
    </rfmt>
    <rfmt sheetId="2" sqref="U779" start="0" length="0">
      <dxf/>
    </rfmt>
    <rfmt sheetId="2" sqref="V779" start="0" length="0">
      <dxf/>
    </rfmt>
    <rfmt sheetId="2" sqref="W779" start="0" length="0">
      <dxf/>
    </rfmt>
    <rfmt sheetId="2" sqref="X779" start="0" length="0">
      <dxf/>
    </rfmt>
    <rfmt sheetId="2" sqref="Y779" start="0" length="0">
      <dxf/>
    </rfmt>
    <rfmt sheetId="2" sqref="Z779" start="0" length="0">
      <dxf/>
    </rfmt>
    <rfmt sheetId="2" sqref="AA779" start="0" length="0">
      <dxf/>
    </rfmt>
    <rfmt sheetId="2" sqref="AB779" start="0" length="0">
      <dxf/>
    </rfmt>
    <rfmt sheetId="2" sqref="AC779" start="0" length="0">
      <dxf/>
    </rfmt>
    <rfmt sheetId="2" sqref="AD779" start="0" length="0">
      <dxf/>
    </rfmt>
    <rfmt sheetId="2" sqref="AE779" start="0" length="0">
      <dxf/>
    </rfmt>
    <rfmt sheetId="2" sqref="AF779" start="0" length="0">
      <dxf/>
    </rfmt>
    <rfmt sheetId="2" sqref="AG779" start="0" length="0">
      <dxf/>
    </rfmt>
    <rfmt sheetId="2" sqref="AH779" start="0" length="0">
      <dxf/>
    </rfmt>
    <rfmt sheetId="2" sqref="AI779" start="0" length="0">
      <dxf/>
    </rfmt>
    <rfmt sheetId="2" sqref="AJ779" start="0" length="0">
      <dxf/>
    </rfmt>
    <rfmt sheetId="2" sqref="AK779" start="0" length="0">
      <dxf/>
    </rfmt>
    <rfmt sheetId="2" sqref="AL779" start="0" length="0">
      <dxf/>
    </rfmt>
    <rfmt sheetId="2" sqref="AM779" start="0" length="0">
      <dxf/>
    </rfmt>
    <rfmt sheetId="2" sqref="AN779" start="0" length="0">
      <dxf/>
    </rfmt>
    <rfmt sheetId="2" sqref="AO779" start="0" length="0">
      <dxf/>
    </rfmt>
    <rfmt sheetId="2" sqref="AP779" start="0" length="0">
      <dxf/>
    </rfmt>
    <rfmt sheetId="2" sqref="AQ779" start="0" length="0">
      <dxf/>
    </rfmt>
    <rfmt sheetId="2" sqref="AR779" start="0" length="0">
      <dxf/>
    </rfmt>
    <rfmt sheetId="2" sqref="AS779" start="0" length="0">
      <dxf/>
    </rfmt>
    <rfmt sheetId="2" sqref="AT779" start="0" length="0">
      <dxf/>
    </rfmt>
    <rfmt sheetId="2" sqref="AU779" start="0" length="0">
      <dxf/>
    </rfmt>
    <rfmt sheetId="2" sqref="AV779" start="0" length="0">
      <dxf/>
    </rfmt>
    <rfmt sheetId="2" sqref="AW779" start="0" length="0">
      <dxf/>
    </rfmt>
    <rfmt sheetId="2" sqref="AX779" start="0" length="0">
      <dxf/>
    </rfmt>
    <rfmt sheetId="2" sqref="AY779" start="0" length="0">
      <dxf/>
    </rfmt>
    <rfmt sheetId="2" sqref="AZ779" start="0" length="0">
      <dxf/>
    </rfmt>
    <rfmt sheetId="2" sqref="BA779" start="0" length="0">
      <dxf/>
    </rfmt>
    <rfmt sheetId="2" sqref="BB779" start="0" length="0">
      <dxf/>
    </rfmt>
    <rfmt sheetId="2" sqref="BC779" start="0" length="0">
      <dxf/>
    </rfmt>
    <rfmt sheetId="2" sqref="BD779" start="0" length="0">
      <dxf/>
    </rfmt>
    <rfmt sheetId="2" sqref="BE779" start="0" length="0">
      <dxf/>
    </rfmt>
    <rfmt sheetId="2" sqref="BF779" start="0" length="0">
      <dxf/>
    </rfmt>
    <rfmt sheetId="2" sqref="BG779" start="0" length="0">
      <dxf/>
    </rfmt>
    <rfmt sheetId="2" sqref="BH779" start="0" length="0">
      <dxf/>
    </rfmt>
    <rfmt sheetId="2" sqref="BI779" start="0" length="0">
      <dxf/>
    </rfmt>
    <rfmt sheetId="2" sqref="BJ779" start="0" length="0">
      <dxf/>
    </rfmt>
    <rfmt sheetId="2" sqref="BK779" start="0" length="0">
      <dxf/>
    </rfmt>
    <rfmt sheetId="2" sqref="BL779" start="0" length="0">
      <dxf/>
    </rfmt>
    <rfmt sheetId="2" sqref="BM779" start="0" length="0">
      <dxf/>
    </rfmt>
    <rfmt sheetId="2" sqref="BN779" start="0" length="0">
      <dxf/>
    </rfmt>
    <rfmt sheetId="2" sqref="BO779" start="0" length="0">
      <dxf/>
    </rfmt>
    <rfmt sheetId="2" sqref="BP779" start="0" length="0">
      <dxf/>
    </rfmt>
    <rfmt sheetId="2" sqref="BQ779" start="0" length="0">
      <dxf/>
    </rfmt>
    <rfmt sheetId="2" sqref="BR779" start="0" length="0">
      <dxf/>
    </rfmt>
    <rfmt sheetId="2" sqref="BS779" start="0" length="0">
      <dxf/>
    </rfmt>
    <rfmt sheetId="2" sqref="BT779" start="0" length="0">
      <dxf/>
    </rfmt>
    <rfmt sheetId="2" sqref="BU779" start="0" length="0">
      <dxf/>
    </rfmt>
    <rfmt sheetId="2" sqref="BV779" start="0" length="0">
      <dxf/>
    </rfmt>
    <rfmt sheetId="2" sqref="BW779" start="0" length="0">
      <dxf/>
    </rfmt>
    <rfmt sheetId="2" sqref="BX779" start="0" length="0">
      <dxf/>
    </rfmt>
    <rfmt sheetId="2" sqref="BY779" start="0" length="0">
      <dxf/>
    </rfmt>
    <rfmt sheetId="2" sqref="BZ779" start="0" length="0">
      <dxf/>
    </rfmt>
    <rfmt sheetId="2" sqref="CA779" start="0" length="0">
      <dxf/>
    </rfmt>
    <rfmt sheetId="2" sqref="CB779" start="0" length="0">
      <dxf/>
    </rfmt>
    <rfmt sheetId="2" sqref="CC779" start="0" length="0">
      <dxf/>
    </rfmt>
    <rfmt sheetId="2" sqref="CD779" start="0" length="0">
      <dxf/>
    </rfmt>
    <rfmt sheetId="2" sqref="CE779" start="0" length="0">
      <dxf/>
    </rfmt>
    <rfmt sheetId="2" sqref="CF779" start="0" length="0">
      <dxf/>
    </rfmt>
    <rfmt sheetId="2" sqref="CG779" start="0" length="0">
      <dxf/>
    </rfmt>
    <rfmt sheetId="2" sqref="CH779" start="0" length="0">
      <dxf/>
    </rfmt>
    <rfmt sheetId="2" sqref="CI779" start="0" length="0">
      <dxf/>
    </rfmt>
    <rfmt sheetId="2" sqref="CJ779" start="0" length="0">
      <dxf/>
    </rfmt>
    <rfmt sheetId="2" sqref="CK779" start="0" length="0">
      <dxf/>
    </rfmt>
    <rfmt sheetId="2" sqref="CL779" start="0" length="0">
      <dxf/>
    </rfmt>
    <rfmt sheetId="2" sqref="CM779" start="0" length="0">
      <dxf/>
    </rfmt>
    <rfmt sheetId="2" sqref="CN779" start="0" length="0">
      <dxf/>
    </rfmt>
    <rfmt sheetId="2" sqref="CO779" start="0" length="0">
      <dxf/>
    </rfmt>
    <rfmt sheetId="2" sqref="CP779" start="0" length="0">
      <dxf/>
    </rfmt>
    <rfmt sheetId="2" sqref="CQ779" start="0" length="0">
      <dxf/>
    </rfmt>
    <rfmt sheetId="2" sqref="CR779" start="0" length="0">
      <dxf/>
    </rfmt>
    <rfmt sheetId="2" sqref="CS779" start="0" length="0">
      <dxf/>
    </rfmt>
    <rfmt sheetId="2" sqref="CT779" start="0" length="0">
      <dxf/>
    </rfmt>
    <rfmt sheetId="2" sqref="CU779" start="0" length="0">
      <dxf/>
    </rfmt>
    <rfmt sheetId="2" sqref="CV779" start="0" length="0">
      <dxf/>
    </rfmt>
    <rfmt sheetId="2" sqref="CW779" start="0" length="0">
      <dxf/>
    </rfmt>
    <rfmt sheetId="2" sqref="CX779" start="0" length="0">
      <dxf/>
    </rfmt>
    <rfmt sheetId="2" sqref="CY779" start="0" length="0">
      <dxf/>
    </rfmt>
    <rfmt sheetId="2" sqref="CZ779" start="0" length="0">
      <dxf/>
    </rfmt>
    <rfmt sheetId="2" sqref="DA779" start="0" length="0">
      <dxf/>
    </rfmt>
    <rfmt sheetId="2" sqref="DB779" start="0" length="0">
      <dxf/>
    </rfmt>
    <rfmt sheetId="2" sqref="DC779" start="0" length="0">
      <dxf/>
    </rfmt>
    <rfmt sheetId="2" sqref="DD779" start="0" length="0">
      <dxf/>
    </rfmt>
    <rfmt sheetId="2" sqref="DE779" start="0" length="0">
      <dxf/>
    </rfmt>
    <rfmt sheetId="2" sqref="DF779" start="0" length="0">
      <dxf/>
    </rfmt>
    <rfmt sheetId="2" sqref="DG779" start="0" length="0">
      <dxf/>
    </rfmt>
    <rfmt sheetId="2" sqref="DH779" start="0" length="0">
      <dxf/>
    </rfmt>
    <rfmt sheetId="2" sqref="DI779" start="0" length="0">
      <dxf/>
    </rfmt>
    <rfmt sheetId="2" sqref="DJ779" start="0" length="0">
      <dxf/>
    </rfmt>
    <rfmt sheetId="2" sqref="DK779" start="0" length="0">
      <dxf/>
    </rfmt>
    <rfmt sheetId="2" sqref="DL779" start="0" length="0">
      <dxf/>
    </rfmt>
    <rfmt sheetId="2" sqref="DM779" start="0" length="0">
      <dxf/>
    </rfmt>
    <rfmt sheetId="2" sqref="DN779" start="0" length="0">
      <dxf/>
    </rfmt>
    <rfmt sheetId="2" sqref="DO779" start="0" length="0">
      <dxf/>
    </rfmt>
    <rfmt sheetId="2" sqref="DP779" start="0" length="0">
      <dxf/>
    </rfmt>
    <rfmt sheetId="2" sqref="DQ779" start="0" length="0">
      <dxf/>
    </rfmt>
    <rfmt sheetId="2" sqref="DR779" start="0" length="0">
      <dxf/>
    </rfmt>
    <rfmt sheetId="2" sqref="DS779" start="0" length="0">
      <dxf/>
    </rfmt>
    <rfmt sheetId="2" sqref="DT779" start="0" length="0">
      <dxf/>
    </rfmt>
    <rfmt sheetId="2" sqref="DU779" start="0" length="0">
      <dxf/>
    </rfmt>
    <rfmt sheetId="2" sqref="DV779" start="0" length="0">
      <dxf/>
    </rfmt>
    <rfmt sheetId="2" sqref="DW779" start="0" length="0">
      <dxf/>
    </rfmt>
    <rfmt sheetId="2" sqref="DX779" start="0" length="0">
      <dxf/>
    </rfmt>
    <rfmt sheetId="2" sqref="DY779" start="0" length="0">
      <dxf/>
    </rfmt>
    <rfmt sheetId="2" sqref="DZ779" start="0" length="0">
      <dxf/>
    </rfmt>
    <rfmt sheetId="2" sqref="EA779" start="0" length="0">
      <dxf/>
    </rfmt>
    <rfmt sheetId="2" sqref="EB779" start="0" length="0">
      <dxf/>
    </rfmt>
    <rfmt sheetId="2" sqref="EC779" start="0" length="0">
      <dxf/>
    </rfmt>
    <rfmt sheetId="2" sqref="ED779" start="0" length="0">
      <dxf/>
    </rfmt>
    <rfmt sheetId="2" sqref="EE779" start="0" length="0">
      <dxf/>
    </rfmt>
    <rfmt sheetId="2" sqref="EF779" start="0" length="0">
      <dxf/>
    </rfmt>
    <rfmt sheetId="2" sqref="EG779" start="0" length="0">
      <dxf/>
    </rfmt>
    <rfmt sheetId="2" sqref="EH779" start="0" length="0">
      <dxf/>
    </rfmt>
    <rfmt sheetId="2" sqref="EI779" start="0" length="0">
      <dxf/>
    </rfmt>
    <rfmt sheetId="2" sqref="EJ779" start="0" length="0">
      <dxf/>
    </rfmt>
    <rfmt sheetId="2" sqref="EK779" start="0" length="0">
      <dxf/>
    </rfmt>
    <rfmt sheetId="2" sqref="EL779" start="0" length="0">
      <dxf/>
    </rfmt>
    <rfmt sheetId="2" sqref="EM779" start="0" length="0">
      <dxf/>
    </rfmt>
    <rfmt sheetId="2" sqref="EN779" start="0" length="0">
      <dxf/>
    </rfmt>
    <rfmt sheetId="2" sqref="EO779" start="0" length="0">
      <dxf/>
    </rfmt>
    <rfmt sheetId="2" sqref="EP779" start="0" length="0">
      <dxf/>
    </rfmt>
    <rfmt sheetId="2" sqref="EQ779" start="0" length="0">
      <dxf/>
    </rfmt>
    <rfmt sheetId="2" sqref="ER779" start="0" length="0">
      <dxf/>
    </rfmt>
    <rfmt sheetId="2" sqref="ES779" start="0" length="0">
      <dxf/>
    </rfmt>
    <rfmt sheetId="2" sqref="ET779" start="0" length="0">
      <dxf/>
    </rfmt>
    <rfmt sheetId="2" sqref="EU779" start="0" length="0">
      <dxf/>
    </rfmt>
    <rfmt sheetId="2" sqref="EV779" start="0" length="0">
      <dxf/>
    </rfmt>
    <rfmt sheetId="2" sqref="EW779" start="0" length="0">
      <dxf/>
    </rfmt>
    <rfmt sheetId="2" sqref="EX779" start="0" length="0">
      <dxf/>
    </rfmt>
    <rfmt sheetId="2" sqref="EY779" start="0" length="0">
      <dxf/>
    </rfmt>
    <rfmt sheetId="2" sqref="EZ779" start="0" length="0">
      <dxf/>
    </rfmt>
    <rfmt sheetId="2" sqref="FA779" start="0" length="0">
      <dxf/>
    </rfmt>
    <rfmt sheetId="2" sqref="FB779" start="0" length="0">
      <dxf/>
    </rfmt>
    <rfmt sheetId="2" sqref="FC779" start="0" length="0">
      <dxf/>
    </rfmt>
    <rfmt sheetId="2" sqref="FD779" start="0" length="0">
      <dxf/>
    </rfmt>
    <rfmt sheetId="2" sqref="FE779" start="0" length="0">
      <dxf/>
    </rfmt>
    <rfmt sheetId="2" sqref="FF779" start="0" length="0">
      <dxf/>
    </rfmt>
    <rfmt sheetId="2" sqref="FG779" start="0" length="0">
      <dxf/>
    </rfmt>
    <rfmt sheetId="2" sqref="FH779" start="0" length="0">
      <dxf/>
    </rfmt>
    <rfmt sheetId="2" sqref="FI779" start="0" length="0">
      <dxf/>
    </rfmt>
    <rfmt sheetId="2" sqref="FJ779" start="0" length="0">
      <dxf/>
    </rfmt>
    <rfmt sheetId="2" sqref="FK779" start="0" length="0">
      <dxf/>
    </rfmt>
    <rfmt sheetId="2" sqref="FL779" start="0" length="0">
      <dxf/>
    </rfmt>
    <rfmt sheetId="2" sqref="FM779" start="0" length="0">
      <dxf/>
    </rfmt>
    <rfmt sheetId="2" sqref="FN779" start="0" length="0">
      <dxf/>
    </rfmt>
    <rfmt sheetId="2" sqref="FO779" start="0" length="0">
      <dxf/>
    </rfmt>
    <rfmt sheetId="2" sqref="FP779" start="0" length="0">
      <dxf/>
    </rfmt>
    <rfmt sheetId="2" sqref="FQ779" start="0" length="0">
      <dxf/>
    </rfmt>
    <rfmt sheetId="2" sqref="FR779" start="0" length="0">
      <dxf/>
    </rfmt>
    <rfmt sheetId="2" sqref="FS779" start="0" length="0">
      <dxf/>
    </rfmt>
    <rfmt sheetId="2" sqref="FT779" start="0" length="0">
      <dxf/>
    </rfmt>
    <rfmt sheetId="2" sqref="FU779" start="0" length="0">
      <dxf/>
    </rfmt>
    <rfmt sheetId="2" sqref="FV779" start="0" length="0">
      <dxf/>
    </rfmt>
    <rfmt sheetId="2" sqref="FW779" start="0" length="0">
      <dxf/>
    </rfmt>
    <rfmt sheetId="2" sqref="FX779" start="0" length="0">
      <dxf/>
    </rfmt>
    <rfmt sheetId="2" sqref="FY779" start="0" length="0">
      <dxf/>
    </rfmt>
    <rfmt sheetId="2" sqref="FZ779" start="0" length="0">
      <dxf/>
    </rfmt>
    <rfmt sheetId="2" sqref="GA779" start="0" length="0">
      <dxf/>
    </rfmt>
    <rfmt sheetId="2" sqref="GB779" start="0" length="0">
      <dxf/>
    </rfmt>
    <rfmt sheetId="2" sqref="GC779" start="0" length="0">
      <dxf/>
    </rfmt>
    <rfmt sheetId="2" sqref="GD779" start="0" length="0">
      <dxf/>
    </rfmt>
    <rfmt sheetId="2" sqref="GE779" start="0" length="0">
      <dxf/>
    </rfmt>
    <rfmt sheetId="2" sqref="GF779" start="0" length="0">
      <dxf/>
    </rfmt>
    <rfmt sheetId="2" sqref="GG779" start="0" length="0">
      <dxf/>
    </rfmt>
    <rfmt sheetId="2" sqref="GH779" start="0" length="0">
      <dxf/>
    </rfmt>
    <rfmt sheetId="2" sqref="GI779" start="0" length="0">
      <dxf/>
    </rfmt>
    <rfmt sheetId="2" sqref="GJ779" start="0" length="0">
      <dxf/>
    </rfmt>
    <rfmt sheetId="2" sqref="GK779" start="0" length="0">
      <dxf/>
    </rfmt>
    <rfmt sheetId="2" sqref="GL779" start="0" length="0">
      <dxf/>
    </rfmt>
    <rfmt sheetId="2" sqref="GM779" start="0" length="0">
      <dxf/>
    </rfmt>
    <rfmt sheetId="2" sqref="GN779" start="0" length="0">
      <dxf/>
    </rfmt>
    <rfmt sheetId="2" sqref="GO779" start="0" length="0">
      <dxf/>
    </rfmt>
    <rfmt sheetId="2" sqref="GP779" start="0" length="0">
      <dxf/>
    </rfmt>
    <rfmt sheetId="2" sqref="GQ779" start="0" length="0">
      <dxf/>
    </rfmt>
    <rfmt sheetId="2" sqref="GR779" start="0" length="0">
      <dxf/>
    </rfmt>
    <rfmt sheetId="2" sqref="GS779" start="0" length="0">
      <dxf/>
    </rfmt>
    <rfmt sheetId="2" sqref="GT779" start="0" length="0">
      <dxf/>
    </rfmt>
    <rfmt sheetId="2" sqref="GU779" start="0" length="0">
      <dxf/>
    </rfmt>
    <rfmt sheetId="2" sqref="GV779" start="0" length="0">
      <dxf/>
    </rfmt>
    <rfmt sheetId="2" sqref="GW779" start="0" length="0">
      <dxf/>
    </rfmt>
    <rfmt sheetId="2" sqref="GX779" start="0" length="0">
      <dxf/>
    </rfmt>
    <rfmt sheetId="2" sqref="GY779" start="0" length="0">
      <dxf/>
    </rfmt>
    <rfmt sheetId="2" sqref="GZ779" start="0" length="0">
      <dxf/>
    </rfmt>
    <rfmt sheetId="2" sqref="HA779" start="0" length="0">
      <dxf/>
    </rfmt>
    <rfmt sheetId="2" sqref="HB779" start="0" length="0">
      <dxf/>
    </rfmt>
    <rfmt sheetId="2" sqref="HC779" start="0" length="0">
      <dxf/>
    </rfmt>
    <rfmt sheetId="2" sqref="HD779" start="0" length="0">
      <dxf/>
    </rfmt>
    <rfmt sheetId="2" sqref="HE779" start="0" length="0">
      <dxf/>
    </rfmt>
    <rfmt sheetId="2" sqref="HF779" start="0" length="0">
      <dxf/>
    </rfmt>
    <rfmt sheetId="2" sqref="HG779" start="0" length="0">
      <dxf/>
    </rfmt>
    <rfmt sheetId="2" sqref="HH779" start="0" length="0">
      <dxf/>
    </rfmt>
    <rfmt sheetId="2" sqref="HI779" start="0" length="0">
      <dxf/>
    </rfmt>
    <rfmt sheetId="2" sqref="HJ779" start="0" length="0">
      <dxf/>
    </rfmt>
    <rfmt sheetId="2" sqref="HK779" start="0" length="0">
      <dxf/>
    </rfmt>
    <rfmt sheetId="2" sqref="HL779" start="0" length="0">
      <dxf/>
    </rfmt>
    <rfmt sheetId="2" sqref="HM779" start="0" length="0">
      <dxf/>
    </rfmt>
    <rfmt sheetId="2" sqref="HN779" start="0" length="0">
      <dxf/>
    </rfmt>
    <rfmt sheetId="2" sqref="HO779" start="0" length="0">
      <dxf/>
    </rfmt>
    <rfmt sheetId="2" sqref="HP779" start="0" length="0">
      <dxf/>
    </rfmt>
    <rfmt sheetId="2" sqref="HQ779" start="0" length="0">
      <dxf/>
    </rfmt>
    <rfmt sheetId="2" sqref="HR779" start="0" length="0">
      <dxf/>
    </rfmt>
    <rfmt sheetId="2" sqref="HS779" start="0" length="0">
      <dxf/>
    </rfmt>
    <rfmt sheetId="2" sqref="HT779" start="0" length="0">
      <dxf/>
    </rfmt>
    <rfmt sheetId="2" sqref="HU779" start="0" length="0">
      <dxf/>
    </rfmt>
    <rfmt sheetId="2" sqref="HV779" start="0" length="0">
      <dxf/>
    </rfmt>
    <rfmt sheetId="2" sqref="HW779" start="0" length="0">
      <dxf/>
    </rfmt>
    <rfmt sheetId="2" sqref="HX779" start="0" length="0">
      <dxf/>
    </rfmt>
    <rfmt sheetId="2" sqref="HY779" start="0" length="0">
      <dxf/>
    </rfmt>
    <rfmt sheetId="2" sqref="HZ779" start="0" length="0">
      <dxf/>
    </rfmt>
    <rfmt sheetId="2" sqref="IA779" start="0" length="0">
      <dxf/>
    </rfmt>
    <rfmt sheetId="2" sqref="IB779" start="0" length="0">
      <dxf/>
    </rfmt>
    <rfmt sheetId="2" sqref="IC779" start="0" length="0">
      <dxf/>
    </rfmt>
    <rfmt sheetId="2" sqref="ID779" start="0" length="0">
      <dxf/>
    </rfmt>
    <rfmt sheetId="2" sqref="IE779" start="0" length="0">
      <dxf/>
    </rfmt>
    <rfmt sheetId="2" sqref="IF779" start="0" length="0">
      <dxf/>
    </rfmt>
    <rfmt sheetId="2" sqref="IG779" start="0" length="0">
      <dxf/>
    </rfmt>
    <rfmt sheetId="2" sqref="IH779" start="0" length="0">
      <dxf/>
    </rfmt>
    <rfmt sheetId="2" sqref="II779" start="0" length="0">
      <dxf/>
    </rfmt>
    <rfmt sheetId="2" sqref="IJ779" start="0" length="0">
      <dxf/>
    </rfmt>
    <rfmt sheetId="2" sqref="IK779" start="0" length="0">
      <dxf/>
    </rfmt>
    <rfmt sheetId="2" sqref="IL779" start="0" length="0">
      <dxf/>
    </rfmt>
    <rfmt sheetId="2" sqref="IM779" start="0" length="0">
      <dxf/>
    </rfmt>
    <rfmt sheetId="2" sqref="IN779" start="0" length="0">
      <dxf/>
    </rfmt>
    <rfmt sheetId="2" sqref="IO779" start="0" length="0">
      <dxf/>
    </rfmt>
    <rfmt sheetId="2" sqref="IP779" start="0" length="0">
      <dxf/>
    </rfmt>
    <rfmt sheetId="2" sqref="IQ779" start="0" length="0">
      <dxf/>
    </rfmt>
    <rfmt sheetId="2" sqref="IR779" start="0" length="0">
      <dxf/>
    </rfmt>
    <rfmt sheetId="2" sqref="IS779" start="0" length="0">
      <dxf/>
    </rfmt>
    <rfmt sheetId="2" sqref="IT779" start="0" length="0">
      <dxf/>
    </rfmt>
    <rfmt sheetId="2" sqref="IU779" start="0" length="0">
      <dxf/>
    </rfmt>
    <rfmt sheetId="2" sqref="IV779" start="0" length="0">
      <dxf/>
    </rfmt>
    <rfmt sheetId="2" sqref="IW779" start="0" length="0">
      <dxf/>
    </rfmt>
    <rfmt sheetId="2" sqref="IX779" start="0" length="0">
      <dxf/>
    </rfmt>
    <rfmt sheetId="2" sqref="IY779" start="0" length="0">
      <dxf/>
    </rfmt>
    <rfmt sheetId="2" sqref="IZ779" start="0" length="0">
      <dxf/>
    </rfmt>
    <rfmt sheetId="2" sqref="JA779" start="0" length="0">
      <dxf/>
    </rfmt>
    <rfmt sheetId="2" sqref="JB779" start="0" length="0">
      <dxf/>
    </rfmt>
    <rfmt sheetId="2" sqref="JC779" start="0" length="0">
      <dxf/>
    </rfmt>
    <rfmt sheetId="2" sqref="JD779" start="0" length="0">
      <dxf/>
    </rfmt>
    <rfmt sheetId="2" sqref="JE779" start="0" length="0">
      <dxf/>
    </rfmt>
    <rfmt sheetId="2" sqref="JF779" start="0" length="0">
      <dxf/>
    </rfmt>
    <rfmt sheetId="2" sqref="JG779" start="0" length="0">
      <dxf/>
    </rfmt>
    <rfmt sheetId="2" sqref="JH779" start="0" length="0">
      <dxf/>
    </rfmt>
    <rfmt sheetId="2" sqref="JI779" start="0" length="0">
      <dxf/>
    </rfmt>
    <rfmt sheetId="2" sqref="JJ779" start="0" length="0">
      <dxf/>
    </rfmt>
    <rfmt sheetId="2" sqref="JK779" start="0" length="0">
      <dxf/>
    </rfmt>
    <rfmt sheetId="2" sqref="JL779" start="0" length="0">
      <dxf/>
    </rfmt>
    <rfmt sheetId="2" sqref="JM779" start="0" length="0">
      <dxf/>
    </rfmt>
    <rfmt sheetId="2" sqref="JN779" start="0" length="0">
      <dxf/>
    </rfmt>
    <rfmt sheetId="2" sqref="JO779" start="0" length="0">
      <dxf/>
    </rfmt>
    <rfmt sheetId="2" sqref="JP779" start="0" length="0">
      <dxf/>
    </rfmt>
    <rfmt sheetId="2" sqref="JQ779" start="0" length="0">
      <dxf/>
    </rfmt>
    <rfmt sheetId="2" sqref="JR779" start="0" length="0">
      <dxf/>
    </rfmt>
    <rfmt sheetId="2" sqref="JS779" start="0" length="0">
      <dxf/>
    </rfmt>
    <rfmt sheetId="2" sqref="JT779" start="0" length="0">
      <dxf/>
    </rfmt>
    <rfmt sheetId="2" sqref="JU779" start="0" length="0">
      <dxf/>
    </rfmt>
    <rfmt sheetId="2" sqref="JV779" start="0" length="0">
      <dxf/>
    </rfmt>
    <rfmt sheetId="2" sqref="JW779" start="0" length="0">
      <dxf/>
    </rfmt>
    <rfmt sheetId="2" sqref="JX779" start="0" length="0">
      <dxf/>
    </rfmt>
    <rfmt sheetId="2" sqref="JY779" start="0" length="0">
      <dxf/>
    </rfmt>
    <rfmt sheetId="2" sqref="JZ779" start="0" length="0">
      <dxf/>
    </rfmt>
    <rfmt sheetId="2" sqref="KA779" start="0" length="0">
      <dxf/>
    </rfmt>
    <rfmt sheetId="2" sqref="KB779" start="0" length="0">
      <dxf/>
    </rfmt>
    <rfmt sheetId="2" sqref="KC779" start="0" length="0">
      <dxf/>
    </rfmt>
    <rfmt sheetId="2" sqref="KD779" start="0" length="0">
      <dxf/>
    </rfmt>
    <rfmt sheetId="2" sqref="KE779" start="0" length="0">
      <dxf/>
    </rfmt>
    <rfmt sheetId="2" sqref="KF779" start="0" length="0">
      <dxf/>
    </rfmt>
    <rfmt sheetId="2" sqref="KG779" start="0" length="0">
      <dxf/>
    </rfmt>
    <rfmt sheetId="2" sqref="KH779" start="0" length="0">
      <dxf/>
    </rfmt>
    <rfmt sheetId="2" sqref="KI779" start="0" length="0">
      <dxf/>
    </rfmt>
    <rfmt sheetId="2" sqref="KJ779" start="0" length="0">
      <dxf/>
    </rfmt>
    <rfmt sheetId="2" sqref="KK779" start="0" length="0">
      <dxf/>
    </rfmt>
    <rfmt sheetId="2" sqref="KL779" start="0" length="0">
      <dxf/>
    </rfmt>
    <rfmt sheetId="2" sqref="KM779" start="0" length="0">
      <dxf/>
    </rfmt>
    <rfmt sheetId="2" sqref="KN779" start="0" length="0">
      <dxf/>
    </rfmt>
    <rfmt sheetId="2" sqref="KO779" start="0" length="0">
      <dxf/>
    </rfmt>
    <rfmt sheetId="2" sqref="KP779" start="0" length="0">
      <dxf/>
    </rfmt>
    <rfmt sheetId="2" sqref="KQ779" start="0" length="0">
      <dxf/>
    </rfmt>
    <rfmt sheetId="2" sqref="KR779" start="0" length="0">
      <dxf/>
    </rfmt>
    <rfmt sheetId="2" sqref="KS779" start="0" length="0">
      <dxf/>
    </rfmt>
    <rfmt sheetId="2" sqref="KT779" start="0" length="0">
      <dxf/>
    </rfmt>
    <rfmt sheetId="2" sqref="KU779" start="0" length="0">
      <dxf/>
    </rfmt>
    <rfmt sheetId="2" sqref="KV779" start="0" length="0">
      <dxf/>
    </rfmt>
    <rfmt sheetId="2" sqref="KW779" start="0" length="0">
      <dxf/>
    </rfmt>
    <rfmt sheetId="2" sqref="KX779" start="0" length="0">
      <dxf/>
    </rfmt>
    <rfmt sheetId="2" sqref="KY779" start="0" length="0">
      <dxf/>
    </rfmt>
    <rfmt sheetId="2" sqref="KZ779" start="0" length="0">
      <dxf/>
    </rfmt>
    <rfmt sheetId="2" sqref="LA779" start="0" length="0">
      <dxf/>
    </rfmt>
    <rfmt sheetId="2" sqref="LB779" start="0" length="0">
      <dxf/>
    </rfmt>
    <rfmt sheetId="2" sqref="LC779" start="0" length="0">
      <dxf/>
    </rfmt>
    <rfmt sheetId="2" sqref="LD779" start="0" length="0">
      <dxf/>
    </rfmt>
    <rfmt sheetId="2" sqref="LE779" start="0" length="0">
      <dxf/>
    </rfmt>
    <rfmt sheetId="2" sqref="LF779" start="0" length="0">
      <dxf/>
    </rfmt>
    <rfmt sheetId="2" sqref="LG779" start="0" length="0">
      <dxf/>
    </rfmt>
    <rfmt sheetId="2" sqref="LH779" start="0" length="0">
      <dxf/>
    </rfmt>
    <rfmt sheetId="2" sqref="LI779" start="0" length="0">
      <dxf/>
    </rfmt>
    <rfmt sheetId="2" sqref="LJ779" start="0" length="0">
      <dxf/>
    </rfmt>
    <rfmt sheetId="2" sqref="LK779" start="0" length="0">
      <dxf/>
    </rfmt>
    <rfmt sheetId="2" sqref="LL779" start="0" length="0">
      <dxf/>
    </rfmt>
    <rfmt sheetId="2" sqref="LM779" start="0" length="0">
      <dxf/>
    </rfmt>
    <rfmt sheetId="2" sqref="LN779" start="0" length="0">
      <dxf/>
    </rfmt>
    <rfmt sheetId="2" sqref="LO779" start="0" length="0">
      <dxf/>
    </rfmt>
    <rfmt sheetId="2" sqref="LP779" start="0" length="0">
      <dxf/>
    </rfmt>
    <rfmt sheetId="2" sqref="LQ779" start="0" length="0">
      <dxf/>
    </rfmt>
    <rfmt sheetId="2" sqref="LR779" start="0" length="0">
      <dxf/>
    </rfmt>
    <rfmt sheetId="2" sqref="LS779" start="0" length="0">
      <dxf/>
    </rfmt>
    <rfmt sheetId="2" sqref="LT779" start="0" length="0">
      <dxf/>
    </rfmt>
    <rfmt sheetId="2" sqref="LU779" start="0" length="0">
      <dxf/>
    </rfmt>
    <rfmt sheetId="2" sqref="LV779" start="0" length="0">
      <dxf/>
    </rfmt>
    <rfmt sheetId="2" sqref="LW779" start="0" length="0">
      <dxf/>
    </rfmt>
    <rfmt sheetId="2" sqref="LX779" start="0" length="0">
      <dxf/>
    </rfmt>
    <rfmt sheetId="2" sqref="LY779" start="0" length="0">
      <dxf/>
    </rfmt>
    <rfmt sheetId="2" sqref="LZ779" start="0" length="0">
      <dxf/>
    </rfmt>
    <rfmt sheetId="2" sqref="MA779" start="0" length="0">
      <dxf/>
    </rfmt>
    <rfmt sheetId="2" sqref="MB779" start="0" length="0">
      <dxf/>
    </rfmt>
  </rrc>
  <rrc rId="2657" sId="2" ref="A779:XFD780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58" sheetId="2" source="A793:XFD794" destination="A779:XFD780" sourceSheetId="2">
    <rfmt sheetId="2" xfDxf="1" sqref="A779:XFD779" start="0" length="0">
      <dxf>
        <font>
          <sz val="10"/>
          <name val="Arial"/>
          <scheme val="none"/>
        </font>
        <alignment horizontal="center" readingOrder="0"/>
      </dxf>
    </rfmt>
    <rfmt sheetId="2" xfDxf="1" sqref="A780:XFD780" start="0" length="0">
      <dxf>
        <font>
          <sz val="10"/>
          <name val="Arial"/>
          <scheme val="none"/>
        </font>
        <alignment horizontal="center" readingOrder="0"/>
      </dxf>
    </rfmt>
    <rfmt sheetId="2" sqref="A77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79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7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7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7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7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79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7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7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7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79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79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7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79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79" start="0" length="0">
      <dxf>
        <numFmt numFmtId="176" formatCode="m/d;@"/>
      </dxf>
    </rfmt>
    <rfmt sheetId="2" sqref="P77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79" start="0" length="0">
      <dxf/>
    </rfmt>
    <rfmt sheetId="2" sqref="U779" start="0" length="0">
      <dxf/>
    </rfmt>
    <rfmt sheetId="2" sqref="V779" start="0" length="0">
      <dxf/>
    </rfmt>
    <rfmt sheetId="2" sqref="W779" start="0" length="0">
      <dxf/>
    </rfmt>
    <rfmt sheetId="2" sqref="X779" start="0" length="0">
      <dxf/>
    </rfmt>
    <rfmt sheetId="2" sqref="Y779" start="0" length="0">
      <dxf/>
    </rfmt>
    <rfmt sheetId="2" sqref="Z779" start="0" length="0">
      <dxf/>
    </rfmt>
    <rfmt sheetId="2" sqref="AA779" start="0" length="0">
      <dxf/>
    </rfmt>
    <rfmt sheetId="2" sqref="AB779" start="0" length="0">
      <dxf/>
    </rfmt>
    <rfmt sheetId="2" sqref="AC779" start="0" length="0">
      <dxf/>
    </rfmt>
    <rfmt sheetId="2" sqref="AD779" start="0" length="0">
      <dxf/>
    </rfmt>
    <rfmt sheetId="2" sqref="AE779" start="0" length="0">
      <dxf/>
    </rfmt>
    <rfmt sheetId="2" sqref="AF779" start="0" length="0">
      <dxf/>
    </rfmt>
    <rfmt sheetId="2" sqref="AG779" start="0" length="0">
      <dxf/>
    </rfmt>
    <rfmt sheetId="2" sqref="AH779" start="0" length="0">
      <dxf/>
    </rfmt>
    <rfmt sheetId="2" sqref="AI779" start="0" length="0">
      <dxf/>
    </rfmt>
    <rfmt sheetId="2" sqref="AJ779" start="0" length="0">
      <dxf/>
    </rfmt>
    <rfmt sheetId="2" sqref="AK779" start="0" length="0">
      <dxf/>
    </rfmt>
    <rfmt sheetId="2" sqref="AL779" start="0" length="0">
      <dxf/>
    </rfmt>
    <rfmt sheetId="2" sqref="AM779" start="0" length="0">
      <dxf/>
    </rfmt>
    <rfmt sheetId="2" sqref="AN779" start="0" length="0">
      <dxf/>
    </rfmt>
    <rfmt sheetId="2" sqref="AO779" start="0" length="0">
      <dxf/>
    </rfmt>
    <rfmt sheetId="2" sqref="AP779" start="0" length="0">
      <dxf/>
    </rfmt>
    <rfmt sheetId="2" sqref="AQ779" start="0" length="0">
      <dxf/>
    </rfmt>
    <rfmt sheetId="2" sqref="AR779" start="0" length="0">
      <dxf/>
    </rfmt>
    <rfmt sheetId="2" sqref="AS779" start="0" length="0">
      <dxf/>
    </rfmt>
    <rfmt sheetId="2" sqref="AT779" start="0" length="0">
      <dxf/>
    </rfmt>
    <rfmt sheetId="2" sqref="AU779" start="0" length="0">
      <dxf/>
    </rfmt>
    <rfmt sheetId="2" sqref="AV779" start="0" length="0">
      <dxf/>
    </rfmt>
    <rfmt sheetId="2" sqref="AW779" start="0" length="0">
      <dxf/>
    </rfmt>
    <rfmt sheetId="2" sqref="AX779" start="0" length="0">
      <dxf/>
    </rfmt>
    <rfmt sheetId="2" sqref="AY779" start="0" length="0">
      <dxf/>
    </rfmt>
    <rfmt sheetId="2" sqref="AZ779" start="0" length="0">
      <dxf/>
    </rfmt>
    <rfmt sheetId="2" sqref="BA779" start="0" length="0">
      <dxf/>
    </rfmt>
    <rfmt sheetId="2" sqref="BB779" start="0" length="0">
      <dxf/>
    </rfmt>
    <rfmt sheetId="2" sqref="BC779" start="0" length="0">
      <dxf/>
    </rfmt>
    <rfmt sheetId="2" sqref="BD779" start="0" length="0">
      <dxf/>
    </rfmt>
    <rfmt sheetId="2" sqref="BE779" start="0" length="0">
      <dxf/>
    </rfmt>
    <rfmt sheetId="2" sqref="BF779" start="0" length="0">
      <dxf/>
    </rfmt>
    <rfmt sheetId="2" sqref="BG779" start="0" length="0">
      <dxf/>
    </rfmt>
    <rfmt sheetId="2" sqref="BH779" start="0" length="0">
      <dxf/>
    </rfmt>
    <rfmt sheetId="2" sqref="BI779" start="0" length="0">
      <dxf/>
    </rfmt>
    <rfmt sheetId="2" sqref="BJ779" start="0" length="0">
      <dxf/>
    </rfmt>
    <rfmt sheetId="2" sqref="BK779" start="0" length="0">
      <dxf/>
    </rfmt>
    <rfmt sheetId="2" sqref="BL779" start="0" length="0">
      <dxf/>
    </rfmt>
    <rfmt sheetId="2" sqref="BM779" start="0" length="0">
      <dxf/>
    </rfmt>
    <rfmt sheetId="2" sqref="BN779" start="0" length="0">
      <dxf/>
    </rfmt>
    <rfmt sheetId="2" sqref="BO779" start="0" length="0">
      <dxf/>
    </rfmt>
    <rfmt sheetId="2" sqref="BP779" start="0" length="0">
      <dxf/>
    </rfmt>
    <rfmt sheetId="2" sqref="BQ779" start="0" length="0">
      <dxf/>
    </rfmt>
    <rfmt sheetId="2" sqref="BR779" start="0" length="0">
      <dxf/>
    </rfmt>
    <rfmt sheetId="2" sqref="BS779" start="0" length="0">
      <dxf/>
    </rfmt>
    <rfmt sheetId="2" sqref="BT779" start="0" length="0">
      <dxf/>
    </rfmt>
    <rfmt sheetId="2" sqref="BU779" start="0" length="0">
      <dxf/>
    </rfmt>
    <rfmt sheetId="2" sqref="BV779" start="0" length="0">
      <dxf/>
    </rfmt>
    <rfmt sheetId="2" sqref="BW779" start="0" length="0">
      <dxf/>
    </rfmt>
    <rfmt sheetId="2" sqref="BX779" start="0" length="0">
      <dxf/>
    </rfmt>
    <rfmt sheetId="2" sqref="BY779" start="0" length="0">
      <dxf/>
    </rfmt>
    <rfmt sheetId="2" sqref="BZ779" start="0" length="0">
      <dxf/>
    </rfmt>
    <rfmt sheetId="2" sqref="CA779" start="0" length="0">
      <dxf/>
    </rfmt>
    <rfmt sheetId="2" sqref="CB779" start="0" length="0">
      <dxf/>
    </rfmt>
    <rfmt sheetId="2" sqref="CC779" start="0" length="0">
      <dxf/>
    </rfmt>
    <rfmt sheetId="2" sqref="CD779" start="0" length="0">
      <dxf/>
    </rfmt>
    <rfmt sheetId="2" sqref="CE779" start="0" length="0">
      <dxf/>
    </rfmt>
    <rfmt sheetId="2" sqref="CF779" start="0" length="0">
      <dxf/>
    </rfmt>
    <rfmt sheetId="2" sqref="CG779" start="0" length="0">
      <dxf/>
    </rfmt>
    <rfmt sheetId="2" sqref="CH779" start="0" length="0">
      <dxf/>
    </rfmt>
    <rfmt sheetId="2" sqref="CI779" start="0" length="0">
      <dxf/>
    </rfmt>
    <rfmt sheetId="2" sqref="CJ779" start="0" length="0">
      <dxf/>
    </rfmt>
    <rfmt sheetId="2" sqref="CK779" start="0" length="0">
      <dxf/>
    </rfmt>
    <rfmt sheetId="2" sqref="CL779" start="0" length="0">
      <dxf/>
    </rfmt>
    <rfmt sheetId="2" sqref="CM779" start="0" length="0">
      <dxf/>
    </rfmt>
    <rfmt sheetId="2" sqref="CN779" start="0" length="0">
      <dxf/>
    </rfmt>
    <rfmt sheetId="2" sqref="CO779" start="0" length="0">
      <dxf/>
    </rfmt>
    <rfmt sheetId="2" sqref="CP779" start="0" length="0">
      <dxf/>
    </rfmt>
    <rfmt sheetId="2" sqref="CQ779" start="0" length="0">
      <dxf/>
    </rfmt>
    <rfmt sheetId="2" sqref="CR779" start="0" length="0">
      <dxf/>
    </rfmt>
    <rfmt sheetId="2" sqref="CS779" start="0" length="0">
      <dxf/>
    </rfmt>
    <rfmt sheetId="2" sqref="CT779" start="0" length="0">
      <dxf/>
    </rfmt>
    <rfmt sheetId="2" sqref="CU779" start="0" length="0">
      <dxf/>
    </rfmt>
    <rfmt sheetId="2" sqref="CV779" start="0" length="0">
      <dxf/>
    </rfmt>
    <rfmt sheetId="2" sqref="CW779" start="0" length="0">
      <dxf/>
    </rfmt>
    <rfmt sheetId="2" sqref="CX779" start="0" length="0">
      <dxf/>
    </rfmt>
    <rfmt sheetId="2" sqref="CY779" start="0" length="0">
      <dxf/>
    </rfmt>
    <rfmt sheetId="2" sqref="CZ779" start="0" length="0">
      <dxf/>
    </rfmt>
    <rfmt sheetId="2" sqref="DA779" start="0" length="0">
      <dxf/>
    </rfmt>
    <rfmt sheetId="2" sqref="DB779" start="0" length="0">
      <dxf/>
    </rfmt>
    <rfmt sheetId="2" sqref="DC779" start="0" length="0">
      <dxf/>
    </rfmt>
    <rfmt sheetId="2" sqref="DD779" start="0" length="0">
      <dxf/>
    </rfmt>
    <rfmt sheetId="2" sqref="DE779" start="0" length="0">
      <dxf/>
    </rfmt>
    <rfmt sheetId="2" sqref="DF779" start="0" length="0">
      <dxf/>
    </rfmt>
    <rfmt sheetId="2" sqref="DG779" start="0" length="0">
      <dxf/>
    </rfmt>
    <rfmt sheetId="2" sqref="DH779" start="0" length="0">
      <dxf/>
    </rfmt>
    <rfmt sheetId="2" sqref="DI779" start="0" length="0">
      <dxf/>
    </rfmt>
    <rfmt sheetId="2" sqref="DJ779" start="0" length="0">
      <dxf/>
    </rfmt>
    <rfmt sheetId="2" sqref="DK779" start="0" length="0">
      <dxf/>
    </rfmt>
    <rfmt sheetId="2" sqref="DL779" start="0" length="0">
      <dxf/>
    </rfmt>
    <rfmt sheetId="2" sqref="DM779" start="0" length="0">
      <dxf/>
    </rfmt>
    <rfmt sheetId="2" sqref="DN779" start="0" length="0">
      <dxf/>
    </rfmt>
    <rfmt sheetId="2" sqref="DO779" start="0" length="0">
      <dxf/>
    </rfmt>
    <rfmt sheetId="2" sqref="DP779" start="0" length="0">
      <dxf/>
    </rfmt>
    <rfmt sheetId="2" sqref="DQ779" start="0" length="0">
      <dxf/>
    </rfmt>
    <rfmt sheetId="2" sqref="DR779" start="0" length="0">
      <dxf/>
    </rfmt>
    <rfmt sheetId="2" sqref="DS779" start="0" length="0">
      <dxf/>
    </rfmt>
    <rfmt sheetId="2" sqref="DT779" start="0" length="0">
      <dxf/>
    </rfmt>
    <rfmt sheetId="2" sqref="DU779" start="0" length="0">
      <dxf/>
    </rfmt>
    <rfmt sheetId="2" sqref="DV779" start="0" length="0">
      <dxf/>
    </rfmt>
    <rfmt sheetId="2" sqref="DW779" start="0" length="0">
      <dxf/>
    </rfmt>
    <rfmt sheetId="2" sqref="DX779" start="0" length="0">
      <dxf/>
    </rfmt>
    <rfmt sheetId="2" sqref="DY779" start="0" length="0">
      <dxf/>
    </rfmt>
    <rfmt sheetId="2" sqref="DZ779" start="0" length="0">
      <dxf/>
    </rfmt>
    <rfmt sheetId="2" sqref="EA779" start="0" length="0">
      <dxf/>
    </rfmt>
    <rfmt sheetId="2" sqref="EB779" start="0" length="0">
      <dxf/>
    </rfmt>
    <rfmt sheetId="2" sqref="EC779" start="0" length="0">
      <dxf/>
    </rfmt>
    <rfmt sheetId="2" sqref="ED779" start="0" length="0">
      <dxf/>
    </rfmt>
    <rfmt sheetId="2" sqref="EE779" start="0" length="0">
      <dxf/>
    </rfmt>
    <rfmt sheetId="2" sqref="EF779" start="0" length="0">
      <dxf/>
    </rfmt>
    <rfmt sheetId="2" sqref="EG779" start="0" length="0">
      <dxf/>
    </rfmt>
    <rfmt sheetId="2" sqref="EH779" start="0" length="0">
      <dxf/>
    </rfmt>
    <rfmt sheetId="2" sqref="EI779" start="0" length="0">
      <dxf/>
    </rfmt>
    <rfmt sheetId="2" sqref="EJ779" start="0" length="0">
      <dxf/>
    </rfmt>
    <rfmt sheetId="2" sqref="EK779" start="0" length="0">
      <dxf/>
    </rfmt>
    <rfmt sheetId="2" sqref="EL779" start="0" length="0">
      <dxf/>
    </rfmt>
    <rfmt sheetId="2" sqref="EM779" start="0" length="0">
      <dxf/>
    </rfmt>
    <rfmt sheetId="2" sqref="EN779" start="0" length="0">
      <dxf/>
    </rfmt>
    <rfmt sheetId="2" sqref="EO779" start="0" length="0">
      <dxf/>
    </rfmt>
    <rfmt sheetId="2" sqref="EP779" start="0" length="0">
      <dxf/>
    </rfmt>
    <rfmt sheetId="2" sqref="EQ779" start="0" length="0">
      <dxf/>
    </rfmt>
    <rfmt sheetId="2" sqref="ER779" start="0" length="0">
      <dxf/>
    </rfmt>
    <rfmt sheetId="2" sqref="ES779" start="0" length="0">
      <dxf/>
    </rfmt>
    <rfmt sheetId="2" sqref="ET779" start="0" length="0">
      <dxf/>
    </rfmt>
    <rfmt sheetId="2" sqref="EU779" start="0" length="0">
      <dxf/>
    </rfmt>
    <rfmt sheetId="2" sqref="EV779" start="0" length="0">
      <dxf/>
    </rfmt>
    <rfmt sheetId="2" sqref="EW779" start="0" length="0">
      <dxf/>
    </rfmt>
    <rfmt sheetId="2" sqref="EX779" start="0" length="0">
      <dxf/>
    </rfmt>
    <rfmt sheetId="2" sqref="EY779" start="0" length="0">
      <dxf/>
    </rfmt>
    <rfmt sheetId="2" sqref="EZ779" start="0" length="0">
      <dxf/>
    </rfmt>
    <rfmt sheetId="2" sqref="FA779" start="0" length="0">
      <dxf/>
    </rfmt>
    <rfmt sheetId="2" sqref="FB779" start="0" length="0">
      <dxf/>
    </rfmt>
    <rfmt sheetId="2" sqref="FC779" start="0" length="0">
      <dxf/>
    </rfmt>
    <rfmt sheetId="2" sqref="FD779" start="0" length="0">
      <dxf/>
    </rfmt>
    <rfmt sheetId="2" sqref="FE779" start="0" length="0">
      <dxf/>
    </rfmt>
    <rfmt sheetId="2" sqref="FF779" start="0" length="0">
      <dxf/>
    </rfmt>
    <rfmt sheetId="2" sqref="FG779" start="0" length="0">
      <dxf/>
    </rfmt>
    <rfmt sheetId="2" sqref="FH779" start="0" length="0">
      <dxf/>
    </rfmt>
    <rfmt sheetId="2" sqref="FI779" start="0" length="0">
      <dxf/>
    </rfmt>
    <rfmt sheetId="2" sqref="FJ779" start="0" length="0">
      <dxf/>
    </rfmt>
    <rfmt sheetId="2" sqref="FK779" start="0" length="0">
      <dxf/>
    </rfmt>
    <rfmt sheetId="2" sqref="FL779" start="0" length="0">
      <dxf/>
    </rfmt>
    <rfmt sheetId="2" sqref="FM779" start="0" length="0">
      <dxf/>
    </rfmt>
    <rfmt sheetId="2" sqref="FN779" start="0" length="0">
      <dxf/>
    </rfmt>
    <rfmt sheetId="2" sqref="FO779" start="0" length="0">
      <dxf/>
    </rfmt>
    <rfmt sheetId="2" sqref="FP779" start="0" length="0">
      <dxf/>
    </rfmt>
    <rfmt sheetId="2" sqref="FQ779" start="0" length="0">
      <dxf/>
    </rfmt>
    <rfmt sheetId="2" sqref="FR779" start="0" length="0">
      <dxf/>
    </rfmt>
    <rfmt sheetId="2" sqref="FS779" start="0" length="0">
      <dxf/>
    </rfmt>
    <rfmt sheetId="2" sqref="FT779" start="0" length="0">
      <dxf/>
    </rfmt>
    <rfmt sheetId="2" sqref="FU779" start="0" length="0">
      <dxf/>
    </rfmt>
    <rfmt sheetId="2" sqref="FV779" start="0" length="0">
      <dxf/>
    </rfmt>
    <rfmt sheetId="2" sqref="FW779" start="0" length="0">
      <dxf/>
    </rfmt>
    <rfmt sheetId="2" sqref="FX779" start="0" length="0">
      <dxf/>
    </rfmt>
    <rfmt sheetId="2" sqref="FY779" start="0" length="0">
      <dxf/>
    </rfmt>
    <rfmt sheetId="2" sqref="FZ779" start="0" length="0">
      <dxf/>
    </rfmt>
    <rfmt sheetId="2" sqref="GA779" start="0" length="0">
      <dxf/>
    </rfmt>
    <rfmt sheetId="2" sqref="GB779" start="0" length="0">
      <dxf/>
    </rfmt>
    <rfmt sheetId="2" sqref="GC779" start="0" length="0">
      <dxf/>
    </rfmt>
    <rfmt sheetId="2" sqref="GD779" start="0" length="0">
      <dxf/>
    </rfmt>
    <rfmt sheetId="2" sqref="GE779" start="0" length="0">
      <dxf/>
    </rfmt>
    <rfmt sheetId="2" sqref="GF779" start="0" length="0">
      <dxf/>
    </rfmt>
    <rfmt sheetId="2" sqref="GG779" start="0" length="0">
      <dxf/>
    </rfmt>
    <rfmt sheetId="2" sqref="GH779" start="0" length="0">
      <dxf/>
    </rfmt>
    <rfmt sheetId="2" sqref="GI779" start="0" length="0">
      <dxf/>
    </rfmt>
    <rfmt sheetId="2" sqref="GJ779" start="0" length="0">
      <dxf/>
    </rfmt>
    <rfmt sheetId="2" sqref="GK779" start="0" length="0">
      <dxf/>
    </rfmt>
    <rfmt sheetId="2" sqref="GL779" start="0" length="0">
      <dxf/>
    </rfmt>
    <rfmt sheetId="2" sqref="GM779" start="0" length="0">
      <dxf/>
    </rfmt>
    <rfmt sheetId="2" sqref="GN779" start="0" length="0">
      <dxf/>
    </rfmt>
    <rfmt sheetId="2" sqref="GO779" start="0" length="0">
      <dxf/>
    </rfmt>
    <rfmt sheetId="2" sqref="GP779" start="0" length="0">
      <dxf/>
    </rfmt>
    <rfmt sheetId="2" sqref="GQ779" start="0" length="0">
      <dxf/>
    </rfmt>
    <rfmt sheetId="2" sqref="GR779" start="0" length="0">
      <dxf/>
    </rfmt>
    <rfmt sheetId="2" sqref="GS779" start="0" length="0">
      <dxf/>
    </rfmt>
    <rfmt sheetId="2" sqref="GT779" start="0" length="0">
      <dxf/>
    </rfmt>
    <rfmt sheetId="2" sqref="GU779" start="0" length="0">
      <dxf/>
    </rfmt>
    <rfmt sheetId="2" sqref="GV779" start="0" length="0">
      <dxf/>
    </rfmt>
    <rfmt sheetId="2" sqref="GW779" start="0" length="0">
      <dxf/>
    </rfmt>
    <rfmt sheetId="2" sqref="GX779" start="0" length="0">
      <dxf/>
    </rfmt>
    <rfmt sheetId="2" sqref="GY779" start="0" length="0">
      <dxf/>
    </rfmt>
    <rfmt sheetId="2" sqref="GZ779" start="0" length="0">
      <dxf/>
    </rfmt>
    <rfmt sheetId="2" sqref="HA779" start="0" length="0">
      <dxf/>
    </rfmt>
    <rfmt sheetId="2" sqref="HB779" start="0" length="0">
      <dxf/>
    </rfmt>
    <rfmt sheetId="2" sqref="HC779" start="0" length="0">
      <dxf/>
    </rfmt>
    <rfmt sheetId="2" sqref="HD779" start="0" length="0">
      <dxf/>
    </rfmt>
    <rfmt sheetId="2" sqref="HE779" start="0" length="0">
      <dxf/>
    </rfmt>
    <rfmt sheetId="2" sqref="HF779" start="0" length="0">
      <dxf/>
    </rfmt>
    <rfmt sheetId="2" sqref="HG779" start="0" length="0">
      <dxf/>
    </rfmt>
    <rfmt sheetId="2" sqref="HH779" start="0" length="0">
      <dxf/>
    </rfmt>
    <rfmt sheetId="2" sqref="HI779" start="0" length="0">
      <dxf/>
    </rfmt>
    <rfmt sheetId="2" sqref="HJ779" start="0" length="0">
      <dxf/>
    </rfmt>
    <rfmt sheetId="2" sqref="HK779" start="0" length="0">
      <dxf/>
    </rfmt>
    <rfmt sheetId="2" sqref="HL779" start="0" length="0">
      <dxf/>
    </rfmt>
    <rfmt sheetId="2" sqref="HM779" start="0" length="0">
      <dxf/>
    </rfmt>
    <rfmt sheetId="2" sqref="HN779" start="0" length="0">
      <dxf/>
    </rfmt>
    <rfmt sheetId="2" sqref="HO779" start="0" length="0">
      <dxf/>
    </rfmt>
    <rfmt sheetId="2" sqref="HP779" start="0" length="0">
      <dxf/>
    </rfmt>
    <rfmt sheetId="2" sqref="HQ779" start="0" length="0">
      <dxf/>
    </rfmt>
    <rfmt sheetId="2" sqref="HR779" start="0" length="0">
      <dxf/>
    </rfmt>
    <rfmt sheetId="2" sqref="HS779" start="0" length="0">
      <dxf/>
    </rfmt>
    <rfmt sheetId="2" sqref="HT779" start="0" length="0">
      <dxf/>
    </rfmt>
    <rfmt sheetId="2" sqref="HU779" start="0" length="0">
      <dxf/>
    </rfmt>
    <rfmt sheetId="2" sqref="HV779" start="0" length="0">
      <dxf/>
    </rfmt>
    <rfmt sheetId="2" sqref="HW779" start="0" length="0">
      <dxf/>
    </rfmt>
    <rfmt sheetId="2" sqref="HX779" start="0" length="0">
      <dxf/>
    </rfmt>
    <rfmt sheetId="2" sqref="HY779" start="0" length="0">
      <dxf/>
    </rfmt>
    <rfmt sheetId="2" sqref="HZ779" start="0" length="0">
      <dxf/>
    </rfmt>
    <rfmt sheetId="2" sqref="IA779" start="0" length="0">
      <dxf/>
    </rfmt>
    <rfmt sheetId="2" sqref="IB779" start="0" length="0">
      <dxf/>
    </rfmt>
    <rfmt sheetId="2" sqref="IC779" start="0" length="0">
      <dxf/>
    </rfmt>
    <rfmt sheetId="2" sqref="ID779" start="0" length="0">
      <dxf/>
    </rfmt>
    <rfmt sheetId="2" sqref="IE779" start="0" length="0">
      <dxf/>
    </rfmt>
    <rfmt sheetId="2" sqref="IF779" start="0" length="0">
      <dxf/>
    </rfmt>
    <rfmt sheetId="2" sqref="IG779" start="0" length="0">
      <dxf/>
    </rfmt>
    <rfmt sheetId="2" sqref="IH779" start="0" length="0">
      <dxf/>
    </rfmt>
    <rfmt sheetId="2" sqref="II779" start="0" length="0">
      <dxf/>
    </rfmt>
    <rfmt sheetId="2" sqref="IJ779" start="0" length="0">
      <dxf/>
    </rfmt>
    <rfmt sheetId="2" sqref="IK779" start="0" length="0">
      <dxf/>
    </rfmt>
    <rfmt sheetId="2" sqref="IL779" start="0" length="0">
      <dxf/>
    </rfmt>
    <rfmt sheetId="2" sqref="IM779" start="0" length="0">
      <dxf/>
    </rfmt>
    <rfmt sheetId="2" sqref="IN779" start="0" length="0">
      <dxf/>
    </rfmt>
    <rfmt sheetId="2" sqref="IO779" start="0" length="0">
      <dxf/>
    </rfmt>
    <rfmt sheetId="2" sqref="IP779" start="0" length="0">
      <dxf/>
    </rfmt>
    <rfmt sheetId="2" sqref="IQ779" start="0" length="0">
      <dxf/>
    </rfmt>
    <rfmt sheetId="2" sqref="IR779" start="0" length="0">
      <dxf/>
    </rfmt>
    <rfmt sheetId="2" sqref="IS779" start="0" length="0">
      <dxf/>
    </rfmt>
    <rfmt sheetId="2" sqref="IT779" start="0" length="0">
      <dxf/>
    </rfmt>
    <rfmt sheetId="2" sqref="IU779" start="0" length="0">
      <dxf/>
    </rfmt>
    <rfmt sheetId="2" sqref="IV779" start="0" length="0">
      <dxf/>
    </rfmt>
    <rfmt sheetId="2" sqref="IW779" start="0" length="0">
      <dxf/>
    </rfmt>
    <rfmt sheetId="2" sqref="IX779" start="0" length="0">
      <dxf/>
    </rfmt>
    <rfmt sheetId="2" sqref="IY779" start="0" length="0">
      <dxf/>
    </rfmt>
    <rfmt sheetId="2" sqref="IZ779" start="0" length="0">
      <dxf/>
    </rfmt>
    <rfmt sheetId="2" sqref="JA779" start="0" length="0">
      <dxf/>
    </rfmt>
    <rfmt sheetId="2" sqref="JB779" start="0" length="0">
      <dxf/>
    </rfmt>
    <rfmt sheetId="2" sqref="JC779" start="0" length="0">
      <dxf/>
    </rfmt>
    <rfmt sheetId="2" sqref="JD779" start="0" length="0">
      <dxf/>
    </rfmt>
    <rfmt sheetId="2" sqref="JE779" start="0" length="0">
      <dxf/>
    </rfmt>
    <rfmt sheetId="2" sqref="JF779" start="0" length="0">
      <dxf/>
    </rfmt>
    <rfmt sheetId="2" sqref="JG779" start="0" length="0">
      <dxf/>
    </rfmt>
    <rfmt sheetId="2" sqref="JH779" start="0" length="0">
      <dxf/>
    </rfmt>
    <rfmt sheetId="2" sqref="JI779" start="0" length="0">
      <dxf/>
    </rfmt>
    <rfmt sheetId="2" sqref="JJ779" start="0" length="0">
      <dxf/>
    </rfmt>
    <rfmt sheetId="2" sqref="JK779" start="0" length="0">
      <dxf/>
    </rfmt>
    <rfmt sheetId="2" sqref="JL779" start="0" length="0">
      <dxf/>
    </rfmt>
    <rfmt sheetId="2" sqref="JM779" start="0" length="0">
      <dxf/>
    </rfmt>
    <rfmt sheetId="2" sqref="JN779" start="0" length="0">
      <dxf/>
    </rfmt>
    <rfmt sheetId="2" sqref="JO779" start="0" length="0">
      <dxf/>
    </rfmt>
    <rfmt sheetId="2" sqref="JP779" start="0" length="0">
      <dxf/>
    </rfmt>
    <rfmt sheetId="2" sqref="JQ779" start="0" length="0">
      <dxf/>
    </rfmt>
    <rfmt sheetId="2" sqref="JR779" start="0" length="0">
      <dxf/>
    </rfmt>
    <rfmt sheetId="2" sqref="JS779" start="0" length="0">
      <dxf/>
    </rfmt>
    <rfmt sheetId="2" sqref="JT779" start="0" length="0">
      <dxf/>
    </rfmt>
    <rfmt sheetId="2" sqref="JU779" start="0" length="0">
      <dxf/>
    </rfmt>
    <rfmt sheetId="2" sqref="JV779" start="0" length="0">
      <dxf/>
    </rfmt>
    <rfmt sheetId="2" sqref="JW779" start="0" length="0">
      <dxf/>
    </rfmt>
    <rfmt sheetId="2" sqref="JX779" start="0" length="0">
      <dxf/>
    </rfmt>
    <rfmt sheetId="2" sqref="JY779" start="0" length="0">
      <dxf/>
    </rfmt>
    <rfmt sheetId="2" sqref="JZ779" start="0" length="0">
      <dxf/>
    </rfmt>
    <rfmt sheetId="2" sqref="KA779" start="0" length="0">
      <dxf/>
    </rfmt>
    <rfmt sheetId="2" sqref="KB779" start="0" length="0">
      <dxf/>
    </rfmt>
    <rfmt sheetId="2" sqref="KC779" start="0" length="0">
      <dxf/>
    </rfmt>
    <rfmt sheetId="2" sqref="KD779" start="0" length="0">
      <dxf/>
    </rfmt>
    <rfmt sheetId="2" sqref="KE779" start="0" length="0">
      <dxf/>
    </rfmt>
    <rfmt sheetId="2" sqref="KF779" start="0" length="0">
      <dxf/>
    </rfmt>
    <rfmt sheetId="2" sqref="KG779" start="0" length="0">
      <dxf/>
    </rfmt>
    <rfmt sheetId="2" sqref="KH779" start="0" length="0">
      <dxf/>
    </rfmt>
    <rfmt sheetId="2" sqref="KI779" start="0" length="0">
      <dxf/>
    </rfmt>
    <rfmt sheetId="2" sqref="KJ779" start="0" length="0">
      <dxf/>
    </rfmt>
    <rfmt sheetId="2" sqref="KK779" start="0" length="0">
      <dxf/>
    </rfmt>
    <rfmt sheetId="2" sqref="KL779" start="0" length="0">
      <dxf/>
    </rfmt>
    <rfmt sheetId="2" sqref="KM779" start="0" length="0">
      <dxf/>
    </rfmt>
    <rfmt sheetId="2" sqref="KN779" start="0" length="0">
      <dxf/>
    </rfmt>
    <rfmt sheetId="2" sqref="KO779" start="0" length="0">
      <dxf/>
    </rfmt>
    <rfmt sheetId="2" sqref="KP779" start="0" length="0">
      <dxf/>
    </rfmt>
    <rfmt sheetId="2" sqref="KQ779" start="0" length="0">
      <dxf/>
    </rfmt>
    <rfmt sheetId="2" sqref="KR779" start="0" length="0">
      <dxf/>
    </rfmt>
    <rfmt sheetId="2" sqref="KS779" start="0" length="0">
      <dxf/>
    </rfmt>
    <rfmt sheetId="2" sqref="KT779" start="0" length="0">
      <dxf/>
    </rfmt>
    <rfmt sheetId="2" sqref="KU779" start="0" length="0">
      <dxf/>
    </rfmt>
    <rfmt sheetId="2" sqref="KV779" start="0" length="0">
      <dxf/>
    </rfmt>
    <rfmt sheetId="2" sqref="KW779" start="0" length="0">
      <dxf/>
    </rfmt>
    <rfmt sheetId="2" sqref="KX779" start="0" length="0">
      <dxf/>
    </rfmt>
    <rfmt sheetId="2" sqref="KY779" start="0" length="0">
      <dxf/>
    </rfmt>
    <rfmt sheetId="2" sqref="KZ779" start="0" length="0">
      <dxf/>
    </rfmt>
    <rfmt sheetId="2" sqref="LA779" start="0" length="0">
      <dxf/>
    </rfmt>
    <rfmt sheetId="2" sqref="LB779" start="0" length="0">
      <dxf/>
    </rfmt>
    <rfmt sheetId="2" sqref="LC779" start="0" length="0">
      <dxf/>
    </rfmt>
    <rfmt sheetId="2" sqref="LD779" start="0" length="0">
      <dxf/>
    </rfmt>
    <rfmt sheetId="2" sqref="LE779" start="0" length="0">
      <dxf/>
    </rfmt>
    <rfmt sheetId="2" sqref="LF779" start="0" length="0">
      <dxf/>
    </rfmt>
    <rfmt sheetId="2" sqref="LG779" start="0" length="0">
      <dxf/>
    </rfmt>
    <rfmt sheetId="2" sqref="LH779" start="0" length="0">
      <dxf/>
    </rfmt>
    <rfmt sheetId="2" sqref="LI779" start="0" length="0">
      <dxf/>
    </rfmt>
    <rfmt sheetId="2" sqref="LJ779" start="0" length="0">
      <dxf/>
    </rfmt>
    <rfmt sheetId="2" sqref="LK779" start="0" length="0">
      <dxf/>
    </rfmt>
    <rfmt sheetId="2" sqref="LL779" start="0" length="0">
      <dxf/>
    </rfmt>
    <rfmt sheetId="2" sqref="LM779" start="0" length="0">
      <dxf/>
    </rfmt>
    <rfmt sheetId="2" sqref="LN779" start="0" length="0">
      <dxf/>
    </rfmt>
    <rfmt sheetId="2" sqref="LO779" start="0" length="0">
      <dxf/>
    </rfmt>
    <rfmt sheetId="2" sqref="LP779" start="0" length="0">
      <dxf/>
    </rfmt>
    <rfmt sheetId="2" sqref="LQ779" start="0" length="0">
      <dxf/>
    </rfmt>
    <rfmt sheetId="2" sqref="LR779" start="0" length="0">
      <dxf/>
    </rfmt>
    <rfmt sheetId="2" sqref="LS779" start="0" length="0">
      <dxf/>
    </rfmt>
    <rfmt sheetId="2" sqref="LT779" start="0" length="0">
      <dxf/>
    </rfmt>
    <rfmt sheetId="2" sqref="LU779" start="0" length="0">
      <dxf/>
    </rfmt>
    <rfmt sheetId="2" sqref="LV779" start="0" length="0">
      <dxf/>
    </rfmt>
    <rfmt sheetId="2" sqref="LW779" start="0" length="0">
      <dxf/>
    </rfmt>
    <rfmt sheetId="2" sqref="LX779" start="0" length="0">
      <dxf/>
    </rfmt>
    <rfmt sheetId="2" sqref="LY779" start="0" length="0">
      <dxf/>
    </rfmt>
    <rfmt sheetId="2" sqref="LZ779" start="0" length="0">
      <dxf/>
    </rfmt>
    <rfmt sheetId="2" sqref="MA779" start="0" length="0">
      <dxf/>
    </rfmt>
    <rfmt sheetId="2" sqref="MB779" start="0" length="0">
      <dxf/>
    </rfmt>
    <rfmt sheetId="2" sqref="A78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80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8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8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8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8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80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8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8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8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8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80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8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80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80" start="0" length="0">
      <dxf>
        <numFmt numFmtId="176" formatCode="m/d;@"/>
      </dxf>
    </rfmt>
    <rfmt sheetId="2" sqref="P780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80" start="0" length="0">
      <dxf/>
    </rfmt>
    <rfmt sheetId="2" sqref="U780" start="0" length="0">
      <dxf/>
    </rfmt>
    <rfmt sheetId="2" sqref="V780" start="0" length="0">
      <dxf/>
    </rfmt>
    <rfmt sheetId="2" sqref="W780" start="0" length="0">
      <dxf/>
    </rfmt>
    <rfmt sheetId="2" sqref="X780" start="0" length="0">
      <dxf/>
    </rfmt>
    <rfmt sheetId="2" sqref="Y780" start="0" length="0">
      <dxf/>
    </rfmt>
    <rfmt sheetId="2" sqref="Z780" start="0" length="0">
      <dxf/>
    </rfmt>
    <rfmt sheetId="2" sqref="AA780" start="0" length="0">
      <dxf/>
    </rfmt>
    <rfmt sheetId="2" sqref="AB780" start="0" length="0">
      <dxf/>
    </rfmt>
    <rfmt sheetId="2" sqref="AC780" start="0" length="0">
      <dxf/>
    </rfmt>
    <rfmt sheetId="2" sqref="AD780" start="0" length="0">
      <dxf/>
    </rfmt>
    <rfmt sheetId="2" sqref="AE780" start="0" length="0">
      <dxf/>
    </rfmt>
    <rfmt sheetId="2" sqref="AF780" start="0" length="0">
      <dxf/>
    </rfmt>
    <rfmt sheetId="2" sqref="AG780" start="0" length="0">
      <dxf/>
    </rfmt>
    <rfmt sheetId="2" sqref="AH780" start="0" length="0">
      <dxf/>
    </rfmt>
    <rfmt sheetId="2" sqref="AI780" start="0" length="0">
      <dxf/>
    </rfmt>
    <rfmt sheetId="2" sqref="AJ780" start="0" length="0">
      <dxf/>
    </rfmt>
    <rfmt sheetId="2" sqref="AK780" start="0" length="0">
      <dxf/>
    </rfmt>
    <rfmt sheetId="2" sqref="AL780" start="0" length="0">
      <dxf/>
    </rfmt>
    <rfmt sheetId="2" sqref="AM780" start="0" length="0">
      <dxf/>
    </rfmt>
    <rfmt sheetId="2" sqref="AN780" start="0" length="0">
      <dxf/>
    </rfmt>
    <rfmt sheetId="2" sqref="AO780" start="0" length="0">
      <dxf/>
    </rfmt>
    <rfmt sheetId="2" sqref="AP780" start="0" length="0">
      <dxf/>
    </rfmt>
    <rfmt sheetId="2" sqref="AQ780" start="0" length="0">
      <dxf/>
    </rfmt>
    <rfmt sheetId="2" sqref="AR780" start="0" length="0">
      <dxf/>
    </rfmt>
    <rfmt sheetId="2" sqref="AS780" start="0" length="0">
      <dxf/>
    </rfmt>
    <rfmt sheetId="2" sqref="AT780" start="0" length="0">
      <dxf/>
    </rfmt>
    <rfmt sheetId="2" sqref="AU780" start="0" length="0">
      <dxf/>
    </rfmt>
    <rfmt sheetId="2" sqref="AV780" start="0" length="0">
      <dxf/>
    </rfmt>
    <rfmt sheetId="2" sqref="AW780" start="0" length="0">
      <dxf/>
    </rfmt>
    <rfmt sheetId="2" sqref="AX780" start="0" length="0">
      <dxf/>
    </rfmt>
    <rfmt sheetId="2" sqref="AY780" start="0" length="0">
      <dxf/>
    </rfmt>
    <rfmt sheetId="2" sqref="AZ780" start="0" length="0">
      <dxf/>
    </rfmt>
    <rfmt sheetId="2" sqref="BA780" start="0" length="0">
      <dxf/>
    </rfmt>
    <rfmt sheetId="2" sqref="BB780" start="0" length="0">
      <dxf/>
    </rfmt>
    <rfmt sheetId="2" sqref="BC780" start="0" length="0">
      <dxf/>
    </rfmt>
    <rfmt sheetId="2" sqref="BD780" start="0" length="0">
      <dxf/>
    </rfmt>
    <rfmt sheetId="2" sqref="BE780" start="0" length="0">
      <dxf/>
    </rfmt>
    <rfmt sheetId="2" sqref="BF780" start="0" length="0">
      <dxf/>
    </rfmt>
    <rfmt sheetId="2" sqref="BG780" start="0" length="0">
      <dxf/>
    </rfmt>
    <rfmt sheetId="2" sqref="BH780" start="0" length="0">
      <dxf/>
    </rfmt>
    <rfmt sheetId="2" sqref="BI780" start="0" length="0">
      <dxf/>
    </rfmt>
    <rfmt sheetId="2" sqref="BJ780" start="0" length="0">
      <dxf/>
    </rfmt>
    <rfmt sheetId="2" sqref="BK780" start="0" length="0">
      <dxf/>
    </rfmt>
    <rfmt sheetId="2" sqref="BL780" start="0" length="0">
      <dxf/>
    </rfmt>
    <rfmt sheetId="2" sqref="BM780" start="0" length="0">
      <dxf/>
    </rfmt>
    <rfmt sheetId="2" sqref="BN780" start="0" length="0">
      <dxf/>
    </rfmt>
    <rfmt sheetId="2" sqref="BO780" start="0" length="0">
      <dxf/>
    </rfmt>
    <rfmt sheetId="2" sqref="BP780" start="0" length="0">
      <dxf/>
    </rfmt>
    <rfmt sheetId="2" sqref="BQ780" start="0" length="0">
      <dxf/>
    </rfmt>
    <rfmt sheetId="2" sqref="BR780" start="0" length="0">
      <dxf/>
    </rfmt>
    <rfmt sheetId="2" sqref="BS780" start="0" length="0">
      <dxf/>
    </rfmt>
    <rfmt sheetId="2" sqref="BT780" start="0" length="0">
      <dxf/>
    </rfmt>
    <rfmt sheetId="2" sqref="BU780" start="0" length="0">
      <dxf/>
    </rfmt>
    <rfmt sheetId="2" sqref="BV780" start="0" length="0">
      <dxf/>
    </rfmt>
    <rfmt sheetId="2" sqref="BW780" start="0" length="0">
      <dxf/>
    </rfmt>
    <rfmt sheetId="2" sqref="BX780" start="0" length="0">
      <dxf/>
    </rfmt>
    <rfmt sheetId="2" sqref="BY780" start="0" length="0">
      <dxf/>
    </rfmt>
    <rfmt sheetId="2" sqref="BZ780" start="0" length="0">
      <dxf/>
    </rfmt>
    <rfmt sheetId="2" sqref="CA780" start="0" length="0">
      <dxf/>
    </rfmt>
    <rfmt sheetId="2" sqref="CB780" start="0" length="0">
      <dxf/>
    </rfmt>
    <rfmt sheetId="2" sqref="CC780" start="0" length="0">
      <dxf/>
    </rfmt>
    <rfmt sheetId="2" sqref="CD780" start="0" length="0">
      <dxf/>
    </rfmt>
    <rfmt sheetId="2" sqref="CE780" start="0" length="0">
      <dxf/>
    </rfmt>
    <rfmt sheetId="2" sqref="CF780" start="0" length="0">
      <dxf/>
    </rfmt>
    <rfmt sheetId="2" sqref="CG780" start="0" length="0">
      <dxf/>
    </rfmt>
    <rfmt sheetId="2" sqref="CH780" start="0" length="0">
      <dxf/>
    </rfmt>
    <rfmt sheetId="2" sqref="CI780" start="0" length="0">
      <dxf/>
    </rfmt>
    <rfmt sheetId="2" sqref="CJ780" start="0" length="0">
      <dxf/>
    </rfmt>
    <rfmt sheetId="2" sqref="CK780" start="0" length="0">
      <dxf/>
    </rfmt>
    <rfmt sheetId="2" sqref="CL780" start="0" length="0">
      <dxf/>
    </rfmt>
    <rfmt sheetId="2" sqref="CM780" start="0" length="0">
      <dxf/>
    </rfmt>
    <rfmt sheetId="2" sqref="CN780" start="0" length="0">
      <dxf/>
    </rfmt>
    <rfmt sheetId="2" sqref="CO780" start="0" length="0">
      <dxf/>
    </rfmt>
    <rfmt sheetId="2" sqref="CP780" start="0" length="0">
      <dxf/>
    </rfmt>
    <rfmt sheetId="2" sqref="CQ780" start="0" length="0">
      <dxf/>
    </rfmt>
    <rfmt sheetId="2" sqref="CR780" start="0" length="0">
      <dxf/>
    </rfmt>
    <rfmt sheetId="2" sqref="CS780" start="0" length="0">
      <dxf/>
    </rfmt>
    <rfmt sheetId="2" sqref="CT780" start="0" length="0">
      <dxf/>
    </rfmt>
    <rfmt sheetId="2" sqref="CU780" start="0" length="0">
      <dxf/>
    </rfmt>
    <rfmt sheetId="2" sqref="CV780" start="0" length="0">
      <dxf/>
    </rfmt>
    <rfmt sheetId="2" sqref="CW780" start="0" length="0">
      <dxf/>
    </rfmt>
    <rfmt sheetId="2" sqref="CX780" start="0" length="0">
      <dxf/>
    </rfmt>
    <rfmt sheetId="2" sqref="CY780" start="0" length="0">
      <dxf/>
    </rfmt>
    <rfmt sheetId="2" sqref="CZ780" start="0" length="0">
      <dxf/>
    </rfmt>
    <rfmt sheetId="2" sqref="DA780" start="0" length="0">
      <dxf/>
    </rfmt>
    <rfmt sheetId="2" sqref="DB780" start="0" length="0">
      <dxf/>
    </rfmt>
    <rfmt sheetId="2" sqref="DC780" start="0" length="0">
      <dxf/>
    </rfmt>
    <rfmt sheetId="2" sqref="DD780" start="0" length="0">
      <dxf/>
    </rfmt>
    <rfmt sheetId="2" sqref="DE780" start="0" length="0">
      <dxf/>
    </rfmt>
    <rfmt sheetId="2" sqref="DF780" start="0" length="0">
      <dxf/>
    </rfmt>
    <rfmt sheetId="2" sqref="DG780" start="0" length="0">
      <dxf/>
    </rfmt>
    <rfmt sheetId="2" sqref="DH780" start="0" length="0">
      <dxf/>
    </rfmt>
    <rfmt sheetId="2" sqref="DI780" start="0" length="0">
      <dxf/>
    </rfmt>
    <rfmt sheetId="2" sqref="DJ780" start="0" length="0">
      <dxf/>
    </rfmt>
    <rfmt sheetId="2" sqref="DK780" start="0" length="0">
      <dxf/>
    </rfmt>
    <rfmt sheetId="2" sqref="DL780" start="0" length="0">
      <dxf/>
    </rfmt>
    <rfmt sheetId="2" sqref="DM780" start="0" length="0">
      <dxf/>
    </rfmt>
    <rfmt sheetId="2" sqref="DN780" start="0" length="0">
      <dxf/>
    </rfmt>
    <rfmt sheetId="2" sqref="DO780" start="0" length="0">
      <dxf/>
    </rfmt>
    <rfmt sheetId="2" sqref="DP780" start="0" length="0">
      <dxf/>
    </rfmt>
    <rfmt sheetId="2" sqref="DQ780" start="0" length="0">
      <dxf/>
    </rfmt>
    <rfmt sheetId="2" sqref="DR780" start="0" length="0">
      <dxf/>
    </rfmt>
    <rfmt sheetId="2" sqref="DS780" start="0" length="0">
      <dxf/>
    </rfmt>
    <rfmt sheetId="2" sqref="DT780" start="0" length="0">
      <dxf/>
    </rfmt>
    <rfmt sheetId="2" sqref="DU780" start="0" length="0">
      <dxf/>
    </rfmt>
    <rfmt sheetId="2" sqref="DV780" start="0" length="0">
      <dxf/>
    </rfmt>
    <rfmt sheetId="2" sqref="DW780" start="0" length="0">
      <dxf/>
    </rfmt>
    <rfmt sheetId="2" sqref="DX780" start="0" length="0">
      <dxf/>
    </rfmt>
    <rfmt sheetId="2" sqref="DY780" start="0" length="0">
      <dxf/>
    </rfmt>
    <rfmt sheetId="2" sqref="DZ780" start="0" length="0">
      <dxf/>
    </rfmt>
    <rfmt sheetId="2" sqref="EA780" start="0" length="0">
      <dxf/>
    </rfmt>
    <rfmt sheetId="2" sqref="EB780" start="0" length="0">
      <dxf/>
    </rfmt>
    <rfmt sheetId="2" sqref="EC780" start="0" length="0">
      <dxf/>
    </rfmt>
    <rfmt sheetId="2" sqref="ED780" start="0" length="0">
      <dxf/>
    </rfmt>
    <rfmt sheetId="2" sqref="EE780" start="0" length="0">
      <dxf/>
    </rfmt>
    <rfmt sheetId="2" sqref="EF780" start="0" length="0">
      <dxf/>
    </rfmt>
    <rfmt sheetId="2" sqref="EG780" start="0" length="0">
      <dxf/>
    </rfmt>
    <rfmt sheetId="2" sqref="EH780" start="0" length="0">
      <dxf/>
    </rfmt>
    <rfmt sheetId="2" sqref="EI780" start="0" length="0">
      <dxf/>
    </rfmt>
    <rfmt sheetId="2" sqref="EJ780" start="0" length="0">
      <dxf/>
    </rfmt>
    <rfmt sheetId="2" sqref="EK780" start="0" length="0">
      <dxf/>
    </rfmt>
    <rfmt sheetId="2" sqref="EL780" start="0" length="0">
      <dxf/>
    </rfmt>
    <rfmt sheetId="2" sqref="EM780" start="0" length="0">
      <dxf/>
    </rfmt>
    <rfmt sheetId="2" sqref="EN780" start="0" length="0">
      <dxf/>
    </rfmt>
    <rfmt sheetId="2" sqref="EO780" start="0" length="0">
      <dxf/>
    </rfmt>
    <rfmt sheetId="2" sqref="EP780" start="0" length="0">
      <dxf/>
    </rfmt>
    <rfmt sheetId="2" sqref="EQ780" start="0" length="0">
      <dxf/>
    </rfmt>
    <rfmt sheetId="2" sqref="ER780" start="0" length="0">
      <dxf/>
    </rfmt>
    <rfmt sheetId="2" sqref="ES780" start="0" length="0">
      <dxf/>
    </rfmt>
    <rfmt sheetId="2" sqref="ET780" start="0" length="0">
      <dxf/>
    </rfmt>
    <rfmt sheetId="2" sqref="EU780" start="0" length="0">
      <dxf/>
    </rfmt>
    <rfmt sheetId="2" sqref="EV780" start="0" length="0">
      <dxf/>
    </rfmt>
    <rfmt sheetId="2" sqref="EW780" start="0" length="0">
      <dxf/>
    </rfmt>
    <rfmt sheetId="2" sqref="EX780" start="0" length="0">
      <dxf/>
    </rfmt>
    <rfmt sheetId="2" sqref="EY780" start="0" length="0">
      <dxf/>
    </rfmt>
    <rfmt sheetId="2" sqref="EZ780" start="0" length="0">
      <dxf/>
    </rfmt>
    <rfmt sheetId="2" sqref="FA780" start="0" length="0">
      <dxf/>
    </rfmt>
    <rfmt sheetId="2" sqref="FB780" start="0" length="0">
      <dxf/>
    </rfmt>
    <rfmt sheetId="2" sqref="FC780" start="0" length="0">
      <dxf/>
    </rfmt>
    <rfmt sheetId="2" sqref="FD780" start="0" length="0">
      <dxf/>
    </rfmt>
    <rfmt sheetId="2" sqref="FE780" start="0" length="0">
      <dxf/>
    </rfmt>
    <rfmt sheetId="2" sqref="FF780" start="0" length="0">
      <dxf/>
    </rfmt>
    <rfmt sheetId="2" sqref="FG780" start="0" length="0">
      <dxf/>
    </rfmt>
    <rfmt sheetId="2" sqref="FH780" start="0" length="0">
      <dxf/>
    </rfmt>
    <rfmt sheetId="2" sqref="FI780" start="0" length="0">
      <dxf/>
    </rfmt>
    <rfmt sheetId="2" sqref="FJ780" start="0" length="0">
      <dxf/>
    </rfmt>
    <rfmt sheetId="2" sqref="FK780" start="0" length="0">
      <dxf/>
    </rfmt>
    <rfmt sheetId="2" sqref="FL780" start="0" length="0">
      <dxf/>
    </rfmt>
    <rfmt sheetId="2" sqref="FM780" start="0" length="0">
      <dxf/>
    </rfmt>
    <rfmt sheetId="2" sqref="FN780" start="0" length="0">
      <dxf/>
    </rfmt>
    <rfmt sheetId="2" sqref="FO780" start="0" length="0">
      <dxf/>
    </rfmt>
    <rfmt sheetId="2" sqref="FP780" start="0" length="0">
      <dxf/>
    </rfmt>
    <rfmt sheetId="2" sqref="FQ780" start="0" length="0">
      <dxf/>
    </rfmt>
    <rfmt sheetId="2" sqref="FR780" start="0" length="0">
      <dxf/>
    </rfmt>
    <rfmt sheetId="2" sqref="FS780" start="0" length="0">
      <dxf/>
    </rfmt>
    <rfmt sheetId="2" sqref="FT780" start="0" length="0">
      <dxf/>
    </rfmt>
    <rfmt sheetId="2" sqref="FU780" start="0" length="0">
      <dxf/>
    </rfmt>
    <rfmt sheetId="2" sqref="FV780" start="0" length="0">
      <dxf/>
    </rfmt>
    <rfmt sheetId="2" sqref="FW780" start="0" length="0">
      <dxf/>
    </rfmt>
    <rfmt sheetId="2" sqref="FX780" start="0" length="0">
      <dxf/>
    </rfmt>
    <rfmt sheetId="2" sqref="FY780" start="0" length="0">
      <dxf/>
    </rfmt>
    <rfmt sheetId="2" sqref="FZ780" start="0" length="0">
      <dxf/>
    </rfmt>
    <rfmt sheetId="2" sqref="GA780" start="0" length="0">
      <dxf/>
    </rfmt>
    <rfmt sheetId="2" sqref="GB780" start="0" length="0">
      <dxf/>
    </rfmt>
    <rfmt sheetId="2" sqref="GC780" start="0" length="0">
      <dxf/>
    </rfmt>
    <rfmt sheetId="2" sqref="GD780" start="0" length="0">
      <dxf/>
    </rfmt>
    <rfmt sheetId="2" sqref="GE780" start="0" length="0">
      <dxf/>
    </rfmt>
    <rfmt sheetId="2" sqref="GF780" start="0" length="0">
      <dxf/>
    </rfmt>
    <rfmt sheetId="2" sqref="GG780" start="0" length="0">
      <dxf/>
    </rfmt>
    <rfmt sheetId="2" sqref="GH780" start="0" length="0">
      <dxf/>
    </rfmt>
    <rfmt sheetId="2" sqref="GI780" start="0" length="0">
      <dxf/>
    </rfmt>
    <rfmt sheetId="2" sqref="GJ780" start="0" length="0">
      <dxf/>
    </rfmt>
    <rfmt sheetId="2" sqref="GK780" start="0" length="0">
      <dxf/>
    </rfmt>
    <rfmt sheetId="2" sqref="GL780" start="0" length="0">
      <dxf/>
    </rfmt>
    <rfmt sheetId="2" sqref="GM780" start="0" length="0">
      <dxf/>
    </rfmt>
    <rfmt sheetId="2" sqref="GN780" start="0" length="0">
      <dxf/>
    </rfmt>
    <rfmt sheetId="2" sqref="GO780" start="0" length="0">
      <dxf/>
    </rfmt>
    <rfmt sheetId="2" sqref="GP780" start="0" length="0">
      <dxf/>
    </rfmt>
    <rfmt sheetId="2" sqref="GQ780" start="0" length="0">
      <dxf/>
    </rfmt>
    <rfmt sheetId="2" sqref="GR780" start="0" length="0">
      <dxf/>
    </rfmt>
    <rfmt sheetId="2" sqref="GS780" start="0" length="0">
      <dxf/>
    </rfmt>
    <rfmt sheetId="2" sqref="GT780" start="0" length="0">
      <dxf/>
    </rfmt>
    <rfmt sheetId="2" sqref="GU780" start="0" length="0">
      <dxf/>
    </rfmt>
    <rfmt sheetId="2" sqref="GV780" start="0" length="0">
      <dxf/>
    </rfmt>
    <rfmt sheetId="2" sqref="GW780" start="0" length="0">
      <dxf/>
    </rfmt>
    <rfmt sheetId="2" sqref="GX780" start="0" length="0">
      <dxf/>
    </rfmt>
    <rfmt sheetId="2" sqref="GY780" start="0" length="0">
      <dxf/>
    </rfmt>
    <rfmt sheetId="2" sqref="GZ780" start="0" length="0">
      <dxf/>
    </rfmt>
    <rfmt sheetId="2" sqref="HA780" start="0" length="0">
      <dxf/>
    </rfmt>
    <rfmt sheetId="2" sqref="HB780" start="0" length="0">
      <dxf/>
    </rfmt>
    <rfmt sheetId="2" sqref="HC780" start="0" length="0">
      <dxf/>
    </rfmt>
    <rfmt sheetId="2" sqref="HD780" start="0" length="0">
      <dxf/>
    </rfmt>
    <rfmt sheetId="2" sqref="HE780" start="0" length="0">
      <dxf/>
    </rfmt>
    <rfmt sheetId="2" sqref="HF780" start="0" length="0">
      <dxf/>
    </rfmt>
    <rfmt sheetId="2" sqref="HG780" start="0" length="0">
      <dxf/>
    </rfmt>
    <rfmt sheetId="2" sqref="HH780" start="0" length="0">
      <dxf/>
    </rfmt>
    <rfmt sheetId="2" sqref="HI780" start="0" length="0">
      <dxf/>
    </rfmt>
    <rfmt sheetId="2" sqref="HJ780" start="0" length="0">
      <dxf/>
    </rfmt>
    <rfmt sheetId="2" sqref="HK780" start="0" length="0">
      <dxf/>
    </rfmt>
    <rfmt sheetId="2" sqref="HL780" start="0" length="0">
      <dxf/>
    </rfmt>
    <rfmt sheetId="2" sqref="HM780" start="0" length="0">
      <dxf/>
    </rfmt>
    <rfmt sheetId="2" sqref="HN780" start="0" length="0">
      <dxf/>
    </rfmt>
    <rfmt sheetId="2" sqref="HO780" start="0" length="0">
      <dxf/>
    </rfmt>
    <rfmt sheetId="2" sqref="HP780" start="0" length="0">
      <dxf/>
    </rfmt>
    <rfmt sheetId="2" sqref="HQ780" start="0" length="0">
      <dxf/>
    </rfmt>
    <rfmt sheetId="2" sqref="HR780" start="0" length="0">
      <dxf/>
    </rfmt>
    <rfmt sheetId="2" sqref="HS780" start="0" length="0">
      <dxf/>
    </rfmt>
    <rfmt sheetId="2" sqref="HT780" start="0" length="0">
      <dxf/>
    </rfmt>
    <rfmt sheetId="2" sqref="HU780" start="0" length="0">
      <dxf/>
    </rfmt>
    <rfmt sheetId="2" sqref="HV780" start="0" length="0">
      <dxf/>
    </rfmt>
    <rfmt sheetId="2" sqref="HW780" start="0" length="0">
      <dxf/>
    </rfmt>
    <rfmt sheetId="2" sqref="HX780" start="0" length="0">
      <dxf/>
    </rfmt>
    <rfmt sheetId="2" sqref="HY780" start="0" length="0">
      <dxf/>
    </rfmt>
    <rfmt sheetId="2" sqref="HZ780" start="0" length="0">
      <dxf/>
    </rfmt>
    <rfmt sheetId="2" sqref="IA780" start="0" length="0">
      <dxf/>
    </rfmt>
    <rfmt sheetId="2" sqref="IB780" start="0" length="0">
      <dxf/>
    </rfmt>
    <rfmt sheetId="2" sqref="IC780" start="0" length="0">
      <dxf/>
    </rfmt>
    <rfmt sheetId="2" sqref="ID780" start="0" length="0">
      <dxf/>
    </rfmt>
    <rfmt sheetId="2" sqref="IE780" start="0" length="0">
      <dxf/>
    </rfmt>
    <rfmt sheetId="2" sqref="IF780" start="0" length="0">
      <dxf/>
    </rfmt>
    <rfmt sheetId="2" sqref="IG780" start="0" length="0">
      <dxf/>
    </rfmt>
    <rfmt sheetId="2" sqref="IH780" start="0" length="0">
      <dxf/>
    </rfmt>
    <rfmt sheetId="2" sqref="II780" start="0" length="0">
      <dxf/>
    </rfmt>
    <rfmt sheetId="2" sqref="IJ780" start="0" length="0">
      <dxf/>
    </rfmt>
    <rfmt sheetId="2" sqref="IK780" start="0" length="0">
      <dxf/>
    </rfmt>
    <rfmt sheetId="2" sqref="IL780" start="0" length="0">
      <dxf/>
    </rfmt>
    <rfmt sheetId="2" sqref="IM780" start="0" length="0">
      <dxf/>
    </rfmt>
    <rfmt sheetId="2" sqref="IN780" start="0" length="0">
      <dxf/>
    </rfmt>
    <rfmt sheetId="2" sqref="IO780" start="0" length="0">
      <dxf/>
    </rfmt>
    <rfmt sheetId="2" sqref="IP780" start="0" length="0">
      <dxf/>
    </rfmt>
    <rfmt sheetId="2" sqref="IQ780" start="0" length="0">
      <dxf/>
    </rfmt>
    <rfmt sheetId="2" sqref="IR780" start="0" length="0">
      <dxf/>
    </rfmt>
    <rfmt sheetId="2" sqref="IS780" start="0" length="0">
      <dxf/>
    </rfmt>
    <rfmt sheetId="2" sqref="IT780" start="0" length="0">
      <dxf/>
    </rfmt>
    <rfmt sheetId="2" sqref="IU780" start="0" length="0">
      <dxf/>
    </rfmt>
    <rfmt sheetId="2" sqref="IV780" start="0" length="0">
      <dxf/>
    </rfmt>
    <rfmt sheetId="2" sqref="IW780" start="0" length="0">
      <dxf/>
    </rfmt>
    <rfmt sheetId="2" sqref="IX780" start="0" length="0">
      <dxf/>
    </rfmt>
    <rfmt sheetId="2" sqref="IY780" start="0" length="0">
      <dxf/>
    </rfmt>
    <rfmt sheetId="2" sqref="IZ780" start="0" length="0">
      <dxf/>
    </rfmt>
    <rfmt sheetId="2" sqref="JA780" start="0" length="0">
      <dxf/>
    </rfmt>
    <rfmt sheetId="2" sqref="JB780" start="0" length="0">
      <dxf/>
    </rfmt>
    <rfmt sheetId="2" sqref="JC780" start="0" length="0">
      <dxf/>
    </rfmt>
    <rfmt sheetId="2" sqref="JD780" start="0" length="0">
      <dxf/>
    </rfmt>
    <rfmt sheetId="2" sqref="JE780" start="0" length="0">
      <dxf/>
    </rfmt>
    <rfmt sheetId="2" sqref="JF780" start="0" length="0">
      <dxf/>
    </rfmt>
    <rfmt sheetId="2" sqref="JG780" start="0" length="0">
      <dxf/>
    </rfmt>
    <rfmt sheetId="2" sqref="JH780" start="0" length="0">
      <dxf/>
    </rfmt>
    <rfmt sheetId="2" sqref="JI780" start="0" length="0">
      <dxf/>
    </rfmt>
    <rfmt sheetId="2" sqref="JJ780" start="0" length="0">
      <dxf/>
    </rfmt>
    <rfmt sheetId="2" sqref="JK780" start="0" length="0">
      <dxf/>
    </rfmt>
    <rfmt sheetId="2" sqref="JL780" start="0" length="0">
      <dxf/>
    </rfmt>
    <rfmt sheetId="2" sqref="JM780" start="0" length="0">
      <dxf/>
    </rfmt>
    <rfmt sheetId="2" sqref="JN780" start="0" length="0">
      <dxf/>
    </rfmt>
    <rfmt sheetId="2" sqref="JO780" start="0" length="0">
      <dxf/>
    </rfmt>
    <rfmt sheetId="2" sqref="JP780" start="0" length="0">
      <dxf/>
    </rfmt>
    <rfmt sheetId="2" sqref="JQ780" start="0" length="0">
      <dxf/>
    </rfmt>
    <rfmt sheetId="2" sqref="JR780" start="0" length="0">
      <dxf/>
    </rfmt>
    <rfmt sheetId="2" sqref="JS780" start="0" length="0">
      <dxf/>
    </rfmt>
    <rfmt sheetId="2" sqref="JT780" start="0" length="0">
      <dxf/>
    </rfmt>
    <rfmt sheetId="2" sqref="JU780" start="0" length="0">
      <dxf/>
    </rfmt>
    <rfmt sheetId="2" sqref="JV780" start="0" length="0">
      <dxf/>
    </rfmt>
    <rfmt sheetId="2" sqref="JW780" start="0" length="0">
      <dxf/>
    </rfmt>
    <rfmt sheetId="2" sqref="JX780" start="0" length="0">
      <dxf/>
    </rfmt>
    <rfmt sheetId="2" sqref="JY780" start="0" length="0">
      <dxf/>
    </rfmt>
    <rfmt sheetId="2" sqref="JZ780" start="0" length="0">
      <dxf/>
    </rfmt>
    <rfmt sheetId="2" sqref="KA780" start="0" length="0">
      <dxf/>
    </rfmt>
    <rfmt sheetId="2" sqref="KB780" start="0" length="0">
      <dxf/>
    </rfmt>
    <rfmt sheetId="2" sqref="KC780" start="0" length="0">
      <dxf/>
    </rfmt>
    <rfmt sheetId="2" sqref="KD780" start="0" length="0">
      <dxf/>
    </rfmt>
    <rfmt sheetId="2" sqref="KE780" start="0" length="0">
      <dxf/>
    </rfmt>
    <rfmt sheetId="2" sqref="KF780" start="0" length="0">
      <dxf/>
    </rfmt>
    <rfmt sheetId="2" sqref="KG780" start="0" length="0">
      <dxf/>
    </rfmt>
    <rfmt sheetId="2" sqref="KH780" start="0" length="0">
      <dxf/>
    </rfmt>
    <rfmt sheetId="2" sqref="KI780" start="0" length="0">
      <dxf/>
    </rfmt>
    <rfmt sheetId="2" sqref="KJ780" start="0" length="0">
      <dxf/>
    </rfmt>
    <rfmt sheetId="2" sqref="KK780" start="0" length="0">
      <dxf/>
    </rfmt>
    <rfmt sheetId="2" sqref="KL780" start="0" length="0">
      <dxf/>
    </rfmt>
    <rfmt sheetId="2" sqref="KM780" start="0" length="0">
      <dxf/>
    </rfmt>
    <rfmt sheetId="2" sqref="KN780" start="0" length="0">
      <dxf/>
    </rfmt>
    <rfmt sheetId="2" sqref="KO780" start="0" length="0">
      <dxf/>
    </rfmt>
    <rfmt sheetId="2" sqref="KP780" start="0" length="0">
      <dxf/>
    </rfmt>
    <rfmt sheetId="2" sqref="KQ780" start="0" length="0">
      <dxf/>
    </rfmt>
    <rfmt sheetId="2" sqref="KR780" start="0" length="0">
      <dxf/>
    </rfmt>
    <rfmt sheetId="2" sqref="KS780" start="0" length="0">
      <dxf/>
    </rfmt>
    <rfmt sheetId="2" sqref="KT780" start="0" length="0">
      <dxf/>
    </rfmt>
    <rfmt sheetId="2" sqref="KU780" start="0" length="0">
      <dxf/>
    </rfmt>
    <rfmt sheetId="2" sqref="KV780" start="0" length="0">
      <dxf/>
    </rfmt>
    <rfmt sheetId="2" sqref="KW780" start="0" length="0">
      <dxf/>
    </rfmt>
    <rfmt sheetId="2" sqref="KX780" start="0" length="0">
      <dxf/>
    </rfmt>
    <rfmt sheetId="2" sqref="KY780" start="0" length="0">
      <dxf/>
    </rfmt>
    <rfmt sheetId="2" sqref="KZ780" start="0" length="0">
      <dxf/>
    </rfmt>
    <rfmt sheetId="2" sqref="LA780" start="0" length="0">
      <dxf/>
    </rfmt>
    <rfmt sheetId="2" sqref="LB780" start="0" length="0">
      <dxf/>
    </rfmt>
    <rfmt sheetId="2" sqref="LC780" start="0" length="0">
      <dxf/>
    </rfmt>
    <rfmt sheetId="2" sqref="LD780" start="0" length="0">
      <dxf/>
    </rfmt>
    <rfmt sheetId="2" sqref="LE780" start="0" length="0">
      <dxf/>
    </rfmt>
    <rfmt sheetId="2" sqref="LF780" start="0" length="0">
      <dxf/>
    </rfmt>
    <rfmt sheetId="2" sqref="LG780" start="0" length="0">
      <dxf/>
    </rfmt>
    <rfmt sheetId="2" sqref="LH780" start="0" length="0">
      <dxf/>
    </rfmt>
    <rfmt sheetId="2" sqref="LI780" start="0" length="0">
      <dxf/>
    </rfmt>
    <rfmt sheetId="2" sqref="LJ780" start="0" length="0">
      <dxf/>
    </rfmt>
    <rfmt sheetId="2" sqref="LK780" start="0" length="0">
      <dxf/>
    </rfmt>
    <rfmt sheetId="2" sqref="LL780" start="0" length="0">
      <dxf/>
    </rfmt>
    <rfmt sheetId="2" sqref="LM780" start="0" length="0">
      <dxf/>
    </rfmt>
    <rfmt sheetId="2" sqref="LN780" start="0" length="0">
      <dxf/>
    </rfmt>
    <rfmt sheetId="2" sqref="LO780" start="0" length="0">
      <dxf/>
    </rfmt>
    <rfmt sheetId="2" sqref="LP780" start="0" length="0">
      <dxf/>
    </rfmt>
    <rfmt sheetId="2" sqref="LQ780" start="0" length="0">
      <dxf/>
    </rfmt>
    <rfmt sheetId="2" sqref="LR780" start="0" length="0">
      <dxf/>
    </rfmt>
    <rfmt sheetId="2" sqref="LS780" start="0" length="0">
      <dxf/>
    </rfmt>
    <rfmt sheetId="2" sqref="LT780" start="0" length="0">
      <dxf/>
    </rfmt>
    <rfmt sheetId="2" sqref="LU780" start="0" length="0">
      <dxf/>
    </rfmt>
    <rfmt sheetId="2" sqref="LV780" start="0" length="0">
      <dxf/>
    </rfmt>
    <rfmt sheetId="2" sqref="LW780" start="0" length="0">
      <dxf/>
    </rfmt>
    <rfmt sheetId="2" sqref="LX780" start="0" length="0">
      <dxf/>
    </rfmt>
    <rfmt sheetId="2" sqref="LY780" start="0" length="0">
      <dxf/>
    </rfmt>
    <rfmt sheetId="2" sqref="LZ780" start="0" length="0">
      <dxf/>
    </rfmt>
    <rfmt sheetId="2" sqref="MA780" start="0" length="0">
      <dxf/>
    </rfmt>
    <rfmt sheetId="2" sqref="MB780" start="0" length="0">
      <dxf/>
    </rfmt>
  </rm>
  <rrc rId="2659" sId="2" ref="A793:XFD793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93:XFD793" start="0" length="0">
      <dxf>
        <font>
          <sz val="10"/>
          <name val="Arial"/>
          <scheme val="none"/>
        </font>
        <alignment horizontal="center" readingOrder="0"/>
      </dxf>
    </rfmt>
    <rfmt sheetId="2" sqref="A79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9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3" start="0" length="0">
      <dxf>
        <numFmt numFmtId="176" formatCode="m/d;@"/>
      </dxf>
    </rfmt>
    <rfmt sheetId="2" sqref="P79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3" start="0" length="0">
      <dxf/>
    </rfmt>
    <rfmt sheetId="2" sqref="U793" start="0" length="0">
      <dxf/>
    </rfmt>
    <rfmt sheetId="2" sqref="V793" start="0" length="0">
      <dxf/>
    </rfmt>
    <rfmt sheetId="2" sqref="W793" start="0" length="0">
      <dxf/>
    </rfmt>
    <rfmt sheetId="2" sqref="X793" start="0" length="0">
      <dxf/>
    </rfmt>
    <rfmt sheetId="2" sqref="Y793" start="0" length="0">
      <dxf/>
    </rfmt>
    <rfmt sheetId="2" sqref="Z793" start="0" length="0">
      <dxf/>
    </rfmt>
    <rfmt sheetId="2" sqref="AA793" start="0" length="0">
      <dxf/>
    </rfmt>
    <rfmt sheetId="2" sqref="AB793" start="0" length="0">
      <dxf/>
    </rfmt>
    <rfmt sheetId="2" sqref="AC793" start="0" length="0">
      <dxf/>
    </rfmt>
    <rfmt sheetId="2" sqref="AD793" start="0" length="0">
      <dxf/>
    </rfmt>
    <rfmt sheetId="2" sqref="AE793" start="0" length="0">
      <dxf/>
    </rfmt>
    <rfmt sheetId="2" sqref="AF793" start="0" length="0">
      <dxf/>
    </rfmt>
    <rfmt sheetId="2" sqref="AG793" start="0" length="0">
      <dxf/>
    </rfmt>
    <rfmt sheetId="2" sqref="AH793" start="0" length="0">
      <dxf/>
    </rfmt>
    <rfmt sheetId="2" sqref="AI793" start="0" length="0">
      <dxf/>
    </rfmt>
    <rfmt sheetId="2" sqref="AJ793" start="0" length="0">
      <dxf/>
    </rfmt>
    <rfmt sheetId="2" sqref="AK793" start="0" length="0">
      <dxf/>
    </rfmt>
    <rfmt sheetId="2" sqref="AL793" start="0" length="0">
      <dxf/>
    </rfmt>
    <rfmt sheetId="2" sqref="AM793" start="0" length="0">
      <dxf/>
    </rfmt>
    <rfmt sheetId="2" sqref="AN793" start="0" length="0">
      <dxf/>
    </rfmt>
    <rfmt sheetId="2" sqref="AO793" start="0" length="0">
      <dxf/>
    </rfmt>
    <rfmt sheetId="2" sqref="AP793" start="0" length="0">
      <dxf/>
    </rfmt>
    <rfmt sheetId="2" sqref="AQ793" start="0" length="0">
      <dxf/>
    </rfmt>
    <rfmt sheetId="2" sqref="AR793" start="0" length="0">
      <dxf/>
    </rfmt>
    <rfmt sheetId="2" sqref="AS793" start="0" length="0">
      <dxf/>
    </rfmt>
    <rfmt sheetId="2" sqref="AT793" start="0" length="0">
      <dxf/>
    </rfmt>
    <rfmt sheetId="2" sqref="AU793" start="0" length="0">
      <dxf/>
    </rfmt>
    <rfmt sheetId="2" sqref="AV793" start="0" length="0">
      <dxf/>
    </rfmt>
    <rfmt sheetId="2" sqref="AW793" start="0" length="0">
      <dxf/>
    </rfmt>
    <rfmt sheetId="2" sqref="AX793" start="0" length="0">
      <dxf/>
    </rfmt>
    <rfmt sheetId="2" sqref="AY793" start="0" length="0">
      <dxf/>
    </rfmt>
    <rfmt sheetId="2" sqref="AZ793" start="0" length="0">
      <dxf/>
    </rfmt>
    <rfmt sheetId="2" sqref="BA793" start="0" length="0">
      <dxf/>
    </rfmt>
    <rfmt sheetId="2" sqref="BB793" start="0" length="0">
      <dxf/>
    </rfmt>
    <rfmt sheetId="2" sqref="BC793" start="0" length="0">
      <dxf/>
    </rfmt>
    <rfmt sheetId="2" sqref="BD793" start="0" length="0">
      <dxf/>
    </rfmt>
    <rfmt sheetId="2" sqref="BE793" start="0" length="0">
      <dxf/>
    </rfmt>
    <rfmt sheetId="2" sqref="BF793" start="0" length="0">
      <dxf/>
    </rfmt>
    <rfmt sheetId="2" sqref="BG793" start="0" length="0">
      <dxf/>
    </rfmt>
    <rfmt sheetId="2" sqref="BH793" start="0" length="0">
      <dxf/>
    </rfmt>
    <rfmt sheetId="2" sqref="BI793" start="0" length="0">
      <dxf/>
    </rfmt>
    <rfmt sheetId="2" sqref="BJ793" start="0" length="0">
      <dxf/>
    </rfmt>
    <rfmt sheetId="2" sqref="BK793" start="0" length="0">
      <dxf/>
    </rfmt>
    <rfmt sheetId="2" sqref="BL793" start="0" length="0">
      <dxf/>
    </rfmt>
    <rfmt sheetId="2" sqref="BM793" start="0" length="0">
      <dxf/>
    </rfmt>
    <rfmt sheetId="2" sqref="BN793" start="0" length="0">
      <dxf/>
    </rfmt>
    <rfmt sheetId="2" sqref="BO793" start="0" length="0">
      <dxf/>
    </rfmt>
    <rfmt sheetId="2" sqref="BP793" start="0" length="0">
      <dxf/>
    </rfmt>
    <rfmt sheetId="2" sqref="BQ793" start="0" length="0">
      <dxf/>
    </rfmt>
    <rfmt sheetId="2" sqref="BR793" start="0" length="0">
      <dxf/>
    </rfmt>
    <rfmt sheetId="2" sqref="BS793" start="0" length="0">
      <dxf/>
    </rfmt>
    <rfmt sheetId="2" sqref="BT793" start="0" length="0">
      <dxf/>
    </rfmt>
    <rfmt sheetId="2" sqref="BU793" start="0" length="0">
      <dxf/>
    </rfmt>
    <rfmt sheetId="2" sqref="BV793" start="0" length="0">
      <dxf/>
    </rfmt>
    <rfmt sheetId="2" sqref="BW793" start="0" length="0">
      <dxf/>
    </rfmt>
    <rfmt sheetId="2" sqref="BX793" start="0" length="0">
      <dxf/>
    </rfmt>
    <rfmt sheetId="2" sqref="BY793" start="0" length="0">
      <dxf/>
    </rfmt>
    <rfmt sheetId="2" sqref="BZ793" start="0" length="0">
      <dxf/>
    </rfmt>
    <rfmt sheetId="2" sqref="CA793" start="0" length="0">
      <dxf/>
    </rfmt>
    <rfmt sheetId="2" sqref="CB793" start="0" length="0">
      <dxf/>
    </rfmt>
    <rfmt sheetId="2" sqref="CC793" start="0" length="0">
      <dxf/>
    </rfmt>
    <rfmt sheetId="2" sqref="CD793" start="0" length="0">
      <dxf/>
    </rfmt>
    <rfmt sheetId="2" sqref="CE793" start="0" length="0">
      <dxf/>
    </rfmt>
    <rfmt sheetId="2" sqref="CF793" start="0" length="0">
      <dxf/>
    </rfmt>
    <rfmt sheetId="2" sqref="CG793" start="0" length="0">
      <dxf/>
    </rfmt>
    <rfmt sheetId="2" sqref="CH793" start="0" length="0">
      <dxf/>
    </rfmt>
    <rfmt sheetId="2" sqref="CI793" start="0" length="0">
      <dxf/>
    </rfmt>
    <rfmt sheetId="2" sqref="CJ793" start="0" length="0">
      <dxf/>
    </rfmt>
    <rfmt sheetId="2" sqref="CK793" start="0" length="0">
      <dxf/>
    </rfmt>
    <rfmt sheetId="2" sqref="CL793" start="0" length="0">
      <dxf/>
    </rfmt>
    <rfmt sheetId="2" sqref="CM793" start="0" length="0">
      <dxf/>
    </rfmt>
    <rfmt sheetId="2" sqref="CN793" start="0" length="0">
      <dxf/>
    </rfmt>
    <rfmt sheetId="2" sqref="CO793" start="0" length="0">
      <dxf/>
    </rfmt>
    <rfmt sheetId="2" sqref="CP793" start="0" length="0">
      <dxf/>
    </rfmt>
    <rfmt sheetId="2" sqref="CQ793" start="0" length="0">
      <dxf/>
    </rfmt>
    <rfmt sheetId="2" sqref="CR793" start="0" length="0">
      <dxf/>
    </rfmt>
    <rfmt sheetId="2" sqref="CS793" start="0" length="0">
      <dxf/>
    </rfmt>
    <rfmt sheetId="2" sqref="CT793" start="0" length="0">
      <dxf/>
    </rfmt>
    <rfmt sheetId="2" sqref="CU793" start="0" length="0">
      <dxf/>
    </rfmt>
    <rfmt sheetId="2" sqref="CV793" start="0" length="0">
      <dxf/>
    </rfmt>
    <rfmt sheetId="2" sqref="CW793" start="0" length="0">
      <dxf/>
    </rfmt>
    <rfmt sheetId="2" sqref="CX793" start="0" length="0">
      <dxf/>
    </rfmt>
    <rfmt sheetId="2" sqref="CY793" start="0" length="0">
      <dxf/>
    </rfmt>
    <rfmt sheetId="2" sqref="CZ793" start="0" length="0">
      <dxf/>
    </rfmt>
    <rfmt sheetId="2" sqref="DA793" start="0" length="0">
      <dxf/>
    </rfmt>
    <rfmt sheetId="2" sqref="DB793" start="0" length="0">
      <dxf/>
    </rfmt>
    <rfmt sheetId="2" sqref="DC793" start="0" length="0">
      <dxf/>
    </rfmt>
    <rfmt sheetId="2" sqref="DD793" start="0" length="0">
      <dxf/>
    </rfmt>
    <rfmt sheetId="2" sqref="DE793" start="0" length="0">
      <dxf/>
    </rfmt>
    <rfmt sheetId="2" sqref="DF793" start="0" length="0">
      <dxf/>
    </rfmt>
    <rfmt sheetId="2" sqref="DG793" start="0" length="0">
      <dxf/>
    </rfmt>
    <rfmt sheetId="2" sqref="DH793" start="0" length="0">
      <dxf/>
    </rfmt>
    <rfmt sheetId="2" sqref="DI793" start="0" length="0">
      <dxf/>
    </rfmt>
    <rfmt sheetId="2" sqref="DJ793" start="0" length="0">
      <dxf/>
    </rfmt>
    <rfmt sheetId="2" sqref="DK793" start="0" length="0">
      <dxf/>
    </rfmt>
    <rfmt sheetId="2" sqref="DL793" start="0" length="0">
      <dxf/>
    </rfmt>
    <rfmt sheetId="2" sqref="DM793" start="0" length="0">
      <dxf/>
    </rfmt>
    <rfmt sheetId="2" sqref="DN793" start="0" length="0">
      <dxf/>
    </rfmt>
    <rfmt sheetId="2" sqref="DO793" start="0" length="0">
      <dxf/>
    </rfmt>
    <rfmt sheetId="2" sqref="DP793" start="0" length="0">
      <dxf/>
    </rfmt>
    <rfmt sheetId="2" sqref="DQ793" start="0" length="0">
      <dxf/>
    </rfmt>
    <rfmt sheetId="2" sqref="DR793" start="0" length="0">
      <dxf/>
    </rfmt>
    <rfmt sheetId="2" sqref="DS793" start="0" length="0">
      <dxf/>
    </rfmt>
    <rfmt sheetId="2" sqref="DT793" start="0" length="0">
      <dxf/>
    </rfmt>
    <rfmt sheetId="2" sqref="DU793" start="0" length="0">
      <dxf/>
    </rfmt>
    <rfmt sheetId="2" sqref="DV793" start="0" length="0">
      <dxf/>
    </rfmt>
    <rfmt sheetId="2" sqref="DW793" start="0" length="0">
      <dxf/>
    </rfmt>
    <rfmt sheetId="2" sqref="DX793" start="0" length="0">
      <dxf/>
    </rfmt>
    <rfmt sheetId="2" sqref="DY793" start="0" length="0">
      <dxf/>
    </rfmt>
    <rfmt sheetId="2" sqref="DZ793" start="0" length="0">
      <dxf/>
    </rfmt>
    <rfmt sheetId="2" sqref="EA793" start="0" length="0">
      <dxf/>
    </rfmt>
    <rfmt sheetId="2" sqref="EB793" start="0" length="0">
      <dxf/>
    </rfmt>
    <rfmt sheetId="2" sqref="EC793" start="0" length="0">
      <dxf/>
    </rfmt>
    <rfmt sheetId="2" sqref="ED793" start="0" length="0">
      <dxf/>
    </rfmt>
    <rfmt sheetId="2" sqref="EE793" start="0" length="0">
      <dxf/>
    </rfmt>
    <rfmt sheetId="2" sqref="EF793" start="0" length="0">
      <dxf/>
    </rfmt>
    <rfmt sheetId="2" sqref="EG793" start="0" length="0">
      <dxf/>
    </rfmt>
    <rfmt sheetId="2" sqref="EH793" start="0" length="0">
      <dxf/>
    </rfmt>
    <rfmt sheetId="2" sqref="EI793" start="0" length="0">
      <dxf/>
    </rfmt>
    <rfmt sheetId="2" sqref="EJ793" start="0" length="0">
      <dxf/>
    </rfmt>
    <rfmt sheetId="2" sqref="EK793" start="0" length="0">
      <dxf/>
    </rfmt>
    <rfmt sheetId="2" sqref="EL793" start="0" length="0">
      <dxf/>
    </rfmt>
    <rfmt sheetId="2" sqref="EM793" start="0" length="0">
      <dxf/>
    </rfmt>
    <rfmt sheetId="2" sqref="EN793" start="0" length="0">
      <dxf/>
    </rfmt>
    <rfmt sheetId="2" sqref="EO793" start="0" length="0">
      <dxf/>
    </rfmt>
    <rfmt sheetId="2" sqref="EP793" start="0" length="0">
      <dxf/>
    </rfmt>
    <rfmt sheetId="2" sqref="EQ793" start="0" length="0">
      <dxf/>
    </rfmt>
    <rfmt sheetId="2" sqref="ER793" start="0" length="0">
      <dxf/>
    </rfmt>
    <rfmt sheetId="2" sqref="ES793" start="0" length="0">
      <dxf/>
    </rfmt>
    <rfmt sheetId="2" sqref="ET793" start="0" length="0">
      <dxf/>
    </rfmt>
    <rfmt sheetId="2" sqref="EU793" start="0" length="0">
      <dxf/>
    </rfmt>
    <rfmt sheetId="2" sqref="EV793" start="0" length="0">
      <dxf/>
    </rfmt>
    <rfmt sheetId="2" sqref="EW793" start="0" length="0">
      <dxf/>
    </rfmt>
    <rfmt sheetId="2" sqref="EX793" start="0" length="0">
      <dxf/>
    </rfmt>
    <rfmt sheetId="2" sqref="EY793" start="0" length="0">
      <dxf/>
    </rfmt>
    <rfmt sheetId="2" sqref="EZ793" start="0" length="0">
      <dxf/>
    </rfmt>
    <rfmt sheetId="2" sqref="FA793" start="0" length="0">
      <dxf/>
    </rfmt>
    <rfmt sheetId="2" sqref="FB793" start="0" length="0">
      <dxf/>
    </rfmt>
    <rfmt sheetId="2" sqref="FC793" start="0" length="0">
      <dxf/>
    </rfmt>
    <rfmt sheetId="2" sqref="FD793" start="0" length="0">
      <dxf/>
    </rfmt>
    <rfmt sheetId="2" sqref="FE793" start="0" length="0">
      <dxf/>
    </rfmt>
    <rfmt sheetId="2" sqref="FF793" start="0" length="0">
      <dxf/>
    </rfmt>
    <rfmt sheetId="2" sqref="FG793" start="0" length="0">
      <dxf/>
    </rfmt>
    <rfmt sheetId="2" sqref="FH793" start="0" length="0">
      <dxf/>
    </rfmt>
    <rfmt sheetId="2" sqref="FI793" start="0" length="0">
      <dxf/>
    </rfmt>
    <rfmt sheetId="2" sqref="FJ793" start="0" length="0">
      <dxf/>
    </rfmt>
    <rfmt sheetId="2" sqref="FK793" start="0" length="0">
      <dxf/>
    </rfmt>
    <rfmt sheetId="2" sqref="FL793" start="0" length="0">
      <dxf/>
    </rfmt>
    <rfmt sheetId="2" sqref="FM793" start="0" length="0">
      <dxf/>
    </rfmt>
    <rfmt sheetId="2" sqref="FN793" start="0" length="0">
      <dxf/>
    </rfmt>
    <rfmt sheetId="2" sqref="FO793" start="0" length="0">
      <dxf/>
    </rfmt>
    <rfmt sheetId="2" sqref="FP793" start="0" length="0">
      <dxf/>
    </rfmt>
    <rfmt sheetId="2" sqref="FQ793" start="0" length="0">
      <dxf/>
    </rfmt>
    <rfmt sheetId="2" sqref="FR793" start="0" length="0">
      <dxf/>
    </rfmt>
    <rfmt sheetId="2" sqref="FS793" start="0" length="0">
      <dxf/>
    </rfmt>
    <rfmt sheetId="2" sqref="FT793" start="0" length="0">
      <dxf/>
    </rfmt>
    <rfmt sheetId="2" sqref="FU793" start="0" length="0">
      <dxf/>
    </rfmt>
    <rfmt sheetId="2" sqref="FV793" start="0" length="0">
      <dxf/>
    </rfmt>
    <rfmt sheetId="2" sqref="FW793" start="0" length="0">
      <dxf/>
    </rfmt>
    <rfmt sheetId="2" sqref="FX793" start="0" length="0">
      <dxf/>
    </rfmt>
    <rfmt sheetId="2" sqref="FY793" start="0" length="0">
      <dxf/>
    </rfmt>
    <rfmt sheetId="2" sqref="FZ793" start="0" length="0">
      <dxf/>
    </rfmt>
    <rfmt sheetId="2" sqref="GA793" start="0" length="0">
      <dxf/>
    </rfmt>
    <rfmt sheetId="2" sqref="GB793" start="0" length="0">
      <dxf/>
    </rfmt>
    <rfmt sheetId="2" sqref="GC793" start="0" length="0">
      <dxf/>
    </rfmt>
    <rfmt sheetId="2" sqref="GD793" start="0" length="0">
      <dxf/>
    </rfmt>
    <rfmt sheetId="2" sqref="GE793" start="0" length="0">
      <dxf/>
    </rfmt>
    <rfmt sheetId="2" sqref="GF793" start="0" length="0">
      <dxf/>
    </rfmt>
    <rfmt sheetId="2" sqref="GG793" start="0" length="0">
      <dxf/>
    </rfmt>
    <rfmt sheetId="2" sqref="GH793" start="0" length="0">
      <dxf/>
    </rfmt>
    <rfmt sheetId="2" sqref="GI793" start="0" length="0">
      <dxf/>
    </rfmt>
    <rfmt sheetId="2" sqref="GJ793" start="0" length="0">
      <dxf/>
    </rfmt>
    <rfmt sheetId="2" sqref="GK793" start="0" length="0">
      <dxf/>
    </rfmt>
    <rfmt sheetId="2" sqref="GL793" start="0" length="0">
      <dxf/>
    </rfmt>
    <rfmt sheetId="2" sqref="GM793" start="0" length="0">
      <dxf/>
    </rfmt>
    <rfmt sheetId="2" sqref="GN793" start="0" length="0">
      <dxf/>
    </rfmt>
    <rfmt sheetId="2" sqref="GO793" start="0" length="0">
      <dxf/>
    </rfmt>
    <rfmt sheetId="2" sqref="GP793" start="0" length="0">
      <dxf/>
    </rfmt>
    <rfmt sheetId="2" sqref="GQ793" start="0" length="0">
      <dxf/>
    </rfmt>
    <rfmt sheetId="2" sqref="GR793" start="0" length="0">
      <dxf/>
    </rfmt>
    <rfmt sheetId="2" sqref="GS793" start="0" length="0">
      <dxf/>
    </rfmt>
    <rfmt sheetId="2" sqref="GT793" start="0" length="0">
      <dxf/>
    </rfmt>
    <rfmt sheetId="2" sqref="GU793" start="0" length="0">
      <dxf/>
    </rfmt>
    <rfmt sheetId="2" sqref="GV793" start="0" length="0">
      <dxf/>
    </rfmt>
    <rfmt sheetId="2" sqref="GW793" start="0" length="0">
      <dxf/>
    </rfmt>
    <rfmt sheetId="2" sqref="GX793" start="0" length="0">
      <dxf/>
    </rfmt>
    <rfmt sheetId="2" sqref="GY793" start="0" length="0">
      <dxf/>
    </rfmt>
    <rfmt sheetId="2" sqref="GZ793" start="0" length="0">
      <dxf/>
    </rfmt>
    <rfmt sheetId="2" sqref="HA793" start="0" length="0">
      <dxf/>
    </rfmt>
    <rfmt sheetId="2" sqref="HB793" start="0" length="0">
      <dxf/>
    </rfmt>
    <rfmt sheetId="2" sqref="HC793" start="0" length="0">
      <dxf/>
    </rfmt>
    <rfmt sheetId="2" sqref="HD793" start="0" length="0">
      <dxf/>
    </rfmt>
    <rfmt sheetId="2" sqref="HE793" start="0" length="0">
      <dxf/>
    </rfmt>
    <rfmt sheetId="2" sqref="HF793" start="0" length="0">
      <dxf/>
    </rfmt>
    <rfmt sheetId="2" sqref="HG793" start="0" length="0">
      <dxf/>
    </rfmt>
    <rfmt sheetId="2" sqref="HH793" start="0" length="0">
      <dxf/>
    </rfmt>
    <rfmt sheetId="2" sqref="HI793" start="0" length="0">
      <dxf/>
    </rfmt>
    <rfmt sheetId="2" sqref="HJ793" start="0" length="0">
      <dxf/>
    </rfmt>
    <rfmt sheetId="2" sqref="HK793" start="0" length="0">
      <dxf/>
    </rfmt>
    <rfmt sheetId="2" sqref="HL793" start="0" length="0">
      <dxf/>
    </rfmt>
    <rfmt sheetId="2" sqref="HM793" start="0" length="0">
      <dxf/>
    </rfmt>
    <rfmt sheetId="2" sqref="HN793" start="0" length="0">
      <dxf/>
    </rfmt>
    <rfmt sheetId="2" sqref="HO793" start="0" length="0">
      <dxf/>
    </rfmt>
    <rfmt sheetId="2" sqref="HP793" start="0" length="0">
      <dxf/>
    </rfmt>
    <rfmt sheetId="2" sqref="HQ793" start="0" length="0">
      <dxf/>
    </rfmt>
    <rfmt sheetId="2" sqref="HR793" start="0" length="0">
      <dxf/>
    </rfmt>
    <rfmt sheetId="2" sqref="HS793" start="0" length="0">
      <dxf/>
    </rfmt>
    <rfmt sheetId="2" sqref="HT793" start="0" length="0">
      <dxf/>
    </rfmt>
    <rfmt sheetId="2" sqref="HU793" start="0" length="0">
      <dxf/>
    </rfmt>
    <rfmt sheetId="2" sqref="HV793" start="0" length="0">
      <dxf/>
    </rfmt>
    <rfmt sheetId="2" sqref="HW793" start="0" length="0">
      <dxf/>
    </rfmt>
    <rfmt sheetId="2" sqref="HX793" start="0" length="0">
      <dxf/>
    </rfmt>
    <rfmt sheetId="2" sqref="HY793" start="0" length="0">
      <dxf/>
    </rfmt>
    <rfmt sheetId="2" sqref="HZ793" start="0" length="0">
      <dxf/>
    </rfmt>
    <rfmt sheetId="2" sqref="IA793" start="0" length="0">
      <dxf/>
    </rfmt>
    <rfmt sheetId="2" sqref="IB793" start="0" length="0">
      <dxf/>
    </rfmt>
    <rfmt sheetId="2" sqref="IC793" start="0" length="0">
      <dxf/>
    </rfmt>
    <rfmt sheetId="2" sqref="ID793" start="0" length="0">
      <dxf/>
    </rfmt>
    <rfmt sheetId="2" sqref="IE793" start="0" length="0">
      <dxf/>
    </rfmt>
    <rfmt sheetId="2" sqref="IF793" start="0" length="0">
      <dxf/>
    </rfmt>
    <rfmt sheetId="2" sqref="IG793" start="0" length="0">
      <dxf/>
    </rfmt>
    <rfmt sheetId="2" sqref="IH793" start="0" length="0">
      <dxf/>
    </rfmt>
    <rfmt sheetId="2" sqref="II793" start="0" length="0">
      <dxf/>
    </rfmt>
    <rfmt sheetId="2" sqref="IJ793" start="0" length="0">
      <dxf/>
    </rfmt>
    <rfmt sheetId="2" sqref="IK793" start="0" length="0">
      <dxf/>
    </rfmt>
    <rfmt sheetId="2" sqref="IL793" start="0" length="0">
      <dxf/>
    </rfmt>
    <rfmt sheetId="2" sqref="IM793" start="0" length="0">
      <dxf/>
    </rfmt>
    <rfmt sheetId="2" sqref="IN793" start="0" length="0">
      <dxf/>
    </rfmt>
    <rfmt sheetId="2" sqref="IO793" start="0" length="0">
      <dxf/>
    </rfmt>
    <rfmt sheetId="2" sqref="IP793" start="0" length="0">
      <dxf/>
    </rfmt>
    <rfmt sheetId="2" sqref="IQ793" start="0" length="0">
      <dxf/>
    </rfmt>
    <rfmt sheetId="2" sqref="IR793" start="0" length="0">
      <dxf/>
    </rfmt>
    <rfmt sheetId="2" sqref="IS793" start="0" length="0">
      <dxf/>
    </rfmt>
    <rfmt sheetId="2" sqref="IT793" start="0" length="0">
      <dxf/>
    </rfmt>
    <rfmt sheetId="2" sqref="IU793" start="0" length="0">
      <dxf/>
    </rfmt>
    <rfmt sheetId="2" sqref="IV793" start="0" length="0">
      <dxf/>
    </rfmt>
    <rfmt sheetId="2" sqref="IW793" start="0" length="0">
      <dxf/>
    </rfmt>
    <rfmt sheetId="2" sqref="IX793" start="0" length="0">
      <dxf/>
    </rfmt>
    <rfmt sheetId="2" sqref="IY793" start="0" length="0">
      <dxf/>
    </rfmt>
    <rfmt sheetId="2" sqref="IZ793" start="0" length="0">
      <dxf/>
    </rfmt>
    <rfmt sheetId="2" sqref="JA793" start="0" length="0">
      <dxf/>
    </rfmt>
    <rfmt sheetId="2" sqref="JB793" start="0" length="0">
      <dxf/>
    </rfmt>
    <rfmt sheetId="2" sqref="JC793" start="0" length="0">
      <dxf/>
    </rfmt>
    <rfmt sheetId="2" sqref="JD793" start="0" length="0">
      <dxf/>
    </rfmt>
    <rfmt sheetId="2" sqref="JE793" start="0" length="0">
      <dxf/>
    </rfmt>
    <rfmt sheetId="2" sqref="JF793" start="0" length="0">
      <dxf/>
    </rfmt>
    <rfmt sheetId="2" sqref="JG793" start="0" length="0">
      <dxf/>
    </rfmt>
    <rfmt sheetId="2" sqref="JH793" start="0" length="0">
      <dxf/>
    </rfmt>
    <rfmt sheetId="2" sqref="JI793" start="0" length="0">
      <dxf/>
    </rfmt>
    <rfmt sheetId="2" sqref="JJ793" start="0" length="0">
      <dxf/>
    </rfmt>
    <rfmt sheetId="2" sqref="JK793" start="0" length="0">
      <dxf/>
    </rfmt>
    <rfmt sheetId="2" sqref="JL793" start="0" length="0">
      <dxf/>
    </rfmt>
    <rfmt sheetId="2" sqref="JM793" start="0" length="0">
      <dxf/>
    </rfmt>
    <rfmt sheetId="2" sqref="JN793" start="0" length="0">
      <dxf/>
    </rfmt>
    <rfmt sheetId="2" sqref="JO793" start="0" length="0">
      <dxf/>
    </rfmt>
    <rfmt sheetId="2" sqref="JP793" start="0" length="0">
      <dxf/>
    </rfmt>
    <rfmt sheetId="2" sqref="JQ793" start="0" length="0">
      <dxf/>
    </rfmt>
    <rfmt sheetId="2" sqref="JR793" start="0" length="0">
      <dxf/>
    </rfmt>
    <rfmt sheetId="2" sqref="JS793" start="0" length="0">
      <dxf/>
    </rfmt>
    <rfmt sheetId="2" sqref="JT793" start="0" length="0">
      <dxf/>
    </rfmt>
    <rfmt sheetId="2" sqref="JU793" start="0" length="0">
      <dxf/>
    </rfmt>
    <rfmt sheetId="2" sqref="JV793" start="0" length="0">
      <dxf/>
    </rfmt>
    <rfmt sheetId="2" sqref="JW793" start="0" length="0">
      <dxf/>
    </rfmt>
    <rfmt sheetId="2" sqref="JX793" start="0" length="0">
      <dxf/>
    </rfmt>
    <rfmt sheetId="2" sqref="JY793" start="0" length="0">
      <dxf/>
    </rfmt>
    <rfmt sheetId="2" sqref="JZ793" start="0" length="0">
      <dxf/>
    </rfmt>
    <rfmt sheetId="2" sqref="KA793" start="0" length="0">
      <dxf/>
    </rfmt>
    <rfmt sheetId="2" sqref="KB793" start="0" length="0">
      <dxf/>
    </rfmt>
    <rfmt sheetId="2" sqref="KC793" start="0" length="0">
      <dxf/>
    </rfmt>
    <rfmt sheetId="2" sqref="KD793" start="0" length="0">
      <dxf/>
    </rfmt>
    <rfmt sheetId="2" sqref="KE793" start="0" length="0">
      <dxf/>
    </rfmt>
    <rfmt sheetId="2" sqref="KF793" start="0" length="0">
      <dxf/>
    </rfmt>
    <rfmt sheetId="2" sqref="KG793" start="0" length="0">
      <dxf/>
    </rfmt>
    <rfmt sheetId="2" sqref="KH793" start="0" length="0">
      <dxf/>
    </rfmt>
    <rfmt sheetId="2" sqref="KI793" start="0" length="0">
      <dxf/>
    </rfmt>
    <rfmt sheetId="2" sqref="KJ793" start="0" length="0">
      <dxf/>
    </rfmt>
    <rfmt sheetId="2" sqref="KK793" start="0" length="0">
      <dxf/>
    </rfmt>
    <rfmt sheetId="2" sqref="KL793" start="0" length="0">
      <dxf/>
    </rfmt>
    <rfmt sheetId="2" sqref="KM793" start="0" length="0">
      <dxf/>
    </rfmt>
    <rfmt sheetId="2" sqref="KN793" start="0" length="0">
      <dxf/>
    </rfmt>
    <rfmt sheetId="2" sqref="KO793" start="0" length="0">
      <dxf/>
    </rfmt>
    <rfmt sheetId="2" sqref="KP793" start="0" length="0">
      <dxf/>
    </rfmt>
    <rfmt sheetId="2" sqref="KQ793" start="0" length="0">
      <dxf/>
    </rfmt>
    <rfmt sheetId="2" sqref="KR793" start="0" length="0">
      <dxf/>
    </rfmt>
    <rfmt sheetId="2" sqref="KS793" start="0" length="0">
      <dxf/>
    </rfmt>
    <rfmt sheetId="2" sqref="KT793" start="0" length="0">
      <dxf/>
    </rfmt>
    <rfmt sheetId="2" sqref="KU793" start="0" length="0">
      <dxf/>
    </rfmt>
    <rfmt sheetId="2" sqref="KV793" start="0" length="0">
      <dxf/>
    </rfmt>
    <rfmt sheetId="2" sqref="KW793" start="0" length="0">
      <dxf/>
    </rfmt>
    <rfmt sheetId="2" sqref="KX793" start="0" length="0">
      <dxf/>
    </rfmt>
    <rfmt sheetId="2" sqref="KY793" start="0" length="0">
      <dxf/>
    </rfmt>
    <rfmt sheetId="2" sqref="KZ793" start="0" length="0">
      <dxf/>
    </rfmt>
    <rfmt sheetId="2" sqref="LA793" start="0" length="0">
      <dxf/>
    </rfmt>
    <rfmt sheetId="2" sqref="LB793" start="0" length="0">
      <dxf/>
    </rfmt>
    <rfmt sheetId="2" sqref="LC793" start="0" length="0">
      <dxf/>
    </rfmt>
    <rfmt sheetId="2" sqref="LD793" start="0" length="0">
      <dxf/>
    </rfmt>
    <rfmt sheetId="2" sqref="LE793" start="0" length="0">
      <dxf/>
    </rfmt>
    <rfmt sheetId="2" sqref="LF793" start="0" length="0">
      <dxf/>
    </rfmt>
    <rfmt sheetId="2" sqref="LG793" start="0" length="0">
      <dxf/>
    </rfmt>
    <rfmt sheetId="2" sqref="LH793" start="0" length="0">
      <dxf/>
    </rfmt>
    <rfmt sheetId="2" sqref="LI793" start="0" length="0">
      <dxf/>
    </rfmt>
    <rfmt sheetId="2" sqref="LJ793" start="0" length="0">
      <dxf/>
    </rfmt>
    <rfmt sheetId="2" sqref="LK793" start="0" length="0">
      <dxf/>
    </rfmt>
    <rfmt sheetId="2" sqref="LL793" start="0" length="0">
      <dxf/>
    </rfmt>
    <rfmt sheetId="2" sqref="LM793" start="0" length="0">
      <dxf/>
    </rfmt>
    <rfmt sheetId="2" sqref="LN793" start="0" length="0">
      <dxf/>
    </rfmt>
    <rfmt sheetId="2" sqref="LO793" start="0" length="0">
      <dxf/>
    </rfmt>
    <rfmt sheetId="2" sqref="LP793" start="0" length="0">
      <dxf/>
    </rfmt>
    <rfmt sheetId="2" sqref="LQ793" start="0" length="0">
      <dxf/>
    </rfmt>
    <rfmt sheetId="2" sqref="LR793" start="0" length="0">
      <dxf/>
    </rfmt>
    <rfmt sheetId="2" sqref="LS793" start="0" length="0">
      <dxf/>
    </rfmt>
    <rfmt sheetId="2" sqref="LT793" start="0" length="0">
      <dxf/>
    </rfmt>
    <rfmt sheetId="2" sqref="LU793" start="0" length="0">
      <dxf/>
    </rfmt>
    <rfmt sheetId="2" sqref="LV793" start="0" length="0">
      <dxf/>
    </rfmt>
    <rfmt sheetId="2" sqref="LW793" start="0" length="0">
      <dxf/>
    </rfmt>
    <rfmt sheetId="2" sqref="LX793" start="0" length="0">
      <dxf/>
    </rfmt>
    <rfmt sheetId="2" sqref="LY793" start="0" length="0">
      <dxf/>
    </rfmt>
    <rfmt sheetId="2" sqref="LZ793" start="0" length="0">
      <dxf/>
    </rfmt>
    <rfmt sheetId="2" sqref="MA793" start="0" length="0">
      <dxf/>
    </rfmt>
    <rfmt sheetId="2" sqref="MB793" start="0" length="0">
      <dxf/>
    </rfmt>
  </rrc>
  <rrc rId="2660" sId="2" ref="A793:XFD793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93:XFD793" start="0" length="0">
      <dxf>
        <font>
          <sz val="10"/>
          <name val="Arial"/>
          <scheme val="none"/>
        </font>
        <alignment horizontal="center" readingOrder="0"/>
      </dxf>
    </rfmt>
    <rfmt sheetId="2" sqref="A79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9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3" start="0" length="0">
      <dxf>
        <numFmt numFmtId="176" formatCode="m/d;@"/>
      </dxf>
    </rfmt>
    <rfmt sheetId="2" sqref="P79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3" start="0" length="0">
      <dxf/>
    </rfmt>
    <rfmt sheetId="2" sqref="U793" start="0" length="0">
      <dxf/>
    </rfmt>
    <rfmt sheetId="2" sqref="V793" start="0" length="0">
      <dxf/>
    </rfmt>
    <rfmt sheetId="2" sqref="W793" start="0" length="0">
      <dxf/>
    </rfmt>
    <rfmt sheetId="2" sqref="X793" start="0" length="0">
      <dxf/>
    </rfmt>
    <rfmt sheetId="2" sqref="Y793" start="0" length="0">
      <dxf/>
    </rfmt>
    <rfmt sheetId="2" sqref="Z793" start="0" length="0">
      <dxf/>
    </rfmt>
    <rfmt sheetId="2" sqref="AA793" start="0" length="0">
      <dxf/>
    </rfmt>
    <rfmt sheetId="2" sqref="AB793" start="0" length="0">
      <dxf/>
    </rfmt>
    <rfmt sheetId="2" sqref="AC793" start="0" length="0">
      <dxf/>
    </rfmt>
    <rfmt sheetId="2" sqref="AD793" start="0" length="0">
      <dxf/>
    </rfmt>
    <rfmt sheetId="2" sqref="AE793" start="0" length="0">
      <dxf/>
    </rfmt>
    <rfmt sheetId="2" sqref="AF793" start="0" length="0">
      <dxf/>
    </rfmt>
    <rfmt sheetId="2" sqref="AG793" start="0" length="0">
      <dxf/>
    </rfmt>
    <rfmt sheetId="2" sqref="AH793" start="0" length="0">
      <dxf/>
    </rfmt>
    <rfmt sheetId="2" sqref="AI793" start="0" length="0">
      <dxf/>
    </rfmt>
    <rfmt sheetId="2" sqref="AJ793" start="0" length="0">
      <dxf/>
    </rfmt>
    <rfmt sheetId="2" sqref="AK793" start="0" length="0">
      <dxf/>
    </rfmt>
    <rfmt sheetId="2" sqref="AL793" start="0" length="0">
      <dxf/>
    </rfmt>
    <rfmt sheetId="2" sqref="AM793" start="0" length="0">
      <dxf/>
    </rfmt>
    <rfmt sheetId="2" sqref="AN793" start="0" length="0">
      <dxf/>
    </rfmt>
    <rfmt sheetId="2" sqref="AO793" start="0" length="0">
      <dxf/>
    </rfmt>
    <rfmt sheetId="2" sqref="AP793" start="0" length="0">
      <dxf/>
    </rfmt>
    <rfmt sheetId="2" sqref="AQ793" start="0" length="0">
      <dxf/>
    </rfmt>
    <rfmt sheetId="2" sqref="AR793" start="0" length="0">
      <dxf/>
    </rfmt>
    <rfmt sheetId="2" sqref="AS793" start="0" length="0">
      <dxf/>
    </rfmt>
    <rfmt sheetId="2" sqref="AT793" start="0" length="0">
      <dxf/>
    </rfmt>
    <rfmt sheetId="2" sqref="AU793" start="0" length="0">
      <dxf/>
    </rfmt>
    <rfmt sheetId="2" sqref="AV793" start="0" length="0">
      <dxf/>
    </rfmt>
    <rfmt sheetId="2" sqref="AW793" start="0" length="0">
      <dxf/>
    </rfmt>
    <rfmt sheetId="2" sqref="AX793" start="0" length="0">
      <dxf/>
    </rfmt>
    <rfmt sheetId="2" sqref="AY793" start="0" length="0">
      <dxf/>
    </rfmt>
    <rfmt sheetId="2" sqref="AZ793" start="0" length="0">
      <dxf/>
    </rfmt>
    <rfmt sheetId="2" sqref="BA793" start="0" length="0">
      <dxf/>
    </rfmt>
    <rfmt sheetId="2" sqref="BB793" start="0" length="0">
      <dxf/>
    </rfmt>
    <rfmt sheetId="2" sqref="BC793" start="0" length="0">
      <dxf/>
    </rfmt>
    <rfmt sheetId="2" sqref="BD793" start="0" length="0">
      <dxf/>
    </rfmt>
    <rfmt sheetId="2" sqref="BE793" start="0" length="0">
      <dxf/>
    </rfmt>
    <rfmt sheetId="2" sqref="BF793" start="0" length="0">
      <dxf/>
    </rfmt>
    <rfmt sheetId="2" sqref="BG793" start="0" length="0">
      <dxf/>
    </rfmt>
    <rfmt sheetId="2" sqref="BH793" start="0" length="0">
      <dxf/>
    </rfmt>
    <rfmt sheetId="2" sqref="BI793" start="0" length="0">
      <dxf/>
    </rfmt>
    <rfmt sheetId="2" sqref="BJ793" start="0" length="0">
      <dxf/>
    </rfmt>
    <rfmt sheetId="2" sqref="BK793" start="0" length="0">
      <dxf/>
    </rfmt>
    <rfmt sheetId="2" sqref="BL793" start="0" length="0">
      <dxf/>
    </rfmt>
    <rfmt sheetId="2" sqref="BM793" start="0" length="0">
      <dxf/>
    </rfmt>
    <rfmt sheetId="2" sqref="BN793" start="0" length="0">
      <dxf/>
    </rfmt>
    <rfmt sheetId="2" sqref="BO793" start="0" length="0">
      <dxf/>
    </rfmt>
    <rfmt sheetId="2" sqref="BP793" start="0" length="0">
      <dxf/>
    </rfmt>
    <rfmt sheetId="2" sqref="BQ793" start="0" length="0">
      <dxf/>
    </rfmt>
    <rfmt sheetId="2" sqref="BR793" start="0" length="0">
      <dxf/>
    </rfmt>
    <rfmt sheetId="2" sqref="BS793" start="0" length="0">
      <dxf/>
    </rfmt>
    <rfmt sheetId="2" sqref="BT793" start="0" length="0">
      <dxf/>
    </rfmt>
    <rfmt sheetId="2" sqref="BU793" start="0" length="0">
      <dxf/>
    </rfmt>
    <rfmt sheetId="2" sqref="BV793" start="0" length="0">
      <dxf/>
    </rfmt>
    <rfmt sheetId="2" sqref="BW793" start="0" length="0">
      <dxf/>
    </rfmt>
    <rfmt sheetId="2" sqref="BX793" start="0" length="0">
      <dxf/>
    </rfmt>
    <rfmt sheetId="2" sqref="BY793" start="0" length="0">
      <dxf/>
    </rfmt>
    <rfmt sheetId="2" sqref="BZ793" start="0" length="0">
      <dxf/>
    </rfmt>
    <rfmt sheetId="2" sqref="CA793" start="0" length="0">
      <dxf/>
    </rfmt>
    <rfmt sheetId="2" sqref="CB793" start="0" length="0">
      <dxf/>
    </rfmt>
    <rfmt sheetId="2" sqref="CC793" start="0" length="0">
      <dxf/>
    </rfmt>
    <rfmt sheetId="2" sqref="CD793" start="0" length="0">
      <dxf/>
    </rfmt>
    <rfmt sheetId="2" sqref="CE793" start="0" length="0">
      <dxf/>
    </rfmt>
    <rfmt sheetId="2" sqref="CF793" start="0" length="0">
      <dxf/>
    </rfmt>
    <rfmt sheetId="2" sqref="CG793" start="0" length="0">
      <dxf/>
    </rfmt>
    <rfmt sheetId="2" sqref="CH793" start="0" length="0">
      <dxf/>
    </rfmt>
    <rfmt sheetId="2" sqref="CI793" start="0" length="0">
      <dxf/>
    </rfmt>
    <rfmt sheetId="2" sqref="CJ793" start="0" length="0">
      <dxf/>
    </rfmt>
    <rfmt sheetId="2" sqref="CK793" start="0" length="0">
      <dxf/>
    </rfmt>
    <rfmt sheetId="2" sqref="CL793" start="0" length="0">
      <dxf/>
    </rfmt>
    <rfmt sheetId="2" sqref="CM793" start="0" length="0">
      <dxf/>
    </rfmt>
    <rfmt sheetId="2" sqref="CN793" start="0" length="0">
      <dxf/>
    </rfmt>
    <rfmt sheetId="2" sqref="CO793" start="0" length="0">
      <dxf/>
    </rfmt>
    <rfmt sheetId="2" sqref="CP793" start="0" length="0">
      <dxf/>
    </rfmt>
    <rfmt sheetId="2" sqref="CQ793" start="0" length="0">
      <dxf/>
    </rfmt>
    <rfmt sheetId="2" sqref="CR793" start="0" length="0">
      <dxf/>
    </rfmt>
    <rfmt sheetId="2" sqref="CS793" start="0" length="0">
      <dxf/>
    </rfmt>
    <rfmt sheetId="2" sqref="CT793" start="0" length="0">
      <dxf/>
    </rfmt>
    <rfmt sheetId="2" sqref="CU793" start="0" length="0">
      <dxf/>
    </rfmt>
    <rfmt sheetId="2" sqref="CV793" start="0" length="0">
      <dxf/>
    </rfmt>
    <rfmt sheetId="2" sqref="CW793" start="0" length="0">
      <dxf/>
    </rfmt>
    <rfmt sheetId="2" sqref="CX793" start="0" length="0">
      <dxf/>
    </rfmt>
    <rfmt sheetId="2" sqref="CY793" start="0" length="0">
      <dxf/>
    </rfmt>
    <rfmt sheetId="2" sqref="CZ793" start="0" length="0">
      <dxf/>
    </rfmt>
    <rfmt sheetId="2" sqref="DA793" start="0" length="0">
      <dxf/>
    </rfmt>
    <rfmt sheetId="2" sqref="DB793" start="0" length="0">
      <dxf/>
    </rfmt>
    <rfmt sheetId="2" sqref="DC793" start="0" length="0">
      <dxf/>
    </rfmt>
    <rfmt sheetId="2" sqref="DD793" start="0" length="0">
      <dxf/>
    </rfmt>
    <rfmt sheetId="2" sqref="DE793" start="0" length="0">
      <dxf/>
    </rfmt>
    <rfmt sheetId="2" sqref="DF793" start="0" length="0">
      <dxf/>
    </rfmt>
    <rfmt sheetId="2" sqref="DG793" start="0" length="0">
      <dxf/>
    </rfmt>
    <rfmt sheetId="2" sqref="DH793" start="0" length="0">
      <dxf/>
    </rfmt>
    <rfmt sheetId="2" sqref="DI793" start="0" length="0">
      <dxf/>
    </rfmt>
    <rfmt sheetId="2" sqref="DJ793" start="0" length="0">
      <dxf/>
    </rfmt>
    <rfmt sheetId="2" sqref="DK793" start="0" length="0">
      <dxf/>
    </rfmt>
    <rfmt sheetId="2" sqref="DL793" start="0" length="0">
      <dxf/>
    </rfmt>
    <rfmt sheetId="2" sqref="DM793" start="0" length="0">
      <dxf/>
    </rfmt>
    <rfmt sheetId="2" sqref="DN793" start="0" length="0">
      <dxf/>
    </rfmt>
    <rfmt sheetId="2" sqref="DO793" start="0" length="0">
      <dxf/>
    </rfmt>
    <rfmt sheetId="2" sqref="DP793" start="0" length="0">
      <dxf/>
    </rfmt>
    <rfmt sheetId="2" sqref="DQ793" start="0" length="0">
      <dxf/>
    </rfmt>
    <rfmt sheetId="2" sqref="DR793" start="0" length="0">
      <dxf/>
    </rfmt>
    <rfmt sheetId="2" sqref="DS793" start="0" length="0">
      <dxf/>
    </rfmt>
    <rfmt sheetId="2" sqref="DT793" start="0" length="0">
      <dxf/>
    </rfmt>
    <rfmt sheetId="2" sqref="DU793" start="0" length="0">
      <dxf/>
    </rfmt>
    <rfmt sheetId="2" sqref="DV793" start="0" length="0">
      <dxf/>
    </rfmt>
    <rfmt sheetId="2" sqref="DW793" start="0" length="0">
      <dxf/>
    </rfmt>
    <rfmt sheetId="2" sqref="DX793" start="0" length="0">
      <dxf/>
    </rfmt>
    <rfmt sheetId="2" sqref="DY793" start="0" length="0">
      <dxf/>
    </rfmt>
    <rfmt sheetId="2" sqref="DZ793" start="0" length="0">
      <dxf/>
    </rfmt>
    <rfmt sheetId="2" sqref="EA793" start="0" length="0">
      <dxf/>
    </rfmt>
    <rfmt sheetId="2" sqref="EB793" start="0" length="0">
      <dxf/>
    </rfmt>
    <rfmt sheetId="2" sqref="EC793" start="0" length="0">
      <dxf/>
    </rfmt>
    <rfmt sheetId="2" sqref="ED793" start="0" length="0">
      <dxf/>
    </rfmt>
    <rfmt sheetId="2" sqref="EE793" start="0" length="0">
      <dxf/>
    </rfmt>
    <rfmt sheetId="2" sqref="EF793" start="0" length="0">
      <dxf/>
    </rfmt>
    <rfmt sheetId="2" sqref="EG793" start="0" length="0">
      <dxf/>
    </rfmt>
    <rfmt sheetId="2" sqref="EH793" start="0" length="0">
      <dxf/>
    </rfmt>
    <rfmt sheetId="2" sqref="EI793" start="0" length="0">
      <dxf/>
    </rfmt>
    <rfmt sheetId="2" sqref="EJ793" start="0" length="0">
      <dxf/>
    </rfmt>
    <rfmt sheetId="2" sqref="EK793" start="0" length="0">
      <dxf/>
    </rfmt>
    <rfmt sheetId="2" sqref="EL793" start="0" length="0">
      <dxf/>
    </rfmt>
    <rfmt sheetId="2" sqref="EM793" start="0" length="0">
      <dxf/>
    </rfmt>
    <rfmt sheetId="2" sqref="EN793" start="0" length="0">
      <dxf/>
    </rfmt>
    <rfmt sheetId="2" sqref="EO793" start="0" length="0">
      <dxf/>
    </rfmt>
    <rfmt sheetId="2" sqref="EP793" start="0" length="0">
      <dxf/>
    </rfmt>
    <rfmt sheetId="2" sqref="EQ793" start="0" length="0">
      <dxf/>
    </rfmt>
    <rfmt sheetId="2" sqref="ER793" start="0" length="0">
      <dxf/>
    </rfmt>
    <rfmt sheetId="2" sqref="ES793" start="0" length="0">
      <dxf/>
    </rfmt>
    <rfmt sheetId="2" sqref="ET793" start="0" length="0">
      <dxf/>
    </rfmt>
    <rfmt sheetId="2" sqref="EU793" start="0" length="0">
      <dxf/>
    </rfmt>
    <rfmt sheetId="2" sqref="EV793" start="0" length="0">
      <dxf/>
    </rfmt>
    <rfmt sheetId="2" sqref="EW793" start="0" length="0">
      <dxf/>
    </rfmt>
    <rfmt sheetId="2" sqref="EX793" start="0" length="0">
      <dxf/>
    </rfmt>
    <rfmt sheetId="2" sqref="EY793" start="0" length="0">
      <dxf/>
    </rfmt>
    <rfmt sheetId="2" sqref="EZ793" start="0" length="0">
      <dxf/>
    </rfmt>
    <rfmt sheetId="2" sqref="FA793" start="0" length="0">
      <dxf/>
    </rfmt>
    <rfmt sheetId="2" sqref="FB793" start="0" length="0">
      <dxf/>
    </rfmt>
    <rfmt sheetId="2" sqref="FC793" start="0" length="0">
      <dxf/>
    </rfmt>
    <rfmt sheetId="2" sqref="FD793" start="0" length="0">
      <dxf/>
    </rfmt>
    <rfmt sheetId="2" sqref="FE793" start="0" length="0">
      <dxf/>
    </rfmt>
    <rfmt sheetId="2" sqref="FF793" start="0" length="0">
      <dxf/>
    </rfmt>
    <rfmt sheetId="2" sqref="FG793" start="0" length="0">
      <dxf/>
    </rfmt>
    <rfmt sheetId="2" sqref="FH793" start="0" length="0">
      <dxf/>
    </rfmt>
    <rfmt sheetId="2" sqref="FI793" start="0" length="0">
      <dxf/>
    </rfmt>
    <rfmt sheetId="2" sqref="FJ793" start="0" length="0">
      <dxf/>
    </rfmt>
    <rfmt sheetId="2" sqref="FK793" start="0" length="0">
      <dxf/>
    </rfmt>
    <rfmt sheetId="2" sqref="FL793" start="0" length="0">
      <dxf/>
    </rfmt>
    <rfmt sheetId="2" sqref="FM793" start="0" length="0">
      <dxf/>
    </rfmt>
    <rfmt sheetId="2" sqref="FN793" start="0" length="0">
      <dxf/>
    </rfmt>
    <rfmt sheetId="2" sqref="FO793" start="0" length="0">
      <dxf/>
    </rfmt>
    <rfmt sheetId="2" sqref="FP793" start="0" length="0">
      <dxf/>
    </rfmt>
    <rfmt sheetId="2" sqref="FQ793" start="0" length="0">
      <dxf/>
    </rfmt>
    <rfmt sheetId="2" sqref="FR793" start="0" length="0">
      <dxf/>
    </rfmt>
    <rfmt sheetId="2" sqref="FS793" start="0" length="0">
      <dxf/>
    </rfmt>
    <rfmt sheetId="2" sqref="FT793" start="0" length="0">
      <dxf/>
    </rfmt>
    <rfmt sheetId="2" sqref="FU793" start="0" length="0">
      <dxf/>
    </rfmt>
    <rfmt sheetId="2" sqref="FV793" start="0" length="0">
      <dxf/>
    </rfmt>
    <rfmt sheetId="2" sqref="FW793" start="0" length="0">
      <dxf/>
    </rfmt>
    <rfmt sheetId="2" sqref="FX793" start="0" length="0">
      <dxf/>
    </rfmt>
    <rfmt sheetId="2" sqref="FY793" start="0" length="0">
      <dxf/>
    </rfmt>
    <rfmt sheetId="2" sqref="FZ793" start="0" length="0">
      <dxf/>
    </rfmt>
    <rfmt sheetId="2" sqref="GA793" start="0" length="0">
      <dxf/>
    </rfmt>
    <rfmt sheetId="2" sqref="GB793" start="0" length="0">
      <dxf/>
    </rfmt>
    <rfmt sheetId="2" sqref="GC793" start="0" length="0">
      <dxf/>
    </rfmt>
    <rfmt sheetId="2" sqref="GD793" start="0" length="0">
      <dxf/>
    </rfmt>
    <rfmt sheetId="2" sqref="GE793" start="0" length="0">
      <dxf/>
    </rfmt>
    <rfmt sheetId="2" sqref="GF793" start="0" length="0">
      <dxf/>
    </rfmt>
    <rfmt sheetId="2" sqref="GG793" start="0" length="0">
      <dxf/>
    </rfmt>
    <rfmt sheetId="2" sqref="GH793" start="0" length="0">
      <dxf/>
    </rfmt>
    <rfmt sheetId="2" sqref="GI793" start="0" length="0">
      <dxf/>
    </rfmt>
    <rfmt sheetId="2" sqref="GJ793" start="0" length="0">
      <dxf/>
    </rfmt>
    <rfmt sheetId="2" sqref="GK793" start="0" length="0">
      <dxf/>
    </rfmt>
    <rfmt sheetId="2" sqref="GL793" start="0" length="0">
      <dxf/>
    </rfmt>
    <rfmt sheetId="2" sqref="GM793" start="0" length="0">
      <dxf/>
    </rfmt>
    <rfmt sheetId="2" sqref="GN793" start="0" length="0">
      <dxf/>
    </rfmt>
    <rfmt sheetId="2" sqref="GO793" start="0" length="0">
      <dxf/>
    </rfmt>
    <rfmt sheetId="2" sqref="GP793" start="0" length="0">
      <dxf/>
    </rfmt>
    <rfmt sheetId="2" sqref="GQ793" start="0" length="0">
      <dxf/>
    </rfmt>
    <rfmt sheetId="2" sqref="GR793" start="0" length="0">
      <dxf/>
    </rfmt>
    <rfmt sheetId="2" sqref="GS793" start="0" length="0">
      <dxf/>
    </rfmt>
    <rfmt sheetId="2" sqref="GT793" start="0" length="0">
      <dxf/>
    </rfmt>
    <rfmt sheetId="2" sqref="GU793" start="0" length="0">
      <dxf/>
    </rfmt>
    <rfmt sheetId="2" sqref="GV793" start="0" length="0">
      <dxf/>
    </rfmt>
    <rfmt sheetId="2" sqref="GW793" start="0" length="0">
      <dxf/>
    </rfmt>
    <rfmt sheetId="2" sqref="GX793" start="0" length="0">
      <dxf/>
    </rfmt>
    <rfmt sheetId="2" sqref="GY793" start="0" length="0">
      <dxf/>
    </rfmt>
    <rfmt sheetId="2" sqref="GZ793" start="0" length="0">
      <dxf/>
    </rfmt>
    <rfmt sheetId="2" sqref="HA793" start="0" length="0">
      <dxf/>
    </rfmt>
    <rfmt sheetId="2" sqref="HB793" start="0" length="0">
      <dxf/>
    </rfmt>
    <rfmt sheetId="2" sqref="HC793" start="0" length="0">
      <dxf/>
    </rfmt>
    <rfmt sheetId="2" sqref="HD793" start="0" length="0">
      <dxf/>
    </rfmt>
    <rfmt sheetId="2" sqref="HE793" start="0" length="0">
      <dxf/>
    </rfmt>
    <rfmt sheetId="2" sqref="HF793" start="0" length="0">
      <dxf/>
    </rfmt>
    <rfmt sheetId="2" sqref="HG793" start="0" length="0">
      <dxf/>
    </rfmt>
    <rfmt sheetId="2" sqref="HH793" start="0" length="0">
      <dxf/>
    </rfmt>
    <rfmt sheetId="2" sqref="HI793" start="0" length="0">
      <dxf/>
    </rfmt>
    <rfmt sheetId="2" sqref="HJ793" start="0" length="0">
      <dxf/>
    </rfmt>
    <rfmt sheetId="2" sqref="HK793" start="0" length="0">
      <dxf/>
    </rfmt>
    <rfmt sheetId="2" sqref="HL793" start="0" length="0">
      <dxf/>
    </rfmt>
    <rfmt sheetId="2" sqref="HM793" start="0" length="0">
      <dxf/>
    </rfmt>
    <rfmt sheetId="2" sqref="HN793" start="0" length="0">
      <dxf/>
    </rfmt>
    <rfmt sheetId="2" sqref="HO793" start="0" length="0">
      <dxf/>
    </rfmt>
    <rfmt sheetId="2" sqref="HP793" start="0" length="0">
      <dxf/>
    </rfmt>
    <rfmt sheetId="2" sqref="HQ793" start="0" length="0">
      <dxf/>
    </rfmt>
    <rfmt sheetId="2" sqref="HR793" start="0" length="0">
      <dxf/>
    </rfmt>
    <rfmt sheetId="2" sqref="HS793" start="0" length="0">
      <dxf/>
    </rfmt>
    <rfmt sheetId="2" sqref="HT793" start="0" length="0">
      <dxf/>
    </rfmt>
    <rfmt sheetId="2" sqref="HU793" start="0" length="0">
      <dxf/>
    </rfmt>
    <rfmt sheetId="2" sqref="HV793" start="0" length="0">
      <dxf/>
    </rfmt>
    <rfmt sheetId="2" sqref="HW793" start="0" length="0">
      <dxf/>
    </rfmt>
    <rfmt sheetId="2" sqref="HX793" start="0" length="0">
      <dxf/>
    </rfmt>
    <rfmt sheetId="2" sqref="HY793" start="0" length="0">
      <dxf/>
    </rfmt>
    <rfmt sheetId="2" sqref="HZ793" start="0" length="0">
      <dxf/>
    </rfmt>
    <rfmt sheetId="2" sqref="IA793" start="0" length="0">
      <dxf/>
    </rfmt>
    <rfmt sheetId="2" sqref="IB793" start="0" length="0">
      <dxf/>
    </rfmt>
    <rfmt sheetId="2" sqref="IC793" start="0" length="0">
      <dxf/>
    </rfmt>
    <rfmt sheetId="2" sqref="ID793" start="0" length="0">
      <dxf/>
    </rfmt>
    <rfmt sheetId="2" sqref="IE793" start="0" length="0">
      <dxf/>
    </rfmt>
    <rfmt sheetId="2" sqref="IF793" start="0" length="0">
      <dxf/>
    </rfmt>
    <rfmt sheetId="2" sqref="IG793" start="0" length="0">
      <dxf/>
    </rfmt>
    <rfmt sheetId="2" sqref="IH793" start="0" length="0">
      <dxf/>
    </rfmt>
    <rfmt sheetId="2" sqref="II793" start="0" length="0">
      <dxf/>
    </rfmt>
    <rfmt sheetId="2" sqref="IJ793" start="0" length="0">
      <dxf/>
    </rfmt>
    <rfmt sheetId="2" sqref="IK793" start="0" length="0">
      <dxf/>
    </rfmt>
    <rfmt sheetId="2" sqref="IL793" start="0" length="0">
      <dxf/>
    </rfmt>
    <rfmt sheetId="2" sqref="IM793" start="0" length="0">
      <dxf/>
    </rfmt>
    <rfmt sheetId="2" sqref="IN793" start="0" length="0">
      <dxf/>
    </rfmt>
    <rfmt sheetId="2" sqref="IO793" start="0" length="0">
      <dxf/>
    </rfmt>
    <rfmt sheetId="2" sqref="IP793" start="0" length="0">
      <dxf/>
    </rfmt>
    <rfmt sheetId="2" sqref="IQ793" start="0" length="0">
      <dxf/>
    </rfmt>
    <rfmt sheetId="2" sqref="IR793" start="0" length="0">
      <dxf/>
    </rfmt>
    <rfmt sheetId="2" sqref="IS793" start="0" length="0">
      <dxf/>
    </rfmt>
    <rfmt sheetId="2" sqref="IT793" start="0" length="0">
      <dxf/>
    </rfmt>
    <rfmt sheetId="2" sqref="IU793" start="0" length="0">
      <dxf/>
    </rfmt>
    <rfmt sheetId="2" sqref="IV793" start="0" length="0">
      <dxf/>
    </rfmt>
    <rfmt sheetId="2" sqref="IW793" start="0" length="0">
      <dxf/>
    </rfmt>
    <rfmt sheetId="2" sqref="IX793" start="0" length="0">
      <dxf/>
    </rfmt>
    <rfmt sheetId="2" sqref="IY793" start="0" length="0">
      <dxf/>
    </rfmt>
    <rfmt sheetId="2" sqref="IZ793" start="0" length="0">
      <dxf/>
    </rfmt>
    <rfmt sheetId="2" sqref="JA793" start="0" length="0">
      <dxf/>
    </rfmt>
    <rfmt sheetId="2" sqref="JB793" start="0" length="0">
      <dxf/>
    </rfmt>
    <rfmt sheetId="2" sqref="JC793" start="0" length="0">
      <dxf/>
    </rfmt>
    <rfmt sheetId="2" sqref="JD793" start="0" length="0">
      <dxf/>
    </rfmt>
    <rfmt sheetId="2" sqref="JE793" start="0" length="0">
      <dxf/>
    </rfmt>
    <rfmt sheetId="2" sqref="JF793" start="0" length="0">
      <dxf/>
    </rfmt>
    <rfmt sheetId="2" sqref="JG793" start="0" length="0">
      <dxf/>
    </rfmt>
    <rfmt sheetId="2" sqref="JH793" start="0" length="0">
      <dxf/>
    </rfmt>
    <rfmt sheetId="2" sqref="JI793" start="0" length="0">
      <dxf/>
    </rfmt>
    <rfmt sheetId="2" sqref="JJ793" start="0" length="0">
      <dxf/>
    </rfmt>
    <rfmt sheetId="2" sqref="JK793" start="0" length="0">
      <dxf/>
    </rfmt>
    <rfmt sheetId="2" sqref="JL793" start="0" length="0">
      <dxf/>
    </rfmt>
    <rfmt sheetId="2" sqref="JM793" start="0" length="0">
      <dxf/>
    </rfmt>
    <rfmt sheetId="2" sqref="JN793" start="0" length="0">
      <dxf/>
    </rfmt>
    <rfmt sheetId="2" sqref="JO793" start="0" length="0">
      <dxf/>
    </rfmt>
    <rfmt sheetId="2" sqref="JP793" start="0" length="0">
      <dxf/>
    </rfmt>
    <rfmt sheetId="2" sqref="JQ793" start="0" length="0">
      <dxf/>
    </rfmt>
    <rfmt sheetId="2" sqref="JR793" start="0" length="0">
      <dxf/>
    </rfmt>
    <rfmt sheetId="2" sqref="JS793" start="0" length="0">
      <dxf/>
    </rfmt>
    <rfmt sheetId="2" sqref="JT793" start="0" length="0">
      <dxf/>
    </rfmt>
    <rfmt sheetId="2" sqref="JU793" start="0" length="0">
      <dxf/>
    </rfmt>
    <rfmt sheetId="2" sqref="JV793" start="0" length="0">
      <dxf/>
    </rfmt>
    <rfmt sheetId="2" sqref="JW793" start="0" length="0">
      <dxf/>
    </rfmt>
    <rfmt sheetId="2" sqref="JX793" start="0" length="0">
      <dxf/>
    </rfmt>
    <rfmt sheetId="2" sqref="JY793" start="0" length="0">
      <dxf/>
    </rfmt>
    <rfmt sheetId="2" sqref="JZ793" start="0" length="0">
      <dxf/>
    </rfmt>
    <rfmt sheetId="2" sqref="KA793" start="0" length="0">
      <dxf/>
    </rfmt>
    <rfmt sheetId="2" sqref="KB793" start="0" length="0">
      <dxf/>
    </rfmt>
    <rfmt sheetId="2" sqref="KC793" start="0" length="0">
      <dxf/>
    </rfmt>
    <rfmt sheetId="2" sqref="KD793" start="0" length="0">
      <dxf/>
    </rfmt>
    <rfmt sheetId="2" sqref="KE793" start="0" length="0">
      <dxf/>
    </rfmt>
    <rfmt sheetId="2" sqref="KF793" start="0" length="0">
      <dxf/>
    </rfmt>
    <rfmt sheetId="2" sqref="KG793" start="0" length="0">
      <dxf/>
    </rfmt>
    <rfmt sheetId="2" sqref="KH793" start="0" length="0">
      <dxf/>
    </rfmt>
    <rfmt sheetId="2" sqref="KI793" start="0" length="0">
      <dxf/>
    </rfmt>
    <rfmt sheetId="2" sqref="KJ793" start="0" length="0">
      <dxf/>
    </rfmt>
    <rfmt sheetId="2" sqref="KK793" start="0" length="0">
      <dxf/>
    </rfmt>
    <rfmt sheetId="2" sqref="KL793" start="0" length="0">
      <dxf/>
    </rfmt>
    <rfmt sheetId="2" sqref="KM793" start="0" length="0">
      <dxf/>
    </rfmt>
    <rfmt sheetId="2" sqref="KN793" start="0" length="0">
      <dxf/>
    </rfmt>
    <rfmt sheetId="2" sqref="KO793" start="0" length="0">
      <dxf/>
    </rfmt>
    <rfmt sheetId="2" sqref="KP793" start="0" length="0">
      <dxf/>
    </rfmt>
    <rfmt sheetId="2" sqref="KQ793" start="0" length="0">
      <dxf/>
    </rfmt>
    <rfmt sheetId="2" sqref="KR793" start="0" length="0">
      <dxf/>
    </rfmt>
    <rfmt sheetId="2" sqref="KS793" start="0" length="0">
      <dxf/>
    </rfmt>
    <rfmt sheetId="2" sqref="KT793" start="0" length="0">
      <dxf/>
    </rfmt>
    <rfmt sheetId="2" sqref="KU793" start="0" length="0">
      <dxf/>
    </rfmt>
    <rfmt sheetId="2" sqref="KV793" start="0" length="0">
      <dxf/>
    </rfmt>
    <rfmt sheetId="2" sqref="KW793" start="0" length="0">
      <dxf/>
    </rfmt>
    <rfmt sheetId="2" sqref="KX793" start="0" length="0">
      <dxf/>
    </rfmt>
    <rfmt sheetId="2" sqref="KY793" start="0" length="0">
      <dxf/>
    </rfmt>
    <rfmt sheetId="2" sqref="KZ793" start="0" length="0">
      <dxf/>
    </rfmt>
    <rfmt sheetId="2" sqref="LA793" start="0" length="0">
      <dxf/>
    </rfmt>
    <rfmt sheetId="2" sqref="LB793" start="0" length="0">
      <dxf/>
    </rfmt>
    <rfmt sheetId="2" sqref="LC793" start="0" length="0">
      <dxf/>
    </rfmt>
    <rfmt sheetId="2" sqref="LD793" start="0" length="0">
      <dxf/>
    </rfmt>
    <rfmt sheetId="2" sqref="LE793" start="0" length="0">
      <dxf/>
    </rfmt>
    <rfmt sheetId="2" sqref="LF793" start="0" length="0">
      <dxf/>
    </rfmt>
    <rfmt sheetId="2" sqref="LG793" start="0" length="0">
      <dxf/>
    </rfmt>
    <rfmt sheetId="2" sqref="LH793" start="0" length="0">
      <dxf/>
    </rfmt>
    <rfmt sheetId="2" sqref="LI793" start="0" length="0">
      <dxf/>
    </rfmt>
    <rfmt sheetId="2" sqref="LJ793" start="0" length="0">
      <dxf/>
    </rfmt>
    <rfmt sheetId="2" sqref="LK793" start="0" length="0">
      <dxf/>
    </rfmt>
    <rfmt sheetId="2" sqref="LL793" start="0" length="0">
      <dxf/>
    </rfmt>
    <rfmt sheetId="2" sqref="LM793" start="0" length="0">
      <dxf/>
    </rfmt>
    <rfmt sheetId="2" sqref="LN793" start="0" length="0">
      <dxf/>
    </rfmt>
    <rfmt sheetId="2" sqref="LO793" start="0" length="0">
      <dxf/>
    </rfmt>
    <rfmt sheetId="2" sqref="LP793" start="0" length="0">
      <dxf/>
    </rfmt>
    <rfmt sheetId="2" sqref="LQ793" start="0" length="0">
      <dxf/>
    </rfmt>
    <rfmt sheetId="2" sqref="LR793" start="0" length="0">
      <dxf/>
    </rfmt>
    <rfmt sheetId="2" sqref="LS793" start="0" length="0">
      <dxf/>
    </rfmt>
    <rfmt sheetId="2" sqref="LT793" start="0" length="0">
      <dxf/>
    </rfmt>
    <rfmt sheetId="2" sqref="LU793" start="0" length="0">
      <dxf/>
    </rfmt>
    <rfmt sheetId="2" sqref="LV793" start="0" length="0">
      <dxf/>
    </rfmt>
    <rfmt sheetId="2" sqref="LW793" start="0" length="0">
      <dxf/>
    </rfmt>
    <rfmt sheetId="2" sqref="LX793" start="0" length="0">
      <dxf/>
    </rfmt>
    <rfmt sheetId="2" sqref="LY793" start="0" length="0">
      <dxf/>
    </rfmt>
    <rfmt sheetId="2" sqref="LZ793" start="0" length="0">
      <dxf/>
    </rfmt>
    <rfmt sheetId="2" sqref="MA793" start="0" length="0">
      <dxf/>
    </rfmt>
    <rfmt sheetId="2" sqref="MB793" start="0" length="0">
      <dxf/>
    </rfmt>
  </rrc>
  <rrc rId="2661" sId="2" ref="A783:XFD784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62" sheetId="2" source="A795:XFD796" destination="A783:XFD784" sourceSheetId="2">
    <rfmt sheetId="2" xfDxf="1" sqref="A783:XFD783" start="0" length="0">
      <dxf>
        <font>
          <sz val="10"/>
          <name val="Arial"/>
          <scheme val="none"/>
        </font>
        <alignment horizontal="center" readingOrder="0"/>
      </dxf>
    </rfmt>
    <rfmt sheetId="2" xfDxf="1" sqref="A784:XFD784" start="0" length="0">
      <dxf>
        <font>
          <sz val="10"/>
          <name val="Arial"/>
          <scheme val="none"/>
        </font>
        <alignment horizontal="center" readingOrder="0"/>
      </dxf>
    </rfmt>
    <rfmt sheetId="2" sqref="A78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83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8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8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8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8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83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8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8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8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83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83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83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83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83" start="0" length="0">
      <dxf>
        <numFmt numFmtId="176" formatCode="m/d;@"/>
      </dxf>
    </rfmt>
    <rfmt sheetId="2" sqref="P78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83" start="0" length="0">
      <dxf/>
    </rfmt>
    <rfmt sheetId="2" sqref="U783" start="0" length="0">
      <dxf/>
    </rfmt>
    <rfmt sheetId="2" sqref="V783" start="0" length="0">
      <dxf/>
    </rfmt>
    <rfmt sheetId="2" sqref="W783" start="0" length="0">
      <dxf/>
    </rfmt>
    <rfmt sheetId="2" sqref="X783" start="0" length="0">
      <dxf/>
    </rfmt>
    <rfmt sheetId="2" sqref="Y783" start="0" length="0">
      <dxf/>
    </rfmt>
    <rfmt sheetId="2" sqref="Z783" start="0" length="0">
      <dxf/>
    </rfmt>
    <rfmt sheetId="2" sqref="AA783" start="0" length="0">
      <dxf/>
    </rfmt>
    <rfmt sheetId="2" sqref="AB783" start="0" length="0">
      <dxf/>
    </rfmt>
    <rfmt sheetId="2" sqref="AC783" start="0" length="0">
      <dxf/>
    </rfmt>
    <rfmt sheetId="2" sqref="AD783" start="0" length="0">
      <dxf/>
    </rfmt>
    <rfmt sheetId="2" sqref="AE783" start="0" length="0">
      <dxf/>
    </rfmt>
    <rfmt sheetId="2" sqref="AF783" start="0" length="0">
      <dxf/>
    </rfmt>
    <rfmt sheetId="2" sqref="AG783" start="0" length="0">
      <dxf/>
    </rfmt>
    <rfmt sheetId="2" sqref="AH783" start="0" length="0">
      <dxf/>
    </rfmt>
    <rfmt sheetId="2" sqref="AI783" start="0" length="0">
      <dxf/>
    </rfmt>
    <rfmt sheetId="2" sqref="AJ783" start="0" length="0">
      <dxf/>
    </rfmt>
    <rfmt sheetId="2" sqref="AK783" start="0" length="0">
      <dxf/>
    </rfmt>
    <rfmt sheetId="2" sqref="AL783" start="0" length="0">
      <dxf/>
    </rfmt>
    <rfmt sheetId="2" sqref="AM783" start="0" length="0">
      <dxf/>
    </rfmt>
    <rfmt sheetId="2" sqref="AN783" start="0" length="0">
      <dxf/>
    </rfmt>
    <rfmt sheetId="2" sqref="AO783" start="0" length="0">
      <dxf/>
    </rfmt>
    <rfmt sheetId="2" sqref="AP783" start="0" length="0">
      <dxf/>
    </rfmt>
    <rfmt sheetId="2" sqref="AQ783" start="0" length="0">
      <dxf/>
    </rfmt>
    <rfmt sheetId="2" sqref="AR783" start="0" length="0">
      <dxf/>
    </rfmt>
    <rfmt sheetId="2" sqref="AS783" start="0" length="0">
      <dxf/>
    </rfmt>
    <rfmt sheetId="2" sqref="AT783" start="0" length="0">
      <dxf/>
    </rfmt>
    <rfmt sheetId="2" sqref="AU783" start="0" length="0">
      <dxf/>
    </rfmt>
    <rfmt sheetId="2" sqref="AV783" start="0" length="0">
      <dxf/>
    </rfmt>
    <rfmt sheetId="2" sqref="AW783" start="0" length="0">
      <dxf/>
    </rfmt>
    <rfmt sheetId="2" sqref="AX783" start="0" length="0">
      <dxf/>
    </rfmt>
    <rfmt sheetId="2" sqref="AY783" start="0" length="0">
      <dxf/>
    </rfmt>
    <rfmt sheetId="2" sqref="AZ783" start="0" length="0">
      <dxf/>
    </rfmt>
    <rfmt sheetId="2" sqref="BA783" start="0" length="0">
      <dxf/>
    </rfmt>
    <rfmt sheetId="2" sqref="BB783" start="0" length="0">
      <dxf/>
    </rfmt>
    <rfmt sheetId="2" sqref="BC783" start="0" length="0">
      <dxf/>
    </rfmt>
    <rfmt sheetId="2" sqref="BD783" start="0" length="0">
      <dxf/>
    </rfmt>
    <rfmt sheetId="2" sqref="BE783" start="0" length="0">
      <dxf/>
    </rfmt>
    <rfmt sheetId="2" sqref="BF783" start="0" length="0">
      <dxf/>
    </rfmt>
    <rfmt sheetId="2" sqref="BG783" start="0" length="0">
      <dxf/>
    </rfmt>
    <rfmt sheetId="2" sqref="BH783" start="0" length="0">
      <dxf/>
    </rfmt>
    <rfmt sheetId="2" sqref="BI783" start="0" length="0">
      <dxf/>
    </rfmt>
    <rfmt sheetId="2" sqref="BJ783" start="0" length="0">
      <dxf/>
    </rfmt>
    <rfmt sheetId="2" sqref="BK783" start="0" length="0">
      <dxf/>
    </rfmt>
    <rfmt sheetId="2" sqref="BL783" start="0" length="0">
      <dxf/>
    </rfmt>
    <rfmt sheetId="2" sqref="BM783" start="0" length="0">
      <dxf/>
    </rfmt>
    <rfmt sheetId="2" sqref="BN783" start="0" length="0">
      <dxf/>
    </rfmt>
    <rfmt sheetId="2" sqref="BO783" start="0" length="0">
      <dxf/>
    </rfmt>
    <rfmt sheetId="2" sqref="BP783" start="0" length="0">
      <dxf/>
    </rfmt>
    <rfmt sheetId="2" sqref="BQ783" start="0" length="0">
      <dxf/>
    </rfmt>
    <rfmt sheetId="2" sqref="BR783" start="0" length="0">
      <dxf/>
    </rfmt>
    <rfmt sheetId="2" sqref="BS783" start="0" length="0">
      <dxf/>
    </rfmt>
    <rfmt sheetId="2" sqref="BT783" start="0" length="0">
      <dxf/>
    </rfmt>
    <rfmt sheetId="2" sqref="BU783" start="0" length="0">
      <dxf/>
    </rfmt>
    <rfmt sheetId="2" sqref="BV783" start="0" length="0">
      <dxf/>
    </rfmt>
    <rfmt sheetId="2" sqref="BW783" start="0" length="0">
      <dxf/>
    </rfmt>
    <rfmt sheetId="2" sqref="BX783" start="0" length="0">
      <dxf/>
    </rfmt>
    <rfmt sheetId="2" sqref="BY783" start="0" length="0">
      <dxf/>
    </rfmt>
    <rfmt sheetId="2" sqref="BZ783" start="0" length="0">
      <dxf/>
    </rfmt>
    <rfmt sheetId="2" sqref="CA783" start="0" length="0">
      <dxf/>
    </rfmt>
    <rfmt sheetId="2" sqref="CB783" start="0" length="0">
      <dxf/>
    </rfmt>
    <rfmt sheetId="2" sqref="CC783" start="0" length="0">
      <dxf/>
    </rfmt>
    <rfmt sheetId="2" sqref="CD783" start="0" length="0">
      <dxf/>
    </rfmt>
    <rfmt sheetId="2" sqref="CE783" start="0" length="0">
      <dxf/>
    </rfmt>
    <rfmt sheetId="2" sqref="CF783" start="0" length="0">
      <dxf/>
    </rfmt>
    <rfmt sheetId="2" sqref="CG783" start="0" length="0">
      <dxf/>
    </rfmt>
    <rfmt sheetId="2" sqref="CH783" start="0" length="0">
      <dxf/>
    </rfmt>
    <rfmt sheetId="2" sqref="CI783" start="0" length="0">
      <dxf/>
    </rfmt>
    <rfmt sheetId="2" sqref="CJ783" start="0" length="0">
      <dxf/>
    </rfmt>
    <rfmt sheetId="2" sqref="CK783" start="0" length="0">
      <dxf/>
    </rfmt>
    <rfmt sheetId="2" sqref="CL783" start="0" length="0">
      <dxf/>
    </rfmt>
    <rfmt sheetId="2" sqref="CM783" start="0" length="0">
      <dxf/>
    </rfmt>
    <rfmt sheetId="2" sqref="CN783" start="0" length="0">
      <dxf/>
    </rfmt>
    <rfmt sheetId="2" sqref="CO783" start="0" length="0">
      <dxf/>
    </rfmt>
    <rfmt sheetId="2" sqref="CP783" start="0" length="0">
      <dxf/>
    </rfmt>
    <rfmt sheetId="2" sqref="CQ783" start="0" length="0">
      <dxf/>
    </rfmt>
    <rfmt sheetId="2" sqref="CR783" start="0" length="0">
      <dxf/>
    </rfmt>
    <rfmt sheetId="2" sqref="CS783" start="0" length="0">
      <dxf/>
    </rfmt>
    <rfmt sheetId="2" sqref="CT783" start="0" length="0">
      <dxf/>
    </rfmt>
    <rfmt sheetId="2" sqref="CU783" start="0" length="0">
      <dxf/>
    </rfmt>
    <rfmt sheetId="2" sqref="CV783" start="0" length="0">
      <dxf/>
    </rfmt>
    <rfmt sheetId="2" sqref="CW783" start="0" length="0">
      <dxf/>
    </rfmt>
    <rfmt sheetId="2" sqref="CX783" start="0" length="0">
      <dxf/>
    </rfmt>
    <rfmt sheetId="2" sqref="CY783" start="0" length="0">
      <dxf/>
    </rfmt>
    <rfmt sheetId="2" sqref="CZ783" start="0" length="0">
      <dxf/>
    </rfmt>
    <rfmt sheetId="2" sqref="DA783" start="0" length="0">
      <dxf/>
    </rfmt>
    <rfmt sheetId="2" sqref="DB783" start="0" length="0">
      <dxf/>
    </rfmt>
    <rfmt sheetId="2" sqref="DC783" start="0" length="0">
      <dxf/>
    </rfmt>
    <rfmt sheetId="2" sqref="DD783" start="0" length="0">
      <dxf/>
    </rfmt>
    <rfmt sheetId="2" sqref="DE783" start="0" length="0">
      <dxf/>
    </rfmt>
    <rfmt sheetId="2" sqref="DF783" start="0" length="0">
      <dxf/>
    </rfmt>
    <rfmt sheetId="2" sqref="DG783" start="0" length="0">
      <dxf/>
    </rfmt>
    <rfmt sheetId="2" sqref="DH783" start="0" length="0">
      <dxf/>
    </rfmt>
    <rfmt sheetId="2" sqref="DI783" start="0" length="0">
      <dxf/>
    </rfmt>
    <rfmt sheetId="2" sqref="DJ783" start="0" length="0">
      <dxf/>
    </rfmt>
    <rfmt sheetId="2" sqref="DK783" start="0" length="0">
      <dxf/>
    </rfmt>
    <rfmt sheetId="2" sqref="DL783" start="0" length="0">
      <dxf/>
    </rfmt>
    <rfmt sheetId="2" sqref="DM783" start="0" length="0">
      <dxf/>
    </rfmt>
    <rfmt sheetId="2" sqref="DN783" start="0" length="0">
      <dxf/>
    </rfmt>
    <rfmt sheetId="2" sqref="DO783" start="0" length="0">
      <dxf/>
    </rfmt>
    <rfmt sheetId="2" sqref="DP783" start="0" length="0">
      <dxf/>
    </rfmt>
    <rfmt sheetId="2" sqref="DQ783" start="0" length="0">
      <dxf/>
    </rfmt>
    <rfmt sheetId="2" sqref="DR783" start="0" length="0">
      <dxf/>
    </rfmt>
    <rfmt sheetId="2" sqref="DS783" start="0" length="0">
      <dxf/>
    </rfmt>
    <rfmt sheetId="2" sqref="DT783" start="0" length="0">
      <dxf/>
    </rfmt>
    <rfmt sheetId="2" sqref="DU783" start="0" length="0">
      <dxf/>
    </rfmt>
    <rfmt sheetId="2" sqref="DV783" start="0" length="0">
      <dxf/>
    </rfmt>
    <rfmt sheetId="2" sqref="DW783" start="0" length="0">
      <dxf/>
    </rfmt>
    <rfmt sheetId="2" sqref="DX783" start="0" length="0">
      <dxf/>
    </rfmt>
    <rfmt sheetId="2" sqref="DY783" start="0" length="0">
      <dxf/>
    </rfmt>
    <rfmt sheetId="2" sqref="DZ783" start="0" length="0">
      <dxf/>
    </rfmt>
    <rfmt sheetId="2" sqref="EA783" start="0" length="0">
      <dxf/>
    </rfmt>
    <rfmt sheetId="2" sqref="EB783" start="0" length="0">
      <dxf/>
    </rfmt>
    <rfmt sheetId="2" sqref="EC783" start="0" length="0">
      <dxf/>
    </rfmt>
    <rfmt sheetId="2" sqref="ED783" start="0" length="0">
      <dxf/>
    </rfmt>
    <rfmt sheetId="2" sqref="EE783" start="0" length="0">
      <dxf/>
    </rfmt>
    <rfmt sheetId="2" sqref="EF783" start="0" length="0">
      <dxf/>
    </rfmt>
    <rfmt sheetId="2" sqref="EG783" start="0" length="0">
      <dxf/>
    </rfmt>
    <rfmt sheetId="2" sqref="EH783" start="0" length="0">
      <dxf/>
    </rfmt>
    <rfmt sheetId="2" sqref="EI783" start="0" length="0">
      <dxf/>
    </rfmt>
    <rfmt sheetId="2" sqref="EJ783" start="0" length="0">
      <dxf/>
    </rfmt>
    <rfmt sheetId="2" sqref="EK783" start="0" length="0">
      <dxf/>
    </rfmt>
    <rfmt sheetId="2" sqref="EL783" start="0" length="0">
      <dxf/>
    </rfmt>
    <rfmt sheetId="2" sqref="EM783" start="0" length="0">
      <dxf/>
    </rfmt>
    <rfmt sheetId="2" sqref="EN783" start="0" length="0">
      <dxf/>
    </rfmt>
    <rfmt sheetId="2" sqref="EO783" start="0" length="0">
      <dxf/>
    </rfmt>
    <rfmt sheetId="2" sqref="EP783" start="0" length="0">
      <dxf/>
    </rfmt>
    <rfmt sheetId="2" sqref="EQ783" start="0" length="0">
      <dxf/>
    </rfmt>
    <rfmt sheetId="2" sqref="ER783" start="0" length="0">
      <dxf/>
    </rfmt>
    <rfmt sheetId="2" sqref="ES783" start="0" length="0">
      <dxf/>
    </rfmt>
    <rfmt sheetId="2" sqref="ET783" start="0" length="0">
      <dxf/>
    </rfmt>
    <rfmt sheetId="2" sqref="EU783" start="0" length="0">
      <dxf/>
    </rfmt>
    <rfmt sheetId="2" sqref="EV783" start="0" length="0">
      <dxf/>
    </rfmt>
    <rfmt sheetId="2" sqref="EW783" start="0" length="0">
      <dxf/>
    </rfmt>
    <rfmt sheetId="2" sqref="EX783" start="0" length="0">
      <dxf/>
    </rfmt>
    <rfmt sheetId="2" sqref="EY783" start="0" length="0">
      <dxf/>
    </rfmt>
    <rfmt sheetId="2" sqref="EZ783" start="0" length="0">
      <dxf/>
    </rfmt>
    <rfmt sheetId="2" sqref="FA783" start="0" length="0">
      <dxf/>
    </rfmt>
    <rfmt sheetId="2" sqref="FB783" start="0" length="0">
      <dxf/>
    </rfmt>
    <rfmt sheetId="2" sqref="FC783" start="0" length="0">
      <dxf/>
    </rfmt>
    <rfmt sheetId="2" sqref="FD783" start="0" length="0">
      <dxf/>
    </rfmt>
    <rfmt sheetId="2" sqref="FE783" start="0" length="0">
      <dxf/>
    </rfmt>
    <rfmt sheetId="2" sqref="FF783" start="0" length="0">
      <dxf/>
    </rfmt>
    <rfmt sheetId="2" sqref="FG783" start="0" length="0">
      <dxf/>
    </rfmt>
    <rfmt sheetId="2" sqref="FH783" start="0" length="0">
      <dxf/>
    </rfmt>
    <rfmt sheetId="2" sqref="FI783" start="0" length="0">
      <dxf/>
    </rfmt>
    <rfmt sheetId="2" sqref="FJ783" start="0" length="0">
      <dxf/>
    </rfmt>
    <rfmt sheetId="2" sqref="FK783" start="0" length="0">
      <dxf/>
    </rfmt>
    <rfmt sheetId="2" sqref="FL783" start="0" length="0">
      <dxf/>
    </rfmt>
    <rfmt sheetId="2" sqref="FM783" start="0" length="0">
      <dxf/>
    </rfmt>
    <rfmt sheetId="2" sqref="FN783" start="0" length="0">
      <dxf/>
    </rfmt>
    <rfmt sheetId="2" sqref="FO783" start="0" length="0">
      <dxf/>
    </rfmt>
    <rfmt sheetId="2" sqref="FP783" start="0" length="0">
      <dxf/>
    </rfmt>
    <rfmt sheetId="2" sqref="FQ783" start="0" length="0">
      <dxf/>
    </rfmt>
    <rfmt sheetId="2" sqref="FR783" start="0" length="0">
      <dxf/>
    </rfmt>
    <rfmt sheetId="2" sqref="FS783" start="0" length="0">
      <dxf/>
    </rfmt>
    <rfmt sheetId="2" sqref="FT783" start="0" length="0">
      <dxf/>
    </rfmt>
    <rfmt sheetId="2" sqref="FU783" start="0" length="0">
      <dxf/>
    </rfmt>
    <rfmt sheetId="2" sqref="FV783" start="0" length="0">
      <dxf/>
    </rfmt>
    <rfmt sheetId="2" sqref="FW783" start="0" length="0">
      <dxf/>
    </rfmt>
    <rfmt sheetId="2" sqref="FX783" start="0" length="0">
      <dxf/>
    </rfmt>
    <rfmt sheetId="2" sqref="FY783" start="0" length="0">
      <dxf/>
    </rfmt>
    <rfmt sheetId="2" sqref="FZ783" start="0" length="0">
      <dxf/>
    </rfmt>
    <rfmt sheetId="2" sqref="GA783" start="0" length="0">
      <dxf/>
    </rfmt>
    <rfmt sheetId="2" sqref="GB783" start="0" length="0">
      <dxf/>
    </rfmt>
    <rfmt sheetId="2" sqref="GC783" start="0" length="0">
      <dxf/>
    </rfmt>
    <rfmt sheetId="2" sqref="GD783" start="0" length="0">
      <dxf/>
    </rfmt>
    <rfmt sheetId="2" sqref="GE783" start="0" length="0">
      <dxf/>
    </rfmt>
    <rfmt sheetId="2" sqref="GF783" start="0" length="0">
      <dxf/>
    </rfmt>
    <rfmt sheetId="2" sqref="GG783" start="0" length="0">
      <dxf/>
    </rfmt>
    <rfmt sheetId="2" sqref="GH783" start="0" length="0">
      <dxf/>
    </rfmt>
    <rfmt sheetId="2" sqref="GI783" start="0" length="0">
      <dxf/>
    </rfmt>
    <rfmt sheetId="2" sqref="GJ783" start="0" length="0">
      <dxf/>
    </rfmt>
    <rfmt sheetId="2" sqref="GK783" start="0" length="0">
      <dxf/>
    </rfmt>
    <rfmt sheetId="2" sqref="GL783" start="0" length="0">
      <dxf/>
    </rfmt>
    <rfmt sheetId="2" sqref="GM783" start="0" length="0">
      <dxf/>
    </rfmt>
    <rfmt sheetId="2" sqref="GN783" start="0" length="0">
      <dxf/>
    </rfmt>
    <rfmt sheetId="2" sqref="GO783" start="0" length="0">
      <dxf/>
    </rfmt>
    <rfmt sheetId="2" sqref="GP783" start="0" length="0">
      <dxf/>
    </rfmt>
    <rfmt sheetId="2" sqref="GQ783" start="0" length="0">
      <dxf/>
    </rfmt>
    <rfmt sheetId="2" sqref="GR783" start="0" length="0">
      <dxf/>
    </rfmt>
    <rfmt sheetId="2" sqref="GS783" start="0" length="0">
      <dxf/>
    </rfmt>
    <rfmt sheetId="2" sqref="GT783" start="0" length="0">
      <dxf/>
    </rfmt>
    <rfmt sheetId="2" sqref="GU783" start="0" length="0">
      <dxf/>
    </rfmt>
    <rfmt sheetId="2" sqref="GV783" start="0" length="0">
      <dxf/>
    </rfmt>
    <rfmt sheetId="2" sqref="GW783" start="0" length="0">
      <dxf/>
    </rfmt>
    <rfmt sheetId="2" sqref="GX783" start="0" length="0">
      <dxf/>
    </rfmt>
    <rfmt sheetId="2" sqref="GY783" start="0" length="0">
      <dxf/>
    </rfmt>
    <rfmt sheetId="2" sqref="GZ783" start="0" length="0">
      <dxf/>
    </rfmt>
    <rfmt sheetId="2" sqref="HA783" start="0" length="0">
      <dxf/>
    </rfmt>
    <rfmt sheetId="2" sqref="HB783" start="0" length="0">
      <dxf/>
    </rfmt>
    <rfmt sheetId="2" sqref="HC783" start="0" length="0">
      <dxf/>
    </rfmt>
    <rfmt sheetId="2" sqref="HD783" start="0" length="0">
      <dxf/>
    </rfmt>
    <rfmt sheetId="2" sqref="HE783" start="0" length="0">
      <dxf/>
    </rfmt>
    <rfmt sheetId="2" sqref="HF783" start="0" length="0">
      <dxf/>
    </rfmt>
    <rfmt sheetId="2" sqref="HG783" start="0" length="0">
      <dxf/>
    </rfmt>
    <rfmt sheetId="2" sqref="HH783" start="0" length="0">
      <dxf/>
    </rfmt>
    <rfmt sheetId="2" sqref="HI783" start="0" length="0">
      <dxf/>
    </rfmt>
    <rfmt sheetId="2" sqref="HJ783" start="0" length="0">
      <dxf/>
    </rfmt>
    <rfmt sheetId="2" sqref="HK783" start="0" length="0">
      <dxf/>
    </rfmt>
    <rfmt sheetId="2" sqref="HL783" start="0" length="0">
      <dxf/>
    </rfmt>
    <rfmt sheetId="2" sqref="HM783" start="0" length="0">
      <dxf/>
    </rfmt>
    <rfmt sheetId="2" sqref="HN783" start="0" length="0">
      <dxf/>
    </rfmt>
    <rfmt sheetId="2" sqref="HO783" start="0" length="0">
      <dxf/>
    </rfmt>
    <rfmt sheetId="2" sqref="HP783" start="0" length="0">
      <dxf/>
    </rfmt>
    <rfmt sheetId="2" sqref="HQ783" start="0" length="0">
      <dxf/>
    </rfmt>
    <rfmt sheetId="2" sqref="HR783" start="0" length="0">
      <dxf/>
    </rfmt>
    <rfmt sheetId="2" sqref="HS783" start="0" length="0">
      <dxf/>
    </rfmt>
    <rfmt sheetId="2" sqref="HT783" start="0" length="0">
      <dxf/>
    </rfmt>
    <rfmt sheetId="2" sqref="HU783" start="0" length="0">
      <dxf/>
    </rfmt>
    <rfmt sheetId="2" sqref="HV783" start="0" length="0">
      <dxf/>
    </rfmt>
    <rfmt sheetId="2" sqref="HW783" start="0" length="0">
      <dxf/>
    </rfmt>
    <rfmt sheetId="2" sqref="HX783" start="0" length="0">
      <dxf/>
    </rfmt>
    <rfmt sheetId="2" sqref="HY783" start="0" length="0">
      <dxf/>
    </rfmt>
    <rfmt sheetId="2" sqref="HZ783" start="0" length="0">
      <dxf/>
    </rfmt>
    <rfmt sheetId="2" sqref="IA783" start="0" length="0">
      <dxf/>
    </rfmt>
    <rfmt sheetId="2" sqref="IB783" start="0" length="0">
      <dxf/>
    </rfmt>
    <rfmt sheetId="2" sqref="IC783" start="0" length="0">
      <dxf/>
    </rfmt>
    <rfmt sheetId="2" sqref="ID783" start="0" length="0">
      <dxf/>
    </rfmt>
    <rfmt sheetId="2" sqref="IE783" start="0" length="0">
      <dxf/>
    </rfmt>
    <rfmt sheetId="2" sqref="IF783" start="0" length="0">
      <dxf/>
    </rfmt>
    <rfmt sheetId="2" sqref="IG783" start="0" length="0">
      <dxf/>
    </rfmt>
    <rfmt sheetId="2" sqref="IH783" start="0" length="0">
      <dxf/>
    </rfmt>
    <rfmt sheetId="2" sqref="II783" start="0" length="0">
      <dxf/>
    </rfmt>
    <rfmt sheetId="2" sqref="IJ783" start="0" length="0">
      <dxf/>
    </rfmt>
    <rfmt sheetId="2" sqref="IK783" start="0" length="0">
      <dxf/>
    </rfmt>
    <rfmt sheetId="2" sqref="IL783" start="0" length="0">
      <dxf/>
    </rfmt>
    <rfmt sheetId="2" sqref="IM783" start="0" length="0">
      <dxf/>
    </rfmt>
    <rfmt sheetId="2" sqref="IN783" start="0" length="0">
      <dxf/>
    </rfmt>
    <rfmt sheetId="2" sqref="IO783" start="0" length="0">
      <dxf/>
    </rfmt>
    <rfmt sheetId="2" sqref="IP783" start="0" length="0">
      <dxf/>
    </rfmt>
    <rfmt sheetId="2" sqref="IQ783" start="0" length="0">
      <dxf/>
    </rfmt>
    <rfmt sheetId="2" sqref="IR783" start="0" length="0">
      <dxf/>
    </rfmt>
    <rfmt sheetId="2" sqref="IS783" start="0" length="0">
      <dxf/>
    </rfmt>
    <rfmt sheetId="2" sqref="IT783" start="0" length="0">
      <dxf/>
    </rfmt>
    <rfmt sheetId="2" sqref="IU783" start="0" length="0">
      <dxf/>
    </rfmt>
    <rfmt sheetId="2" sqref="IV783" start="0" length="0">
      <dxf/>
    </rfmt>
    <rfmt sheetId="2" sqref="IW783" start="0" length="0">
      <dxf/>
    </rfmt>
    <rfmt sheetId="2" sqref="IX783" start="0" length="0">
      <dxf/>
    </rfmt>
    <rfmt sheetId="2" sqref="IY783" start="0" length="0">
      <dxf/>
    </rfmt>
    <rfmt sheetId="2" sqref="IZ783" start="0" length="0">
      <dxf/>
    </rfmt>
    <rfmt sheetId="2" sqref="JA783" start="0" length="0">
      <dxf/>
    </rfmt>
    <rfmt sheetId="2" sqref="JB783" start="0" length="0">
      <dxf/>
    </rfmt>
    <rfmt sheetId="2" sqref="JC783" start="0" length="0">
      <dxf/>
    </rfmt>
    <rfmt sheetId="2" sqref="JD783" start="0" length="0">
      <dxf/>
    </rfmt>
    <rfmt sheetId="2" sqref="JE783" start="0" length="0">
      <dxf/>
    </rfmt>
    <rfmt sheetId="2" sqref="JF783" start="0" length="0">
      <dxf/>
    </rfmt>
    <rfmt sheetId="2" sqref="JG783" start="0" length="0">
      <dxf/>
    </rfmt>
    <rfmt sheetId="2" sqref="JH783" start="0" length="0">
      <dxf/>
    </rfmt>
    <rfmt sheetId="2" sqref="JI783" start="0" length="0">
      <dxf/>
    </rfmt>
    <rfmt sheetId="2" sqref="JJ783" start="0" length="0">
      <dxf/>
    </rfmt>
    <rfmt sheetId="2" sqref="JK783" start="0" length="0">
      <dxf/>
    </rfmt>
    <rfmt sheetId="2" sqref="JL783" start="0" length="0">
      <dxf/>
    </rfmt>
    <rfmt sheetId="2" sqref="JM783" start="0" length="0">
      <dxf/>
    </rfmt>
    <rfmt sheetId="2" sqref="JN783" start="0" length="0">
      <dxf/>
    </rfmt>
    <rfmt sheetId="2" sqref="JO783" start="0" length="0">
      <dxf/>
    </rfmt>
    <rfmt sheetId="2" sqref="JP783" start="0" length="0">
      <dxf/>
    </rfmt>
    <rfmt sheetId="2" sqref="JQ783" start="0" length="0">
      <dxf/>
    </rfmt>
    <rfmt sheetId="2" sqref="JR783" start="0" length="0">
      <dxf/>
    </rfmt>
    <rfmt sheetId="2" sqref="JS783" start="0" length="0">
      <dxf/>
    </rfmt>
    <rfmt sheetId="2" sqref="JT783" start="0" length="0">
      <dxf/>
    </rfmt>
    <rfmt sheetId="2" sqref="JU783" start="0" length="0">
      <dxf/>
    </rfmt>
    <rfmt sheetId="2" sqref="JV783" start="0" length="0">
      <dxf/>
    </rfmt>
    <rfmt sheetId="2" sqref="JW783" start="0" length="0">
      <dxf/>
    </rfmt>
    <rfmt sheetId="2" sqref="JX783" start="0" length="0">
      <dxf/>
    </rfmt>
    <rfmt sheetId="2" sqref="JY783" start="0" length="0">
      <dxf/>
    </rfmt>
    <rfmt sheetId="2" sqref="JZ783" start="0" length="0">
      <dxf/>
    </rfmt>
    <rfmt sheetId="2" sqref="KA783" start="0" length="0">
      <dxf/>
    </rfmt>
    <rfmt sheetId="2" sqref="KB783" start="0" length="0">
      <dxf/>
    </rfmt>
    <rfmt sheetId="2" sqref="KC783" start="0" length="0">
      <dxf/>
    </rfmt>
    <rfmt sheetId="2" sqref="KD783" start="0" length="0">
      <dxf/>
    </rfmt>
    <rfmt sheetId="2" sqref="KE783" start="0" length="0">
      <dxf/>
    </rfmt>
    <rfmt sheetId="2" sqref="KF783" start="0" length="0">
      <dxf/>
    </rfmt>
    <rfmt sheetId="2" sqref="KG783" start="0" length="0">
      <dxf/>
    </rfmt>
    <rfmt sheetId="2" sqref="KH783" start="0" length="0">
      <dxf/>
    </rfmt>
    <rfmt sheetId="2" sqref="KI783" start="0" length="0">
      <dxf/>
    </rfmt>
    <rfmt sheetId="2" sqref="KJ783" start="0" length="0">
      <dxf/>
    </rfmt>
    <rfmt sheetId="2" sqref="KK783" start="0" length="0">
      <dxf/>
    </rfmt>
    <rfmt sheetId="2" sqref="KL783" start="0" length="0">
      <dxf/>
    </rfmt>
    <rfmt sheetId="2" sqref="KM783" start="0" length="0">
      <dxf/>
    </rfmt>
    <rfmt sheetId="2" sqref="KN783" start="0" length="0">
      <dxf/>
    </rfmt>
    <rfmt sheetId="2" sqref="KO783" start="0" length="0">
      <dxf/>
    </rfmt>
    <rfmt sheetId="2" sqref="KP783" start="0" length="0">
      <dxf/>
    </rfmt>
    <rfmt sheetId="2" sqref="KQ783" start="0" length="0">
      <dxf/>
    </rfmt>
    <rfmt sheetId="2" sqref="KR783" start="0" length="0">
      <dxf/>
    </rfmt>
    <rfmt sheetId="2" sqref="KS783" start="0" length="0">
      <dxf/>
    </rfmt>
    <rfmt sheetId="2" sqref="KT783" start="0" length="0">
      <dxf/>
    </rfmt>
    <rfmt sheetId="2" sqref="KU783" start="0" length="0">
      <dxf/>
    </rfmt>
    <rfmt sheetId="2" sqref="KV783" start="0" length="0">
      <dxf/>
    </rfmt>
    <rfmt sheetId="2" sqref="KW783" start="0" length="0">
      <dxf/>
    </rfmt>
    <rfmt sheetId="2" sqref="KX783" start="0" length="0">
      <dxf/>
    </rfmt>
    <rfmt sheetId="2" sqref="KY783" start="0" length="0">
      <dxf/>
    </rfmt>
    <rfmt sheetId="2" sqref="KZ783" start="0" length="0">
      <dxf/>
    </rfmt>
    <rfmt sheetId="2" sqref="LA783" start="0" length="0">
      <dxf/>
    </rfmt>
    <rfmt sheetId="2" sqref="LB783" start="0" length="0">
      <dxf/>
    </rfmt>
    <rfmt sheetId="2" sqref="LC783" start="0" length="0">
      <dxf/>
    </rfmt>
    <rfmt sheetId="2" sqref="LD783" start="0" length="0">
      <dxf/>
    </rfmt>
    <rfmt sheetId="2" sqref="LE783" start="0" length="0">
      <dxf/>
    </rfmt>
    <rfmt sheetId="2" sqref="LF783" start="0" length="0">
      <dxf/>
    </rfmt>
    <rfmt sheetId="2" sqref="LG783" start="0" length="0">
      <dxf/>
    </rfmt>
    <rfmt sheetId="2" sqref="LH783" start="0" length="0">
      <dxf/>
    </rfmt>
    <rfmt sheetId="2" sqref="LI783" start="0" length="0">
      <dxf/>
    </rfmt>
    <rfmt sheetId="2" sqref="LJ783" start="0" length="0">
      <dxf/>
    </rfmt>
    <rfmt sheetId="2" sqref="LK783" start="0" length="0">
      <dxf/>
    </rfmt>
    <rfmt sheetId="2" sqref="LL783" start="0" length="0">
      <dxf/>
    </rfmt>
    <rfmt sheetId="2" sqref="LM783" start="0" length="0">
      <dxf/>
    </rfmt>
    <rfmt sheetId="2" sqref="LN783" start="0" length="0">
      <dxf/>
    </rfmt>
    <rfmt sheetId="2" sqref="LO783" start="0" length="0">
      <dxf/>
    </rfmt>
    <rfmt sheetId="2" sqref="LP783" start="0" length="0">
      <dxf/>
    </rfmt>
    <rfmt sheetId="2" sqref="LQ783" start="0" length="0">
      <dxf/>
    </rfmt>
    <rfmt sheetId="2" sqref="LR783" start="0" length="0">
      <dxf/>
    </rfmt>
    <rfmt sheetId="2" sqref="LS783" start="0" length="0">
      <dxf/>
    </rfmt>
    <rfmt sheetId="2" sqref="LT783" start="0" length="0">
      <dxf/>
    </rfmt>
    <rfmt sheetId="2" sqref="LU783" start="0" length="0">
      <dxf/>
    </rfmt>
    <rfmt sheetId="2" sqref="LV783" start="0" length="0">
      <dxf/>
    </rfmt>
    <rfmt sheetId="2" sqref="LW783" start="0" length="0">
      <dxf/>
    </rfmt>
    <rfmt sheetId="2" sqref="LX783" start="0" length="0">
      <dxf/>
    </rfmt>
    <rfmt sheetId="2" sqref="LY783" start="0" length="0">
      <dxf/>
    </rfmt>
    <rfmt sheetId="2" sqref="LZ783" start="0" length="0">
      <dxf/>
    </rfmt>
    <rfmt sheetId="2" sqref="MA783" start="0" length="0">
      <dxf/>
    </rfmt>
    <rfmt sheetId="2" sqref="MB783" start="0" length="0">
      <dxf/>
    </rfmt>
    <rfmt sheetId="2" sqref="A784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84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8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8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8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8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84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8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8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8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8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84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8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84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84" start="0" length="0">
      <dxf>
        <numFmt numFmtId="176" formatCode="m/d;@"/>
      </dxf>
    </rfmt>
    <rfmt sheetId="2" sqref="P784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84" start="0" length="0">
      <dxf/>
    </rfmt>
    <rfmt sheetId="2" sqref="U784" start="0" length="0">
      <dxf/>
    </rfmt>
    <rfmt sheetId="2" sqref="V784" start="0" length="0">
      <dxf/>
    </rfmt>
    <rfmt sheetId="2" sqref="W784" start="0" length="0">
      <dxf/>
    </rfmt>
    <rfmt sheetId="2" sqref="X784" start="0" length="0">
      <dxf/>
    </rfmt>
    <rfmt sheetId="2" sqref="Y784" start="0" length="0">
      <dxf/>
    </rfmt>
    <rfmt sheetId="2" sqref="Z784" start="0" length="0">
      <dxf/>
    </rfmt>
    <rfmt sheetId="2" sqref="AA784" start="0" length="0">
      <dxf/>
    </rfmt>
    <rfmt sheetId="2" sqref="AB784" start="0" length="0">
      <dxf/>
    </rfmt>
    <rfmt sheetId="2" sqref="AC784" start="0" length="0">
      <dxf/>
    </rfmt>
    <rfmt sheetId="2" sqref="AD784" start="0" length="0">
      <dxf/>
    </rfmt>
    <rfmt sheetId="2" sqref="AE784" start="0" length="0">
      <dxf/>
    </rfmt>
    <rfmt sheetId="2" sqref="AF784" start="0" length="0">
      <dxf/>
    </rfmt>
    <rfmt sheetId="2" sqref="AG784" start="0" length="0">
      <dxf/>
    </rfmt>
    <rfmt sheetId="2" sqref="AH784" start="0" length="0">
      <dxf/>
    </rfmt>
    <rfmt sheetId="2" sqref="AI784" start="0" length="0">
      <dxf/>
    </rfmt>
    <rfmt sheetId="2" sqref="AJ784" start="0" length="0">
      <dxf/>
    </rfmt>
    <rfmt sheetId="2" sqref="AK784" start="0" length="0">
      <dxf/>
    </rfmt>
    <rfmt sheetId="2" sqref="AL784" start="0" length="0">
      <dxf/>
    </rfmt>
    <rfmt sheetId="2" sqref="AM784" start="0" length="0">
      <dxf/>
    </rfmt>
    <rfmt sheetId="2" sqref="AN784" start="0" length="0">
      <dxf/>
    </rfmt>
    <rfmt sheetId="2" sqref="AO784" start="0" length="0">
      <dxf/>
    </rfmt>
    <rfmt sheetId="2" sqref="AP784" start="0" length="0">
      <dxf/>
    </rfmt>
    <rfmt sheetId="2" sqref="AQ784" start="0" length="0">
      <dxf/>
    </rfmt>
    <rfmt sheetId="2" sqref="AR784" start="0" length="0">
      <dxf/>
    </rfmt>
    <rfmt sheetId="2" sqref="AS784" start="0" length="0">
      <dxf/>
    </rfmt>
    <rfmt sheetId="2" sqref="AT784" start="0" length="0">
      <dxf/>
    </rfmt>
    <rfmt sheetId="2" sqref="AU784" start="0" length="0">
      <dxf/>
    </rfmt>
    <rfmt sheetId="2" sqref="AV784" start="0" length="0">
      <dxf/>
    </rfmt>
    <rfmt sheetId="2" sqref="AW784" start="0" length="0">
      <dxf/>
    </rfmt>
    <rfmt sheetId="2" sqref="AX784" start="0" length="0">
      <dxf/>
    </rfmt>
    <rfmt sheetId="2" sqref="AY784" start="0" length="0">
      <dxf/>
    </rfmt>
    <rfmt sheetId="2" sqref="AZ784" start="0" length="0">
      <dxf/>
    </rfmt>
    <rfmt sheetId="2" sqref="BA784" start="0" length="0">
      <dxf/>
    </rfmt>
    <rfmt sheetId="2" sqref="BB784" start="0" length="0">
      <dxf/>
    </rfmt>
    <rfmt sheetId="2" sqref="BC784" start="0" length="0">
      <dxf/>
    </rfmt>
    <rfmt sheetId="2" sqref="BD784" start="0" length="0">
      <dxf/>
    </rfmt>
    <rfmt sheetId="2" sqref="BE784" start="0" length="0">
      <dxf/>
    </rfmt>
    <rfmt sheetId="2" sqref="BF784" start="0" length="0">
      <dxf/>
    </rfmt>
    <rfmt sheetId="2" sqref="BG784" start="0" length="0">
      <dxf/>
    </rfmt>
    <rfmt sheetId="2" sqref="BH784" start="0" length="0">
      <dxf/>
    </rfmt>
    <rfmt sheetId="2" sqref="BI784" start="0" length="0">
      <dxf/>
    </rfmt>
    <rfmt sheetId="2" sqref="BJ784" start="0" length="0">
      <dxf/>
    </rfmt>
    <rfmt sheetId="2" sqref="BK784" start="0" length="0">
      <dxf/>
    </rfmt>
    <rfmt sheetId="2" sqref="BL784" start="0" length="0">
      <dxf/>
    </rfmt>
    <rfmt sheetId="2" sqref="BM784" start="0" length="0">
      <dxf/>
    </rfmt>
    <rfmt sheetId="2" sqref="BN784" start="0" length="0">
      <dxf/>
    </rfmt>
    <rfmt sheetId="2" sqref="BO784" start="0" length="0">
      <dxf/>
    </rfmt>
    <rfmt sheetId="2" sqref="BP784" start="0" length="0">
      <dxf/>
    </rfmt>
    <rfmt sheetId="2" sqref="BQ784" start="0" length="0">
      <dxf/>
    </rfmt>
    <rfmt sheetId="2" sqref="BR784" start="0" length="0">
      <dxf/>
    </rfmt>
    <rfmt sheetId="2" sqref="BS784" start="0" length="0">
      <dxf/>
    </rfmt>
    <rfmt sheetId="2" sqref="BT784" start="0" length="0">
      <dxf/>
    </rfmt>
    <rfmt sheetId="2" sqref="BU784" start="0" length="0">
      <dxf/>
    </rfmt>
    <rfmt sheetId="2" sqref="BV784" start="0" length="0">
      <dxf/>
    </rfmt>
    <rfmt sheetId="2" sqref="BW784" start="0" length="0">
      <dxf/>
    </rfmt>
    <rfmt sheetId="2" sqref="BX784" start="0" length="0">
      <dxf/>
    </rfmt>
    <rfmt sheetId="2" sqref="BY784" start="0" length="0">
      <dxf/>
    </rfmt>
    <rfmt sheetId="2" sqref="BZ784" start="0" length="0">
      <dxf/>
    </rfmt>
    <rfmt sheetId="2" sqref="CA784" start="0" length="0">
      <dxf/>
    </rfmt>
    <rfmt sheetId="2" sqref="CB784" start="0" length="0">
      <dxf/>
    </rfmt>
    <rfmt sheetId="2" sqref="CC784" start="0" length="0">
      <dxf/>
    </rfmt>
    <rfmt sheetId="2" sqref="CD784" start="0" length="0">
      <dxf/>
    </rfmt>
    <rfmt sheetId="2" sqref="CE784" start="0" length="0">
      <dxf/>
    </rfmt>
    <rfmt sheetId="2" sqref="CF784" start="0" length="0">
      <dxf/>
    </rfmt>
    <rfmt sheetId="2" sqref="CG784" start="0" length="0">
      <dxf/>
    </rfmt>
    <rfmt sheetId="2" sqref="CH784" start="0" length="0">
      <dxf/>
    </rfmt>
    <rfmt sheetId="2" sqref="CI784" start="0" length="0">
      <dxf/>
    </rfmt>
    <rfmt sheetId="2" sqref="CJ784" start="0" length="0">
      <dxf/>
    </rfmt>
    <rfmt sheetId="2" sqref="CK784" start="0" length="0">
      <dxf/>
    </rfmt>
    <rfmt sheetId="2" sqref="CL784" start="0" length="0">
      <dxf/>
    </rfmt>
    <rfmt sheetId="2" sqref="CM784" start="0" length="0">
      <dxf/>
    </rfmt>
    <rfmt sheetId="2" sqref="CN784" start="0" length="0">
      <dxf/>
    </rfmt>
    <rfmt sheetId="2" sqref="CO784" start="0" length="0">
      <dxf/>
    </rfmt>
    <rfmt sheetId="2" sqref="CP784" start="0" length="0">
      <dxf/>
    </rfmt>
    <rfmt sheetId="2" sqref="CQ784" start="0" length="0">
      <dxf/>
    </rfmt>
    <rfmt sheetId="2" sqref="CR784" start="0" length="0">
      <dxf/>
    </rfmt>
    <rfmt sheetId="2" sqref="CS784" start="0" length="0">
      <dxf/>
    </rfmt>
    <rfmt sheetId="2" sqref="CT784" start="0" length="0">
      <dxf/>
    </rfmt>
    <rfmt sheetId="2" sqref="CU784" start="0" length="0">
      <dxf/>
    </rfmt>
    <rfmt sheetId="2" sqref="CV784" start="0" length="0">
      <dxf/>
    </rfmt>
    <rfmt sheetId="2" sqref="CW784" start="0" length="0">
      <dxf/>
    </rfmt>
    <rfmt sheetId="2" sqref="CX784" start="0" length="0">
      <dxf/>
    </rfmt>
    <rfmt sheetId="2" sqref="CY784" start="0" length="0">
      <dxf/>
    </rfmt>
    <rfmt sheetId="2" sqref="CZ784" start="0" length="0">
      <dxf/>
    </rfmt>
    <rfmt sheetId="2" sqref="DA784" start="0" length="0">
      <dxf/>
    </rfmt>
    <rfmt sheetId="2" sqref="DB784" start="0" length="0">
      <dxf/>
    </rfmt>
    <rfmt sheetId="2" sqref="DC784" start="0" length="0">
      <dxf/>
    </rfmt>
    <rfmt sheetId="2" sqref="DD784" start="0" length="0">
      <dxf/>
    </rfmt>
    <rfmt sheetId="2" sqref="DE784" start="0" length="0">
      <dxf/>
    </rfmt>
    <rfmt sheetId="2" sqref="DF784" start="0" length="0">
      <dxf/>
    </rfmt>
    <rfmt sheetId="2" sqref="DG784" start="0" length="0">
      <dxf/>
    </rfmt>
    <rfmt sheetId="2" sqref="DH784" start="0" length="0">
      <dxf/>
    </rfmt>
    <rfmt sheetId="2" sqref="DI784" start="0" length="0">
      <dxf/>
    </rfmt>
    <rfmt sheetId="2" sqref="DJ784" start="0" length="0">
      <dxf/>
    </rfmt>
    <rfmt sheetId="2" sqref="DK784" start="0" length="0">
      <dxf/>
    </rfmt>
    <rfmt sheetId="2" sqref="DL784" start="0" length="0">
      <dxf/>
    </rfmt>
    <rfmt sheetId="2" sqref="DM784" start="0" length="0">
      <dxf/>
    </rfmt>
    <rfmt sheetId="2" sqref="DN784" start="0" length="0">
      <dxf/>
    </rfmt>
    <rfmt sheetId="2" sqref="DO784" start="0" length="0">
      <dxf/>
    </rfmt>
    <rfmt sheetId="2" sqref="DP784" start="0" length="0">
      <dxf/>
    </rfmt>
    <rfmt sheetId="2" sqref="DQ784" start="0" length="0">
      <dxf/>
    </rfmt>
    <rfmt sheetId="2" sqref="DR784" start="0" length="0">
      <dxf/>
    </rfmt>
    <rfmt sheetId="2" sqref="DS784" start="0" length="0">
      <dxf/>
    </rfmt>
    <rfmt sheetId="2" sqref="DT784" start="0" length="0">
      <dxf/>
    </rfmt>
    <rfmt sheetId="2" sqref="DU784" start="0" length="0">
      <dxf/>
    </rfmt>
    <rfmt sheetId="2" sqref="DV784" start="0" length="0">
      <dxf/>
    </rfmt>
    <rfmt sheetId="2" sqref="DW784" start="0" length="0">
      <dxf/>
    </rfmt>
    <rfmt sheetId="2" sqref="DX784" start="0" length="0">
      <dxf/>
    </rfmt>
    <rfmt sheetId="2" sqref="DY784" start="0" length="0">
      <dxf/>
    </rfmt>
    <rfmt sheetId="2" sqref="DZ784" start="0" length="0">
      <dxf/>
    </rfmt>
    <rfmt sheetId="2" sqref="EA784" start="0" length="0">
      <dxf/>
    </rfmt>
    <rfmt sheetId="2" sqref="EB784" start="0" length="0">
      <dxf/>
    </rfmt>
    <rfmt sheetId="2" sqref="EC784" start="0" length="0">
      <dxf/>
    </rfmt>
    <rfmt sheetId="2" sqref="ED784" start="0" length="0">
      <dxf/>
    </rfmt>
    <rfmt sheetId="2" sqref="EE784" start="0" length="0">
      <dxf/>
    </rfmt>
    <rfmt sheetId="2" sqref="EF784" start="0" length="0">
      <dxf/>
    </rfmt>
    <rfmt sheetId="2" sqref="EG784" start="0" length="0">
      <dxf/>
    </rfmt>
    <rfmt sheetId="2" sqref="EH784" start="0" length="0">
      <dxf/>
    </rfmt>
    <rfmt sheetId="2" sqref="EI784" start="0" length="0">
      <dxf/>
    </rfmt>
    <rfmt sheetId="2" sqref="EJ784" start="0" length="0">
      <dxf/>
    </rfmt>
    <rfmt sheetId="2" sqref="EK784" start="0" length="0">
      <dxf/>
    </rfmt>
    <rfmt sheetId="2" sqref="EL784" start="0" length="0">
      <dxf/>
    </rfmt>
    <rfmt sheetId="2" sqref="EM784" start="0" length="0">
      <dxf/>
    </rfmt>
    <rfmt sheetId="2" sqref="EN784" start="0" length="0">
      <dxf/>
    </rfmt>
    <rfmt sheetId="2" sqref="EO784" start="0" length="0">
      <dxf/>
    </rfmt>
    <rfmt sheetId="2" sqref="EP784" start="0" length="0">
      <dxf/>
    </rfmt>
    <rfmt sheetId="2" sqref="EQ784" start="0" length="0">
      <dxf/>
    </rfmt>
    <rfmt sheetId="2" sqref="ER784" start="0" length="0">
      <dxf/>
    </rfmt>
    <rfmt sheetId="2" sqref="ES784" start="0" length="0">
      <dxf/>
    </rfmt>
    <rfmt sheetId="2" sqref="ET784" start="0" length="0">
      <dxf/>
    </rfmt>
    <rfmt sheetId="2" sqref="EU784" start="0" length="0">
      <dxf/>
    </rfmt>
    <rfmt sheetId="2" sqref="EV784" start="0" length="0">
      <dxf/>
    </rfmt>
    <rfmt sheetId="2" sqref="EW784" start="0" length="0">
      <dxf/>
    </rfmt>
    <rfmt sheetId="2" sqref="EX784" start="0" length="0">
      <dxf/>
    </rfmt>
    <rfmt sheetId="2" sqref="EY784" start="0" length="0">
      <dxf/>
    </rfmt>
    <rfmt sheetId="2" sqref="EZ784" start="0" length="0">
      <dxf/>
    </rfmt>
    <rfmt sheetId="2" sqref="FA784" start="0" length="0">
      <dxf/>
    </rfmt>
    <rfmt sheetId="2" sqref="FB784" start="0" length="0">
      <dxf/>
    </rfmt>
    <rfmt sheetId="2" sqref="FC784" start="0" length="0">
      <dxf/>
    </rfmt>
    <rfmt sheetId="2" sqref="FD784" start="0" length="0">
      <dxf/>
    </rfmt>
    <rfmt sheetId="2" sqref="FE784" start="0" length="0">
      <dxf/>
    </rfmt>
    <rfmt sheetId="2" sqref="FF784" start="0" length="0">
      <dxf/>
    </rfmt>
    <rfmt sheetId="2" sqref="FG784" start="0" length="0">
      <dxf/>
    </rfmt>
    <rfmt sheetId="2" sqref="FH784" start="0" length="0">
      <dxf/>
    </rfmt>
    <rfmt sheetId="2" sqref="FI784" start="0" length="0">
      <dxf/>
    </rfmt>
    <rfmt sheetId="2" sqref="FJ784" start="0" length="0">
      <dxf/>
    </rfmt>
    <rfmt sheetId="2" sqref="FK784" start="0" length="0">
      <dxf/>
    </rfmt>
    <rfmt sheetId="2" sqref="FL784" start="0" length="0">
      <dxf/>
    </rfmt>
    <rfmt sheetId="2" sqref="FM784" start="0" length="0">
      <dxf/>
    </rfmt>
    <rfmt sheetId="2" sqref="FN784" start="0" length="0">
      <dxf/>
    </rfmt>
    <rfmt sheetId="2" sqref="FO784" start="0" length="0">
      <dxf/>
    </rfmt>
    <rfmt sheetId="2" sqref="FP784" start="0" length="0">
      <dxf/>
    </rfmt>
    <rfmt sheetId="2" sqref="FQ784" start="0" length="0">
      <dxf/>
    </rfmt>
    <rfmt sheetId="2" sqref="FR784" start="0" length="0">
      <dxf/>
    </rfmt>
    <rfmt sheetId="2" sqref="FS784" start="0" length="0">
      <dxf/>
    </rfmt>
    <rfmt sheetId="2" sqref="FT784" start="0" length="0">
      <dxf/>
    </rfmt>
    <rfmt sheetId="2" sqref="FU784" start="0" length="0">
      <dxf/>
    </rfmt>
    <rfmt sheetId="2" sqref="FV784" start="0" length="0">
      <dxf/>
    </rfmt>
    <rfmt sheetId="2" sqref="FW784" start="0" length="0">
      <dxf/>
    </rfmt>
    <rfmt sheetId="2" sqref="FX784" start="0" length="0">
      <dxf/>
    </rfmt>
    <rfmt sheetId="2" sqref="FY784" start="0" length="0">
      <dxf/>
    </rfmt>
    <rfmt sheetId="2" sqref="FZ784" start="0" length="0">
      <dxf/>
    </rfmt>
    <rfmt sheetId="2" sqref="GA784" start="0" length="0">
      <dxf/>
    </rfmt>
    <rfmt sheetId="2" sqref="GB784" start="0" length="0">
      <dxf/>
    </rfmt>
    <rfmt sheetId="2" sqref="GC784" start="0" length="0">
      <dxf/>
    </rfmt>
    <rfmt sheetId="2" sqref="GD784" start="0" length="0">
      <dxf/>
    </rfmt>
    <rfmt sheetId="2" sqref="GE784" start="0" length="0">
      <dxf/>
    </rfmt>
    <rfmt sheetId="2" sqref="GF784" start="0" length="0">
      <dxf/>
    </rfmt>
    <rfmt sheetId="2" sqref="GG784" start="0" length="0">
      <dxf/>
    </rfmt>
    <rfmt sheetId="2" sqref="GH784" start="0" length="0">
      <dxf/>
    </rfmt>
    <rfmt sheetId="2" sqref="GI784" start="0" length="0">
      <dxf/>
    </rfmt>
    <rfmt sheetId="2" sqref="GJ784" start="0" length="0">
      <dxf/>
    </rfmt>
    <rfmt sheetId="2" sqref="GK784" start="0" length="0">
      <dxf/>
    </rfmt>
    <rfmt sheetId="2" sqref="GL784" start="0" length="0">
      <dxf/>
    </rfmt>
    <rfmt sheetId="2" sqref="GM784" start="0" length="0">
      <dxf/>
    </rfmt>
    <rfmt sheetId="2" sqref="GN784" start="0" length="0">
      <dxf/>
    </rfmt>
    <rfmt sheetId="2" sqref="GO784" start="0" length="0">
      <dxf/>
    </rfmt>
    <rfmt sheetId="2" sqref="GP784" start="0" length="0">
      <dxf/>
    </rfmt>
    <rfmt sheetId="2" sqref="GQ784" start="0" length="0">
      <dxf/>
    </rfmt>
    <rfmt sheetId="2" sqref="GR784" start="0" length="0">
      <dxf/>
    </rfmt>
    <rfmt sheetId="2" sqref="GS784" start="0" length="0">
      <dxf/>
    </rfmt>
    <rfmt sheetId="2" sqref="GT784" start="0" length="0">
      <dxf/>
    </rfmt>
    <rfmt sheetId="2" sqref="GU784" start="0" length="0">
      <dxf/>
    </rfmt>
    <rfmt sheetId="2" sqref="GV784" start="0" length="0">
      <dxf/>
    </rfmt>
    <rfmt sheetId="2" sqref="GW784" start="0" length="0">
      <dxf/>
    </rfmt>
    <rfmt sheetId="2" sqref="GX784" start="0" length="0">
      <dxf/>
    </rfmt>
    <rfmt sheetId="2" sqref="GY784" start="0" length="0">
      <dxf/>
    </rfmt>
    <rfmt sheetId="2" sqref="GZ784" start="0" length="0">
      <dxf/>
    </rfmt>
    <rfmt sheetId="2" sqref="HA784" start="0" length="0">
      <dxf/>
    </rfmt>
    <rfmt sheetId="2" sqref="HB784" start="0" length="0">
      <dxf/>
    </rfmt>
    <rfmt sheetId="2" sqref="HC784" start="0" length="0">
      <dxf/>
    </rfmt>
    <rfmt sheetId="2" sqref="HD784" start="0" length="0">
      <dxf/>
    </rfmt>
    <rfmt sheetId="2" sqref="HE784" start="0" length="0">
      <dxf/>
    </rfmt>
    <rfmt sheetId="2" sqref="HF784" start="0" length="0">
      <dxf/>
    </rfmt>
    <rfmt sheetId="2" sqref="HG784" start="0" length="0">
      <dxf/>
    </rfmt>
    <rfmt sheetId="2" sqref="HH784" start="0" length="0">
      <dxf/>
    </rfmt>
    <rfmt sheetId="2" sqref="HI784" start="0" length="0">
      <dxf/>
    </rfmt>
    <rfmt sheetId="2" sqref="HJ784" start="0" length="0">
      <dxf/>
    </rfmt>
    <rfmt sheetId="2" sqref="HK784" start="0" length="0">
      <dxf/>
    </rfmt>
    <rfmt sheetId="2" sqref="HL784" start="0" length="0">
      <dxf/>
    </rfmt>
    <rfmt sheetId="2" sqref="HM784" start="0" length="0">
      <dxf/>
    </rfmt>
    <rfmt sheetId="2" sqref="HN784" start="0" length="0">
      <dxf/>
    </rfmt>
    <rfmt sheetId="2" sqref="HO784" start="0" length="0">
      <dxf/>
    </rfmt>
    <rfmt sheetId="2" sqref="HP784" start="0" length="0">
      <dxf/>
    </rfmt>
    <rfmt sheetId="2" sqref="HQ784" start="0" length="0">
      <dxf/>
    </rfmt>
    <rfmt sheetId="2" sqref="HR784" start="0" length="0">
      <dxf/>
    </rfmt>
    <rfmt sheetId="2" sqref="HS784" start="0" length="0">
      <dxf/>
    </rfmt>
    <rfmt sheetId="2" sqref="HT784" start="0" length="0">
      <dxf/>
    </rfmt>
    <rfmt sheetId="2" sqref="HU784" start="0" length="0">
      <dxf/>
    </rfmt>
    <rfmt sheetId="2" sqref="HV784" start="0" length="0">
      <dxf/>
    </rfmt>
    <rfmt sheetId="2" sqref="HW784" start="0" length="0">
      <dxf/>
    </rfmt>
    <rfmt sheetId="2" sqref="HX784" start="0" length="0">
      <dxf/>
    </rfmt>
    <rfmt sheetId="2" sqref="HY784" start="0" length="0">
      <dxf/>
    </rfmt>
    <rfmt sheetId="2" sqref="HZ784" start="0" length="0">
      <dxf/>
    </rfmt>
    <rfmt sheetId="2" sqref="IA784" start="0" length="0">
      <dxf/>
    </rfmt>
    <rfmt sheetId="2" sqref="IB784" start="0" length="0">
      <dxf/>
    </rfmt>
    <rfmt sheetId="2" sqref="IC784" start="0" length="0">
      <dxf/>
    </rfmt>
    <rfmt sheetId="2" sqref="ID784" start="0" length="0">
      <dxf/>
    </rfmt>
    <rfmt sheetId="2" sqref="IE784" start="0" length="0">
      <dxf/>
    </rfmt>
    <rfmt sheetId="2" sqref="IF784" start="0" length="0">
      <dxf/>
    </rfmt>
    <rfmt sheetId="2" sqref="IG784" start="0" length="0">
      <dxf/>
    </rfmt>
    <rfmt sheetId="2" sqref="IH784" start="0" length="0">
      <dxf/>
    </rfmt>
    <rfmt sheetId="2" sqref="II784" start="0" length="0">
      <dxf/>
    </rfmt>
    <rfmt sheetId="2" sqref="IJ784" start="0" length="0">
      <dxf/>
    </rfmt>
    <rfmt sheetId="2" sqref="IK784" start="0" length="0">
      <dxf/>
    </rfmt>
    <rfmt sheetId="2" sqref="IL784" start="0" length="0">
      <dxf/>
    </rfmt>
    <rfmt sheetId="2" sqref="IM784" start="0" length="0">
      <dxf/>
    </rfmt>
    <rfmt sheetId="2" sqref="IN784" start="0" length="0">
      <dxf/>
    </rfmt>
    <rfmt sheetId="2" sqref="IO784" start="0" length="0">
      <dxf/>
    </rfmt>
    <rfmt sheetId="2" sqref="IP784" start="0" length="0">
      <dxf/>
    </rfmt>
    <rfmt sheetId="2" sqref="IQ784" start="0" length="0">
      <dxf/>
    </rfmt>
    <rfmt sheetId="2" sqref="IR784" start="0" length="0">
      <dxf/>
    </rfmt>
    <rfmt sheetId="2" sqref="IS784" start="0" length="0">
      <dxf/>
    </rfmt>
    <rfmt sheetId="2" sqref="IT784" start="0" length="0">
      <dxf/>
    </rfmt>
    <rfmt sheetId="2" sqref="IU784" start="0" length="0">
      <dxf/>
    </rfmt>
    <rfmt sheetId="2" sqref="IV784" start="0" length="0">
      <dxf/>
    </rfmt>
    <rfmt sheetId="2" sqref="IW784" start="0" length="0">
      <dxf/>
    </rfmt>
    <rfmt sheetId="2" sqref="IX784" start="0" length="0">
      <dxf/>
    </rfmt>
    <rfmt sheetId="2" sqref="IY784" start="0" length="0">
      <dxf/>
    </rfmt>
    <rfmt sheetId="2" sqref="IZ784" start="0" length="0">
      <dxf/>
    </rfmt>
    <rfmt sheetId="2" sqref="JA784" start="0" length="0">
      <dxf/>
    </rfmt>
    <rfmt sheetId="2" sqref="JB784" start="0" length="0">
      <dxf/>
    </rfmt>
    <rfmt sheetId="2" sqref="JC784" start="0" length="0">
      <dxf/>
    </rfmt>
    <rfmt sheetId="2" sqref="JD784" start="0" length="0">
      <dxf/>
    </rfmt>
    <rfmt sheetId="2" sqref="JE784" start="0" length="0">
      <dxf/>
    </rfmt>
    <rfmt sheetId="2" sqref="JF784" start="0" length="0">
      <dxf/>
    </rfmt>
    <rfmt sheetId="2" sqref="JG784" start="0" length="0">
      <dxf/>
    </rfmt>
    <rfmt sheetId="2" sqref="JH784" start="0" length="0">
      <dxf/>
    </rfmt>
    <rfmt sheetId="2" sqref="JI784" start="0" length="0">
      <dxf/>
    </rfmt>
    <rfmt sheetId="2" sqref="JJ784" start="0" length="0">
      <dxf/>
    </rfmt>
    <rfmt sheetId="2" sqref="JK784" start="0" length="0">
      <dxf/>
    </rfmt>
    <rfmt sheetId="2" sqref="JL784" start="0" length="0">
      <dxf/>
    </rfmt>
    <rfmt sheetId="2" sqref="JM784" start="0" length="0">
      <dxf/>
    </rfmt>
    <rfmt sheetId="2" sqref="JN784" start="0" length="0">
      <dxf/>
    </rfmt>
    <rfmt sheetId="2" sqref="JO784" start="0" length="0">
      <dxf/>
    </rfmt>
    <rfmt sheetId="2" sqref="JP784" start="0" length="0">
      <dxf/>
    </rfmt>
    <rfmt sheetId="2" sqref="JQ784" start="0" length="0">
      <dxf/>
    </rfmt>
    <rfmt sheetId="2" sqref="JR784" start="0" length="0">
      <dxf/>
    </rfmt>
    <rfmt sheetId="2" sqref="JS784" start="0" length="0">
      <dxf/>
    </rfmt>
    <rfmt sheetId="2" sqref="JT784" start="0" length="0">
      <dxf/>
    </rfmt>
    <rfmt sheetId="2" sqref="JU784" start="0" length="0">
      <dxf/>
    </rfmt>
    <rfmt sheetId="2" sqref="JV784" start="0" length="0">
      <dxf/>
    </rfmt>
    <rfmt sheetId="2" sqref="JW784" start="0" length="0">
      <dxf/>
    </rfmt>
    <rfmt sheetId="2" sqref="JX784" start="0" length="0">
      <dxf/>
    </rfmt>
    <rfmt sheetId="2" sqref="JY784" start="0" length="0">
      <dxf/>
    </rfmt>
    <rfmt sheetId="2" sqref="JZ784" start="0" length="0">
      <dxf/>
    </rfmt>
    <rfmt sheetId="2" sqref="KA784" start="0" length="0">
      <dxf/>
    </rfmt>
    <rfmt sheetId="2" sqref="KB784" start="0" length="0">
      <dxf/>
    </rfmt>
    <rfmt sheetId="2" sqref="KC784" start="0" length="0">
      <dxf/>
    </rfmt>
    <rfmt sheetId="2" sqref="KD784" start="0" length="0">
      <dxf/>
    </rfmt>
    <rfmt sheetId="2" sqref="KE784" start="0" length="0">
      <dxf/>
    </rfmt>
    <rfmt sheetId="2" sqref="KF784" start="0" length="0">
      <dxf/>
    </rfmt>
    <rfmt sheetId="2" sqref="KG784" start="0" length="0">
      <dxf/>
    </rfmt>
    <rfmt sheetId="2" sqref="KH784" start="0" length="0">
      <dxf/>
    </rfmt>
    <rfmt sheetId="2" sqref="KI784" start="0" length="0">
      <dxf/>
    </rfmt>
    <rfmt sheetId="2" sqref="KJ784" start="0" length="0">
      <dxf/>
    </rfmt>
    <rfmt sheetId="2" sqref="KK784" start="0" length="0">
      <dxf/>
    </rfmt>
    <rfmt sheetId="2" sqref="KL784" start="0" length="0">
      <dxf/>
    </rfmt>
    <rfmt sheetId="2" sqref="KM784" start="0" length="0">
      <dxf/>
    </rfmt>
    <rfmt sheetId="2" sqref="KN784" start="0" length="0">
      <dxf/>
    </rfmt>
    <rfmt sheetId="2" sqref="KO784" start="0" length="0">
      <dxf/>
    </rfmt>
    <rfmt sheetId="2" sqref="KP784" start="0" length="0">
      <dxf/>
    </rfmt>
    <rfmt sheetId="2" sqref="KQ784" start="0" length="0">
      <dxf/>
    </rfmt>
    <rfmt sheetId="2" sqref="KR784" start="0" length="0">
      <dxf/>
    </rfmt>
    <rfmt sheetId="2" sqref="KS784" start="0" length="0">
      <dxf/>
    </rfmt>
    <rfmt sheetId="2" sqref="KT784" start="0" length="0">
      <dxf/>
    </rfmt>
    <rfmt sheetId="2" sqref="KU784" start="0" length="0">
      <dxf/>
    </rfmt>
    <rfmt sheetId="2" sqref="KV784" start="0" length="0">
      <dxf/>
    </rfmt>
    <rfmt sheetId="2" sqref="KW784" start="0" length="0">
      <dxf/>
    </rfmt>
    <rfmt sheetId="2" sqref="KX784" start="0" length="0">
      <dxf/>
    </rfmt>
    <rfmt sheetId="2" sqref="KY784" start="0" length="0">
      <dxf/>
    </rfmt>
    <rfmt sheetId="2" sqref="KZ784" start="0" length="0">
      <dxf/>
    </rfmt>
    <rfmt sheetId="2" sqref="LA784" start="0" length="0">
      <dxf/>
    </rfmt>
    <rfmt sheetId="2" sqref="LB784" start="0" length="0">
      <dxf/>
    </rfmt>
    <rfmt sheetId="2" sqref="LC784" start="0" length="0">
      <dxf/>
    </rfmt>
    <rfmt sheetId="2" sqref="LD784" start="0" length="0">
      <dxf/>
    </rfmt>
    <rfmt sheetId="2" sqref="LE784" start="0" length="0">
      <dxf/>
    </rfmt>
    <rfmt sheetId="2" sqref="LF784" start="0" length="0">
      <dxf/>
    </rfmt>
    <rfmt sheetId="2" sqref="LG784" start="0" length="0">
      <dxf/>
    </rfmt>
    <rfmt sheetId="2" sqref="LH784" start="0" length="0">
      <dxf/>
    </rfmt>
    <rfmt sheetId="2" sqref="LI784" start="0" length="0">
      <dxf/>
    </rfmt>
    <rfmt sheetId="2" sqref="LJ784" start="0" length="0">
      <dxf/>
    </rfmt>
    <rfmt sheetId="2" sqref="LK784" start="0" length="0">
      <dxf/>
    </rfmt>
    <rfmt sheetId="2" sqref="LL784" start="0" length="0">
      <dxf/>
    </rfmt>
    <rfmt sheetId="2" sqref="LM784" start="0" length="0">
      <dxf/>
    </rfmt>
    <rfmt sheetId="2" sqref="LN784" start="0" length="0">
      <dxf/>
    </rfmt>
    <rfmt sheetId="2" sqref="LO784" start="0" length="0">
      <dxf/>
    </rfmt>
    <rfmt sheetId="2" sqref="LP784" start="0" length="0">
      <dxf/>
    </rfmt>
    <rfmt sheetId="2" sqref="LQ784" start="0" length="0">
      <dxf/>
    </rfmt>
    <rfmt sheetId="2" sqref="LR784" start="0" length="0">
      <dxf/>
    </rfmt>
    <rfmt sheetId="2" sqref="LS784" start="0" length="0">
      <dxf/>
    </rfmt>
    <rfmt sheetId="2" sqref="LT784" start="0" length="0">
      <dxf/>
    </rfmt>
    <rfmt sheetId="2" sqref="LU784" start="0" length="0">
      <dxf/>
    </rfmt>
    <rfmt sheetId="2" sqref="LV784" start="0" length="0">
      <dxf/>
    </rfmt>
    <rfmt sheetId="2" sqref="LW784" start="0" length="0">
      <dxf/>
    </rfmt>
    <rfmt sheetId="2" sqref="LX784" start="0" length="0">
      <dxf/>
    </rfmt>
    <rfmt sheetId="2" sqref="LY784" start="0" length="0">
      <dxf/>
    </rfmt>
    <rfmt sheetId="2" sqref="LZ784" start="0" length="0">
      <dxf/>
    </rfmt>
    <rfmt sheetId="2" sqref="MA784" start="0" length="0">
      <dxf/>
    </rfmt>
    <rfmt sheetId="2" sqref="MB784" start="0" length="0">
      <dxf/>
    </rfmt>
  </rm>
  <rrc rId="2663" sId="2" ref="A795:XFD795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95:XFD795" start="0" length="0">
      <dxf>
        <font>
          <sz val="10"/>
          <name val="Arial"/>
          <scheme val="none"/>
        </font>
        <alignment horizontal="center" readingOrder="0"/>
      </dxf>
    </rfmt>
    <rfmt sheetId="2" sqref="A79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9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5" start="0" length="0">
      <dxf>
        <numFmt numFmtId="176" formatCode="m/d;@"/>
      </dxf>
    </rfmt>
    <rfmt sheetId="2" sqref="P79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5" start="0" length="0">
      <dxf/>
    </rfmt>
    <rfmt sheetId="2" sqref="U795" start="0" length="0">
      <dxf/>
    </rfmt>
    <rfmt sheetId="2" sqref="V795" start="0" length="0">
      <dxf/>
    </rfmt>
    <rfmt sheetId="2" sqref="W795" start="0" length="0">
      <dxf/>
    </rfmt>
    <rfmt sheetId="2" sqref="X795" start="0" length="0">
      <dxf/>
    </rfmt>
    <rfmt sheetId="2" sqref="Y795" start="0" length="0">
      <dxf/>
    </rfmt>
    <rfmt sheetId="2" sqref="Z795" start="0" length="0">
      <dxf/>
    </rfmt>
    <rfmt sheetId="2" sqref="AA795" start="0" length="0">
      <dxf/>
    </rfmt>
    <rfmt sheetId="2" sqref="AB795" start="0" length="0">
      <dxf/>
    </rfmt>
    <rfmt sheetId="2" sqref="AC795" start="0" length="0">
      <dxf/>
    </rfmt>
    <rfmt sheetId="2" sqref="AD795" start="0" length="0">
      <dxf/>
    </rfmt>
    <rfmt sheetId="2" sqref="AE795" start="0" length="0">
      <dxf/>
    </rfmt>
    <rfmt sheetId="2" sqref="AF795" start="0" length="0">
      <dxf/>
    </rfmt>
    <rfmt sheetId="2" sqref="AG795" start="0" length="0">
      <dxf/>
    </rfmt>
    <rfmt sheetId="2" sqref="AH795" start="0" length="0">
      <dxf/>
    </rfmt>
    <rfmt sheetId="2" sqref="AI795" start="0" length="0">
      <dxf/>
    </rfmt>
    <rfmt sheetId="2" sqref="AJ795" start="0" length="0">
      <dxf/>
    </rfmt>
    <rfmt sheetId="2" sqref="AK795" start="0" length="0">
      <dxf/>
    </rfmt>
    <rfmt sheetId="2" sqref="AL795" start="0" length="0">
      <dxf/>
    </rfmt>
    <rfmt sheetId="2" sqref="AM795" start="0" length="0">
      <dxf/>
    </rfmt>
    <rfmt sheetId="2" sqref="AN795" start="0" length="0">
      <dxf/>
    </rfmt>
    <rfmt sheetId="2" sqref="AO795" start="0" length="0">
      <dxf/>
    </rfmt>
    <rfmt sheetId="2" sqref="AP795" start="0" length="0">
      <dxf/>
    </rfmt>
    <rfmt sheetId="2" sqref="AQ795" start="0" length="0">
      <dxf/>
    </rfmt>
    <rfmt sheetId="2" sqref="AR795" start="0" length="0">
      <dxf/>
    </rfmt>
    <rfmt sheetId="2" sqref="AS795" start="0" length="0">
      <dxf/>
    </rfmt>
    <rfmt sheetId="2" sqref="AT795" start="0" length="0">
      <dxf/>
    </rfmt>
    <rfmt sheetId="2" sqref="AU795" start="0" length="0">
      <dxf/>
    </rfmt>
    <rfmt sheetId="2" sqref="AV795" start="0" length="0">
      <dxf/>
    </rfmt>
    <rfmt sheetId="2" sqref="AW795" start="0" length="0">
      <dxf/>
    </rfmt>
    <rfmt sheetId="2" sqref="AX795" start="0" length="0">
      <dxf/>
    </rfmt>
    <rfmt sheetId="2" sqref="AY795" start="0" length="0">
      <dxf/>
    </rfmt>
    <rfmt sheetId="2" sqref="AZ795" start="0" length="0">
      <dxf/>
    </rfmt>
    <rfmt sheetId="2" sqref="BA795" start="0" length="0">
      <dxf/>
    </rfmt>
    <rfmt sheetId="2" sqref="BB795" start="0" length="0">
      <dxf/>
    </rfmt>
    <rfmt sheetId="2" sqref="BC795" start="0" length="0">
      <dxf/>
    </rfmt>
    <rfmt sheetId="2" sqref="BD795" start="0" length="0">
      <dxf/>
    </rfmt>
    <rfmt sheetId="2" sqref="BE795" start="0" length="0">
      <dxf/>
    </rfmt>
    <rfmt sheetId="2" sqref="BF795" start="0" length="0">
      <dxf/>
    </rfmt>
    <rfmt sheetId="2" sqref="BG795" start="0" length="0">
      <dxf/>
    </rfmt>
    <rfmt sheetId="2" sqref="BH795" start="0" length="0">
      <dxf/>
    </rfmt>
    <rfmt sheetId="2" sqref="BI795" start="0" length="0">
      <dxf/>
    </rfmt>
    <rfmt sheetId="2" sqref="BJ795" start="0" length="0">
      <dxf/>
    </rfmt>
    <rfmt sheetId="2" sqref="BK795" start="0" length="0">
      <dxf/>
    </rfmt>
    <rfmt sheetId="2" sqref="BL795" start="0" length="0">
      <dxf/>
    </rfmt>
    <rfmt sheetId="2" sqref="BM795" start="0" length="0">
      <dxf/>
    </rfmt>
    <rfmt sheetId="2" sqref="BN795" start="0" length="0">
      <dxf/>
    </rfmt>
    <rfmt sheetId="2" sqref="BO795" start="0" length="0">
      <dxf/>
    </rfmt>
    <rfmt sheetId="2" sqref="BP795" start="0" length="0">
      <dxf/>
    </rfmt>
    <rfmt sheetId="2" sqref="BQ795" start="0" length="0">
      <dxf/>
    </rfmt>
    <rfmt sheetId="2" sqref="BR795" start="0" length="0">
      <dxf/>
    </rfmt>
    <rfmt sheetId="2" sqref="BS795" start="0" length="0">
      <dxf/>
    </rfmt>
    <rfmt sheetId="2" sqref="BT795" start="0" length="0">
      <dxf/>
    </rfmt>
    <rfmt sheetId="2" sqref="BU795" start="0" length="0">
      <dxf/>
    </rfmt>
    <rfmt sheetId="2" sqref="BV795" start="0" length="0">
      <dxf/>
    </rfmt>
    <rfmt sheetId="2" sqref="BW795" start="0" length="0">
      <dxf/>
    </rfmt>
    <rfmt sheetId="2" sqref="BX795" start="0" length="0">
      <dxf/>
    </rfmt>
    <rfmt sheetId="2" sqref="BY795" start="0" length="0">
      <dxf/>
    </rfmt>
    <rfmt sheetId="2" sqref="BZ795" start="0" length="0">
      <dxf/>
    </rfmt>
    <rfmt sheetId="2" sqref="CA795" start="0" length="0">
      <dxf/>
    </rfmt>
    <rfmt sheetId="2" sqref="CB795" start="0" length="0">
      <dxf/>
    </rfmt>
    <rfmt sheetId="2" sqref="CC795" start="0" length="0">
      <dxf/>
    </rfmt>
    <rfmt sheetId="2" sqref="CD795" start="0" length="0">
      <dxf/>
    </rfmt>
    <rfmt sheetId="2" sqref="CE795" start="0" length="0">
      <dxf/>
    </rfmt>
    <rfmt sheetId="2" sqref="CF795" start="0" length="0">
      <dxf/>
    </rfmt>
    <rfmt sheetId="2" sqref="CG795" start="0" length="0">
      <dxf/>
    </rfmt>
    <rfmt sheetId="2" sqref="CH795" start="0" length="0">
      <dxf/>
    </rfmt>
    <rfmt sheetId="2" sqref="CI795" start="0" length="0">
      <dxf/>
    </rfmt>
    <rfmt sheetId="2" sqref="CJ795" start="0" length="0">
      <dxf/>
    </rfmt>
    <rfmt sheetId="2" sqref="CK795" start="0" length="0">
      <dxf/>
    </rfmt>
    <rfmt sheetId="2" sqref="CL795" start="0" length="0">
      <dxf/>
    </rfmt>
    <rfmt sheetId="2" sqref="CM795" start="0" length="0">
      <dxf/>
    </rfmt>
    <rfmt sheetId="2" sqref="CN795" start="0" length="0">
      <dxf/>
    </rfmt>
    <rfmt sheetId="2" sqref="CO795" start="0" length="0">
      <dxf/>
    </rfmt>
    <rfmt sheetId="2" sqref="CP795" start="0" length="0">
      <dxf/>
    </rfmt>
    <rfmt sheetId="2" sqref="CQ795" start="0" length="0">
      <dxf/>
    </rfmt>
    <rfmt sheetId="2" sqref="CR795" start="0" length="0">
      <dxf/>
    </rfmt>
    <rfmt sheetId="2" sqref="CS795" start="0" length="0">
      <dxf/>
    </rfmt>
    <rfmt sheetId="2" sqref="CT795" start="0" length="0">
      <dxf/>
    </rfmt>
    <rfmt sheetId="2" sqref="CU795" start="0" length="0">
      <dxf/>
    </rfmt>
    <rfmt sheetId="2" sqref="CV795" start="0" length="0">
      <dxf/>
    </rfmt>
    <rfmt sheetId="2" sqref="CW795" start="0" length="0">
      <dxf/>
    </rfmt>
    <rfmt sheetId="2" sqref="CX795" start="0" length="0">
      <dxf/>
    </rfmt>
    <rfmt sheetId="2" sqref="CY795" start="0" length="0">
      <dxf/>
    </rfmt>
    <rfmt sheetId="2" sqref="CZ795" start="0" length="0">
      <dxf/>
    </rfmt>
    <rfmt sheetId="2" sqref="DA795" start="0" length="0">
      <dxf/>
    </rfmt>
    <rfmt sheetId="2" sqref="DB795" start="0" length="0">
      <dxf/>
    </rfmt>
    <rfmt sheetId="2" sqref="DC795" start="0" length="0">
      <dxf/>
    </rfmt>
    <rfmt sheetId="2" sqref="DD795" start="0" length="0">
      <dxf/>
    </rfmt>
    <rfmt sheetId="2" sqref="DE795" start="0" length="0">
      <dxf/>
    </rfmt>
    <rfmt sheetId="2" sqref="DF795" start="0" length="0">
      <dxf/>
    </rfmt>
    <rfmt sheetId="2" sqref="DG795" start="0" length="0">
      <dxf/>
    </rfmt>
    <rfmt sheetId="2" sqref="DH795" start="0" length="0">
      <dxf/>
    </rfmt>
    <rfmt sheetId="2" sqref="DI795" start="0" length="0">
      <dxf/>
    </rfmt>
    <rfmt sheetId="2" sqref="DJ795" start="0" length="0">
      <dxf/>
    </rfmt>
    <rfmt sheetId="2" sqref="DK795" start="0" length="0">
      <dxf/>
    </rfmt>
    <rfmt sheetId="2" sqref="DL795" start="0" length="0">
      <dxf/>
    </rfmt>
    <rfmt sheetId="2" sqref="DM795" start="0" length="0">
      <dxf/>
    </rfmt>
    <rfmt sheetId="2" sqref="DN795" start="0" length="0">
      <dxf/>
    </rfmt>
    <rfmt sheetId="2" sqref="DO795" start="0" length="0">
      <dxf/>
    </rfmt>
    <rfmt sheetId="2" sqref="DP795" start="0" length="0">
      <dxf/>
    </rfmt>
    <rfmt sheetId="2" sqref="DQ795" start="0" length="0">
      <dxf/>
    </rfmt>
    <rfmt sheetId="2" sqref="DR795" start="0" length="0">
      <dxf/>
    </rfmt>
    <rfmt sheetId="2" sqref="DS795" start="0" length="0">
      <dxf/>
    </rfmt>
    <rfmt sheetId="2" sqref="DT795" start="0" length="0">
      <dxf/>
    </rfmt>
    <rfmt sheetId="2" sqref="DU795" start="0" length="0">
      <dxf/>
    </rfmt>
    <rfmt sheetId="2" sqref="DV795" start="0" length="0">
      <dxf/>
    </rfmt>
    <rfmt sheetId="2" sqref="DW795" start="0" length="0">
      <dxf/>
    </rfmt>
    <rfmt sheetId="2" sqref="DX795" start="0" length="0">
      <dxf/>
    </rfmt>
    <rfmt sheetId="2" sqref="DY795" start="0" length="0">
      <dxf/>
    </rfmt>
    <rfmt sheetId="2" sqref="DZ795" start="0" length="0">
      <dxf/>
    </rfmt>
    <rfmt sheetId="2" sqref="EA795" start="0" length="0">
      <dxf/>
    </rfmt>
    <rfmt sheetId="2" sqref="EB795" start="0" length="0">
      <dxf/>
    </rfmt>
    <rfmt sheetId="2" sqref="EC795" start="0" length="0">
      <dxf/>
    </rfmt>
    <rfmt sheetId="2" sqref="ED795" start="0" length="0">
      <dxf/>
    </rfmt>
    <rfmt sheetId="2" sqref="EE795" start="0" length="0">
      <dxf/>
    </rfmt>
    <rfmt sheetId="2" sqref="EF795" start="0" length="0">
      <dxf/>
    </rfmt>
    <rfmt sheetId="2" sqref="EG795" start="0" length="0">
      <dxf/>
    </rfmt>
    <rfmt sheetId="2" sqref="EH795" start="0" length="0">
      <dxf/>
    </rfmt>
    <rfmt sheetId="2" sqref="EI795" start="0" length="0">
      <dxf/>
    </rfmt>
    <rfmt sheetId="2" sqref="EJ795" start="0" length="0">
      <dxf/>
    </rfmt>
    <rfmt sheetId="2" sqref="EK795" start="0" length="0">
      <dxf/>
    </rfmt>
    <rfmt sheetId="2" sqref="EL795" start="0" length="0">
      <dxf/>
    </rfmt>
    <rfmt sheetId="2" sqref="EM795" start="0" length="0">
      <dxf/>
    </rfmt>
    <rfmt sheetId="2" sqref="EN795" start="0" length="0">
      <dxf/>
    </rfmt>
    <rfmt sheetId="2" sqref="EO795" start="0" length="0">
      <dxf/>
    </rfmt>
    <rfmt sheetId="2" sqref="EP795" start="0" length="0">
      <dxf/>
    </rfmt>
    <rfmt sheetId="2" sqref="EQ795" start="0" length="0">
      <dxf/>
    </rfmt>
    <rfmt sheetId="2" sqref="ER795" start="0" length="0">
      <dxf/>
    </rfmt>
    <rfmt sheetId="2" sqref="ES795" start="0" length="0">
      <dxf/>
    </rfmt>
    <rfmt sheetId="2" sqref="ET795" start="0" length="0">
      <dxf/>
    </rfmt>
    <rfmt sheetId="2" sqref="EU795" start="0" length="0">
      <dxf/>
    </rfmt>
    <rfmt sheetId="2" sqref="EV795" start="0" length="0">
      <dxf/>
    </rfmt>
    <rfmt sheetId="2" sqref="EW795" start="0" length="0">
      <dxf/>
    </rfmt>
    <rfmt sheetId="2" sqref="EX795" start="0" length="0">
      <dxf/>
    </rfmt>
    <rfmt sheetId="2" sqref="EY795" start="0" length="0">
      <dxf/>
    </rfmt>
    <rfmt sheetId="2" sqref="EZ795" start="0" length="0">
      <dxf/>
    </rfmt>
    <rfmt sheetId="2" sqref="FA795" start="0" length="0">
      <dxf/>
    </rfmt>
    <rfmt sheetId="2" sqref="FB795" start="0" length="0">
      <dxf/>
    </rfmt>
    <rfmt sheetId="2" sqref="FC795" start="0" length="0">
      <dxf/>
    </rfmt>
    <rfmt sheetId="2" sqref="FD795" start="0" length="0">
      <dxf/>
    </rfmt>
    <rfmt sheetId="2" sqref="FE795" start="0" length="0">
      <dxf/>
    </rfmt>
    <rfmt sheetId="2" sqref="FF795" start="0" length="0">
      <dxf/>
    </rfmt>
    <rfmt sheetId="2" sqref="FG795" start="0" length="0">
      <dxf/>
    </rfmt>
    <rfmt sheetId="2" sqref="FH795" start="0" length="0">
      <dxf/>
    </rfmt>
    <rfmt sheetId="2" sqref="FI795" start="0" length="0">
      <dxf/>
    </rfmt>
    <rfmt sheetId="2" sqref="FJ795" start="0" length="0">
      <dxf/>
    </rfmt>
    <rfmt sheetId="2" sqref="FK795" start="0" length="0">
      <dxf/>
    </rfmt>
    <rfmt sheetId="2" sqref="FL795" start="0" length="0">
      <dxf/>
    </rfmt>
    <rfmt sheetId="2" sqref="FM795" start="0" length="0">
      <dxf/>
    </rfmt>
    <rfmt sheetId="2" sqref="FN795" start="0" length="0">
      <dxf/>
    </rfmt>
    <rfmt sheetId="2" sqref="FO795" start="0" length="0">
      <dxf/>
    </rfmt>
    <rfmt sheetId="2" sqref="FP795" start="0" length="0">
      <dxf/>
    </rfmt>
    <rfmt sheetId="2" sqref="FQ795" start="0" length="0">
      <dxf/>
    </rfmt>
    <rfmt sheetId="2" sqref="FR795" start="0" length="0">
      <dxf/>
    </rfmt>
    <rfmt sheetId="2" sqref="FS795" start="0" length="0">
      <dxf/>
    </rfmt>
    <rfmt sheetId="2" sqref="FT795" start="0" length="0">
      <dxf/>
    </rfmt>
    <rfmt sheetId="2" sqref="FU795" start="0" length="0">
      <dxf/>
    </rfmt>
    <rfmt sheetId="2" sqref="FV795" start="0" length="0">
      <dxf/>
    </rfmt>
    <rfmt sheetId="2" sqref="FW795" start="0" length="0">
      <dxf/>
    </rfmt>
    <rfmt sheetId="2" sqref="FX795" start="0" length="0">
      <dxf/>
    </rfmt>
    <rfmt sheetId="2" sqref="FY795" start="0" length="0">
      <dxf/>
    </rfmt>
    <rfmt sheetId="2" sqref="FZ795" start="0" length="0">
      <dxf/>
    </rfmt>
    <rfmt sheetId="2" sqref="GA795" start="0" length="0">
      <dxf/>
    </rfmt>
    <rfmt sheetId="2" sqref="GB795" start="0" length="0">
      <dxf/>
    </rfmt>
    <rfmt sheetId="2" sqref="GC795" start="0" length="0">
      <dxf/>
    </rfmt>
    <rfmt sheetId="2" sqref="GD795" start="0" length="0">
      <dxf/>
    </rfmt>
    <rfmt sheetId="2" sqref="GE795" start="0" length="0">
      <dxf/>
    </rfmt>
    <rfmt sheetId="2" sqref="GF795" start="0" length="0">
      <dxf/>
    </rfmt>
    <rfmt sheetId="2" sqref="GG795" start="0" length="0">
      <dxf/>
    </rfmt>
    <rfmt sheetId="2" sqref="GH795" start="0" length="0">
      <dxf/>
    </rfmt>
    <rfmt sheetId="2" sqref="GI795" start="0" length="0">
      <dxf/>
    </rfmt>
    <rfmt sheetId="2" sqref="GJ795" start="0" length="0">
      <dxf/>
    </rfmt>
    <rfmt sheetId="2" sqref="GK795" start="0" length="0">
      <dxf/>
    </rfmt>
    <rfmt sheetId="2" sqref="GL795" start="0" length="0">
      <dxf/>
    </rfmt>
    <rfmt sheetId="2" sqref="GM795" start="0" length="0">
      <dxf/>
    </rfmt>
    <rfmt sheetId="2" sqref="GN795" start="0" length="0">
      <dxf/>
    </rfmt>
    <rfmt sheetId="2" sqref="GO795" start="0" length="0">
      <dxf/>
    </rfmt>
    <rfmt sheetId="2" sqref="GP795" start="0" length="0">
      <dxf/>
    </rfmt>
    <rfmt sheetId="2" sqref="GQ795" start="0" length="0">
      <dxf/>
    </rfmt>
    <rfmt sheetId="2" sqref="GR795" start="0" length="0">
      <dxf/>
    </rfmt>
    <rfmt sheetId="2" sqref="GS795" start="0" length="0">
      <dxf/>
    </rfmt>
    <rfmt sheetId="2" sqref="GT795" start="0" length="0">
      <dxf/>
    </rfmt>
    <rfmt sheetId="2" sqref="GU795" start="0" length="0">
      <dxf/>
    </rfmt>
    <rfmt sheetId="2" sqref="GV795" start="0" length="0">
      <dxf/>
    </rfmt>
    <rfmt sheetId="2" sqref="GW795" start="0" length="0">
      <dxf/>
    </rfmt>
    <rfmt sheetId="2" sqref="GX795" start="0" length="0">
      <dxf/>
    </rfmt>
    <rfmt sheetId="2" sqref="GY795" start="0" length="0">
      <dxf/>
    </rfmt>
    <rfmt sheetId="2" sqref="GZ795" start="0" length="0">
      <dxf/>
    </rfmt>
    <rfmt sheetId="2" sqref="HA795" start="0" length="0">
      <dxf/>
    </rfmt>
    <rfmt sheetId="2" sqref="HB795" start="0" length="0">
      <dxf/>
    </rfmt>
    <rfmt sheetId="2" sqref="HC795" start="0" length="0">
      <dxf/>
    </rfmt>
    <rfmt sheetId="2" sqref="HD795" start="0" length="0">
      <dxf/>
    </rfmt>
    <rfmt sheetId="2" sqref="HE795" start="0" length="0">
      <dxf/>
    </rfmt>
    <rfmt sheetId="2" sqref="HF795" start="0" length="0">
      <dxf/>
    </rfmt>
    <rfmt sheetId="2" sqref="HG795" start="0" length="0">
      <dxf/>
    </rfmt>
    <rfmt sheetId="2" sqref="HH795" start="0" length="0">
      <dxf/>
    </rfmt>
    <rfmt sheetId="2" sqref="HI795" start="0" length="0">
      <dxf/>
    </rfmt>
    <rfmt sheetId="2" sqref="HJ795" start="0" length="0">
      <dxf/>
    </rfmt>
    <rfmt sheetId="2" sqref="HK795" start="0" length="0">
      <dxf/>
    </rfmt>
    <rfmt sheetId="2" sqref="HL795" start="0" length="0">
      <dxf/>
    </rfmt>
    <rfmt sheetId="2" sqref="HM795" start="0" length="0">
      <dxf/>
    </rfmt>
    <rfmt sheetId="2" sqref="HN795" start="0" length="0">
      <dxf/>
    </rfmt>
    <rfmt sheetId="2" sqref="HO795" start="0" length="0">
      <dxf/>
    </rfmt>
    <rfmt sheetId="2" sqref="HP795" start="0" length="0">
      <dxf/>
    </rfmt>
    <rfmt sheetId="2" sqref="HQ795" start="0" length="0">
      <dxf/>
    </rfmt>
    <rfmt sheetId="2" sqref="HR795" start="0" length="0">
      <dxf/>
    </rfmt>
    <rfmt sheetId="2" sqref="HS795" start="0" length="0">
      <dxf/>
    </rfmt>
    <rfmt sheetId="2" sqref="HT795" start="0" length="0">
      <dxf/>
    </rfmt>
    <rfmt sheetId="2" sqref="HU795" start="0" length="0">
      <dxf/>
    </rfmt>
    <rfmt sheetId="2" sqref="HV795" start="0" length="0">
      <dxf/>
    </rfmt>
    <rfmt sheetId="2" sqref="HW795" start="0" length="0">
      <dxf/>
    </rfmt>
    <rfmt sheetId="2" sqref="HX795" start="0" length="0">
      <dxf/>
    </rfmt>
    <rfmt sheetId="2" sqref="HY795" start="0" length="0">
      <dxf/>
    </rfmt>
    <rfmt sheetId="2" sqref="HZ795" start="0" length="0">
      <dxf/>
    </rfmt>
    <rfmt sheetId="2" sqref="IA795" start="0" length="0">
      <dxf/>
    </rfmt>
    <rfmt sheetId="2" sqref="IB795" start="0" length="0">
      <dxf/>
    </rfmt>
    <rfmt sheetId="2" sqref="IC795" start="0" length="0">
      <dxf/>
    </rfmt>
    <rfmt sheetId="2" sqref="ID795" start="0" length="0">
      <dxf/>
    </rfmt>
    <rfmt sheetId="2" sqref="IE795" start="0" length="0">
      <dxf/>
    </rfmt>
    <rfmt sheetId="2" sqref="IF795" start="0" length="0">
      <dxf/>
    </rfmt>
    <rfmt sheetId="2" sqref="IG795" start="0" length="0">
      <dxf/>
    </rfmt>
    <rfmt sheetId="2" sqref="IH795" start="0" length="0">
      <dxf/>
    </rfmt>
    <rfmt sheetId="2" sqref="II795" start="0" length="0">
      <dxf/>
    </rfmt>
    <rfmt sheetId="2" sqref="IJ795" start="0" length="0">
      <dxf/>
    </rfmt>
    <rfmt sheetId="2" sqref="IK795" start="0" length="0">
      <dxf/>
    </rfmt>
    <rfmt sheetId="2" sqref="IL795" start="0" length="0">
      <dxf/>
    </rfmt>
    <rfmt sheetId="2" sqref="IM795" start="0" length="0">
      <dxf/>
    </rfmt>
    <rfmt sheetId="2" sqref="IN795" start="0" length="0">
      <dxf/>
    </rfmt>
    <rfmt sheetId="2" sqref="IO795" start="0" length="0">
      <dxf/>
    </rfmt>
    <rfmt sheetId="2" sqref="IP795" start="0" length="0">
      <dxf/>
    </rfmt>
    <rfmt sheetId="2" sqref="IQ795" start="0" length="0">
      <dxf/>
    </rfmt>
    <rfmt sheetId="2" sqref="IR795" start="0" length="0">
      <dxf/>
    </rfmt>
    <rfmt sheetId="2" sqref="IS795" start="0" length="0">
      <dxf/>
    </rfmt>
    <rfmt sheetId="2" sqref="IT795" start="0" length="0">
      <dxf/>
    </rfmt>
    <rfmt sheetId="2" sqref="IU795" start="0" length="0">
      <dxf/>
    </rfmt>
    <rfmt sheetId="2" sqref="IV795" start="0" length="0">
      <dxf/>
    </rfmt>
    <rfmt sheetId="2" sqref="IW795" start="0" length="0">
      <dxf/>
    </rfmt>
    <rfmt sheetId="2" sqref="IX795" start="0" length="0">
      <dxf/>
    </rfmt>
    <rfmt sheetId="2" sqref="IY795" start="0" length="0">
      <dxf/>
    </rfmt>
    <rfmt sheetId="2" sqref="IZ795" start="0" length="0">
      <dxf/>
    </rfmt>
    <rfmt sheetId="2" sqref="JA795" start="0" length="0">
      <dxf/>
    </rfmt>
    <rfmt sheetId="2" sqref="JB795" start="0" length="0">
      <dxf/>
    </rfmt>
    <rfmt sheetId="2" sqref="JC795" start="0" length="0">
      <dxf/>
    </rfmt>
    <rfmt sheetId="2" sqref="JD795" start="0" length="0">
      <dxf/>
    </rfmt>
    <rfmt sheetId="2" sqref="JE795" start="0" length="0">
      <dxf/>
    </rfmt>
    <rfmt sheetId="2" sqref="JF795" start="0" length="0">
      <dxf/>
    </rfmt>
    <rfmt sheetId="2" sqref="JG795" start="0" length="0">
      <dxf/>
    </rfmt>
    <rfmt sheetId="2" sqref="JH795" start="0" length="0">
      <dxf/>
    </rfmt>
    <rfmt sheetId="2" sqref="JI795" start="0" length="0">
      <dxf/>
    </rfmt>
    <rfmt sheetId="2" sqref="JJ795" start="0" length="0">
      <dxf/>
    </rfmt>
    <rfmt sheetId="2" sqref="JK795" start="0" length="0">
      <dxf/>
    </rfmt>
    <rfmt sheetId="2" sqref="JL795" start="0" length="0">
      <dxf/>
    </rfmt>
    <rfmt sheetId="2" sqref="JM795" start="0" length="0">
      <dxf/>
    </rfmt>
    <rfmt sheetId="2" sqref="JN795" start="0" length="0">
      <dxf/>
    </rfmt>
    <rfmt sheetId="2" sqref="JO795" start="0" length="0">
      <dxf/>
    </rfmt>
    <rfmt sheetId="2" sqref="JP795" start="0" length="0">
      <dxf/>
    </rfmt>
    <rfmt sheetId="2" sqref="JQ795" start="0" length="0">
      <dxf/>
    </rfmt>
    <rfmt sheetId="2" sqref="JR795" start="0" length="0">
      <dxf/>
    </rfmt>
    <rfmt sheetId="2" sqref="JS795" start="0" length="0">
      <dxf/>
    </rfmt>
    <rfmt sheetId="2" sqref="JT795" start="0" length="0">
      <dxf/>
    </rfmt>
    <rfmt sheetId="2" sqref="JU795" start="0" length="0">
      <dxf/>
    </rfmt>
    <rfmt sheetId="2" sqref="JV795" start="0" length="0">
      <dxf/>
    </rfmt>
    <rfmt sheetId="2" sqref="JW795" start="0" length="0">
      <dxf/>
    </rfmt>
    <rfmt sheetId="2" sqref="JX795" start="0" length="0">
      <dxf/>
    </rfmt>
    <rfmt sheetId="2" sqref="JY795" start="0" length="0">
      <dxf/>
    </rfmt>
    <rfmt sheetId="2" sqref="JZ795" start="0" length="0">
      <dxf/>
    </rfmt>
    <rfmt sheetId="2" sqref="KA795" start="0" length="0">
      <dxf/>
    </rfmt>
    <rfmt sheetId="2" sqref="KB795" start="0" length="0">
      <dxf/>
    </rfmt>
    <rfmt sheetId="2" sqref="KC795" start="0" length="0">
      <dxf/>
    </rfmt>
    <rfmt sheetId="2" sqref="KD795" start="0" length="0">
      <dxf/>
    </rfmt>
    <rfmt sheetId="2" sqref="KE795" start="0" length="0">
      <dxf/>
    </rfmt>
    <rfmt sheetId="2" sqref="KF795" start="0" length="0">
      <dxf/>
    </rfmt>
    <rfmt sheetId="2" sqref="KG795" start="0" length="0">
      <dxf/>
    </rfmt>
    <rfmt sheetId="2" sqref="KH795" start="0" length="0">
      <dxf/>
    </rfmt>
    <rfmt sheetId="2" sqref="KI795" start="0" length="0">
      <dxf/>
    </rfmt>
    <rfmt sheetId="2" sqref="KJ795" start="0" length="0">
      <dxf/>
    </rfmt>
    <rfmt sheetId="2" sqref="KK795" start="0" length="0">
      <dxf/>
    </rfmt>
    <rfmt sheetId="2" sqref="KL795" start="0" length="0">
      <dxf/>
    </rfmt>
    <rfmt sheetId="2" sqref="KM795" start="0" length="0">
      <dxf/>
    </rfmt>
    <rfmt sheetId="2" sqref="KN795" start="0" length="0">
      <dxf/>
    </rfmt>
    <rfmt sheetId="2" sqref="KO795" start="0" length="0">
      <dxf/>
    </rfmt>
    <rfmt sheetId="2" sqref="KP795" start="0" length="0">
      <dxf/>
    </rfmt>
    <rfmt sheetId="2" sqref="KQ795" start="0" length="0">
      <dxf/>
    </rfmt>
    <rfmt sheetId="2" sqref="KR795" start="0" length="0">
      <dxf/>
    </rfmt>
    <rfmt sheetId="2" sqref="KS795" start="0" length="0">
      <dxf/>
    </rfmt>
    <rfmt sheetId="2" sqref="KT795" start="0" length="0">
      <dxf/>
    </rfmt>
    <rfmt sheetId="2" sqref="KU795" start="0" length="0">
      <dxf/>
    </rfmt>
    <rfmt sheetId="2" sqref="KV795" start="0" length="0">
      <dxf/>
    </rfmt>
    <rfmt sheetId="2" sqref="KW795" start="0" length="0">
      <dxf/>
    </rfmt>
    <rfmt sheetId="2" sqref="KX795" start="0" length="0">
      <dxf/>
    </rfmt>
    <rfmt sheetId="2" sqref="KY795" start="0" length="0">
      <dxf/>
    </rfmt>
    <rfmt sheetId="2" sqref="KZ795" start="0" length="0">
      <dxf/>
    </rfmt>
    <rfmt sheetId="2" sqref="LA795" start="0" length="0">
      <dxf/>
    </rfmt>
    <rfmt sheetId="2" sqref="LB795" start="0" length="0">
      <dxf/>
    </rfmt>
    <rfmt sheetId="2" sqref="LC795" start="0" length="0">
      <dxf/>
    </rfmt>
    <rfmt sheetId="2" sqref="LD795" start="0" length="0">
      <dxf/>
    </rfmt>
    <rfmt sheetId="2" sqref="LE795" start="0" length="0">
      <dxf/>
    </rfmt>
    <rfmt sheetId="2" sqref="LF795" start="0" length="0">
      <dxf/>
    </rfmt>
    <rfmt sheetId="2" sqref="LG795" start="0" length="0">
      <dxf/>
    </rfmt>
    <rfmt sheetId="2" sqref="LH795" start="0" length="0">
      <dxf/>
    </rfmt>
    <rfmt sheetId="2" sqref="LI795" start="0" length="0">
      <dxf/>
    </rfmt>
    <rfmt sheetId="2" sqref="LJ795" start="0" length="0">
      <dxf/>
    </rfmt>
    <rfmt sheetId="2" sqref="LK795" start="0" length="0">
      <dxf/>
    </rfmt>
    <rfmt sheetId="2" sqref="LL795" start="0" length="0">
      <dxf/>
    </rfmt>
    <rfmt sheetId="2" sqref="LM795" start="0" length="0">
      <dxf/>
    </rfmt>
    <rfmt sheetId="2" sqref="LN795" start="0" length="0">
      <dxf/>
    </rfmt>
    <rfmt sheetId="2" sqref="LO795" start="0" length="0">
      <dxf/>
    </rfmt>
    <rfmt sheetId="2" sqref="LP795" start="0" length="0">
      <dxf/>
    </rfmt>
    <rfmt sheetId="2" sqref="LQ795" start="0" length="0">
      <dxf/>
    </rfmt>
    <rfmt sheetId="2" sqref="LR795" start="0" length="0">
      <dxf/>
    </rfmt>
    <rfmt sheetId="2" sqref="LS795" start="0" length="0">
      <dxf/>
    </rfmt>
    <rfmt sheetId="2" sqref="LT795" start="0" length="0">
      <dxf/>
    </rfmt>
    <rfmt sheetId="2" sqref="LU795" start="0" length="0">
      <dxf/>
    </rfmt>
    <rfmt sheetId="2" sqref="LV795" start="0" length="0">
      <dxf/>
    </rfmt>
    <rfmt sheetId="2" sqref="LW795" start="0" length="0">
      <dxf/>
    </rfmt>
    <rfmt sheetId="2" sqref="LX795" start="0" length="0">
      <dxf/>
    </rfmt>
    <rfmt sheetId="2" sqref="LY795" start="0" length="0">
      <dxf/>
    </rfmt>
    <rfmt sheetId="2" sqref="LZ795" start="0" length="0">
      <dxf/>
    </rfmt>
    <rfmt sheetId="2" sqref="MA795" start="0" length="0">
      <dxf/>
    </rfmt>
    <rfmt sheetId="2" sqref="MB795" start="0" length="0">
      <dxf/>
    </rfmt>
  </rrc>
  <rrc rId="2664" sId="2" ref="A795:XFD795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95:XFD795" start="0" length="0">
      <dxf>
        <font>
          <sz val="10"/>
          <name val="Arial"/>
          <scheme val="none"/>
        </font>
        <alignment horizontal="center" readingOrder="0"/>
      </dxf>
    </rfmt>
    <rfmt sheetId="2" sqref="A79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9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5" start="0" length="0">
      <dxf>
        <numFmt numFmtId="176" formatCode="m/d;@"/>
      </dxf>
    </rfmt>
    <rfmt sheetId="2" sqref="P79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5" start="0" length="0">
      <dxf/>
    </rfmt>
    <rfmt sheetId="2" sqref="U795" start="0" length="0">
      <dxf/>
    </rfmt>
    <rfmt sheetId="2" sqref="V795" start="0" length="0">
      <dxf/>
    </rfmt>
    <rfmt sheetId="2" sqref="W795" start="0" length="0">
      <dxf/>
    </rfmt>
    <rfmt sheetId="2" sqref="X795" start="0" length="0">
      <dxf/>
    </rfmt>
    <rfmt sheetId="2" sqref="Y795" start="0" length="0">
      <dxf/>
    </rfmt>
    <rfmt sheetId="2" sqref="Z795" start="0" length="0">
      <dxf/>
    </rfmt>
    <rfmt sheetId="2" sqref="AA795" start="0" length="0">
      <dxf/>
    </rfmt>
    <rfmt sheetId="2" sqref="AB795" start="0" length="0">
      <dxf/>
    </rfmt>
    <rfmt sheetId="2" sqref="AC795" start="0" length="0">
      <dxf/>
    </rfmt>
    <rfmt sheetId="2" sqref="AD795" start="0" length="0">
      <dxf/>
    </rfmt>
    <rfmt sheetId="2" sqref="AE795" start="0" length="0">
      <dxf/>
    </rfmt>
    <rfmt sheetId="2" sqref="AF795" start="0" length="0">
      <dxf/>
    </rfmt>
    <rfmt sheetId="2" sqref="AG795" start="0" length="0">
      <dxf/>
    </rfmt>
    <rfmt sheetId="2" sqref="AH795" start="0" length="0">
      <dxf/>
    </rfmt>
    <rfmt sheetId="2" sqref="AI795" start="0" length="0">
      <dxf/>
    </rfmt>
    <rfmt sheetId="2" sqref="AJ795" start="0" length="0">
      <dxf/>
    </rfmt>
    <rfmt sheetId="2" sqref="AK795" start="0" length="0">
      <dxf/>
    </rfmt>
    <rfmt sheetId="2" sqref="AL795" start="0" length="0">
      <dxf/>
    </rfmt>
    <rfmt sheetId="2" sqref="AM795" start="0" length="0">
      <dxf/>
    </rfmt>
    <rfmt sheetId="2" sqref="AN795" start="0" length="0">
      <dxf/>
    </rfmt>
    <rfmt sheetId="2" sqref="AO795" start="0" length="0">
      <dxf/>
    </rfmt>
    <rfmt sheetId="2" sqref="AP795" start="0" length="0">
      <dxf/>
    </rfmt>
    <rfmt sheetId="2" sqref="AQ795" start="0" length="0">
      <dxf/>
    </rfmt>
    <rfmt sheetId="2" sqref="AR795" start="0" length="0">
      <dxf/>
    </rfmt>
    <rfmt sheetId="2" sqref="AS795" start="0" length="0">
      <dxf/>
    </rfmt>
    <rfmt sheetId="2" sqref="AT795" start="0" length="0">
      <dxf/>
    </rfmt>
    <rfmt sheetId="2" sqref="AU795" start="0" length="0">
      <dxf/>
    </rfmt>
    <rfmt sheetId="2" sqref="AV795" start="0" length="0">
      <dxf/>
    </rfmt>
    <rfmt sheetId="2" sqref="AW795" start="0" length="0">
      <dxf/>
    </rfmt>
    <rfmt sheetId="2" sqref="AX795" start="0" length="0">
      <dxf/>
    </rfmt>
    <rfmt sheetId="2" sqref="AY795" start="0" length="0">
      <dxf/>
    </rfmt>
    <rfmt sheetId="2" sqref="AZ795" start="0" length="0">
      <dxf/>
    </rfmt>
    <rfmt sheetId="2" sqref="BA795" start="0" length="0">
      <dxf/>
    </rfmt>
    <rfmt sheetId="2" sqref="BB795" start="0" length="0">
      <dxf/>
    </rfmt>
    <rfmt sheetId="2" sqref="BC795" start="0" length="0">
      <dxf/>
    </rfmt>
    <rfmt sheetId="2" sqref="BD795" start="0" length="0">
      <dxf/>
    </rfmt>
    <rfmt sheetId="2" sqref="BE795" start="0" length="0">
      <dxf/>
    </rfmt>
    <rfmt sheetId="2" sqref="BF795" start="0" length="0">
      <dxf/>
    </rfmt>
    <rfmt sheetId="2" sqref="BG795" start="0" length="0">
      <dxf/>
    </rfmt>
    <rfmt sheetId="2" sqref="BH795" start="0" length="0">
      <dxf/>
    </rfmt>
    <rfmt sheetId="2" sqref="BI795" start="0" length="0">
      <dxf/>
    </rfmt>
    <rfmt sheetId="2" sqref="BJ795" start="0" length="0">
      <dxf/>
    </rfmt>
    <rfmt sheetId="2" sqref="BK795" start="0" length="0">
      <dxf/>
    </rfmt>
    <rfmt sheetId="2" sqref="BL795" start="0" length="0">
      <dxf/>
    </rfmt>
    <rfmt sheetId="2" sqref="BM795" start="0" length="0">
      <dxf/>
    </rfmt>
    <rfmt sheetId="2" sqref="BN795" start="0" length="0">
      <dxf/>
    </rfmt>
    <rfmt sheetId="2" sqref="BO795" start="0" length="0">
      <dxf/>
    </rfmt>
    <rfmt sheetId="2" sqref="BP795" start="0" length="0">
      <dxf/>
    </rfmt>
    <rfmt sheetId="2" sqref="BQ795" start="0" length="0">
      <dxf/>
    </rfmt>
    <rfmt sheetId="2" sqref="BR795" start="0" length="0">
      <dxf/>
    </rfmt>
    <rfmt sheetId="2" sqref="BS795" start="0" length="0">
      <dxf/>
    </rfmt>
    <rfmt sheetId="2" sqref="BT795" start="0" length="0">
      <dxf/>
    </rfmt>
    <rfmt sheetId="2" sqref="BU795" start="0" length="0">
      <dxf/>
    </rfmt>
    <rfmt sheetId="2" sqref="BV795" start="0" length="0">
      <dxf/>
    </rfmt>
    <rfmt sheetId="2" sqref="BW795" start="0" length="0">
      <dxf/>
    </rfmt>
    <rfmt sheetId="2" sqref="BX795" start="0" length="0">
      <dxf/>
    </rfmt>
    <rfmt sheetId="2" sqref="BY795" start="0" length="0">
      <dxf/>
    </rfmt>
    <rfmt sheetId="2" sqref="BZ795" start="0" length="0">
      <dxf/>
    </rfmt>
    <rfmt sheetId="2" sqref="CA795" start="0" length="0">
      <dxf/>
    </rfmt>
    <rfmt sheetId="2" sqref="CB795" start="0" length="0">
      <dxf/>
    </rfmt>
    <rfmt sheetId="2" sqref="CC795" start="0" length="0">
      <dxf/>
    </rfmt>
    <rfmt sheetId="2" sqref="CD795" start="0" length="0">
      <dxf/>
    </rfmt>
    <rfmt sheetId="2" sqref="CE795" start="0" length="0">
      <dxf/>
    </rfmt>
    <rfmt sheetId="2" sqref="CF795" start="0" length="0">
      <dxf/>
    </rfmt>
    <rfmt sheetId="2" sqref="CG795" start="0" length="0">
      <dxf/>
    </rfmt>
    <rfmt sheetId="2" sqref="CH795" start="0" length="0">
      <dxf/>
    </rfmt>
    <rfmt sheetId="2" sqref="CI795" start="0" length="0">
      <dxf/>
    </rfmt>
    <rfmt sheetId="2" sqref="CJ795" start="0" length="0">
      <dxf/>
    </rfmt>
    <rfmt sheetId="2" sqref="CK795" start="0" length="0">
      <dxf/>
    </rfmt>
    <rfmt sheetId="2" sqref="CL795" start="0" length="0">
      <dxf/>
    </rfmt>
    <rfmt sheetId="2" sqref="CM795" start="0" length="0">
      <dxf/>
    </rfmt>
    <rfmt sheetId="2" sqref="CN795" start="0" length="0">
      <dxf/>
    </rfmt>
    <rfmt sheetId="2" sqref="CO795" start="0" length="0">
      <dxf/>
    </rfmt>
    <rfmt sheetId="2" sqref="CP795" start="0" length="0">
      <dxf/>
    </rfmt>
    <rfmt sheetId="2" sqref="CQ795" start="0" length="0">
      <dxf/>
    </rfmt>
    <rfmt sheetId="2" sqref="CR795" start="0" length="0">
      <dxf/>
    </rfmt>
    <rfmt sheetId="2" sqref="CS795" start="0" length="0">
      <dxf/>
    </rfmt>
    <rfmt sheetId="2" sqref="CT795" start="0" length="0">
      <dxf/>
    </rfmt>
    <rfmt sheetId="2" sqref="CU795" start="0" length="0">
      <dxf/>
    </rfmt>
    <rfmt sheetId="2" sqref="CV795" start="0" length="0">
      <dxf/>
    </rfmt>
    <rfmt sheetId="2" sqref="CW795" start="0" length="0">
      <dxf/>
    </rfmt>
    <rfmt sheetId="2" sqref="CX795" start="0" length="0">
      <dxf/>
    </rfmt>
    <rfmt sheetId="2" sqref="CY795" start="0" length="0">
      <dxf/>
    </rfmt>
    <rfmt sheetId="2" sqref="CZ795" start="0" length="0">
      <dxf/>
    </rfmt>
    <rfmt sheetId="2" sqref="DA795" start="0" length="0">
      <dxf/>
    </rfmt>
    <rfmt sheetId="2" sqref="DB795" start="0" length="0">
      <dxf/>
    </rfmt>
    <rfmt sheetId="2" sqref="DC795" start="0" length="0">
      <dxf/>
    </rfmt>
    <rfmt sheetId="2" sqref="DD795" start="0" length="0">
      <dxf/>
    </rfmt>
    <rfmt sheetId="2" sqref="DE795" start="0" length="0">
      <dxf/>
    </rfmt>
    <rfmt sheetId="2" sqref="DF795" start="0" length="0">
      <dxf/>
    </rfmt>
    <rfmt sheetId="2" sqref="DG795" start="0" length="0">
      <dxf/>
    </rfmt>
    <rfmt sheetId="2" sqref="DH795" start="0" length="0">
      <dxf/>
    </rfmt>
    <rfmt sheetId="2" sqref="DI795" start="0" length="0">
      <dxf/>
    </rfmt>
    <rfmt sheetId="2" sqref="DJ795" start="0" length="0">
      <dxf/>
    </rfmt>
    <rfmt sheetId="2" sqref="DK795" start="0" length="0">
      <dxf/>
    </rfmt>
    <rfmt sheetId="2" sqref="DL795" start="0" length="0">
      <dxf/>
    </rfmt>
    <rfmt sheetId="2" sqref="DM795" start="0" length="0">
      <dxf/>
    </rfmt>
    <rfmt sheetId="2" sqref="DN795" start="0" length="0">
      <dxf/>
    </rfmt>
    <rfmt sheetId="2" sqref="DO795" start="0" length="0">
      <dxf/>
    </rfmt>
    <rfmt sheetId="2" sqref="DP795" start="0" length="0">
      <dxf/>
    </rfmt>
    <rfmt sheetId="2" sqref="DQ795" start="0" length="0">
      <dxf/>
    </rfmt>
    <rfmt sheetId="2" sqref="DR795" start="0" length="0">
      <dxf/>
    </rfmt>
    <rfmt sheetId="2" sqref="DS795" start="0" length="0">
      <dxf/>
    </rfmt>
    <rfmt sheetId="2" sqref="DT795" start="0" length="0">
      <dxf/>
    </rfmt>
    <rfmt sheetId="2" sqref="DU795" start="0" length="0">
      <dxf/>
    </rfmt>
    <rfmt sheetId="2" sqref="DV795" start="0" length="0">
      <dxf/>
    </rfmt>
    <rfmt sheetId="2" sqref="DW795" start="0" length="0">
      <dxf/>
    </rfmt>
    <rfmt sheetId="2" sqref="DX795" start="0" length="0">
      <dxf/>
    </rfmt>
    <rfmt sheetId="2" sqref="DY795" start="0" length="0">
      <dxf/>
    </rfmt>
    <rfmt sheetId="2" sqref="DZ795" start="0" length="0">
      <dxf/>
    </rfmt>
    <rfmt sheetId="2" sqref="EA795" start="0" length="0">
      <dxf/>
    </rfmt>
    <rfmt sheetId="2" sqref="EB795" start="0" length="0">
      <dxf/>
    </rfmt>
    <rfmt sheetId="2" sqref="EC795" start="0" length="0">
      <dxf/>
    </rfmt>
    <rfmt sheetId="2" sqref="ED795" start="0" length="0">
      <dxf/>
    </rfmt>
    <rfmt sheetId="2" sqref="EE795" start="0" length="0">
      <dxf/>
    </rfmt>
    <rfmt sheetId="2" sqref="EF795" start="0" length="0">
      <dxf/>
    </rfmt>
    <rfmt sheetId="2" sqref="EG795" start="0" length="0">
      <dxf/>
    </rfmt>
    <rfmt sheetId="2" sqref="EH795" start="0" length="0">
      <dxf/>
    </rfmt>
    <rfmt sheetId="2" sqref="EI795" start="0" length="0">
      <dxf/>
    </rfmt>
    <rfmt sheetId="2" sqref="EJ795" start="0" length="0">
      <dxf/>
    </rfmt>
    <rfmt sheetId="2" sqref="EK795" start="0" length="0">
      <dxf/>
    </rfmt>
    <rfmt sheetId="2" sqref="EL795" start="0" length="0">
      <dxf/>
    </rfmt>
    <rfmt sheetId="2" sqref="EM795" start="0" length="0">
      <dxf/>
    </rfmt>
    <rfmt sheetId="2" sqref="EN795" start="0" length="0">
      <dxf/>
    </rfmt>
    <rfmt sheetId="2" sqref="EO795" start="0" length="0">
      <dxf/>
    </rfmt>
    <rfmt sheetId="2" sqref="EP795" start="0" length="0">
      <dxf/>
    </rfmt>
    <rfmt sheetId="2" sqref="EQ795" start="0" length="0">
      <dxf/>
    </rfmt>
    <rfmt sheetId="2" sqref="ER795" start="0" length="0">
      <dxf/>
    </rfmt>
    <rfmt sheetId="2" sqref="ES795" start="0" length="0">
      <dxf/>
    </rfmt>
    <rfmt sheetId="2" sqref="ET795" start="0" length="0">
      <dxf/>
    </rfmt>
    <rfmt sheetId="2" sqref="EU795" start="0" length="0">
      <dxf/>
    </rfmt>
    <rfmt sheetId="2" sqref="EV795" start="0" length="0">
      <dxf/>
    </rfmt>
    <rfmt sheetId="2" sqref="EW795" start="0" length="0">
      <dxf/>
    </rfmt>
    <rfmt sheetId="2" sqref="EX795" start="0" length="0">
      <dxf/>
    </rfmt>
    <rfmt sheetId="2" sqref="EY795" start="0" length="0">
      <dxf/>
    </rfmt>
    <rfmt sheetId="2" sqref="EZ795" start="0" length="0">
      <dxf/>
    </rfmt>
    <rfmt sheetId="2" sqref="FA795" start="0" length="0">
      <dxf/>
    </rfmt>
    <rfmt sheetId="2" sqref="FB795" start="0" length="0">
      <dxf/>
    </rfmt>
    <rfmt sheetId="2" sqref="FC795" start="0" length="0">
      <dxf/>
    </rfmt>
    <rfmt sheetId="2" sqref="FD795" start="0" length="0">
      <dxf/>
    </rfmt>
    <rfmt sheetId="2" sqref="FE795" start="0" length="0">
      <dxf/>
    </rfmt>
    <rfmt sheetId="2" sqref="FF795" start="0" length="0">
      <dxf/>
    </rfmt>
    <rfmt sheetId="2" sqref="FG795" start="0" length="0">
      <dxf/>
    </rfmt>
    <rfmt sheetId="2" sqref="FH795" start="0" length="0">
      <dxf/>
    </rfmt>
    <rfmt sheetId="2" sqref="FI795" start="0" length="0">
      <dxf/>
    </rfmt>
    <rfmt sheetId="2" sqref="FJ795" start="0" length="0">
      <dxf/>
    </rfmt>
    <rfmt sheetId="2" sqref="FK795" start="0" length="0">
      <dxf/>
    </rfmt>
    <rfmt sheetId="2" sqref="FL795" start="0" length="0">
      <dxf/>
    </rfmt>
    <rfmt sheetId="2" sqref="FM795" start="0" length="0">
      <dxf/>
    </rfmt>
    <rfmt sheetId="2" sqref="FN795" start="0" length="0">
      <dxf/>
    </rfmt>
    <rfmt sheetId="2" sqref="FO795" start="0" length="0">
      <dxf/>
    </rfmt>
    <rfmt sheetId="2" sqref="FP795" start="0" length="0">
      <dxf/>
    </rfmt>
    <rfmt sheetId="2" sqref="FQ795" start="0" length="0">
      <dxf/>
    </rfmt>
    <rfmt sheetId="2" sqref="FR795" start="0" length="0">
      <dxf/>
    </rfmt>
    <rfmt sheetId="2" sqref="FS795" start="0" length="0">
      <dxf/>
    </rfmt>
    <rfmt sheetId="2" sqref="FT795" start="0" length="0">
      <dxf/>
    </rfmt>
    <rfmt sheetId="2" sqref="FU795" start="0" length="0">
      <dxf/>
    </rfmt>
    <rfmt sheetId="2" sqref="FV795" start="0" length="0">
      <dxf/>
    </rfmt>
    <rfmt sheetId="2" sqref="FW795" start="0" length="0">
      <dxf/>
    </rfmt>
    <rfmt sheetId="2" sqref="FX795" start="0" length="0">
      <dxf/>
    </rfmt>
    <rfmt sheetId="2" sqref="FY795" start="0" length="0">
      <dxf/>
    </rfmt>
    <rfmt sheetId="2" sqref="FZ795" start="0" length="0">
      <dxf/>
    </rfmt>
    <rfmt sheetId="2" sqref="GA795" start="0" length="0">
      <dxf/>
    </rfmt>
    <rfmt sheetId="2" sqref="GB795" start="0" length="0">
      <dxf/>
    </rfmt>
    <rfmt sheetId="2" sqref="GC795" start="0" length="0">
      <dxf/>
    </rfmt>
    <rfmt sheetId="2" sqref="GD795" start="0" length="0">
      <dxf/>
    </rfmt>
    <rfmt sheetId="2" sqref="GE795" start="0" length="0">
      <dxf/>
    </rfmt>
    <rfmt sheetId="2" sqref="GF795" start="0" length="0">
      <dxf/>
    </rfmt>
    <rfmt sheetId="2" sqref="GG795" start="0" length="0">
      <dxf/>
    </rfmt>
    <rfmt sheetId="2" sqref="GH795" start="0" length="0">
      <dxf/>
    </rfmt>
    <rfmt sheetId="2" sqref="GI795" start="0" length="0">
      <dxf/>
    </rfmt>
    <rfmt sheetId="2" sqref="GJ795" start="0" length="0">
      <dxf/>
    </rfmt>
    <rfmt sheetId="2" sqref="GK795" start="0" length="0">
      <dxf/>
    </rfmt>
    <rfmt sheetId="2" sqref="GL795" start="0" length="0">
      <dxf/>
    </rfmt>
    <rfmt sheetId="2" sqref="GM795" start="0" length="0">
      <dxf/>
    </rfmt>
    <rfmt sheetId="2" sqref="GN795" start="0" length="0">
      <dxf/>
    </rfmt>
    <rfmt sheetId="2" sqref="GO795" start="0" length="0">
      <dxf/>
    </rfmt>
    <rfmt sheetId="2" sqref="GP795" start="0" length="0">
      <dxf/>
    </rfmt>
    <rfmt sheetId="2" sqref="GQ795" start="0" length="0">
      <dxf/>
    </rfmt>
    <rfmt sheetId="2" sqref="GR795" start="0" length="0">
      <dxf/>
    </rfmt>
    <rfmt sheetId="2" sqref="GS795" start="0" length="0">
      <dxf/>
    </rfmt>
    <rfmt sheetId="2" sqref="GT795" start="0" length="0">
      <dxf/>
    </rfmt>
    <rfmt sheetId="2" sqref="GU795" start="0" length="0">
      <dxf/>
    </rfmt>
    <rfmt sheetId="2" sqref="GV795" start="0" length="0">
      <dxf/>
    </rfmt>
    <rfmt sheetId="2" sqref="GW795" start="0" length="0">
      <dxf/>
    </rfmt>
    <rfmt sheetId="2" sqref="GX795" start="0" length="0">
      <dxf/>
    </rfmt>
    <rfmt sheetId="2" sqref="GY795" start="0" length="0">
      <dxf/>
    </rfmt>
    <rfmt sheetId="2" sqref="GZ795" start="0" length="0">
      <dxf/>
    </rfmt>
    <rfmt sheetId="2" sqref="HA795" start="0" length="0">
      <dxf/>
    </rfmt>
    <rfmt sheetId="2" sqref="HB795" start="0" length="0">
      <dxf/>
    </rfmt>
    <rfmt sheetId="2" sqref="HC795" start="0" length="0">
      <dxf/>
    </rfmt>
    <rfmt sheetId="2" sqref="HD795" start="0" length="0">
      <dxf/>
    </rfmt>
    <rfmt sheetId="2" sqref="HE795" start="0" length="0">
      <dxf/>
    </rfmt>
    <rfmt sheetId="2" sqref="HF795" start="0" length="0">
      <dxf/>
    </rfmt>
    <rfmt sheetId="2" sqref="HG795" start="0" length="0">
      <dxf/>
    </rfmt>
    <rfmt sheetId="2" sqref="HH795" start="0" length="0">
      <dxf/>
    </rfmt>
    <rfmt sheetId="2" sqref="HI795" start="0" length="0">
      <dxf/>
    </rfmt>
    <rfmt sheetId="2" sqref="HJ795" start="0" length="0">
      <dxf/>
    </rfmt>
    <rfmt sheetId="2" sqref="HK795" start="0" length="0">
      <dxf/>
    </rfmt>
    <rfmt sheetId="2" sqref="HL795" start="0" length="0">
      <dxf/>
    </rfmt>
    <rfmt sheetId="2" sqref="HM795" start="0" length="0">
      <dxf/>
    </rfmt>
    <rfmt sheetId="2" sqref="HN795" start="0" length="0">
      <dxf/>
    </rfmt>
    <rfmt sheetId="2" sqref="HO795" start="0" length="0">
      <dxf/>
    </rfmt>
    <rfmt sheetId="2" sqref="HP795" start="0" length="0">
      <dxf/>
    </rfmt>
    <rfmt sheetId="2" sqref="HQ795" start="0" length="0">
      <dxf/>
    </rfmt>
    <rfmt sheetId="2" sqref="HR795" start="0" length="0">
      <dxf/>
    </rfmt>
    <rfmt sheetId="2" sqref="HS795" start="0" length="0">
      <dxf/>
    </rfmt>
    <rfmt sheetId="2" sqref="HT795" start="0" length="0">
      <dxf/>
    </rfmt>
    <rfmt sheetId="2" sqref="HU795" start="0" length="0">
      <dxf/>
    </rfmt>
    <rfmt sheetId="2" sqref="HV795" start="0" length="0">
      <dxf/>
    </rfmt>
    <rfmt sheetId="2" sqref="HW795" start="0" length="0">
      <dxf/>
    </rfmt>
    <rfmt sheetId="2" sqref="HX795" start="0" length="0">
      <dxf/>
    </rfmt>
    <rfmt sheetId="2" sqref="HY795" start="0" length="0">
      <dxf/>
    </rfmt>
    <rfmt sheetId="2" sqref="HZ795" start="0" length="0">
      <dxf/>
    </rfmt>
    <rfmt sheetId="2" sqref="IA795" start="0" length="0">
      <dxf/>
    </rfmt>
    <rfmt sheetId="2" sqref="IB795" start="0" length="0">
      <dxf/>
    </rfmt>
    <rfmt sheetId="2" sqref="IC795" start="0" length="0">
      <dxf/>
    </rfmt>
    <rfmt sheetId="2" sqref="ID795" start="0" length="0">
      <dxf/>
    </rfmt>
    <rfmt sheetId="2" sqref="IE795" start="0" length="0">
      <dxf/>
    </rfmt>
    <rfmt sheetId="2" sqref="IF795" start="0" length="0">
      <dxf/>
    </rfmt>
    <rfmt sheetId="2" sqref="IG795" start="0" length="0">
      <dxf/>
    </rfmt>
    <rfmt sheetId="2" sqref="IH795" start="0" length="0">
      <dxf/>
    </rfmt>
    <rfmt sheetId="2" sqref="II795" start="0" length="0">
      <dxf/>
    </rfmt>
    <rfmt sheetId="2" sqref="IJ795" start="0" length="0">
      <dxf/>
    </rfmt>
    <rfmt sheetId="2" sqref="IK795" start="0" length="0">
      <dxf/>
    </rfmt>
    <rfmt sheetId="2" sqref="IL795" start="0" length="0">
      <dxf/>
    </rfmt>
    <rfmt sheetId="2" sqref="IM795" start="0" length="0">
      <dxf/>
    </rfmt>
    <rfmt sheetId="2" sqref="IN795" start="0" length="0">
      <dxf/>
    </rfmt>
    <rfmt sheetId="2" sqref="IO795" start="0" length="0">
      <dxf/>
    </rfmt>
    <rfmt sheetId="2" sqref="IP795" start="0" length="0">
      <dxf/>
    </rfmt>
    <rfmt sheetId="2" sqref="IQ795" start="0" length="0">
      <dxf/>
    </rfmt>
    <rfmt sheetId="2" sqref="IR795" start="0" length="0">
      <dxf/>
    </rfmt>
    <rfmt sheetId="2" sqref="IS795" start="0" length="0">
      <dxf/>
    </rfmt>
    <rfmt sheetId="2" sqref="IT795" start="0" length="0">
      <dxf/>
    </rfmt>
    <rfmt sheetId="2" sqref="IU795" start="0" length="0">
      <dxf/>
    </rfmt>
    <rfmt sheetId="2" sqref="IV795" start="0" length="0">
      <dxf/>
    </rfmt>
    <rfmt sheetId="2" sqref="IW795" start="0" length="0">
      <dxf/>
    </rfmt>
    <rfmt sheetId="2" sqref="IX795" start="0" length="0">
      <dxf/>
    </rfmt>
    <rfmt sheetId="2" sqref="IY795" start="0" length="0">
      <dxf/>
    </rfmt>
    <rfmt sheetId="2" sqref="IZ795" start="0" length="0">
      <dxf/>
    </rfmt>
    <rfmt sheetId="2" sqref="JA795" start="0" length="0">
      <dxf/>
    </rfmt>
    <rfmt sheetId="2" sqref="JB795" start="0" length="0">
      <dxf/>
    </rfmt>
    <rfmt sheetId="2" sqref="JC795" start="0" length="0">
      <dxf/>
    </rfmt>
    <rfmt sheetId="2" sqref="JD795" start="0" length="0">
      <dxf/>
    </rfmt>
    <rfmt sheetId="2" sqref="JE795" start="0" length="0">
      <dxf/>
    </rfmt>
    <rfmt sheetId="2" sqref="JF795" start="0" length="0">
      <dxf/>
    </rfmt>
    <rfmt sheetId="2" sqref="JG795" start="0" length="0">
      <dxf/>
    </rfmt>
    <rfmt sheetId="2" sqref="JH795" start="0" length="0">
      <dxf/>
    </rfmt>
    <rfmt sheetId="2" sqref="JI795" start="0" length="0">
      <dxf/>
    </rfmt>
    <rfmt sheetId="2" sqref="JJ795" start="0" length="0">
      <dxf/>
    </rfmt>
    <rfmt sheetId="2" sqref="JK795" start="0" length="0">
      <dxf/>
    </rfmt>
    <rfmt sheetId="2" sqref="JL795" start="0" length="0">
      <dxf/>
    </rfmt>
    <rfmt sheetId="2" sqref="JM795" start="0" length="0">
      <dxf/>
    </rfmt>
    <rfmt sheetId="2" sqref="JN795" start="0" length="0">
      <dxf/>
    </rfmt>
    <rfmt sheetId="2" sqref="JO795" start="0" length="0">
      <dxf/>
    </rfmt>
    <rfmt sheetId="2" sqref="JP795" start="0" length="0">
      <dxf/>
    </rfmt>
    <rfmt sheetId="2" sqref="JQ795" start="0" length="0">
      <dxf/>
    </rfmt>
    <rfmt sheetId="2" sqref="JR795" start="0" length="0">
      <dxf/>
    </rfmt>
    <rfmt sheetId="2" sqref="JS795" start="0" length="0">
      <dxf/>
    </rfmt>
    <rfmt sheetId="2" sqref="JT795" start="0" length="0">
      <dxf/>
    </rfmt>
    <rfmt sheetId="2" sqref="JU795" start="0" length="0">
      <dxf/>
    </rfmt>
    <rfmt sheetId="2" sqref="JV795" start="0" length="0">
      <dxf/>
    </rfmt>
    <rfmt sheetId="2" sqref="JW795" start="0" length="0">
      <dxf/>
    </rfmt>
    <rfmt sheetId="2" sqref="JX795" start="0" length="0">
      <dxf/>
    </rfmt>
    <rfmt sheetId="2" sqref="JY795" start="0" length="0">
      <dxf/>
    </rfmt>
    <rfmt sheetId="2" sqref="JZ795" start="0" length="0">
      <dxf/>
    </rfmt>
    <rfmt sheetId="2" sqref="KA795" start="0" length="0">
      <dxf/>
    </rfmt>
    <rfmt sheetId="2" sqref="KB795" start="0" length="0">
      <dxf/>
    </rfmt>
    <rfmt sheetId="2" sqref="KC795" start="0" length="0">
      <dxf/>
    </rfmt>
    <rfmt sheetId="2" sqref="KD795" start="0" length="0">
      <dxf/>
    </rfmt>
    <rfmt sheetId="2" sqref="KE795" start="0" length="0">
      <dxf/>
    </rfmt>
    <rfmt sheetId="2" sqref="KF795" start="0" length="0">
      <dxf/>
    </rfmt>
    <rfmt sheetId="2" sqref="KG795" start="0" length="0">
      <dxf/>
    </rfmt>
    <rfmt sheetId="2" sqref="KH795" start="0" length="0">
      <dxf/>
    </rfmt>
    <rfmt sheetId="2" sqref="KI795" start="0" length="0">
      <dxf/>
    </rfmt>
    <rfmt sheetId="2" sqref="KJ795" start="0" length="0">
      <dxf/>
    </rfmt>
    <rfmt sheetId="2" sqref="KK795" start="0" length="0">
      <dxf/>
    </rfmt>
    <rfmt sheetId="2" sqref="KL795" start="0" length="0">
      <dxf/>
    </rfmt>
    <rfmt sheetId="2" sqref="KM795" start="0" length="0">
      <dxf/>
    </rfmt>
    <rfmt sheetId="2" sqref="KN795" start="0" length="0">
      <dxf/>
    </rfmt>
    <rfmt sheetId="2" sqref="KO795" start="0" length="0">
      <dxf/>
    </rfmt>
    <rfmt sheetId="2" sqref="KP795" start="0" length="0">
      <dxf/>
    </rfmt>
    <rfmt sheetId="2" sqref="KQ795" start="0" length="0">
      <dxf/>
    </rfmt>
    <rfmt sheetId="2" sqref="KR795" start="0" length="0">
      <dxf/>
    </rfmt>
    <rfmt sheetId="2" sqref="KS795" start="0" length="0">
      <dxf/>
    </rfmt>
    <rfmt sheetId="2" sqref="KT795" start="0" length="0">
      <dxf/>
    </rfmt>
    <rfmt sheetId="2" sqref="KU795" start="0" length="0">
      <dxf/>
    </rfmt>
    <rfmt sheetId="2" sqref="KV795" start="0" length="0">
      <dxf/>
    </rfmt>
    <rfmt sheetId="2" sqref="KW795" start="0" length="0">
      <dxf/>
    </rfmt>
    <rfmt sheetId="2" sqref="KX795" start="0" length="0">
      <dxf/>
    </rfmt>
    <rfmt sheetId="2" sqref="KY795" start="0" length="0">
      <dxf/>
    </rfmt>
    <rfmt sheetId="2" sqref="KZ795" start="0" length="0">
      <dxf/>
    </rfmt>
    <rfmt sheetId="2" sqref="LA795" start="0" length="0">
      <dxf/>
    </rfmt>
    <rfmt sheetId="2" sqref="LB795" start="0" length="0">
      <dxf/>
    </rfmt>
    <rfmt sheetId="2" sqref="LC795" start="0" length="0">
      <dxf/>
    </rfmt>
    <rfmt sheetId="2" sqref="LD795" start="0" length="0">
      <dxf/>
    </rfmt>
    <rfmt sheetId="2" sqref="LE795" start="0" length="0">
      <dxf/>
    </rfmt>
    <rfmt sheetId="2" sqref="LF795" start="0" length="0">
      <dxf/>
    </rfmt>
    <rfmt sheetId="2" sqref="LG795" start="0" length="0">
      <dxf/>
    </rfmt>
    <rfmt sheetId="2" sqref="LH795" start="0" length="0">
      <dxf/>
    </rfmt>
    <rfmt sheetId="2" sqref="LI795" start="0" length="0">
      <dxf/>
    </rfmt>
    <rfmt sheetId="2" sqref="LJ795" start="0" length="0">
      <dxf/>
    </rfmt>
    <rfmt sheetId="2" sqref="LK795" start="0" length="0">
      <dxf/>
    </rfmt>
    <rfmt sheetId="2" sqref="LL795" start="0" length="0">
      <dxf/>
    </rfmt>
    <rfmt sheetId="2" sqref="LM795" start="0" length="0">
      <dxf/>
    </rfmt>
    <rfmt sheetId="2" sqref="LN795" start="0" length="0">
      <dxf/>
    </rfmt>
    <rfmt sheetId="2" sqref="LO795" start="0" length="0">
      <dxf/>
    </rfmt>
    <rfmt sheetId="2" sqref="LP795" start="0" length="0">
      <dxf/>
    </rfmt>
    <rfmt sheetId="2" sqref="LQ795" start="0" length="0">
      <dxf/>
    </rfmt>
    <rfmt sheetId="2" sqref="LR795" start="0" length="0">
      <dxf/>
    </rfmt>
    <rfmt sheetId="2" sqref="LS795" start="0" length="0">
      <dxf/>
    </rfmt>
    <rfmt sheetId="2" sqref="LT795" start="0" length="0">
      <dxf/>
    </rfmt>
    <rfmt sheetId="2" sqref="LU795" start="0" length="0">
      <dxf/>
    </rfmt>
    <rfmt sheetId="2" sqref="LV795" start="0" length="0">
      <dxf/>
    </rfmt>
    <rfmt sheetId="2" sqref="LW795" start="0" length="0">
      <dxf/>
    </rfmt>
    <rfmt sheetId="2" sqref="LX795" start="0" length="0">
      <dxf/>
    </rfmt>
    <rfmt sheetId="2" sqref="LY795" start="0" length="0">
      <dxf/>
    </rfmt>
    <rfmt sheetId="2" sqref="LZ795" start="0" length="0">
      <dxf/>
    </rfmt>
    <rfmt sheetId="2" sqref="MA795" start="0" length="0">
      <dxf/>
    </rfmt>
    <rfmt sheetId="2" sqref="MB795" start="0" length="0">
      <dxf/>
    </rfmt>
  </rrc>
  <rrc rId="2665" sId="2" ref="A787:XFD788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66" sheetId="2" source="A797:XFD798" destination="A787:XFD788" sourceSheetId="2">
    <rfmt sheetId="2" xfDxf="1" sqref="A787:XFD787" start="0" length="0">
      <dxf>
        <font>
          <sz val="10"/>
          <name val="Arial"/>
          <scheme val="none"/>
        </font>
        <alignment horizontal="center" readingOrder="0"/>
      </dxf>
    </rfmt>
    <rfmt sheetId="2" xfDxf="1" sqref="A788:XFD788" start="0" length="0">
      <dxf>
        <font>
          <sz val="10"/>
          <name val="Arial"/>
          <scheme val="none"/>
        </font>
        <alignment horizontal="center" readingOrder="0"/>
      </dxf>
    </rfmt>
    <rfmt sheetId="2" sqref="A78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87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8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8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8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8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87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8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8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8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8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87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8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87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87" start="0" length="0">
      <dxf>
        <numFmt numFmtId="176" formatCode="m/d;@"/>
      </dxf>
    </rfmt>
    <rfmt sheetId="2" sqref="P78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87" start="0" length="0">
      <dxf/>
    </rfmt>
    <rfmt sheetId="2" sqref="U787" start="0" length="0">
      <dxf/>
    </rfmt>
    <rfmt sheetId="2" sqref="V787" start="0" length="0">
      <dxf/>
    </rfmt>
    <rfmt sheetId="2" sqref="W787" start="0" length="0">
      <dxf/>
    </rfmt>
    <rfmt sheetId="2" sqref="X787" start="0" length="0">
      <dxf/>
    </rfmt>
    <rfmt sheetId="2" sqref="Y787" start="0" length="0">
      <dxf/>
    </rfmt>
    <rfmt sheetId="2" sqref="Z787" start="0" length="0">
      <dxf/>
    </rfmt>
    <rfmt sheetId="2" sqref="AA787" start="0" length="0">
      <dxf/>
    </rfmt>
    <rfmt sheetId="2" sqref="AB787" start="0" length="0">
      <dxf/>
    </rfmt>
    <rfmt sheetId="2" sqref="AC787" start="0" length="0">
      <dxf/>
    </rfmt>
    <rfmt sheetId="2" sqref="AD787" start="0" length="0">
      <dxf/>
    </rfmt>
    <rfmt sheetId="2" sqref="AE787" start="0" length="0">
      <dxf/>
    </rfmt>
    <rfmt sheetId="2" sqref="AF787" start="0" length="0">
      <dxf/>
    </rfmt>
    <rfmt sheetId="2" sqref="AG787" start="0" length="0">
      <dxf/>
    </rfmt>
    <rfmt sheetId="2" sqref="AH787" start="0" length="0">
      <dxf/>
    </rfmt>
    <rfmt sheetId="2" sqref="AI787" start="0" length="0">
      <dxf/>
    </rfmt>
    <rfmt sheetId="2" sqref="AJ787" start="0" length="0">
      <dxf/>
    </rfmt>
    <rfmt sheetId="2" sqref="AK787" start="0" length="0">
      <dxf/>
    </rfmt>
    <rfmt sheetId="2" sqref="AL787" start="0" length="0">
      <dxf/>
    </rfmt>
    <rfmt sheetId="2" sqref="AM787" start="0" length="0">
      <dxf/>
    </rfmt>
    <rfmt sheetId="2" sqref="AN787" start="0" length="0">
      <dxf/>
    </rfmt>
    <rfmt sheetId="2" sqref="AO787" start="0" length="0">
      <dxf/>
    </rfmt>
    <rfmt sheetId="2" sqref="AP787" start="0" length="0">
      <dxf/>
    </rfmt>
    <rfmt sheetId="2" sqref="AQ787" start="0" length="0">
      <dxf/>
    </rfmt>
    <rfmt sheetId="2" sqref="AR787" start="0" length="0">
      <dxf/>
    </rfmt>
    <rfmt sheetId="2" sqref="AS787" start="0" length="0">
      <dxf/>
    </rfmt>
    <rfmt sheetId="2" sqref="AT787" start="0" length="0">
      <dxf/>
    </rfmt>
    <rfmt sheetId="2" sqref="AU787" start="0" length="0">
      <dxf/>
    </rfmt>
    <rfmt sheetId="2" sqref="AV787" start="0" length="0">
      <dxf/>
    </rfmt>
    <rfmt sheetId="2" sqref="AW787" start="0" length="0">
      <dxf/>
    </rfmt>
    <rfmt sheetId="2" sqref="AX787" start="0" length="0">
      <dxf/>
    </rfmt>
    <rfmt sheetId="2" sqref="AY787" start="0" length="0">
      <dxf/>
    </rfmt>
    <rfmt sheetId="2" sqref="AZ787" start="0" length="0">
      <dxf/>
    </rfmt>
    <rfmt sheetId="2" sqref="BA787" start="0" length="0">
      <dxf/>
    </rfmt>
    <rfmt sheetId="2" sqref="BB787" start="0" length="0">
      <dxf/>
    </rfmt>
    <rfmt sheetId="2" sqref="BC787" start="0" length="0">
      <dxf/>
    </rfmt>
    <rfmt sheetId="2" sqref="BD787" start="0" length="0">
      <dxf/>
    </rfmt>
    <rfmt sheetId="2" sqref="BE787" start="0" length="0">
      <dxf/>
    </rfmt>
    <rfmt sheetId="2" sqref="BF787" start="0" length="0">
      <dxf/>
    </rfmt>
    <rfmt sheetId="2" sqref="BG787" start="0" length="0">
      <dxf/>
    </rfmt>
    <rfmt sheetId="2" sqref="BH787" start="0" length="0">
      <dxf/>
    </rfmt>
    <rfmt sheetId="2" sqref="BI787" start="0" length="0">
      <dxf/>
    </rfmt>
    <rfmt sheetId="2" sqref="BJ787" start="0" length="0">
      <dxf/>
    </rfmt>
    <rfmt sheetId="2" sqref="BK787" start="0" length="0">
      <dxf/>
    </rfmt>
    <rfmt sheetId="2" sqref="BL787" start="0" length="0">
      <dxf/>
    </rfmt>
    <rfmt sheetId="2" sqref="BM787" start="0" length="0">
      <dxf/>
    </rfmt>
    <rfmt sheetId="2" sqref="BN787" start="0" length="0">
      <dxf/>
    </rfmt>
    <rfmt sheetId="2" sqref="BO787" start="0" length="0">
      <dxf/>
    </rfmt>
    <rfmt sheetId="2" sqref="BP787" start="0" length="0">
      <dxf/>
    </rfmt>
    <rfmt sheetId="2" sqref="BQ787" start="0" length="0">
      <dxf/>
    </rfmt>
    <rfmt sheetId="2" sqref="BR787" start="0" length="0">
      <dxf/>
    </rfmt>
    <rfmt sheetId="2" sqref="BS787" start="0" length="0">
      <dxf/>
    </rfmt>
    <rfmt sheetId="2" sqref="BT787" start="0" length="0">
      <dxf/>
    </rfmt>
    <rfmt sheetId="2" sqref="BU787" start="0" length="0">
      <dxf/>
    </rfmt>
    <rfmt sheetId="2" sqref="BV787" start="0" length="0">
      <dxf/>
    </rfmt>
    <rfmt sheetId="2" sqref="BW787" start="0" length="0">
      <dxf/>
    </rfmt>
    <rfmt sheetId="2" sqref="BX787" start="0" length="0">
      <dxf/>
    </rfmt>
    <rfmt sheetId="2" sqref="BY787" start="0" length="0">
      <dxf/>
    </rfmt>
    <rfmt sheetId="2" sqref="BZ787" start="0" length="0">
      <dxf/>
    </rfmt>
    <rfmt sheetId="2" sqref="CA787" start="0" length="0">
      <dxf/>
    </rfmt>
    <rfmt sheetId="2" sqref="CB787" start="0" length="0">
      <dxf/>
    </rfmt>
    <rfmt sheetId="2" sqref="CC787" start="0" length="0">
      <dxf/>
    </rfmt>
    <rfmt sheetId="2" sqref="CD787" start="0" length="0">
      <dxf/>
    </rfmt>
    <rfmt sheetId="2" sqref="CE787" start="0" length="0">
      <dxf/>
    </rfmt>
    <rfmt sheetId="2" sqref="CF787" start="0" length="0">
      <dxf/>
    </rfmt>
    <rfmt sheetId="2" sqref="CG787" start="0" length="0">
      <dxf/>
    </rfmt>
    <rfmt sheetId="2" sqref="CH787" start="0" length="0">
      <dxf/>
    </rfmt>
    <rfmt sheetId="2" sqref="CI787" start="0" length="0">
      <dxf/>
    </rfmt>
    <rfmt sheetId="2" sqref="CJ787" start="0" length="0">
      <dxf/>
    </rfmt>
    <rfmt sheetId="2" sqref="CK787" start="0" length="0">
      <dxf/>
    </rfmt>
    <rfmt sheetId="2" sqref="CL787" start="0" length="0">
      <dxf/>
    </rfmt>
    <rfmt sheetId="2" sqref="CM787" start="0" length="0">
      <dxf/>
    </rfmt>
    <rfmt sheetId="2" sqref="CN787" start="0" length="0">
      <dxf/>
    </rfmt>
    <rfmt sheetId="2" sqref="CO787" start="0" length="0">
      <dxf/>
    </rfmt>
    <rfmt sheetId="2" sqref="CP787" start="0" length="0">
      <dxf/>
    </rfmt>
    <rfmt sheetId="2" sqref="CQ787" start="0" length="0">
      <dxf/>
    </rfmt>
    <rfmt sheetId="2" sqref="CR787" start="0" length="0">
      <dxf/>
    </rfmt>
    <rfmt sheetId="2" sqref="CS787" start="0" length="0">
      <dxf/>
    </rfmt>
    <rfmt sheetId="2" sqref="CT787" start="0" length="0">
      <dxf/>
    </rfmt>
    <rfmt sheetId="2" sqref="CU787" start="0" length="0">
      <dxf/>
    </rfmt>
    <rfmt sheetId="2" sqref="CV787" start="0" length="0">
      <dxf/>
    </rfmt>
    <rfmt sheetId="2" sqref="CW787" start="0" length="0">
      <dxf/>
    </rfmt>
    <rfmt sheetId="2" sqref="CX787" start="0" length="0">
      <dxf/>
    </rfmt>
    <rfmt sheetId="2" sqref="CY787" start="0" length="0">
      <dxf/>
    </rfmt>
    <rfmt sheetId="2" sqref="CZ787" start="0" length="0">
      <dxf/>
    </rfmt>
    <rfmt sheetId="2" sqref="DA787" start="0" length="0">
      <dxf/>
    </rfmt>
    <rfmt sheetId="2" sqref="DB787" start="0" length="0">
      <dxf/>
    </rfmt>
    <rfmt sheetId="2" sqref="DC787" start="0" length="0">
      <dxf/>
    </rfmt>
    <rfmt sheetId="2" sqref="DD787" start="0" length="0">
      <dxf/>
    </rfmt>
    <rfmt sheetId="2" sqref="DE787" start="0" length="0">
      <dxf/>
    </rfmt>
    <rfmt sheetId="2" sqref="DF787" start="0" length="0">
      <dxf/>
    </rfmt>
    <rfmt sheetId="2" sqref="DG787" start="0" length="0">
      <dxf/>
    </rfmt>
    <rfmt sheetId="2" sqref="DH787" start="0" length="0">
      <dxf/>
    </rfmt>
    <rfmt sheetId="2" sqref="DI787" start="0" length="0">
      <dxf/>
    </rfmt>
    <rfmt sheetId="2" sqref="DJ787" start="0" length="0">
      <dxf/>
    </rfmt>
    <rfmt sheetId="2" sqref="DK787" start="0" length="0">
      <dxf/>
    </rfmt>
    <rfmt sheetId="2" sqref="DL787" start="0" length="0">
      <dxf/>
    </rfmt>
    <rfmt sheetId="2" sqref="DM787" start="0" length="0">
      <dxf/>
    </rfmt>
    <rfmt sheetId="2" sqref="DN787" start="0" length="0">
      <dxf/>
    </rfmt>
    <rfmt sheetId="2" sqref="DO787" start="0" length="0">
      <dxf/>
    </rfmt>
    <rfmt sheetId="2" sqref="DP787" start="0" length="0">
      <dxf/>
    </rfmt>
    <rfmt sheetId="2" sqref="DQ787" start="0" length="0">
      <dxf/>
    </rfmt>
    <rfmt sheetId="2" sqref="DR787" start="0" length="0">
      <dxf/>
    </rfmt>
    <rfmt sheetId="2" sqref="DS787" start="0" length="0">
      <dxf/>
    </rfmt>
    <rfmt sheetId="2" sqref="DT787" start="0" length="0">
      <dxf/>
    </rfmt>
    <rfmt sheetId="2" sqref="DU787" start="0" length="0">
      <dxf/>
    </rfmt>
    <rfmt sheetId="2" sqref="DV787" start="0" length="0">
      <dxf/>
    </rfmt>
    <rfmt sheetId="2" sqref="DW787" start="0" length="0">
      <dxf/>
    </rfmt>
    <rfmt sheetId="2" sqref="DX787" start="0" length="0">
      <dxf/>
    </rfmt>
    <rfmt sheetId="2" sqref="DY787" start="0" length="0">
      <dxf/>
    </rfmt>
    <rfmt sheetId="2" sqref="DZ787" start="0" length="0">
      <dxf/>
    </rfmt>
    <rfmt sheetId="2" sqref="EA787" start="0" length="0">
      <dxf/>
    </rfmt>
    <rfmt sheetId="2" sqref="EB787" start="0" length="0">
      <dxf/>
    </rfmt>
    <rfmt sheetId="2" sqref="EC787" start="0" length="0">
      <dxf/>
    </rfmt>
    <rfmt sheetId="2" sqref="ED787" start="0" length="0">
      <dxf/>
    </rfmt>
    <rfmt sheetId="2" sqref="EE787" start="0" length="0">
      <dxf/>
    </rfmt>
    <rfmt sheetId="2" sqref="EF787" start="0" length="0">
      <dxf/>
    </rfmt>
    <rfmt sheetId="2" sqref="EG787" start="0" length="0">
      <dxf/>
    </rfmt>
    <rfmt sheetId="2" sqref="EH787" start="0" length="0">
      <dxf/>
    </rfmt>
    <rfmt sheetId="2" sqref="EI787" start="0" length="0">
      <dxf/>
    </rfmt>
    <rfmt sheetId="2" sqref="EJ787" start="0" length="0">
      <dxf/>
    </rfmt>
    <rfmt sheetId="2" sqref="EK787" start="0" length="0">
      <dxf/>
    </rfmt>
    <rfmt sheetId="2" sqref="EL787" start="0" length="0">
      <dxf/>
    </rfmt>
    <rfmt sheetId="2" sqref="EM787" start="0" length="0">
      <dxf/>
    </rfmt>
    <rfmt sheetId="2" sqref="EN787" start="0" length="0">
      <dxf/>
    </rfmt>
    <rfmt sheetId="2" sqref="EO787" start="0" length="0">
      <dxf/>
    </rfmt>
    <rfmt sheetId="2" sqref="EP787" start="0" length="0">
      <dxf/>
    </rfmt>
    <rfmt sheetId="2" sqref="EQ787" start="0" length="0">
      <dxf/>
    </rfmt>
    <rfmt sheetId="2" sqref="ER787" start="0" length="0">
      <dxf/>
    </rfmt>
    <rfmt sheetId="2" sqref="ES787" start="0" length="0">
      <dxf/>
    </rfmt>
    <rfmt sheetId="2" sqref="ET787" start="0" length="0">
      <dxf/>
    </rfmt>
    <rfmt sheetId="2" sqref="EU787" start="0" length="0">
      <dxf/>
    </rfmt>
    <rfmt sheetId="2" sqref="EV787" start="0" length="0">
      <dxf/>
    </rfmt>
    <rfmt sheetId="2" sqref="EW787" start="0" length="0">
      <dxf/>
    </rfmt>
    <rfmt sheetId="2" sqref="EX787" start="0" length="0">
      <dxf/>
    </rfmt>
    <rfmt sheetId="2" sqref="EY787" start="0" length="0">
      <dxf/>
    </rfmt>
    <rfmt sheetId="2" sqref="EZ787" start="0" length="0">
      <dxf/>
    </rfmt>
    <rfmt sheetId="2" sqref="FA787" start="0" length="0">
      <dxf/>
    </rfmt>
    <rfmt sheetId="2" sqref="FB787" start="0" length="0">
      <dxf/>
    </rfmt>
    <rfmt sheetId="2" sqref="FC787" start="0" length="0">
      <dxf/>
    </rfmt>
    <rfmt sheetId="2" sqref="FD787" start="0" length="0">
      <dxf/>
    </rfmt>
    <rfmt sheetId="2" sqref="FE787" start="0" length="0">
      <dxf/>
    </rfmt>
    <rfmt sheetId="2" sqref="FF787" start="0" length="0">
      <dxf/>
    </rfmt>
    <rfmt sheetId="2" sqref="FG787" start="0" length="0">
      <dxf/>
    </rfmt>
    <rfmt sheetId="2" sqref="FH787" start="0" length="0">
      <dxf/>
    </rfmt>
    <rfmt sheetId="2" sqref="FI787" start="0" length="0">
      <dxf/>
    </rfmt>
    <rfmt sheetId="2" sqref="FJ787" start="0" length="0">
      <dxf/>
    </rfmt>
    <rfmt sheetId="2" sqref="FK787" start="0" length="0">
      <dxf/>
    </rfmt>
    <rfmt sheetId="2" sqref="FL787" start="0" length="0">
      <dxf/>
    </rfmt>
    <rfmt sheetId="2" sqref="FM787" start="0" length="0">
      <dxf/>
    </rfmt>
    <rfmt sheetId="2" sqref="FN787" start="0" length="0">
      <dxf/>
    </rfmt>
    <rfmt sheetId="2" sqref="FO787" start="0" length="0">
      <dxf/>
    </rfmt>
    <rfmt sheetId="2" sqref="FP787" start="0" length="0">
      <dxf/>
    </rfmt>
    <rfmt sheetId="2" sqref="FQ787" start="0" length="0">
      <dxf/>
    </rfmt>
    <rfmt sheetId="2" sqref="FR787" start="0" length="0">
      <dxf/>
    </rfmt>
    <rfmt sheetId="2" sqref="FS787" start="0" length="0">
      <dxf/>
    </rfmt>
    <rfmt sheetId="2" sqref="FT787" start="0" length="0">
      <dxf/>
    </rfmt>
    <rfmt sheetId="2" sqref="FU787" start="0" length="0">
      <dxf/>
    </rfmt>
    <rfmt sheetId="2" sqref="FV787" start="0" length="0">
      <dxf/>
    </rfmt>
    <rfmt sheetId="2" sqref="FW787" start="0" length="0">
      <dxf/>
    </rfmt>
    <rfmt sheetId="2" sqref="FX787" start="0" length="0">
      <dxf/>
    </rfmt>
    <rfmt sheetId="2" sqref="FY787" start="0" length="0">
      <dxf/>
    </rfmt>
    <rfmt sheetId="2" sqref="FZ787" start="0" length="0">
      <dxf/>
    </rfmt>
    <rfmt sheetId="2" sqref="GA787" start="0" length="0">
      <dxf/>
    </rfmt>
    <rfmt sheetId="2" sqref="GB787" start="0" length="0">
      <dxf/>
    </rfmt>
    <rfmt sheetId="2" sqref="GC787" start="0" length="0">
      <dxf/>
    </rfmt>
    <rfmt sheetId="2" sqref="GD787" start="0" length="0">
      <dxf/>
    </rfmt>
    <rfmt sheetId="2" sqref="GE787" start="0" length="0">
      <dxf/>
    </rfmt>
    <rfmt sheetId="2" sqref="GF787" start="0" length="0">
      <dxf/>
    </rfmt>
    <rfmt sheetId="2" sqref="GG787" start="0" length="0">
      <dxf/>
    </rfmt>
    <rfmt sheetId="2" sqref="GH787" start="0" length="0">
      <dxf/>
    </rfmt>
    <rfmt sheetId="2" sqref="GI787" start="0" length="0">
      <dxf/>
    </rfmt>
    <rfmt sheetId="2" sqref="GJ787" start="0" length="0">
      <dxf/>
    </rfmt>
    <rfmt sheetId="2" sqref="GK787" start="0" length="0">
      <dxf/>
    </rfmt>
    <rfmt sheetId="2" sqref="GL787" start="0" length="0">
      <dxf/>
    </rfmt>
    <rfmt sheetId="2" sqref="GM787" start="0" length="0">
      <dxf/>
    </rfmt>
    <rfmt sheetId="2" sqref="GN787" start="0" length="0">
      <dxf/>
    </rfmt>
    <rfmt sheetId="2" sqref="GO787" start="0" length="0">
      <dxf/>
    </rfmt>
    <rfmt sheetId="2" sqref="GP787" start="0" length="0">
      <dxf/>
    </rfmt>
    <rfmt sheetId="2" sqref="GQ787" start="0" length="0">
      <dxf/>
    </rfmt>
    <rfmt sheetId="2" sqref="GR787" start="0" length="0">
      <dxf/>
    </rfmt>
    <rfmt sheetId="2" sqref="GS787" start="0" length="0">
      <dxf/>
    </rfmt>
    <rfmt sheetId="2" sqref="GT787" start="0" length="0">
      <dxf/>
    </rfmt>
    <rfmt sheetId="2" sqref="GU787" start="0" length="0">
      <dxf/>
    </rfmt>
    <rfmt sheetId="2" sqref="GV787" start="0" length="0">
      <dxf/>
    </rfmt>
    <rfmt sheetId="2" sqref="GW787" start="0" length="0">
      <dxf/>
    </rfmt>
    <rfmt sheetId="2" sqref="GX787" start="0" length="0">
      <dxf/>
    </rfmt>
    <rfmt sheetId="2" sqref="GY787" start="0" length="0">
      <dxf/>
    </rfmt>
    <rfmt sheetId="2" sqref="GZ787" start="0" length="0">
      <dxf/>
    </rfmt>
    <rfmt sheetId="2" sqref="HA787" start="0" length="0">
      <dxf/>
    </rfmt>
    <rfmt sheetId="2" sqref="HB787" start="0" length="0">
      <dxf/>
    </rfmt>
    <rfmt sheetId="2" sqref="HC787" start="0" length="0">
      <dxf/>
    </rfmt>
    <rfmt sheetId="2" sqref="HD787" start="0" length="0">
      <dxf/>
    </rfmt>
    <rfmt sheetId="2" sqref="HE787" start="0" length="0">
      <dxf/>
    </rfmt>
    <rfmt sheetId="2" sqref="HF787" start="0" length="0">
      <dxf/>
    </rfmt>
    <rfmt sheetId="2" sqref="HG787" start="0" length="0">
      <dxf/>
    </rfmt>
    <rfmt sheetId="2" sqref="HH787" start="0" length="0">
      <dxf/>
    </rfmt>
    <rfmt sheetId="2" sqref="HI787" start="0" length="0">
      <dxf/>
    </rfmt>
    <rfmt sheetId="2" sqref="HJ787" start="0" length="0">
      <dxf/>
    </rfmt>
    <rfmt sheetId="2" sqref="HK787" start="0" length="0">
      <dxf/>
    </rfmt>
    <rfmt sheetId="2" sqref="HL787" start="0" length="0">
      <dxf/>
    </rfmt>
    <rfmt sheetId="2" sqref="HM787" start="0" length="0">
      <dxf/>
    </rfmt>
    <rfmt sheetId="2" sqref="HN787" start="0" length="0">
      <dxf/>
    </rfmt>
    <rfmt sheetId="2" sqref="HO787" start="0" length="0">
      <dxf/>
    </rfmt>
    <rfmt sheetId="2" sqref="HP787" start="0" length="0">
      <dxf/>
    </rfmt>
    <rfmt sheetId="2" sqref="HQ787" start="0" length="0">
      <dxf/>
    </rfmt>
    <rfmt sheetId="2" sqref="HR787" start="0" length="0">
      <dxf/>
    </rfmt>
    <rfmt sheetId="2" sqref="HS787" start="0" length="0">
      <dxf/>
    </rfmt>
    <rfmt sheetId="2" sqref="HT787" start="0" length="0">
      <dxf/>
    </rfmt>
    <rfmt sheetId="2" sqref="HU787" start="0" length="0">
      <dxf/>
    </rfmt>
    <rfmt sheetId="2" sqref="HV787" start="0" length="0">
      <dxf/>
    </rfmt>
    <rfmt sheetId="2" sqref="HW787" start="0" length="0">
      <dxf/>
    </rfmt>
    <rfmt sheetId="2" sqref="HX787" start="0" length="0">
      <dxf/>
    </rfmt>
    <rfmt sheetId="2" sqref="HY787" start="0" length="0">
      <dxf/>
    </rfmt>
    <rfmt sheetId="2" sqref="HZ787" start="0" length="0">
      <dxf/>
    </rfmt>
    <rfmt sheetId="2" sqref="IA787" start="0" length="0">
      <dxf/>
    </rfmt>
    <rfmt sheetId="2" sqref="IB787" start="0" length="0">
      <dxf/>
    </rfmt>
    <rfmt sheetId="2" sqref="IC787" start="0" length="0">
      <dxf/>
    </rfmt>
    <rfmt sheetId="2" sqref="ID787" start="0" length="0">
      <dxf/>
    </rfmt>
    <rfmt sheetId="2" sqref="IE787" start="0" length="0">
      <dxf/>
    </rfmt>
    <rfmt sheetId="2" sqref="IF787" start="0" length="0">
      <dxf/>
    </rfmt>
    <rfmt sheetId="2" sqref="IG787" start="0" length="0">
      <dxf/>
    </rfmt>
    <rfmt sheetId="2" sqref="IH787" start="0" length="0">
      <dxf/>
    </rfmt>
    <rfmt sheetId="2" sqref="II787" start="0" length="0">
      <dxf/>
    </rfmt>
    <rfmt sheetId="2" sqref="IJ787" start="0" length="0">
      <dxf/>
    </rfmt>
    <rfmt sheetId="2" sqref="IK787" start="0" length="0">
      <dxf/>
    </rfmt>
    <rfmt sheetId="2" sqref="IL787" start="0" length="0">
      <dxf/>
    </rfmt>
    <rfmt sheetId="2" sqref="IM787" start="0" length="0">
      <dxf/>
    </rfmt>
    <rfmt sheetId="2" sqref="IN787" start="0" length="0">
      <dxf/>
    </rfmt>
    <rfmt sheetId="2" sqref="IO787" start="0" length="0">
      <dxf/>
    </rfmt>
    <rfmt sheetId="2" sqref="IP787" start="0" length="0">
      <dxf/>
    </rfmt>
    <rfmt sheetId="2" sqref="IQ787" start="0" length="0">
      <dxf/>
    </rfmt>
    <rfmt sheetId="2" sqref="IR787" start="0" length="0">
      <dxf/>
    </rfmt>
    <rfmt sheetId="2" sqref="IS787" start="0" length="0">
      <dxf/>
    </rfmt>
    <rfmt sheetId="2" sqref="IT787" start="0" length="0">
      <dxf/>
    </rfmt>
    <rfmt sheetId="2" sqref="IU787" start="0" length="0">
      <dxf/>
    </rfmt>
    <rfmt sheetId="2" sqref="IV787" start="0" length="0">
      <dxf/>
    </rfmt>
    <rfmt sheetId="2" sqref="IW787" start="0" length="0">
      <dxf/>
    </rfmt>
    <rfmt sheetId="2" sqref="IX787" start="0" length="0">
      <dxf/>
    </rfmt>
    <rfmt sheetId="2" sqref="IY787" start="0" length="0">
      <dxf/>
    </rfmt>
    <rfmt sheetId="2" sqref="IZ787" start="0" length="0">
      <dxf/>
    </rfmt>
    <rfmt sheetId="2" sqref="JA787" start="0" length="0">
      <dxf/>
    </rfmt>
    <rfmt sheetId="2" sqref="JB787" start="0" length="0">
      <dxf/>
    </rfmt>
    <rfmt sheetId="2" sqref="JC787" start="0" length="0">
      <dxf/>
    </rfmt>
    <rfmt sheetId="2" sqref="JD787" start="0" length="0">
      <dxf/>
    </rfmt>
    <rfmt sheetId="2" sqref="JE787" start="0" length="0">
      <dxf/>
    </rfmt>
    <rfmt sheetId="2" sqref="JF787" start="0" length="0">
      <dxf/>
    </rfmt>
    <rfmt sheetId="2" sqref="JG787" start="0" length="0">
      <dxf/>
    </rfmt>
    <rfmt sheetId="2" sqref="JH787" start="0" length="0">
      <dxf/>
    </rfmt>
    <rfmt sheetId="2" sqref="JI787" start="0" length="0">
      <dxf/>
    </rfmt>
    <rfmt sheetId="2" sqref="JJ787" start="0" length="0">
      <dxf/>
    </rfmt>
    <rfmt sheetId="2" sqref="JK787" start="0" length="0">
      <dxf/>
    </rfmt>
    <rfmt sheetId="2" sqref="JL787" start="0" length="0">
      <dxf/>
    </rfmt>
    <rfmt sheetId="2" sqref="JM787" start="0" length="0">
      <dxf/>
    </rfmt>
    <rfmt sheetId="2" sqref="JN787" start="0" length="0">
      <dxf/>
    </rfmt>
    <rfmt sheetId="2" sqref="JO787" start="0" length="0">
      <dxf/>
    </rfmt>
    <rfmt sheetId="2" sqref="JP787" start="0" length="0">
      <dxf/>
    </rfmt>
    <rfmt sheetId="2" sqref="JQ787" start="0" length="0">
      <dxf/>
    </rfmt>
    <rfmt sheetId="2" sqref="JR787" start="0" length="0">
      <dxf/>
    </rfmt>
    <rfmt sheetId="2" sqref="JS787" start="0" length="0">
      <dxf/>
    </rfmt>
    <rfmt sheetId="2" sqref="JT787" start="0" length="0">
      <dxf/>
    </rfmt>
    <rfmt sheetId="2" sqref="JU787" start="0" length="0">
      <dxf/>
    </rfmt>
    <rfmt sheetId="2" sqref="JV787" start="0" length="0">
      <dxf/>
    </rfmt>
    <rfmt sheetId="2" sqref="JW787" start="0" length="0">
      <dxf/>
    </rfmt>
    <rfmt sheetId="2" sqref="JX787" start="0" length="0">
      <dxf/>
    </rfmt>
    <rfmt sheetId="2" sqref="JY787" start="0" length="0">
      <dxf/>
    </rfmt>
    <rfmt sheetId="2" sqref="JZ787" start="0" length="0">
      <dxf/>
    </rfmt>
    <rfmt sheetId="2" sqref="KA787" start="0" length="0">
      <dxf/>
    </rfmt>
    <rfmt sheetId="2" sqref="KB787" start="0" length="0">
      <dxf/>
    </rfmt>
    <rfmt sheetId="2" sqref="KC787" start="0" length="0">
      <dxf/>
    </rfmt>
    <rfmt sheetId="2" sqref="KD787" start="0" length="0">
      <dxf/>
    </rfmt>
    <rfmt sheetId="2" sqref="KE787" start="0" length="0">
      <dxf/>
    </rfmt>
    <rfmt sheetId="2" sqref="KF787" start="0" length="0">
      <dxf/>
    </rfmt>
    <rfmt sheetId="2" sqref="KG787" start="0" length="0">
      <dxf/>
    </rfmt>
    <rfmt sheetId="2" sqref="KH787" start="0" length="0">
      <dxf/>
    </rfmt>
    <rfmt sheetId="2" sqref="KI787" start="0" length="0">
      <dxf/>
    </rfmt>
    <rfmt sheetId="2" sqref="KJ787" start="0" length="0">
      <dxf/>
    </rfmt>
    <rfmt sheetId="2" sqref="KK787" start="0" length="0">
      <dxf/>
    </rfmt>
    <rfmt sheetId="2" sqref="KL787" start="0" length="0">
      <dxf/>
    </rfmt>
    <rfmt sheetId="2" sqref="KM787" start="0" length="0">
      <dxf/>
    </rfmt>
    <rfmt sheetId="2" sqref="KN787" start="0" length="0">
      <dxf/>
    </rfmt>
    <rfmt sheetId="2" sqref="KO787" start="0" length="0">
      <dxf/>
    </rfmt>
    <rfmt sheetId="2" sqref="KP787" start="0" length="0">
      <dxf/>
    </rfmt>
    <rfmt sheetId="2" sqref="KQ787" start="0" length="0">
      <dxf/>
    </rfmt>
    <rfmt sheetId="2" sqref="KR787" start="0" length="0">
      <dxf/>
    </rfmt>
    <rfmt sheetId="2" sqref="KS787" start="0" length="0">
      <dxf/>
    </rfmt>
    <rfmt sheetId="2" sqref="KT787" start="0" length="0">
      <dxf/>
    </rfmt>
    <rfmt sheetId="2" sqref="KU787" start="0" length="0">
      <dxf/>
    </rfmt>
    <rfmt sheetId="2" sqref="KV787" start="0" length="0">
      <dxf/>
    </rfmt>
    <rfmt sheetId="2" sqref="KW787" start="0" length="0">
      <dxf/>
    </rfmt>
    <rfmt sheetId="2" sqref="KX787" start="0" length="0">
      <dxf/>
    </rfmt>
    <rfmt sheetId="2" sqref="KY787" start="0" length="0">
      <dxf/>
    </rfmt>
    <rfmt sheetId="2" sqref="KZ787" start="0" length="0">
      <dxf/>
    </rfmt>
    <rfmt sheetId="2" sqref="LA787" start="0" length="0">
      <dxf/>
    </rfmt>
    <rfmt sheetId="2" sqref="LB787" start="0" length="0">
      <dxf/>
    </rfmt>
    <rfmt sheetId="2" sqref="LC787" start="0" length="0">
      <dxf/>
    </rfmt>
    <rfmt sheetId="2" sqref="LD787" start="0" length="0">
      <dxf/>
    </rfmt>
    <rfmt sheetId="2" sqref="LE787" start="0" length="0">
      <dxf/>
    </rfmt>
    <rfmt sheetId="2" sqref="LF787" start="0" length="0">
      <dxf/>
    </rfmt>
    <rfmt sheetId="2" sqref="LG787" start="0" length="0">
      <dxf/>
    </rfmt>
    <rfmt sheetId="2" sqref="LH787" start="0" length="0">
      <dxf/>
    </rfmt>
    <rfmt sheetId="2" sqref="LI787" start="0" length="0">
      <dxf/>
    </rfmt>
    <rfmt sheetId="2" sqref="LJ787" start="0" length="0">
      <dxf/>
    </rfmt>
    <rfmt sheetId="2" sqref="LK787" start="0" length="0">
      <dxf/>
    </rfmt>
    <rfmt sheetId="2" sqref="LL787" start="0" length="0">
      <dxf/>
    </rfmt>
    <rfmt sheetId="2" sqref="LM787" start="0" length="0">
      <dxf/>
    </rfmt>
    <rfmt sheetId="2" sqref="LN787" start="0" length="0">
      <dxf/>
    </rfmt>
    <rfmt sheetId="2" sqref="LO787" start="0" length="0">
      <dxf/>
    </rfmt>
    <rfmt sheetId="2" sqref="LP787" start="0" length="0">
      <dxf/>
    </rfmt>
    <rfmt sheetId="2" sqref="LQ787" start="0" length="0">
      <dxf/>
    </rfmt>
    <rfmt sheetId="2" sqref="LR787" start="0" length="0">
      <dxf/>
    </rfmt>
    <rfmt sheetId="2" sqref="LS787" start="0" length="0">
      <dxf/>
    </rfmt>
    <rfmt sheetId="2" sqref="LT787" start="0" length="0">
      <dxf/>
    </rfmt>
    <rfmt sheetId="2" sqref="LU787" start="0" length="0">
      <dxf/>
    </rfmt>
    <rfmt sheetId="2" sqref="LV787" start="0" length="0">
      <dxf/>
    </rfmt>
    <rfmt sheetId="2" sqref="LW787" start="0" length="0">
      <dxf/>
    </rfmt>
    <rfmt sheetId="2" sqref="LX787" start="0" length="0">
      <dxf/>
    </rfmt>
    <rfmt sheetId="2" sqref="LY787" start="0" length="0">
      <dxf/>
    </rfmt>
    <rfmt sheetId="2" sqref="LZ787" start="0" length="0">
      <dxf/>
    </rfmt>
    <rfmt sheetId="2" sqref="MA787" start="0" length="0">
      <dxf/>
    </rfmt>
    <rfmt sheetId="2" sqref="MB787" start="0" length="0">
      <dxf/>
    </rfmt>
    <rfmt sheetId="2" sqref="A78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88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8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8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8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8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88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8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8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8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8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88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8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88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88" start="0" length="0">
      <dxf>
        <numFmt numFmtId="176" formatCode="m/d;@"/>
      </dxf>
    </rfmt>
    <rfmt sheetId="2" sqref="P78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88" start="0" length="0">
      <dxf/>
    </rfmt>
    <rfmt sheetId="2" sqref="U788" start="0" length="0">
      <dxf/>
    </rfmt>
    <rfmt sheetId="2" sqref="V788" start="0" length="0">
      <dxf/>
    </rfmt>
    <rfmt sheetId="2" sqref="W788" start="0" length="0">
      <dxf/>
    </rfmt>
    <rfmt sheetId="2" sqref="X788" start="0" length="0">
      <dxf/>
    </rfmt>
    <rfmt sheetId="2" sqref="Y788" start="0" length="0">
      <dxf/>
    </rfmt>
    <rfmt sheetId="2" sqref="Z788" start="0" length="0">
      <dxf/>
    </rfmt>
    <rfmt sheetId="2" sqref="AA788" start="0" length="0">
      <dxf/>
    </rfmt>
    <rfmt sheetId="2" sqref="AB788" start="0" length="0">
      <dxf/>
    </rfmt>
    <rfmt sheetId="2" sqref="AC788" start="0" length="0">
      <dxf/>
    </rfmt>
    <rfmt sheetId="2" sqref="AD788" start="0" length="0">
      <dxf/>
    </rfmt>
    <rfmt sheetId="2" sqref="AE788" start="0" length="0">
      <dxf/>
    </rfmt>
    <rfmt sheetId="2" sqref="AF788" start="0" length="0">
      <dxf/>
    </rfmt>
    <rfmt sheetId="2" sqref="AG788" start="0" length="0">
      <dxf/>
    </rfmt>
    <rfmt sheetId="2" sqref="AH788" start="0" length="0">
      <dxf/>
    </rfmt>
    <rfmt sheetId="2" sqref="AI788" start="0" length="0">
      <dxf/>
    </rfmt>
    <rfmt sheetId="2" sqref="AJ788" start="0" length="0">
      <dxf/>
    </rfmt>
    <rfmt sheetId="2" sqref="AK788" start="0" length="0">
      <dxf/>
    </rfmt>
    <rfmt sheetId="2" sqref="AL788" start="0" length="0">
      <dxf/>
    </rfmt>
    <rfmt sheetId="2" sqref="AM788" start="0" length="0">
      <dxf/>
    </rfmt>
    <rfmt sheetId="2" sqref="AN788" start="0" length="0">
      <dxf/>
    </rfmt>
    <rfmt sheetId="2" sqref="AO788" start="0" length="0">
      <dxf/>
    </rfmt>
    <rfmt sheetId="2" sqref="AP788" start="0" length="0">
      <dxf/>
    </rfmt>
    <rfmt sheetId="2" sqref="AQ788" start="0" length="0">
      <dxf/>
    </rfmt>
    <rfmt sheetId="2" sqref="AR788" start="0" length="0">
      <dxf/>
    </rfmt>
    <rfmt sheetId="2" sqref="AS788" start="0" length="0">
      <dxf/>
    </rfmt>
    <rfmt sheetId="2" sqref="AT788" start="0" length="0">
      <dxf/>
    </rfmt>
    <rfmt sheetId="2" sqref="AU788" start="0" length="0">
      <dxf/>
    </rfmt>
    <rfmt sheetId="2" sqref="AV788" start="0" length="0">
      <dxf/>
    </rfmt>
    <rfmt sheetId="2" sqref="AW788" start="0" length="0">
      <dxf/>
    </rfmt>
    <rfmt sheetId="2" sqref="AX788" start="0" length="0">
      <dxf/>
    </rfmt>
    <rfmt sheetId="2" sqref="AY788" start="0" length="0">
      <dxf/>
    </rfmt>
    <rfmt sheetId="2" sqref="AZ788" start="0" length="0">
      <dxf/>
    </rfmt>
    <rfmt sheetId="2" sqref="BA788" start="0" length="0">
      <dxf/>
    </rfmt>
    <rfmt sheetId="2" sqref="BB788" start="0" length="0">
      <dxf/>
    </rfmt>
    <rfmt sheetId="2" sqref="BC788" start="0" length="0">
      <dxf/>
    </rfmt>
    <rfmt sheetId="2" sqref="BD788" start="0" length="0">
      <dxf/>
    </rfmt>
    <rfmt sheetId="2" sqref="BE788" start="0" length="0">
      <dxf/>
    </rfmt>
    <rfmt sheetId="2" sqref="BF788" start="0" length="0">
      <dxf/>
    </rfmt>
    <rfmt sheetId="2" sqref="BG788" start="0" length="0">
      <dxf/>
    </rfmt>
    <rfmt sheetId="2" sqref="BH788" start="0" length="0">
      <dxf/>
    </rfmt>
    <rfmt sheetId="2" sqref="BI788" start="0" length="0">
      <dxf/>
    </rfmt>
    <rfmt sheetId="2" sqref="BJ788" start="0" length="0">
      <dxf/>
    </rfmt>
    <rfmt sheetId="2" sqref="BK788" start="0" length="0">
      <dxf/>
    </rfmt>
    <rfmt sheetId="2" sqref="BL788" start="0" length="0">
      <dxf/>
    </rfmt>
    <rfmt sheetId="2" sqref="BM788" start="0" length="0">
      <dxf/>
    </rfmt>
    <rfmt sheetId="2" sqref="BN788" start="0" length="0">
      <dxf/>
    </rfmt>
    <rfmt sheetId="2" sqref="BO788" start="0" length="0">
      <dxf/>
    </rfmt>
    <rfmt sheetId="2" sqref="BP788" start="0" length="0">
      <dxf/>
    </rfmt>
    <rfmt sheetId="2" sqref="BQ788" start="0" length="0">
      <dxf/>
    </rfmt>
    <rfmt sheetId="2" sqref="BR788" start="0" length="0">
      <dxf/>
    </rfmt>
    <rfmt sheetId="2" sqref="BS788" start="0" length="0">
      <dxf/>
    </rfmt>
    <rfmt sheetId="2" sqref="BT788" start="0" length="0">
      <dxf/>
    </rfmt>
    <rfmt sheetId="2" sqref="BU788" start="0" length="0">
      <dxf/>
    </rfmt>
    <rfmt sheetId="2" sqref="BV788" start="0" length="0">
      <dxf/>
    </rfmt>
    <rfmt sheetId="2" sqref="BW788" start="0" length="0">
      <dxf/>
    </rfmt>
    <rfmt sheetId="2" sqref="BX788" start="0" length="0">
      <dxf/>
    </rfmt>
    <rfmt sheetId="2" sqref="BY788" start="0" length="0">
      <dxf/>
    </rfmt>
    <rfmt sheetId="2" sqref="BZ788" start="0" length="0">
      <dxf/>
    </rfmt>
    <rfmt sheetId="2" sqref="CA788" start="0" length="0">
      <dxf/>
    </rfmt>
    <rfmt sheetId="2" sqref="CB788" start="0" length="0">
      <dxf/>
    </rfmt>
    <rfmt sheetId="2" sqref="CC788" start="0" length="0">
      <dxf/>
    </rfmt>
    <rfmt sheetId="2" sqref="CD788" start="0" length="0">
      <dxf/>
    </rfmt>
    <rfmt sheetId="2" sqref="CE788" start="0" length="0">
      <dxf/>
    </rfmt>
    <rfmt sheetId="2" sqref="CF788" start="0" length="0">
      <dxf/>
    </rfmt>
    <rfmt sheetId="2" sqref="CG788" start="0" length="0">
      <dxf/>
    </rfmt>
    <rfmt sheetId="2" sqref="CH788" start="0" length="0">
      <dxf/>
    </rfmt>
    <rfmt sheetId="2" sqref="CI788" start="0" length="0">
      <dxf/>
    </rfmt>
    <rfmt sheetId="2" sqref="CJ788" start="0" length="0">
      <dxf/>
    </rfmt>
    <rfmt sheetId="2" sqref="CK788" start="0" length="0">
      <dxf/>
    </rfmt>
    <rfmt sheetId="2" sqref="CL788" start="0" length="0">
      <dxf/>
    </rfmt>
    <rfmt sheetId="2" sqref="CM788" start="0" length="0">
      <dxf/>
    </rfmt>
    <rfmt sheetId="2" sqref="CN788" start="0" length="0">
      <dxf/>
    </rfmt>
    <rfmt sheetId="2" sqref="CO788" start="0" length="0">
      <dxf/>
    </rfmt>
    <rfmt sheetId="2" sqref="CP788" start="0" length="0">
      <dxf/>
    </rfmt>
    <rfmt sheetId="2" sqref="CQ788" start="0" length="0">
      <dxf/>
    </rfmt>
    <rfmt sheetId="2" sqref="CR788" start="0" length="0">
      <dxf/>
    </rfmt>
    <rfmt sheetId="2" sqref="CS788" start="0" length="0">
      <dxf/>
    </rfmt>
    <rfmt sheetId="2" sqref="CT788" start="0" length="0">
      <dxf/>
    </rfmt>
    <rfmt sheetId="2" sqref="CU788" start="0" length="0">
      <dxf/>
    </rfmt>
    <rfmt sheetId="2" sqref="CV788" start="0" length="0">
      <dxf/>
    </rfmt>
    <rfmt sheetId="2" sqref="CW788" start="0" length="0">
      <dxf/>
    </rfmt>
    <rfmt sheetId="2" sqref="CX788" start="0" length="0">
      <dxf/>
    </rfmt>
    <rfmt sheetId="2" sqref="CY788" start="0" length="0">
      <dxf/>
    </rfmt>
    <rfmt sheetId="2" sqref="CZ788" start="0" length="0">
      <dxf/>
    </rfmt>
    <rfmt sheetId="2" sqref="DA788" start="0" length="0">
      <dxf/>
    </rfmt>
    <rfmt sheetId="2" sqref="DB788" start="0" length="0">
      <dxf/>
    </rfmt>
    <rfmt sheetId="2" sqref="DC788" start="0" length="0">
      <dxf/>
    </rfmt>
    <rfmt sheetId="2" sqref="DD788" start="0" length="0">
      <dxf/>
    </rfmt>
    <rfmt sheetId="2" sqref="DE788" start="0" length="0">
      <dxf/>
    </rfmt>
    <rfmt sheetId="2" sqref="DF788" start="0" length="0">
      <dxf/>
    </rfmt>
    <rfmt sheetId="2" sqref="DG788" start="0" length="0">
      <dxf/>
    </rfmt>
    <rfmt sheetId="2" sqref="DH788" start="0" length="0">
      <dxf/>
    </rfmt>
    <rfmt sheetId="2" sqref="DI788" start="0" length="0">
      <dxf/>
    </rfmt>
    <rfmt sheetId="2" sqref="DJ788" start="0" length="0">
      <dxf/>
    </rfmt>
    <rfmt sheetId="2" sqref="DK788" start="0" length="0">
      <dxf/>
    </rfmt>
    <rfmt sheetId="2" sqref="DL788" start="0" length="0">
      <dxf/>
    </rfmt>
    <rfmt sheetId="2" sqref="DM788" start="0" length="0">
      <dxf/>
    </rfmt>
    <rfmt sheetId="2" sqref="DN788" start="0" length="0">
      <dxf/>
    </rfmt>
    <rfmt sheetId="2" sqref="DO788" start="0" length="0">
      <dxf/>
    </rfmt>
    <rfmt sheetId="2" sqref="DP788" start="0" length="0">
      <dxf/>
    </rfmt>
    <rfmt sheetId="2" sqref="DQ788" start="0" length="0">
      <dxf/>
    </rfmt>
    <rfmt sheetId="2" sqref="DR788" start="0" length="0">
      <dxf/>
    </rfmt>
    <rfmt sheetId="2" sqref="DS788" start="0" length="0">
      <dxf/>
    </rfmt>
    <rfmt sheetId="2" sqref="DT788" start="0" length="0">
      <dxf/>
    </rfmt>
    <rfmt sheetId="2" sqref="DU788" start="0" length="0">
      <dxf/>
    </rfmt>
    <rfmt sheetId="2" sqref="DV788" start="0" length="0">
      <dxf/>
    </rfmt>
    <rfmt sheetId="2" sqref="DW788" start="0" length="0">
      <dxf/>
    </rfmt>
    <rfmt sheetId="2" sqref="DX788" start="0" length="0">
      <dxf/>
    </rfmt>
    <rfmt sheetId="2" sqref="DY788" start="0" length="0">
      <dxf/>
    </rfmt>
    <rfmt sheetId="2" sqref="DZ788" start="0" length="0">
      <dxf/>
    </rfmt>
    <rfmt sheetId="2" sqref="EA788" start="0" length="0">
      <dxf/>
    </rfmt>
    <rfmt sheetId="2" sqref="EB788" start="0" length="0">
      <dxf/>
    </rfmt>
    <rfmt sheetId="2" sqref="EC788" start="0" length="0">
      <dxf/>
    </rfmt>
    <rfmt sheetId="2" sqref="ED788" start="0" length="0">
      <dxf/>
    </rfmt>
    <rfmt sheetId="2" sqref="EE788" start="0" length="0">
      <dxf/>
    </rfmt>
    <rfmt sheetId="2" sqref="EF788" start="0" length="0">
      <dxf/>
    </rfmt>
    <rfmt sheetId="2" sqref="EG788" start="0" length="0">
      <dxf/>
    </rfmt>
    <rfmt sheetId="2" sqref="EH788" start="0" length="0">
      <dxf/>
    </rfmt>
    <rfmt sheetId="2" sqref="EI788" start="0" length="0">
      <dxf/>
    </rfmt>
    <rfmt sheetId="2" sqref="EJ788" start="0" length="0">
      <dxf/>
    </rfmt>
    <rfmt sheetId="2" sqref="EK788" start="0" length="0">
      <dxf/>
    </rfmt>
    <rfmt sheetId="2" sqref="EL788" start="0" length="0">
      <dxf/>
    </rfmt>
    <rfmt sheetId="2" sqref="EM788" start="0" length="0">
      <dxf/>
    </rfmt>
    <rfmt sheetId="2" sqref="EN788" start="0" length="0">
      <dxf/>
    </rfmt>
    <rfmt sheetId="2" sqref="EO788" start="0" length="0">
      <dxf/>
    </rfmt>
    <rfmt sheetId="2" sqref="EP788" start="0" length="0">
      <dxf/>
    </rfmt>
    <rfmt sheetId="2" sqref="EQ788" start="0" length="0">
      <dxf/>
    </rfmt>
    <rfmt sheetId="2" sqref="ER788" start="0" length="0">
      <dxf/>
    </rfmt>
    <rfmt sheetId="2" sqref="ES788" start="0" length="0">
      <dxf/>
    </rfmt>
    <rfmt sheetId="2" sqref="ET788" start="0" length="0">
      <dxf/>
    </rfmt>
    <rfmt sheetId="2" sqref="EU788" start="0" length="0">
      <dxf/>
    </rfmt>
    <rfmt sheetId="2" sqref="EV788" start="0" length="0">
      <dxf/>
    </rfmt>
    <rfmt sheetId="2" sqref="EW788" start="0" length="0">
      <dxf/>
    </rfmt>
    <rfmt sheetId="2" sqref="EX788" start="0" length="0">
      <dxf/>
    </rfmt>
    <rfmt sheetId="2" sqref="EY788" start="0" length="0">
      <dxf/>
    </rfmt>
    <rfmt sheetId="2" sqref="EZ788" start="0" length="0">
      <dxf/>
    </rfmt>
    <rfmt sheetId="2" sqref="FA788" start="0" length="0">
      <dxf/>
    </rfmt>
    <rfmt sheetId="2" sqref="FB788" start="0" length="0">
      <dxf/>
    </rfmt>
    <rfmt sheetId="2" sqref="FC788" start="0" length="0">
      <dxf/>
    </rfmt>
    <rfmt sheetId="2" sqref="FD788" start="0" length="0">
      <dxf/>
    </rfmt>
    <rfmt sheetId="2" sqref="FE788" start="0" length="0">
      <dxf/>
    </rfmt>
    <rfmt sheetId="2" sqref="FF788" start="0" length="0">
      <dxf/>
    </rfmt>
    <rfmt sheetId="2" sqref="FG788" start="0" length="0">
      <dxf/>
    </rfmt>
    <rfmt sheetId="2" sqref="FH788" start="0" length="0">
      <dxf/>
    </rfmt>
    <rfmt sheetId="2" sqref="FI788" start="0" length="0">
      <dxf/>
    </rfmt>
    <rfmt sheetId="2" sqref="FJ788" start="0" length="0">
      <dxf/>
    </rfmt>
    <rfmt sheetId="2" sqref="FK788" start="0" length="0">
      <dxf/>
    </rfmt>
    <rfmt sheetId="2" sqref="FL788" start="0" length="0">
      <dxf/>
    </rfmt>
    <rfmt sheetId="2" sqref="FM788" start="0" length="0">
      <dxf/>
    </rfmt>
    <rfmt sheetId="2" sqref="FN788" start="0" length="0">
      <dxf/>
    </rfmt>
    <rfmt sheetId="2" sqref="FO788" start="0" length="0">
      <dxf/>
    </rfmt>
    <rfmt sheetId="2" sqref="FP788" start="0" length="0">
      <dxf/>
    </rfmt>
    <rfmt sheetId="2" sqref="FQ788" start="0" length="0">
      <dxf/>
    </rfmt>
    <rfmt sheetId="2" sqref="FR788" start="0" length="0">
      <dxf/>
    </rfmt>
    <rfmt sheetId="2" sqref="FS788" start="0" length="0">
      <dxf/>
    </rfmt>
    <rfmt sheetId="2" sqref="FT788" start="0" length="0">
      <dxf/>
    </rfmt>
    <rfmt sheetId="2" sqref="FU788" start="0" length="0">
      <dxf/>
    </rfmt>
    <rfmt sheetId="2" sqref="FV788" start="0" length="0">
      <dxf/>
    </rfmt>
    <rfmt sheetId="2" sqref="FW788" start="0" length="0">
      <dxf/>
    </rfmt>
    <rfmt sheetId="2" sqref="FX788" start="0" length="0">
      <dxf/>
    </rfmt>
    <rfmt sheetId="2" sqref="FY788" start="0" length="0">
      <dxf/>
    </rfmt>
    <rfmt sheetId="2" sqref="FZ788" start="0" length="0">
      <dxf/>
    </rfmt>
    <rfmt sheetId="2" sqref="GA788" start="0" length="0">
      <dxf/>
    </rfmt>
    <rfmt sheetId="2" sqref="GB788" start="0" length="0">
      <dxf/>
    </rfmt>
    <rfmt sheetId="2" sqref="GC788" start="0" length="0">
      <dxf/>
    </rfmt>
    <rfmt sheetId="2" sqref="GD788" start="0" length="0">
      <dxf/>
    </rfmt>
    <rfmt sheetId="2" sqref="GE788" start="0" length="0">
      <dxf/>
    </rfmt>
    <rfmt sheetId="2" sqref="GF788" start="0" length="0">
      <dxf/>
    </rfmt>
    <rfmt sheetId="2" sqref="GG788" start="0" length="0">
      <dxf/>
    </rfmt>
    <rfmt sheetId="2" sqref="GH788" start="0" length="0">
      <dxf/>
    </rfmt>
    <rfmt sheetId="2" sqref="GI788" start="0" length="0">
      <dxf/>
    </rfmt>
    <rfmt sheetId="2" sqref="GJ788" start="0" length="0">
      <dxf/>
    </rfmt>
    <rfmt sheetId="2" sqref="GK788" start="0" length="0">
      <dxf/>
    </rfmt>
    <rfmt sheetId="2" sqref="GL788" start="0" length="0">
      <dxf/>
    </rfmt>
    <rfmt sheetId="2" sqref="GM788" start="0" length="0">
      <dxf/>
    </rfmt>
    <rfmt sheetId="2" sqref="GN788" start="0" length="0">
      <dxf/>
    </rfmt>
    <rfmt sheetId="2" sqref="GO788" start="0" length="0">
      <dxf/>
    </rfmt>
    <rfmt sheetId="2" sqref="GP788" start="0" length="0">
      <dxf/>
    </rfmt>
    <rfmt sheetId="2" sqref="GQ788" start="0" length="0">
      <dxf/>
    </rfmt>
    <rfmt sheetId="2" sqref="GR788" start="0" length="0">
      <dxf/>
    </rfmt>
    <rfmt sheetId="2" sqref="GS788" start="0" length="0">
      <dxf/>
    </rfmt>
    <rfmt sheetId="2" sqref="GT788" start="0" length="0">
      <dxf/>
    </rfmt>
    <rfmt sheetId="2" sqref="GU788" start="0" length="0">
      <dxf/>
    </rfmt>
    <rfmt sheetId="2" sqref="GV788" start="0" length="0">
      <dxf/>
    </rfmt>
    <rfmt sheetId="2" sqref="GW788" start="0" length="0">
      <dxf/>
    </rfmt>
    <rfmt sheetId="2" sqref="GX788" start="0" length="0">
      <dxf/>
    </rfmt>
    <rfmt sheetId="2" sqref="GY788" start="0" length="0">
      <dxf/>
    </rfmt>
    <rfmt sheetId="2" sqref="GZ788" start="0" length="0">
      <dxf/>
    </rfmt>
    <rfmt sheetId="2" sqref="HA788" start="0" length="0">
      <dxf/>
    </rfmt>
    <rfmt sheetId="2" sqref="HB788" start="0" length="0">
      <dxf/>
    </rfmt>
    <rfmt sheetId="2" sqref="HC788" start="0" length="0">
      <dxf/>
    </rfmt>
    <rfmt sheetId="2" sqref="HD788" start="0" length="0">
      <dxf/>
    </rfmt>
    <rfmt sheetId="2" sqref="HE788" start="0" length="0">
      <dxf/>
    </rfmt>
    <rfmt sheetId="2" sqref="HF788" start="0" length="0">
      <dxf/>
    </rfmt>
    <rfmt sheetId="2" sqref="HG788" start="0" length="0">
      <dxf/>
    </rfmt>
    <rfmt sheetId="2" sqref="HH788" start="0" length="0">
      <dxf/>
    </rfmt>
    <rfmt sheetId="2" sqref="HI788" start="0" length="0">
      <dxf/>
    </rfmt>
    <rfmt sheetId="2" sqref="HJ788" start="0" length="0">
      <dxf/>
    </rfmt>
    <rfmt sheetId="2" sqref="HK788" start="0" length="0">
      <dxf/>
    </rfmt>
    <rfmt sheetId="2" sqref="HL788" start="0" length="0">
      <dxf/>
    </rfmt>
    <rfmt sheetId="2" sqref="HM788" start="0" length="0">
      <dxf/>
    </rfmt>
    <rfmt sheetId="2" sqref="HN788" start="0" length="0">
      <dxf/>
    </rfmt>
    <rfmt sheetId="2" sqref="HO788" start="0" length="0">
      <dxf/>
    </rfmt>
    <rfmt sheetId="2" sqref="HP788" start="0" length="0">
      <dxf/>
    </rfmt>
    <rfmt sheetId="2" sqref="HQ788" start="0" length="0">
      <dxf/>
    </rfmt>
    <rfmt sheetId="2" sqref="HR788" start="0" length="0">
      <dxf/>
    </rfmt>
    <rfmt sheetId="2" sqref="HS788" start="0" length="0">
      <dxf/>
    </rfmt>
    <rfmt sheetId="2" sqref="HT788" start="0" length="0">
      <dxf/>
    </rfmt>
    <rfmt sheetId="2" sqref="HU788" start="0" length="0">
      <dxf/>
    </rfmt>
    <rfmt sheetId="2" sqref="HV788" start="0" length="0">
      <dxf/>
    </rfmt>
    <rfmt sheetId="2" sqref="HW788" start="0" length="0">
      <dxf/>
    </rfmt>
    <rfmt sheetId="2" sqref="HX788" start="0" length="0">
      <dxf/>
    </rfmt>
    <rfmt sheetId="2" sqref="HY788" start="0" length="0">
      <dxf/>
    </rfmt>
    <rfmt sheetId="2" sqref="HZ788" start="0" length="0">
      <dxf/>
    </rfmt>
    <rfmt sheetId="2" sqref="IA788" start="0" length="0">
      <dxf/>
    </rfmt>
    <rfmt sheetId="2" sqref="IB788" start="0" length="0">
      <dxf/>
    </rfmt>
    <rfmt sheetId="2" sqref="IC788" start="0" length="0">
      <dxf/>
    </rfmt>
    <rfmt sheetId="2" sqref="ID788" start="0" length="0">
      <dxf/>
    </rfmt>
    <rfmt sheetId="2" sqref="IE788" start="0" length="0">
      <dxf/>
    </rfmt>
    <rfmt sheetId="2" sqref="IF788" start="0" length="0">
      <dxf/>
    </rfmt>
    <rfmt sheetId="2" sqref="IG788" start="0" length="0">
      <dxf/>
    </rfmt>
    <rfmt sheetId="2" sqref="IH788" start="0" length="0">
      <dxf/>
    </rfmt>
    <rfmt sheetId="2" sqref="II788" start="0" length="0">
      <dxf/>
    </rfmt>
    <rfmt sheetId="2" sqref="IJ788" start="0" length="0">
      <dxf/>
    </rfmt>
    <rfmt sheetId="2" sqref="IK788" start="0" length="0">
      <dxf/>
    </rfmt>
    <rfmt sheetId="2" sqref="IL788" start="0" length="0">
      <dxf/>
    </rfmt>
    <rfmt sheetId="2" sqref="IM788" start="0" length="0">
      <dxf/>
    </rfmt>
    <rfmt sheetId="2" sqref="IN788" start="0" length="0">
      <dxf/>
    </rfmt>
    <rfmt sheetId="2" sqref="IO788" start="0" length="0">
      <dxf/>
    </rfmt>
    <rfmt sheetId="2" sqref="IP788" start="0" length="0">
      <dxf/>
    </rfmt>
    <rfmt sheetId="2" sqref="IQ788" start="0" length="0">
      <dxf/>
    </rfmt>
    <rfmt sheetId="2" sqref="IR788" start="0" length="0">
      <dxf/>
    </rfmt>
    <rfmt sheetId="2" sqref="IS788" start="0" length="0">
      <dxf/>
    </rfmt>
    <rfmt sheetId="2" sqref="IT788" start="0" length="0">
      <dxf/>
    </rfmt>
    <rfmt sheetId="2" sqref="IU788" start="0" length="0">
      <dxf/>
    </rfmt>
    <rfmt sheetId="2" sqref="IV788" start="0" length="0">
      <dxf/>
    </rfmt>
    <rfmt sheetId="2" sqref="IW788" start="0" length="0">
      <dxf/>
    </rfmt>
    <rfmt sheetId="2" sqref="IX788" start="0" length="0">
      <dxf/>
    </rfmt>
    <rfmt sheetId="2" sqref="IY788" start="0" length="0">
      <dxf/>
    </rfmt>
    <rfmt sheetId="2" sqref="IZ788" start="0" length="0">
      <dxf/>
    </rfmt>
    <rfmt sheetId="2" sqref="JA788" start="0" length="0">
      <dxf/>
    </rfmt>
    <rfmt sheetId="2" sqref="JB788" start="0" length="0">
      <dxf/>
    </rfmt>
    <rfmt sheetId="2" sqref="JC788" start="0" length="0">
      <dxf/>
    </rfmt>
    <rfmt sheetId="2" sqref="JD788" start="0" length="0">
      <dxf/>
    </rfmt>
    <rfmt sheetId="2" sqref="JE788" start="0" length="0">
      <dxf/>
    </rfmt>
    <rfmt sheetId="2" sqref="JF788" start="0" length="0">
      <dxf/>
    </rfmt>
    <rfmt sheetId="2" sqref="JG788" start="0" length="0">
      <dxf/>
    </rfmt>
    <rfmt sheetId="2" sqref="JH788" start="0" length="0">
      <dxf/>
    </rfmt>
    <rfmt sheetId="2" sqref="JI788" start="0" length="0">
      <dxf/>
    </rfmt>
    <rfmt sheetId="2" sqref="JJ788" start="0" length="0">
      <dxf/>
    </rfmt>
    <rfmt sheetId="2" sqref="JK788" start="0" length="0">
      <dxf/>
    </rfmt>
    <rfmt sheetId="2" sqref="JL788" start="0" length="0">
      <dxf/>
    </rfmt>
    <rfmt sheetId="2" sqref="JM788" start="0" length="0">
      <dxf/>
    </rfmt>
    <rfmt sheetId="2" sqref="JN788" start="0" length="0">
      <dxf/>
    </rfmt>
    <rfmt sheetId="2" sqref="JO788" start="0" length="0">
      <dxf/>
    </rfmt>
    <rfmt sheetId="2" sqref="JP788" start="0" length="0">
      <dxf/>
    </rfmt>
    <rfmt sheetId="2" sqref="JQ788" start="0" length="0">
      <dxf/>
    </rfmt>
    <rfmt sheetId="2" sqref="JR788" start="0" length="0">
      <dxf/>
    </rfmt>
    <rfmt sheetId="2" sqref="JS788" start="0" length="0">
      <dxf/>
    </rfmt>
    <rfmt sheetId="2" sqref="JT788" start="0" length="0">
      <dxf/>
    </rfmt>
    <rfmt sheetId="2" sqref="JU788" start="0" length="0">
      <dxf/>
    </rfmt>
    <rfmt sheetId="2" sqref="JV788" start="0" length="0">
      <dxf/>
    </rfmt>
    <rfmt sheetId="2" sqref="JW788" start="0" length="0">
      <dxf/>
    </rfmt>
    <rfmt sheetId="2" sqref="JX788" start="0" length="0">
      <dxf/>
    </rfmt>
    <rfmt sheetId="2" sqref="JY788" start="0" length="0">
      <dxf/>
    </rfmt>
    <rfmt sheetId="2" sqref="JZ788" start="0" length="0">
      <dxf/>
    </rfmt>
    <rfmt sheetId="2" sqref="KA788" start="0" length="0">
      <dxf/>
    </rfmt>
    <rfmt sheetId="2" sqref="KB788" start="0" length="0">
      <dxf/>
    </rfmt>
    <rfmt sheetId="2" sqref="KC788" start="0" length="0">
      <dxf/>
    </rfmt>
    <rfmt sheetId="2" sqref="KD788" start="0" length="0">
      <dxf/>
    </rfmt>
    <rfmt sheetId="2" sqref="KE788" start="0" length="0">
      <dxf/>
    </rfmt>
    <rfmt sheetId="2" sqref="KF788" start="0" length="0">
      <dxf/>
    </rfmt>
    <rfmt sheetId="2" sqref="KG788" start="0" length="0">
      <dxf/>
    </rfmt>
    <rfmt sheetId="2" sqref="KH788" start="0" length="0">
      <dxf/>
    </rfmt>
    <rfmt sheetId="2" sqref="KI788" start="0" length="0">
      <dxf/>
    </rfmt>
    <rfmt sheetId="2" sqref="KJ788" start="0" length="0">
      <dxf/>
    </rfmt>
    <rfmt sheetId="2" sqref="KK788" start="0" length="0">
      <dxf/>
    </rfmt>
    <rfmt sheetId="2" sqref="KL788" start="0" length="0">
      <dxf/>
    </rfmt>
    <rfmt sheetId="2" sqref="KM788" start="0" length="0">
      <dxf/>
    </rfmt>
    <rfmt sheetId="2" sqref="KN788" start="0" length="0">
      <dxf/>
    </rfmt>
    <rfmt sheetId="2" sqref="KO788" start="0" length="0">
      <dxf/>
    </rfmt>
    <rfmt sheetId="2" sqref="KP788" start="0" length="0">
      <dxf/>
    </rfmt>
    <rfmt sheetId="2" sqref="KQ788" start="0" length="0">
      <dxf/>
    </rfmt>
    <rfmt sheetId="2" sqref="KR788" start="0" length="0">
      <dxf/>
    </rfmt>
    <rfmt sheetId="2" sqref="KS788" start="0" length="0">
      <dxf/>
    </rfmt>
    <rfmt sheetId="2" sqref="KT788" start="0" length="0">
      <dxf/>
    </rfmt>
    <rfmt sheetId="2" sqref="KU788" start="0" length="0">
      <dxf/>
    </rfmt>
    <rfmt sheetId="2" sqref="KV788" start="0" length="0">
      <dxf/>
    </rfmt>
    <rfmt sheetId="2" sqref="KW788" start="0" length="0">
      <dxf/>
    </rfmt>
    <rfmt sheetId="2" sqref="KX788" start="0" length="0">
      <dxf/>
    </rfmt>
    <rfmt sheetId="2" sqref="KY788" start="0" length="0">
      <dxf/>
    </rfmt>
    <rfmt sheetId="2" sqref="KZ788" start="0" length="0">
      <dxf/>
    </rfmt>
    <rfmt sheetId="2" sqref="LA788" start="0" length="0">
      <dxf/>
    </rfmt>
    <rfmt sheetId="2" sqref="LB788" start="0" length="0">
      <dxf/>
    </rfmt>
    <rfmt sheetId="2" sqref="LC788" start="0" length="0">
      <dxf/>
    </rfmt>
    <rfmt sheetId="2" sqref="LD788" start="0" length="0">
      <dxf/>
    </rfmt>
    <rfmt sheetId="2" sqref="LE788" start="0" length="0">
      <dxf/>
    </rfmt>
    <rfmt sheetId="2" sqref="LF788" start="0" length="0">
      <dxf/>
    </rfmt>
    <rfmt sheetId="2" sqref="LG788" start="0" length="0">
      <dxf/>
    </rfmt>
    <rfmt sheetId="2" sqref="LH788" start="0" length="0">
      <dxf/>
    </rfmt>
    <rfmt sheetId="2" sqref="LI788" start="0" length="0">
      <dxf/>
    </rfmt>
    <rfmt sheetId="2" sqref="LJ788" start="0" length="0">
      <dxf/>
    </rfmt>
    <rfmt sheetId="2" sqref="LK788" start="0" length="0">
      <dxf/>
    </rfmt>
    <rfmt sheetId="2" sqref="LL788" start="0" length="0">
      <dxf/>
    </rfmt>
    <rfmt sheetId="2" sqref="LM788" start="0" length="0">
      <dxf/>
    </rfmt>
    <rfmt sheetId="2" sqref="LN788" start="0" length="0">
      <dxf/>
    </rfmt>
    <rfmt sheetId="2" sqref="LO788" start="0" length="0">
      <dxf/>
    </rfmt>
    <rfmt sheetId="2" sqref="LP788" start="0" length="0">
      <dxf/>
    </rfmt>
    <rfmt sheetId="2" sqref="LQ788" start="0" length="0">
      <dxf/>
    </rfmt>
    <rfmt sheetId="2" sqref="LR788" start="0" length="0">
      <dxf/>
    </rfmt>
    <rfmt sheetId="2" sqref="LS788" start="0" length="0">
      <dxf/>
    </rfmt>
    <rfmt sheetId="2" sqref="LT788" start="0" length="0">
      <dxf/>
    </rfmt>
    <rfmt sheetId="2" sqref="LU788" start="0" length="0">
      <dxf/>
    </rfmt>
    <rfmt sheetId="2" sqref="LV788" start="0" length="0">
      <dxf/>
    </rfmt>
    <rfmt sheetId="2" sqref="LW788" start="0" length="0">
      <dxf/>
    </rfmt>
    <rfmt sheetId="2" sqref="LX788" start="0" length="0">
      <dxf/>
    </rfmt>
    <rfmt sheetId="2" sqref="LY788" start="0" length="0">
      <dxf/>
    </rfmt>
    <rfmt sheetId="2" sqref="LZ788" start="0" length="0">
      <dxf/>
    </rfmt>
    <rfmt sheetId="2" sqref="MA788" start="0" length="0">
      <dxf/>
    </rfmt>
    <rfmt sheetId="2" sqref="MB788" start="0" length="0">
      <dxf/>
    </rfmt>
  </rm>
  <rrc rId="2667" sId="2" ref="A797:XFD797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97:XFD797" start="0" length="0">
      <dxf>
        <font>
          <sz val="10"/>
          <name val="Arial"/>
          <scheme val="none"/>
        </font>
        <alignment horizontal="center" readingOrder="0"/>
      </dxf>
    </rfmt>
    <rfmt sheetId="2" sqref="A79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9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7" start="0" length="0">
      <dxf>
        <numFmt numFmtId="176" formatCode="m/d;@"/>
      </dxf>
    </rfmt>
    <rfmt sheetId="2" sqref="P79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7" start="0" length="0">
      <dxf/>
    </rfmt>
    <rfmt sheetId="2" sqref="U797" start="0" length="0">
      <dxf/>
    </rfmt>
    <rfmt sheetId="2" sqref="V797" start="0" length="0">
      <dxf/>
    </rfmt>
    <rfmt sheetId="2" sqref="W797" start="0" length="0">
      <dxf/>
    </rfmt>
    <rfmt sheetId="2" sqref="X797" start="0" length="0">
      <dxf/>
    </rfmt>
    <rfmt sheetId="2" sqref="Y797" start="0" length="0">
      <dxf/>
    </rfmt>
    <rfmt sheetId="2" sqref="Z797" start="0" length="0">
      <dxf/>
    </rfmt>
    <rfmt sheetId="2" sqref="AA797" start="0" length="0">
      <dxf/>
    </rfmt>
    <rfmt sheetId="2" sqref="AB797" start="0" length="0">
      <dxf/>
    </rfmt>
    <rfmt sheetId="2" sqref="AC797" start="0" length="0">
      <dxf/>
    </rfmt>
    <rfmt sheetId="2" sqref="AD797" start="0" length="0">
      <dxf/>
    </rfmt>
    <rfmt sheetId="2" sqref="AE797" start="0" length="0">
      <dxf/>
    </rfmt>
    <rfmt sheetId="2" sqref="AF797" start="0" length="0">
      <dxf/>
    </rfmt>
    <rfmt sheetId="2" sqref="AG797" start="0" length="0">
      <dxf/>
    </rfmt>
    <rfmt sheetId="2" sqref="AH797" start="0" length="0">
      <dxf/>
    </rfmt>
    <rfmt sheetId="2" sqref="AI797" start="0" length="0">
      <dxf/>
    </rfmt>
    <rfmt sheetId="2" sqref="AJ797" start="0" length="0">
      <dxf/>
    </rfmt>
    <rfmt sheetId="2" sqref="AK797" start="0" length="0">
      <dxf/>
    </rfmt>
    <rfmt sheetId="2" sqref="AL797" start="0" length="0">
      <dxf/>
    </rfmt>
    <rfmt sheetId="2" sqref="AM797" start="0" length="0">
      <dxf/>
    </rfmt>
    <rfmt sheetId="2" sqref="AN797" start="0" length="0">
      <dxf/>
    </rfmt>
    <rfmt sheetId="2" sqref="AO797" start="0" length="0">
      <dxf/>
    </rfmt>
    <rfmt sheetId="2" sqref="AP797" start="0" length="0">
      <dxf/>
    </rfmt>
    <rfmt sheetId="2" sqref="AQ797" start="0" length="0">
      <dxf/>
    </rfmt>
    <rfmt sheetId="2" sqref="AR797" start="0" length="0">
      <dxf/>
    </rfmt>
    <rfmt sheetId="2" sqref="AS797" start="0" length="0">
      <dxf/>
    </rfmt>
    <rfmt sheetId="2" sqref="AT797" start="0" length="0">
      <dxf/>
    </rfmt>
    <rfmt sheetId="2" sqref="AU797" start="0" length="0">
      <dxf/>
    </rfmt>
    <rfmt sheetId="2" sqref="AV797" start="0" length="0">
      <dxf/>
    </rfmt>
    <rfmt sheetId="2" sqref="AW797" start="0" length="0">
      <dxf/>
    </rfmt>
    <rfmt sheetId="2" sqref="AX797" start="0" length="0">
      <dxf/>
    </rfmt>
    <rfmt sheetId="2" sqref="AY797" start="0" length="0">
      <dxf/>
    </rfmt>
    <rfmt sheetId="2" sqref="AZ797" start="0" length="0">
      <dxf/>
    </rfmt>
    <rfmt sheetId="2" sqref="BA797" start="0" length="0">
      <dxf/>
    </rfmt>
    <rfmt sheetId="2" sqref="BB797" start="0" length="0">
      <dxf/>
    </rfmt>
    <rfmt sheetId="2" sqref="BC797" start="0" length="0">
      <dxf/>
    </rfmt>
    <rfmt sheetId="2" sqref="BD797" start="0" length="0">
      <dxf/>
    </rfmt>
    <rfmt sheetId="2" sqref="BE797" start="0" length="0">
      <dxf/>
    </rfmt>
    <rfmt sheetId="2" sqref="BF797" start="0" length="0">
      <dxf/>
    </rfmt>
    <rfmt sheetId="2" sqref="BG797" start="0" length="0">
      <dxf/>
    </rfmt>
    <rfmt sheetId="2" sqref="BH797" start="0" length="0">
      <dxf/>
    </rfmt>
    <rfmt sheetId="2" sqref="BI797" start="0" length="0">
      <dxf/>
    </rfmt>
    <rfmt sheetId="2" sqref="BJ797" start="0" length="0">
      <dxf/>
    </rfmt>
    <rfmt sheetId="2" sqref="BK797" start="0" length="0">
      <dxf/>
    </rfmt>
    <rfmt sheetId="2" sqref="BL797" start="0" length="0">
      <dxf/>
    </rfmt>
    <rfmt sheetId="2" sqref="BM797" start="0" length="0">
      <dxf/>
    </rfmt>
    <rfmt sheetId="2" sqref="BN797" start="0" length="0">
      <dxf/>
    </rfmt>
    <rfmt sheetId="2" sqref="BO797" start="0" length="0">
      <dxf/>
    </rfmt>
    <rfmt sheetId="2" sqref="BP797" start="0" length="0">
      <dxf/>
    </rfmt>
    <rfmt sheetId="2" sqref="BQ797" start="0" length="0">
      <dxf/>
    </rfmt>
    <rfmt sheetId="2" sqref="BR797" start="0" length="0">
      <dxf/>
    </rfmt>
    <rfmt sheetId="2" sqref="BS797" start="0" length="0">
      <dxf/>
    </rfmt>
    <rfmt sheetId="2" sqref="BT797" start="0" length="0">
      <dxf/>
    </rfmt>
    <rfmt sheetId="2" sqref="BU797" start="0" length="0">
      <dxf/>
    </rfmt>
    <rfmt sheetId="2" sqref="BV797" start="0" length="0">
      <dxf/>
    </rfmt>
    <rfmt sheetId="2" sqref="BW797" start="0" length="0">
      <dxf/>
    </rfmt>
    <rfmt sheetId="2" sqref="BX797" start="0" length="0">
      <dxf/>
    </rfmt>
    <rfmt sheetId="2" sqref="BY797" start="0" length="0">
      <dxf/>
    </rfmt>
    <rfmt sheetId="2" sqref="BZ797" start="0" length="0">
      <dxf/>
    </rfmt>
    <rfmt sheetId="2" sqref="CA797" start="0" length="0">
      <dxf/>
    </rfmt>
    <rfmt sheetId="2" sqref="CB797" start="0" length="0">
      <dxf/>
    </rfmt>
    <rfmt sheetId="2" sqref="CC797" start="0" length="0">
      <dxf/>
    </rfmt>
    <rfmt sheetId="2" sqref="CD797" start="0" length="0">
      <dxf/>
    </rfmt>
    <rfmt sheetId="2" sqref="CE797" start="0" length="0">
      <dxf/>
    </rfmt>
    <rfmt sheetId="2" sqref="CF797" start="0" length="0">
      <dxf/>
    </rfmt>
    <rfmt sheetId="2" sqref="CG797" start="0" length="0">
      <dxf/>
    </rfmt>
    <rfmt sheetId="2" sqref="CH797" start="0" length="0">
      <dxf/>
    </rfmt>
    <rfmt sheetId="2" sqref="CI797" start="0" length="0">
      <dxf/>
    </rfmt>
    <rfmt sheetId="2" sqref="CJ797" start="0" length="0">
      <dxf/>
    </rfmt>
    <rfmt sheetId="2" sqref="CK797" start="0" length="0">
      <dxf/>
    </rfmt>
    <rfmt sheetId="2" sqref="CL797" start="0" length="0">
      <dxf/>
    </rfmt>
    <rfmt sheetId="2" sqref="CM797" start="0" length="0">
      <dxf/>
    </rfmt>
    <rfmt sheetId="2" sqref="CN797" start="0" length="0">
      <dxf/>
    </rfmt>
    <rfmt sheetId="2" sqref="CO797" start="0" length="0">
      <dxf/>
    </rfmt>
    <rfmt sheetId="2" sqref="CP797" start="0" length="0">
      <dxf/>
    </rfmt>
    <rfmt sheetId="2" sqref="CQ797" start="0" length="0">
      <dxf/>
    </rfmt>
    <rfmt sheetId="2" sqref="CR797" start="0" length="0">
      <dxf/>
    </rfmt>
    <rfmt sheetId="2" sqref="CS797" start="0" length="0">
      <dxf/>
    </rfmt>
    <rfmt sheetId="2" sqref="CT797" start="0" length="0">
      <dxf/>
    </rfmt>
    <rfmt sheetId="2" sqref="CU797" start="0" length="0">
      <dxf/>
    </rfmt>
    <rfmt sheetId="2" sqref="CV797" start="0" length="0">
      <dxf/>
    </rfmt>
    <rfmt sheetId="2" sqref="CW797" start="0" length="0">
      <dxf/>
    </rfmt>
    <rfmt sheetId="2" sqref="CX797" start="0" length="0">
      <dxf/>
    </rfmt>
    <rfmt sheetId="2" sqref="CY797" start="0" length="0">
      <dxf/>
    </rfmt>
    <rfmt sheetId="2" sqref="CZ797" start="0" length="0">
      <dxf/>
    </rfmt>
    <rfmt sheetId="2" sqref="DA797" start="0" length="0">
      <dxf/>
    </rfmt>
    <rfmt sheetId="2" sqref="DB797" start="0" length="0">
      <dxf/>
    </rfmt>
    <rfmt sheetId="2" sqref="DC797" start="0" length="0">
      <dxf/>
    </rfmt>
    <rfmt sheetId="2" sqref="DD797" start="0" length="0">
      <dxf/>
    </rfmt>
    <rfmt sheetId="2" sqref="DE797" start="0" length="0">
      <dxf/>
    </rfmt>
    <rfmt sheetId="2" sqref="DF797" start="0" length="0">
      <dxf/>
    </rfmt>
    <rfmt sheetId="2" sqref="DG797" start="0" length="0">
      <dxf/>
    </rfmt>
    <rfmt sheetId="2" sqref="DH797" start="0" length="0">
      <dxf/>
    </rfmt>
    <rfmt sheetId="2" sqref="DI797" start="0" length="0">
      <dxf/>
    </rfmt>
    <rfmt sheetId="2" sqref="DJ797" start="0" length="0">
      <dxf/>
    </rfmt>
    <rfmt sheetId="2" sqref="DK797" start="0" length="0">
      <dxf/>
    </rfmt>
    <rfmt sheetId="2" sqref="DL797" start="0" length="0">
      <dxf/>
    </rfmt>
    <rfmt sheetId="2" sqref="DM797" start="0" length="0">
      <dxf/>
    </rfmt>
    <rfmt sheetId="2" sqref="DN797" start="0" length="0">
      <dxf/>
    </rfmt>
    <rfmt sheetId="2" sqref="DO797" start="0" length="0">
      <dxf/>
    </rfmt>
    <rfmt sheetId="2" sqref="DP797" start="0" length="0">
      <dxf/>
    </rfmt>
    <rfmt sheetId="2" sqref="DQ797" start="0" length="0">
      <dxf/>
    </rfmt>
    <rfmt sheetId="2" sqref="DR797" start="0" length="0">
      <dxf/>
    </rfmt>
    <rfmt sheetId="2" sqref="DS797" start="0" length="0">
      <dxf/>
    </rfmt>
    <rfmt sheetId="2" sqref="DT797" start="0" length="0">
      <dxf/>
    </rfmt>
    <rfmt sheetId="2" sqref="DU797" start="0" length="0">
      <dxf/>
    </rfmt>
    <rfmt sheetId="2" sqref="DV797" start="0" length="0">
      <dxf/>
    </rfmt>
    <rfmt sheetId="2" sqref="DW797" start="0" length="0">
      <dxf/>
    </rfmt>
    <rfmt sheetId="2" sqref="DX797" start="0" length="0">
      <dxf/>
    </rfmt>
    <rfmt sheetId="2" sqref="DY797" start="0" length="0">
      <dxf/>
    </rfmt>
    <rfmt sheetId="2" sqref="DZ797" start="0" length="0">
      <dxf/>
    </rfmt>
    <rfmt sheetId="2" sqref="EA797" start="0" length="0">
      <dxf/>
    </rfmt>
    <rfmt sheetId="2" sqref="EB797" start="0" length="0">
      <dxf/>
    </rfmt>
    <rfmt sheetId="2" sqref="EC797" start="0" length="0">
      <dxf/>
    </rfmt>
    <rfmt sheetId="2" sqref="ED797" start="0" length="0">
      <dxf/>
    </rfmt>
    <rfmt sheetId="2" sqref="EE797" start="0" length="0">
      <dxf/>
    </rfmt>
    <rfmt sheetId="2" sqref="EF797" start="0" length="0">
      <dxf/>
    </rfmt>
    <rfmt sheetId="2" sqref="EG797" start="0" length="0">
      <dxf/>
    </rfmt>
    <rfmt sheetId="2" sqref="EH797" start="0" length="0">
      <dxf/>
    </rfmt>
    <rfmt sheetId="2" sqref="EI797" start="0" length="0">
      <dxf/>
    </rfmt>
    <rfmt sheetId="2" sqref="EJ797" start="0" length="0">
      <dxf/>
    </rfmt>
    <rfmt sheetId="2" sqref="EK797" start="0" length="0">
      <dxf/>
    </rfmt>
    <rfmt sheetId="2" sqref="EL797" start="0" length="0">
      <dxf/>
    </rfmt>
    <rfmt sheetId="2" sqref="EM797" start="0" length="0">
      <dxf/>
    </rfmt>
    <rfmt sheetId="2" sqref="EN797" start="0" length="0">
      <dxf/>
    </rfmt>
    <rfmt sheetId="2" sqref="EO797" start="0" length="0">
      <dxf/>
    </rfmt>
    <rfmt sheetId="2" sqref="EP797" start="0" length="0">
      <dxf/>
    </rfmt>
    <rfmt sheetId="2" sqref="EQ797" start="0" length="0">
      <dxf/>
    </rfmt>
    <rfmt sheetId="2" sqref="ER797" start="0" length="0">
      <dxf/>
    </rfmt>
    <rfmt sheetId="2" sqref="ES797" start="0" length="0">
      <dxf/>
    </rfmt>
    <rfmt sheetId="2" sqref="ET797" start="0" length="0">
      <dxf/>
    </rfmt>
    <rfmt sheetId="2" sqref="EU797" start="0" length="0">
      <dxf/>
    </rfmt>
    <rfmt sheetId="2" sqref="EV797" start="0" length="0">
      <dxf/>
    </rfmt>
    <rfmt sheetId="2" sqref="EW797" start="0" length="0">
      <dxf/>
    </rfmt>
    <rfmt sheetId="2" sqref="EX797" start="0" length="0">
      <dxf/>
    </rfmt>
    <rfmt sheetId="2" sqref="EY797" start="0" length="0">
      <dxf/>
    </rfmt>
    <rfmt sheetId="2" sqref="EZ797" start="0" length="0">
      <dxf/>
    </rfmt>
    <rfmt sheetId="2" sqref="FA797" start="0" length="0">
      <dxf/>
    </rfmt>
    <rfmt sheetId="2" sqref="FB797" start="0" length="0">
      <dxf/>
    </rfmt>
    <rfmt sheetId="2" sqref="FC797" start="0" length="0">
      <dxf/>
    </rfmt>
    <rfmt sheetId="2" sqref="FD797" start="0" length="0">
      <dxf/>
    </rfmt>
    <rfmt sheetId="2" sqref="FE797" start="0" length="0">
      <dxf/>
    </rfmt>
    <rfmt sheetId="2" sqref="FF797" start="0" length="0">
      <dxf/>
    </rfmt>
    <rfmt sheetId="2" sqref="FG797" start="0" length="0">
      <dxf/>
    </rfmt>
    <rfmt sheetId="2" sqref="FH797" start="0" length="0">
      <dxf/>
    </rfmt>
    <rfmt sheetId="2" sqref="FI797" start="0" length="0">
      <dxf/>
    </rfmt>
    <rfmt sheetId="2" sqref="FJ797" start="0" length="0">
      <dxf/>
    </rfmt>
    <rfmt sheetId="2" sqref="FK797" start="0" length="0">
      <dxf/>
    </rfmt>
    <rfmt sheetId="2" sqref="FL797" start="0" length="0">
      <dxf/>
    </rfmt>
    <rfmt sheetId="2" sqref="FM797" start="0" length="0">
      <dxf/>
    </rfmt>
    <rfmt sheetId="2" sqref="FN797" start="0" length="0">
      <dxf/>
    </rfmt>
    <rfmt sheetId="2" sqref="FO797" start="0" length="0">
      <dxf/>
    </rfmt>
    <rfmt sheetId="2" sqref="FP797" start="0" length="0">
      <dxf/>
    </rfmt>
    <rfmt sheetId="2" sqref="FQ797" start="0" length="0">
      <dxf/>
    </rfmt>
    <rfmt sheetId="2" sqref="FR797" start="0" length="0">
      <dxf/>
    </rfmt>
    <rfmt sheetId="2" sqref="FS797" start="0" length="0">
      <dxf/>
    </rfmt>
    <rfmt sheetId="2" sqref="FT797" start="0" length="0">
      <dxf/>
    </rfmt>
    <rfmt sheetId="2" sqref="FU797" start="0" length="0">
      <dxf/>
    </rfmt>
    <rfmt sheetId="2" sqref="FV797" start="0" length="0">
      <dxf/>
    </rfmt>
    <rfmt sheetId="2" sqref="FW797" start="0" length="0">
      <dxf/>
    </rfmt>
    <rfmt sheetId="2" sqref="FX797" start="0" length="0">
      <dxf/>
    </rfmt>
    <rfmt sheetId="2" sqref="FY797" start="0" length="0">
      <dxf/>
    </rfmt>
    <rfmt sheetId="2" sqref="FZ797" start="0" length="0">
      <dxf/>
    </rfmt>
    <rfmt sheetId="2" sqref="GA797" start="0" length="0">
      <dxf/>
    </rfmt>
    <rfmt sheetId="2" sqref="GB797" start="0" length="0">
      <dxf/>
    </rfmt>
    <rfmt sheetId="2" sqref="GC797" start="0" length="0">
      <dxf/>
    </rfmt>
    <rfmt sheetId="2" sqref="GD797" start="0" length="0">
      <dxf/>
    </rfmt>
    <rfmt sheetId="2" sqref="GE797" start="0" length="0">
      <dxf/>
    </rfmt>
    <rfmt sheetId="2" sqref="GF797" start="0" length="0">
      <dxf/>
    </rfmt>
    <rfmt sheetId="2" sqref="GG797" start="0" length="0">
      <dxf/>
    </rfmt>
    <rfmt sheetId="2" sqref="GH797" start="0" length="0">
      <dxf/>
    </rfmt>
    <rfmt sheetId="2" sqref="GI797" start="0" length="0">
      <dxf/>
    </rfmt>
    <rfmt sheetId="2" sqref="GJ797" start="0" length="0">
      <dxf/>
    </rfmt>
    <rfmt sheetId="2" sqref="GK797" start="0" length="0">
      <dxf/>
    </rfmt>
    <rfmt sheetId="2" sqref="GL797" start="0" length="0">
      <dxf/>
    </rfmt>
    <rfmt sheetId="2" sqref="GM797" start="0" length="0">
      <dxf/>
    </rfmt>
    <rfmt sheetId="2" sqref="GN797" start="0" length="0">
      <dxf/>
    </rfmt>
    <rfmt sheetId="2" sqref="GO797" start="0" length="0">
      <dxf/>
    </rfmt>
    <rfmt sheetId="2" sqref="GP797" start="0" length="0">
      <dxf/>
    </rfmt>
    <rfmt sheetId="2" sqref="GQ797" start="0" length="0">
      <dxf/>
    </rfmt>
    <rfmt sheetId="2" sqref="GR797" start="0" length="0">
      <dxf/>
    </rfmt>
    <rfmt sheetId="2" sqref="GS797" start="0" length="0">
      <dxf/>
    </rfmt>
    <rfmt sheetId="2" sqref="GT797" start="0" length="0">
      <dxf/>
    </rfmt>
    <rfmt sheetId="2" sqref="GU797" start="0" length="0">
      <dxf/>
    </rfmt>
    <rfmt sheetId="2" sqref="GV797" start="0" length="0">
      <dxf/>
    </rfmt>
    <rfmt sheetId="2" sqref="GW797" start="0" length="0">
      <dxf/>
    </rfmt>
    <rfmt sheetId="2" sqref="GX797" start="0" length="0">
      <dxf/>
    </rfmt>
    <rfmt sheetId="2" sqref="GY797" start="0" length="0">
      <dxf/>
    </rfmt>
    <rfmt sheetId="2" sqref="GZ797" start="0" length="0">
      <dxf/>
    </rfmt>
    <rfmt sheetId="2" sqref="HA797" start="0" length="0">
      <dxf/>
    </rfmt>
    <rfmt sheetId="2" sqref="HB797" start="0" length="0">
      <dxf/>
    </rfmt>
    <rfmt sheetId="2" sqref="HC797" start="0" length="0">
      <dxf/>
    </rfmt>
    <rfmt sheetId="2" sqref="HD797" start="0" length="0">
      <dxf/>
    </rfmt>
    <rfmt sheetId="2" sqref="HE797" start="0" length="0">
      <dxf/>
    </rfmt>
    <rfmt sheetId="2" sqref="HF797" start="0" length="0">
      <dxf/>
    </rfmt>
    <rfmt sheetId="2" sqref="HG797" start="0" length="0">
      <dxf/>
    </rfmt>
    <rfmt sheetId="2" sqref="HH797" start="0" length="0">
      <dxf/>
    </rfmt>
    <rfmt sheetId="2" sqref="HI797" start="0" length="0">
      <dxf/>
    </rfmt>
    <rfmt sheetId="2" sqref="HJ797" start="0" length="0">
      <dxf/>
    </rfmt>
    <rfmt sheetId="2" sqref="HK797" start="0" length="0">
      <dxf/>
    </rfmt>
    <rfmt sheetId="2" sqref="HL797" start="0" length="0">
      <dxf/>
    </rfmt>
    <rfmt sheetId="2" sqref="HM797" start="0" length="0">
      <dxf/>
    </rfmt>
    <rfmt sheetId="2" sqref="HN797" start="0" length="0">
      <dxf/>
    </rfmt>
    <rfmt sheetId="2" sqref="HO797" start="0" length="0">
      <dxf/>
    </rfmt>
    <rfmt sheetId="2" sqref="HP797" start="0" length="0">
      <dxf/>
    </rfmt>
    <rfmt sheetId="2" sqref="HQ797" start="0" length="0">
      <dxf/>
    </rfmt>
    <rfmt sheetId="2" sqref="HR797" start="0" length="0">
      <dxf/>
    </rfmt>
    <rfmt sheetId="2" sqref="HS797" start="0" length="0">
      <dxf/>
    </rfmt>
    <rfmt sheetId="2" sqref="HT797" start="0" length="0">
      <dxf/>
    </rfmt>
    <rfmt sheetId="2" sqref="HU797" start="0" length="0">
      <dxf/>
    </rfmt>
    <rfmt sheetId="2" sqref="HV797" start="0" length="0">
      <dxf/>
    </rfmt>
    <rfmt sheetId="2" sqref="HW797" start="0" length="0">
      <dxf/>
    </rfmt>
    <rfmt sheetId="2" sqref="HX797" start="0" length="0">
      <dxf/>
    </rfmt>
    <rfmt sheetId="2" sqref="HY797" start="0" length="0">
      <dxf/>
    </rfmt>
    <rfmt sheetId="2" sqref="HZ797" start="0" length="0">
      <dxf/>
    </rfmt>
    <rfmt sheetId="2" sqref="IA797" start="0" length="0">
      <dxf/>
    </rfmt>
    <rfmt sheetId="2" sqref="IB797" start="0" length="0">
      <dxf/>
    </rfmt>
    <rfmt sheetId="2" sqref="IC797" start="0" length="0">
      <dxf/>
    </rfmt>
    <rfmt sheetId="2" sqref="ID797" start="0" length="0">
      <dxf/>
    </rfmt>
    <rfmt sheetId="2" sqref="IE797" start="0" length="0">
      <dxf/>
    </rfmt>
    <rfmt sheetId="2" sqref="IF797" start="0" length="0">
      <dxf/>
    </rfmt>
    <rfmt sheetId="2" sqref="IG797" start="0" length="0">
      <dxf/>
    </rfmt>
    <rfmt sheetId="2" sqref="IH797" start="0" length="0">
      <dxf/>
    </rfmt>
    <rfmt sheetId="2" sqref="II797" start="0" length="0">
      <dxf/>
    </rfmt>
    <rfmt sheetId="2" sqref="IJ797" start="0" length="0">
      <dxf/>
    </rfmt>
    <rfmt sheetId="2" sqref="IK797" start="0" length="0">
      <dxf/>
    </rfmt>
    <rfmt sheetId="2" sqref="IL797" start="0" length="0">
      <dxf/>
    </rfmt>
    <rfmt sheetId="2" sqref="IM797" start="0" length="0">
      <dxf/>
    </rfmt>
    <rfmt sheetId="2" sqref="IN797" start="0" length="0">
      <dxf/>
    </rfmt>
    <rfmt sheetId="2" sqref="IO797" start="0" length="0">
      <dxf/>
    </rfmt>
    <rfmt sheetId="2" sqref="IP797" start="0" length="0">
      <dxf/>
    </rfmt>
    <rfmt sheetId="2" sqref="IQ797" start="0" length="0">
      <dxf/>
    </rfmt>
    <rfmt sheetId="2" sqref="IR797" start="0" length="0">
      <dxf/>
    </rfmt>
    <rfmt sheetId="2" sqref="IS797" start="0" length="0">
      <dxf/>
    </rfmt>
    <rfmt sheetId="2" sqref="IT797" start="0" length="0">
      <dxf/>
    </rfmt>
    <rfmt sheetId="2" sqref="IU797" start="0" length="0">
      <dxf/>
    </rfmt>
    <rfmt sheetId="2" sqref="IV797" start="0" length="0">
      <dxf/>
    </rfmt>
    <rfmt sheetId="2" sqref="IW797" start="0" length="0">
      <dxf/>
    </rfmt>
    <rfmt sheetId="2" sqref="IX797" start="0" length="0">
      <dxf/>
    </rfmt>
    <rfmt sheetId="2" sqref="IY797" start="0" length="0">
      <dxf/>
    </rfmt>
    <rfmt sheetId="2" sqref="IZ797" start="0" length="0">
      <dxf/>
    </rfmt>
    <rfmt sheetId="2" sqref="JA797" start="0" length="0">
      <dxf/>
    </rfmt>
    <rfmt sheetId="2" sqref="JB797" start="0" length="0">
      <dxf/>
    </rfmt>
    <rfmt sheetId="2" sqref="JC797" start="0" length="0">
      <dxf/>
    </rfmt>
    <rfmt sheetId="2" sqref="JD797" start="0" length="0">
      <dxf/>
    </rfmt>
    <rfmt sheetId="2" sqref="JE797" start="0" length="0">
      <dxf/>
    </rfmt>
    <rfmt sheetId="2" sqref="JF797" start="0" length="0">
      <dxf/>
    </rfmt>
    <rfmt sheetId="2" sqref="JG797" start="0" length="0">
      <dxf/>
    </rfmt>
    <rfmt sheetId="2" sqref="JH797" start="0" length="0">
      <dxf/>
    </rfmt>
    <rfmt sheetId="2" sqref="JI797" start="0" length="0">
      <dxf/>
    </rfmt>
    <rfmt sheetId="2" sqref="JJ797" start="0" length="0">
      <dxf/>
    </rfmt>
    <rfmt sheetId="2" sqref="JK797" start="0" length="0">
      <dxf/>
    </rfmt>
    <rfmt sheetId="2" sqref="JL797" start="0" length="0">
      <dxf/>
    </rfmt>
    <rfmt sheetId="2" sqref="JM797" start="0" length="0">
      <dxf/>
    </rfmt>
    <rfmt sheetId="2" sqref="JN797" start="0" length="0">
      <dxf/>
    </rfmt>
    <rfmt sheetId="2" sqref="JO797" start="0" length="0">
      <dxf/>
    </rfmt>
    <rfmt sheetId="2" sqref="JP797" start="0" length="0">
      <dxf/>
    </rfmt>
    <rfmt sheetId="2" sqref="JQ797" start="0" length="0">
      <dxf/>
    </rfmt>
    <rfmt sheetId="2" sqref="JR797" start="0" length="0">
      <dxf/>
    </rfmt>
    <rfmt sheetId="2" sqref="JS797" start="0" length="0">
      <dxf/>
    </rfmt>
    <rfmt sheetId="2" sqref="JT797" start="0" length="0">
      <dxf/>
    </rfmt>
    <rfmt sheetId="2" sqref="JU797" start="0" length="0">
      <dxf/>
    </rfmt>
    <rfmt sheetId="2" sqref="JV797" start="0" length="0">
      <dxf/>
    </rfmt>
    <rfmt sheetId="2" sqref="JW797" start="0" length="0">
      <dxf/>
    </rfmt>
    <rfmt sheetId="2" sqref="JX797" start="0" length="0">
      <dxf/>
    </rfmt>
    <rfmt sheetId="2" sqref="JY797" start="0" length="0">
      <dxf/>
    </rfmt>
    <rfmt sheetId="2" sqref="JZ797" start="0" length="0">
      <dxf/>
    </rfmt>
    <rfmt sheetId="2" sqref="KA797" start="0" length="0">
      <dxf/>
    </rfmt>
    <rfmt sheetId="2" sqref="KB797" start="0" length="0">
      <dxf/>
    </rfmt>
    <rfmt sheetId="2" sqref="KC797" start="0" length="0">
      <dxf/>
    </rfmt>
    <rfmt sheetId="2" sqref="KD797" start="0" length="0">
      <dxf/>
    </rfmt>
    <rfmt sheetId="2" sqref="KE797" start="0" length="0">
      <dxf/>
    </rfmt>
    <rfmt sheetId="2" sqref="KF797" start="0" length="0">
      <dxf/>
    </rfmt>
    <rfmt sheetId="2" sqref="KG797" start="0" length="0">
      <dxf/>
    </rfmt>
    <rfmt sheetId="2" sqref="KH797" start="0" length="0">
      <dxf/>
    </rfmt>
    <rfmt sheetId="2" sqref="KI797" start="0" length="0">
      <dxf/>
    </rfmt>
    <rfmt sheetId="2" sqref="KJ797" start="0" length="0">
      <dxf/>
    </rfmt>
    <rfmt sheetId="2" sqref="KK797" start="0" length="0">
      <dxf/>
    </rfmt>
    <rfmt sheetId="2" sqref="KL797" start="0" length="0">
      <dxf/>
    </rfmt>
    <rfmt sheetId="2" sqref="KM797" start="0" length="0">
      <dxf/>
    </rfmt>
    <rfmt sheetId="2" sqref="KN797" start="0" length="0">
      <dxf/>
    </rfmt>
    <rfmt sheetId="2" sqref="KO797" start="0" length="0">
      <dxf/>
    </rfmt>
    <rfmt sheetId="2" sqref="KP797" start="0" length="0">
      <dxf/>
    </rfmt>
    <rfmt sheetId="2" sqref="KQ797" start="0" length="0">
      <dxf/>
    </rfmt>
    <rfmt sheetId="2" sqref="KR797" start="0" length="0">
      <dxf/>
    </rfmt>
    <rfmt sheetId="2" sqref="KS797" start="0" length="0">
      <dxf/>
    </rfmt>
    <rfmt sheetId="2" sqref="KT797" start="0" length="0">
      <dxf/>
    </rfmt>
    <rfmt sheetId="2" sqref="KU797" start="0" length="0">
      <dxf/>
    </rfmt>
    <rfmt sheetId="2" sqref="KV797" start="0" length="0">
      <dxf/>
    </rfmt>
    <rfmt sheetId="2" sqref="KW797" start="0" length="0">
      <dxf/>
    </rfmt>
    <rfmt sheetId="2" sqref="KX797" start="0" length="0">
      <dxf/>
    </rfmt>
    <rfmt sheetId="2" sqref="KY797" start="0" length="0">
      <dxf/>
    </rfmt>
    <rfmt sheetId="2" sqref="KZ797" start="0" length="0">
      <dxf/>
    </rfmt>
    <rfmt sheetId="2" sqref="LA797" start="0" length="0">
      <dxf/>
    </rfmt>
    <rfmt sheetId="2" sqref="LB797" start="0" length="0">
      <dxf/>
    </rfmt>
    <rfmt sheetId="2" sqref="LC797" start="0" length="0">
      <dxf/>
    </rfmt>
    <rfmt sheetId="2" sqref="LD797" start="0" length="0">
      <dxf/>
    </rfmt>
    <rfmt sheetId="2" sqref="LE797" start="0" length="0">
      <dxf/>
    </rfmt>
    <rfmt sheetId="2" sqref="LF797" start="0" length="0">
      <dxf/>
    </rfmt>
    <rfmt sheetId="2" sqref="LG797" start="0" length="0">
      <dxf/>
    </rfmt>
    <rfmt sheetId="2" sqref="LH797" start="0" length="0">
      <dxf/>
    </rfmt>
    <rfmt sheetId="2" sqref="LI797" start="0" length="0">
      <dxf/>
    </rfmt>
    <rfmt sheetId="2" sqref="LJ797" start="0" length="0">
      <dxf/>
    </rfmt>
    <rfmt sheetId="2" sqref="LK797" start="0" length="0">
      <dxf/>
    </rfmt>
    <rfmt sheetId="2" sqref="LL797" start="0" length="0">
      <dxf/>
    </rfmt>
    <rfmt sheetId="2" sqref="LM797" start="0" length="0">
      <dxf/>
    </rfmt>
    <rfmt sheetId="2" sqref="LN797" start="0" length="0">
      <dxf/>
    </rfmt>
    <rfmt sheetId="2" sqref="LO797" start="0" length="0">
      <dxf/>
    </rfmt>
    <rfmt sheetId="2" sqref="LP797" start="0" length="0">
      <dxf/>
    </rfmt>
    <rfmt sheetId="2" sqref="LQ797" start="0" length="0">
      <dxf/>
    </rfmt>
    <rfmt sheetId="2" sqref="LR797" start="0" length="0">
      <dxf/>
    </rfmt>
    <rfmt sheetId="2" sqref="LS797" start="0" length="0">
      <dxf/>
    </rfmt>
    <rfmt sheetId="2" sqref="LT797" start="0" length="0">
      <dxf/>
    </rfmt>
    <rfmt sheetId="2" sqref="LU797" start="0" length="0">
      <dxf/>
    </rfmt>
    <rfmt sheetId="2" sqref="LV797" start="0" length="0">
      <dxf/>
    </rfmt>
    <rfmt sheetId="2" sqref="LW797" start="0" length="0">
      <dxf/>
    </rfmt>
    <rfmt sheetId="2" sqref="LX797" start="0" length="0">
      <dxf/>
    </rfmt>
    <rfmt sheetId="2" sqref="LY797" start="0" length="0">
      <dxf/>
    </rfmt>
    <rfmt sheetId="2" sqref="LZ797" start="0" length="0">
      <dxf/>
    </rfmt>
    <rfmt sheetId="2" sqref="MA797" start="0" length="0">
      <dxf/>
    </rfmt>
    <rfmt sheetId="2" sqref="MB797" start="0" length="0">
      <dxf/>
    </rfmt>
  </rrc>
  <rrc rId="2668" sId="2" ref="A797:XFD797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97:XFD797" start="0" length="0">
      <dxf>
        <font>
          <sz val="10"/>
          <name val="Arial"/>
          <scheme val="none"/>
        </font>
        <alignment horizontal="center" readingOrder="0"/>
      </dxf>
    </rfmt>
    <rfmt sheetId="2" sqref="A79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9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7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7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7" start="0" length="0">
      <dxf>
        <numFmt numFmtId="176" formatCode="m/d;@"/>
      </dxf>
    </rfmt>
    <rfmt sheetId="2" sqref="P79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7" start="0" length="0">
      <dxf/>
    </rfmt>
    <rfmt sheetId="2" sqref="U797" start="0" length="0">
      <dxf/>
    </rfmt>
    <rfmt sheetId="2" sqref="V797" start="0" length="0">
      <dxf/>
    </rfmt>
    <rfmt sheetId="2" sqref="W797" start="0" length="0">
      <dxf/>
    </rfmt>
    <rfmt sheetId="2" sqref="X797" start="0" length="0">
      <dxf/>
    </rfmt>
    <rfmt sheetId="2" sqref="Y797" start="0" length="0">
      <dxf/>
    </rfmt>
    <rfmt sheetId="2" sqref="Z797" start="0" length="0">
      <dxf/>
    </rfmt>
    <rfmt sheetId="2" sqref="AA797" start="0" length="0">
      <dxf/>
    </rfmt>
    <rfmt sheetId="2" sqref="AB797" start="0" length="0">
      <dxf/>
    </rfmt>
    <rfmt sheetId="2" sqref="AC797" start="0" length="0">
      <dxf/>
    </rfmt>
    <rfmt sheetId="2" sqref="AD797" start="0" length="0">
      <dxf/>
    </rfmt>
    <rfmt sheetId="2" sqref="AE797" start="0" length="0">
      <dxf/>
    </rfmt>
    <rfmt sheetId="2" sqref="AF797" start="0" length="0">
      <dxf/>
    </rfmt>
    <rfmt sheetId="2" sqref="AG797" start="0" length="0">
      <dxf/>
    </rfmt>
    <rfmt sheetId="2" sqref="AH797" start="0" length="0">
      <dxf/>
    </rfmt>
    <rfmt sheetId="2" sqref="AI797" start="0" length="0">
      <dxf/>
    </rfmt>
    <rfmt sheetId="2" sqref="AJ797" start="0" length="0">
      <dxf/>
    </rfmt>
    <rfmt sheetId="2" sqref="AK797" start="0" length="0">
      <dxf/>
    </rfmt>
    <rfmt sheetId="2" sqref="AL797" start="0" length="0">
      <dxf/>
    </rfmt>
    <rfmt sheetId="2" sqref="AM797" start="0" length="0">
      <dxf/>
    </rfmt>
    <rfmt sheetId="2" sqref="AN797" start="0" length="0">
      <dxf/>
    </rfmt>
    <rfmt sheetId="2" sqref="AO797" start="0" length="0">
      <dxf/>
    </rfmt>
    <rfmt sheetId="2" sqref="AP797" start="0" length="0">
      <dxf/>
    </rfmt>
    <rfmt sheetId="2" sqref="AQ797" start="0" length="0">
      <dxf/>
    </rfmt>
    <rfmt sheetId="2" sqref="AR797" start="0" length="0">
      <dxf/>
    </rfmt>
    <rfmt sheetId="2" sqref="AS797" start="0" length="0">
      <dxf/>
    </rfmt>
    <rfmt sheetId="2" sqref="AT797" start="0" length="0">
      <dxf/>
    </rfmt>
    <rfmt sheetId="2" sqref="AU797" start="0" length="0">
      <dxf/>
    </rfmt>
    <rfmt sheetId="2" sqref="AV797" start="0" length="0">
      <dxf/>
    </rfmt>
    <rfmt sheetId="2" sqref="AW797" start="0" length="0">
      <dxf/>
    </rfmt>
    <rfmt sheetId="2" sqref="AX797" start="0" length="0">
      <dxf/>
    </rfmt>
    <rfmt sheetId="2" sqref="AY797" start="0" length="0">
      <dxf/>
    </rfmt>
    <rfmt sheetId="2" sqref="AZ797" start="0" length="0">
      <dxf/>
    </rfmt>
    <rfmt sheetId="2" sqref="BA797" start="0" length="0">
      <dxf/>
    </rfmt>
    <rfmt sheetId="2" sqref="BB797" start="0" length="0">
      <dxf/>
    </rfmt>
    <rfmt sheetId="2" sqref="BC797" start="0" length="0">
      <dxf/>
    </rfmt>
    <rfmt sheetId="2" sqref="BD797" start="0" length="0">
      <dxf/>
    </rfmt>
    <rfmt sheetId="2" sqref="BE797" start="0" length="0">
      <dxf/>
    </rfmt>
    <rfmt sheetId="2" sqref="BF797" start="0" length="0">
      <dxf/>
    </rfmt>
    <rfmt sheetId="2" sqref="BG797" start="0" length="0">
      <dxf/>
    </rfmt>
    <rfmt sheetId="2" sqref="BH797" start="0" length="0">
      <dxf/>
    </rfmt>
    <rfmt sheetId="2" sqref="BI797" start="0" length="0">
      <dxf/>
    </rfmt>
    <rfmt sheetId="2" sqref="BJ797" start="0" length="0">
      <dxf/>
    </rfmt>
    <rfmt sheetId="2" sqref="BK797" start="0" length="0">
      <dxf/>
    </rfmt>
    <rfmt sheetId="2" sqref="BL797" start="0" length="0">
      <dxf/>
    </rfmt>
    <rfmt sheetId="2" sqref="BM797" start="0" length="0">
      <dxf/>
    </rfmt>
    <rfmt sheetId="2" sqref="BN797" start="0" length="0">
      <dxf/>
    </rfmt>
    <rfmt sheetId="2" sqref="BO797" start="0" length="0">
      <dxf/>
    </rfmt>
    <rfmt sheetId="2" sqref="BP797" start="0" length="0">
      <dxf/>
    </rfmt>
    <rfmt sheetId="2" sqref="BQ797" start="0" length="0">
      <dxf/>
    </rfmt>
    <rfmt sheetId="2" sqref="BR797" start="0" length="0">
      <dxf/>
    </rfmt>
    <rfmt sheetId="2" sqref="BS797" start="0" length="0">
      <dxf/>
    </rfmt>
    <rfmt sheetId="2" sqref="BT797" start="0" length="0">
      <dxf/>
    </rfmt>
    <rfmt sheetId="2" sqref="BU797" start="0" length="0">
      <dxf/>
    </rfmt>
    <rfmt sheetId="2" sqref="BV797" start="0" length="0">
      <dxf/>
    </rfmt>
    <rfmt sheetId="2" sqref="BW797" start="0" length="0">
      <dxf/>
    </rfmt>
    <rfmt sheetId="2" sqref="BX797" start="0" length="0">
      <dxf/>
    </rfmt>
    <rfmt sheetId="2" sqref="BY797" start="0" length="0">
      <dxf/>
    </rfmt>
    <rfmt sheetId="2" sqref="BZ797" start="0" length="0">
      <dxf/>
    </rfmt>
    <rfmt sheetId="2" sqref="CA797" start="0" length="0">
      <dxf/>
    </rfmt>
    <rfmt sheetId="2" sqref="CB797" start="0" length="0">
      <dxf/>
    </rfmt>
    <rfmt sheetId="2" sqref="CC797" start="0" length="0">
      <dxf/>
    </rfmt>
    <rfmt sheetId="2" sqref="CD797" start="0" length="0">
      <dxf/>
    </rfmt>
    <rfmt sheetId="2" sqref="CE797" start="0" length="0">
      <dxf/>
    </rfmt>
    <rfmt sheetId="2" sqref="CF797" start="0" length="0">
      <dxf/>
    </rfmt>
    <rfmt sheetId="2" sqref="CG797" start="0" length="0">
      <dxf/>
    </rfmt>
    <rfmt sheetId="2" sqref="CH797" start="0" length="0">
      <dxf/>
    </rfmt>
    <rfmt sheetId="2" sqref="CI797" start="0" length="0">
      <dxf/>
    </rfmt>
    <rfmt sheetId="2" sqref="CJ797" start="0" length="0">
      <dxf/>
    </rfmt>
    <rfmt sheetId="2" sqref="CK797" start="0" length="0">
      <dxf/>
    </rfmt>
    <rfmt sheetId="2" sqref="CL797" start="0" length="0">
      <dxf/>
    </rfmt>
    <rfmt sheetId="2" sqref="CM797" start="0" length="0">
      <dxf/>
    </rfmt>
    <rfmt sheetId="2" sqref="CN797" start="0" length="0">
      <dxf/>
    </rfmt>
    <rfmt sheetId="2" sqref="CO797" start="0" length="0">
      <dxf/>
    </rfmt>
    <rfmt sheetId="2" sqref="CP797" start="0" length="0">
      <dxf/>
    </rfmt>
    <rfmt sheetId="2" sqref="CQ797" start="0" length="0">
      <dxf/>
    </rfmt>
    <rfmt sheetId="2" sqref="CR797" start="0" length="0">
      <dxf/>
    </rfmt>
    <rfmt sheetId="2" sqref="CS797" start="0" length="0">
      <dxf/>
    </rfmt>
    <rfmt sheetId="2" sqref="CT797" start="0" length="0">
      <dxf/>
    </rfmt>
    <rfmt sheetId="2" sqref="CU797" start="0" length="0">
      <dxf/>
    </rfmt>
    <rfmt sheetId="2" sqref="CV797" start="0" length="0">
      <dxf/>
    </rfmt>
    <rfmt sheetId="2" sqref="CW797" start="0" length="0">
      <dxf/>
    </rfmt>
    <rfmt sheetId="2" sqref="CX797" start="0" length="0">
      <dxf/>
    </rfmt>
    <rfmt sheetId="2" sqref="CY797" start="0" length="0">
      <dxf/>
    </rfmt>
    <rfmt sheetId="2" sqref="CZ797" start="0" length="0">
      <dxf/>
    </rfmt>
    <rfmt sheetId="2" sqref="DA797" start="0" length="0">
      <dxf/>
    </rfmt>
    <rfmt sheetId="2" sqref="DB797" start="0" length="0">
      <dxf/>
    </rfmt>
    <rfmt sheetId="2" sqref="DC797" start="0" length="0">
      <dxf/>
    </rfmt>
    <rfmt sheetId="2" sqref="DD797" start="0" length="0">
      <dxf/>
    </rfmt>
    <rfmt sheetId="2" sqref="DE797" start="0" length="0">
      <dxf/>
    </rfmt>
    <rfmt sheetId="2" sqref="DF797" start="0" length="0">
      <dxf/>
    </rfmt>
    <rfmt sheetId="2" sqref="DG797" start="0" length="0">
      <dxf/>
    </rfmt>
    <rfmt sheetId="2" sqref="DH797" start="0" length="0">
      <dxf/>
    </rfmt>
    <rfmt sheetId="2" sqref="DI797" start="0" length="0">
      <dxf/>
    </rfmt>
    <rfmt sheetId="2" sqref="DJ797" start="0" length="0">
      <dxf/>
    </rfmt>
    <rfmt sheetId="2" sqref="DK797" start="0" length="0">
      <dxf/>
    </rfmt>
    <rfmt sheetId="2" sqref="DL797" start="0" length="0">
      <dxf/>
    </rfmt>
    <rfmt sheetId="2" sqref="DM797" start="0" length="0">
      <dxf/>
    </rfmt>
    <rfmt sheetId="2" sqref="DN797" start="0" length="0">
      <dxf/>
    </rfmt>
    <rfmt sheetId="2" sqref="DO797" start="0" length="0">
      <dxf/>
    </rfmt>
    <rfmt sheetId="2" sqref="DP797" start="0" length="0">
      <dxf/>
    </rfmt>
    <rfmt sheetId="2" sqref="DQ797" start="0" length="0">
      <dxf/>
    </rfmt>
    <rfmt sheetId="2" sqref="DR797" start="0" length="0">
      <dxf/>
    </rfmt>
    <rfmt sheetId="2" sqref="DS797" start="0" length="0">
      <dxf/>
    </rfmt>
    <rfmt sheetId="2" sqref="DT797" start="0" length="0">
      <dxf/>
    </rfmt>
    <rfmt sheetId="2" sqref="DU797" start="0" length="0">
      <dxf/>
    </rfmt>
    <rfmt sheetId="2" sqref="DV797" start="0" length="0">
      <dxf/>
    </rfmt>
    <rfmt sheetId="2" sqref="DW797" start="0" length="0">
      <dxf/>
    </rfmt>
    <rfmt sheetId="2" sqref="DX797" start="0" length="0">
      <dxf/>
    </rfmt>
    <rfmt sheetId="2" sqref="DY797" start="0" length="0">
      <dxf/>
    </rfmt>
    <rfmt sheetId="2" sqref="DZ797" start="0" length="0">
      <dxf/>
    </rfmt>
    <rfmt sheetId="2" sqref="EA797" start="0" length="0">
      <dxf/>
    </rfmt>
    <rfmt sheetId="2" sqref="EB797" start="0" length="0">
      <dxf/>
    </rfmt>
    <rfmt sheetId="2" sqref="EC797" start="0" length="0">
      <dxf/>
    </rfmt>
    <rfmt sheetId="2" sqref="ED797" start="0" length="0">
      <dxf/>
    </rfmt>
    <rfmt sheetId="2" sqref="EE797" start="0" length="0">
      <dxf/>
    </rfmt>
    <rfmt sheetId="2" sqref="EF797" start="0" length="0">
      <dxf/>
    </rfmt>
    <rfmt sheetId="2" sqref="EG797" start="0" length="0">
      <dxf/>
    </rfmt>
    <rfmt sheetId="2" sqref="EH797" start="0" length="0">
      <dxf/>
    </rfmt>
    <rfmt sheetId="2" sqref="EI797" start="0" length="0">
      <dxf/>
    </rfmt>
    <rfmt sheetId="2" sqref="EJ797" start="0" length="0">
      <dxf/>
    </rfmt>
    <rfmt sheetId="2" sqref="EK797" start="0" length="0">
      <dxf/>
    </rfmt>
    <rfmt sheetId="2" sqref="EL797" start="0" length="0">
      <dxf/>
    </rfmt>
    <rfmt sheetId="2" sqref="EM797" start="0" length="0">
      <dxf/>
    </rfmt>
    <rfmt sheetId="2" sqref="EN797" start="0" length="0">
      <dxf/>
    </rfmt>
    <rfmt sheetId="2" sqref="EO797" start="0" length="0">
      <dxf/>
    </rfmt>
    <rfmt sheetId="2" sqref="EP797" start="0" length="0">
      <dxf/>
    </rfmt>
    <rfmt sheetId="2" sqref="EQ797" start="0" length="0">
      <dxf/>
    </rfmt>
    <rfmt sheetId="2" sqref="ER797" start="0" length="0">
      <dxf/>
    </rfmt>
    <rfmt sheetId="2" sqref="ES797" start="0" length="0">
      <dxf/>
    </rfmt>
    <rfmt sheetId="2" sqref="ET797" start="0" length="0">
      <dxf/>
    </rfmt>
    <rfmt sheetId="2" sqref="EU797" start="0" length="0">
      <dxf/>
    </rfmt>
    <rfmt sheetId="2" sqref="EV797" start="0" length="0">
      <dxf/>
    </rfmt>
    <rfmt sheetId="2" sqref="EW797" start="0" length="0">
      <dxf/>
    </rfmt>
    <rfmt sheetId="2" sqref="EX797" start="0" length="0">
      <dxf/>
    </rfmt>
    <rfmt sheetId="2" sqref="EY797" start="0" length="0">
      <dxf/>
    </rfmt>
    <rfmt sheetId="2" sqref="EZ797" start="0" length="0">
      <dxf/>
    </rfmt>
    <rfmt sheetId="2" sqref="FA797" start="0" length="0">
      <dxf/>
    </rfmt>
    <rfmt sheetId="2" sqref="FB797" start="0" length="0">
      <dxf/>
    </rfmt>
    <rfmt sheetId="2" sqref="FC797" start="0" length="0">
      <dxf/>
    </rfmt>
    <rfmt sheetId="2" sqref="FD797" start="0" length="0">
      <dxf/>
    </rfmt>
    <rfmt sheetId="2" sqref="FE797" start="0" length="0">
      <dxf/>
    </rfmt>
    <rfmt sheetId="2" sqref="FF797" start="0" length="0">
      <dxf/>
    </rfmt>
    <rfmt sheetId="2" sqref="FG797" start="0" length="0">
      <dxf/>
    </rfmt>
    <rfmt sheetId="2" sqref="FH797" start="0" length="0">
      <dxf/>
    </rfmt>
    <rfmt sheetId="2" sqref="FI797" start="0" length="0">
      <dxf/>
    </rfmt>
    <rfmt sheetId="2" sqref="FJ797" start="0" length="0">
      <dxf/>
    </rfmt>
    <rfmt sheetId="2" sqref="FK797" start="0" length="0">
      <dxf/>
    </rfmt>
    <rfmt sheetId="2" sqref="FL797" start="0" length="0">
      <dxf/>
    </rfmt>
    <rfmt sheetId="2" sqref="FM797" start="0" length="0">
      <dxf/>
    </rfmt>
    <rfmt sheetId="2" sqref="FN797" start="0" length="0">
      <dxf/>
    </rfmt>
    <rfmt sheetId="2" sqref="FO797" start="0" length="0">
      <dxf/>
    </rfmt>
    <rfmt sheetId="2" sqref="FP797" start="0" length="0">
      <dxf/>
    </rfmt>
    <rfmt sheetId="2" sqref="FQ797" start="0" length="0">
      <dxf/>
    </rfmt>
    <rfmt sheetId="2" sqref="FR797" start="0" length="0">
      <dxf/>
    </rfmt>
    <rfmt sheetId="2" sqref="FS797" start="0" length="0">
      <dxf/>
    </rfmt>
    <rfmt sheetId="2" sqref="FT797" start="0" length="0">
      <dxf/>
    </rfmt>
    <rfmt sheetId="2" sqref="FU797" start="0" length="0">
      <dxf/>
    </rfmt>
    <rfmt sheetId="2" sqref="FV797" start="0" length="0">
      <dxf/>
    </rfmt>
    <rfmt sheetId="2" sqref="FW797" start="0" length="0">
      <dxf/>
    </rfmt>
    <rfmt sheetId="2" sqref="FX797" start="0" length="0">
      <dxf/>
    </rfmt>
    <rfmt sheetId="2" sqref="FY797" start="0" length="0">
      <dxf/>
    </rfmt>
    <rfmt sheetId="2" sqref="FZ797" start="0" length="0">
      <dxf/>
    </rfmt>
    <rfmt sheetId="2" sqref="GA797" start="0" length="0">
      <dxf/>
    </rfmt>
    <rfmt sheetId="2" sqref="GB797" start="0" length="0">
      <dxf/>
    </rfmt>
    <rfmt sheetId="2" sqref="GC797" start="0" length="0">
      <dxf/>
    </rfmt>
    <rfmt sheetId="2" sqref="GD797" start="0" length="0">
      <dxf/>
    </rfmt>
    <rfmt sheetId="2" sqref="GE797" start="0" length="0">
      <dxf/>
    </rfmt>
    <rfmt sheetId="2" sqref="GF797" start="0" length="0">
      <dxf/>
    </rfmt>
    <rfmt sheetId="2" sqref="GG797" start="0" length="0">
      <dxf/>
    </rfmt>
    <rfmt sheetId="2" sqref="GH797" start="0" length="0">
      <dxf/>
    </rfmt>
    <rfmt sheetId="2" sqref="GI797" start="0" length="0">
      <dxf/>
    </rfmt>
    <rfmt sheetId="2" sqref="GJ797" start="0" length="0">
      <dxf/>
    </rfmt>
    <rfmt sheetId="2" sqref="GK797" start="0" length="0">
      <dxf/>
    </rfmt>
    <rfmt sheetId="2" sqref="GL797" start="0" length="0">
      <dxf/>
    </rfmt>
    <rfmt sheetId="2" sqref="GM797" start="0" length="0">
      <dxf/>
    </rfmt>
    <rfmt sheetId="2" sqref="GN797" start="0" length="0">
      <dxf/>
    </rfmt>
    <rfmt sheetId="2" sqref="GO797" start="0" length="0">
      <dxf/>
    </rfmt>
    <rfmt sheetId="2" sqref="GP797" start="0" length="0">
      <dxf/>
    </rfmt>
    <rfmt sheetId="2" sqref="GQ797" start="0" length="0">
      <dxf/>
    </rfmt>
    <rfmt sheetId="2" sqref="GR797" start="0" length="0">
      <dxf/>
    </rfmt>
    <rfmt sheetId="2" sqref="GS797" start="0" length="0">
      <dxf/>
    </rfmt>
    <rfmt sheetId="2" sqref="GT797" start="0" length="0">
      <dxf/>
    </rfmt>
    <rfmt sheetId="2" sqref="GU797" start="0" length="0">
      <dxf/>
    </rfmt>
    <rfmt sheetId="2" sqref="GV797" start="0" length="0">
      <dxf/>
    </rfmt>
    <rfmt sheetId="2" sqref="GW797" start="0" length="0">
      <dxf/>
    </rfmt>
    <rfmt sheetId="2" sqref="GX797" start="0" length="0">
      <dxf/>
    </rfmt>
    <rfmt sheetId="2" sqref="GY797" start="0" length="0">
      <dxf/>
    </rfmt>
    <rfmt sheetId="2" sqref="GZ797" start="0" length="0">
      <dxf/>
    </rfmt>
    <rfmt sheetId="2" sqref="HA797" start="0" length="0">
      <dxf/>
    </rfmt>
    <rfmt sheetId="2" sqref="HB797" start="0" length="0">
      <dxf/>
    </rfmt>
    <rfmt sheetId="2" sqref="HC797" start="0" length="0">
      <dxf/>
    </rfmt>
    <rfmt sheetId="2" sqref="HD797" start="0" length="0">
      <dxf/>
    </rfmt>
    <rfmt sheetId="2" sqref="HE797" start="0" length="0">
      <dxf/>
    </rfmt>
    <rfmt sheetId="2" sqref="HF797" start="0" length="0">
      <dxf/>
    </rfmt>
    <rfmt sheetId="2" sqref="HG797" start="0" length="0">
      <dxf/>
    </rfmt>
    <rfmt sheetId="2" sqref="HH797" start="0" length="0">
      <dxf/>
    </rfmt>
    <rfmt sheetId="2" sqref="HI797" start="0" length="0">
      <dxf/>
    </rfmt>
    <rfmt sheetId="2" sqref="HJ797" start="0" length="0">
      <dxf/>
    </rfmt>
    <rfmt sheetId="2" sqref="HK797" start="0" length="0">
      <dxf/>
    </rfmt>
    <rfmt sheetId="2" sqref="HL797" start="0" length="0">
      <dxf/>
    </rfmt>
    <rfmt sheetId="2" sqref="HM797" start="0" length="0">
      <dxf/>
    </rfmt>
    <rfmt sheetId="2" sqref="HN797" start="0" length="0">
      <dxf/>
    </rfmt>
    <rfmt sheetId="2" sqref="HO797" start="0" length="0">
      <dxf/>
    </rfmt>
    <rfmt sheetId="2" sqref="HP797" start="0" length="0">
      <dxf/>
    </rfmt>
    <rfmt sheetId="2" sqref="HQ797" start="0" length="0">
      <dxf/>
    </rfmt>
    <rfmt sheetId="2" sqref="HR797" start="0" length="0">
      <dxf/>
    </rfmt>
    <rfmt sheetId="2" sqref="HS797" start="0" length="0">
      <dxf/>
    </rfmt>
    <rfmt sheetId="2" sqref="HT797" start="0" length="0">
      <dxf/>
    </rfmt>
    <rfmt sheetId="2" sqref="HU797" start="0" length="0">
      <dxf/>
    </rfmt>
    <rfmt sheetId="2" sqref="HV797" start="0" length="0">
      <dxf/>
    </rfmt>
    <rfmt sheetId="2" sqref="HW797" start="0" length="0">
      <dxf/>
    </rfmt>
    <rfmt sheetId="2" sqref="HX797" start="0" length="0">
      <dxf/>
    </rfmt>
    <rfmt sheetId="2" sqref="HY797" start="0" length="0">
      <dxf/>
    </rfmt>
    <rfmt sheetId="2" sqref="HZ797" start="0" length="0">
      <dxf/>
    </rfmt>
    <rfmt sheetId="2" sqref="IA797" start="0" length="0">
      <dxf/>
    </rfmt>
    <rfmt sheetId="2" sqref="IB797" start="0" length="0">
      <dxf/>
    </rfmt>
    <rfmt sheetId="2" sqref="IC797" start="0" length="0">
      <dxf/>
    </rfmt>
    <rfmt sheetId="2" sqref="ID797" start="0" length="0">
      <dxf/>
    </rfmt>
    <rfmt sheetId="2" sqref="IE797" start="0" length="0">
      <dxf/>
    </rfmt>
    <rfmt sheetId="2" sqref="IF797" start="0" length="0">
      <dxf/>
    </rfmt>
    <rfmt sheetId="2" sqref="IG797" start="0" length="0">
      <dxf/>
    </rfmt>
    <rfmt sheetId="2" sqref="IH797" start="0" length="0">
      <dxf/>
    </rfmt>
    <rfmt sheetId="2" sqref="II797" start="0" length="0">
      <dxf/>
    </rfmt>
    <rfmt sheetId="2" sqref="IJ797" start="0" length="0">
      <dxf/>
    </rfmt>
    <rfmt sheetId="2" sqref="IK797" start="0" length="0">
      <dxf/>
    </rfmt>
    <rfmt sheetId="2" sqref="IL797" start="0" length="0">
      <dxf/>
    </rfmt>
    <rfmt sheetId="2" sqref="IM797" start="0" length="0">
      <dxf/>
    </rfmt>
    <rfmt sheetId="2" sqref="IN797" start="0" length="0">
      <dxf/>
    </rfmt>
    <rfmt sheetId="2" sqref="IO797" start="0" length="0">
      <dxf/>
    </rfmt>
    <rfmt sheetId="2" sqref="IP797" start="0" length="0">
      <dxf/>
    </rfmt>
    <rfmt sheetId="2" sqref="IQ797" start="0" length="0">
      <dxf/>
    </rfmt>
    <rfmt sheetId="2" sqref="IR797" start="0" length="0">
      <dxf/>
    </rfmt>
    <rfmt sheetId="2" sqref="IS797" start="0" length="0">
      <dxf/>
    </rfmt>
    <rfmt sheetId="2" sqref="IT797" start="0" length="0">
      <dxf/>
    </rfmt>
    <rfmt sheetId="2" sqref="IU797" start="0" length="0">
      <dxf/>
    </rfmt>
    <rfmt sheetId="2" sqref="IV797" start="0" length="0">
      <dxf/>
    </rfmt>
    <rfmt sheetId="2" sqref="IW797" start="0" length="0">
      <dxf/>
    </rfmt>
    <rfmt sheetId="2" sqref="IX797" start="0" length="0">
      <dxf/>
    </rfmt>
    <rfmt sheetId="2" sqref="IY797" start="0" length="0">
      <dxf/>
    </rfmt>
    <rfmt sheetId="2" sqref="IZ797" start="0" length="0">
      <dxf/>
    </rfmt>
    <rfmt sheetId="2" sqref="JA797" start="0" length="0">
      <dxf/>
    </rfmt>
    <rfmt sheetId="2" sqref="JB797" start="0" length="0">
      <dxf/>
    </rfmt>
    <rfmt sheetId="2" sqref="JC797" start="0" length="0">
      <dxf/>
    </rfmt>
    <rfmt sheetId="2" sqref="JD797" start="0" length="0">
      <dxf/>
    </rfmt>
    <rfmt sheetId="2" sqref="JE797" start="0" length="0">
      <dxf/>
    </rfmt>
    <rfmt sheetId="2" sqref="JF797" start="0" length="0">
      <dxf/>
    </rfmt>
    <rfmt sheetId="2" sqref="JG797" start="0" length="0">
      <dxf/>
    </rfmt>
    <rfmt sheetId="2" sqref="JH797" start="0" length="0">
      <dxf/>
    </rfmt>
    <rfmt sheetId="2" sqref="JI797" start="0" length="0">
      <dxf/>
    </rfmt>
    <rfmt sheetId="2" sqref="JJ797" start="0" length="0">
      <dxf/>
    </rfmt>
    <rfmt sheetId="2" sqref="JK797" start="0" length="0">
      <dxf/>
    </rfmt>
    <rfmt sheetId="2" sqref="JL797" start="0" length="0">
      <dxf/>
    </rfmt>
    <rfmt sheetId="2" sqref="JM797" start="0" length="0">
      <dxf/>
    </rfmt>
    <rfmt sheetId="2" sqref="JN797" start="0" length="0">
      <dxf/>
    </rfmt>
    <rfmt sheetId="2" sqref="JO797" start="0" length="0">
      <dxf/>
    </rfmt>
    <rfmt sheetId="2" sqref="JP797" start="0" length="0">
      <dxf/>
    </rfmt>
    <rfmt sheetId="2" sqref="JQ797" start="0" length="0">
      <dxf/>
    </rfmt>
    <rfmt sheetId="2" sqref="JR797" start="0" length="0">
      <dxf/>
    </rfmt>
    <rfmt sheetId="2" sqref="JS797" start="0" length="0">
      <dxf/>
    </rfmt>
    <rfmt sheetId="2" sqref="JT797" start="0" length="0">
      <dxf/>
    </rfmt>
    <rfmt sheetId="2" sqref="JU797" start="0" length="0">
      <dxf/>
    </rfmt>
    <rfmt sheetId="2" sqref="JV797" start="0" length="0">
      <dxf/>
    </rfmt>
    <rfmt sheetId="2" sqref="JW797" start="0" length="0">
      <dxf/>
    </rfmt>
    <rfmt sheetId="2" sqref="JX797" start="0" length="0">
      <dxf/>
    </rfmt>
    <rfmt sheetId="2" sqref="JY797" start="0" length="0">
      <dxf/>
    </rfmt>
    <rfmt sheetId="2" sqref="JZ797" start="0" length="0">
      <dxf/>
    </rfmt>
    <rfmt sheetId="2" sqref="KA797" start="0" length="0">
      <dxf/>
    </rfmt>
    <rfmt sheetId="2" sqref="KB797" start="0" length="0">
      <dxf/>
    </rfmt>
    <rfmt sheetId="2" sqref="KC797" start="0" length="0">
      <dxf/>
    </rfmt>
    <rfmt sheetId="2" sqref="KD797" start="0" length="0">
      <dxf/>
    </rfmt>
    <rfmt sheetId="2" sqref="KE797" start="0" length="0">
      <dxf/>
    </rfmt>
    <rfmt sheetId="2" sqref="KF797" start="0" length="0">
      <dxf/>
    </rfmt>
    <rfmt sheetId="2" sqref="KG797" start="0" length="0">
      <dxf/>
    </rfmt>
    <rfmt sheetId="2" sqref="KH797" start="0" length="0">
      <dxf/>
    </rfmt>
    <rfmt sheetId="2" sqref="KI797" start="0" length="0">
      <dxf/>
    </rfmt>
    <rfmt sheetId="2" sqref="KJ797" start="0" length="0">
      <dxf/>
    </rfmt>
    <rfmt sheetId="2" sqref="KK797" start="0" length="0">
      <dxf/>
    </rfmt>
    <rfmt sheetId="2" sqref="KL797" start="0" length="0">
      <dxf/>
    </rfmt>
    <rfmt sheetId="2" sqref="KM797" start="0" length="0">
      <dxf/>
    </rfmt>
    <rfmt sheetId="2" sqref="KN797" start="0" length="0">
      <dxf/>
    </rfmt>
    <rfmt sheetId="2" sqref="KO797" start="0" length="0">
      <dxf/>
    </rfmt>
    <rfmt sheetId="2" sqref="KP797" start="0" length="0">
      <dxf/>
    </rfmt>
    <rfmt sheetId="2" sqref="KQ797" start="0" length="0">
      <dxf/>
    </rfmt>
    <rfmt sheetId="2" sqref="KR797" start="0" length="0">
      <dxf/>
    </rfmt>
    <rfmt sheetId="2" sqref="KS797" start="0" length="0">
      <dxf/>
    </rfmt>
    <rfmt sheetId="2" sqref="KT797" start="0" length="0">
      <dxf/>
    </rfmt>
    <rfmt sheetId="2" sqref="KU797" start="0" length="0">
      <dxf/>
    </rfmt>
    <rfmt sheetId="2" sqref="KV797" start="0" length="0">
      <dxf/>
    </rfmt>
    <rfmt sheetId="2" sqref="KW797" start="0" length="0">
      <dxf/>
    </rfmt>
    <rfmt sheetId="2" sqref="KX797" start="0" length="0">
      <dxf/>
    </rfmt>
    <rfmt sheetId="2" sqref="KY797" start="0" length="0">
      <dxf/>
    </rfmt>
    <rfmt sheetId="2" sqref="KZ797" start="0" length="0">
      <dxf/>
    </rfmt>
    <rfmt sheetId="2" sqref="LA797" start="0" length="0">
      <dxf/>
    </rfmt>
    <rfmt sheetId="2" sqref="LB797" start="0" length="0">
      <dxf/>
    </rfmt>
    <rfmt sheetId="2" sqref="LC797" start="0" length="0">
      <dxf/>
    </rfmt>
    <rfmt sheetId="2" sqref="LD797" start="0" length="0">
      <dxf/>
    </rfmt>
    <rfmt sheetId="2" sqref="LE797" start="0" length="0">
      <dxf/>
    </rfmt>
    <rfmt sheetId="2" sqref="LF797" start="0" length="0">
      <dxf/>
    </rfmt>
    <rfmt sheetId="2" sqref="LG797" start="0" length="0">
      <dxf/>
    </rfmt>
    <rfmt sheetId="2" sqref="LH797" start="0" length="0">
      <dxf/>
    </rfmt>
    <rfmt sheetId="2" sqref="LI797" start="0" length="0">
      <dxf/>
    </rfmt>
    <rfmt sheetId="2" sqref="LJ797" start="0" length="0">
      <dxf/>
    </rfmt>
    <rfmt sheetId="2" sqref="LK797" start="0" length="0">
      <dxf/>
    </rfmt>
    <rfmt sheetId="2" sqref="LL797" start="0" length="0">
      <dxf/>
    </rfmt>
    <rfmt sheetId="2" sqref="LM797" start="0" length="0">
      <dxf/>
    </rfmt>
    <rfmt sheetId="2" sqref="LN797" start="0" length="0">
      <dxf/>
    </rfmt>
    <rfmt sheetId="2" sqref="LO797" start="0" length="0">
      <dxf/>
    </rfmt>
    <rfmt sheetId="2" sqref="LP797" start="0" length="0">
      <dxf/>
    </rfmt>
    <rfmt sheetId="2" sqref="LQ797" start="0" length="0">
      <dxf/>
    </rfmt>
    <rfmt sheetId="2" sqref="LR797" start="0" length="0">
      <dxf/>
    </rfmt>
    <rfmt sheetId="2" sqref="LS797" start="0" length="0">
      <dxf/>
    </rfmt>
    <rfmt sheetId="2" sqref="LT797" start="0" length="0">
      <dxf/>
    </rfmt>
    <rfmt sheetId="2" sqref="LU797" start="0" length="0">
      <dxf/>
    </rfmt>
    <rfmt sheetId="2" sqref="LV797" start="0" length="0">
      <dxf/>
    </rfmt>
    <rfmt sheetId="2" sqref="LW797" start="0" length="0">
      <dxf/>
    </rfmt>
    <rfmt sheetId="2" sqref="LX797" start="0" length="0">
      <dxf/>
    </rfmt>
    <rfmt sheetId="2" sqref="LY797" start="0" length="0">
      <dxf/>
    </rfmt>
    <rfmt sheetId="2" sqref="LZ797" start="0" length="0">
      <dxf/>
    </rfmt>
    <rfmt sheetId="2" sqref="MA797" start="0" length="0">
      <dxf/>
    </rfmt>
    <rfmt sheetId="2" sqref="MB797" start="0" length="0">
      <dxf/>
    </rfmt>
  </rrc>
  <rrc rId="2669" sId="2" ref="A790:XFD791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70" sheetId="2" source="A799:XFD800" destination="A790:XFD791" sourceSheetId="2">
    <rfmt sheetId="2" xfDxf="1" sqref="A790:XFD790" start="0" length="0">
      <dxf>
        <font>
          <sz val="10"/>
          <name val="Arial"/>
          <scheme val="none"/>
        </font>
        <alignment horizontal="center" readingOrder="0"/>
      </dxf>
    </rfmt>
    <rfmt sheetId="2" xfDxf="1" sqref="A791:XFD791" start="0" length="0">
      <dxf>
        <font>
          <sz val="10"/>
          <name val="Arial"/>
          <scheme val="none"/>
        </font>
        <alignment horizontal="center" readingOrder="0"/>
      </dxf>
    </rfmt>
    <rfmt sheetId="2" sqref="A79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0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0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9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9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9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90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0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0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0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0" start="0" length="0">
      <dxf>
        <numFmt numFmtId="176" formatCode="m/d;@"/>
      </dxf>
    </rfmt>
    <rfmt sheetId="2" sqref="P790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0" start="0" length="0">
      <dxf/>
    </rfmt>
    <rfmt sheetId="2" sqref="U790" start="0" length="0">
      <dxf/>
    </rfmt>
    <rfmt sheetId="2" sqref="V790" start="0" length="0">
      <dxf/>
    </rfmt>
    <rfmt sheetId="2" sqref="W790" start="0" length="0">
      <dxf/>
    </rfmt>
    <rfmt sheetId="2" sqref="X790" start="0" length="0">
      <dxf/>
    </rfmt>
    <rfmt sheetId="2" sqref="Y790" start="0" length="0">
      <dxf/>
    </rfmt>
    <rfmt sheetId="2" sqref="Z790" start="0" length="0">
      <dxf/>
    </rfmt>
    <rfmt sheetId="2" sqref="AA790" start="0" length="0">
      <dxf/>
    </rfmt>
    <rfmt sheetId="2" sqref="AB790" start="0" length="0">
      <dxf/>
    </rfmt>
    <rfmt sheetId="2" sqref="AC790" start="0" length="0">
      <dxf/>
    </rfmt>
    <rfmt sheetId="2" sqref="AD790" start="0" length="0">
      <dxf/>
    </rfmt>
    <rfmt sheetId="2" sqref="AE790" start="0" length="0">
      <dxf/>
    </rfmt>
    <rfmt sheetId="2" sqref="AF790" start="0" length="0">
      <dxf/>
    </rfmt>
    <rfmt sheetId="2" sqref="AG790" start="0" length="0">
      <dxf/>
    </rfmt>
    <rfmt sheetId="2" sqref="AH790" start="0" length="0">
      <dxf/>
    </rfmt>
    <rfmt sheetId="2" sqref="AI790" start="0" length="0">
      <dxf/>
    </rfmt>
    <rfmt sheetId="2" sqref="AJ790" start="0" length="0">
      <dxf/>
    </rfmt>
    <rfmt sheetId="2" sqref="AK790" start="0" length="0">
      <dxf/>
    </rfmt>
    <rfmt sheetId="2" sqref="AL790" start="0" length="0">
      <dxf/>
    </rfmt>
    <rfmt sheetId="2" sqref="AM790" start="0" length="0">
      <dxf/>
    </rfmt>
    <rfmt sheetId="2" sqref="AN790" start="0" length="0">
      <dxf/>
    </rfmt>
    <rfmt sheetId="2" sqref="AO790" start="0" length="0">
      <dxf/>
    </rfmt>
    <rfmt sheetId="2" sqref="AP790" start="0" length="0">
      <dxf/>
    </rfmt>
    <rfmt sheetId="2" sqref="AQ790" start="0" length="0">
      <dxf/>
    </rfmt>
    <rfmt sheetId="2" sqref="AR790" start="0" length="0">
      <dxf/>
    </rfmt>
    <rfmt sheetId="2" sqref="AS790" start="0" length="0">
      <dxf/>
    </rfmt>
    <rfmt sheetId="2" sqref="AT790" start="0" length="0">
      <dxf/>
    </rfmt>
    <rfmt sheetId="2" sqref="AU790" start="0" length="0">
      <dxf/>
    </rfmt>
    <rfmt sheetId="2" sqref="AV790" start="0" length="0">
      <dxf/>
    </rfmt>
    <rfmt sheetId="2" sqref="AW790" start="0" length="0">
      <dxf/>
    </rfmt>
    <rfmt sheetId="2" sqref="AX790" start="0" length="0">
      <dxf/>
    </rfmt>
    <rfmt sheetId="2" sqref="AY790" start="0" length="0">
      <dxf/>
    </rfmt>
    <rfmt sheetId="2" sqref="AZ790" start="0" length="0">
      <dxf/>
    </rfmt>
    <rfmt sheetId="2" sqref="BA790" start="0" length="0">
      <dxf/>
    </rfmt>
    <rfmt sheetId="2" sqref="BB790" start="0" length="0">
      <dxf/>
    </rfmt>
    <rfmt sheetId="2" sqref="BC790" start="0" length="0">
      <dxf/>
    </rfmt>
    <rfmt sheetId="2" sqref="BD790" start="0" length="0">
      <dxf/>
    </rfmt>
    <rfmt sheetId="2" sqref="BE790" start="0" length="0">
      <dxf/>
    </rfmt>
    <rfmt sheetId="2" sqref="BF790" start="0" length="0">
      <dxf/>
    </rfmt>
    <rfmt sheetId="2" sqref="BG790" start="0" length="0">
      <dxf/>
    </rfmt>
    <rfmt sheetId="2" sqref="BH790" start="0" length="0">
      <dxf/>
    </rfmt>
    <rfmt sheetId="2" sqref="BI790" start="0" length="0">
      <dxf/>
    </rfmt>
    <rfmt sheetId="2" sqref="BJ790" start="0" length="0">
      <dxf/>
    </rfmt>
    <rfmt sheetId="2" sqref="BK790" start="0" length="0">
      <dxf/>
    </rfmt>
    <rfmt sheetId="2" sqref="BL790" start="0" length="0">
      <dxf/>
    </rfmt>
    <rfmt sheetId="2" sqref="BM790" start="0" length="0">
      <dxf/>
    </rfmt>
    <rfmt sheetId="2" sqref="BN790" start="0" length="0">
      <dxf/>
    </rfmt>
    <rfmt sheetId="2" sqref="BO790" start="0" length="0">
      <dxf/>
    </rfmt>
    <rfmt sheetId="2" sqref="BP790" start="0" length="0">
      <dxf/>
    </rfmt>
    <rfmt sheetId="2" sqref="BQ790" start="0" length="0">
      <dxf/>
    </rfmt>
    <rfmt sheetId="2" sqref="BR790" start="0" length="0">
      <dxf/>
    </rfmt>
    <rfmt sheetId="2" sqref="BS790" start="0" length="0">
      <dxf/>
    </rfmt>
    <rfmt sheetId="2" sqref="BT790" start="0" length="0">
      <dxf/>
    </rfmt>
    <rfmt sheetId="2" sqref="BU790" start="0" length="0">
      <dxf/>
    </rfmt>
    <rfmt sheetId="2" sqref="BV790" start="0" length="0">
      <dxf/>
    </rfmt>
    <rfmt sheetId="2" sqref="BW790" start="0" length="0">
      <dxf/>
    </rfmt>
    <rfmt sheetId="2" sqref="BX790" start="0" length="0">
      <dxf/>
    </rfmt>
    <rfmt sheetId="2" sqref="BY790" start="0" length="0">
      <dxf/>
    </rfmt>
    <rfmt sheetId="2" sqref="BZ790" start="0" length="0">
      <dxf/>
    </rfmt>
    <rfmt sheetId="2" sqref="CA790" start="0" length="0">
      <dxf/>
    </rfmt>
    <rfmt sheetId="2" sqref="CB790" start="0" length="0">
      <dxf/>
    </rfmt>
    <rfmt sheetId="2" sqref="CC790" start="0" length="0">
      <dxf/>
    </rfmt>
    <rfmt sheetId="2" sqref="CD790" start="0" length="0">
      <dxf/>
    </rfmt>
    <rfmt sheetId="2" sqref="CE790" start="0" length="0">
      <dxf/>
    </rfmt>
    <rfmt sheetId="2" sqref="CF790" start="0" length="0">
      <dxf/>
    </rfmt>
    <rfmt sheetId="2" sqref="CG790" start="0" length="0">
      <dxf/>
    </rfmt>
    <rfmt sheetId="2" sqref="CH790" start="0" length="0">
      <dxf/>
    </rfmt>
    <rfmt sheetId="2" sqref="CI790" start="0" length="0">
      <dxf/>
    </rfmt>
    <rfmt sheetId="2" sqref="CJ790" start="0" length="0">
      <dxf/>
    </rfmt>
    <rfmt sheetId="2" sqref="CK790" start="0" length="0">
      <dxf/>
    </rfmt>
    <rfmt sheetId="2" sqref="CL790" start="0" length="0">
      <dxf/>
    </rfmt>
    <rfmt sheetId="2" sqref="CM790" start="0" length="0">
      <dxf/>
    </rfmt>
    <rfmt sheetId="2" sqref="CN790" start="0" length="0">
      <dxf/>
    </rfmt>
    <rfmt sheetId="2" sqref="CO790" start="0" length="0">
      <dxf/>
    </rfmt>
    <rfmt sheetId="2" sqref="CP790" start="0" length="0">
      <dxf/>
    </rfmt>
    <rfmt sheetId="2" sqref="CQ790" start="0" length="0">
      <dxf/>
    </rfmt>
    <rfmt sheetId="2" sqref="CR790" start="0" length="0">
      <dxf/>
    </rfmt>
    <rfmt sheetId="2" sqref="CS790" start="0" length="0">
      <dxf/>
    </rfmt>
    <rfmt sheetId="2" sqref="CT790" start="0" length="0">
      <dxf/>
    </rfmt>
    <rfmt sheetId="2" sqref="CU790" start="0" length="0">
      <dxf/>
    </rfmt>
    <rfmt sheetId="2" sqref="CV790" start="0" length="0">
      <dxf/>
    </rfmt>
    <rfmt sheetId="2" sqref="CW790" start="0" length="0">
      <dxf/>
    </rfmt>
    <rfmt sheetId="2" sqref="CX790" start="0" length="0">
      <dxf/>
    </rfmt>
    <rfmt sheetId="2" sqref="CY790" start="0" length="0">
      <dxf/>
    </rfmt>
    <rfmt sheetId="2" sqref="CZ790" start="0" length="0">
      <dxf/>
    </rfmt>
    <rfmt sheetId="2" sqref="DA790" start="0" length="0">
      <dxf/>
    </rfmt>
    <rfmt sheetId="2" sqref="DB790" start="0" length="0">
      <dxf/>
    </rfmt>
    <rfmt sheetId="2" sqref="DC790" start="0" length="0">
      <dxf/>
    </rfmt>
    <rfmt sheetId="2" sqref="DD790" start="0" length="0">
      <dxf/>
    </rfmt>
    <rfmt sheetId="2" sqref="DE790" start="0" length="0">
      <dxf/>
    </rfmt>
    <rfmt sheetId="2" sqref="DF790" start="0" length="0">
      <dxf/>
    </rfmt>
    <rfmt sheetId="2" sqref="DG790" start="0" length="0">
      <dxf/>
    </rfmt>
    <rfmt sheetId="2" sqref="DH790" start="0" length="0">
      <dxf/>
    </rfmt>
    <rfmt sheetId="2" sqref="DI790" start="0" length="0">
      <dxf/>
    </rfmt>
    <rfmt sheetId="2" sqref="DJ790" start="0" length="0">
      <dxf/>
    </rfmt>
    <rfmt sheetId="2" sqref="DK790" start="0" length="0">
      <dxf/>
    </rfmt>
    <rfmt sheetId="2" sqref="DL790" start="0" length="0">
      <dxf/>
    </rfmt>
    <rfmt sheetId="2" sqref="DM790" start="0" length="0">
      <dxf/>
    </rfmt>
    <rfmt sheetId="2" sqref="DN790" start="0" length="0">
      <dxf/>
    </rfmt>
    <rfmt sheetId="2" sqref="DO790" start="0" length="0">
      <dxf/>
    </rfmt>
    <rfmt sheetId="2" sqref="DP790" start="0" length="0">
      <dxf/>
    </rfmt>
    <rfmt sheetId="2" sqref="DQ790" start="0" length="0">
      <dxf/>
    </rfmt>
    <rfmt sheetId="2" sqref="DR790" start="0" length="0">
      <dxf/>
    </rfmt>
    <rfmt sheetId="2" sqref="DS790" start="0" length="0">
      <dxf/>
    </rfmt>
    <rfmt sheetId="2" sqref="DT790" start="0" length="0">
      <dxf/>
    </rfmt>
    <rfmt sheetId="2" sqref="DU790" start="0" length="0">
      <dxf/>
    </rfmt>
    <rfmt sheetId="2" sqref="DV790" start="0" length="0">
      <dxf/>
    </rfmt>
    <rfmt sheetId="2" sqref="DW790" start="0" length="0">
      <dxf/>
    </rfmt>
    <rfmt sheetId="2" sqref="DX790" start="0" length="0">
      <dxf/>
    </rfmt>
    <rfmt sheetId="2" sqref="DY790" start="0" length="0">
      <dxf/>
    </rfmt>
    <rfmt sheetId="2" sqref="DZ790" start="0" length="0">
      <dxf/>
    </rfmt>
    <rfmt sheetId="2" sqref="EA790" start="0" length="0">
      <dxf/>
    </rfmt>
    <rfmt sheetId="2" sqref="EB790" start="0" length="0">
      <dxf/>
    </rfmt>
    <rfmt sheetId="2" sqref="EC790" start="0" length="0">
      <dxf/>
    </rfmt>
    <rfmt sheetId="2" sqref="ED790" start="0" length="0">
      <dxf/>
    </rfmt>
    <rfmt sheetId="2" sqref="EE790" start="0" length="0">
      <dxf/>
    </rfmt>
    <rfmt sheetId="2" sqref="EF790" start="0" length="0">
      <dxf/>
    </rfmt>
    <rfmt sheetId="2" sqref="EG790" start="0" length="0">
      <dxf/>
    </rfmt>
    <rfmt sheetId="2" sqref="EH790" start="0" length="0">
      <dxf/>
    </rfmt>
    <rfmt sheetId="2" sqref="EI790" start="0" length="0">
      <dxf/>
    </rfmt>
    <rfmt sheetId="2" sqref="EJ790" start="0" length="0">
      <dxf/>
    </rfmt>
    <rfmt sheetId="2" sqref="EK790" start="0" length="0">
      <dxf/>
    </rfmt>
    <rfmt sheetId="2" sqref="EL790" start="0" length="0">
      <dxf/>
    </rfmt>
    <rfmt sheetId="2" sqref="EM790" start="0" length="0">
      <dxf/>
    </rfmt>
    <rfmt sheetId="2" sqref="EN790" start="0" length="0">
      <dxf/>
    </rfmt>
    <rfmt sheetId="2" sqref="EO790" start="0" length="0">
      <dxf/>
    </rfmt>
    <rfmt sheetId="2" sqref="EP790" start="0" length="0">
      <dxf/>
    </rfmt>
    <rfmt sheetId="2" sqref="EQ790" start="0" length="0">
      <dxf/>
    </rfmt>
    <rfmt sheetId="2" sqref="ER790" start="0" length="0">
      <dxf/>
    </rfmt>
    <rfmt sheetId="2" sqref="ES790" start="0" length="0">
      <dxf/>
    </rfmt>
    <rfmt sheetId="2" sqref="ET790" start="0" length="0">
      <dxf/>
    </rfmt>
    <rfmt sheetId="2" sqref="EU790" start="0" length="0">
      <dxf/>
    </rfmt>
    <rfmt sheetId="2" sqref="EV790" start="0" length="0">
      <dxf/>
    </rfmt>
    <rfmt sheetId="2" sqref="EW790" start="0" length="0">
      <dxf/>
    </rfmt>
    <rfmt sheetId="2" sqref="EX790" start="0" length="0">
      <dxf/>
    </rfmt>
    <rfmt sheetId="2" sqref="EY790" start="0" length="0">
      <dxf/>
    </rfmt>
    <rfmt sheetId="2" sqref="EZ790" start="0" length="0">
      <dxf/>
    </rfmt>
    <rfmt sheetId="2" sqref="FA790" start="0" length="0">
      <dxf/>
    </rfmt>
    <rfmt sheetId="2" sqref="FB790" start="0" length="0">
      <dxf/>
    </rfmt>
    <rfmt sheetId="2" sqref="FC790" start="0" length="0">
      <dxf/>
    </rfmt>
    <rfmt sheetId="2" sqref="FD790" start="0" length="0">
      <dxf/>
    </rfmt>
    <rfmt sheetId="2" sqref="FE790" start="0" length="0">
      <dxf/>
    </rfmt>
    <rfmt sheetId="2" sqref="FF790" start="0" length="0">
      <dxf/>
    </rfmt>
    <rfmt sheetId="2" sqref="FG790" start="0" length="0">
      <dxf/>
    </rfmt>
    <rfmt sheetId="2" sqref="FH790" start="0" length="0">
      <dxf/>
    </rfmt>
    <rfmt sheetId="2" sqref="FI790" start="0" length="0">
      <dxf/>
    </rfmt>
    <rfmt sheetId="2" sqref="FJ790" start="0" length="0">
      <dxf/>
    </rfmt>
    <rfmt sheetId="2" sqref="FK790" start="0" length="0">
      <dxf/>
    </rfmt>
    <rfmt sheetId="2" sqref="FL790" start="0" length="0">
      <dxf/>
    </rfmt>
    <rfmt sheetId="2" sqref="FM790" start="0" length="0">
      <dxf/>
    </rfmt>
    <rfmt sheetId="2" sqref="FN790" start="0" length="0">
      <dxf/>
    </rfmt>
    <rfmt sheetId="2" sqref="FO790" start="0" length="0">
      <dxf/>
    </rfmt>
    <rfmt sheetId="2" sqref="FP790" start="0" length="0">
      <dxf/>
    </rfmt>
    <rfmt sheetId="2" sqref="FQ790" start="0" length="0">
      <dxf/>
    </rfmt>
    <rfmt sheetId="2" sqref="FR790" start="0" length="0">
      <dxf/>
    </rfmt>
    <rfmt sheetId="2" sqref="FS790" start="0" length="0">
      <dxf/>
    </rfmt>
    <rfmt sheetId="2" sqref="FT790" start="0" length="0">
      <dxf/>
    </rfmt>
    <rfmt sheetId="2" sqref="FU790" start="0" length="0">
      <dxf/>
    </rfmt>
    <rfmt sheetId="2" sqref="FV790" start="0" length="0">
      <dxf/>
    </rfmt>
    <rfmt sheetId="2" sqref="FW790" start="0" length="0">
      <dxf/>
    </rfmt>
    <rfmt sheetId="2" sqref="FX790" start="0" length="0">
      <dxf/>
    </rfmt>
    <rfmt sheetId="2" sqref="FY790" start="0" length="0">
      <dxf/>
    </rfmt>
    <rfmt sheetId="2" sqref="FZ790" start="0" length="0">
      <dxf/>
    </rfmt>
    <rfmt sheetId="2" sqref="GA790" start="0" length="0">
      <dxf/>
    </rfmt>
    <rfmt sheetId="2" sqref="GB790" start="0" length="0">
      <dxf/>
    </rfmt>
    <rfmt sheetId="2" sqref="GC790" start="0" length="0">
      <dxf/>
    </rfmt>
    <rfmt sheetId="2" sqref="GD790" start="0" length="0">
      <dxf/>
    </rfmt>
    <rfmt sheetId="2" sqref="GE790" start="0" length="0">
      <dxf/>
    </rfmt>
    <rfmt sheetId="2" sqref="GF790" start="0" length="0">
      <dxf/>
    </rfmt>
    <rfmt sheetId="2" sqref="GG790" start="0" length="0">
      <dxf/>
    </rfmt>
    <rfmt sheetId="2" sqref="GH790" start="0" length="0">
      <dxf/>
    </rfmt>
    <rfmt sheetId="2" sqref="GI790" start="0" length="0">
      <dxf/>
    </rfmt>
    <rfmt sheetId="2" sqref="GJ790" start="0" length="0">
      <dxf/>
    </rfmt>
    <rfmt sheetId="2" sqref="GK790" start="0" length="0">
      <dxf/>
    </rfmt>
    <rfmt sheetId="2" sqref="GL790" start="0" length="0">
      <dxf/>
    </rfmt>
    <rfmt sheetId="2" sqref="GM790" start="0" length="0">
      <dxf/>
    </rfmt>
    <rfmt sheetId="2" sqref="GN790" start="0" length="0">
      <dxf/>
    </rfmt>
    <rfmt sheetId="2" sqref="GO790" start="0" length="0">
      <dxf/>
    </rfmt>
    <rfmt sheetId="2" sqref="GP790" start="0" length="0">
      <dxf/>
    </rfmt>
    <rfmt sheetId="2" sqref="GQ790" start="0" length="0">
      <dxf/>
    </rfmt>
    <rfmt sheetId="2" sqref="GR790" start="0" length="0">
      <dxf/>
    </rfmt>
    <rfmt sheetId="2" sqref="GS790" start="0" length="0">
      <dxf/>
    </rfmt>
    <rfmt sheetId="2" sqref="GT790" start="0" length="0">
      <dxf/>
    </rfmt>
    <rfmt sheetId="2" sqref="GU790" start="0" length="0">
      <dxf/>
    </rfmt>
    <rfmt sheetId="2" sqref="GV790" start="0" length="0">
      <dxf/>
    </rfmt>
    <rfmt sheetId="2" sqref="GW790" start="0" length="0">
      <dxf/>
    </rfmt>
    <rfmt sheetId="2" sqref="GX790" start="0" length="0">
      <dxf/>
    </rfmt>
    <rfmt sheetId="2" sqref="GY790" start="0" length="0">
      <dxf/>
    </rfmt>
    <rfmt sheetId="2" sqref="GZ790" start="0" length="0">
      <dxf/>
    </rfmt>
    <rfmt sheetId="2" sqref="HA790" start="0" length="0">
      <dxf/>
    </rfmt>
    <rfmt sheetId="2" sqref="HB790" start="0" length="0">
      <dxf/>
    </rfmt>
    <rfmt sheetId="2" sqref="HC790" start="0" length="0">
      <dxf/>
    </rfmt>
    <rfmt sheetId="2" sqref="HD790" start="0" length="0">
      <dxf/>
    </rfmt>
    <rfmt sheetId="2" sqref="HE790" start="0" length="0">
      <dxf/>
    </rfmt>
    <rfmt sheetId="2" sqref="HF790" start="0" length="0">
      <dxf/>
    </rfmt>
    <rfmt sheetId="2" sqref="HG790" start="0" length="0">
      <dxf/>
    </rfmt>
    <rfmt sheetId="2" sqref="HH790" start="0" length="0">
      <dxf/>
    </rfmt>
    <rfmt sheetId="2" sqref="HI790" start="0" length="0">
      <dxf/>
    </rfmt>
    <rfmt sheetId="2" sqref="HJ790" start="0" length="0">
      <dxf/>
    </rfmt>
    <rfmt sheetId="2" sqref="HK790" start="0" length="0">
      <dxf/>
    </rfmt>
    <rfmt sheetId="2" sqref="HL790" start="0" length="0">
      <dxf/>
    </rfmt>
    <rfmt sheetId="2" sqref="HM790" start="0" length="0">
      <dxf/>
    </rfmt>
    <rfmt sheetId="2" sqref="HN790" start="0" length="0">
      <dxf/>
    </rfmt>
    <rfmt sheetId="2" sqref="HO790" start="0" length="0">
      <dxf/>
    </rfmt>
    <rfmt sheetId="2" sqref="HP790" start="0" length="0">
      <dxf/>
    </rfmt>
    <rfmt sheetId="2" sqref="HQ790" start="0" length="0">
      <dxf/>
    </rfmt>
    <rfmt sheetId="2" sqref="HR790" start="0" length="0">
      <dxf/>
    </rfmt>
    <rfmt sheetId="2" sqref="HS790" start="0" length="0">
      <dxf/>
    </rfmt>
    <rfmt sheetId="2" sqref="HT790" start="0" length="0">
      <dxf/>
    </rfmt>
    <rfmt sheetId="2" sqref="HU790" start="0" length="0">
      <dxf/>
    </rfmt>
    <rfmt sheetId="2" sqref="HV790" start="0" length="0">
      <dxf/>
    </rfmt>
    <rfmt sheetId="2" sqref="HW790" start="0" length="0">
      <dxf/>
    </rfmt>
    <rfmt sheetId="2" sqref="HX790" start="0" length="0">
      <dxf/>
    </rfmt>
    <rfmt sheetId="2" sqref="HY790" start="0" length="0">
      <dxf/>
    </rfmt>
    <rfmt sheetId="2" sqref="HZ790" start="0" length="0">
      <dxf/>
    </rfmt>
    <rfmt sheetId="2" sqref="IA790" start="0" length="0">
      <dxf/>
    </rfmt>
    <rfmt sheetId="2" sqref="IB790" start="0" length="0">
      <dxf/>
    </rfmt>
    <rfmt sheetId="2" sqref="IC790" start="0" length="0">
      <dxf/>
    </rfmt>
    <rfmt sheetId="2" sqref="ID790" start="0" length="0">
      <dxf/>
    </rfmt>
    <rfmt sheetId="2" sqref="IE790" start="0" length="0">
      <dxf/>
    </rfmt>
    <rfmt sheetId="2" sqref="IF790" start="0" length="0">
      <dxf/>
    </rfmt>
    <rfmt sheetId="2" sqref="IG790" start="0" length="0">
      <dxf/>
    </rfmt>
    <rfmt sheetId="2" sqref="IH790" start="0" length="0">
      <dxf/>
    </rfmt>
    <rfmt sheetId="2" sqref="II790" start="0" length="0">
      <dxf/>
    </rfmt>
    <rfmt sheetId="2" sqref="IJ790" start="0" length="0">
      <dxf/>
    </rfmt>
    <rfmt sheetId="2" sqref="IK790" start="0" length="0">
      <dxf/>
    </rfmt>
    <rfmt sheetId="2" sqref="IL790" start="0" length="0">
      <dxf/>
    </rfmt>
    <rfmt sheetId="2" sqref="IM790" start="0" length="0">
      <dxf/>
    </rfmt>
    <rfmt sheetId="2" sqref="IN790" start="0" length="0">
      <dxf/>
    </rfmt>
    <rfmt sheetId="2" sqref="IO790" start="0" length="0">
      <dxf/>
    </rfmt>
    <rfmt sheetId="2" sqref="IP790" start="0" length="0">
      <dxf/>
    </rfmt>
    <rfmt sheetId="2" sqref="IQ790" start="0" length="0">
      <dxf/>
    </rfmt>
    <rfmt sheetId="2" sqref="IR790" start="0" length="0">
      <dxf/>
    </rfmt>
    <rfmt sheetId="2" sqref="IS790" start="0" length="0">
      <dxf/>
    </rfmt>
    <rfmt sheetId="2" sqref="IT790" start="0" length="0">
      <dxf/>
    </rfmt>
    <rfmt sheetId="2" sqref="IU790" start="0" length="0">
      <dxf/>
    </rfmt>
    <rfmt sheetId="2" sqref="IV790" start="0" length="0">
      <dxf/>
    </rfmt>
    <rfmt sheetId="2" sqref="IW790" start="0" length="0">
      <dxf/>
    </rfmt>
    <rfmt sheetId="2" sqref="IX790" start="0" length="0">
      <dxf/>
    </rfmt>
    <rfmt sheetId="2" sqref="IY790" start="0" length="0">
      <dxf/>
    </rfmt>
    <rfmt sheetId="2" sqref="IZ790" start="0" length="0">
      <dxf/>
    </rfmt>
    <rfmt sheetId="2" sqref="JA790" start="0" length="0">
      <dxf/>
    </rfmt>
    <rfmt sheetId="2" sqref="JB790" start="0" length="0">
      <dxf/>
    </rfmt>
    <rfmt sheetId="2" sqref="JC790" start="0" length="0">
      <dxf/>
    </rfmt>
    <rfmt sheetId="2" sqref="JD790" start="0" length="0">
      <dxf/>
    </rfmt>
    <rfmt sheetId="2" sqref="JE790" start="0" length="0">
      <dxf/>
    </rfmt>
    <rfmt sheetId="2" sqref="JF790" start="0" length="0">
      <dxf/>
    </rfmt>
    <rfmt sheetId="2" sqref="JG790" start="0" length="0">
      <dxf/>
    </rfmt>
    <rfmt sheetId="2" sqref="JH790" start="0" length="0">
      <dxf/>
    </rfmt>
    <rfmt sheetId="2" sqref="JI790" start="0" length="0">
      <dxf/>
    </rfmt>
    <rfmt sheetId="2" sqref="JJ790" start="0" length="0">
      <dxf/>
    </rfmt>
    <rfmt sheetId="2" sqref="JK790" start="0" length="0">
      <dxf/>
    </rfmt>
    <rfmt sheetId="2" sqref="JL790" start="0" length="0">
      <dxf/>
    </rfmt>
    <rfmt sheetId="2" sqref="JM790" start="0" length="0">
      <dxf/>
    </rfmt>
    <rfmt sheetId="2" sqref="JN790" start="0" length="0">
      <dxf/>
    </rfmt>
    <rfmt sheetId="2" sqref="JO790" start="0" length="0">
      <dxf/>
    </rfmt>
    <rfmt sheetId="2" sqref="JP790" start="0" length="0">
      <dxf/>
    </rfmt>
    <rfmt sheetId="2" sqref="JQ790" start="0" length="0">
      <dxf/>
    </rfmt>
    <rfmt sheetId="2" sqref="JR790" start="0" length="0">
      <dxf/>
    </rfmt>
    <rfmt sheetId="2" sqref="JS790" start="0" length="0">
      <dxf/>
    </rfmt>
    <rfmt sheetId="2" sqref="JT790" start="0" length="0">
      <dxf/>
    </rfmt>
    <rfmt sheetId="2" sqref="JU790" start="0" length="0">
      <dxf/>
    </rfmt>
    <rfmt sheetId="2" sqref="JV790" start="0" length="0">
      <dxf/>
    </rfmt>
    <rfmt sheetId="2" sqref="JW790" start="0" length="0">
      <dxf/>
    </rfmt>
    <rfmt sheetId="2" sqref="JX790" start="0" length="0">
      <dxf/>
    </rfmt>
    <rfmt sheetId="2" sqref="JY790" start="0" length="0">
      <dxf/>
    </rfmt>
    <rfmt sheetId="2" sqref="JZ790" start="0" length="0">
      <dxf/>
    </rfmt>
    <rfmt sheetId="2" sqref="KA790" start="0" length="0">
      <dxf/>
    </rfmt>
    <rfmt sheetId="2" sqref="KB790" start="0" length="0">
      <dxf/>
    </rfmt>
    <rfmt sheetId="2" sqref="KC790" start="0" length="0">
      <dxf/>
    </rfmt>
    <rfmt sheetId="2" sqref="KD790" start="0" length="0">
      <dxf/>
    </rfmt>
    <rfmt sheetId="2" sqref="KE790" start="0" length="0">
      <dxf/>
    </rfmt>
    <rfmt sheetId="2" sqref="KF790" start="0" length="0">
      <dxf/>
    </rfmt>
    <rfmt sheetId="2" sqref="KG790" start="0" length="0">
      <dxf/>
    </rfmt>
    <rfmt sheetId="2" sqref="KH790" start="0" length="0">
      <dxf/>
    </rfmt>
    <rfmt sheetId="2" sqref="KI790" start="0" length="0">
      <dxf/>
    </rfmt>
    <rfmt sheetId="2" sqref="KJ790" start="0" length="0">
      <dxf/>
    </rfmt>
    <rfmt sheetId="2" sqref="KK790" start="0" length="0">
      <dxf/>
    </rfmt>
    <rfmt sheetId="2" sqref="KL790" start="0" length="0">
      <dxf/>
    </rfmt>
    <rfmt sheetId="2" sqref="KM790" start="0" length="0">
      <dxf/>
    </rfmt>
    <rfmt sheetId="2" sqref="KN790" start="0" length="0">
      <dxf/>
    </rfmt>
    <rfmt sheetId="2" sqref="KO790" start="0" length="0">
      <dxf/>
    </rfmt>
    <rfmt sheetId="2" sqref="KP790" start="0" length="0">
      <dxf/>
    </rfmt>
    <rfmt sheetId="2" sqref="KQ790" start="0" length="0">
      <dxf/>
    </rfmt>
    <rfmt sheetId="2" sqref="KR790" start="0" length="0">
      <dxf/>
    </rfmt>
    <rfmt sheetId="2" sqref="KS790" start="0" length="0">
      <dxf/>
    </rfmt>
    <rfmt sheetId="2" sqref="KT790" start="0" length="0">
      <dxf/>
    </rfmt>
    <rfmt sheetId="2" sqref="KU790" start="0" length="0">
      <dxf/>
    </rfmt>
    <rfmt sheetId="2" sqref="KV790" start="0" length="0">
      <dxf/>
    </rfmt>
    <rfmt sheetId="2" sqref="KW790" start="0" length="0">
      <dxf/>
    </rfmt>
    <rfmt sheetId="2" sqref="KX790" start="0" length="0">
      <dxf/>
    </rfmt>
    <rfmt sheetId="2" sqref="KY790" start="0" length="0">
      <dxf/>
    </rfmt>
    <rfmt sheetId="2" sqref="KZ790" start="0" length="0">
      <dxf/>
    </rfmt>
    <rfmt sheetId="2" sqref="LA790" start="0" length="0">
      <dxf/>
    </rfmt>
    <rfmt sheetId="2" sqref="LB790" start="0" length="0">
      <dxf/>
    </rfmt>
    <rfmt sheetId="2" sqref="LC790" start="0" length="0">
      <dxf/>
    </rfmt>
    <rfmt sheetId="2" sqref="LD790" start="0" length="0">
      <dxf/>
    </rfmt>
    <rfmt sheetId="2" sqref="LE790" start="0" length="0">
      <dxf/>
    </rfmt>
    <rfmt sheetId="2" sqref="LF790" start="0" length="0">
      <dxf/>
    </rfmt>
    <rfmt sheetId="2" sqref="LG790" start="0" length="0">
      <dxf/>
    </rfmt>
    <rfmt sheetId="2" sqref="LH790" start="0" length="0">
      <dxf/>
    </rfmt>
    <rfmt sheetId="2" sqref="LI790" start="0" length="0">
      <dxf/>
    </rfmt>
    <rfmt sheetId="2" sqref="LJ790" start="0" length="0">
      <dxf/>
    </rfmt>
    <rfmt sheetId="2" sqref="LK790" start="0" length="0">
      <dxf/>
    </rfmt>
    <rfmt sheetId="2" sqref="LL790" start="0" length="0">
      <dxf/>
    </rfmt>
    <rfmt sheetId="2" sqref="LM790" start="0" length="0">
      <dxf/>
    </rfmt>
    <rfmt sheetId="2" sqref="LN790" start="0" length="0">
      <dxf/>
    </rfmt>
    <rfmt sheetId="2" sqref="LO790" start="0" length="0">
      <dxf/>
    </rfmt>
    <rfmt sheetId="2" sqref="LP790" start="0" length="0">
      <dxf/>
    </rfmt>
    <rfmt sheetId="2" sqref="LQ790" start="0" length="0">
      <dxf/>
    </rfmt>
    <rfmt sheetId="2" sqref="LR790" start="0" length="0">
      <dxf/>
    </rfmt>
    <rfmt sheetId="2" sqref="LS790" start="0" length="0">
      <dxf/>
    </rfmt>
    <rfmt sheetId="2" sqref="LT790" start="0" length="0">
      <dxf/>
    </rfmt>
    <rfmt sheetId="2" sqref="LU790" start="0" length="0">
      <dxf/>
    </rfmt>
    <rfmt sheetId="2" sqref="LV790" start="0" length="0">
      <dxf/>
    </rfmt>
    <rfmt sheetId="2" sqref="LW790" start="0" length="0">
      <dxf/>
    </rfmt>
    <rfmt sheetId="2" sqref="LX790" start="0" length="0">
      <dxf/>
    </rfmt>
    <rfmt sheetId="2" sqref="LY790" start="0" length="0">
      <dxf/>
    </rfmt>
    <rfmt sheetId="2" sqref="LZ790" start="0" length="0">
      <dxf/>
    </rfmt>
    <rfmt sheetId="2" sqref="MA790" start="0" length="0">
      <dxf/>
    </rfmt>
    <rfmt sheetId="2" sqref="MB790" start="0" length="0">
      <dxf/>
    </rfmt>
    <rfmt sheetId="2" sqref="A79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1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1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9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9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9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9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1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1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1" start="0" length="0">
      <dxf>
        <numFmt numFmtId="176" formatCode="m/d;@"/>
      </dxf>
    </rfmt>
    <rfmt sheetId="2" sqref="P79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1" start="0" length="0">
      <dxf/>
    </rfmt>
    <rfmt sheetId="2" sqref="U791" start="0" length="0">
      <dxf/>
    </rfmt>
    <rfmt sheetId="2" sqref="V791" start="0" length="0">
      <dxf/>
    </rfmt>
    <rfmt sheetId="2" sqref="W791" start="0" length="0">
      <dxf/>
    </rfmt>
    <rfmt sheetId="2" sqref="X791" start="0" length="0">
      <dxf/>
    </rfmt>
    <rfmt sheetId="2" sqref="Y791" start="0" length="0">
      <dxf/>
    </rfmt>
    <rfmt sheetId="2" sqref="Z791" start="0" length="0">
      <dxf/>
    </rfmt>
    <rfmt sheetId="2" sqref="AA791" start="0" length="0">
      <dxf/>
    </rfmt>
    <rfmt sheetId="2" sqref="AB791" start="0" length="0">
      <dxf/>
    </rfmt>
    <rfmt sheetId="2" sqref="AC791" start="0" length="0">
      <dxf/>
    </rfmt>
    <rfmt sheetId="2" sqref="AD791" start="0" length="0">
      <dxf/>
    </rfmt>
    <rfmt sheetId="2" sqref="AE791" start="0" length="0">
      <dxf/>
    </rfmt>
    <rfmt sheetId="2" sqref="AF791" start="0" length="0">
      <dxf/>
    </rfmt>
    <rfmt sheetId="2" sqref="AG791" start="0" length="0">
      <dxf/>
    </rfmt>
    <rfmt sheetId="2" sqref="AH791" start="0" length="0">
      <dxf/>
    </rfmt>
    <rfmt sheetId="2" sqref="AI791" start="0" length="0">
      <dxf/>
    </rfmt>
    <rfmt sheetId="2" sqref="AJ791" start="0" length="0">
      <dxf/>
    </rfmt>
    <rfmt sheetId="2" sqref="AK791" start="0" length="0">
      <dxf/>
    </rfmt>
    <rfmt sheetId="2" sqref="AL791" start="0" length="0">
      <dxf/>
    </rfmt>
    <rfmt sheetId="2" sqref="AM791" start="0" length="0">
      <dxf/>
    </rfmt>
    <rfmt sheetId="2" sqref="AN791" start="0" length="0">
      <dxf/>
    </rfmt>
    <rfmt sheetId="2" sqref="AO791" start="0" length="0">
      <dxf/>
    </rfmt>
    <rfmt sheetId="2" sqref="AP791" start="0" length="0">
      <dxf/>
    </rfmt>
    <rfmt sheetId="2" sqref="AQ791" start="0" length="0">
      <dxf/>
    </rfmt>
    <rfmt sheetId="2" sqref="AR791" start="0" length="0">
      <dxf/>
    </rfmt>
    <rfmt sheetId="2" sqref="AS791" start="0" length="0">
      <dxf/>
    </rfmt>
    <rfmt sheetId="2" sqref="AT791" start="0" length="0">
      <dxf/>
    </rfmt>
    <rfmt sheetId="2" sqref="AU791" start="0" length="0">
      <dxf/>
    </rfmt>
    <rfmt sheetId="2" sqref="AV791" start="0" length="0">
      <dxf/>
    </rfmt>
    <rfmt sheetId="2" sqref="AW791" start="0" length="0">
      <dxf/>
    </rfmt>
    <rfmt sheetId="2" sqref="AX791" start="0" length="0">
      <dxf/>
    </rfmt>
    <rfmt sheetId="2" sqref="AY791" start="0" length="0">
      <dxf/>
    </rfmt>
    <rfmt sheetId="2" sqref="AZ791" start="0" length="0">
      <dxf/>
    </rfmt>
    <rfmt sheetId="2" sqref="BA791" start="0" length="0">
      <dxf/>
    </rfmt>
    <rfmt sheetId="2" sqref="BB791" start="0" length="0">
      <dxf/>
    </rfmt>
    <rfmt sheetId="2" sqref="BC791" start="0" length="0">
      <dxf/>
    </rfmt>
    <rfmt sheetId="2" sqref="BD791" start="0" length="0">
      <dxf/>
    </rfmt>
    <rfmt sheetId="2" sqref="BE791" start="0" length="0">
      <dxf/>
    </rfmt>
    <rfmt sheetId="2" sqref="BF791" start="0" length="0">
      <dxf/>
    </rfmt>
    <rfmt sheetId="2" sqref="BG791" start="0" length="0">
      <dxf/>
    </rfmt>
    <rfmt sheetId="2" sqref="BH791" start="0" length="0">
      <dxf/>
    </rfmt>
    <rfmt sheetId="2" sqref="BI791" start="0" length="0">
      <dxf/>
    </rfmt>
    <rfmt sheetId="2" sqref="BJ791" start="0" length="0">
      <dxf/>
    </rfmt>
    <rfmt sheetId="2" sqref="BK791" start="0" length="0">
      <dxf/>
    </rfmt>
    <rfmt sheetId="2" sqref="BL791" start="0" length="0">
      <dxf/>
    </rfmt>
    <rfmt sheetId="2" sqref="BM791" start="0" length="0">
      <dxf/>
    </rfmt>
    <rfmt sheetId="2" sqref="BN791" start="0" length="0">
      <dxf/>
    </rfmt>
    <rfmt sheetId="2" sqref="BO791" start="0" length="0">
      <dxf/>
    </rfmt>
    <rfmt sheetId="2" sqref="BP791" start="0" length="0">
      <dxf/>
    </rfmt>
    <rfmt sheetId="2" sqref="BQ791" start="0" length="0">
      <dxf/>
    </rfmt>
    <rfmt sheetId="2" sqref="BR791" start="0" length="0">
      <dxf/>
    </rfmt>
    <rfmt sheetId="2" sqref="BS791" start="0" length="0">
      <dxf/>
    </rfmt>
    <rfmt sheetId="2" sqref="BT791" start="0" length="0">
      <dxf/>
    </rfmt>
    <rfmt sheetId="2" sqref="BU791" start="0" length="0">
      <dxf/>
    </rfmt>
    <rfmt sheetId="2" sqref="BV791" start="0" length="0">
      <dxf/>
    </rfmt>
    <rfmt sheetId="2" sqref="BW791" start="0" length="0">
      <dxf/>
    </rfmt>
    <rfmt sheetId="2" sqref="BX791" start="0" length="0">
      <dxf/>
    </rfmt>
    <rfmt sheetId="2" sqref="BY791" start="0" length="0">
      <dxf/>
    </rfmt>
    <rfmt sheetId="2" sqref="BZ791" start="0" length="0">
      <dxf/>
    </rfmt>
    <rfmt sheetId="2" sqref="CA791" start="0" length="0">
      <dxf/>
    </rfmt>
    <rfmt sheetId="2" sqref="CB791" start="0" length="0">
      <dxf/>
    </rfmt>
    <rfmt sheetId="2" sqref="CC791" start="0" length="0">
      <dxf/>
    </rfmt>
    <rfmt sheetId="2" sqref="CD791" start="0" length="0">
      <dxf/>
    </rfmt>
    <rfmt sheetId="2" sqref="CE791" start="0" length="0">
      <dxf/>
    </rfmt>
    <rfmt sheetId="2" sqref="CF791" start="0" length="0">
      <dxf/>
    </rfmt>
    <rfmt sheetId="2" sqref="CG791" start="0" length="0">
      <dxf/>
    </rfmt>
    <rfmt sheetId="2" sqref="CH791" start="0" length="0">
      <dxf/>
    </rfmt>
    <rfmt sheetId="2" sqref="CI791" start="0" length="0">
      <dxf/>
    </rfmt>
    <rfmt sheetId="2" sqref="CJ791" start="0" length="0">
      <dxf/>
    </rfmt>
    <rfmt sheetId="2" sqref="CK791" start="0" length="0">
      <dxf/>
    </rfmt>
    <rfmt sheetId="2" sqref="CL791" start="0" length="0">
      <dxf/>
    </rfmt>
    <rfmt sheetId="2" sqref="CM791" start="0" length="0">
      <dxf/>
    </rfmt>
    <rfmt sheetId="2" sqref="CN791" start="0" length="0">
      <dxf/>
    </rfmt>
    <rfmt sheetId="2" sqref="CO791" start="0" length="0">
      <dxf/>
    </rfmt>
    <rfmt sheetId="2" sqref="CP791" start="0" length="0">
      <dxf/>
    </rfmt>
    <rfmt sheetId="2" sqref="CQ791" start="0" length="0">
      <dxf/>
    </rfmt>
    <rfmt sheetId="2" sqref="CR791" start="0" length="0">
      <dxf/>
    </rfmt>
    <rfmt sheetId="2" sqref="CS791" start="0" length="0">
      <dxf/>
    </rfmt>
    <rfmt sheetId="2" sqref="CT791" start="0" length="0">
      <dxf/>
    </rfmt>
    <rfmt sheetId="2" sqref="CU791" start="0" length="0">
      <dxf/>
    </rfmt>
    <rfmt sheetId="2" sqref="CV791" start="0" length="0">
      <dxf/>
    </rfmt>
    <rfmt sheetId="2" sqref="CW791" start="0" length="0">
      <dxf/>
    </rfmt>
    <rfmt sheetId="2" sqref="CX791" start="0" length="0">
      <dxf/>
    </rfmt>
    <rfmt sheetId="2" sqref="CY791" start="0" length="0">
      <dxf/>
    </rfmt>
    <rfmt sheetId="2" sqref="CZ791" start="0" length="0">
      <dxf/>
    </rfmt>
    <rfmt sheetId="2" sqref="DA791" start="0" length="0">
      <dxf/>
    </rfmt>
    <rfmt sheetId="2" sqref="DB791" start="0" length="0">
      <dxf/>
    </rfmt>
    <rfmt sheetId="2" sqref="DC791" start="0" length="0">
      <dxf/>
    </rfmt>
    <rfmt sheetId="2" sqref="DD791" start="0" length="0">
      <dxf/>
    </rfmt>
    <rfmt sheetId="2" sqref="DE791" start="0" length="0">
      <dxf/>
    </rfmt>
    <rfmt sheetId="2" sqref="DF791" start="0" length="0">
      <dxf/>
    </rfmt>
    <rfmt sheetId="2" sqref="DG791" start="0" length="0">
      <dxf/>
    </rfmt>
    <rfmt sheetId="2" sqref="DH791" start="0" length="0">
      <dxf/>
    </rfmt>
    <rfmt sheetId="2" sqref="DI791" start="0" length="0">
      <dxf/>
    </rfmt>
    <rfmt sheetId="2" sqref="DJ791" start="0" length="0">
      <dxf/>
    </rfmt>
    <rfmt sheetId="2" sqref="DK791" start="0" length="0">
      <dxf/>
    </rfmt>
    <rfmt sheetId="2" sqref="DL791" start="0" length="0">
      <dxf/>
    </rfmt>
    <rfmt sheetId="2" sqref="DM791" start="0" length="0">
      <dxf/>
    </rfmt>
    <rfmt sheetId="2" sqref="DN791" start="0" length="0">
      <dxf/>
    </rfmt>
    <rfmt sheetId="2" sqref="DO791" start="0" length="0">
      <dxf/>
    </rfmt>
    <rfmt sheetId="2" sqref="DP791" start="0" length="0">
      <dxf/>
    </rfmt>
    <rfmt sheetId="2" sqref="DQ791" start="0" length="0">
      <dxf/>
    </rfmt>
    <rfmt sheetId="2" sqref="DR791" start="0" length="0">
      <dxf/>
    </rfmt>
    <rfmt sheetId="2" sqref="DS791" start="0" length="0">
      <dxf/>
    </rfmt>
    <rfmt sheetId="2" sqref="DT791" start="0" length="0">
      <dxf/>
    </rfmt>
    <rfmt sheetId="2" sqref="DU791" start="0" length="0">
      <dxf/>
    </rfmt>
    <rfmt sheetId="2" sqref="DV791" start="0" length="0">
      <dxf/>
    </rfmt>
    <rfmt sheetId="2" sqref="DW791" start="0" length="0">
      <dxf/>
    </rfmt>
    <rfmt sheetId="2" sqref="DX791" start="0" length="0">
      <dxf/>
    </rfmt>
    <rfmt sheetId="2" sqref="DY791" start="0" length="0">
      <dxf/>
    </rfmt>
    <rfmt sheetId="2" sqref="DZ791" start="0" length="0">
      <dxf/>
    </rfmt>
    <rfmt sheetId="2" sqref="EA791" start="0" length="0">
      <dxf/>
    </rfmt>
    <rfmt sheetId="2" sqref="EB791" start="0" length="0">
      <dxf/>
    </rfmt>
    <rfmt sheetId="2" sqref="EC791" start="0" length="0">
      <dxf/>
    </rfmt>
    <rfmt sheetId="2" sqref="ED791" start="0" length="0">
      <dxf/>
    </rfmt>
    <rfmt sheetId="2" sqref="EE791" start="0" length="0">
      <dxf/>
    </rfmt>
    <rfmt sheetId="2" sqref="EF791" start="0" length="0">
      <dxf/>
    </rfmt>
    <rfmt sheetId="2" sqref="EG791" start="0" length="0">
      <dxf/>
    </rfmt>
    <rfmt sheetId="2" sqref="EH791" start="0" length="0">
      <dxf/>
    </rfmt>
    <rfmt sheetId="2" sqref="EI791" start="0" length="0">
      <dxf/>
    </rfmt>
    <rfmt sheetId="2" sqref="EJ791" start="0" length="0">
      <dxf/>
    </rfmt>
    <rfmt sheetId="2" sqref="EK791" start="0" length="0">
      <dxf/>
    </rfmt>
    <rfmt sheetId="2" sqref="EL791" start="0" length="0">
      <dxf/>
    </rfmt>
    <rfmt sheetId="2" sqref="EM791" start="0" length="0">
      <dxf/>
    </rfmt>
    <rfmt sheetId="2" sqref="EN791" start="0" length="0">
      <dxf/>
    </rfmt>
    <rfmt sheetId="2" sqref="EO791" start="0" length="0">
      <dxf/>
    </rfmt>
    <rfmt sheetId="2" sqref="EP791" start="0" length="0">
      <dxf/>
    </rfmt>
    <rfmt sheetId="2" sqref="EQ791" start="0" length="0">
      <dxf/>
    </rfmt>
    <rfmt sheetId="2" sqref="ER791" start="0" length="0">
      <dxf/>
    </rfmt>
    <rfmt sheetId="2" sqref="ES791" start="0" length="0">
      <dxf/>
    </rfmt>
    <rfmt sheetId="2" sqref="ET791" start="0" length="0">
      <dxf/>
    </rfmt>
    <rfmt sheetId="2" sqref="EU791" start="0" length="0">
      <dxf/>
    </rfmt>
    <rfmt sheetId="2" sqref="EV791" start="0" length="0">
      <dxf/>
    </rfmt>
    <rfmt sheetId="2" sqref="EW791" start="0" length="0">
      <dxf/>
    </rfmt>
    <rfmt sheetId="2" sqref="EX791" start="0" length="0">
      <dxf/>
    </rfmt>
    <rfmt sheetId="2" sqref="EY791" start="0" length="0">
      <dxf/>
    </rfmt>
    <rfmt sheetId="2" sqref="EZ791" start="0" length="0">
      <dxf/>
    </rfmt>
    <rfmt sheetId="2" sqref="FA791" start="0" length="0">
      <dxf/>
    </rfmt>
    <rfmt sheetId="2" sqref="FB791" start="0" length="0">
      <dxf/>
    </rfmt>
    <rfmt sheetId="2" sqref="FC791" start="0" length="0">
      <dxf/>
    </rfmt>
    <rfmt sheetId="2" sqref="FD791" start="0" length="0">
      <dxf/>
    </rfmt>
    <rfmt sheetId="2" sqref="FE791" start="0" length="0">
      <dxf/>
    </rfmt>
    <rfmt sheetId="2" sqref="FF791" start="0" length="0">
      <dxf/>
    </rfmt>
    <rfmt sheetId="2" sqref="FG791" start="0" length="0">
      <dxf/>
    </rfmt>
    <rfmt sheetId="2" sqref="FH791" start="0" length="0">
      <dxf/>
    </rfmt>
    <rfmt sheetId="2" sqref="FI791" start="0" length="0">
      <dxf/>
    </rfmt>
    <rfmt sheetId="2" sqref="FJ791" start="0" length="0">
      <dxf/>
    </rfmt>
    <rfmt sheetId="2" sqref="FK791" start="0" length="0">
      <dxf/>
    </rfmt>
    <rfmt sheetId="2" sqref="FL791" start="0" length="0">
      <dxf/>
    </rfmt>
    <rfmt sheetId="2" sqref="FM791" start="0" length="0">
      <dxf/>
    </rfmt>
    <rfmt sheetId="2" sqref="FN791" start="0" length="0">
      <dxf/>
    </rfmt>
    <rfmt sheetId="2" sqref="FO791" start="0" length="0">
      <dxf/>
    </rfmt>
    <rfmt sheetId="2" sqref="FP791" start="0" length="0">
      <dxf/>
    </rfmt>
    <rfmt sheetId="2" sqref="FQ791" start="0" length="0">
      <dxf/>
    </rfmt>
    <rfmt sheetId="2" sqref="FR791" start="0" length="0">
      <dxf/>
    </rfmt>
    <rfmt sheetId="2" sqref="FS791" start="0" length="0">
      <dxf/>
    </rfmt>
    <rfmt sheetId="2" sqref="FT791" start="0" length="0">
      <dxf/>
    </rfmt>
    <rfmt sheetId="2" sqref="FU791" start="0" length="0">
      <dxf/>
    </rfmt>
    <rfmt sheetId="2" sqref="FV791" start="0" length="0">
      <dxf/>
    </rfmt>
    <rfmt sheetId="2" sqref="FW791" start="0" length="0">
      <dxf/>
    </rfmt>
    <rfmt sheetId="2" sqref="FX791" start="0" length="0">
      <dxf/>
    </rfmt>
    <rfmt sheetId="2" sqref="FY791" start="0" length="0">
      <dxf/>
    </rfmt>
    <rfmt sheetId="2" sqref="FZ791" start="0" length="0">
      <dxf/>
    </rfmt>
    <rfmt sheetId="2" sqref="GA791" start="0" length="0">
      <dxf/>
    </rfmt>
    <rfmt sheetId="2" sqref="GB791" start="0" length="0">
      <dxf/>
    </rfmt>
    <rfmt sheetId="2" sqref="GC791" start="0" length="0">
      <dxf/>
    </rfmt>
    <rfmt sheetId="2" sqref="GD791" start="0" length="0">
      <dxf/>
    </rfmt>
    <rfmt sheetId="2" sqref="GE791" start="0" length="0">
      <dxf/>
    </rfmt>
    <rfmt sheetId="2" sqref="GF791" start="0" length="0">
      <dxf/>
    </rfmt>
    <rfmt sheetId="2" sqref="GG791" start="0" length="0">
      <dxf/>
    </rfmt>
    <rfmt sheetId="2" sqref="GH791" start="0" length="0">
      <dxf/>
    </rfmt>
    <rfmt sheetId="2" sqref="GI791" start="0" length="0">
      <dxf/>
    </rfmt>
    <rfmt sheetId="2" sqref="GJ791" start="0" length="0">
      <dxf/>
    </rfmt>
    <rfmt sheetId="2" sqref="GK791" start="0" length="0">
      <dxf/>
    </rfmt>
    <rfmt sheetId="2" sqref="GL791" start="0" length="0">
      <dxf/>
    </rfmt>
    <rfmt sheetId="2" sqref="GM791" start="0" length="0">
      <dxf/>
    </rfmt>
    <rfmt sheetId="2" sqref="GN791" start="0" length="0">
      <dxf/>
    </rfmt>
    <rfmt sheetId="2" sqref="GO791" start="0" length="0">
      <dxf/>
    </rfmt>
    <rfmt sheetId="2" sqref="GP791" start="0" length="0">
      <dxf/>
    </rfmt>
    <rfmt sheetId="2" sqref="GQ791" start="0" length="0">
      <dxf/>
    </rfmt>
    <rfmt sheetId="2" sqref="GR791" start="0" length="0">
      <dxf/>
    </rfmt>
    <rfmt sheetId="2" sqref="GS791" start="0" length="0">
      <dxf/>
    </rfmt>
    <rfmt sheetId="2" sqref="GT791" start="0" length="0">
      <dxf/>
    </rfmt>
    <rfmt sheetId="2" sqref="GU791" start="0" length="0">
      <dxf/>
    </rfmt>
    <rfmt sheetId="2" sqref="GV791" start="0" length="0">
      <dxf/>
    </rfmt>
    <rfmt sheetId="2" sqref="GW791" start="0" length="0">
      <dxf/>
    </rfmt>
    <rfmt sheetId="2" sqref="GX791" start="0" length="0">
      <dxf/>
    </rfmt>
    <rfmt sheetId="2" sqref="GY791" start="0" length="0">
      <dxf/>
    </rfmt>
    <rfmt sheetId="2" sqref="GZ791" start="0" length="0">
      <dxf/>
    </rfmt>
    <rfmt sheetId="2" sqref="HA791" start="0" length="0">
      <dxf/>
    </rfmt>
    <rfmt sheetId="2" sqref="HB791" start="0" length="0">
      <dxf/>
    </rfmt>
    <rfmt sheetId="2" sqref="HC791" start="0" length="0">
      <dxf/>
    </rfmt>
    <rfmt sheetId="2" sqref="HD791" start="0" length="0">
      <dxf/>
    </rfmt>
    <rfmt sheetId="2" sqref="HE791" start="0" length="0">
      <dxf/>
    </rfmt>
    <rfmt sheetId="2" sqref="HF791" start="0" length="0">
      <dxf/>
    </rfmt>
    <rfmt sheetId="2" sqref="HG791" start="0" length="0">
      <dxf/>
    </rfmt>
    <rfmt sheetId="2" sqref="HH791" start="0" length="0">
      <dxf/>
    </rfmt>
    <rfmt sheetId="2" sqref="HI791" start="0" length="0">
      <dxf/>
    </rfmt>
    <rfmt sheetId="2" sqref="HJ791" start="0" length="0">
      <dxf/>
    </rfmt>
    <rfmt sheetId="2" sqref="HK791" start="0" length="0">
      <dxf/>
    </rfmt>
    <rfmt sheetId="2" sqref="HL791" start="0" length="0">
      <dxf/>
    </rfmt>
    <rfmt sheetId="2" sqref="HM791" start="0" length="0">
      <dxf/>
    </rfmt>
    <rfmt sheetId="2" sqref="HN791" start="0" length="0">
      <dxf/>
    </rfmt>
    <rfmt sheetId="2" sqref="HO791" start="0" length="0">
      <dxf/>
    </rfmt>
    <rfmt sheetId="2" sqref="HP791" start="0" length="0">
      <dxf/>
    </rfmt>
    <rfmt sheetId="2" sqref="HQ791" start="0" length="0">
      <dxf/>
    </rfmt>
    <rfmt sheetId="2" sqref="HR791" start="0" length="0">
      <dxf/>
    </rfmt>
    <rfmt sheetId="2" sqref="HS791" start="0" length="0">
      <dxf/>
    </rfmt>
    <rfmt sheetId="2" sqref="HT791" start="0" length="0">
      <dxf/>
    </rfmt>
    <rfmt sheetId="2" sqref="HU791" start="0" length="0">
      <dxf/>
    </rfmt>
    <rfmt sheetId="2" sqref="HV791" start="0" length="0">
      <dxf/>
    </rfmt>
    <rfmt sheetId="2" sqref="HW791" start="0" length="0">
      <dxf/>
    </rfmt>
    <rfmt sheetId="2" sqref="HX791" start="0" length="0">
      <dxf/>
    </rfmt>
    <rfmt sheetId="2" sqref="HY791" start="0" length="0">
      <dxf/>
    </rfmt>
    <rfmt sheetId="2" sqref="HZ791" start="0" length="0">
      <dxf/>
    </rfmt>
    <rfmt sheetId="2" sqref="IA791" start="0" length="0">
      <dxf/>
    </rfmt>
    <rfmt sheetId="2" sqref="IB791" start="0" length="0">
      <dxf/>
    </rfmt>
    <rfmt sheetId="2" sqref="IC791" start="0" length="0">
      <dxf/>
    </rfmt>
    <rfmt sheetId="2" sqref="ID791" start="0" length="0">
      <dxf/>
    </rfmt>
    <rfmt sheetId="2" sqref="IE791" start="0" length="0">
      <dxf/>
    </rfmt>
    <rfmt sheetId="2" sqref="IF791" start="0" length="0">
      <dxf/>
    </rfmt>
    <rfmt sheetId="2" sqref="IG791" start="0" length="0">
      <dxf/>
    </rfmt>
    <rfmt sheetId="2" sqref="IH791" start="0" length="0">
      <dxf/>
    </rfmt>
    <rfmt sheetId="2" sqref="II791" start="0" length="0">
      <dxf/>
    </rfmt>
    <rfmt sheetId="2" sqref="IJ791" start="0" length="0">
      <dxf/>
    </rfmt>
    <rfmt sheetId="2" sqref="IK791" start="0" length="0">
      <dxf/>
    </rfmt>
    <rfmt sheetId="2" sqref="IL791" start="0" length="0">
      <dxf/>
    </rfmt>
    <rfmt sheetId="2" sqref="IM791" start="0" length="0">
      <dxf/>
    </rfmt>
    <rfmt sheetId="2" sqref="IN791" start="0" length="0">
      <dxf/>
    </rfmt>
    <rfmt sheetId="2" sqref="IO791" start="0" length="0">
      <dxf/>
    </rfmt>
    <rfmt sheetId="2" sqref="IP791" start="0" length="0">
      <dxf/>
    </rfmt>
    <rfmt sheetId="2" sqref="IQ791" start="0" length="0">
      <dxf/>
    </rfmt>
    <rfmt sheetId="2" sqref="IR791" start="0" length="0">
      <dxf/>
    </rfmt>
    <rfmt sheetId="2" sqref="IS791" start="0" length="0">
      <dxf/>
    </rfmt>
    <rfmt sheetId="2" sqref="IT791" start="0" length="0">
      <dxf/>
    </rfmt>
    <rfmt sheetId="2" sqref="IU791" start="0" length="0">
      <dxf/>
    </rfmt>
    <rfmt sheetId="2" sqref="IV791" start="0" length="0">
      <dxf/>
    </rfmt>
    <rfmt sheetId="2" sqref="IW791" start="0" length="0">
      <dxf/>
    </rfmt>
    <rfmt sheetId="2" sqref="IX791" start="0" length="0">
      <dxf/>
    </rfmt>
    <rfmt sheetId="2" sqref="IY791" start="0" length="0">
      <dxf/>
    </rfmt>
    <rfmt sheetId="2" sqref="IZ791" start="0" length="0">
      <dxf/>
    </rfmt>
    <rfmt sheetId="2" sqref="JA791" start="0" length="0">
      <dxf/>
    </rfmt>
    <rfmt sheetId="2" sqref="JB791" start="0" length="0">
      <dxf/>
    </rfmt>
    <rfmt sheetId="2" sqref="JC791" start="0" length="0">
      <dxf/>
    </rfmt>
    <rfmt sheetId="2" sqref="JD791" start="0" length="0">
      <dxf/>
    </rfmt>
    <rfmt sheetId="2" sqref="JE791" start="0" length="0">
      <dxf/>
    </rfmt>
    <rfmt sheetId="2" sqref="JF791" start="0" length="0">
      <dxf/>
    </rfmt>
    <rfmt sheetId="2" sqref="JG791" start="0" length="0">
      <dxf/>
    </rfmt>
    <rfmt sheetId="2" sqref="JH791" start="0" length="0">
      <dxf/>
    </rfmt>
    <rfmt sheetId="2" sqref="JI791" start="0" length="0">
      <dxf/>
    </rfmt>
    <rfmt sheetId="2" sqref="JJ791" start="0" length="0">
      <dxf/>
    </rfmt>
    <rfmt sheetId="2" sqref="JK791" start="0" length="0">
      <dxf/>
    </rfmt>
    <rfmt sheetId="2" sqref="JL791" start="0" length="0">
      <dxf/>
    </rfmt>
    <rfmt sheetId="2" sqref="JM791" start="0" length="0">
      <dxf/>
    </rfmt>
    <rfmt sheetId="2" sqref="JN791" start="0" length="0">
      <dxf/>
    </rfmt>
    <rfmt sheetId="2" sqref="JO791" start="0" length="0">
      <dxf/>
    </rfmt>
    <rfmt sheetId="2" sqref="JP791" start="0" length="0">
      <dxf/>
    </rfmt>
    <rfmt sheetId="2" sqref="JQ791" start="0" length="0">
      <dxf/>
    </rfmt>
    <rfmt sheetId="2" sqref="JR791" start="0" length="0">
      <dxf/>
    </rfmt>
    <rfmt sheetId="2" sqref="JS791" start="0" length="0">
      <dxf/>
    </rfmt>
    <rfmt sheetId="2" sqref="JT791" start="0" length="0">
      <dxf/>
    </rfmt>
    <rfmt sheetId="2" sqref="JU791" start="0" length="0">
      <dxf/>
    </rfmt>
    <rfmt sheetId="2" sqref="JV791" start="0" length="0">
      <dxf/>
    </rfmt>
    <rfmt sheetId="2" sqref="JW791" start="0" length="0">
      <dxf/>
    </rfmt>
    <rfmt sheetId="2" sqref="JX791" start="0" length="0">
      <dxf/>
    </rfmt>
    <rfmt sheetId="2" sqref="JY791" start="0" length="0">
      <dxf/>
    </rfmt>
    <rfmt sheetId="2" sqref="JZ791" start="0" length="0">
      <dxf/>
    </rfmt>
    <rfmt sheetId="2" sqref="KA791" start="0" length="0">
      <dxf/>
    </rfmt>
    <rfmt sheetId="2" sqref="KB791" start="0" length="0">
      <dxf/>
    </rfmt>
    <rfmt sheetId="2" sqref="KC791" start="0" length="0">
      <dxf/>
    </rfmt>
    <rfmt sheetId="2" sqref="KD791" start="0" length="0">
      <dxf/>
    </rfmt>
    <rfmt sheetId="2" sqref="KE791" start="0" length="0">
      <dxf/>
    </rfmt>
    <rfmt sheetId="2" sqref="KF791" start="0" length="0">
      <dxf/>
    </rfmt>
    <rfmt sheetId="2" sqref="KG791" start="0" length="0">
      <dxf/>
    </rfmt>
    <rfmt sheetId="2" sqref="KH791" start="0" length="0">
      <dxf/>
    </rfmt>
    <rfmt sheetId="2" sqref="KI791" start="0" length="0">
      <dxf/>
    </rfmt>
    <rfmt sheetId="2" sqref="KJ791" start="0" length="0">
      <dxf/>
    </rfmt>
    <rfmt sheetId="2" sqref="KK791" start="0" length="0">
      <dxf/>
    </rfmt>
    <rfmt sheetId="2" sqref="KL791" start="0" length="0">
      <dxf/>
    </rfmt>
    <rfmt sheetId="2" sqref="KM791" start="0" length="0">
      <dxf/>
    </rfmt>
    <rfmt sheetId="2" sqref="KN791" start="0" length="0">
      <dxf/>
    </rfmt>
    <rfmt sheetId="2" sqref="KO791" start="0" length="0">
      <dxf/>
    </rfmt>
    <rfmt sheetId="2" sqref="KP791" start="0" length="0">
      <dxf/>
    </rfmt>
    <rfmt sheetId="2" sqref="KQ791" start="0" length="0">
      <dxf/>
    </rfmt>
    <rfmt sheetId="2" sqref="KR791" start="0" length="0">
      <dxf/>
    </rfmt>
    <rfmt sheetId="2" sqref="KS791" start="0" length="0">
      <dxf/>
    </rfmt>
    <rfmt sheetId="2" sqref="KT791" start="0" length="0">
      <dxf/>
    </rfmt>
    <rfmt sheetId="2" sqref="KU791" start="0" length="0">
      <dxf/>
    </rfmt>
    <rfmt sheetId="2" sqref="KV791" start="0" length="0">
      <dxf/>
    </rfmt>
    <rfmt sheetId="2" sqref="KW791" start="0" length="0">
      <dxf/>
    </rfmt>
    <rfmt sheetId="2" sqref="KX791" start="0" length="0">
      <dxf/>
    </rfmt>
    <rfmt sheetId="2" sqref="KY791" start="0" length="0">
      <dxf/>
    </rfmt>
    <rfmt sheetId="2" sqref="KZ791" start="0" length="0">
      <dxf/>
    </rfmt>
    <rfmt sheetId="2" sqref="LA791" start="0" length="0">
      <dxf/>
    </rfmt>
    <rfmt sheetId="2" sqref="LB791" start="0" length="0">
      <dxf/>
    </rfmt>
    <rfmt sheetId="2" sqref="LC791" start="0" length="0">
      <dxf/>
    </rfmt>
    <rfmt sheetId="2" sqref="LD791" start="0" length="0">
      <dxf/>
    </rfmt>
    <rfmt sheetId="2" sqref="LE791" start="0" length="0">
      <dxf/>
    </rfmt>
    <rfmt sheetId="2" sqref="LF791" start="0" length="0">
      <dxf/>
    </rfmt>
    <rfmt sheetId="2" sqref="LG791" start="0" length="0">
      <dxf/>
    </rfmt>
    <rfmt sheetId="2" sqref="LH791" start="0" length="0">
      <dxf/>
    </rfmt>
    <rfmt sheetId="2" sqref="LI791" start="0" length="0">
      <dxf/>
    </rfmt>
    <rfmt sheetId="2" sqref="LJ791" start="0" length="0">
      <dxf/>
    </rfmt>
    <rfmt sheetId="2" sqref="LK791" start="0" length="0">
      <dxf/>
    </rfmt>
    <rfmt sheetId="2" sqref="LL791" start="0" length="0">
      <dxf/>
    </rfmt>
    <rfmt sheetId="2" sqref="LM791" start="0" length="0">
      <dxf/>
    </rfmt>
    <rfmt sheetId="2" sqref="LN791" start="0" length="0">
      <dxf/>
    </rfmt>
    <rfmt sheetId="2" sqref="LO791" start="0" length="0">
      <dxf/>
    </rfmt>
    <rfmt sheetId="2" sqref="LP791" start="0" length="0">
      <dxf/>
    </rfmt>
    <rfmt sheetId="2" sqref="LQ791" start="0" length="0">
      <dxf/>
    </rfmt>
    <rfmt sheetId="2" sqref="LR791" start="0" length="0">
      <dxf/>
    </rfmt>
    <rfmt sheetId="2" sqref="LS791" start="0" length="0">
      <dxf/>
    </rfmt>
    <rfmt sheetId="2" sqref="LT791" start="0" length="0">
      <dxf/>
    </rfmt>
    <rfmt sheetId="2" sqref="LU791" start="0" length="0">
      <dxf/>
    </rfmt>
    <rfmt sheetId="2" sqref="LV791" start="0" length="0">
      <dxf/>
    </rfmt>
    <rfmt sheetId="2" sqref="LW791" start="0" length="0">
      <dxf/>
    </rfmt>
    <rfmt sheetId="2" sqref="LX791" start="0" length="0">
      <dxf/>
    </rfmt>
    <rfmt sheetId="2" sqref="LY791" start="0" length="0">
      <dxf/>
    </rfmt>
    <rfmt sheetId="2" sqref="LZ791" start="0" length="0">
      <dxf/>
    </rfmt>
    <rfmt sheetId="2" sqref="MA791" start="0" length="0">
      <dxf/>
    </rfmt>
    <rfmt sheetId="2" sqref="MB791" start="0" length="0">
      <dxf/>
    </rfmt>
  </rm>
  <rrc rId="2671" sId="2" ref="A799:XFD799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99:XFD799" start="0" length="0">
      <dxf>
        <font>
          <sz val="10"/>
          <name val="Arial"/>
          <scheme val="none"/>
        </font>
        <alignment horizontal="center" readingOrder="0"/>
      </dxf>
    </rfmt>
    <rfmt sheetId="2" sqref="A79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9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9" start="0" length="0">
      <dxf>
        <numFmt numFmtId="176" formatCode="m/d;@"/>
      </dxf>
    </rfmt>
    <rfmt sheetId="2" sqref="P79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9" start="0" length="0">
      <dxf/>
    </rfmt>
    <rfmt sheetId="2" sqref="U799" start="0" length="0">
      <dxf/>
    </rfmt>
    <rfmt sheetId="2" sqref="V799" start="0" length="0">
      <dxf/>
    </rfmt>
    <rfmt sheetId="2" sqref="W799" start="0" length="0">
      <dxf/>
    </rfmt>
    <rfmt sheetId="2" sqref="X799" start="0" length="0">
      <dxf/>
    </rfmt>
    <rfmt sheetId="2" sqref="Y799" start="0" length="0">
      <dxf/>
    </rfmt>
    <rfmt sheetId="2" sqref="Z799" start="0" length="0">
      <dxf/>
    </rfmt>
    <rfmt sheetId="2" sqref="AA799" start="0" length="0">
      <dxf/>
    </rfmt>
    <rfmt sheetId="2" sqref="AB799" start="0" length="0">
      <dxf/>
    </rfmt>
    <rfmt sheetId="2" sqref="AC799" start="0" length="0">
      <dxf/>
    </rfmt>
    <rfmt sheetId="2" sqref="AD799" start="0" length="0">
      <dxf/>
    </rfmt>
    <rfmt sheetId="2" sqref="AE799" start="0" length="0">
      <dxf/>
    </rfmt>
    <rfmt sheetId="2" sqref="AF799" start="0" length="0">
      <dxf/>
    </rfmt>
    <rfmt sheetId="2" sqref="AG799" start="0" length="0">
      <dxf/>
    </rfmt>
    <rfmt sheetId="2" sqref="AH799" start="0" length="0">
      <dxf/>
    </rfmt>
    <rfmt sheetId="2" sqref="AI799" start="0" length="0">
      <dxf/>
    </rfmt>
    <rfmt sheetId="2" sqref="AJ799" start="0" length="0">
      <dxf/>
    </rfmt>
    <rfmt sheetId="2" sqref="AK799" start="0" length="0">
      <dxf/>
    </rfmt>
    <rfmt sheetId="2" sqref="AL799" start="0" length="0">
      <dxf/>
    </rfmt>
    <rfmt sheetId="2" sqref="AM799" start="0" length="0">
      <dxf/>
    </rfmt>
    <rfmt sheetId="2" sqref="AN799" start="0" length="0">
      <dxf/>
    </rfmt>
    <rfmt sheetId="2" sqref="AO799" start="0" length="0">
      <dxf/>
    </rfmt>
    <rfmt sheetId="2" sqref="AP799" start="0" length="0">
      <dxf/>
    </rfmt>
    <rfmt sheetId="2" sqref="AQ799" start="0" length="0">
      <dxf/>
    </rfmt>
    <rfmt sheetId="2" sqref="AR799" start="0" length="0">
      <dxf/>
    </rfmt>
    <rfmt sheetId="2" sqref="AS799" start="0" length="0">
      <dxf/>
    </rfmt>
    <rfmt sheetId="2" sqref="AT799" start="0" length="0">
      <dxf/>
    </rfmt>
    <rfmt sheetId="2" sqref="AU799" start="0" length="0">
      <dxf/>
    </rfmt>
    <rfmt sheetId="2" sqref="AV799" start="0" length="0">
      <dxf/>
    </rfmt>
    <rfmt sheetId="2" sqref="AW799" start="0" length="0">
      <dxf/>
    </rfmt>
    <rfmt sheetId="2" sqref="AX799" start="0" length="0">
      <dxf/>
    </rfmt>
    <rfmt sheetId="2" sqref="AY799" start="0" length="0">
      <dxf/>
    </rfmt>
    <rfmt sheetId="2" sqref="AZ799" start="0" length="0">
      <dxf/>
    </rfmt>
    <rfmt sheetId="2" sqref="BA799" start="0" length="0">
      <dxf/>
    </rfmt>
    <rfmt sheetId="2" sqref="BB799" start="0" length="0">
      <dxf/>
    </rfmt>
    <rfmt sheetId="2" sqref="BC799" start="0" length="0">
      <dxf/>
    </rfmt>
    <rfmt sheetId="2" sqref="BD799" start="0" length="0">
      <dxf/>
    </rfmt>
    <rfmt sheetId="2" sqref="BE799" start="0" length="0">
      <dxf/>
    </rfmt>
    <rfmt sheetId="2" sqref="BF799" start="0" length="0">
      <dxf/>
    </rfmt>
    <rfmt sheetId="2" sqref="BG799" start="0" length="0">
      <dxf/>
    </rfmt>
    <rfmt sheetId="2" sqref="BH799" start="0" length="0">
      <dxf/>
    </rfmt>
    <rfmt sheetId="2" sqref="BI799" start="0" length="0">
      <dxf/>
    </rfmt>
    <rfmt sheetId="2" sqref="BJ799" start="0" length="0">
      <dxf/>
    </rfmt>
    <rfmt sheetId="2" sqref="BK799" start="0" length="0">
      <dxf/>
    </rfmt>
    <rfmt sheetId="2" sqref="BL799" start="0" length="0">
      <dxf/>
    </rfmt>
    <rfmt sheetId="2" sqref="BM799" start="0" length="0">
      <dxf/>
    </rfmt>
    <rfmt sheetId="2" sqref="BN799" start="0" length="0">
      <dxf/>
    </rfmt>
    <rfmt sheetId="2" sqref="BO799" start="0" length="0">
      <dxf/>
    </rfmt>
    <rfmt sheetId="2" sqref="BP799" start="0" length="0">
      <dxf/>
    </rfmt>
    <rfmt sheetId="2" sqref="BQ799" start="0" length="0">
      <dxf/>
    </rfmt>
    <rfmt sheetId="2" sqref="BR799" start="0" length="0">
      <dxf/>
    </rfmt>
    <rfmt sheetId="2" sqref="BS799" start="0" length="0">
      <dxf/>
    </rfmt>
    <rfmt sheetId="2" sqref="BT799" start="0" length="0">
      <dxf/>
    </rfmt>
    <rfmt sheetId="2" sqref="BU799" start="0" length="0">
      <dxf/>
    </rfmt>
    <rfmt sheetId="2" sqref="BV799" start="0" length="0">
      <dxf/>
    </rfmt>
    <rfmt sheetId="2" sqref="BW799" start="0" length="0">
      <dxf/>
    </rfmt>
    <rfmt sheetId="2" sqref="BX799" start="0" length="0">
      <dxf/>
    </rfmt>
    <rfmt sheetId="2" sqref="BY799" start="0" length="0">
      <dxf/>
    </rfmt>
    <rfmt sheetId="2" sqref="BZ799" start="0" length="0">
      <dxf/>
    </rfmt>
    <rfmt sheetId="2" sqref="CA799" start="0" length="0">
      <dxf/>
    </rfmt>
    <rfmt sheetId="2" sqref="CB799" start="0" length="0">
      <dxf/>
    </rfmt>
    <rfmt sheetId="2" sqref="CC799" start="0" length="0">
      <dxf/>
    </rfmt>
    <rfmt sheetId="2" sqref="CD799" start="0" length="0">
      <dxf/>
    </rfmt>
    <rfmt sheetId="2" sqref="CE799" start="0" length="0">
      <dxf/>
    </rfmt>
    <rfmt sheetId="2" sqref="CF799" start="0" length="0">
      <dxf/>
    </rfmt>
    <rfmt sheetId="2" sqref="CG799" start="0" length="0">
      <dxf/>
    </rfmt>
    <rfmt sheetId="2" sqref="CH799" start="0" length="0">
      <dxf/>
    </rfmt>
    <rfmt sheetId="2" sqref="CI799" start="0" length="0">
      <dxf/>
    </rfmt>
    <rfmt sheetId="2" sqref="CJ799" start="0" length="0">
      <dxf/>
    </rfmt>
    <rfmt sheetId="2" sqref="CK799" start="0" length="0">
      <dxf/>
    </rfmt>
    <rfmt sheetId="2" sqref="CL799" start="0" length="0">
      <dxf/>
    </rfmt>
    <rfmt sheetId="2" sqref="CM799" start="0" length="0">
      <dxf/>
    </rfmt>
    <rfmt sheetId="2" sqref="CN799" start="0" length="0">
      <dxf/>
    </rfmt>
    <rfmt sheetId="2" sqref="CO799" start="0" length="0">
      <dxf/>
    </rfmt>
    <rfmt sheetId="2" sqref="CP799" start="0" length="0">
      <dxf/>
    </rfmt>
    <rfmt sheetId="2" sqref="CQ799" start="0" length="0">
      <dxf/>
    </rfmt>
    <rfmt sheetId="2" sqref="CR799" start="0" length="0">
      <dxf/>
    </rfmt>
    <rfmt sheetId="2" sqref="CS799" start="0" length="0">
      <dxf/>
    </rfmt>
    <rfmt sheetId="2" sqref="CT799" start="0" length="0">
      <dxf/>
    </rfmt>
    <rfmt sheetId="2" sqref="CU799" start="0" length="0">
      <dxf/>
    </rfmt>
    <rfmt sheetId="2" sqref="CV799" start="0" length="0">
      <dxf/>
    </rfmt>
    <rfmt sheetId="2" sqref="CW799" start="0" length="0">
      <dxf/>
    </rfmt>
    <rfmt sheetId="2" sqref="CX799" start="0" length="0">
      <dxf/>
    </rfmt>
    <rfmt sheetId="2" sqref="CY799" start="0" length="0">
      <dxf/>
    </rfmt>
    <rfmt sheetId="2" sqref="CZ799" start="0" length="0">
      <dxf/>
    </rfmt>
    <rfmt sheetId="2" sqref="DA799" start="0" length="0">
      <dxf/>
    </rfmt>
    <rfmt sheetId="2" sqref="DB799" start="0" length="0">
      <dxf/>
    </rfmt>
    <rfmt sheetId="2" sqref="DC799" start="0" length="0">
      <dxf/>
    </rfmt>
    <rfmt sheetId="2" sqref="DD799" start="0" length="0">
      <dxf/>
    </rfmt>
    <rfmt sheetId="2" sqref="DE799" start="0" length="0">
      <dxf/>
    </rfmt>
    <rfmt sheetId="2" sqref="DF799" start="0" length="0">
      <dxf/>
    </rfmt>
    <rfmt sheetId="2" sqref="DG799" start="0" length="0">
      <dxf/>
    </rfmt>
    <rfmt sheetId="2" sqref="DH799" start="0" length="0">
      <dxf/>
    </rfmt>
    <rfmt sheetId="2" sqref="DI799" start="0" length="0">
      <dxf/>
    </rfmt>
    <rfmt sheetId="2" sqref="DJ799" start="0" length="0">
      <dxf/>
    </rfmt>
    <rfmt sheetId="2" sqref="DK799" start="0" length="0">
      <dxf/>
    </rfmt>
    <rfmt sheetId="2" sqref="DL799" start="0" length="0">
      <dxf/>
    </rfmt>
    <rfmt sheetId="2" sqref="DM799" start="0" length="0">
      <dxf/>
    </rfmt>
    <rfmt sheetId="2" sqref="DN799" start="0" length="0">
      <dxf/>
    </rfmt>
    <rfmt sheetId="2" sqref="DO799" start="0" length="0">
      <dxf/>
    </rfmt>
    <rfmt sheetId="2" sqref="DP799" start="0" length="0">
      <dxf/>
    </rfmt>
    <rfmt sheetId="2" sqref="DQ799" start="0" length="0">
      <dxf/>
    </rfmt>
    <rfmt sheetId="2" sqref="DR799" start="0" length="0">
      <dxf/>
    </rfmt>
    <rfmt sheetId="2" sqref="DS799" start="0" length="0">
      <dxf/>
    </rfmt>
    <rfmt sheetId="2" sqref="DT799" start="0" length="0">
      <dxf/>
    </rfmt>
    <rfmt sheetId="2" sqref="DU799" start="0" length="0">
      <dxf/>
    </rfmt>
    <rfmt sheetId="2" sqref="DV799" start="0" length="0">
      <dxf/>
    </rfmt>
    <rfmt sheetId="2" sqref="DW799" start="0" length="0">
      <dxf/>
    </rfmt>
    <rfmt sheetId="2" sqref="DX799" start="0" length="0">
      <dxf/>
    </rfmt>
    <rfmt sheetId="2" sqref="DY799" start="0" length="0">
      <dxf/>
    </rfmt>
    <rfmt sheetId="2" sqref="DZ799" start="0" length="0">
      <dxf/>
    </rfmt>
    <rfmt sheetId="2" sqref="EA799" start="0" length="0">
      <dxf/>
    </rfmt>
    <rfmt sheetId="2" sqref="EB799" start="0" length="0">
      <dxf/>
    </rfmt>
    <rfmt sheetId="2" sqref="EC799" start="0" length="0">
      <dxf/>
    </rfmt>
    <rfmt sheetId="2" sqref="ED799" start="0" length="0">
      <dxf/>
    </rfmt>
    <rfmt sheetId="2" sqref="EE799" start="0" length="0">
      <dxf/>
    </rfmt>
    <rfmt sheetId="2" sqref="EF799" start="0" length="0">
      <dxf/>
    </rfmt>
    <rfmt sheetId="2" sqref="EG799" start="0" length="0">
      <dxf/>
    </rfmt>
    <rfmt sheetId="2" sqref="EH799" start="0" length="0">
      <dxf/>
    </rfmt>
    <rfmt sheetId="2" sqref="EI799" start="0" length="0">
      <dxf/>
    </rfmt>
    <rfmt sheetId="2" sqref="EJ799" start="0" length="0">
      <dxf/>
    </rfmt>
    <rfmt sheetId="2" sqref="EK799" start="0" length="0">
      <dxf/>
    </rfmt>
    <rfmt sheetId="2" sqref="EL799" start="0" length="0">
      <dxf/>
    </rfmt>
    <rfmt sheetId="2" sqref="EM799" start="0" length="0">
      <dxf/>
    </rfmt>
    <rfmt sheetId="2" sqref="EN799" start="0" length="0">
      <dxf/>
    </rfmt>
    <rfmt sheetId="2" sqref="EO799" start="0" length="0">
      <dxf/>
    </rfmt>
    <rfmt sheetId="2" sqref="EP799" start="0" length="0">
      <dxf/>
    </rfmt>
    <rfmt sheetId="2" sqref="EQ799" start="0" length="0">
      <dxf/>
    </rfmt>
    <rfmt sheetId="2" sqref="ER799" start="0" length="0">
      <dxf/>
    </rfmt>
    <rfmt sheetId="2" sqref="ES799" start="0" length="0">
      <dxf/>
    </rfmt>
    <rfmt sheetId="2" sqref="ET799" start="0" length="0">
      <dxf/>
    </rfmt>
    <rfmt sheetId="2" sqref="EU799" start="0" length="0">
      <dxf/>
    </rfmt>
    <rfmt sheetId="2" sqref="EV799" start="0" length="0">
      <dxf/>
    </rfmt>
    <rfmt sheetId="2" sqref="EW799" start="0" length="0">
      <dxf/>
    </rfmt>
    <rfmt sheetId="2" sqref="EX799" start="0" length="0">
      <dxf/>
    </rfmt>
    <rfmt sheetId="2" sqref="EY799" start="0" length="0">
      <dxf/>
    </rfmt>
    <rfmt sheetId="2" sqref="EZ799" start="0" length="0">
      <dxf/>
    </rfmt>
    <rfmt sheetId="2" sqref="FA799" start="0" length="0">
      <dxf/>
    </rfmt>
    <rfmt sheetId="2" sqref="FB799" start="0" length="0">
      <dxf/>
    </rfmt>
    <rfmt sheetId="2" sqref="FC799" start="0" length="0">
      <dxf/>
    </rfmt>
    <rfmt sheetId="2" sqref="FD799" start="0" length="0">
      <dxf/>
    </rfmt>
    <rfmt sheetId="2" sqref="FE799" start="0" length="0">
      <dxf/>
    </rfmt>
    <rfmt sheetId="2" sqref="FF799" start="0" length="0">
      <dxf/>
    </rfmt>
    <rfmt sheetId="2" sqref="FG799" start="0" length="0">
      <dxf/>
    </rfmt>
    <rfmt sheetId="2" sqref="FH799" start="0" length="0">
      <dxf/>
    </rfmt>
    <rfmt sheetId="2" sqref="FI799" start="0" length="0">
      <dxf/>
    </rfmt>
    <rfmt sheetId="2" sqref="FJ799" start="0" length="0">
      <dxf/>
    </rfmt>
    <rfmt sheetId="2" sqref="FK799" start="0" length="0">
      <dxf/>
    </rfmt>
    <rfmt sheetId="2" sqref="FL799" start="0" length="0">
      <dxf/>
    </rfmt>
    <rfmt sheetId="2" sqref="FM799" start="0" length="0">
      <dxf/>
    </rfmt>
    <rfmt sheetId="2" sqref="FN799" start="0" length="0">
      <dxf/>
    </rfmt>
    <rfmt sheetId="2" sqref="FO799" start="0" length="0">
      <dxf/>
    </rfmt>
    <rfmt sheetId="2" sqref="FP799" start="0" length="0">
      <dxf/>
    </rfmt>
    <rfmt sheetId="2" sqref="FQ799" start="0" length="0">
      <dxf/>
    </rfmt>
    <rfmt sheetId="2" sqref="FR799" start="0" length="0">
      <dxf/>
    </rfmt>
    <rfmt sheetId="2" sqref="FS799" start="0" length="0">
      <dxf/>
    </rfmt>
    <rfmt sheetId="2" sqref="FT799" start="0" length="0">
      <dxf/>
    </rfmt>
    <rfmt sheetId="2" sqref="FU799" start="0" length="0">
      <dxf/>
    </rfmt>
    <rfmt sheetId="2" sqref="FV799" start="0" length="0">
      <dxf/>
    </rfmt>
    <rfmt sheetId="2" sqref="FW799" start="0" length="0">
      <dxf/>
    </rfmt>
    <rfmt sheetId="2" sqref="FX799" start="0" length="0">
      <dxf/>
    </rfmt>
    <rfmt sheetId="2" sqref="FY799" start="0" length="0">
      <dxf/>
    </rfmt>
    <rfmt sheetId="2" sqref="FZ799" start="0" length="0">
      <dxf/>
    </rfmt>
    <rfmt sheetId="2" sqref="GA799" start="0" length="0">
      <dxf/>
    </rfmt>
    <rfmt sheetId="2" sqref="GB799" start="0" length="0">
      <dxf/>
    </rfmt>
    <rfmt sheetId="2" sqref="GC799" start="0" length="0">
      <dxf/>
    </rfmt>
    <rfmt sheetId="2" sqref="GD799" start="0" length="0">
      <dxf/>
    </rfmt>
    <rfmt sheetId="2" sqref="GE799" start="0" length="0">
      <dxf/>
    </rfmt>
    <rfmt sheetId="2" sqref="GF799" start="0" length="0">
      <dxf/>
    </rfmt>
    <rfmt sheetId="2" sqref="GG799" start="0" length="0">
      <dxf/>
    </rfmt>
    <rfmt sheetId="2" sqref="GH799" start="0" length="0">
      <dxf/>
    </rfmt>
    <rfmt sheetId="2" sqref="GI799" start="0" length="0">
      <dxf/>
    </rfmt>
    <rfmt sheetId="2" sqref="GJ799" start="0" length="0">
      <dxf/>
    </rfmt>
    <rfmt sheetId="2" sqref="GK799" start="0" length="0">
      <dxf/>
    </rfmt>
    <rfmt sheetId="2" sqref="GL799" start="0" length="0">
      <dxf/>
    </rfmt>
    <rfmt sheetId="2" sqref="GM799" start="0" length="0">
      <dxf/>
    </rfmt>
    <rfmt sheetId="2" sqref="GN799" start="0" length="0">
      <dxf/>
    </rfmt>
    <rfmt sheetId="2" sqref="GO799" start="0" length="0">
      <dxf/>
    </rfmt>
    <rfmt sheetId="2" sqref="GP799" start="0" length="0">
      <dxf/>
    </rfmt>
    <rfmt sheetId="2" sqref="GQ799" start="0" length="0">
      <dxf/>
    </rfmt>
    <rfmt sheetId="2" sqref="GR799" start="0" length="0">
      <dxf/>
    </rfmt>
    <rfmt sheetId="2" sqref="GS799" start="0" length="0">
      <dxf/>
    </rfmt>
    <rfmt sheetId="2" sqref="GT799" start="0" length="0">
      <dxf/>
    </rfmt>
    <rfmt sheetId="2" sqref="GU799" start="0" length="0">
      <dxf/>
    </rfmt>
    <rfmt sheetId="2" sqref="GV799" start="0" length="0">
      <dxf/>
    </rfmt>
    <rfmt sheetId="2" sqref="GW799" start="0" length="0">
      <dxf/>
    </rfmt>
    <rfmt sheetId="2" sqref="GX799" start="0" length="0">
      <dxf/>
    </rfmt>
    <rfmt sheetId="2" sqref="GY799" start="0" length="0">
      <dxf/>
    </rfmt>
    <rfmt sheetId="2" sqref="GZ799" start="0" length="0">
      <dxf/>
    </rfmt>
    <rfmt sheetId="2" sqref="HA799" start="0" length="0">
      <dxf/>
    </rfmt>
    <rfmt sheetId="2" sqref="HB799" start="0" length="0">
      <dxf/>
    </rfmt>
    <rfmt sheetId="2" sqref="HC799" start="0" length="0">
      <dxf/>
    </rfmt>
    <rfmt sheetId="2" sqref="HD799" start="0" length="0">
      <dxf/>
    </rfmt>
    <rfmt sheetId="2" sqref="HE799" start="0" length="0">
      <dxf/>
    </rfmt>
    <rfmt sheetId="2" sqref="HF799" start="0" length="0">
      <dxf/>
    </rfmt>
    <rfmt sheetId="2" sqref="HG799" start="0" length="0">
      <dxf/>
    </rfmt>
    <rfmt sheetId="2" sqref="HH799" start="0" length="0">
      <dxf/>
    </rfmt>
    <rfmt sheetId="2" sqref="HI799" start="0" length="0">
      <dxf/>
    </rfmt>
    <rfmt sheetId="2" sqref="HJ799" start="0" length="0">
      <dxf/>
    </rfmt>
    <rfmt sheetId="2" sqref="HK799" start="0" length="0">
      <dxf/>
    </rfmt>
    <rfmt sheetId="2" sqref="HL799" start="0" length="0">
      <dxf/>
    </rfmt>
    <rfmt sheetId="2" sqref="HM799" start="0" length="0">
      <dxf/>
    </rfmt>
    <rfmt sheetId="2" sqref="HN799" start="0" length="0">
      <dxf/>
    </rfmt>
    <rfmt sheetId="2" sqref="HO799" start="0" length="0">
      <dxf/>
    </rfmt>
    <rfmt sheetId="2" sqref="HP799" start="0" length="0">
      <dxf/>
    </rfmt>
    <rfmt sheetId="2" sqref="HQ799" start="0" length="0">
      <dxf/>
    </rfmt>
    <rfmt sheetId="2" sqref="HR799" start="0" length="0">
      <dxf/>
    </rfmt>
    <rfmt sheetId="2" sqref="HS799" start="0" length="0">
      <dxf/>
    </rfmt>
    <rfmt sheetId="2" sqref="HT799" start="0" length="0">
      <dxf/>
    </rfmt>
    <rfmt sheetId="2" sqref="HU799" start="0" length="0">
      <dxf/>
    </rfmt>
    <rfmt sheetId="2" sqref="HV799" start="0" length="0">
      <dxf/>
    </rfmt>
    <rfmt sheetId="2" sqref="HW799" start="0" length="0">
      <dxf/>
    </rfmt>
    <rfmt sheetId="2" sqref="HX799" start="0" length="0">
      <dxf/>
    </rfmt>
    <rfmt sheetId="2" sqref="HY799" start="0" length="0">
      <dxf/>
    </rfmt>
    <rfmt sheetId="2" sqref="HZ799" start="0" length="0">
      <dxf/>
    </rfmt>
    <rfmt sheetId="2" sqref="IA799" start="0" length="0">
      <dxf/>
    </rfmt>
    <rfmt sheetId="2" sqref="IB799" start="0" length="0">
      <dxf/>
    </rfmt>
    <rfmt sheetId="2" sqref="IC799" start="0" length="0">
      <dxf/>
    </rfmt>
    <rfmt sheetId="2" sqref="ID799" start="0" length="0">
      <dxf/>
    </rfmt>
    <rfmt sheetId="2" sqref="IE799" start="0" length="0">
      <dxf/>
    </rfmt>
    <rfmt sheetId="2" sqref="IF799" start="0" length="0">
      <dxf/>
    </rfmt>
    <rfmt sheetId="2" sqref="IG799" start="0" length="0">
      <dxf/>
    </rfmt>
    <rfmt sheetId="2" sqref="IH799" start="0" length="0">
      <dxf/>
    </rfmt>
    <rfmt sheetId="2" sqref="II799" start="0" length="0">
      <dxf/>
    </rfmt>
    <rfmt sheetId="2" sqref="IJ799" start="0" length="0">
      <dxf/>
    </rfmt>
    <rfmt sheetId="2" sqref="IK799" start="0" length="0">
      <dxf/>
    </rfmt>
    <rfmt sheetId="2" sqref="IL799" start="0" length="0">
      <dxf/>
    </rfmt>
    <rfmt sheetId="2" sqref="IM799" start="0" length="0">
      <dxf/>
    </rfmt>
    <rfmt sheetId="2" sqref="IN799" start="0" length="0">
      <dxf/>
    </rfmt>
    <rfmt sheetId="2" sqref="IO799" start="0" length="0">
      <dxf/>
    </rfmt>
    <rfmt sheetId="2" sqref="IP799" start="0" length="0">
      <dxf/>
    </rfmt>
    <rfmt sheetId="2" sqref="IQ799" start="0" length="0">
      <dxf/>
    </rfmt>
    <rfmt sheetId="2" sqref="IR799" start="0" length="0">
      <dxf/>
    </rfmt>
    <rfmt sheetId="2" sqref="IS799" start="0" length="0">
      <dxf/>
    </rfmt>
    <rfmt sheetId="2" sqref="IT799" start="0" length="0">
      <dxf/>
    </rfmt>
    <rfmt sheetId="2" sqref="IU799" start="0" length="0">
      <dxf/>
    </rfmt>
    <rfmt sheetId="2" sqref="IV799" start="0" length="0">
      <dxf/>
    </rfmt>
    <rfmt sheetId="2" sqref="IW799" start="0" length="0">
      <dxf/>
    </rfmt>
    <rfmt sheetId="2" sqref="IX799" start="0" length="0">
      <dxf/>
    </rfmt>
    <rfmt sheetId="2" sqref="IY799" start="0" length="0">
      <dxf/>
    </rfmt>
    <rfmt sheetId="2" sqref="IZ799" start="0" length="0">
      <dxf/>
    </rfmt>
    <rfmt sheetId="2" sqref="JA799" start="0" length="0">
      <dxf/>
    </rfmt>
    <rfmt sheetId="2" sqref="JB799" start="0" length="0">
      <dxf/>
    </rfmt>
    <rfmt sheetId="2" sqref="JC799" start="0" length="0">
      <dxf/>
    </rfmt>
    <rfmt sheetId="2" sqref="JD799" start="0" length="0">
      <dxf/>
    </rfmt>
    <rfmt sheetId="2" sqref="JE799" start="0" length="0">
      <dxf/>
    </rfmt>
    <rfmt sheetId="2" sqref="JF799" start="0" length="0">
      <dxf/>
    </rfmt>
    <rfmt sheetId="2" sqref="JG799" start="0" length="0">
      <dxf/>
    </rfmt>
    <rfmt sheetId="2" sqref="JH799" start="0" length="0">
      <dxf/>
    </rfmt>
    <rfmt sheetId="2" sqref="JI799" start="0" length="0">
      <dxf/>
    </rfmt>
    <rfmt sheetId="2" sqref="JJ799" start="0" length="0">
      <dxf/>
    </rfmt>
    <rfmt sheetId="2" sqref="JK799" start="0" length="0">
      <dxf/>
    </rfmt>
    <rfmt sheetId="2" sqref="JL799" start="0" length="0">
      <dxf/>
    </rfmt>
    <rfmt sheetId="2" sqref="JM799" start="0" length="0">
      <dxf/>
    </rfmt>
    <rfmt sheetId="2" sqref="JN799" start="0" length="0">
      <dxf/>
    </rfmt>
    <rfmt sheetId="2" sqref="JO799" start="0" length="0">
      <dxf/>
    </rfmt>
    <rfmt sheetId="2" sqref="JP799" start="0" length="0">
      <dxf/>
    </rfmt>
    <rfmt sheetId="2" sqref="JQ799" start="0" length="0">
      <dxf/>
    </rfmt>
    <rfmt sheetId="2" sqref="JR799" start="0" length="0">
      <dxf/>
    </rfmt>
    <rfmt sheetId="2" sqref="JS799" start="0" length="0">
      <dxf/>
    </rfmt>
    <rfmt sheetId="2" sqref="JT799" start="0" length="0">
      <dxf/>
    </rfmt>
    <rfmt sheetId="2" sqref="JU799" start="0" length="0">
      <dxf/>
    </rfmt>
    <rfmt sheetId="2" sqref="JV799" start="0" length="0">
      <dxf/>
    </rfmt>
    <rfmt sheetId="2" sqref="JW799" start="0" length="0">
      <dxf/>
    </rfmt>
    <rfmt sheetId="2" sqref="JX799" start="0" length="0">
      <dxf/>
    </rfmt>
    <rfmt sheetId="2" sqref="JY799" start="0" length="0">
      <dxf/>
    </rfmt>
    <rfmt sheetId="2" sqref="JZ799" start="0" length="0">
      <dxf/>
    </rfmt>
    <rfmt sheetId="2" sqref="KA799" start="0" length="0">
      <dxf/>
    </rfmt>
    <rfmt sheetId="2" sqref="KB799" start="0" length="0">
      <dxf/>
    </rfmt>
    <rfmt sheetId="2" sqref="KC799" start="0" length="0">
      <dxf/>
    </rfmt>
    <rfmt sheetId="2" sqref="KD799" start="0" length="0">
      <dxf/>
    </rfmt>
    <rfmt sheetId="2" sqref="KE799" start="0" length="0">
      <dxf/>
    </rfmt>
    <rfmt sheetId="2" sqref="KF799" start="0" length="0">
      <dxf/>
    </rfmt>
    <rfmt sheetId="2" sqref="KG799" start="0" length="0">
      <dxf/>
    </rfmt>
    <rfmt sheetId="2" sqref="KH799" start="0" length="0">
      <dxf/>
    </rfmt>
    <rfmt sheetId="2" sqref="KI799" start="0" length="0">
      <dxf/>
    </rfmt>
    <rfmt sheetId="2" sqref="KJ799" start="0" length="0">
      <dxf/>
    </rfmt>
    <rfmt sheetId="2" sqref="KK799" start="0" length="0">
      <dxf/>
    </rfmt>
    <rfmt sheetId="2" sqref="KL799" start="0" length="0">
      <dxf/>
    </rfmt>
    <rfmt sheetId="2" sqref="KM799" start="0" length="0">
      <dxf/>
    </rfmt>
    <rfmt sheetId="2" sqref="KN799" start="0" length="0">
      <dxf/>
    </rfmt>
    <rfmt sheetId="2" sqref="KO799" start="0" length="0">
      <dxf/>
    </rfmt>
    <rfmt sheetId="2" sqref="KP799" start="0" length="0">
      <dxf/>
    </rfmt>
    <rfmt sheetId="2" sqref="KQ799" start="0" length="0">
      <dxf/>
    </rfmt>
    <rfmt sheetId="2" sqref="KR799" start="0" length="0">
      <dxf/>
    </rfmt>
    <rfmt sheetId="2" sqref="KS799" start="0" length="0">
      <dxf/>
    </rfmt>
    <rfmt sheetId="2" sqref="KT799" start="0" length="0">
      <dxf/>
    </rfmt>
    <rfmt sheetId="2" sqref="KU799" start="0" length="0">
      <dxf/>
    </rfmt>
    <rfmt sheetId="2" sqref="KV799" start="0" length="0">
      <dxf/>
    </rfmt>
    <rfmt sheetId="2" sqref="KW799" start="0" length="0">
      <dxf/>
    </rfmt>
    <rfmt sheetId="2" sqref="KX799" start="0" length="0">
      <dxf/>
    </rfmt>
    <rfmt sheetId="2" sqref="KY799" start="0" length="0">
      <dxf/>
    </rfmt>
    <rfmt sheetId="2" sqref="KZ799" start="0" length="0">
      <dxf/>
    </rfmt>
    <rfmt sheetId="2" sqref="LA799" start="0" length="0">
      <dxf/>
    </rfmt>
    <rfmt sheetId="2" sqref="LB799" start="0" length="0">
      <dxf/>
    </rfmt>
    <rfmt sheetId="2" sqref="LC799" start="0" length="0">
      <dxf/>
    </rfmt>
    <rfmt sheetId="2" sqref="LD799" start="0" length="0">
      <dxf/>
    </rfmt>
    <rfmt sheetId="2" sqref="LE799" start="0" length="0">
      <dxf/>
    </rfmt>
    <rfmt sheetId="2" sqref="LF799" start="0" length="0">
      <dxf/>
    </rfmt>
    <rfmt sheetId="2" sqref="LG799" start="0" length="0">
      <dxf/>
    </rfmt>
    <rfmt sheetId="2" sqref="LH799" start="0" length="0">
      <dxf/>
    </rfmt>
    <rfmt sheetId="2" sqref="LI799" start="0" length="0">
      <dxf/>
    </rfmt>
    <rfmt sheetId="2" sqref="LJ799" start="0" length="0">
      <dxf/>
    </rfmt>
    <rfmt sheetId="2" sqref="LK799" start="0" length="0">
      <dxf/>
    </rfmt>
    <rfmt sheetId="2" sqref="LL799" start="0" length="0">
      <dxf/>
    </rfmt>
    <rfmt sheetId="2" sqref="LM799" start="0" length="0">
      <dxf/>
    </rfmt>
    <rfmt sheetId="2" sqref="LN799" start="0" length="0">
      <dxf/>
    </rfmt>
    <rfmt sheetId="2" sqref="LO799" start="0" length="0">
      <dxf/>
    </rfmt>
    <rfmt sheetId="2" sqref="LP799" start="0" length="0">
      <dxf/>
    </rfmt>
    <rfmt sheetId="2" sqref="LQ799" start="0" length="0">
      <dxf/>
    </rfmt>
    <rfmt sheetId="2" sqref="LR799" start="0" length="0">
      <dxf/>
    </rfmt>
    <rfmt sheetId="2" sqref="LS799" start="0" length="0">
      <dxf/>
    </rfmt>
    <rfmt sheetId="2" sqref="LT799" start="0" length="0">
      <dxf/>
    </rfmt>
    <rfmt sheetId="2" sqref="LU799" start="0" length="0">
      <dxf/>
    </rfmt>
    <rfmt sheetId="2" sqref="LV799" start="0" length="0">
      <dxf/>
    </rfmt>
    <rfmt sheetId="2" sqref="LW799" start="0" length="0">
      <dxf/>
    </rfmt>
    <rfmt sheetId="2" sqref="LX799" start="0" length="0">
      <dxf/>
    </rfmt>
    <rfmt sheetId="2" sqref="LY799" start="0" length="0">
      <dxf/>
    </rfmt>
    <rfmt sheetId="2" sqref="LZ799" start="0" length="0">
      <dxf/>
    </rfmt>
    <rfmt sheetId="2" sqref="MA799" start="0" length="0">
      <dxf/>
    </rfmt>
    <rfmt sheetId="2" sqref="MB799" start="0" length="0">
      <dxf/>
    </rfmt>
  </rrc>
  <rrc rId="2672" sId="2" ref="A799:XFD799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99:XFD799" start="0" length="0">
      <dxf>
        <font>
          <sz val="10"/>
          <name val="Arial"/>
          <scheme val="none"/>
        </font>
        <alignment horizontal="center" readingOrder="0"/>
      </dxf>
    </rfmt>
    <rfmt sheetId="2" sqref="A79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9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79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9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9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9" start="0" length="0">
      <dxf>
        <numFmt numFmtId="176" formatCode="m/d;@"/>
      </dxf>
    </rfmt>
    <rfmt sheetId="2" sqref="P799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9" start="0" length="0">
      <dxf/>
    </rfmt>
    <rfmt sheetId="2" sqref="U799" start="0" length="0">
      <dxf/>
    </rfmt>
    <rfmt sheetId="2" sqref="V799" start="0" length="0">
      <dxf/>
    </rfmt>
    <rfmt sheetId="2" sqref="W799" start="0" length="0">
      <dxf/>
    </rfmt>
    <rfmt sheetId="2" sqref="X799" start="0" length="0">
      <dxf/>
    </rfmt>
    <rfmt sheetId="2" sqref="Y799" start="0" length="0">
      <dxf/>
    </rfmt>
    <rfmt sheetId="2" sqref="Z799" start="0" length="0">
      <dxf/>
    </rfmt>
    <rfmt sheetId="2" sqref="AA799" start="0" length="0">
      <dxf/>
    </rfmt>
    <rfmt sheetId="2" sqref="AB799" start="0" length="0">
      <dxf/>
    </rfmt>
    <rfmt sheetId="2" sqref="AC799" start="0" length="0">
      <dxf/>
    </rfmt>
    <rfmt sheetId="2" sqref="AD799" start="0" length="0">
      <dxf/>
    </rfmt>
    <rfmt sheetId="2" sqref="AE799" start="0" length="0">
      <dxf/>
    </rfmt>
    <rfmt sheetId="2" sqref="AF799" start="0" length="0">
      <dxf/>
    </rfmt>
    <rfmt sheetId="2" sqref="AG799" start="0" length="0">
      <dxf/>
    </rfmt>
    <rfmt sheetId="2" sqref="AH799" start="0" length="0">
      <dxf/>
    </rfmt>
    <rfmt sheetId="2" sqref="AI799" start="0" length="0">
      <dxf/>
    </rfmt>
    <rfmt sheetId="2" sqref="AJ799" start="0" length="0">
      <dxf/>
    </rfmt>
    <rfmt sheetId="2" sqref="AK799" start="0" length="0">
      <dxf/>
    </rfmt>
    <rfmt sheetId="2" sqref="AL799" start="0" length="0">
      <dxf/>
    </rfmt>
    <rfmt sheetId="2" sqref="AM799" start="0" length="0">
      <dxf/>
    </rfmt>
    <rfmt sheetId="2" sqref="AN799" start="0" length="0">
      <dxf/>
    </rfmt>
    <rfmt sheetId="2" sqref="AO799" start="0" length="0">
      <dxf/>
    </rfmt>
    <rfmt sheetId="2" sqref="AP799" start="0" length="0">
      <dxf/>
    </rfmt>
    <rfmt sheetId="2" sqref="AQ799" start="0" length="0">
      <dxf/>
    </rfmt>
    <rfmt sheetId="2" sqref="AR799" start="0" length="0">
      <dxf/>
    </rfmt>
    <rfmt sheetId="2" sqref="AS799" start="0" length="0">
      <dxf/>
    </rfmt>
    <rfmt sheetId="2" sqref="AT799" start="0" length="0">
      <dxf/>
    </rfmt>
    <rfmt sheetId="2" sqref="AU799" start="0" length="0">
      <dxf/>
    </rfmt>
    <rfmt sheetId="2" sqref="AV799" start="0" length="0">
      <dxf/>
    </rfmt>
    <rfmt sheetId="2" sqref="AW799" start="0" length="0">
      <dxf/>
    </rfmt>
    <rfmt sheetId="2" sqref="AX799" start="0" length="0">
      <dxf/>
    </rfmt>
    <rfmt sheetId="2" sqref="AY799" start="0" length="0">
      <dxf/>
    </rfmt>
    <rfmt sheetId="2" sqref="AZ799" start="0" length="0">
      <dxf/>
    </rfmt>
    <rfmt sheetId="2" sqref="BA799" start="0" length="0">
      <dxf/>
    </rfmt>
    <rfmt sheetId="2" sqref="BB799" start="0" length="0">
      <dxf/>
    </rfmt>
    <rfmt sheetId="2" sqref="BC799" start="0" length="0">
      <dxf/>
    </rfmt>
    <rfmt sheetId="2" sqref="BD799" start="0" length="0">
      <dxf/>
    </rfmt>
    <rfmt sheetId="2" sqref="BE799" start="0" length="0">
      <dxf/>
    </rfmt>
    <rfmt sheetId="2" sqref="BF799" start="0" length="0">
      <dxf/>
    </rfmt>
    <rfmt sheetId="2" sqref="BG799" start="0" length="0">
      <dxf/>
    </rfmt>
    <rfmt sheetId="2" sqref="BH799" start="0" length="0">
      <dxf/>
    </rfmt>
    <rfmt sheetId="2" sqref="BI799" start="0" length="0">
      <dxf/>
    </rfmt>
    <rfmt sheetId="2" sqref="BJ799" start="0" length="0">
      <dxf/>
    </rfmt>
    <rfmt sheetId="2" sqref="BK799" start="0" length="0">
      <dxf/>
    </rfmt>
    <rfmt sheetId="2" sqref="BL799" start="0" length="0">
      <dxf/>
    </rfmt>
    <rfmt sheetId="2" sqref="BM799" start="0" length="0">
      <dxf/>
    </rfmt>
    <rfmt sheetId="2" sqref="BN799" start="0" length="0">
      <dxf/>
    </rfmt>
    <rfmt sheetId="2" sqref="BO799" start="0" length="0">
      <dxf/>
    </rfmt>
    <rfmt sheetId="2" sqref="BP799" start="0" length="0">
      <dxf/>
    </rfmt>
    <rfmt sheetId="2" sqref="BQ799" start="0" length="0">
      <dxf/>
    </rfmt>
    <rfmt sheetId="2" sqref="BR799" start="0" length="0">
      <dxf/>
    </rfmt>
    <rfmt sheetId="2" sqref="BS799" start="0" length="0">
      <dxf/>
    </rfmt>
    <rfmt sheetId="2" sqref="BT799" start="0" length="0">
      <dxf/>
    </rfmt>
    <rfmt sheetId="2" sqref="BU799" start="0" length="0">
      <dxf/>
    </rfmt>
    <rfmt sheetId="2" sqref="BV799" start="0" length="0">
      <dxf/>
    </rfmt>
    <rfmt sheetId="2" sqref="BW799" start="0" length="0">
      <dxf/>
    </rfmt>
    <rfmt sheetId="2" sqref="BX799" start="0" length="0">
      <dxf/>
    </rfmt>
    <rfmt sheetId="2" sqref="BY799" start="0" length="0">
      <dxf/>
    </rfmt>
    <rfmt sheetId="2" sqref="BZ799" start="0" length="0">
      <dxf/>
    </rfmt>
    <rfmt sheetId="2" sqref="CA799" start="0" length="0">
      <dxf/>
    </rfmt>
    <rfmt sheetId="2" sqref="CB799" start="0" length="0">
      <dxf/>
    </rfmt>
    <rfmt sheetId="2" sqref="CC799" start="0" length="0">
      <dxf/>
    </rfmt>
    <rfmt sheetId="2" sqref="CD799" start="0" length="0">
      <dxf/>
    </rfmt>
    <rfmt sheetId="2" sqref="CE799" start="0" length="0">
      <dxf/>
    </rfmt>
    <rfmt sheetId="2" sqref="CF799" start="0" length="0">
      <dxf/>
    </rfmt>
    <rfmt sheetId="2" sqref="CG799" start="0" length="0">
      <dxf/>
    </rfmt>
    <rfmt sheetId="2" sqref="CH799" start="0" length="0">
      <dxf/>
    </rfmt>
    <rfmt sheetId="2" sqref="CI799" start="0" length="0">
      <dxf/>
    </rfmt>
    <rfmt sheetId="2" sqref="CJ799" start="0" length="0">
      <dxf/>
    </rfmt>
    <rfmt sheetId="2" sqref="CK799" start="0" length="0">
      <dxf/>
    </rfmt>
    <rfmt sheetId="2" sqref="CL799" start="0" length="0">
      <dxf/>
    </rfmt>
    <rfmt sheetId="2" sqref="CM799" start="0" length="0">
      <dxf/>
    </rfmt>
    <rfmt sheetId="2" sqref="CN799" start="0" length="0">
      <dxf/>
    </rfmt>
    <rfmt sheetId="2" sqref="CO799" start="0" length="0">
      <dxf/>
    </rfmt>
    <rfmt sheetId="2" sqref="CP799" start="0" length="0">
      <dxf/>
    </rfmt>
    <rfmt sheetId="2" sqref="CQ799" start="0" length="0">
      <dxf/>
    </rfmt>
    <rfmt sheetId="2" sqref="CR799" start="0" length="0">
      <dxf/>
    </rfmt>
    <rfmt sheetId="2" sqref="CS799" start="0" length="0">
      <dxf/>
    </rfmt>
    <rfmt sheetId="2" sqref="CT799" start="0" length="0">
      <dxf/>
    </rfmt>
    <rfmt sheetId="2" sqref="CU799" start="0" length="0">
      <dxf/>
    </rfmt>
    <rfmt sheetId="2" sqref="CV799" start="0" length="0">
      <dxf/>
    </rfmt>
    <rfmt sheetId="2" sqref="CW799" start="0" length="0">
      <dxf/>
    </rfmt>
    <rfmt sheetId="2" sqref="CX799" start="0" length="0">
      <dxf/>
    </rfmt>
    <rfmt sheetId="2" sqref="CY799" start="0" length="0">
      <dxf/>
    </rfmt>
    <rfmt sheetId="2" sqref="CZ799" start="0" length="0">
      <dxf/>
    </rfmt>
    <rfmt sheetId="2" sqref="DA799" start="0" length="0">
      <dxf/>
    </rfmt>
    <rfmt sheetId="2" sqref="DB799" start="0" length="0">
      <dxf/>
    </rfmt>
    <rfmt sheetId="2" sqref="DC799" start="0" length="0">
      <dxf/>
    </rfmt>
    <rfmt sheetId="2" sqref="DD799" start="0" length="0">
      <dxf/>
    </rfmt>
    <rfmt sheetId="2" sqref="DE799" start="0" length="0">
      <dxf/>
    </rfmt>
    <rfmt sheetId="2" sqref="DF799" start="0" length="0">
      <dxf/>
    </rfmt>
    <rfmt sheetId="2" sqref="DG799" start="0" length="0">
      <dxf/>
    </rfmt>
    <rfmt sheetId="2" sqref="DH799" start="0" length="0">
      <dxf/>
    </rfmt>
    <rfmt sheetId="2" sqref="DI799" start="0" length="0">
      <dxf/>
    </rfmt>
    <rfmt sheetId="2" sqref="DJ799" start="0" length="0">
      <dxf/>
    </rfmt>
    <rfmt sheetId="2" sqref="DK799" start="0" length="0">
      <dxf/>
    </rfmt>
    <rfmt sheetId="2" sqref="DL799" start="0" length="0">
      <dxf/>
    </rfmt>
    <rfmt sheetId="2" sqref="DM799" start="0" length="0">
      <dxf/>
    </rfmt>
    <rfmt sheetId="2" sqref="DN799" start="0" length="0">
      <dxf/>
    </rfmt>
    <rfmt sheetId="2" sqref="DO799" start="0" length="0">
      <dxf/>
    </rfmt>
    <rfmt sheetId="2" sqref="DP799" start="0" length="0">
      <dxf/>
    </rfmt>
    <rfmt sheetId="2" sqref="DQ799" start="0" length="0">
      <dxf/>
    </rfmt>
    <rfmt sheetId="2" sqref="DR799" start="0" length="0">
      <dxf/>
    </rfmt>
    <rfmt sheetId="2" sqref="DS799" start="0" length="0">
      <dxf/>
    </rfmt>
    <rfmt sheetId="2" sqref="DT799" start="0" length="0">
      <dxf/>
    </rfmt>
    <rfmt sheetId="2" sqref="DU799" start="0" length="0">
      <dxf/>
    </rfmt>
    <rfmt sheetId="2" sqref="DV799" start="0" length="0">
      <dxf/>
    </rfmt>
    <rfmt sheetId="2" sqref="DW799" start="0" length="0">
      <dxf/>
    </rfmt>
    <rfmt sheetId="2" sqref="DX799" start="0" length="0">
      <dxf/>
    </rfmt>
    <rfmt sheetId="2" sqref="DY799" start="0" length="0">
      <dxf/>
    </rfmt>
    <rfmt sheetId="2" sqref="DZ799" start="0" length="0">
      <dxf/>
    </rfmt>
    <rfmt sheetId="2" sqref="EA799" start="0" length="0">
      <dxf/>
    </rfmt>
    <rfmt sheetId="2" sqref="EB799" start="0" length="0">
      <dxf/>
    </rfmt>
    <rfmt sheetId="2" sqref="EC799" start="0" length="0">
      <dxf/>
    </rfmt>
    <rfmt sheetId="2" sqref="ED799" start="0" length="0">
      <dxf/>
    </rfmt>
    <rfmt sheetId="2" sqref="EE799" start="0" length="0">
      <dxf/>
    </rfmt>
    <rfmt sheetId="2" sqref="EF799" start="0" length="0">
      <dxf/>
    </rfmt>
    <rfmt sheetId="2" sqref="EG799" start="0" length="0">
      <dxf/>
    </rfmt>
    <rfmt sheetId="2" sqref="EH799" start="0" length="0">
      <dxf/>
    </rfmt>
    <rfmt sheetId="2" sqref="EI799" start="0" length="0">
      <dxf/>
    </rfmt>
    <rfmt sheetId="2" sqref="EJ799" start="0" length="0">
      <dxf/>
    </rfmt>
    <rfmt sheetId="2" sqref="EK799" start="0" length="0">
      <dxf/>
    </rfmt>
    <rfmt sheetId="2" sqref="EL799" start="0" length="0">
      <dxf/>
    </rfmt>
    <rfmt sheetId="2" sqref="EM799" start="0" length="0">
      <dxf/>
    </rfmt>
    <rfmt sheetId="2" sqref="EN799" start="0" length="0">
      <dxf/>
    </rfmt>
    <rfmt sheetId="2" sqref="EO799" start="0" length="0">
      <dxf/>
    </rfmt>
    <rfmt sheetId="2" sqref="EP799" start="0" length="0">
      <dxf/>
    </rfmt>
    <rfmt sheetId="2" sqref="EQ799" start="0" length="0">
      <dxf/>
    </rfmt>
    <rfmt sheetId="2" sqref="ER799" start="0" length="0">
      <dxf/>
    </rfmt>
    <rfmt sheetId="2" sqref="ES799" start="0" length="0">
      <dxf/>
    </rfmt>
    <rfmt sheetId="2" sqref="ET799" start="0" length="0">
      <dxf/>
    </rfmt>
    <rfmt sheetId="2" sqref="EU799" start="0" length="0">
      <dxf/>
    </rfmt>
    <rfmt sheetId="2" sqref="EV799" start="0" length="0">
      <dxf/>
    </rfmt>
    <rfmt sheetId="2" sqref="EW799" start="0" length="0">
      <dxf/>
    </rfmt>
    <rfmt sheetId="2" sqref="EX799" start="0" length="0">
      <dxf/>
    </rfmt>
    <rfmt sheetId="2" sqref="EY799" start="0" length="0">
      <dxf/>
    </rfmt>
    <rfmt sheetId="2" sqref="EZ799" start="0" length="0">
      <dxf/>
    </rfmt>
    <rfmt sheetId="2" sqref="FA799" start="0" length="0">
      <dxf/>
    </rfmt>
    <rfmt sheetId="2" sqref="FB799" start="0" length="0">
      <dxf/>
    </rfmt>
    <rfmt sheetId="2" sqref="FC799" start="0" length="0">
      <dxf/>
    </rfmt>
    <rfmt sheetId="2" sqref="FD799" start="0" length="0">
      <dxf/>
    </rfmt>
    <rfmt sheetId="2" sqref="FE799" start="0" length="0">
      <dxf/>
    </rfmt>
    <rfmt sheetId="2" sqref="FF799" start="0" length="0">
      <dxf/>
    </rfmt>
    <rfmt sheetId="2" sqref="FG799" start="0" length="0">
      <dxf/>
    </rfmt>
    <rfmt sheetId="2" sqref="FH799" start="0" length="0">
      <dxf/>
    </rfmt>
    <rfmt sheetId="2" sqref="FI799" start="0" length="0">
      <dxf/>
    </rfmt>
    <rfmt sheetId="2" sqref="FJ799" start="0" length="0">
      <dxf/>
    </rfmt>
    <rfmt sheetId="2" sqref="FK799" start="0" length="0">
      <dxf/>
    </rfmt>
    <rfmt sheetId="2" sqref="FL799" start="0" length="0">
      <dxf/>
    </rfmt>
    <rfmt sheetId="2" sqref="FM799" start="0" length="0">
      <dxf/>
    </rfmt>
    <rfmt sheetId="2" sqref="FN799" start="0" length="0">
      <dxf/>
    </rfmt>
    <rfmt sheetId="2" sqref="FO799" start="0" length="0">
      <dxf/>
    </rfmt>
    <rfmt sheetId="2" sqref="FP799" start="0" length="0">
      <dxf/>
    </rfmt>
    <rfmt sheetId="2" sqref="FQ799" start="0" length="0">
      <dxf/>
    </rfmt>
    <rfmt sheetId="2" sqref="FR799" start="0" length="0">
      <dxf/>
    </rfmt>
    <rfmt sheetId="2" sqref="FS799" start="0" length="0">
      <dxf/>
    </rfmt>
    <rfmt sheetId="2" sqref="FT799" start="0" length="0">
      <dxf/>
    </rfmt>
    <rfmt sheetId="2" sqref="FU799" start="0" length="0">
      <dxf/>
    </rfmt>
    <rfmt sheetId="2" sqref="FV799" start="0" length="0">
      <dxf/>
    </rfmt>
    <rfmt sheetId="2" sqref="FW799" start="0" length="0">
      <dxf/>
    </rfmt>
    <rfmt sheetId="2" sqref="FX799" start="0" length="0">
      <dxf/>
    </rfmt>
    <rfmt sheetId="2" sqref="FY799" start="0" length="0">
      <dxf/>
    </rfmt>
    <rfmt sheetId="2" sqref="FZ799" start="0" length="0">
      <dxf/>
    </rfmt>
    <rfmt sheetId="2" sqref="GA799" start="0" length="0">
      <dxf/>
    </rfmt>
    <rfmt sheetId="2" sqref="GB799" start="0" length="0">
      <dxf/>
    </rfmt>
    <rfmt sheetId="2" sqref="GC799" start="0" length="0">
      <dxf/>
    </rfmt>
    <rfmt sheetId="2" sqref="GD799" start="0" length="0">
      <dxf/>
    </rfmt>
    <rfmt sheetId="2" sqref="GE799" start="0" length="0">
      <dxf/>
    </rfmt>
    <rfmt sheetId="2" sqref="GF799" start="0" length="0">
      <dxf/>
    </rfmt>
    <rfmt sheetId="2" sqref="GG799" start="0" length="0">
      <dxf/>
    </rfmt>
    <rfmt sheetId="2" sqref="GH799" start="0" length="0">
      <dxf/>
    </rfmt>
    <rfmt sheetId="2" sqref="GI799" start="0" length="0">
      <dxf/>
    </rfmt>
    <rfmt sheetId="2" sqref="GJ799" start="0" length="0">
      <dxf/>
    </rfmt>
    <rfmt sheetId="2" sqref="GK799" start="0" length="0">
      <dxf/>
    </rfmt>
    <rfmt sheetId="2" sqref="GL799" start="0" length="0">
      <dxf/>
    </rfmt>
    <rfmt sheetId="2" sqref="GM799" start="0" length="0">
      <dxf/>
    </rfmt>
    <rfmt sheetId="2" sqref="GN799" start="0" length="0">
      <dxf/>
    </rfmt>
    <rfmt sheetId="2" sqref="GO799" start="0" length="0">
      <dxf/>
    </rfmt>
    <rfmt sheetId="2" sqref="GP799" start="0" length="0">
      <dxf/>
    </rfmt>
    <rfmt sheetId="2" sqref="GQ799" start="0" length="0">
      <dxf/>
    </rfmt>
    <rfmt sheetId="2" sqref="GR799" start="0" length="0">
      <dxf/>
    </rfmt>
    <rfmt sheetId="2" sqref="GS799" start="0" length="0">
      <dxf/>
    </rfmt>
    <rfmt sheetId="2" sqref="GT799" start="0" length="0">
      <dxf/>
    </rfmt>
    <rfmt sheetId="2" sqref="GU799" start="0" length="0">
      <dxf/>
    </rfmt>
    <rfmt sheetId="2" sqref="GV799" start="0" length="0">
      <dxf/>
    </rfmt>
    <rfmt sheetId="2" sqref="GW799" start="0" length="0">
      <dxf/>
    </rfmt>
    <rfmt sheetId="2" sqref="GX799" start="0" length="0">
      <dxf/>
    </rfmt>
    <rfmt sheetId="2" sqref="GY799" start="0" length="0">
      <dxf/>
    </rfmt>
    <rfmt sheetId="2" sqref="GZ799" start="0" length="0">
      <dxf/>
    </rfmt>
    <rfmt sheetId="2" sqref="HA799" start="0" length="0">
      <dxf/>
    </rfmt>
    <rfmt sheetId="2" sqref="HB799" start="0" length="0">
      <dxf/>
    </rfmt>
    <rfmt sheetId="2" sqref="HC799" start="0" length="0">
      <dxf/>
    </rfmt>
    <rfmt sheetId="2" sqref="HD799" start="0" length="0">
      <dxf/>
    </rfmt>
    <rfmt sheetId="2" sqref="HE799" start="0" length="0">
      <dxf/>
    </rfmt>
    <rfmt sheetId="2" sqref="HF799" start="0" length="0">
      <dxf/>
    </rfmt>
    <rfmt sheetId="2" sqref="HG799" start="0" length="0">
      <dxf/>
    </rfmt>
    <rfmt sheetId="2" sqref="HH799" start="0" length="0">
      <dxf/>
    </rfmt>
    <rfmt sheetId="2" sqref="HI799" start="0" length="0">
      <dxf/>
    </rfmt>
    <rfmt sheetId="2" sqref="HJ799" start="0" length="0">
      <dxf/>
    </rfmt>
    <rfmt sheetId="2" sqref="HK799" start="0" length="0">
      <dxf/>
    </rfmt>
    <rfmt sheetId="2" sqref="HL799" start="0" length="0">
      <dxf/>
    </rfmt>
    <rfmt sheetId="2" sqref="HM799" start="0" length="0">
      <dxf/>
    </rfmt>
    <rfmt sheetId="2" sqref="HN799" start="0" length="0">
      <dxf/>
    </rfmt>
    <rfmt sheetId="2" sqref="HO799" start="0" length="0">
      <dxf/>
    </rfmt>
    <rfmt sheetId="2" sqref="HP799" start="0" length="0">
      <dxf/>
    </rfmt>
    <rfmt sheetId="2" sqref="HQ799" start="0" length="0">
      <dxf/>
    </rfmt>
    <rfmt sheetId="2" sqref="HR799" start="0" length="0">
      <dxf/>
    </rfmt>
    <rfmt sheetId="2" sqref="HS799" start="0" length="0">
      <dxf/>
    </rfmt>
    <rfmt sheetId="2" sqref="HT799" start="0" length="0">
      <dxf/>
    </rfmt>
    <rfmt sheetId="2" sqref="HU799" start="0" length="0">
      <dxf/>
    </rfmt>
    <rfmt sheetId="2" sqref="HV799" start="0" length="0">
      <dxf/>
    </rfmt>
    <rfmt sheetId="2" sqref="HW799" start="0" length="0">
      <dxf/>
    </rfmt>
    <rfmt sheetId="2" sqref="HX799" start="0" length="0">
      <dxf/>
    </rfmt>
    <rfmt sheetId="2" sqref="HY799" start="0" length="0">
      <dxf/>
    </rfmt>
    <rfmt sheetId="2" sqref="HZ799" start="0" length="0">
      <dxf/>
    </rfmt>
    <rfmt sheetId="2" sqref="IA799" start="0" length="0">
      <dxf/>
    </rfmt>
    <rfmt sheetId="2" sqref="IB799" start="0" length="0">
      <dxf/>
    </rfmt>
    <rfmt sheetId="2" sqref="IC799" start="0" length="0">
      <dxf/>
    </rfmt>
    <rfmt sheetId="2" sqref="ID799" start="0" length="0">
      <dxf/>
    </rfmt>
    <rfmt sheetId="2" sqref="IE799" start="0" length="0">
      <dxf/>
    </rfmt>
    <rfmt sheetId="2" sqref="IF799" start="0" length="0">
      <dxf/>
    </rfmt>
    <rfmt sheetId="2" sqref="IG799" start="0" length="0">
      <dxf/>
    </rfmt>
    <rfmt sheetId="2" sqref="IH799" start="0" length="0">
      <dxf/>
    </rfmt>
    <rfmt sheetId="2" sqref="II799" start="0" length="0">
      <dxf/>
    </rfmt>
    <rfmt sheetId="2" sqref="IJ799" start="0" length="0">
      <dxf/>
    </rfmt>
    <rfmt sheetId="2" sqref="IK799" start="0" length="0">
      <dxf/>
    </rfmt>
    <rfmt sheetId="2" sqref="IL799" start="0" length="0">
      <dxf/>
    </rfmt>
    <rfmt sheetId="2" sqref="IM799" start="0" length="0">
      <dxf/>
    </rfmt>
    <rfmt sheetId="2" sqref="IN799" start="0" length="0">
      <dxf/>
    </rfmt>
    <rfmt sheetId="2" sqref="IO799" start="0" length="0">
      <dxf/>
    </rfmt>
    <rfmt sheetId="2" sqref="IP799" start="0" length="0">
      <dxf/>
    </rfmt>
    <rfmt sheetId="2" sqref="IQ799" start="0" length="0">
      <dxf/>
    </rfmt>
    <rfmt sheetId="2" sqref="IR799" start="0" length="0">
      <dxf/>
    </rfmt>
    <rfmt sheetId="2" sqref="IS799" start="0" length="0">
      <dxf/>
    </rfmt>
    <rfmt sheetId="2" sqref="IT799" start="0" length="0">
      <dxf/>
    </rfmt>
    <rfmt sheetId="2" sqref="IU799" start="0" length="0">
      <dxf/>
    </rfmt>
    <rfmt sheetId="2" sqref="IV799" start="0" length="0">
      <dxf/>
    </rfmt>
    <rfmt sheetId="2" sqref="IW799" start="0" length="0">
      <dxf/>
    </rfmt>
    <rfmt sheetId="2" sqref="IX799" start="0" length="0">
      <dxf/>
    </rfmt>
    <rfmt sheetId="2" sqref="IY799" start="0" length="0">
      <dxf/>
    </rfmt>
    <rfmt sheetId="2" sqref="IZ799" start="0" length="0">
      <dxf/>
    </rfmt>
    <rfmt sheetId="2" sqref="JA799" start="0" length="0">
      <dxf/>
    </rfmt>
    <rfmt sheetId="2" sqref="JB799" start="0" length="0">
      <dxf/>
    </rfmt>
    <rfmt sheetId="2" sqref="JC799" start="0" length="0">
      <dxf/>
    </rfmt>
    <rfmt sheetId="2" sqref="JD799" start="0" length="0">
      <dxf/>
    </rfmt>
    <rfmt sheetId="2" sqref="JE799" start="0" length="0">
      <dxf/>
    </rfmt>
    <rfmt sheetId="2" sqref="JF799" start="0" length="0">
      <dxf/>
    </rfmt>
    <rfmt sheetId="2" sqref="JG799" start="0" length="0">
      <dxf/>
    </rfmt>
    <rfmt sheetId="2" sqref="JH799" start="0" length="0">
      <dxf/>
    </rfmt>
    <rfmt sheetId="2" sqref="JI799" start="0" length="0">
      <dxf/>
    </rfmt>
    <rfmt sheetId="2" sqref="JJ799" start="0" length="0">
      <dxf/>
    </rfmt>
    <rfmt sheetId="2" sqref="JK799" start="0" length="0">
      <dxf/>
    </rfmt>
    <rfmt sheetId="2" sqref="JL799" start="0" length="0">
      <dxf/>
    </rfmt>
    <rfmt sheetId="2" sqref="JM799" start="0" length="0">
      <dxf/>
    </rfmt>
    <rfmt sheetId="2" sqref="JN799" start="0" length="0">
      <dxf/>
    </rfmt>
    <rfmt sheetId="2" sqref="JO799" start="0" length="0">
      <dxf/>
    </rfmt>
    <rfmt sheetId="2" sqref="JP799" start="0" length="0">
      <dxf/>
    </rfmt>
    <rfmt sheetId="2" sqref="JQ799" start="0" length="0">
      <dxf/>
    </rfmt>
    <rfmt sheetId="2" sqref="JR799" start="0" length="0">
      <dxf/>
    </rfmt>
    <rfmt sheetId="2" sqref="JS799" start="0" length="0">
      <dxf/>
    </rfmt>
    <rfmt sheetId="2" sqref="JT799" start="0" length="0">
      <dxf/>
    </rfmt>
    <rfmt sheetId="2" sqref="JU799" start="0" length="0">
      <dxf/>
    </rfmt>
    <rfmt sheetId="2" sqref="JV799" start="0" length="0">
      <dxf/>
    </rfmt>
    <rfmt sheetId="2" sqref="JW799" start="0" length="0">
      <dxf/>
    </rfmt>
    <rfmt sheetId="2" sqref="JX799" start="0" length="0">
      <dxf/>
    </rfmt>
    <rfmt sheetId="2" sqref="JY799" start="0" length="0">
      <dxf/>
    </rfmt>
    <rfmt sheetId="2" sqref="JZ799" start="0" length="0">
      <dxf/>
    </rfmt>
    <rfmt sheetId="2" sqref="KA799" start="0" length="0">
      <dxf/>
    </rfmt>
    <rfmt sheetId="2" sqref="KB799" start="0" length="0">
      <dxf/>
    </rfmt>
    <rfmt sheetId="2" sqref="KC799" start="0" length="0">
      <dxf/>
    </rfmt>
    <rfmt sheetId="2" sqref="KD799" start="0" length="0">
      <dxf/>
    </rfmt>
    <rfmt sheetId="2" sqref="KE799" start="0" length="0">
      <dxf/>
    </rfmt>
    <rfmt sheetId="2" sqref="KF799" start="0" length="0">
      <dxf/>
    </rfmt>
    <rfmt sheetId="2" sqref="KG799" start="0" length="0">
      <dxf/>
    </rfmt>
    <rfmt sheetId="2" sqref="KH799" start="0" length="0">
      <dxf/>
    </rfmt>
    <rfmt sheetId="2" sqref="KI799" start="0" length="0">
      <dxf/>
    </rfmt>
    <rfmt sheetId="2" sqref="KJ799" start="0" length="0">
      <dxf/>
    </rfmt>
    <rfmt sheetId="2" sqref="KK799" start="0" length="0">
      <dxf/>
    </rfmt>
    <rfmt sheetId="2" sqref="KL799" start="0" length="0">
      <dxf/>
    </rfmt>
    <rfmt sheetId="2" sqref="KM799" start="0" length="0">
      <dxf/>
    </rfmt>
    <rfmt sheetId="2" sqref="KN799" start="0" length="0">
      <dxf/>
    </rfmt>
    <rfmt sheetId="2" sqref="KO799" start="0" length="0">
      <dxf/>
    </rfmt>
    <rfmt sheetId="2" sqref="KP799" start="0" length="0">
      <dxf/>
    </rfmt>
    <rfmt sheetId="2" sqref="KQ799" start="0" length="0">
      <dxf/>
    </rfmt>
    <rfmt sheetId="2" sqref="KR799" start="0" length="0">
      <dxf/>
    </rfmt>
    <rfmt sheetId="2" sqref="KS799" start="0" length="0">
      <dxf/>
    </rfmt>
    <rfmt sheetId="2" sqref="KT799" start="0" length="0">
      <dxf/>
    </rfmt>
    <rfmt sheetId="2" sqref="KU799" start="0" length="0">
      <dxf/>
    </rfmt>
    <rfmt sheetId="2" sqref="KV799" start="0" length="0">
      <dxf/>
    </rfmt>
    <rfmt sheetId="2" sqref="KW799" start="0" length="0">
      <dxf/>
    </rfmt>
    <rfmt sheetId="2" sqref="KX799" start="0" length="0">
      <dxf/>
    </rfmt>
    <rfmt sheetId="2" sqref="KY799" start="0" length="0">
      <dxf/>
    </rfmt>
    <rfmt sheetId="2" sqref="KZ799" start="0" length="0">
      <dxf/>
    </rfmt>
    <rfmt sheetId="2" sqref="LA799" start="0" length="0">
      <dxf/>
    </rfmt>
    <rfmt sheetId="2" sqref="LB799" start="0" length="0">
      <dxf/>
    </rfmt>
    <rfmt sheetId="2" sqref="LC799" start="0" length="0">
      <dxf/>
    </rfmt>
    <rfmt sheetId="2" sqref="LD799" start="0" length="0">
      <dxf/>
    </rfmt>
    <rfmt sheetId="2" sqref="LE799" start="0" length="0">
      <dxf/>
    </rfmt>
    <rfmt sheetId="2" sqref="LF799" start="0" length="0">
      <dxf/>
    </rfmt>
    <rfmt sheetId="2" sqref="LG799" start="0" length="0">
      <dxf/>
    </rfmt>
    <rfmt sheetId="2" sqref="LH799" start="0" length="0">
      <dxf/>
    </rfmt>
    <rfmt sheetId="2" sqref="LI799" start="0" length="0">
      <dxf/>
    </rfmt>
    <rfmt sheetId="2" sqref="LJ799" start="0" length="0">
      <dxf/>
    </rfmt>
    <rfmt sheetId="2" sqref="LK799" start="0" length="0">
      <dxf/>
    </rfmt>
    <rfmt sheetId="2" sqref="LL799" start="0" length="0">
      <dxf/>
    </rfmt>
    <rfmt sheetId="2" sqref="LM799" start="0" length="0">
      <dxf/>
    </rfmt>
    <rfmt sheetId="2" sqref="LN799" start="0" length="0">
      <dxf/>
    </rfmt>
    <rfmt sheetId="2" sqref="LO799" start="0" length="0">
      <dxf/>
    </rfmt>
    <rfmt sheetId="2" sqref="LP799" start="0" length="0">
      <dxf/>
    </rfmt>
    <rfmt sheetId="2" sqref="LQ799" start="0" length="0">
      <dxf/>
    </rfmt>
    <rfmt sheetId="2" sqref="LR799" start="0" length="0">
      <dxf/>
    </rfmt>
    <rfmt sheetId="2" sqref="LS799" start="0" length="0">
      <dxf/>
    </rfmt>
    <rfmt sheetId="2" sqref="LT799" start="0" length="0">
      <dxf/>
    </rfmt>
    <rfmt sheetId="2" sqref="LU799" start="0" length="0">
      <dxf/>
    </rfmt>
    <rfmt sheetId="2" sqref="LV799" start="0" length="0">
      <dxf/>
    </rfmt>
    <rfmt sheetId="2" sqref="LW799" start="0" length="0">
      <dxf/>
    </rfmt>
    <rfmt sheetId="2" sqref="LX799" start="0" length="0">
      <dxf/>
    </rfmt>
    <rfmt sheetId="2" sqref="LY799" start="0" length="0">
      <dxf/>
    </rfmt>
    <rfmt sheetId="2" sqref="LZ799" start="0" length="0">
      <dxf/>
    </rfmt>
    <rfmt sheetId="2" sqref="MA799" start="0" length="0">
      <dxf/>
    </rfmt>
    <rfmt sheetId="2" sqref="MB799" start="0" length="0">
      <dxf/>
    </rfmt>
  </rrc>
  <rrc rId="2673" sId="2" ref="A794:XFD795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74" sheetId="2" source="A801:XFD802" destination="A794:XFD795" sourceSheetId="2">
    <rfmt sheetId="2" xfDxf="1" sqref="A794:XFD794" start="0" length="0">
      <dxf>
        <font>
          <sz val="10"/>
          <name val="Arial"/>
          <scheme val="none"/>
        </font>
        <alignment horizontal="center" readingOrder="0"/>
      </dxf>
    </rfmt>
    <rfmt sheetId="2" xfDxf="1" sqref="A795:XFD795" start="0" length="0">
      <dxf>
        <font>
          <sz val="10"/>
          <name val="Arial"/>
          <scheme val="none"/>
        </font>
        <alignment horizontal="center" readingOrder="0"/>
      </dxf>
    </rfmt>
    <rfmt sheetId="2" sqref="A794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4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4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9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9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9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94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4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4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4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4" start="0" length="0">
      <dxf>
        <numFmt numFmtId="176" formatCode="m/d;@"/>
      </dxf>
    </rfmt>
    <rfmt sheetId="2" sqref="P794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4" start="0" length="0">
      <dxf/>
    </rfmt>
    <rfmt sheetId="2" sqref="U794" start="0" length="0">
      <dxf/>
    </rfmt>
    <rfmt sheetId="2" sqref="V794" start="0" length="0">
      <dxf/>
    </rfmt>
    <rfmt sheetId="2" sqref="W794" start="0" length="0">
      <dxf/>
    </rfmt>
    <rfmt sheetId="2" sqref="X794" start="0" length="0">
      <dxf/>
    </rfmt>
    <rfmt sheetId="2" sqref="Y794" start="0" length="0">
      <dxf/>
    </rfmt>
    <rfmt sheetId="2" sqref="Z794" start="0" length="0">
      <dxf/>
    </rfmt>
    <rfmt sheetId="2" sqref="AA794" start="0" length="0">
      <dxf/>
    </rfmt>
    <rfmt sheetId="2" sqref="AB794" start="0" length="0">
      <dxf/>
    </rfmt>
    <rfmt sheetId="2" sqref="AC794" start="0" length="0">
      <dxf/>
    </rfmt>
    <rfmt sheetId="2" sqref="AD794" start="0" length="0">
      <dxf/>
    </rfmt>
    <rfmt sheetId="2" sqref="AE794" start="0" length="0">
      <dxf/>
    </rfmt>
    <rfmt sheetId="2" sqref="AF794" start="0" length="0">
      <dxf/>
    </rfmt>
    <rfmt sheetId="2" sqref="AG794" start="0" length="0">
      <dxf/>
    </rfmt>
    <rfmt sheetId="2" sqref="AH794" start="0" length="0">
      <dxf/>
    </rfmt>
    <rfmt sheetId="2" sqref="AI794" start="0" length="0">
      <dxf/>
    </rfmt>
    <rfmt sheetId="2" sqref="AJ794" start="0" length="0">
      <dxf/>
    </rfmt>
    <rfmt sheetId="2" sqref="AK794" start="0" length="0">
      <dxf/>
    </rfmt>
    <rfmt sheetId="2" sqref="AL794" start="0" length="0">
      <dxf/>
    </rfmt>
    <rfmt sheetId="2" sqref="AM794" start="0" length="0">
      <dxf/>
    </rfmt>
    <rfmt sheetId="2" sqref="AN794" start="0" length="0">
      <dxf/>
    </rfmt>
    <rfmt sheetId="2" sqref="AO794" start="0" length="0">
      <dxf/>
    </rfmt>
    <rfmt sheetId="2" sqref="AP794" start="0" length="0">
      <dxf/>
    </rfmt>
    <rfmt sheetId="2" sqref="AQ794" start="0" length="0">
      <dxf/>
    </rfmt>
    <rfmt sheetId="2" sqref="AR794" start="0" length="0">
      <dxf/>
    </rfmt>
    <rfmt sheetId="2" sqref="AS794" start="0" length="0">
      <dxf/>
    </rfmt>
    <rfmt sheetId="2" sqref="AT794" start="0" length="0">
      <dxf/>
    </rfmt>
    <rfmt sheetId="2" sqref="AU794" start="0" length="0">
      <dxf/>
    </rfmt>
    <rfmt sheetId="2" sqref="AV794" start="0" length="0">
      <dxf/>
    </rfmt>
    <rfmt sheetId="2" sqref="AW794" start="0" length="0">
      <dxf/>
    </rfmt>
    <rfmt sheetId="2" sqref="AX794" start="0" length="0">
      <dxf/>
    </rfmt>
    <rfmt sheetId="2" sqref="AY794" start="0" length="0">
      <dxf/>
    </rfmt>
    <rfmt sheetId="2" sqref="AZ794" start="0" length="0">
      <dxf/>
    </rfmt>
    <rfmt sheetId="2" sqref="BA794" start="0" length="0">
      <dxf/>
    </rfmt>
    <rfmt sheetId="2" sqref="BB794" start="0" length="0">
      <dxf/>
    </rfmt>
    <rfmt sheetId="2" sqref="BC794" start="0" length="0">
      <dxf/>
    </rfmt>
    <rfmt sheetId="2" sqref="BD794" start="0" length="0">
      <dxf/>
    </rfmt>
    <rfmt sheetId="2" sqref="BE794" start="0" length="0">
      <dxf/>
    </rfmt>
    <rfmt sheetId="2" sqref="BF794" start="0" length="0">
      <dxf/>
    </rfmt>
    <rfmt sheetId="2" sqref="BG794" start="0" length="0">
      <dxf/>
    </rfmt>
    <rfmt sheetId="2" sqref="BH794" start="0" length="0">
      <dxf/>
    </rfmt>
    <rfmt sheetId="2" sqref="BI794" start="0" length="0">
      <dxf/>
    </rfmt>
    <rfmt sheetId="2" sqref="BJ794" start="0" length="0">
      <dxf/>
    </rfmt>
    <rfmt sheetId="2" sqref="BK794" start="0" length="0">
      <dxf/>
    </rfmt>
    <rfmt sheetId="2" sqref="BL794" start="0" length="0">
      <dxf/>
    </rfmt>
    <rfmt sheetId="2" sqref="BM794" start="0" length="0">
      <dxf/>
    </rfmt>
    <rfmt sheetId="2" sqref="BN794" start="0" length="0">
      <dxf/>
    </rfmt>
    <rfmt sheetId="2" sqref="BO794" start="0" length="0">
      <dxf/>
    </rfmt>
    <rfmt sheetId="2" sqref="BP794" start="0" length="0">
      <dxf/>
    </rfmt>
    <rfmt sheetId="2" sqref="BQ794" start="0" length="0">
      <dxf/>
    </rfmt>
    <rfmt sheetId="2" sqref="BR794" start="0" length="0">
      <dxf/>
    </rfmt>
    <rfmt sheetId="2" sqref="BS794" start="0" length="0">
      <dxf/>
    </rfmt>
    <rfmt sheetId="2" sqref="BT794" start="0" length="0">
      <dxf/>
    </rfmt>
    <rfmt sheetId="2" sqref="BU794" start="0" length="0">
      <dxf/>
    </rfmt>
    <rfmt sheetId="2" sqref="BV794" start="0" length="0">
      <dxf/>
    </rfmt>
    <rfmt sheetId="2" sqref="BW794" start="0" length="0">
      <dxf/>
    </rfmt>
    <rfmt sheetId="2" sqref="BX794" start="0" length="0">
      <dxf/>
    </rfmt>
    <rfmt sheetId="2" sqref="BY794" start="0" length="0">
      <dxf/>
    </rfmt>
    <rfmt sheetId="2" sqref="BZ794" start="0" length="0">
      <dxf/>
    </rfmt>
    <rfmt sheetId="2" sqref="CA794" start="0" length="0">
      <dxf/>
    </rfmt>
    <rfmt sheetId="2" sqref="CB794" start="0" length="0">
      <dxf/>
    </rfmt>
    <rfmt sheetId="2" sqref="CC794" start="0" length="0">
      <dxf/>
    </rfmt>
    <rfmt sheetId="2" sqref="CD794" start="0" length="0">
      <dxf/>
    </rfmt>
    <rfmt sheetId="2" sqref="CE794" start="0" length="0">
      <dxf/>
    </rfmt>
    <rfmt sheetId="2" sqref="CF794" start="0" length="0">
      <dxf/>
    </rfmt>
    <rfmt sheetId="2" sqref="CG794" start="0" length="0">
      <dxf/>
    </rfmt>
    <rfmt sheetId="2" sqref="CH794" start="0" length="0">
      <dxf/>
    </rfmt>
    <rfmt sheetId="2" sqref="CI794" start="0" length="0">
      <dxf/>
    </rfmt>
    <rfmt sheetId="2" sqref="CJ794" start="0" length="0">
      <dxf/>
    </rfmt>
    <rfmt sheetId="2" sqref="CK794" start="0" length="0">
      <dxf/>
    </rfmt>
    <rfmt sheetId="2" sqref="CL794" start="0" length="0">
      <dxf/>
    </rfmt>
    <rfmt sheetId="2" sqref="CM794" start="0" length="0">
      <dxf/>
    </rfmt>
    <rfmt sheetId="2" sqref="CN794" start="0" length="0">
      <dxf/>
    </rfmt>
    <rfmt sheetId="2" sqref="CO794" start="0" length="0">
      <dxf/>
    </rfmt>
    <rfmt sheetId="2" sqref="CP794" start="0" length="0">
      <dxf/>
    </rfmt>
    <rfmt sheetId="2" sqref="CQ794" start="0" length="0">
      <dxf/>
    </rfmt>
    <rfmt sheetId="2" sqref="CR794" start="0" length="0">
      <dxf/>
    </rfmt>
    <rfmt sheetId="2" sqref="CS794" start="0" length="0">
      <dxf/>
    </rfmt>
    <rfmt sheetId="2" sqref="CT794" start="0" length="0">
      <dxf/>
    </rfmt>
    <rfmt sheetId="2" sqref="CU794" start="0" length="0">
      <dxf/>
    </rfmt>
    <rfmt sheetId="2" sqref="CV794" start="0" length="0">
      <dxf/>
    </rfmt>
    <rfmt sheetId="2" sqref="CW794" start="0" length="0">
      <dxf/>
    </rfmt>
    <rfmt sheetId="2" sqref="CX794" start="0" length="0">
      <dxf/>
    </rfmt>
    <rfmt sheetId="2" sqref="CY794" start="0" length="0">
      <dxf/>
    </rfmt>
    <rfmt sheetId="2" sqref="CZ794" start="0" length="0">
      <dxf/>
    </rfmt>
    <rfmt sheetId="2" sqref="DA794" start="0" length="0">
      <dxf/>
    </rfmt>
    <rfmt sheetId="2" sqref="DB794" start="0" length="0">
      <dxf/>
    </rfmt>
    <rfmt sheetId="2" sqref="DC794" start="0" length="0">
      <dxf/>
    </rfmt>
    <rfmt sheetId="2" sqref="DD794" start="0" length="0">
      <dxf/>
    </rfmt>
    <rfmt sheetId="2" sqref="DE794" start="0" length="0">
      <dxf/>
    </rfmt>
    <rfmt sheetId="2" sqref="DF794" start="0" length="0">
      <dxf/>
    </rfmt>
    <rfmt sheetId="2" sqref="DG794" start="0" length="0">
      <dxf/>
    </rfmt>
    <rfmt sheetId="2" sqref="DH794" start="0" length="0">
      <dxf/>
    </rfmt>
    <rfmt sheetId="2" sqref="DI794" start="0" length="0">
      <dxf/>
    </rfmt>
    <rfmt sheetId="2" sqref="DJ794" start="0" length="0">
      <dxf/>
    </rfmt>
    <rfmt sheetId="2" sqref="DK794" start="0" length="0">
      <dxf/>
    </rfmt>
    <rfmt sheetId="2" sqref="DL794" start="0" length="0">
      <dxf/>
    </rfmt>
    <rfmt sheetId="2" sqref="DM794" start="0" length="0">
      <dxf/>
    </rfmt>
    <rfmt sheetId="2" sqref="DN794" start="0" length="0">
      <dxf/>
    </rfmt>
    <rfmt sheetId="2" sqref="DO794" start="0" length="0">
      <dxf/>
    </rfmt>
    <rfmt sheetId="2" sqref="DP794" start="0" length="0">
      <dxf/>
    </rfmt>
    <rfmt sheetId="2" sqref="DQ794" start="0" length="0">
      <dxf/>
    </rfmt>
    <rfmt sheetId="2" sqref="DR794" start="0" length="0">
      <dxf/>
    </rfmt>
    <rfmt sheetId="2" sqref="DS794" start="0" length="0">
      <dxf/>
    </rfmt>
    <rfmt sheetId="2" sqref="DT794" start="0" length="0">
      <dxf/>
    </rfmt>
    <rfmt sheetId="2" sqref="DU794" start="0" length="0">
      <dxf/>
    </rfmt>
    <rfmt sheetId="2" sqref="DV794" start="0" length="0">
      <dxf/>
    </rfmt>
    <rfmt sheetId="2" sqref="DW794" start="0" length="0">
      <dxf/>
    </rfmt>
    <rfmt sheetId="2" sqref="DX794" start="0" length="0">
      <dxf/>
    </rfmt>
    <rfmt sheetId="2" sqref="DY794" start="0" length="0">
      <dxf/>
    </rfmt>
    <rfmt sheetId="2" sqref="DZ794" start="0" length="0">
      <dxf/>
    </rfmt>
    <rfmt sheetId="2" sqref="EA794" start="0" length="0">
      <dxf/>
    </rfmt>
    <rfmt sheetId="2" sqref="EB794" start="0" length="0">
      <dxf/>
    </rfmt>
    <rfmt sheetId="2" sqref="EC794" start="0" length="0">
      <dxf/>
    </rfmt>
    <rfmt sheetId="2" sqref="ED794" start="0" length="0">
      <dxf/>
    </rfmt>
    <rfmt sheetId="2" sqref="EE794" start="0" length="0">
      <dxf/>
    </rfmt>
    <rfmt sheetId="2" sqref="EF794" start="0" length="0">
      <dxf/>
    </rfmt>
    <rfmt sheetId="2" sqref="EG794" start="0" length="0">
      <dxf/>
    </rfmt>
    <rfmt sheetId="2" sqref="EH794" start="0" length="0">
      <dxf/>
    </rfmt>
    <rfmt sheetId="2" sqref="EI794" start="0" length="0">
      <dxf/>
    </rfmt>
    <rfmt sheetId="2" sqref="EJ794" start="0" length="0">
      <dxf/>
    </rfmt>
    <rfmt sheetId="2" sqref="EK794" start="0" length="0">
      <dxf/>
    </rfmt>
    <rfmt sheetId="2" sqref="EL794" start="0" length="0">
      <dxf/>
    </rfmt>
    <rfmt sheetId="2" sqref="EM794" start="0" length="0">
      <dxf/>
    </rfmt>
    <rfmt sheetId="2" sqref="EN794" start="0" length="0">
      <dxf/>
    </rfmt>
    <rfmt sheetId="2" sqref="EO794" start="0" length="0">
      <dxf/>
    </rfmt>
    <rfmt sheetId="2" sqref="EP794" start="0" length="0">
      <dxf/>
    </rfmt>
    <rfmt sheetId="2" sqref="EQ794" start="0" length="0">
      <dxf/>
    </rfmt>
    <rfmt sheetId="2" sqref="ER794" start="0" length="0">
      <dxf/>
    </rfmt>
    <rfmt sheetId="2" sqref="ES794" start="0" length="0">
      <dxf/>
    </rfmt>
    <rfmt sheetId="2" sqref="ET794" start="0" length="0">
      <dxf/>
    </rfmt>
    <rfmt sheetId="2" sqref="EU794" start="0" length="0">
      <dxf/>
    </rfmt>
    <rfmt sheetId="2" sqref="EV794" start="0" length="0">
      <dxf/>
    </rfmt>
    <rfmt sheetId="2" sqref="EW794" start="0" length="0">
      <dxf/>
    </rfmt>
    <rfmt sheetId="2" sqref="EX794" start="0" length="0">
      <dxf/>
    </rfmt>
    <rfmt sheetId="2" sqref="EY794" start="0" length="0">
      <dxf/>
    </rfmt>
    <rfmt sheetId="2" sqref="EZ794" start="0" length="0">
      <dxf/>
    </rfmt>
    <rfmt sheetId="2" sqref="FA794" start="0" length="0">
      <dxf/>
    </rfmt>
    <rfmt sheetId="2" sqref="FB794" start="0" length="0">
      <dxf/>
    </rfmt>
    <rfmt sheetId="2" sqref="FC794" start="0" length="0">
      <dxf/>
    </rfmt>
    <rfmt sheetId="2" sqref="FD794" start="0" length="0">
      <dxf/>
    </rfmt>
    <rfmt sheetId="2" sqref="FE794" start="0" length="0">
      <dxf/>
    </rfmt>
    <rfmt sheetId="2" sqref="FF794" start="0" length="0">
      <dxf/>
    </rfmt>
    <rfmt sheetId="2" sqref="FG794" start="0" length="0">
      <dxf/>
    </rfmt>
    <rfmt sheetId="2" sqref="FH794" start="0" length="0">
      <dxf/>
    </rfmt>
    <rfmt sheetId="2" sqref="FI794" start="0" length="0">
      <dxf/>
    </rfmt>
    <rfmt sheetId="2" sqref="FJ794" start="0" length="0">
      <dxf/>
    </rfmt>
    <rfmt sheetId="2" sqref="FK794" start="0" length="0">
      <dxf/>
    </rfmt>
    <rfmt sheetId="2" sqref="FL794" start="0" length="0">
      <dxf/>
    </rfmt>
    <rfmt sheetId="2" sqref="FM794" start="0" length="0">
      <dxf/>
    </rfmt>
    <rfmt sheetId="2" sqref="FN794" start="0" length="0">
      <dxf/>
    </rfmt>
    <rfmt sheetId="2" sqref="FO794" start="0" length="0">
      <dxf/>
    </rfmt>
    <rfmt sheetId="2" sqref="FP794" start="0" length="0">
      <dxf/>
    </rfmt>
    <rfmt sheetId="2" sqref="FQ794" start="0" length="0">
      <dxf/>
    </rfmt>
    <rfmt sheetId="2" sqref="FR794" start="0" length="0">
      <dxf/>
    </rfmt>
    <rfmt sheetId="2" sqref="FS794" start="0" length="0">
      <dxf/>
    </rfmt>
    <rfmt sheetId="2" sqref="FT794" start="0" length="0">
      <dxf/>
    </rfmt>
    <rfmt sheetId="2" sqref="FU794" start="0" length="0">
      <dxf/>
    </rfmt>
    <rfmt sheetId="2" sqref="FV794" start="0" length="0">
      <dxf/>
    </rfmt>
    <rfmt sheetId="2" sqref="FW794" start="0" length="0">
      <dxf/>
    </rfmt>
    <rfmt sheetId="2" sqref="FX794" start="0" length="0">
      <dxf/>
    </rfmt>
    <rfmt sheetId="2" sqref="FY794" start="0" length="0">
      <dxf/>
    </rfmt>
    <rfmt sheetId="2" sqref="FZ794" start="0" length="0">
      <dxf/>
    </rfmt>
    <rfmt sheetId="2" sqref="GA794" start="0" length="0">
      <dxf/>
    </rfmt>
    <rfmt sheetId="2" sqref="GB794" start="0" length="0">
      <dxf/>
    </rfmt>
    <rfmt sheetId="2" sqref="GC794" start="0" length="0">
      <dxf/>
    </rfmt>
    <rfmt sheetId="2" sqref="GD794" start="0" length="0">
      <dxf/>
    </rfmt>
    <rfmt sheetId="2" sqref="GE794" start="0" length="0">
      <dxf/>
    </rfmt>
    <rfmt sheetId="2" sqref="GF794" start="0" length="0">
      <dxf/>
    </rfmt>
    <rfmt sheetId="2" sqref="GG794" start="0" length="0">
      <dxf/>
    </rfmt>
    <rfmt sheetId="2" sqref="GH794" start="0" length="0">
      <dxf/>
    </rfmt>
    <rfmt sheetId="2" sqref="GI794" start="0" length="0">
      <dxf/>
    </rfmt>
    <rfmt sheetId="2" sqref="GJ794" start="0" length="0">
      <dxf/>
    </rfmt>
    <rfmt sheetId="2" sqref="GK794" start="0" length="0">
      <dxf/>
    </rfmt>
    <rfmt sheetId="2" sqref="GL794" start="0" length="0">
      <dxf/>
    </rfmt>
    <rfmt sheetId="2" sqref="GM794" start="0" length="0">
      <dxf/>
    </rfmt>
    <rfmt sheetId="2" sqref="GN794" start="0" length="0">
      <dxf/>
    </rfmt>
    <rfmt sheetId="2" sqref="GO794" start="0" length="0">
      <dxf/>
    </rfmt>
    <rfmt sheetId="2" sqref="GP794" start="0" length="0">
      <dxf/>
    </rfmt>
    <rfmt sheetId="2" sqref="GQ794" start="0" length="0">
      <dxf/>
    </rfmt>
    <rfmt sheetId="2" sqref="GR794" start="0" length="0">
      <dxf/>
    </rfmt>
    <rfmt sheetId="2" sqref="GS794" start="0" length="0">
      <dxf/>
    </rfmt>
    <rfmt sheetId="2" sqref="GT794" start="0" length="0">
      <dxf/>
    </rfmt>
    <rfmt sheetId="2" sqref="GU794" start="0" length="0">
      <dxf/>
    </rfmt>
    <rfmt sheetId="2" sqref="GV794" start="0" length="0">
      <dxf/>
    </rfmt>
    <rfmt sheetId="2" sqref="GW794" start="0" length="0">
      <dxf/>
    </rfmt>
    <rfmt sheetId="2" sqref="GX794" start="0" length="0">
      <dxf/>
    </rfmt>
    <rfmt sheetId="2" sqref="GY794" start="0" length="0">
      <dxf/>
    </rfmt>
    <rfmt sheetId="2" sqref="GZ794" start="0" length="0">
      <dxf/>
    </rfmt>
    <rfmt sheetId="2" sqref="HA794" start="0" length="0">
      <dxf/>
    </rfmt>
    <rfmt sheetId="2" sqref="HB794" start="0" length="0">
      <dxf/>
    </rfmt>
    <rfmt sheetId="2" sqref="HC794" start="0" length="0">
      <dxf/>
    </rfmt>
    <rfmt sheetId="2" sqref="HD794" start="0" length="0">
      <dxf/>
    </rfmt>
    <rfmt sheetId="2" sqref="HE794" start="0" length="0">
      <dxf/>
    </rfmt>
    <rfmt sheetId="2" sqref="HF794" start="0" length="0">
      <dxf/>
    </rfmt>
    <rfmt sheetId="2" sqref="HG794" start="0" length="0">
      <dxf/>
    </rfmt>
    <rfmt sheetId="2" sqref="HH794" start="0" length="0">
      <dxf/>
    </rfmt>
    <rfmt sheetId="2" sqref="HI794" start="0" length="0">
      <dxf/>
    </rfmt>
    <rfmt sheetId="2" sqref="HJ794" start="0" length="0">
      <dxf/>
    </rfmt>
    <rfmt sheetId="2" sqref="HK794" start="0" length="0">
      <dxf/>
    </rfmt>
    <rfmt sheetId="2" sqref="HL794" start="0" length="0">
      <dxf/>
    </rfmt>
    <rfmt sheetId="2" sqref="HM794" start="0" length="0">
      <dxf/>
    </rfmt>
    <rfmt sheetId="2" sqref="HN794" start="0" length="0">
      <dxf/>
    </rfmt>
    <rfmt sheetId="2" sqref="HO794" start="0" length="0">
      <dxf/>
    </rfmt>
    <rfmt sheetId="2" sqref="HP794" start="0" length="0">
      <dxf/>
    </rfmt>
    <rfmt sheetId="2" sqref="HQ794" start="0" length="0">
      <dxf/>
    </rfmt>
    <rfmt sheetId="2" sqref="HR794" start="0" length="0">
      <dxf/>
    </rfmt>
    <rfmt sheetId="2" sqref="HS794" start="0" length="0">
      <dxf/>
    </rfmt>
    <rfmt sheetId="2" sqref="HT794" start="0" length="0">
      <dxf/>
    </rfmt>
    <rfmt sheetId="2" sqref="HU794" start="0" length="0">
      <dxf/>
    </rfmt>
    <rfmt sheetId="2" sqref="HV794" start="0" length="0">
      <dxf/>
    </rfmt>
    <rfmt sheetId="2" sqref="HW794" start="0" length="0">
      <dxf/>
    </rfmt>
    <rfmt sheetId="2" sqref="HX794" start="0" length="0">
      <dxf/>
    </rfmt>
    <rfmt sheetId="2" sqref="HY794" start="0" length="0">
      <dxf/>
    </rfmt>
    <rfmt sheetId="2" sqref="HZ794" start="0" length="0">
      <dxf/>
    </rfmt>
    <rfmt sheetId="2" sqref="IA794" start="0" length="0">
      <dxf/>
    </rfmt>
    <rfmt sheetId="2" sqref="IB794" start="0" length="0">
      <dxf/>
    </rfmt>
    <rfmt sheetId="2" sqref="IC794" start="0" length="0">
      <dxf/>
    </rfmt>
    <rfmt sheetId="2" sqref="ID794" start="0" length="0">
      <dxf/>
    </rfmt>
    <rfmt sheetId="2" sqref="IE794" start="0" length="0">
      <dxf/>
    </rfmt>
    <rfmt sheetId="2" sqref="IF794" start="0" length="0">
      <dxf/>
    </rfmt>
    <rfmt sheetId="2" sqref="IG794" start="0" length="0">
      <dxf/>
    </rfmt>
    <rfmt sheetId="2" sqref="IH794" start="0" length="0">
      <dxf/>
    </rfmt>
    <rfmt sheetId="2" sqref="II794" start="0" length="0">
      <dxf/>
    </rfmt>
    <rfmt sheetId="2" sqref="IJ794" start="0" length="0">
      <dxf/>
    </rfmt>
    <rfmt sheetId="2" sqref="IK794" start="0" length="0">
      <dxf/>
    </rfmt>
    <rfmt sheetId="2" sqref="IL794" start="0" length="0">
      <dxf/>
    </rfmt>
    <rfmt sheetId="2" sqref="IM794" start="0" length="0">
      <dxf/>
    </rfmt>
    <rfmt sheetId="2" sqref="IN794" start="0" length="0">
      <dxf/>
    </rfmt>
    <rfmt sheetId="2" sqref="IO794" start="0" length="0">
      <dxf/>
    </rfmt>
    <rfmt sheetId="2" sqref="IP794" start="0" length="0">
      <dxf/>
    </rfmt>
    <rfmt sheetId="2" sqref="IQ794" start="0" length="0">
      <dxf/>
    </rfmt>
    <rfmt sheetId="2" sqref="IR794" start="0" length="0">
      <dxf/>
    </rfmt>
    <rfmt sheetId="2" sqref="IS794" start="0" length="0">
      <dxf/>
    </rfmt>
    <rfmt sheetId="2" sqref="IT794" start="0" length="0">
      <dxf/>
    </rfmt>
    <rfmt sheetId="2" sqref="IU794" start="0" length="0">
      <dxf/>
    </rfmt>
    <rfmt sheetId="2" sqref="IV794" start="0" length="0">
      <dxf/>
    </rfmt>
    <rfmt sheetId="2" sqref="IW794" start="0" length="0">
      <dxf/>
    </rfmt>
    <rfmt sheetId="2" sqref="IX794" start="0" length="0">
      <dxf/>
    </rfmt>
    <rfmt sheetId="2" sqref="IY794" start="0" length="0">
      <dxf/>
    </rfmt>
    <rfmt sheetId="2" sqref="IZ794" start="0" length="0">
      <dxf/>
    </rfmt>
    <rfmt sheetId="2" sqref="JA794" start="0" length="0">
      <dxf/>
    </rfmt>
    <rfmt sheetId="2" sqref="JB794" start="0" length="0">
      <dxf/>
    </rfmt>
    <rfmt sheetId="2" sqref="JC794" start="0" length="0">
      <dxf/>
    </rfmt>
    <rfmt sheetId="2" sqref="JD794" start="0" length="0">
      <dxf/>
    </rfmt>
    <rfmt sheetId="2" sqref="JE794" start="0" length="0">
      <dxf/>
    </rfmt>
    <rfmt sheetId="2" sqref="JF794" start="0" length="0">
      <dxf/>
    </rfmt>
    <rfmt sheetId="2" sqref="JG794" start="0" length="0">
      <dxf/>
    </rfmt>
    <rfmt sheetId="2" sqref="JH794" start="0" length="0">
      <dxf/>
    </rfmt>
    <rfmt sheetId="2" sqref="JI794" start="0" length="0">
      <dxf/>
    </rfmt>
    <rfmt sheetId="2" sqref="JJ794" start="0" length="0">
      <dxf/>
    </rfmt>
    <rfmt sheetId="2" sqref="JK794" start="0" length="0">
      <dxf/>
    </rfmt>
    <rfmt sheetId="2" sqref="JL794" start="0" length="0">
      <dxf/>
    </rfmt>
    <rfmt sheetId="2" sqref="JM794" start="0" length="0">
      <dxf/>
    </rfmt>
    <rfmt sheetId="2" sqref="JN794" start="0" length="0">
      <dxf/>
    </rfmt>
    <rfmt sheetId="2" sqref="JO794" start="0" length="0">
      <dxf/>
    </rfmt>
    <rfmt sheetId="2" sqref="JP794" start="0" length="0">
      <dxf/>
    </rfmt>
    <rfmt sheetId="2" sqref="JQ794" start="0" length="0">
      <dxf/>
    </rfmt>
    <rfmt sheetId="2" sqref="JR794" start="0" length="0">
      <dxf/>
    </rfmt>
    <rfmt sheetId="2" sqref="JS794" start="0" length="0">
      <dxf/>
    </rfmt>
    <rfmt sheetId="2" sqref="JT794" start="0" length="0">
      <dxf/>
    </rfmt>
    <rfmt sheetId="2" sqref="JU794" start="0" length="0">
      <dxf/>
    </rfmt>
    <rfmt sheetId="2" sqref="JV794" start="0" length="0">
      <dxf/>
    </rfmt>
    <rfmt sheetId="2" sqref="JW794" start="0" length="0">
      <dxf/>
    </rfmt>
    <rfmt sheetId="2" sqref="JX794" start="0" length="0">
      <dxf/>
    </rfmt>
    <rfmt sheetId="2" sqref="JY794" start="0" length="0">
      <dxf/>
    </rfmt>
    <rfmt sheetId="2" sqref="JZ794" start="0" length="0">
      <dxf/>
    </rfmt>
    <rfmt sheetId="2" sqref="KA794" start="0" length="0">
      <dxf/>
    </rfmt>
    <rfmt sheetId="2" sqref="KB794" start="0" length="0">
      <dxf/>
    </rfmt>
    <rfmt sheetId="2" sqref="KC794" start="0" length="0">
      <dxf/>
    </rfmt>
    <rfmt sheetId="2" sqref="KD794" start="0" length="0">
      <dxf/>
    </rfmt>
    <rfmt sheetId="2" sqref="KE794" start="0" length="0">
      <dxf/>
    </rfmt>
    <rfmt sheetId="2" sqref="KF794" start="0" length="0">
      <dxf/>
    </rfmt>
    <rfmt sheetId="2" sqref="KG794" start="0" length="0">
      <dxf/>
    </rfmt>
    <rfmt sheetId="2" sqref="KH794" start="0" length="0">
      <dxf/>
    </rfmt>
    <rfmt sheetId="2" sqref="KI794" start="0" length="0">
      <dxf/>
    </rfmt>
    <rfmt sheetId="2" sqref="KJ794" start="0" length="0">
      <dxf/>
    </rfmt>
    <rfmt sheetId="2" sqref="KK794" start="0" length="0">
      <dxf/>
    </rfmt>
    <rfmt sheetId="2" sqref="KL794" start="0" length="0">
      <dxf/>
    </rfmt>
    <rfmt sheetId="2" sqref="KM794" start="0" length="0">
      <dxf/>
    </rfmt>
    <rfmt sheetId="2" sqref="KN794" start="0" length="0">
      <dxf/>
    </rfmt>
    <rfmt sheetId="2" sqref="KO794" start="0" length="0">
      <dxf/>
    </rfmt>
    <rfmt sheetId="2" sqref="KP794" start="0" length="0">
      <dxf/>
    </rfmt>
    <rfmt sheetId="2" sqref="KQ794" start="0" length="0">
      <dxf/>
    </rfmt>
    <rfmt sheetId="2" sqref="KR794" start="0" length="0">
      <dxf/>
    </rfmt>
    <rfmt sheetId="2" sqref="KS794" start="0" length="0">
      <dxf/>
    </rfmt>
    <rfmt sheetId="2" sqref="KT794" start="0" length="0">
      <dxf/>
    </rfmt>
    <rfmt sheetId="2" sqref="KU794" start="0" length="0">
      <dxf/>
    </rfmt>
    <rfmt sheetId="2" sqref="KV794" start="0" length="0">
      <dxf/>
    </rfmt>
    <rfmt sheetId="2" sqref="KW794" start="0" length="0">
      <dxf/>
    </rfmt>
    <rfmt sheetId="2" sqref="KX794" start="0" length="0">
      <dxf/>
    </rfmt>
    <rfmt sheetId="2" sqref="KY794" start="0" length="0">
      <dxf/>
    </rfmt>
    <rfmt sheetId="2" sqref="KZ794" start="0" length="0">
      <dxf/>
    </rfmt>
    <rfmt sheetId="2" sqref="LA794" start="0" length="0">
      <dxf/>
    </rfmt>
    <rfmt sheetId="2" sqref="LB794" start="0" length="0">
      <dxf/>
    </rfmt>
    <rfmt sheetId="2" sqref="LC794" start="0" length="0">
      <dxf/>
    </rfmt>
    <rfmt sheetId="2" sqref="LD794" start="0" length="0">
      <dxf/>
    </rfmt>
    <rfmt sheetId="2" sqref="LE794" start="0" length="0">
      <dxf/>
    </rfmt>
    <rfmt sheetId="2" sqref="LF794" start="0" length="0">
      <dxf/>
    </rfmt>
    <rfmt sheetId="2" sqref="LG794" start="0" length="0">
      <dxf/>
    </rfmt>
    <rfmt sheetId="2" sqref="LH794" start="0" length="0">
      <dxf/>
    </rfmt>
    <rfmt sheetId="2" sqref="LI794" start="0" length="0">
      <dxf/>
    </rfmt>
    <rfmt sheetId="2" sqref="LJ794" start="0" length="0">
      <dxf/>
    </rfmt>
    <rfmt sheetId="2" sqref="LK794" start="0" length="0">
      <dxf/>
    </rfmt>
    <rfmt sheetId="2" sqref="LL794" start="0" length="0">
      <dxf/>
    </rfmt>
    <rfmt sheetId="2" sqref="LM794" start="0" length="0">
      <dxf/>
    </rfmt>
    <rfmt sheetId="2" sqref="LN794" start="0" length="0">
      <dxf/>
    </rfmt>
    <rfmt sheetId="2" sqref="LO794" start="0" length="0">
      <dxf/>
    </rfmt>
    <rfmt sheetId="2" sqref="LP794" start="0" length="0">
      <dxf/>
    </rfmt>
    <rfmt sheetId="2" sqref="LQ794" start="0" length="0">
      <dxf/>
    </rfmt>
    <rfmt sheetId="2" sqref="LR794" start="0" length="0">
      <dxf/>
    </rfmt>
    <rfmt sheetId="2" sqref="LS794" start="0" length="0">
      <dxf/>
    </rfmt>
    <rfmt sheetId="2" sqref="LT794" start="0" length="0">
      <dxf/>
    </rfmt>
    <rfmt sheetId="2" sqref="LU794" start="0" length="0">
      <dxf/>
    </rfmt>
    <rfmt sheetId="2" sqref="LV794" start="0" length="0">
      <dxf/>
    </rfmt>
    <rfmt sheetId="2" sqref="LW794" start="0" length="0">
      <dxf/>
    </rfmt>
    <rfmt sheetId="2" sqref="LX794" start="0" length="0">
      <dxf/>
    </rfmt>
    <rfmt sheetId="2" sqref="LY794" start="0" length="0">
      <dxf/>
    </rfmt>
    <rfmt sheetId="2" sqref="LZ794" start="0" length="0">
      <dxf/>
    </rfmt>
    <rfmt sheetId="2" sqref="MA794" start="0" length="0">
      <dxf/>
    </rfmt>
    <rfmt sheetId="2" sqref="MB794" start="0" length="0">
      <dxf/>
    </rfmt>
    <rfmt sheetId="2" sqref="A79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5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5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9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9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9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95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5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5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5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5" start="0" length="0">
      <dxf>
        <numFmt numFmtId="176" formatCode="m/d;@"/>
      </dxf>
    </rfmt>
    <rfmt sheetId="2" sqref="P79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5" start="0" length="0">
      <dxf/>
    </rfmt>
    <rfmt sheetId="2" sqref="U795" start="0" length="0">
      <dxf/>
    </rfmt>
    <rfmt sheetId="2" sqref="V795" start="0" length="0">
      <dxf/>
    </rfmt>
    <rfmt sheetId="2" sqref="W795" start="0" length="0">
      <dxf/>
    </rfmt>
    <rfmt sheetId="2" sqref="X795" start="0" length="0">
      <dxf/>
    </rfmt>
    <rfmt sheetId="2" sqref="Y795" start="0" length="0">
      <dxf/>
    </rfmt>
    <rfmt sheetId="2" sqref="Z795" start="0" length="0">
      <dxf/>
    </rfmt>
    <rfmt sheetId="2" sqref="AA795" start="0" length="0">
      <dxf/>
    </rfmt>
    <rfmt sheetId="2" sqref="AB795" start="0" length="0">
      <dxf/>
    </rfmt>
    <rfmt sheetId="2" sqref="AC795" start="0" length="0">
      <dxf/>
    </rfmt>
    <rfmt sheetId="2" sqref="AD795" start="0" length="0">
      <dxf/>
    </rfmt>
    <rfmt sheetId="2" sqref="AE795" start="0" length="0">
      <dxf/>
    </rfmt>
    <rfmt sheetId="2" sqref="AF795" start="0" length="0">
      <dxf/>
    </rfmt>
    <rfmt sheetId="2" sqref="AG795" start="0" length="0">
      <dxf/>
    </rfmt>
    <rfmt sheetId="2" sqref="AH795" start="0" length="0">
      <dxf/>
    </rfmt>
    <rfmt sheetId="2" sqref="AI795" start="0" length="0">
      <dxf/>
    </rfmt>
    <rfmt sheetId="2" sqref="AJ795" start="0" length="0">
      <dxf/>
    </rfmt>
    <rfmt sheetId="2" sqref="AK795" start="0" length="0">
      <dxf/>
    </rfmt>
    <rfmt sheetId="2" sqref="AL795" start="0" length="0">
      <dxf/>
    </rfmt>
    <rfmt sheetId="2" sqref="AM795" start="0" length="0">
      <dxf/>
    </rfmt>
    <rfmt sheetId="2" sqref="AN795" start="0" length="0">
      <dxf/>
    </rfmt>
    <rfmt sheetId="2" sqref="AO795" start="0" length="0">
      <dxf/>
    </rfmt>
    <rfmt sheetId="2" sqref="AP795" start="0" length="0">
      <dxf/>
    </rfmt>
    <rfmt sheetId="2" sqref="AQ795" start="0" length="0">
      <dxf/>
    </rfmt>
    <rfmt sheetId="2" sqref="AR795" start="0" length="0">
      <dxf/>
    </rfmt>
    <rfmt sheetId="2" sqref="AS795" start="0" length="0">
      <dxf/>
    </rfmt>
    <rfmt sheetId="2" sqref="AT795" start="0" length="0">
      <dxf/>
    </rfmt>
    <rfmt sheetId="2" sqref="AU795" start="0" length="0">
      <dxf/>
    </rfmt>
    <rfmt sheetId="2" sqref="AV795" start="0" length="0">
      <dxf/>
    </rfmt>
    <rfmt sheetId="2" sqref="AW795" start="0" length="0">
      <dxf/>
    </rfmt>
    <rfmt sheetId="2" sqref="AX795" start="0" length="0">
      <dxf/>
    </rfmt>
    <rfmt sheetId="2" sqref="AY795" start="0" length="0">
      <dxf/>
    </rfmt>
    <rfmt sheetId="2" sqref="AZ795" start="0" length="0">
      <dxf/>
    </rfmt>
    <rfmt sheetId="2" sqref="BA795" start="0" length="0">
      <dxf/>
    </rfmt>
    <rfmt sheetId="2" sqref="BB795" start="0" length="0">
      <dxf/>
    </rfmt>
    <rfmt sheetId="2" sqref="BC795" start="0" length="0">
      <dxf/>
    </rfmt>
    <rfmt sheetId="2" sqref="BD795" start="0" length="0">
      <dxf/>
    </rfmt>
    <rfmt sheetId="2" sqref="BE795" start="0" length="0">
      <dxf/>
    </rfmt>
    <rfmt sheetId="2" sqref="BF795" start="0" length="0">
      <dxf/>
    </rfmt>
    <rfmt sheetId="2" sqref="BG795" start="0" length="0">
      <dxf/>
    </rfmt>
    <rfmt sheetId="2" sqref="BH795" start="0" length="0">
      <dxf/>
    </rfmt>
    <rfmt sheetId="2" sqref="BI795" start="0" length="0">
      <dxf/>
    </rfmt>
    <rfmt sheetId="2" sqref="BJ795" start="0" length="0">
      <dxf/>
    </rfmt>
    <rfmt sheetId="2" sqref="BK795" start="0" length="0">
      <dxf/>
    </rfmt>
    <rfmt sheetId="2" sqref="BL795" start="0" length="0">
      <dxf/>
    </rfmt>
    <rfmt sheetId="2" sqref="BM795" start="0" length="0">
      <dxf/>
    </rfmt>
    <rfmt sheetId="2" sqref="BN795" start="0" length="0">
      <dxf/>
    </rfmt>
    <rfmt sheetId="2" sqref="BO795" start="0" length="0">
      <dxf/>
    </rfmt>
    <rfmt sheetId="2" sqref="BP795" start="0" length="0">
      <dxf/>
    </rfmt>
    <rfmt sheetId="2" sqref="BQ795" start="0" length="0">
      <dxf/>
    </rfmt>
    <rfmt sheetId="2" sqref="BR795" start="0" length="0">
      <dxf/>
    </rfmt>
    <rfmt sheetId="2" sqref="BS795" start="0" length="0">
      <dxf/>
    </rfmt>
    <rfmt sheetId="2" sqref="BT795" start="0" length="0">
      <dxf/>
    </rfmt>
    <rfmt sheetId="2" sqref="BU795" start="0" length="0">
      <dxf/>
    </rfmt>
    <rfmt sheetId="2" sqref="BV795" start="0" length="0">
      <dxf/>
    </rfmt>
    <rfmt sheetId="2" sqref="BW795" start="0" length="0">
      <dxf/>
    </rfmt>
    <rfmt sheetId="2" sqref="BX795" start="0" length="0">
      <dxf/>
    </rfmt>
    <rfmt sheetId="2" sqref="BY795" start="0" length="0">
      <dxf/>
    </rfmt>
    <rfmt sheetId="2" sqref="BZ795" start="0" length="0">
      <dxf/>
    </rfmt>
    <rfmt sheetId="2" sqref="CA795" start="0" length="0">
      <dxf/>
    </rfmt>
    <rfmt sheetId="2" sqref="CB795" start="0" length="0">
      <dxf/>
    </rfmt>
    <rfmt sheetId="2" sqref="CC795" start="0" length="0">
      <dxf/>
    </rfmt>
    <rfmt sheetId="2" sqref="CD795" start="0" length="0">
      <dxf/>
    </rfmt>
    <rfmt sheetId="2" sqref="CE795" start="0" length="0">
      <dxf/>
    </rfmt>
    <rfmt sheetId="2" sqref="CF795" start="0" length="0">
      <dxf/>
    </rfmt>
    <rfmt sheetId="2" sqref="CG795" start="0" length="0">
      <dxf/>
    </rfmt>
    <rfmt sheetId="2" sqref="CH795" start="0" length="0">
      <dxf/>
    </rfmt>
    <rfmt sheetId="2" sqref="CI795" start="0" length="0">
      <dxf/>
    </rfmt>
    <rfmt sheetId="2" sqref="CJ795" start="0" length="0">
      <dxf/>
    </rfmt>
    <rfmt sheetId="2" sqref="CK795" start="0" length="0">
      <dxf/>
    </rfmt>
    <rfmt sheetId="2" sqref="CL795" start="0" length="0">
      <dxf/>
    </rfmt>
    <rfmt sheetId="2" sqref="CM795" start="0" length="0">
      <dxf/>
    </rfmt>
    <rfmt sheetId="2" sqref="CN795" start="0" length="0">
      <dxf/>
    </rfmt>
    <rfmt sheetId="2" sqref="CO795" start="0" length="0">
      <dxf/>
    </rfmt>
    <rfmt sheetId="2" sqref="CP795" start="0" length="0">
      <dxf/>
    </rfmt>
    <rfmt sheetId="2" sqref="CQ795" start="0" length="0">
      <dxf/>
    </rfmt>
    <rfmt sheetId="2" sqref="CR795" start="0" length="0">
      <dxf/>
    </rfmt>
    <rfmt sheetId="2" sqref="CS795" start="0" length="0">
      <dxf/>
    </rfmt>
    <rfmt sheetId="2" sqref="CT795" start="0" length="0">
      <dxf/>
    </rfmt>
    <rfmt sheetId="2" sqref="CU795" start="0" length="0">
      <dxf/>
    </rfmt>
    <rfmt sheetId="2" sqref="CV795" start="0" length="0">
      <dxf/>
    </rfmt>
    <rfmt sheetId="2" sqref="CW795" start="0" length="0">
      <dxf/>
    </rfmt>
    <rfmt sheetId="2" sqref="CX795" start="0" length="0">
      <dxf/>
    </rfmt>
    <rfmt sheetId="2" sqref="CY795" start="0" length="0">
      <dxf/>
    </rfmt>
    <rfmt sheetId="2" sqref="CZ795" start="0" length="0">
      <dxf/>
    </rfmt>
    <rfmt sheetId="2" sqref="DA795" start="0" length="0">
      <dxf/>
    </rfmt>
    <rfmt sheetId="2" sqref="DB795" start="0" length="0">
      <dxf/>
    </rfmt>
    <rfmt sheetId="2" sqref="DC795" start="0" length="0">
      <dxf/>
    </rfmt>
    <rfmt sheetId="2" sqref="DD795" start="0" length="0">
      <dxf/>
    </rfmt>
    <rfmt sheetId="2" sqref="DE795" start="0" length="0">
      <dxf/>
    </rfmt>
    <rfmt sheetId="2" sqref="DF795" start="0" length="0">
      <dxf/>
    </rfmt>
    <rfmt sheetId="2" sqref="DG795" start="0" length="0">
      <dxf/>
    </rfmt>
    <rfmt sheetId="2" sqref="DH795" start="0" length="0">
      <dxf/>
    </rfmt>
    <rfmt sheetId="2" sqref="DI795" start="0" length="0">
      <dxf/>
    </rfmt>
    <rfmt sheetId="2" sqref="DJ795" start="0" length="0">
      <dxf/>
    </rfmt>
    <rfmt sheetId="2" sqref="DK795" start="0" length="0">
      <dxf/>
    </rfmt>
    <rfmt sheetId="2" sqref="DL795" start="0" length="0">
      <dxf/>
    </rfmt>
    <rfmt sheetId="2" sqref="DM795" start="0" length="0">
      <dxf/>
    </rfmt>
    <rfmt sheetId="2" sqref="DN795" start="0" length="0">
      <dxf/>
    </rfmt>
    <rfmt sheetId="2" sqref="DO795" start="0" length="0">
      <dxf/>
    </rfmt>
    <rfmt sheetId="2" sqref="DP795" start="0" length="0">
      <dxf/>
    </rfmt>
    <rfmt sheetId="2" sqref="DQ795" start="0" length="0">
      <dxf/>
    </rfmt>
    <rfmt sheetId="2" sqref="DR795" start="0" length="0">
      <dxf/>
    </rfmt>
    <rfmt sheetId="2" sqref="DS795" start="0" length="0">
      <dxf/>
    </rfmt>
    <rfmt sheetId="2" sqref="DT795" start="0" length="0">
      <dxf/>
    </rfmt>
    <rfmt sheetId="2" sqref="DU795" start="0" length="0">
      <dxf/>
    </rfmt>
    <rfmt sheetId="2" sqref="DV795" start="0" length="0">
      <dxf/>
    </rfmt>
    <rfmt sheetId="2" sqref="DW795" start="0" length="0">
      <dxf/>
    </rfmt>
    <rfmt sheetId="2" sqref="DX795" start="0" length="0">
      <dxf/>
    </rfmt>
    <rfmt sheetId="2" sqref="DY795" start="0" length="0">
      <dxf/>
    </rfmt>
    <rfmt sheetId="2" sqref="DZ795" start="0" length="0">
      <dxf/>
    </rfmt>
    <rfmt sheetId="2" sqref="EA795" start="0" length="0">
      <dxf/>
    </rfmt>
    <rfmt sheetId="2" sqref="EB795" start="0" length="0">
      <dxf/>
    </rfmt>
    <rfmt sheetId="2" sqref="EC795" start="0" length="0">
      <dxf/>
    </rfmt>
    <rfmt sheetId="2" sqref="ED795" start="0" length="0">
      <dxf/>
    </rfmt>
    <rfmt sheetId="2" sqref="EE795" start="0" length="0">
      <dxf/>
    </rfmt>
    <rfmt sheetId="2" sqref="EF795" start="0" length="0">
      <dxf/>
    </rfmt>
    <rfmt sheetId="2" sqref="EG795" start="0" length="0">
      <dxf/>
    </rfmt>
    <rfmt sheetId="2" sqref="EH795" start="0" length="0">
      <dxf/>
    </rfmt>
    <rfmt sheetId="2" sqref="EI795" start="0" length="0">
      <dxf/>
    </rfmt>
    <rfmt sheetId="2" sqref="EJ795" start="0" length="0">
      <dxf/>
    </rfmt>
    <rfmt sheetId="2" sqref="EK795" start="0" length="0">
      <dxf/>
    </rfmt>
    <rfmt sheetId="2" sqref="EL795" start="0" length="0">
      <dxf/>
    </rfmt>
    <rfmt sheetId="2" sqref="EM795" start="0" length="0">
      <dxf/>
    </rfmt>
    <rfmt sheetId="2" sqref="EN795" start="0" length="0">
      <dxf/>
    </rfmt>
    <rfmt sheetId="2" sqref="EO795" start="0" length="0">
      <dxf/>
    </rfmt>
    <rfmt sheetId="2" sqref="EP795" start="0" length="0">
      <dxf/>
    </rfmt>
    <rfmt sheetId="2" sqref="EQ795" start="0" length="0">
      <dxf/>
    </rfmt>
    <rfmt sheetId="2" sqref="ER795" start="0" length="0">
      <dxf/>
    </rfmt>
    <rfmt sheetId="2" sqref="ES795" start="0" length="0">
      <dxf/>
    </rfmt>
    <rfmt sheetId="2" sqref="ET795" start="0" length="0">
      <dxf/>
    </rfmt>
    <rfmt sheetId="2" sqref="EU795" start="0" length="0">
      <dxf/>
    </rfmt>
    <rfmt sheetId="2" sqref="EV795" start="0" length="0">
      <dxf/>
    </rfmt>
    <rfmt sheetId="2" sqref="EW795" start="0" length="0">
      <dxf/>
    </rfmt>
    <rfmt sheetId="2" sqref="EX795" start="0" length="0">
      <dxf/>
    </rfmt>
    <rfmt sheetId="2" sqref="EY795" start="0" length="0">
      <dxf/>
    </rfmt>
    <rfmt sheetId="2" sqref="EZ795" start="0" length="0">
      <dxf/>
    </rfmt>
    <rfmt sheetId="2" sqref="FA795" start="0" length="0">
      <dxf/>
    </rfmt>
    <rfmt sheetId="2" sqref="FB795" start="0" length="0">
      <dxf/>
    </rfmt>
    <rfmt sheetId="2" sqref="FC795" start="0" length="0">
      <dxf/>
    </rfmt>
    <rfmt sheetId="2" sqref="FD795" start="0" length="0">
      <dxf/>
    </rfmt>
    <rfmt sheetId="2" sqref="FE795" start="0" length="0">
      <dxf/>
    </rfmt>
    <rfmt sheetId="2" sqref="FF795" start="0" length="0">
      <dxf/>
    </rfmt>
    <rfmt sheetId="2" sqref="FG795" start="0" length="0">
      <dxf/>
    </rfmt>
    <rfmt sheetId="2" sqref="FH795" start="0" length="0">
      <dxf/>
    </rfmt>
    <rfmt sheetId="2" sqref="FI795" start="0" length="0">
      <dxf/>
    </rfmt>
    <rfmt sheetId="2" sqref="FJ795" start="0" length="0">
      <dxf/>
    </rfmt>
    <rfmt sheetId="2" sqref="FK795" start="0" length="0">
      <dxf/>
    </rfmt>
    <rfmt sheetId="2" sqref="FL795" start="0" length="0">
      <dxf/>
    </rfmt>
    <rfmt sheetId="2" sqref="FM795" start="0" length="0">
      <dxf/>
    </rfmt>
    <rfmt sheetId="2" sqref="FN795" start="0" length="0">
      <dxf/>
    </rfmt>
    <rfmt sheetId="2" sqref="FO795" start="0" length="0">
      <dxf/>
    </rfmt>
    <rfmt sheetId="2" sqref="FP795" start="0" length="0">
      <dxf/>
    </rfmt>
    <rfmt sheetId="2" sqref="FQ795" start="0" length="0">
      <dxf/>
    </rfmt>
    <rfmt sheetId="2" sqref="FR795" start="0" length="0">
      <dxf/>
    </rfmt>
    <rfmt sheetId="2" sqref="FS795" start="0" length="0">
      <dxf/>
    </rfmt>
    <rfmt sheetId="2" sqref="FT795" start="0" length="0">
      <dxf/>
    </rfmt>
    <rfmt sheetId="2" sqref="FU795" start="0" length="0">
      <dxf/>
    </rfmt>
    <rfmt sheetId="2" sqref="FV795" start="0" length="0">
      <dxf/>
    </rfmt>
    <rfmt sheetId="2" sqref="FW795" start="0" length="0">
      <dxf/>
    </rfmt>
    <rfmt sheetId="2" sqref="FX795" start="0" length="0">
      <dxf/>
    </rfmt>
    <rfmt sheetId="2" sqref="FY795" start="0" length="0">
      <dxf/>
    </rfmt>
    <rfmt sheetId="2" sqref="FZ795" start="0" length="0">
      <dxf/>
    </rfmt>
    <rfmt sheetId="2" sqref="GA795" start="0" length="0">
      <dxf/>
    </rfmt>
    <rfmt sheetId="2" sqref="GB795" start="0" length="0">
      <dxf/>
    </rfmt>
    <rfmt sheetId="2" sqref="GC795" start="0" length="0">
      <dxf/>
    </rfmt>
    <rfmt sheetId="2" sqref="GD795" start="0" length="0">
      <dxf/>
    </rfmt>
    <rfmt sheetId="2" sqref="GE795" start="0" length="0">
      <dxf/>
    </rfmt>
    <rfmt sheetId="2" sqref="GF795" start="0" length="0">
      <dxf/>
    </rfmt>
    <rfmt sheetId="2" sqref="GG795" start="0" length="0">
      <dxf/>
    </rfmt>
    <rfmt sheetId="2" sqref="GH795" start="0" length="0">
      <dxf/>
    </rfmt>
    <rfmt sheetId="2" sqref="GI795" start="0" length="0">
      <dxf/>
    </rfmt>
    <rfmt sheetId="2" sqref="GJ795" start="0" length="0">
      <dxf/>
    </rfmt>
    <rfmt sheetId="2" sqref="GK795" start="0" length="0">
      <dxf/>
    </rfmt>
    <rfmt sheetId="2" sqref="GL795" start="0" length="0">
      <dxf/>
    </rfmt>
    <rfmt sheetId="2" sqref="GM795" start="0" length="0">
      <dxf/>
    </rfmt>
    <rfmt sheetId="2" sqref="GN795" start="0" length="0">
      <dxf/>
    </rfmt>
    <rfmt sheetId="2" sqref="GO795" start="0" length="0">
      <dxf/>
    </rfmt>
    <rfmt sheetId="2" sqref="GP795" start="0" length="0">
      <dxf/>
    </rfmt>
    <rfmt sheetId="2" sqref="GQ795" start="0" length="0">
      <dxf/>
    </rfmt>
    <rfmt sheetId="2" sqref="GR795" start="0" length="0">
      <dxf/>
    </rfmt>
    <rfmt sheetId="2" sqref="GS795" start="0" length="0">
      <dxf/>
    </rfmt>
    <rfmt sheetId="2" sqref="GT795" start="0" length="0">
      <dxf/>
    </rfmt>
    <rfmt sheetId="2" sqref="GU795" start="0" length="0">
      <dxf/>
    </rfmt>
    <rfmt sheetId="2" sqref="GV795" start="0" length="0">
      <dxf/>
    </rfmt>
    <rfmt sheetId="2" sqref="GW795" start="0" length="0">
      <dxf/>
    </rfmt>
    <rfmt sheetId="2" sqref="GX795" start="0" length="0">
      <dxf/>
    </rfmt>
    <rfmt sheetId="2" sqref="GY795" start="0" length="0">
      <dxf/>
    </rfmt>
    <rfmt sheetId="2" sqref="GZ795" start="0" length="0">
      <dxf/>
    </rfmt>
    <rfmt sheetId="2" sqref="HA795" start="0" length="0">
      <dxf/>
    </rfmt>
    <rfmt sheetId="2" sqref="HB795" start="0" length="0">
      <dxf/>
    </rfmt>
    <rfmt sheetId="2" sqref="HC795" start="0" length="0">
      <dxf/>
    </rfmt>
    <rfmt sheetId="2" sqref="HD795" start="0" length="0">
      <dxf/>
    </rfmt>
    <rfmt sheetId="2" sqref="HE795" start="0" length="0">
      <dxf/>
    </rfmt>
    <rfmt sheetId="2" sqref="HF795" start="0" length="0">
      <dxf/>
    </rfmt>
    <rfmt sheetId="2" sqref="HG795" start="0" length="0">
      <dxf/>
    </rfmt>
    <rfmt sheetId="2" sqref="HH795" start="0" length="0">
      <dxf/>
    </rfmt>
    <rfmt sheetId="2" sqref="HI795" start="0" length="0">
      <dxf/>
    </rfmt>
    <rfmt sheetId="2" sqref="HJ795" start="0" length="0">
      <dxf/>
    </rfmt>
    <rfmt sheetId="2" sqref="HK795" start="0" length="0">
      <dxf/>
    </rfmt>
    <rfmt sheetId="2" sqref="HL795" start="0" length="0">
      <dxf/>
    </rfmt>
    <rfmt sheetId="2" sqref="HM795" start="0" length="0">
      <dxf/>
    </rfmt>
    <rfmt sheetId="2" sqref="HN795" start="0" length="0">
      <dxf/>
    </rfmt>
    <rfmt sheetId="2" sqref="HO795" start="0" length="0">
      <dxf/>
    </rfmt>
    <rfmt sheetId="2" sqref="HP795" start="0" length="0">
      <dxf/>
    </rfmt>
    <rfmt sheetId="2" sqref="HQ795" start="0" length="0">
      <dxf/>
    </rfmt>
    <rfmt sheetId="2" sqref="HR795" start="0" length="0">
      <dxf/>
    </rfmt>
    <rfmt sheetId="2" sqref="HS795" start="0" length="0">
      <dxf/>
    </rfmt>
    <rfmt sheetId="2" sqref="HT795" start="0" length="0">
      <dxf/>
    </rfmt>
    <rfmt sheetId="2" sqref="HU795" start="0" length="0">
      <dxf/>
    </rfmt>
    <rfmt sheetId="2" sqref="HV795" start="0" length="0">
      <dxf/>
    </rfmt>
    <rfmt sheetId="2" sqref="HW795" start="0" length="0">
      <dxf/>
    </rfmt>
    <rfmt sheetId="2" sqref="HX795" start="0" length="0">
      <dxf/>
    </rfmt>
    <rfmt sheetId="2" sqref="HY795" start="0" length="0">
      <dxf/>
    </rfmt>
    <rfmt sheetId="2" sqref="HZ795" start="0" length="0">
      <dxf/>
    </rfmt>
    <rfmt sheetId="2" sqref="IA795" start="0" length="0">
      <dxf/>
    </rfmt>
    <rfmt sheetId="2" sqref="IB795" start="0" length="0">
      <dxf/>
    </rfmt>
    <rfmt sheetId="2" sqref="IC795" start="0" length="0">
      <dxf/>
    </rfmt>
    <rfmt sheetId="2" sqref="ID795" start="0" length="0">
      <dxf/>
    </rfmt>
    <rfmt sheetId="2" sqref="IE795" start="0" length="0">
      <dxf/>
    </rfmt>
    <rfmt sheetId="2" sqref="IF795" start="0" length="0">
      <dxf/>
    </rfmt>
    <rfmt sheetId="2" sqref="IG795" start="0" length="0">
      <dxf/>
    </rfmt>
    <rfmt sheetId="2" sqref="IH795" start="0" length="0">
      <dxf/>
    </rfmt>
    <rfmt sheetId="2" sqref="II795" start="0" length="0">
      <dxf/>
    </rfmt>
    <rfmt sheetId="2" sqref="IJ795" start="0" length="0">
      <dxf/>
    </rfmt>
    <rfmt sheetId="2" sqref="IK795" start="0" length="0">
      <dxf/>
    </rfmt>
    <rfmt sheetId="2" sqref="IL795" start="0" length="0">
      <dxf/>
    </rfmt>
    <rfmt sheetId="2" sqref="IM795" start="0" length="0">
      <dxf/>
    </rfmt>
    <rfmt sheetId="2" sqref="IN795" start="0" length="0">
      <dxf/>
    </rfmt>
    <rfmt sheetId="2" sqref="IO795" start="0" length="0">
      <dxf/>
    </rfmt>
    <rfmt sheetId="2" sqref="IP795" start="0" length="0">
      <dxf/>
    </rfmt>
    <rfmt sheetId="2" sqref="IQ795" start="0" length="0">
      <dxf/>
    </rfmt>
    <rfmt sheetId="2" sqref="IR795" start="0" length="0">
      <dxf/>
    </rfmt>
    <rfmt sheetId="2" sqref="IS795" start="0" length="0">
      <dxf/>
    </rfmt>
    <rfmt sheetId="2" sqref="IT795" start="0" length="0">
      <dxf/>
    </rfmt>
    <rfmt sheetId="2" sqref="IU795" start="0" length="0">
      <dxf/>
    </rfmt>
    <rfmt sheetId="2" sqref="IV795" start="0" length="0">
      <dxf/>
    </rfmt>
    <rfmt sheetId="2" sqref="IW795" start="0" length="0">
      <dxf/>
    </rfmt>
    <rfmt sheetId="2" sqref="IX795" start="0" length="0">
      <dxf/>
    </rfmt>
    <rfmt sheetId="2" sqref="IY795" start="0" length="0">
      <dxf/>
    </rfmt>
    <rfmt sheetId="2" sqref="IZ795" start="0" length="0">
      <dxf/>
    </rfmt>
    <rfmt sheetId="2" sqref="JA795" start="0" length="0">
      <dxf/>
    </rfmt>
    <rfmt sheetId="2" sqref="JB795" start="0" length="0">
      <dxf/>
    </rfmt>
    <rfmt sheetId="2" sqref="JC795" start="0" length="0">
      <dxf/>
    </rfmt>
    <rfmt sheetId="2" sqref="JD795" start="0" length="0">
      <dxf/>
    </rfmt>
    <rfmt sheetId="2" sqref="JE795" start="0" length="0">
      <dxf/>
    </rfmt>
    <rfmt sheetId="2" sqref="JF795" start="0" length="0">
      <dxf/>
    </rfmt>
    <rfmt sheetId="2" sqref="JG795" start="0" length="0">
      <dxf/>
    </rfmt>
    <rfmt sheetId="2" sqref="JH795" start="0" length="0">
      <dxf/>
    </rfmt>
    <rfmt sheetId="2" sqref="JI795" start="0" length="0">
      <dxf/>
    </rfmt>
    <rfmt sheetId="2" sqref="JJ795" start="0" length="0">
      <dxf/>
    </rfmt>
    <rfmt sheetId="2" sqref="JK795" start="0" length="0">
      <dxf/>
    </rfmt>
    <rfmt sheetId="2" sqref="JL795" start="0" length="0">
      <dxf/>
    </rfmt>
    <rfmt sheetId="2" sqref="JM795" start="0" length="0">
      <dxf/>
    </rfmt>
    <rfmt sheetId="2" sqref="JN795" start="0" length="0">
      <dxf/>
    </rfmt>
    <rfmt sheetId="2" sqref="JO795" start="0" length="0">
      <dxf/>
    </rfmt>
    <rfmt sheetId="2" sqref="JP795" start="0" length="0">
      <dxf/>
    </rfmt>
    <rfmt sheetId="2" sqref="JQ795" start="0" length="0">
      <dxf/>
    </rfmt>
    <rfmt sheetId="2" sqref="JR795" start="0" length="0">
      <dxf/>
    </rfmt>
    <rfmt sheetId="2" sqref="JS795" start="0" length="0">
      <dxf/>
    </rfmt>
    <rfmt sheetId="2" sqref="JT795" start="0" length="0">
      <dxf/>
    </rfmt>
    <rfmt sheetId="2" sqref="JU795" start="0" length="0">
      <dxf/>
    </rfmt>
    <rfmt sheetId="2" sqref="JV795" start="0" length="0">
      <dxf/>
    </rfmt>
    <rfmt sheetId="2" sqref="JW795" start="0" length="0">
      <dxf/>
    </rfmt>
    <rfmt sheetId="2" sqref="JX795" start="0" length="0">
      <dxf/>
    </rfmt>
    <rfmt sheetId="2" sqref="JY795" start="0" length="0">
      <dxf/>
    </rfmt>
    <rfmt sheetId="2" sqref="JZ795" start="0" length="0">
      <dxf/>
    </rfmt>
    <rfmt sheetId="2" sqref="KA795" start="0" length="0">
      <dxf/>
    </rfmt>
    <rfmt sheetId="2" sqref="KB795" start="0" length="0">
      <dxf/>
    </rfmt>
    <rfmt sheetId="2" sqref="KC795" start="0" length="0">
      <dxf/>
    </rfmt>
    <rfmt sheetId="2" sqref="KD795" start="0" length="0">
      <dxf/>
    </rfmt>
    <rfmt sheetId="2" sqref="KE795" start="0" length="0">
      <dxf/>
    </rfmt>
    <rfmt sheetId="2" sqref="KF795" start="0" length="0">
      <dxf/>
    </rfmt>
    <rfmt sheetId="2" sqref="KG795" start="0" length="0">
      <dxf/>
    </rfmt>
    <rfmt sheetId="2" sqref="KH795" start="0" length="0">
      <dxf/>
    </rfmt>
    <rfmt sheetId="2" sqref="KI795" start="0" length="0">
      <dxf/>
    </rfmt>
    <rfmt sheetId="2" sqref="KJ795" start="0" length="0">
      <dxf/>
    </rfmt>
    <rfmt sheetId="2" sqref="KK795" start="0" length="0">
      <dxf/>
    </rfmt>
    <rfmt sheetId="2" sqref="KL795" start="0" length="0">
      <dxf/>
    </rfmt>
    <rfmt sheetId="2" sqref="KM795" start="0" length="0">
      <dxf/>
    </rfmt>
    <rfmt sheetId="2" sqref="KN795" start="0" length="0">
      <dxf/>
    </rfmt>
    <rfmt sheetId="2" sqref="KO795" start="0" length="0">
      <dxf/>
    </rfmt>
    <rfmt sheetId="2" sqref="KP795" start="0" length="0">
      <dxf/>
    </rfmt>
    <rfmt sheetId="2" sqref="KQ795" start="0" length="0">
      <dxf/>
    </rfmt>
    <rfmt sheetId="2" sqref="KR795" start="0" length="0">
      <dxf/>
    </rfmt>
    <rfmt sheetId="2" sqref="KS795" start="0" length="0">
      <dxf/>
    </rfmt>
    <rfmt sheetId="2" sqref="KT795" start="0" length="0">
      <dxf/>
    </rfmt>
    <rfmt sheetId="2" sqref="KU795" start="0" length="0">
      <dxf/>
    </rfmt>
    <rfmt sheetId="2" sqref="KV795" start="0" length="0">
      <dxf/>
    </rfmt>
    <rfmt sheetId="2" sqref="KW795" start="0" length="0">
      <dxf/>
    </rfmt>
    <rfmt sheetId="2" sqref="KX795" start="0" length="0">
      <dxf/>
    </rfmt>
    <rfmt sheetId="2" sqref="KY795" start="0" length="0">
      <dxf/>
    </rfmt>
    <rfmt sheetId="2" sqref="KZ795" start="0" length="0">
      <dxf/>
    </rfmt>
    <rfmt sheetId="2" sqref="LA795" start="0" length="0">
      <dxf/>
    </rfmt>
    <rfmt sheetId="2" sqref="LB795" start="0" length="0">
      <dxf/>
    </rfmt>
    <rfmt sheetId="2" sqref="LC795" start="0" length="0">
      <dxf/>
    </rfmt>
    <rfmt sheetId="2" sqref="LD795" start="0" length="0">
      <dxf/>
    </rfmt>
    <rfmt sheetId="2" sqref="LE795" start="0" length="0">
      <dxf/>
    </rfmt>
    <rfmt sheetId="2" sqref="LF795" start="0" length="0">
      <dxf/>
    </rfmt>
    <rfmt sheetId="2" sqref="LG795" start="0" length="0">
      <dxf/>
    </rfmt>
    <rfmt sheetId="2" sqref="LH795" start="0" length="0">
      <dxf/>
    </rfmt>
    <rfmt sheetId="2" sqref="LI795" start="0" length="0">
      <dxf/>
    </rfmt>
    <rfmt sheetId="2" sqref="LJ795" start="0" length="0">
      <dxf/>
    </rfmt>
    <rfmt sheetId="2" sqref="LK795" start="0" length="0">
      <dxf/>
    </rfmt>
    <rfmt sheetId="2" sqref="LL795" start="0" length="0">
      <dxf/>
    </rfmt>
    <rfmt sheetId="2" sqref="LM795" start="0" length="0">
      <dxf/>
    </rfmt>
    <rfmt sheetId="2" sqref="LN795" start="0" length="0">
      <dxf/>
    </rfmt>
    <rfmt sheetId="2" sqref="LO795" start="0" length="0">
      <dxf/>
    </rfmt>
    <rfmt sheetId="2" sqref="LP795" start="0" length="0">
      <dxf/>
    </rfmt>
    <rfmt sheetId="2" sqref="LQ795" start="0" length="0">
      <dxf/>
    </rfmt>
    <rfmt sheetId="2" sqref="LR795" start="0" length="0">
      <dxf/>
    </rfmt>
    <rfmt sheetId="2" sqref="LS795" start="0" length="0">
      <dxf/>
    </rfmt>
    <rfmt sheetId="2" sqref="LT795" start="0" length="0">
      <dxf/>
    </rfmt>
    <rfmt sheetId="2" sqref="LU795" start="0" length="0">
      <dxf/>
    </rfmt>
    <rfmt sheetId="2" sqref="LV795" start="0" length="0">
      <dxf/>
    </rfmt>
    <rfmt sheetId="2" sqref="LW795" start="0" length="0">
      <dxf/>
    </rfmt>
    <rfmt sheetId="2" sqref="LX795" start="0" length="0">
      <dxf/>
    </rfmt>
    <rfmt sheetId="2" sqref="LY795" start="0" length="0">
      <dxf/>
    </rfmt>
    <rfmt sheetId="2" sqref="LZ795" start="0" length="0">
      <dxf/>
    </rfmt>
    <rfmt sheetId="2" sqref="MA795" start="0" length="0">
      <dxf/>
    </rfmt>
    <rfmt sheetId="2" sqref="MB795" start="0" length="0">
      <dxf/>
    </rfmt>
  </rm>
  <rrc rId="2675" sId="2" ref="A801:XFD801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801:XFD801" start="0" length="0">
      <dxf>
        <font>
          <sz val="10"/>
          <name val="Arial"/>
          <scheme val="none"/>
        </font>
        <alignment horizontal="center" readingOrder="0"/>
      </dxf>
    </rfmt>
    <rfmt sheetId="2" sqref="A80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80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1" start="0" length="0">
      <dxf>
        <numFmt numFmtId="176" formatCode="m/d;@"/>
      </dxf>
    </rfmt>
    <rfmt sheetId="2" sqref="P80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1" start="0" length="0">
      <dxf/>
    </rfmt>
    <rfmt sheetId="2" sqref="U801" start="0" length="0">
      <dxf/>
    </rfmt>
    <rfmt sheetId="2" sqref="V801" start="0" length="0">
      <dxf/>
    </rfmt>
    <rfmt sheetId="2" sqref="W801" start="0" length="0">
      <dxf/>
    </rfmt>
    <rfmt sheetId="2" sqref="X801" start="0" length="0">
      <dxf/>
    </rfmt>
    <rfmt sheetId="2" sqref="Y801" start="0" length="0">
      <dxf/>
    </rfmt>
    <rfmt sheetId="2" sqref="Z801" start="0" length="0">
      <dxf/>
    </rfmt>
    <rfmt sheetId="2" sqref="AA801" start="0" length="0">
      <dxf/>
    </rfmt>
    <rfmt sheetId="2" sqref="AB801" start="0" length="0">
      <dxf/>
    </rfmt>
    <rfmt sheetId="2" sqref="AC801" start="0" length="0">
      <dxf/>
    </rfmt>
    <rfmt sheetId="2" sqref="AD801" start="0" length="0">
      <dxf/>
    </rfmt>
    <rfmt sheetId="2" sqref="AE801" start="0" length="0">
      <dxf/>
    </rfmt>
    <rfmt sheetId="2" sqref="AF801" start="0" length="0">
      <dxf/>
    </rfmt>
    <rfmt sheetId="2" sqref="AG801" start="0" length="0">
      <dxf/>
    </rfmt>
    <rfmt sheetId="2" sqref="AH801" start="0" length="0">
      <dxf/>
    </rfmt>
    <rfmt sheetId="2" sqref="AI801" start="0" length="0">
      <dxf/>
    </rfmt>
    <rfmt sheetId="2" sqref="AJ801" start="0" length="0">
      <dxf/>
    </rfmt>
    <rfmt sheetId="2" sqref="AK801" start="0" length="0">
      <dxf/>
    </rfmt>
    <rfmt sheetId="2" sqref="AL801" start="0" length="0">
      <dxf/>
    </rfmt>
    <rfmt sheetId="2" sqref="AM801" start="0" length="0">
      <dxf/>
    </rfmt>
    <rfmt sheetId="2" sqref="AN801" start="0" length="0">
      <dxf/>
    </rfmt>
    <rfmt sheetId="2" sqref="AO801" start="0" length="0">
      <dxf/>
    </rfmt>
    <rfmt sheetId="2" sqref="AP801" start="0" length="0">
      <dxf/>
    </rfmt>
    <rfmt sheetId="2" sqref="AQ801" start="0" length="0">
      <dxf/>
    </rfmt>
    <rfmt sheetId="2" sqref="AR801" start="0" length="0">
      <dxf/>
    </rfmt>
    <rfmt sheetId="2" sqref="AS801" start="0" length="0">
      <dxf/>
    </rfmt>
    <rfmt sheetId="2" sqref="AT801" start="0" length="0">
      <dxf/>
    </rfmt>
    <rfmt sheetId="2" sqref="AU801" start="0" length="0">
      <dxf/>
    </rfmt>
    <rfmt sheetId="2" sqref="AV801" start="0" length="0">
      <dxf/>
    </rfmt>
    <rfmt sheetId="2" sqref="AW801" start="0" length="0">
      <dxf/>
    </rfmt>
    <rfmt sheetId="2" sqref="AX801" start="0" length="0">
      <dxf/>
    </rfmt>
    <rfmt sheetId="2" sqref="AY801" start="0" length="0">
      <dxf/>
    </rfmt>
    <rfmt sheetId="2" sqref="AZ801" start="0" length="0">
      <dxf/>
    </rfmt>
    <rfmt sheetId="2" sqref="BA801" start="0" length="0">
      <dxf/>
    </rfmt>
    <rfmt sheetId="2" sqref="BB801" start="0" length="0">
      <dxf/>
    </rfmt>
    <rfmt sheetId="2" sqref="BC801" start="0" length="0">
      <dxf/>
    </rfmt>
    <rfmt sheetId="2" sqref="BD801" start="0" length="0">
      <dxf/>
    </rfmt>
    <rfmt sheetId="2" sqref="BE801" start="0" length="0">
      <dxf/>
    </rfmt>
    <rfmt sheetId="2" sqref="BF801" start="0" length="0">
      <dxf/>
    </rfmt>
    <rfmt sheetId="2" sqref="BG801" start="0" length="0">
      <dxf/>
    </rfmt>
    <rfmt sheetId="2" sqref="BH801" start="0" length="0">
      <dxf/>
    </rfmt>
    <rfmt sheetId="2" sqref="BI801" start="0" length="0">
      <dxf/>
    </rfmt>
    <rfmt sheetId="2" sqref="BJ801" start="0" length="0">
      <dxf/>
    </rfmt>
    <rfmt sheetId="2" sqref="BK801" start="0" length="0">
      <dxf/>
    </rfmt>
    <rfmt sheetId="2" sqref="BL801" start="0" length="0">
      <dxf/>
    </rfmt>
    <rfmt sheetId="2" sqref="BM801" start="0" length="0">
      <dxf/>
    </rfmt>
    <rfmt sheetId="2" sqref="BN801" start="0" length="0">
      <dxf/>
    </rfmt>
    <rfmt sheetId="2" sqref="BO801" start="0" length="0">
      <dxf/>
    </rfmt>
    <rfmt sheetId="2" sqref="BP801" start="0" length="0">
      <dxf/>
    </rfmt>
    <rfmt sheetId="2" sqref="BQ801" start="0" length="0">
      <dxf/>
    </rfmt>
    <rfmt sheetId="2" sqref="BR801" start="0" length="0">
      <dxf/>
    </rfmt>
    <rfmt sheetId="2" sqref="BS801" start="0" length="0">
      <dxf/>
    </rfmt>
    <rfmt sheetId="2" sqref="BT801" start="0" length="0">
      <dxf/>
    </rfmt>
    <rfmt sheetId="2" sqref="BU801" start="0" length="0">
      <dxf/>
    </rfmt>
    <rfmt sheetId="2" sqref="BV801" start="0" length="0">
      <dxf/>
    </rfmt>
    <rfmt sheetId="2" sqref="BW801" start="0" length="0">
      <dxf/>
    </rfmt>
    <rfmt sheetId="2" sqref="BX801" start="0" length="0">
      <dxf/>
    </rfmt>
    <rfmt sheetId="2" sqref="BY801" start="0" length="0">
      <dxf/>
    </rfmt>
    <rfmt sheetId="2" sqref="BZ801" start="0" length="0">
      <dxf/>
    </rfmt>
    <rfmt sheetId="2" sqref="CA801" start="0" length="0">
      <dxf/>
    </rfmt>
    <rfmt sheetId="2" sqref="CB801" start="0" length="0">
      <dxf/>
    </rfmt>
    <rfmt sheetId="2" sqref="CC801" start="0" length="0">
      <dxf/>
    </rfmt>
    <rfmt sheetId="2" sqref="CD801" start="0" length="0">
      <dxf/>
    </rfmt>
    <rfmt sheetId="2" sqref="CE801" start="0" length="0">
      <dxf/>
    </rfmt>
    <rfmt sheetId="2" sqref="CF801" start="0" length="0">
      <dxf/>
    </rfmt>
    <rfmt sheetId="2" sqref="CG801" start="0" length="0">
      <dxf/>
    </rfmt>
    <rfmt sheetId="2" sqref="CH801" start="0" length="0">
      <dxf/>
    </rfmt>
    <rfmt sheetId="2" sqref="CI801" start="0" length="0">
      <dxf/>
    </rfmt>
    <rfmt sheetId="2" sqref="CJ801" start="0" length="0">
      <dxf/>
    </rfmt>
    <rfmt sheetId="2" sqref="CK801" start="0" length="0">
      <dxf/>
    </rfmt>
    <rfmt sheetId="2" sqref="CL801" start="0" length="0">
      <dxf/>
    </rfmt>
    <rfmt sheetId="2" sqref="CM801" start="0" length="0">
      <dxf/>
    </rfmt>
    <rfmt sheetId="2" sqref="CN801" start="0" length="0">
      <dxf/>
    </rfmt>
    <rfmt sheetId="2" sqref="CO801" start="0" length="0">
      <dxf/>
    </rfmt>
    <rfmt sheetId="2" sqref="CP801" start="0" length="0">
      <dxf/>
    </rfmt>
    <rfmt sheetId="2" sqref="CQ801" start="0" length="0">
      <dxf/>
    </rfmt>
    <rfmt sheetId="2" sqref="CR801" start="0" length="0">
      <dxf/>
    </rfmt>
    <rfmt sheetId="2" sqref="CS801" start="0" length="0">
      <dxf/>
    </rfmt>
    <rfmt sheetId="2" sqref="CT801" start="0" length="0">
      <dxf/>
    </rfmt>
    <rfmt sheetId="2" sqref="CU801" start="0" length="0">
      <dxf/>
    </rfmt>
    <rfmt sheetId="2" sqref="CV801" start="0" length="0">
      <dxf/>
    </rfmt>
    <rfmt sheetId="2" sqref="CW801" start="0" length="0">
      <dxf/>
    </rfmt>
    <rfmt sheetId="2" sqref="CX801" start="0" length="0">
      <dxf/>
    </rfmt>
    <rfmt sheetId="2" sqref="CY801" start="0" length="0">
      <dxf/>
    </rfmt>
    <rfmt sheetId="2" sqref="CZ801" start="0" length="0">
      <dxf/>
    </rfmt>
    <rfmt sheetId="2" sqref="DA801" start="0" length="0">
      <dxf/>
    </rfmt>
    <rfmt sheetId="2" sqref="DB801" start="0" length="0">
      <dxf/>
    </rfmt>
    <rfmt sheetId="2" sqref="DC801" start="0" length="0">
      <dxf/>
    </rfmt>
    <rfmt sheetId="2" sqref="DD801" start="0" length="0">
      <dxf/>
    </rfmt>
    <rfmt sheetId="2" sqref="DE801" start="0" length="0">
      <dxf/>
    </rfmt>
    <rfmt sheetId="2" sqref="DF801" start="0" length="0">
      <dxf/>
    </rfmt>
    <rfmt sheetId="2" sqref="DG801" start="0" length="0">
      <dxf/>
    </rfmt>
    <rfmt sheetId="2" sqref="DH801" start="0" length="0">
      <dxf/>
    </rfmt>
    <rfmt sheetId="2" sqref="DI801" start="0" length="0">
      <dxf/>
    </rfmt>
    <rfmt sheetId="2" sqref="DJ801" start="0" length="0">
      <dxf/>
    </rfmt>
    <rfmt sheetId="2" sqref="DK801" start="0" length="0">
      <dxf/>
    </rfmt>
    <rfmt sheetId="2" sqref="DL801" start="0" length="0">
      <dxf/>
    </rfmt>
    <rfmt sheetId="2" sqref="DM801" start="0" length="0">
      <dxf/>
    </rfmt>
    <rfmt sheetId="2" sqref="DN801" start="0" length="0">
      <dxf/>
    </rfmt>
    <rfmt sheetId="2" sqref="DO801" start="0" length="0">
      <dxf/>
    </rfmt>
    <rfmt sheetId="2" sqref="DP801" start="0" length="0">
      <dxf/>
    </rfmt>
    <rfmt sheetId="2" sqref="DQ801" start="0" length="0">
      <dxf/>
    </rfmt>
    <rfmt sheetId="2" sqref="DR801" start="0" length="0">
      <dxf/>
    </rfmt>
    <rfmt sheetId="2" sqref="DS801" start="0" length="0">
      <dxf/>
    </rfmt>
    <rfmt sheetId="2" sqref="DT801" start="0" length="0">
      <dxf/>
    </rfmt>
    <rfmt sheetId="2" sqref="DU801" start="0" length="0">
      <dxf/>
    </rfmt>
    <rfmt sheetId="2" sqref="DV801" start="0" length="0">
      <dxf/>
    </rfmt>
    <rfmt sheetId="2" sqref="DW801" start="0" length="0">
      <dxf/>
    </rfmt>
    <rfmt sheetId="2" sqref="DX801" start="0" length="0">
      <dxf/>
    </rfmt>
    <rfmt sheetId="2" sqref="DY801" start="0" length="0">
      <dxf/>
    </rfmt>
    <rfmt sheetId="2" sqref="DZ801" start="0" length="0">
      <dxf/>
    </rfmt>
    <rfmt sheetId="2" sqref="EA801" start="0" length="0">
      <dxf/>
    </rfmt>
    <rfmt sheetId="2" sqref="EB801" start="0" length="0">
      <dxf/>
    </rfmt>
    <rfmt sheetId="2" sqref="EC801" start="0" length="0">
      <dxf/>
    </rfmt>
    <rfmt sheetId="2" sqref="ED801" start="0" length="0">
      <dxf/>
    </rfmt>
    <rfmt sheetId="2" sqref="EE801" start="0" length="0">
      <dxf/>
    </rfmt>
    <rfmt sheetId="2" sqref="EF801" start="0" length="0">
      <dxf/>
    </rfmt>
    <rfmt sheetId="2" sqref="EG801" start="0" length="0">
      <dxf/>
    </rfmt>
    <rfmt sheetId="2" sqref="EH801" start="0" length="0">
      <dxf/>
    </rfmt>
    <rfmt sheetId="2" sqref="EI801" start="0" length="0">
      <dxf/>
    </rfmt>
    <rfmt sheetId="2" sqref="EJ801" start="0" length="0">
      <dxf/>
    </rfmt>
    <rfmt sheetId="2" sqref="EK801" start="0" length="0">
      <dxf/>
    </rfmt>
    <rfmt sheetId="2" sqref="EL801" start="0" length="0">
      <dxf/>
    </rfmt>
    <rfmt sheetId="2" sqref="EM801" start="0" length="0">
      <dxf/>
    </rfmt>
    <rfmt sheetId="2" sqref="EN801" start="0" length="0">
      <dxf/>
    </rfmt>
    <rfmt sheetId="2" sqref="EO801" start="0" length="0">
      <dxf/>
    </rfmt>
    <rfmt sheetId="2" sqref="EP801" start="0" length="0">
      <dxf/>
    </rfmt>
    <rfmt sheetId="2" sqref="EQ801" start="0" length="0">
      <dxf/>
    </rfmt>
    <rfmt sheetId="2" sqref="ER801" start="0" length="0">
      <dxf/>
    </rfmt>
    <rfmt sheetId="2" sqref="ES801" start="0" length="0">
      <dxf/>
    </rfmt>
    <rfmt sheetId="2" sqref="ET801" start="0" length="0">
      <dxf/>
    </rfmt>
    <rfmt sheetId="2" sqref="EU801" start="0" length="0">
      <dxf/>
    </rfmt>
    <rfmt sheetId="2" sqref="EV801" start="0" length="0">
      <dxf/>
    </rfmt>
    <rfmt sheetId="2" sqref="EW801" start="0" length="0">
      <dxf/>
    </rfmt>
    <rfmt sheetId="2" sqref="EX801" start="0" length="0">
      <dxf/>
    </rfmt>
    <rfmt sheetId="2" sqref="EY801" start="0" length="0">
      <dxf/>
    </rfmt>
    <rfmt sheetId="2" sqref="EZ801" start="0" length="0">
      <dxf/>
    </rfmt>
    <rfmt sheetId="2" sqref="FA801" start="0" length="0">
      <dxf/>
    </rfmt>
    <rfmt sheetId="2" sqref="FB801" start="0" length="0">
      <dxf/>
    </rfmt>
    <rfmt sheetId="2" sqref="FC801" start="0" length="0">
      <dxf/>
    </rfmt>
    <rfmt sheetId="2" sqref="FD801" start="0" length="0">
      <dxf/>
    </rfmt>
    <rfmt sheetId="2" sqref="FE801" start="0" length="0">
      <dxf/>
    </rfmt>
    <rfmt sheetId="2" sqref="FF801" start="0" length="0">
      <dxf/>
    </rfmt>
    <rfmt sheetId="2" sqref="FG801" start="0" length="0">
      <dxf/>
    </rfmt>
    <rfmt sheetId="2" sqref="FH801" start="0" length="0">
      <dxf/>
    </rfmt>
    <rfmt sheetId="2" sqref="FI801" start="0" length="0">
      <dxf/>
    </rfmt>
    <rfmt sheetId="2" sqref="FJ801" start="0" length="0">
      <dxf/>
    </rfmt>
    <rfmt sheetId="2" sqref="FK801" start="0" length="0">
      <dxf/>
    </rfmt>
    <rfmt sheetId="2" sqref="FL801" start="0" length="0">
      <dxf/>
    </rfmt>
    <rfmt sheetId="2" sqref="FM801" start="0" length="0">
      <dxf/>
    </rfmt>
    <rfmt sheetId="2" sqref="FN801" start="0" length="0">
      <dxf/>
    </rfmt>
    <rfmt sheetId="2" sqref="FO801" start="0" length="0">
      <dxf/>
    </rfmt>
    <rfmt sheetId="2" sqref="FP801" start="0" length="0">
      <dxf/>
    </rfmt>
    <rfmt sheetId="2" sqref="FQ801" start="0" length="0">
      <dxf/>
    </rfmt>
    <rfmt sheetId="2" sqref="FR801" start="0" length="0">
      <dxf/>
    </rfmt>
    <rfmt sheetId="2" sqref="FS801" start="0" length="0">
      <dxf/>
    </rfmt>
    <rfmt sheetId="2" sqref="FT801" start="0" length="0">
      <dxf/>
    </rfmt>
    <rfmt sheetId="2" sqref="FU801" start="0" length="0">
      <dxf/>
    </rfmt>
    <rfmt sheetId="2" sqref="FV801" start="0" length="0">
      <dxf/>
    </rfmt>
    <rfmt sheetId="2" sqref="FW801" start="0" length="0">
      <dxf/>
    </rfmt>
    <rfmt sheetId="2" sqref="FX801" start="0" length="0">
      <dxf/>
    </rfmt>
    <rfmt sheetId="2" sqref="FY801" start="0" length="0">
      <dxf/>
    </rfmt>
    <rfmt sheetId="2" sqref="FZ801" start="0" length="0">
      <dxf/>
    </rfmt>
    <rfmt sheetId="2" sqref="GA801" start="0" length="0">
      <dxf/>
    </rfmt>
    <rfmt sheetId="2" sqref="GB801" start="0" length="0">
      <dxf/>
    </rfmt>
    <rfmt sheetId="2" sqref="GC801" start="0" length="0">
      <dxf/>
    </rfmt>
    <rfmt sheetId="2" sqref="GD801" start="0" length="0">
      <dxf/>
    </rfmt>
    <rfmt sheetId="2" sqref="GE801" start="0" length="0">
      <dxf/>
    </rfmt>
    <rfmt sheetId="2" sqref="GF801" start="0" length="0">
      <dxf/>
    </rfmt>
    <rfmt sheetId="2" sqref="GG801" start="0" length="0">
      <dxf/>
    </rfmt>
    <rfmt sheetId="2" sqref="GH801" start="0" length="0">
      <dxf/>
    </rfmt>
    <rfmt sheetId="2" sqref="GI801" start="0" length="0">
      <dxf/>
    </rfmt>
    <rfmt sheetId="2" sqref="GJ801" start="0" length="0">
      <dxf/>
    </rfmt>
    <rfmt sheetId="2" sqref="GK801" start="0" length="0">
      <dxf/>
    </rfmt>
    <rfmt sheetId="2" sqref="GL801" start="0" length="0">
      <dxf/>
    </rfmt>
    <rfmt sheetId="2" sqref="GM801" start="0" length="0">
      <dxf/>
    </rfmt>
    <rfmt sheetId="2" sqref="GN801" start="0" length="0">
      <dxf/>
    </rfmt>
    <rfmt sheetId="2" sqref="GO801" start="0" length="0">
      <dxf/>
    </rfmt>
    <rfmt sheetId="2" sqref="GP801" start="0" length="0">
      <dxf/>
    </rfmt>
    <rfmt sheetId="2" sqref="GQ801" start="0" length="0">
      <dxf/>
    </rfmt>
    <rfmt sheetId="2" sqref="GR801" start="0" length="0">
      <dxf/>
    </rfmt>
    <rfmt sheetId="2" sqref="GS801" start="0" length="0">
      <dxf/>
    </rfmt>
    <rfmt sheetId="2" sqref="GT801" start="0" length="0">
      <dxf/>
    </rfmt>
    <rfmt sheetId="2" sqref="GU801" start="0" length="0">
      <dxf/>
    </rfmt>
    <rfmt sheetId="2" sqref="GV801" start="0" length="0">
      <dxf/>
    </rfmt>
    <rfmt sheetId="2" sqref="GW801" start="0" length="0">
      <dxf/>
    </rfmt>
    <rfmt sheetId="2" sqref="GX801" start="0" length="0">
      <dxf/>
    </rfmt>
    <rfmt sheetId="2" sqref="GY801" start="0" length="0">
      <dxf/>
    </rfmt>
    <rfmt sheetId="2" sqref="GZ801" start="0" length="0">
      <dxf/>
    </rfmt>
    <rfmt sheetId="2" sqref="HA801" start="0" length="0">
      <dxf/>
    </rfmt>
    <rfmt sheetId="2" sqref="HB801" start="0" length="0">
      <dxf/>
    </rfmt>
    <rfmt sheetId="2" sqref="HC801" start="0" length="0">
      <dxf/>
    </rfmt>
    <rfmt sheetId="2" sqref="HD801" start="0" length="0">
      <dxf/>
    </rfmt>
    <rfmt sheetId="2" sqref="HE801" start="0" length="0">
      <dxf/>
    </rfmt>
    <rfmt sheetId="2" sqref="HF801" start="0" length="0">
      <dxf/>
    </rfmt>
    <rfmt sheetId="2" sqref="HG801" start="0" length="0">
      <dxf/>
    </rfmt>
    <rfmt sheetId="2" sqref="HH801" start="0" length="0">
      <dxf/>
    </rfmt>
    <rfmt sheetId="2" sqref="HI801" start="0" length="0">
      <dxf/>
    </rfmt>
    <rfmt sheetId="2" sqref="HJ801" start="0" length="0">
      <dxf/>
    </rfmt>
    <rfmt sheetId="2" sqref="HK801" start="0" length="0">
      <dxf/>
    </rfmt>
    <rfmt sheetId="2" sqref="HL801" start="0" length="0">
      <dxf/>
    </rfmt>
    <rfmt sheetId="2" sqref="HM801" start="0" length="0">
      <dxf/>
    </rfmt>
    <rfmt sheetId="2" sqref="HN801" start="0" length="0">
      <dxf/>
    </rfmt>
    <rfmt sheetId="2" sqref="HO801" start="0" length="0">
      <dxf/>
    </rfmt>
    <rfmt sheetId="2" sqref="HP801" start="0" length="0">
      <dxf/>
    </rfmt>
    <rfmt sheetId="2" sqref="HQ801" start="0" length="0">
      <dxf/>
    </rfmt>
    <rfmt sheetId="2" sqref="HR801" start="0" length="0">
      <dxf/>
    </rfmt>
    <rfmt sheetId="2" sqref="HS801" start="0" length="0">
      <dxf/>
    </rfmt>
    <rfmt sheetId="2" sqref="HT801" start="0" length="0">
      <dxf/>
    </rfmt>
    <rfmt sheetId="2" sqref="HU801" start="0" length="0">
      <dxf/>
    </rfmt>
    <rfmt sheetId="2" sqref="HV801" start="0" length="0">
      <dxf/>
    </rfmt>
    <rfmt sheetId="2" sqref="HW801" start="0" length="0">
      <dxf/>
    </rfmt>
    <rfmt sheetId="2" sqref="HX801" start="0" length="0">
      <dxf/>
    </rfmt>
    <rfmt sheetId="2" sqref="HY801" start="0" length="0">
      <dxf/>
    </rfmt>
    <rfmt sheetId="2" sqref="HZ801" start="0" length="0">
      <dxf/>
    </rfmt>
    <rfmt sheetId="2" sqref="IA801" start="0" length="0">
      <dxf/>
    </rfmt>
    <rfmt sheetId="2" sqref="IB801" start="0" length="0">
      <dxf/>
    </rfmt>
    <rfmt sheetId="2" sqref="IC801" start="0" length="0">
      <dxf/>
    </rfmt>
    <rfmt sheetId="2" sqref="ID801" start="0" length="0">
      <dxf/>
    </rfmt>
    <rfmt sheetId="2" sqref="IE801" start="0" length="0">
      <dxf/>
    </rfmt>
    <rfmt sheetId="2" sqref="IF801" start="0" length="0">
      <dxf/>
    </rfmt>
    <rfmt sheetId="2" sqref="IG801" start="0" length="0">
      <dxf/>
    </rfmt>
    <rfmt sheetId="2" sqref="IH801" start="0" length="0">
      <dxf/>
    </rfmt>
    <rfmt sheetId="2" sqref="II801" start="0" length="0">
      <dxf/>
    </rfmt>
    <rfmt sheetId="2" sqref="IJ801" start="0" length="0">
      <dxf/>
    </rfmt>
    <rfmt sheetId="2" sqref="IK801" start="0" length="0">
      <dxf/>
    </rfmt>
    <rfmt sheetId="2" sqref="IL801" start="0" length="0">
      <dxf/>
    </rfmt>
    <rfmt sheetId="2" sqref="IM801" start="0" length="0">
      <dxf/>
    </rfmt>
    <rfmt sheetId="2" sqref="IN801" start="0" length="0">
      <dxf/>
    </rfmt>
    <rfmt sheetId="2" sqref="IO801" start="0" length="0">
      <dxf/>
    </rfmt>
    <rfmt sheetId="2" sqref="IP801" start="0" length="0">
      <dxf/>
    </rfmt>
    <rfmt sheetId="2" sqref="IQ801" start="0" length="0">
      <dxf/>
    </rfmt>
    <rfmt sheetId="2" sqref="IR801" start="0" length="0">
      <dxf/>
    </rfmt>
    <rfmt sheetId="2" sqref="IS801" start="0" length="0">
      <dxf/>
    </rfmt>
    <rfmt sheetId="2" sqref="IT801" start="0" length="0">
      <dxf/>
    </rfmt>
    <rfmt sheetId="2" sqref="IU801" start="0" length="0">
      <dxf/>
    </rfmt>
    <rfmt sheetId="2" sqref="IV801" start="0" length="0">
      <dxf/>
    </rfmt>
    <rfmt sheetId="2" sqref="IW801" start="0" length="0">
      <dxf/>
    </rfmt>
    <rfmt sheetId="2" sqref="IX801" start="0" length="0">
      <dxf/>
    </rfmt>
    <rfmt sheetId="2" sqref="IY801" start="0" length="0">
      <dxf/>
    </rfmt>
    <rfmt sheetId="2" sqref="IZ801" start="0" length="0">
      <dxf/>
    </rfmt>
    <rfmt sheetId="2" sqref="JA801" start="0" length="0">
      <dxf/>
    </rfmt>
    <rfmt sheetId="2" sqref="JB801" start="0" length="0">
      <dxf/>
    </rfmt>
    <rfmt sheetId="2" sqref="JC801" start="0" length="0">
      <dxf/>
    </rfmt>
    <rfmt sheetId="2" sqref="JD801" start="0" length="0">
      <dxf/>
    </rfmt>
    <rfmt sheetId="2" sqref="JE801" start="0" length="0">
      <dxf/>
    </rfmt>
    <rfmt sheetId="2" sqref="JF801" start="0" length="0">
      <dxf/>
    </rfmt>
    <rfmt sheetId="2" sqref="JG801" start="0" length="0">
      <dxf/>
    </rfmt>
    <rfmt sheetId="2" sqref="JH801" start="0" length="0">
      <dxf/>
    </rfmt>
    <rfmt sheetId="2" sqref="JI801" start="0" length="0">
      <dxf/>
    </rfmt>
    <rfmt sheetId="2" sqref="JJ801" start="0" length="0">
      <dxf/>
    </rfmt>
    <rfmt sheetId="2" sqref="JK801" start="0" length="0">
      <dxf/>
    </rfmt>
    <rfmt sheetId="2" sqref="JL801" start="0" length="0">
      <dxf/>
    </rfmt>
    <rfmt sheetId="2" sqref="JM801" start="0" length="0">
      <dxf/>
    </rfmt>
    <rfmt sheetId="2" sqref="JN801" start="0" length="0">
      <dxf/>
    </rfmt>
    <rfmt sheetId="2" sqref="JO801" start="0" length="0">
      <dxf/>
    </rfmt>
    <rfmt sheetId="2" sqref="JP801" start="0" length="0">
      <dxf/>
    </rfmt>
    <rfmt sheetId="2" sqref="JQ801" start="0" length="0">
      <dxf/>
    </rfmt>
    <rfmt sheetId="2" sqref="JR801" start="0" length="0">
      <dxf/>
    </rfmt>
    <rfmt sheetId="2" sqref="JS801" start="0" length="0">
      <dxf/>
    </rfmt>
    <rfmt sheetId="2" sqref="JT801" start="0" length="0">
      <dxf/>
    </rfmt>
    <rfmt sheetId="2" sqref="JU801" start="0" length="0">
      <dxf/>
    </rfmt>
    <rfmt sheetId="2" sqref="JV801" start="0" length="0">
      <dxf/>
    </rfmt>
    <rfmt sheetId="2" sqref="JW801" start="0" length="0">
      <dxf/>
    </rfmt>
    <rfmt sheetId="2" sqref="JX801" start="0" length="0">
      <dxf/>
    </rfmt>
    <rfmt sheetId="2" sqref="JY801" start="0" length="0">
      <dxf/>
    </rfmt>
    <rfmt sheetId="2" sqref="JZ801" start="0" length="0">
      <dxf/>
    </rfmt>
    <rfmt sheetId="2" sqref="KA801" start="0" length="0">
      <dxf/>
    </rfmt>
    <rfmt sheetId="2" sqref="KB801" start="0" length="0">
      <dxf/>
    </rfmt>
    <rfmt sheetId="2" sqref="KC801" start="0" length="0">
      <dxf/>
    </rfmt>
    <rfmt sheetId="2" sqref="KD801" start="0" length="0">
      <dxf/>
    </rfmt>
    <rfmt sheetId="2" sqref="KE801" start="0" length="0">
      <dxf/>
    </rfmt>
    <rfmt sheetId="2" sqref="KF801" start="0" length="0">
      <dxf/>
    </rfmt>
    <rfmt sheetId="2" sqref="KG801" start="0" length="0">
      <dxf/>
    </rfmt>
    <rfmt sheetId="2" sqref="KH801" start="0" length="0">
      <dxf/>
    </rfmt>
    <rfmt sheetId="2" sqref="KI801" start="0" length="0">
      <dxf/>
    </rfmt>
    <rfmt sheetId="2" sqref="KJ801" start="0" length="0">
      <dxf/>
    </rfmt>
    <rfmt sheetId="2" sqref="KK801" start="0" length="0">
      <dxf/>
    </rfmt>
    <rfmt sheetId="2" sqref="KL801" start="0" length="0">
      <dxf/>
    </rfmt>
    <rfmt sheetId="2" sqref="KM801" start="0" length="0">
      <dxf/>
    </rfmt>
    <rfmt sheetId="2" sqref="KN801" start="0" length="0">
      <dxf/>
    </rfmt>
    <rfmt sheetId="2" sqref="KO801" start="0" length="0">
      <dxf/>
    </rfmt>
    <rfmt sheetId="2" sqref="KP801" start="0" length="0">
      <dxf/>
    </rfmt>
    <rfmt sheetId="2" sqref="KQ801" start="0" length="0">
      <dxf/>
    </rfmt>
    <rfmt sheetId="2" sqref="KR801" start="0" length="0">
      <dxf/>
    </rfmt>
    <rfmt sheetId="2" sqref="KS801" start="0" length="0">
      <dxf/>
    </rfmt>
    <rfmt sheetId="2" sqref="KT801" start="0" length="0">
      <dxf/>
    </rfmt>
    <rfmt sheetId="2" sqref="KU801" start="0" length="0">
      <dxf/>
    </rfmt>
    <rfmt sheetId="2" sqref="KV801" start="0" length="0">
      <dxf/>
    </rfmt>
    <rfmt sheetId="2" sqref="KW801" start="0" length="0">
      <dxf/>
    </rfmt>
    <rfmt sheetId="2" sqref="KX801" start="0" length="0">
      <dxf/>
    </rfmt>
    <rfmt sheetId="2" sqref="KY801" start="0" length="0">
      <dxf/>
    </rfmt>
    <rfmt sheetId="2" sqref="KZ801" start="0" length="0">
      <dxf/>
    </rfmt>
    <rfmt sheetId="2" sqref="LA801" start="0" length="0">
      <dxf/>
    </rfmt>
    <rfmt sheetId="2" sqref="LB801" start="0" length="0">
      <dxf/>
    </rfmt>
    <rfmt sheetId="2" sqref="LC801" start="0" length="0">
      <dxf/>
    </rfmt>
    <rfmt sheetId="2" sqref="LD801" start="0" length="0">
      <dxf/>
    </rfmt>
    <rfmt sheetId="2" sqref="LE801" start="0" length="0">
      <dxf/>
    </rfmt>
    <rfmt sheetId="2" sqref="LF801" start="0" length="0">
      <dxf/>
    </rfmt>
    <rfmt sheetId="2" sqref="LG801" start="0" length="0">
      <dxf/>
    </rfmt>
    <rfmt sheetId="2" sqref="LH801" start="0" length="0">
      <dxf/>
    </rfmt>
    <rfmt sheetId="2" sqref="LI801" start="0" length="0">
      <dxf/>
    </rfmt>
    <rfmt sheetId="2" sqref="LJ801" start="0" length="0">
      <dxf/>
    </rfmt>
    <rfmt sheetId="2" sqref="LK801" start="0" length="0">
      <dxf/>
    </rfmt>
    <rfmt sheetId="2" sqref="LL801" start="0" length="0">
      <dxf/>
    </rfmt>
    <rfmt sheetId="2" sqref="LM801" start="0" length="0">
      <dxf/>
    </rfmt>
    <rfmt sheetId="2" sqref="LN801" start="0" length="0">
      <dxf/>
    </rfmt>
    <rfmt sheetId="2" sqref="LO801" start="0" length="0">
      <dxf/>
    </rfmt>
    <rfmt sheetId="2" sqref="LP801" start="0" length="0">
      <dxf/>
    </rfmt>
    <rfmt sheetId="2" sqref="LQ801" start="0" length="0">
      <dxf/>
    </rfmt>
    <rfmt sheetId="2" sqref="LR801" start="0" length="0">
      <dxf/>
    </rfmt>
    <rfmt sheetId="2" sqref="LS801" start="0" length="0">
      <dxf/>
    </rfmt>
    <rfmt sheetId="2" sqref="LT801" start="0" length="0">
      <dxf/>
    </rfmt>
    <rfmt sheetId="2" sqref="LU801" start="0" length="0">
      <dxf/>
    </rfmt>
    <rfmt sheetId="2" sqref="LV801" start="0" length="0">
      <dxf/>
    </rfmt>
    <rfmt sheetId="2" sqref="LW801" start="0" length="0">
      <dxf/>
    </rfmt>
    <rfmt sheetId="2" sqref="LX801" start="0" length="0">
      <dxf/>
    </rfmt>
    <rfmt sheetId="2" sqref="LY801" start="0" length="0">
      <dxf/>
    </rfmt>
    <rfmt sheetId="2" sqref="LZ801" start="0" length="0">
      <dxf/>
    </rfmt>
    <rfmt sheetId="2" sqref="MA801" start="0" length="0">
      <dxf/>
    </rfmt>
    <rfmt sheetId="2" sqref="MB801" start="0" length="0">
      <dxf/>
    </rfmt>
  </rrc>
  <rrc rId="2676" sId="2" ref="A801:XFD801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801:XFD801" start="0" length="0">
      <dxf>
        <font>
          <sz val="10"/>
          <name val="Arial"/>
          <scheme val="none"/>
        </font>
        <alignment horizontal="center" readingOrder="0"/>
      </dxf>
    </rfmt>
    <rfmt sheetId="2" sqref="A80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80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1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1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1" start="0" length="0">
      <dxf>
        <numFmt numFmtId="176" formatCode="m/d;@"/>
      </dxf>
    </rfmt>
    <rfmt sheetId="2" sqref="P80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1" start="0" length="0">
      <dxf/>
    </rfmt>
    <rfmt sheetId="2" sqref="U801" start="0" length="0">
      <dxf/>
    </rfmt>
    <rfmt sheetId="2" sqref="V801" start="0" length="0">
      <dxf/>
    </rfmt>
    <rfmt sheetId="2" sqref="W801" start="0" length="0">
      <dxf/>
    </rfmt>
    <rfmt sheetId="2" sqref="X801" start="0" length="0">
      <dxf/>
    </rfmt>
    <rfmt sheetId="2" sqref="Y801" start="0" length="0">
      <dxf/>
    </rfmt>
    <rfmt sheetId="2" sqref="Z801" start="0" length="0">
      <dxf/>
    </rfmt>
    <rfmt sheetId="2" sqref="AA801" start="0" length="0">
      <dxf/>
    </rfmt>
    <rfmt sheetId="2" sqref="AB801" start="0" length="0">
      <dxf/>
    </rfmt>
    <rfmt sheetId="2" sqref="AC801" start="0" length="0">
      <dxf/>
    </rfmt>
    <rfmt sheetId="2" sqref="AD801" start="0" length="0">
      <dxf/>
    </rfmt>
    <rfmt sheetId="2" sqref="AE801" start="0" length="0">
      <dxf/>
    </rfmt>
    <rfmt sheetId="2" sqref="AF801" start="0" length="0">
      <dxf/>
    </rfmt>
    <rfmt sheetId="2" sqref="AG801" start="0" length="0">
      <dxf/>
    </rfmt>
    <rfmt sheetId="2" sqref="AH801" start="0" length="0">
      <dxf/>
    </rfmt>
    <rfmt sheetId="2" sqref="AI801" start="0" length="0">
      <dxf/>
    </rfmt>
    <rfmt sheetId="2" sqref="AJ801" start="0" length="0">
      <dxf/>
    </rfmt>
    <rfmt sheetId="2" sqref="AK801" start="0" length="0">
      <dxf/>
    </rfmt>
    <rfmt sheetId="2" sqref="AL801" start="0" length="0">
      <dxf/>
    </rfmt>
    <rfmt sheetId="2" sqref="AM801" start="0" length="0">
      <dxf/>
    </rfmt>
    <rfmt sheetId="2" sqref="AN801" start="0" length="0">
      <dxf/>
    </rfmt>
    <rfmt sheetId="2" sqref="AO801" start="0" length="0">
      <dxf/>
    </rfmt>
    <rfmt sheetId="2" sqref="AP801" start="0" length="0">
      <dxf/>
    </rfmt>
    <rfmt sheetId="2" sqref="AQ801" start="0" length="0">
      <dxf/>
    </rfmt>
    <rfmt sheetId="2" sqref="AR801" start="0" length="0">
      <dxf/>
    </rfmt>
    <rfmt sheetId="2" sqref="AS801" start="0" length="0">
      <dxf/>
    </rfmt>
    <rfmt sheetId="2" sqref="AT801" start="0" length="0">
      <dxf/>
    </rfmt>
    <rfmt sheetId="2" sqref="AU801" start="0" length="0">
      <dxf/>
    </rfmt>
    <rfmt sheetId="2" sqref="AV801" start="0" length="0">
      <dxf/>
    </rfmt>
    <rfmt sheetId="2" sqref="AW801" start="0" length="0">
      <dxf/>
    </rfmt>
    <rfmt sheetId="2" sqref="AX801" start="0" length="0">
      <dxf/>
    </rfmt>
    <rfmt sheetId="2" sqref="AY801" start="0" length="0">
      <dxf/>
    </rfmt>
    <rfmt sheetId="2" sqref="AZ801" start="0" length="0">
      <dxf/>
    </rfmt>
    <rfmt sheetId="2" sqref="BA801" start="0" length="0">
      <dxf/>
    </rfmt>
    <rfmt sheetId="2" sqref="BB801" start="0" length="0">
      <dxf/>
    </rfmt>
    <rfmt sheetId="2" sqref="BC801" start="0" length="0">
      <dxf/>
    </rfmt>
    <rfmt sheetId="2" sqref="BD801" start="0" length="0">
      <dxf/>
    </rfmt>
    <rfmt sheetId="2" sqref="BE801" start="0" length="0">
      <dxf/>
    </rfmt>
    <rfmt sheetId="2" sqref="BF801" start="0" length="0">
      <dxf/>
    </rfmt>
    <rfmt sheetId="2" sqref="BG801" start="0" length="0">
      <dxf/>
    </rfmt>
    <rfmt sheetId="2" sqref="BH801" start="0" length="0">
      <dxf/>
    </rfmt>
    <rfmt sheetId="2" sqref="BI801" start="0" length="0">
      <dxf/>
    </rfmt>
    <rfmt sheetId="2" sqref="BJ801" start="0" length="0">
      <dxf/>
    </rfmt>
    <rfmt sheetId="2" sqref="BK801" start="0" length="0">
      <dxf/>
    </rfmt>
    <rfmt sheetId="2" sqref="BL801" start="0" length="0">
      <dxf/>
    </rfmt>
    <rfmt sheetId="2" sqref="BM801" start="0" length="0">
      <dxf/>
    </rfmt>
    <rfmt sheetId="2" sqref="BN801" start="0" length="0">
      <dxf/>
    </rfmt>
    <rfmt sheetId="2" sqref="BO801" start="0" length="0">
      <dxf/>
    </rfmt>
    <rfmt sheetId="2" sqref="BP801" start="0" length="0">
      <dxf/>
    </rfmt>
    <rfmt sheetId="2" sqref="BQ801" start="0" length="0">
      <dxf/>
    </rfmt>
    <rfmt sheetId="2" sqref="BR801" start="0" length="0">
      <dxf/>
    </rfmt>
    <rfmt sheetId="2" sqref="BS801" start="0" length="0">
      <dxf/>
    </rfmt>
    <rfmt sheetId="2" sqref="BT801" start="0" length="0">
      <dxf/>
    </rfmt>
    <rfmt sheetId="2" sqref="BU801" start="0" length="0">
      <dxf/>
    </rfmt>
    <rfmt sheetId="2" sqref="BV801" start="0" length="0">
      <dxf/>
    </rfmt>
    <rfmt sheetId="2" sqref="BW801" start="0" length="0">
      <dxf/>
    </rfmt>
    <rfmt sheetId="2" sqref="BX801" start="0" length="0">
      <dxf/>
    </rfmt>
    <rfmt sheetId="2" sqref="BY801" start="0" length="0">
      <dxf/>
    </rfmt>
    <rfmt sheetId="2" sqref="BZ801" start="0" length="0">
      <dxf/>
    </rfmt>
    <rfmt sheetId="2" sqref="CA801" start="0" length="0">
      <dxf/>
    </rfmt>
    <rfmt sheetId="2" sqref="CB801" start="0" length="0">
      <dxf/>
    </rfmt>
    <rfmt sheetId="2" sqref="CC801" start="0" length="0">
      <dxf/>
    </rfmt>
    <rfmt sheetId="2" sqref="CD801" start="0" length="0">
      <dxf/>
    </rfmt>
    <rfmt sheetId="2" sqref="CE801" start="0" length="0">
      <dxf/>
    </rfmt>
    <rfmt sheetId="2" sqref="CF801" start="0" length="0">
      <dxf/>
    </rfmt>
    <rfmt sheetId="2" sqref="CG801" start="0" length="0">
      <dxf/>
    </rfmt>
    <rfmt sheetId="2" sqref="CH801" start="0" length="0">
      <dxf/>
    </rfmt>
    <rfmt sheetId="2" sqref="CI801" start="0" length="0">
      <dxf/>
    </rfmt>
    <rfmt sheetId="2" sqref="CJ801" start="0" length="0">
      <dxf/>
    </rfmt>
    <rfmt sheetId="2" sqref="CK801" start="0" length="0">
      <dxf/>
    </rfmt>
    <rfmt sheetId="2" sqref="CL801" start="0" length="0">
      <dxf/>
    </rfmt>
    <rfmt sheetId="2" sqref="CM801" start="0" length="0">
      <dxf/>
    </rfmt>
    <rfmt sheetId="2" sqref="CN801" start="0" length="0">
      <dxf/>
    </rfmt>
    <rfmt sheetId="2" sqref="CO801" start="0" length="0">
      <dxf/>
    </rfmt>
    <rfmt sheetId="2" sqref="CP801" start="0" length="0">
      <dxf/>
    </rfmt>
    <rfmt sheetId="2" sqref="CQ801" start="0" length="0">
      <dxf/>
    </rfmt>
    <rfmt sheetId="2" sqref="CR801" start="0" length="0">
      <dxf/>
    </rfmt>
    <rfmt sheetId="2" sqref="CS801" start="0" length="0">
      <dxf/>
    </rfmt>
    <rfmt sheetId="2" sqref="CT801" start="0" length="0">
      <dxf/>
    </rfmt>
    <rfmt sheetId="2" sqref="CU801" start="0" length="0">
      <dxf/>
    </rfmt>
    <rfmt sheetId="2" sqref="CV801" start="0" length="0">
      <dxf/>
    </rfmt>
    <rfmt sheetId="2" sqref="CW801" start="0" length="0">
      <dxf/>
    </rfmt>
    <rfmt sheetId="2" sqref="CX801" start="0" length="0">
      <dxf/>
    </rfmt>
    <rfmt sheetId="2" sqref="CY801" start="0" length="0">
      <dxf/>
    </rfmt>
    <rfmt sheetId="2" sqref="CZ801" start="0" length="0">
      <dxf/>
    </rfmt>
    <rfmt sheetId="2" sqref="DA801" start="0" length="0">
      <dxf/>
    </rfmt>
    <rfmt sheetId="2" sqref="DB801" start="0" length="0">
      <dxf/>
    </rfmt>
    <rfmt sheetId="2" sqref="DC801" start="0" length="0">
      <dxf/>
    </rfmt>
    <rfmt sheetId="2" sqref="DD801" start="0" length="0">
      <dxf/>
    </rfmt>
    <rfmt sheetId="2" sqref="DE801" start="0" length="0">
      <dxf/>
    </rfmt>
    <rfmt sheetId="2" sqref="DF801" start="0" length="0">
      <dxf/>
    </rfmt>
    <rfmt sheetId="2" sqref="DG801" start="0" length="0">
      <dxf/>
    </rfmt>
    <rfmt sheetId="2" sqref="DH801" start="0" length="0">
      <dxf/>
    </rfmt>
    <rfmt sheetId="2" sqref="DI801" start="0" length="0">
      <dxf/>
    </rfmt>
    <rfmt sheetId="2" sqref="DJ801" start="0" length="0">
      <dxf/>
    </rfmt>
    <rfmt sheetId="2" sqref="DK801" start="0" length="0">
      <dxf/>
    </rfmt>
    <rfmt sheetId="2" sqref="DL801" start="0" length="0">
      <dxf/>
    </rfmt>
    <rfmt sheetId="2" sqref="DM801" start="0" length="0">
      <dxf/>
    </rfmt>
    <rfmt sheetId="2" sqref="DN801" start="0" length="0">
      <dxf/>
    </rfmt>
    <rfmt sheetId="2" sqref="DO801" start="0" length="0">
      <dxf/>
    </rfmt>
    <rfmt sheetId="2" sqref="DP801" start="0" length="0">
      <dxf/>
    </rfmt>
    <rfmt sheetId="2" sqref="DQ801" start="0" length="0">
      <dxf/>
    </rfmt>
    <rfmt sheetId="2" sqref="DR801" start="0" length="0">
      <dxf/>
    </rfmt>
    <rfmt sheetId="2" sqref="DS801" start="0" length="0">
      <dxf/>
    </rfmt>
    <rfmt sheetId="2" sqref="DT801" start="0" length="0">
      <dxf/>
    </rfmt>
    <rfmt sheetId="2" sqref="DU801" start="0" length="0">
      <dxf/>
    </rfmt>
    <rfmt sheetId="2" sqref="DV801" start="0" length="0">
      <dxf/>
    </rfmt>
    <rfmt sheetId="2" sqref="DW801" start="0" length="0">
      <dxf/>
    </rfmt>
    <rfmt sheetId="2" sqref="DX801" start="0" length="0">
      <dxf/>
    </rfmt>
    <rfmt sheetId="2" sqref="DY801" start="0" length="0">
      <dxf/>
    </rfmt>
    <rfmt sheetId="2" sqref="DZ801" start="0" length="0">
      <dxf/>
    </rfmt>
    <rfmt sheetId="2" sqref="EA801" start="0" length="0">
      <dxf/>
    </rfmt>
    <rfmt sheetId="2" sqref="EB801" start="0" length="0">
      <dxf/>
    </rfmt>
    <rfmt sheetId="2" sqref="EC801" start="0" length="0">
      <dxf/>
    </rfmt>
    <rfmt sheetId="2" sqref="ED801" start="0" length="0">
      <dxf/>
    </rfmt>
    <rfmt sheetId="2" sqref="EE801" start="0" length="0">
      <dxf/>
    </rfmt>
    <rfmt sheetId="2" sqref="EF801" start="0" length="0">
      <dxf/>
    </rfmt>
    <rfmt sheetId="2" sqref="EG801" start="0" length="0">
      <dxf/>
    </rfmt>
    <rfmt sheetId="2" sqref="EH801" start="0" length="0">
      <dxf/>
    </rfmt>
    <rfmt sheetId="2" sqref="EI801" start="0" length="0">
      <dxf/>
    </rfmt>
    <rfmt sheetId="2" sqref="EJ801" start="0" length="0">
      <dxf/>
    </rfmt>
    <rfmt sheetId="2" sqref="EK801" start="0" length="0">
      <dxf/>
    </rfmt>
    <rfmt sheetId="2" sqref="EL801" start="0" length="0">
      <dxf/>
    </rfmt>
    <rfmt sheetId="2" sqref="EM801" start="0" length="0">
      <dxf/>
    </rfmt>
    <rfmt sheetId="2" sqref="EN801" start="0" length="0">
      <dxf/>
    </rfmt>
    <rfmt sheetId="2" sqref="EO801" start="0" length="0">
      <dxf/>
    </rfmt>
    <rfmt sheetId="2" sqref="EP801" start="0" length="0">
      <dxf/>
    </rfmt>
    <rfmt sheetId="2" sqref="EQ801" start="0" length="0">
      <dxf/>
    </rfmt>
    <rfmt sheetId="2" sqref="ER801" start="0" length="0">
      <dxf/>
    </rfmt>
    <rfmt sheetId="2" sqref="ES801" start="0" length="0">
      <dxf/>
    </rfmt>
    <rfmt sheetId="2" sqref="ET801" start="0" length="0">
      <dxf/>
    </rfmt>
    <rfmt sheetId="2" sqref="EU801" start="0" length="0">
      <dxf/>
    </rfmt>
    <rfmt sheetId="2" sqref="EV801" start="0" length="0">
      <dxf/>
    </rfmt>
    <rfmt sheetId="2" sqref="EW801" start="0" length="0">
      <dxf/>
    </rfmt>
    <rfmt sheetId="2" sqref="EX801" start="0" length="0">
      <dxf/>
    </rfmt>
    <rfmt sheetId="2" sqref="EY801" start="0" length="0">
      <dxf/>
    </rfmt>
    <rfmt sheetId="2" sqref="EZ801" start="0" length="0">
      <dxf/>
    </rfmt>
    <rfmt sheetId="2" sqref="FA801" start="0" length="0">
      <dxf/>
    </rfmt>
    <rfmt sheetId="2" sqref="FB801" start="0" length="0">
      <dxf/>
    </rfmt>
    <rfmt sheetId="2" sqref="FC801" start="0" length="0">
      <dxf/>
    </rfmt>
    <rfmt sheetId="2" sqref="FD801" start="0" length="0">
      <dxf/>
    </rfmt>
    <rfmt sheetId="2" sqref="FE801" start="0" length="0">
      <dxf/>
    </rfmt>
    <rfmt sheetId="2" sqref="FF801" start="0" length="0">
      <dxf/>
    </rfmt>
    <rfmt sheetId="2" sqref="FG801" start="0" length="0">
      <dxf/>
    </rfmt>
    <rfmt sheetId="2" sqref="FH801" start="0" length="0">
      <dxf/>
    </rfmt>
    <rfmt sheetId="2" sqref="FI801" start="0" length="0">
      <dxf/>
    </rfmt>
    <rfmt sheetId="2" sqref="FJ801" start="0" length="0">
      <dxf/>
    </rfmt>
    <rfmt sheetId="2" sqref="FK801" start="0" length="0">
      <dxf/>
    </rfmt>
    <rfmt sheetId="2" sqref="FL801" start="0" length="0">
      <dxf/>
    </rfmt>
    <rfmt sheetId="2" sqref="FM801" start="0" length="0">
      <dxf/>
    </rfmt>
    <rfmt sheetId="2" sqref="FN801" start="0" length="0">
      <dxf/>
    </rfmt>
    <rfmt sheetId="2" sqref="FO801" start="0" length="0">
      <dxf/>
    </rfmt>
    <rfmt sheetId="2" sqref="FP801" start="0" length="0">
      <dxf/>
    </rfmt>
    <rfmt sheetId="2" sqref="FQ801" start="0" length="0">
      <dxf/>
    </rfmt>
    <rfmt sheetId="2" sqref="FR801" start="0" length="0">
      <dxf/>
    </rfmt>
    <rfmt sheetId="2" sqref="FS801" start="0" length="0">
      <dxf/>
    </rfmt>
    <rfmt sheetId="2" sqref="FT801" start="0" length="0">
      <dxf/>
    </rfmt>
    <rfmt sheetId="2" sqref="FU801" start="0" length="0">
      <dxf/>
    </rfmt>
    <rfmt sheetId="2" sqref="FV801" start="0" length="0">
      <dxf/>
    </rfmt>
    <rfmt sheetId="2" sqref="FW801" start="0" length="0">
      <dxf/>
    </rfmt>
    <rfmt sheetId="2" sqref="FX801" start="0" length="0">
      <dxf/>
    </rfmt>
    <rfmt sheetId="2" sqref="FY801" start="0" length="0">
      <dxf/>
    </rfmt>
    <rfmt sheetId="2" sqref="FZ801" start="0" length="0">
      <dxf/>
    </rfmt>
    <rfmt sheetId="2" sqref="GA801" start="0" length="0">
      <dxf/>
    </rfmt>
    <rfmt sheetId="2" sqref="GB801" start="0" length="0">
      <dxf/>
    </rfmt>
    <rfmt sheetId="2" sqref="GC801" start="0" length="0">
      <dxf/>
    </rfmt>
    <rfmt sheetId="2" sqref="GD801" start="0" length="0">
      <dxf/>
    </rfmt>
    <rfmt sheetId="2" sqref="GE801" start="0" length="0">
      <dxf/>
    </rfmt>
    <rfmt sheetId="2" sqref="GF801" start="0" length="0">
      <dxf/>
    </rfmt>
    <rfmt sheetId="2" sqref="GG801" start="0" length="0">
      <dxf/>
    </rfmt>
    <rfmt sheetId="2" sqref="GH801" start="0" length="0">
      <dxf/>
    </rfmt>
    <rfmt sheetId="2" sqref="GI801" start="0" length="0">
      <dxf/>
    </rfmt>
    <rfmt sheetId="2" sqref="GJ801" start="0" length="0">
      <dxf/>
    </rfmt>
    <rfmt sheetId="2" sqref="GK801" start="0" length="0">
      <dxf/>
    </rfmt>
    <rfmt sheetId="2" sqref="GL801" start="0" length="0">
      <dxf/>
    </rfmt>
    <rfmt sheetId="2" sqref="GM801" start="0" length="0">
      <dxf/>
    </rfmt>
    <rfmt sheetId="2" sqref="GN801" start="0" length="0">
      <dxf/>
    </rfmt>
    <rfmt sheetId="2" sqref="GO801" start="0" length="0">
      <dxf/>
    </rfmt>
    <rfmt sheetId="2" sqref="GP801" start="0" length="0">
      <dxf/>
    </rfmt>
    <rfmt sheetId="2" sqref="GQ801" start="0" length="0">
      <dxf/>
    </rfmt>
    <rfmt sheetId="2" sqref="GR801" start="0" length="0">
      <dxf/>
    </rfmt>
    <rfmt sheetId="2" sqref="GS801" start="0" length="0">
      <dxf/>
    </rfmt>
    <rfmt sheetId="2" sqref="GT801" start="0" length="0">
      <dxf/>
    </rfmt>
    <rfmt sheetId="2" sqref="GU801" start="0" length="0">
      <dxf/>
    </rfmt>
    <rfmt sheetId="2" sqref="GV801" start="0" length="0">
      <dxf/>
    </rfmt>
    <rfmt sheetId="2" sqref="GW801" start="0" length="0">
      <dxf/>
    </rfmt>
    <rfmt sheetId="2" sqref="GX801" start="0" length="0">
      <dxf/>
    </rfmt>
    <rfmt sheetId="2" sqref="GY801" start="0" length="0">
      <dxf/>
    </rfmt>
    <rfmt sheetId="2" sqref="GZ801" start="0" length="0">
      <dxf/>
    </rfmt>
    <rfmt sheetId="2" sqref="HA801" start="0" length="0">
      <dxf/>
    </rfmt>
    <rfmt sheetId="2" sqref="HB801" start="0" length="0">
      <dxf/>
    </rfmt>
    <rfmt sheetId="2" sqref="HC801" start="0" length="0">
      <dxf/>
    </rfmt>
    <rfmt sheetId="2" sqref="HD801" start="0" length="0">
      <dxf/>
    </rfmt>
    <rfmt sheetId="2" sqref="HE801" start="0" length="0">
      <dxf/>
    </rfmt>
    <rfmt sheetId="2" sqref="HF801" start="0" length="0">
      <dxf/>
    </rfmt>
    <rfmt sheetId="2" sqref="HG801" start="0" length="0">
      <dxf/>
    </rfmt>
    <rfmt sheetId="2" sqref="HH801" start="0" length="0">
      <dxf/>
    </rfmt>
    <rfmt sheetId="2" sqref="HI801" start="0" length="0">
      <dxf/>
    </rfmt>
    <rfmt sheetId="2" sqref="HJ801" start="0" length="0">
      <dxf/>
    </rfmt>
    <rfmt sheetId="2" sqref="HK801" start="0" length="0">
      <dxf/>
    </rfmt>
    <rfmt sheetId="2" sqref="HL801" start="0" length="0">
      <dxf/>
    </rfmt>
    <rfmt sheetId="2" sqref="HM801" start="0" length="0">
      <dxf/>
    </rfmt>
    <rfmt sheetId="2" sqref="HN801" start="0" length="0">
      <dxf/>
    </rfmt>
    <rfmt sheetId="2" sqref="HO801" start="0" length="0">
      <dxf/>
    </rfmt>
    <rfmt sheetId="2" sqref="HP801" start="0" length="0">
      <dxf/>
    </rfmt>
    <rfmt sheetId="2" sqref="HQ801" start="0" length="0">
      <dxf/>
    </rfmt>
    <rfmt sheetId="2" sqref="HR801" start="0" length="0">
      <dxf/>
    </rfmt>
    <rfmt sheetId="2" sqref="HS801" start="0" length="0">
      <dxf/>
    </rfmt>
    <rfmt sheetId="2" sqref="HT801" start="0" length="0">
      <dxf/>
    </rfmt>
    <rfmt sheetId="2" sqref="HU801" start="0" length="0">
      <dxf/>
    </rfmt>
    <rfmt sheetId="2" sqref="HV801" start="0" length="0">
      <dxf/>
    </rfmt>
    <rfmt sheetId="2" sqref="HW801" start="0" length="0">
      <dxf/>
    </rfmt>
    <rfmt sheetId="2" sqref="HX801" start="0" length="0">
      <dxf/>
    </rfmt>
    <rfmt sheetId="2" sqref="HY801" start="0" length="0">
      <dxf/>
    </rfmt>
    <rfmt sheetId="2" sqref="HZ801" start="0" length="0">
      <dxf/>
    </rfmt>
    <rfmt sheetId="2" sqref="IA801" start="0" length="0">
      <dxf/>
    </rfmt>
    <rfmt sheetId="2" sqref="IB801" start="0" length="0">
      <dxf/>
    </rfmt>
    <rfmt sheetId="2" sqref="IC801" start="0" length="0">
      <dxf/>
    </rfmt>
    <rfmt sheetId="2" sqref="ID801" start="0" length="0">
      <dxf/>
    </rfmt>
    <rfmt sheetId="2" sqref="IE801" start="0" length="0">
      <dxf/>
    </rfmt>
    <rfmt sheetId="2" sqref="IF801" start="0" length="0">
      <dxf/>
    </rfmt>
    <rfmt sheetId="2" sqref="IG801" start="0" length="0">
      <dxf/>
    </rfmt>
    <rfmt sheetId="2" sqref="IH801" start="0" length="0">
      <dxf/>
    </rfmt>
    <rfmt sheetId="2" sqref="II801" start="0" length="0">
      <dxf/>
    </rfmt>
    <rfmt sheetId="2" sqref="IJ801" start="0" length="0">
      <dxf/>
    </rfmt>
    <rfmt sheetId="2" sqref="IK801" start="0" length="0">
      <dxf/>
    </rfmt>
    <rfmt sheetId="2" sqref="IL801" start="0" length="0">
      <dxf/>
    </rfmt>
    <rfmt sheetId="2" sqref="IM801" start="0" length="0">
      <dxf/>
    </rfmt>
    <rfmt sheetId="2" sqref="IN801" start="0" length="0">
      <dxf/>
    </rfmt>
    <rfmt sheetId="2" sqref="IO801" start="0" length="0">
      <dxf/>
    </rfmt>
    <rfmt sheetId="2" sqref="IP801" start="0" length="0">
      <dxf/>
    </rfmt>
    <rfmt sheetId="2" sqref="IQ801" start="0" length="0">
      <dxf/>
    </rfmt>
    <rfmt sheetId="2" sqref="IR801" start="0" length="0">
      <dxf/>
    </rfmt>
    <rfmt sheetId="2" sqref="IS801" start="0" length="0">
      <dxf/>
    </rfmt>
    <rfmt sheetId="2" sqref="IT801" start="0" length="0">
      <dxf/>
    </rfmt>
    <rfmt sheetId="2" sqref="IU801" start="0" length="0">
      <dxf/>
    </rfmt>
    <rfmt sheetId="2" sqref="IV801" start="0" length="0">
      <dxf/>
    </rfmt>
    <rfmt sheetId="2" sqref="IW801" start="0" length="0">
      <dxf/>
    </rfmt>
    <rfmt sheetId="2" sqref="IX801" start="0" length="0">
      <dxf/>
    </rfmt>
    <rfmt sheetId="2" sqref="IY801" start="0" length="0">
      <dxf/>
    </rfmt>
    <rfmt sheetId="2" sqref="IZ801" start="0" length="0">
      <dxf/>
    </rfmt>
    <rfmt sheetId="2" sqref="JA801" start="0" length="0">
      <dxf/>
    </rfmt>
    <rfmt sheetId="2" sqref="JB801" start="0" length="0">
      <dxf/>
    </rfmt>
    <rfmt sheetId="2" sqref="JC801" start="0" length="0">
      <dxf/>
    </rfmt>
    <rfmt sheetId="2" sqref="JD801" start="0" length="0">
      <dxf/>
    </rfmt>
    <rfmt sheetId="2" sqref="JE801" start="0" length="0">
      <dxf/>
    </rfmt>
    <rfmt sheetId="2" sqref="JF801" start="0" length="0">
      <dxf/>
    </rfmt>
    <rfmt sheetId="2" sqref="JG801" start="0" length="0">
      <dxf/>
    </rfmt>
    <rfmt sheetId="2" sqref="JH801" start="0" length="0">
      <dxf/>
    </rfmt>
    <rfmt sheetId="2" sqref="JI801" start="0" length="0">
      <dxf/>
    </rfmt>
    <rfmt sheetId="2" sqref="JJ801" start="0" length="0">
      <dxf/>
    </rfmt>
    <rfmt sheetId="2" sqref="JK801" start="0" length="0">
      <dxf/>
    </rfmt>
    <rfmt sheetId="2" sqref="JL801" start="0" length="0">
      <dxf/>
    </rfmt>
    <rfmt sheetId="2" sqref="JM801" start="0" length="0">
      <dxf/>
    </rfmt>
    <rfmt sheetId="2" sqref="JN801" start="0" length="0">
      <dxf/>
    </rfmt>
    <rfmt sheetId="2" sqref="JO801" start="0" length="0">
      <dxf/>
    </rfmt>
    <rfmt sheetId="2" sqref="JP801" start="0" length="0">
      <dxf/>
    </rfmt>
    <rfmt sheetId="2" sqref="JQ801" start="0" length="0">
      <dxf/>
    </rfmt>
    <rfmt sheetId="2" sqref="JR801" start="0" length="0">
      <dxf/>
    </rfmt>
    <rfmt sheetId="2" sqref="JS801" start="0" length="0">
      <dxf/>
    </rfmt>
    <rfmt sheetId="2" sqref="JT801" start="0" length="0">
      <dxf/>
    </rfmt>
    <rfmt sheetId="2" sqref="JU801" start="0" length="0">
      <dxf/>
    </rfmt>
    <rfmt sheetId="2" sqref="JV801" start="0" length="0">
      <dxf/>
    </rfmt>
    <rfmt sheetId="2" sqref="JW801" start="0" length="0">
      <dxf/>
    </rfmt>
    <rfmt sheetId="2" sqref="JX801" start="0" length="0">
      <dxf/>
    </rfmt>
    <rfmt sheetId="2" sqref="JY801" start="0" length="0">
      <dxf/>
    </rfmt>
    <rfmt sheetId="2" sqref="JZ801" start="0" length="0">
      <dxf/>
    </rfmt>
    <rfmt sheetId="2" sqref="KA801" start="0" length="0">
      <dxf/>
    </rfmt>
    <rfmt sheetId="2" sqref="KB801" start="0" length="0">
      <dxf/>
    </rfmt>
    <rfmt sheetId="2" sqref="KC801" start="0" length="0">
      <dxf/>
    </rfmt>
    <rfmt sheetId="2" sqref="KD801" start="0" length="0">
      <dxf/>
    </rfmt>
    <rfmt sheetId="2" sqref="KE801" start="0" length="0">
      <dxf/>
    </rfmt>
    <rfmt sheetId="2" sqref="KF801" start="0" length="0">
      <dxf/>
    </rfmt>
    <rfmt sheetId="2" sqref="KG801" start="0" length="0">
      <dxf/>
    </rfmt>
    <rfmt sheetId="2" sqref="KH801" start="0" length="0">
      <dxf/>
    </rfmt>
    <rfmt sheetId="2" sqref="KI801" start="0" length="0">
      <dxf/>
    </rfmt>
    <rfmt sheetId="2" sqref="KJ801" start="0" length="0">
      <dxf/>
    </rfmt>
    <rfmt sheetId="2" sqref="KK801" start="0" length="0">
      <dxf/>
    </rfmt>
    <rfmt sheetId="2" sqref="KL801" start="0" length="0">
      <dxf/>
    </rfmt>
    <rfmt sheetId="2" sqref="KM801" start="0" length="0">
      <dxf/>
    </rfmt>
    <rfmt sheetId="2" sqref="KN801" start="0" length="0">
      <dxf/>
    </rfmt>
    <rfmt sheetId="2" sqref="KO801" start="0" length="0">
      <dxf/>
    </rfmt>
    <rfmt sheetId="2" sqref="KP801" start="0" length="0">
      <dxf/>
    </rfmt>
    <rfmt sheetId="2" sqref="KQ801" start="0" length="0">
      <dxf/>
    </rfmt>
    <rfmt sheetId="2" sqref="KR801" start="0" length="0">
      <dxf/>
    </rfmt>
    <rfmt sheetId="2" sqref="KS801" start="0" length="0">
      <dxf/>
    </rfmt>
    <rfmt sheetId="2" sqref="KT801" start="0" length="0">
      <dxf/>
    </rfmt>
    <rfmt sheetId="2" sqref="KU801" start="0" length="0">
      <dxf/>
    </rfmt>
    <rfmt sheetId="2" sqref="KV801" start="0" length="0">
      <dxf/>
    </rfmt>
    <rfmt sheetId="2" sqref="KW801" start="0" length="0">
      <dxf/>
    </rfmt>
    <rfmt sheetId="2" sqref="KX801" start="0" length="0">
      <dxf/>
    </rfmt>
    <rfmt sheetId="2" sqref="KY801" start="0" length="0">
      <dxf/>
    </rfmt>
    <rfmt sheetId="2" sqref="KZ801" start="0" length="0">
      <dxf/>
    </rfmt>
    <rfmt sheetId="2" sqref="LA801" start="0" length="0">
      <dxf/>
    </rfmt>
    <rfmt sheetId="2" sqref="LB801" start="0" length="0">
      <dxf/>
    </rfmt>
    <rfmt sheetId="2" sqref="LC801" start="0" length="0">
      <dxf/>
    </rfmt>
    <rfmt sheetId="2" sqref="LD801" start="0" length="0">
      <dxf/>
    </rfmt>
    <rfmt sheetId="2" sqref="LE801" start="0" length="0">
      <dxf/>
    </rfmt>
    <rfmt sheetId="2" sqref="LF801" start="0" length="0">
      <dxf/>
    </rfmt>
    <rfmt sheetId="2" sqref="LG801" start="0" length="0">
      <dxf/>
    </rfmt>
    <rfmt sheetId="2" sqref="LH801" start="0" length="0">
      <dxf/>
    </rfmt>
    <rfmt sheetId="2" sqref="LI801" start="0" length="0">
      <dxf/>
    </rfmt>
    <rfmt sheetId="2" sqref="LJ801" start="0" length="0">
      <dxf/>
    </rfmt>
    <rfmt sheetId="2" sqref="LK801" start="0" length="0">
      <dxf/>
    </rfmt>
    <rfmt sheetId="2" sqref="LL801" start="0" length="0">
      <dxf/>
    </rfmt>
    <rfmt sheetId="2" sqref="LM801" start="0" length="0">
      <dxf/>
    </rfmt>
    <rfmt sheetId="2" sqref="LN801" start="0" length="0">
      <dxf/>
    </rfmt>
    <rfmt sheetId="2" sqref="LO801" start="0" length="0">
      <dxf/>
    </rfmt>
    <rfmt sheetId="2" sqref="LP801" start="0" length="0">
      <dxf/>
    </rfmt>
    <rfmt sheetId="2" sqref="LQ801" start="0" length="0">
      <dxf/>
    </rfmt>
    <rfmt sheetId="2" sqref="LR801" start="0" length="0">
      <dxf/>
    </rfmt>
    <rfmt sheetId="2" sqref="LS801" start="0" length="0">
      <dxf/>
    </rfmt>
    <rfmt sheetId="2" sqref="LT801" start="0" length="0">
      <dxf/>
    </rfmt>
    <rfmt sheetId="2" sqref="LU801" start="0" length="0">
      <dxf/>
    </rfmt>
    <rfmt sheetId="2" sqref="LV801" start="0" length="0">
      <dxf/>
    </rfmt>
    <rfmt sheetId="2" sqref="LW801" start="0" length="0">
      <dxf/>
    </rfmt>
    <rfmt sheetId="2" sqref="LX801" start="0" length="0">
      <dxf/>
    </rfmt>
    <rfmt sheetId="2" sqref="LY801" start="0" length="0">
      <dxf/>
    </rfmt>
    <rfmt sheetId="2" sqref="LZ801" start="0" length="0">
      <dxf/>
    </rfmt>
    <rfmt sheetId="2" sqref="MA801" start="0" length="0">
      <dxf/>
    </rfmt>
    <rfmt sheetId="2" sqref="MB801" start="0" length="0">
      <dxf/>
    </rfmt>
  </rrc>
  <rrc rId="2677" sId="2" ref="A797:XFD798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78" sheetId="2" source="A803:XFD804" destination="A797:XFD798" sourceSheetId="2">
    <rfmt sheetId="2" xfDxf="1" sqref="A797:XFD797" start="0" length="0">
      <dxf>
        <font>
          <sz val="10"/>
          <name val="Arial"/>
          <scheme val="none"/>
        </font>
        <alignment horizontal="center" readingOrder="0"/>
      </dxf>
    </rfmt>
    <rfmt sheetId="2" xfDxf="1" sqref="A798:XFD798" start="0" length="0">
      <dxf>
        <font>
          <sz val="10"/>
          <name val="Arial"/>
          <scheme val="none"/>
        </font>
        <alignment horizontal="center" readingOrder="0"/>
      </dxf>
    </rfmt>
    <rfmt sheetId="2" sqref="A797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7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7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9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9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9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97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7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7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7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7" start="0" length="0">
      <dxf>
        <numFmt numFmtId="176" formatCode="m/d;@"/>
      </dxf>
    </rfmt>
    <rfmt sheetId="2" sqref="P797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7" start="0" length="0">
      <dxf/>
    </rfmt>
    <rfmt sheetId="2" sqref="U797" start="0" length="0">
      <dxf/>
    </rfmt>
    <rfmt sheetId="2" sqref="V797" start="0" length="0">
      <dxf/>
    </rfmt>
    <rfmt sheetId="2" sqref="W797" start="0" length="0">
      <dxf/>
    </rfmt>
    <rfmt sheetId="2" sqref="X797" start="0" length="0">
      <dxf/>
    </rfmt>
    <rfmt sheetId="2" sqref="Y797" start="0" length="0">
      <dxf/>
    </rfmt>
    <rfmt sheetId="2" sqref="Z797" start="0" length="0">
      <dxf/>
    </rfmt>
    <rfmt sheetId="2" sqref="AA797" start="0" length="0">
      <dxf/>
    </rfmt>
    <rfmt sheetId="2" sqref="AB797" start="0" length="0">
      <dxf/>
    </rfmt>
    <rfmt sheetId="2" sqref="AC797" start="0" length="0">
      <dxf/>
    </rfmt>
    <rfmt sheetId="2" sqref="AD797" start="0" length="0">
      <dxf/>
    </rfmt>
    <rfmt sheetId="2" sqref="AE797" start="0" length="0">
      <dxf/>
    </rfmt>
    <rfmt sheetId="2" sqref="AF797" start="0" length="0">
      <dxf/>
    </rfmt>
    <rfmt sheetId="2" sqref="AG797" start="0" length="0">
      <dxf/>
    </rfmt>
    <rfmt sheetId="2" sqref="AH797" start="0" length="0">
      <dxf/>
    </rfmt>
    <rfmt sheetId="2" sqref="AI797" start="0" length="0">
      <dxf/>
    </rfmt>
    <rfmt sheetId="2" sqref="AJ797" start="0" length="0">
      <dxf/>
    </rfmt>
    <rfmt sheetId="2" sqref="AK797" start="0" length="0">
      <dxf/>
    </rfmt>
    <rfmt sheetId="2" sqref="AL797" start="0" length="0">
      <dxf/>
    </rfmt>
    <rfmt sheetId="2" sqref="AM797" start="0" length="0">
      <dxf/>
    </rfmt>
    <rfmt sheetId="2" sqref="AN797" start="0" length="0">
      <dxf/>
    </rfmt>
    <rfmt sheetId="2" sqref="AO797" start="0" length="0">
      <dxf/>
    </rfmt>
    <rfmt sheetId="2" sqref="AP797" start="0" length="0">
      <dxf/>
    </rfmt>
    <rfmt sheetId="2" sqref="AQ797" start="0" length="0">
      <dxf/>
    </rfmt>
    <rfmt sheetId="2" sqref="AR797" start="0" length="0">
      <dxf/>
    </rfmt>
    <rfmt sheetId="2" sqref="AS797" start="0" length="0">
      <dxf/>
    </rfmt>
    <rfmt sheetId="2" sqref="AT797" start="0" length="0">
      <dxf/>
    </rfmt>
    <rfmt sheetId="2" sqref="AU797" start="0" length="0">
      <dxf/>
    </rfmt>
    <rfmt sheetId="2" sqref="AV797" start="0" length="0">
      <dxf/>
    </rfmt>
    <rfmt sheetId="2" sqref="AW797" start="0" length="0">
      <dxf/>
    </rfmt>
    <rfmt sheetId="2" sqref="AX797" start="0" length="0">
      <dxf/>
    </rfmt>
    <rfmt sheetId="2" sqref="AY797" start="0" length="0">
      <dxf/>
    </rfmt>
    <rfmt sheetId="2" sqref="AZ797" start="0" length="0">
      <dxf/>
    </rfmt>
    <rfmt sheetId="2" sqref="BA797" start="0" length="0">
      <dxf/>
    </rfmt>
    <rfmt sheetId="2" sqref="BB797" start="0" length="0">
      <dxf/>
    </rfmt>
    <rfmt sheetId="2" sqref="BC797" start="0" length="0">
      <dxf/>
    </rfmt>
    <rfmt sheetId="2" sqref="BD797" start="0" length="0">
      <dxf/>
    </rfmt>
    <rfmt sheetId="2" sqref="BE797" start="0" length="0">
      <dxf/>
    </rfmt>
    <rfmt sheetId="2" sqref="BF797" start="0" length="0">
      <dxf/>
    </rfmt>
    <rfmt sheetId="2" sqref="BG797" start="0" length="0">
      <dxf/>
    </rfmt>
    <rfmt sheetId="2" sqref="BH797" start="0" length="0">
      <dxf/>
    </rfmt>
    <rfmt sheetId="2" sqref="BI797" start="0" length="0">
      <dxf/>
    </rfmt>
    <rfmt sheetId="2" sqref="BJ797" start="0" length="0">
      <dxf/>
    </rfmt>
    <rfmt sheetId="2" sqref="BK797" start="0" length="0">
      <dxf/>
    </rfmt>
    <rfmt sheetId="2" sqref="BL797" start="0" length="0">
      <dxf/>
    </rfmt>
    <rfmt sheetId="2" sqref="BM797" start="0" length="0">
      <dxf/>
    </rfmt>
    <rfmt sheetId="2" sqref="BN797" start="0" length="0">
      <dxf/>
    </rfmt>
    <rfmt sheetId="2" sqref="BO797" start="0" length="0">
      <dxf/>
    </rfmt>
    <rfmt sheetId="2" sqref="BP797" start="0" length="0">
      <dxf/>
    </rfmt>
    <rfmt sheetId="2" sqref="BQ797" start="0" length="0">
      <dxf/>
    </rfmt>
    <rfmt sheetId="2" sqref="BR797" start="0" length="0">
      <dxf/>
    </rfmt>
    <rfmt sheetId="2" sqref="BS797" start="0" length="0">
      <dxf/>
    </rfmt>
    <rfmt sheetId="2" sqref="BT797" start="0" length="0">
      <dxf/>
    </rfmt>
    <rfmt sheetId="2" sqref="BU797" start="0" length="0">
      <dxf/>
    </rfmt>
    <rfmt sheetId="2" sqref="BV797" start="0" length="0">
      <dxf/>
    </rfmt>
    <rfmt sheetId="2" sqref="BW797" start="0" length="0">
      <dxf/>
    </rfmt>
    <rfmt sheetId="2" sqref="BX797" start="0" length="0">
      <dxf/>
    </rfmt>
    <rfmt sheetId="2" sqref="BY797" start="0" length="0">
      <dxf/>
    </rfmt>
    <rfmt sheetId="2" sqref="BZ797" start="0" length="0">
      <dxf/>
    </rfmt>
    <rfmt sheetId="2" sqref="CA797" start="0" length="0">
      <dxf/>
    </rfmt>
    <rfmt sheetId="2" sqref="CB797" start="0" length="0">
      <dxf/>
    </rfmt>
    <rfmt sheetId="2" sqref="CC797" start="0" length="0">
      <dxf/>
    </rfmt>
    <rfmt sheetId="2" sqref="CD797" start="0" length="0">
      <dxf/>
    </rfmt>
    <rfmt sheetId="2" sqref="CE797" start="0" length="0">
      <dxf/>
    </rfmt>
    <rfmt sheetId="2" sqref="CF797" start="0" length="0">
      <dxf/>
    </rfmt>
    <rfmt sheetId="2" sqref="CG797" start="0" length="0">
      <dxf/>
    </rfmt>
    <rfmt sheetId="2" sqref="CH797" start="0" length="0">
      <dxf/>
    </rfmt>
    <rfmt sheetId="2" sqref="CI797" start="0" length="0">
      <dxf/>
    </rfmt>
    <rfmt sheetId="2" sqref="CJ797" start="0" length="0">
      <dxf/>
    </rfmt>
    <rfmt sheetId="2" sqref="CK797" start="0" length="0">
      <dxf/>
    </rfmt>
    <rfmt sheetId="2" sqref="CL797" start="0" length="0">
      <dxf/>
    </rfmt>
    <rfmt sheetId="2" sqref="CM797" start="0" length="0">
      <dxf/>
    </rfmt>
    <rfmt sheetId="2" sqref="CN797" start="0" length="0">
      <dxf/>
    </rfmt>
    <rfmt sheetId="2" sqref="CO797" start="0" length="0">
      <dxf/>
    </rfmt>
    <rfmt sheetId="2" sqref="CP797" start="0" length="0">
      <dxf/>
    </rfmt>
    <rfmt sheetId="2" sqref="CQ797" start="0" length="0">
      <dxf/>
    </rfmt>
    <rfmt sheetId="2" sqref="CR797" start="0" length="0">
      <dxf/>
    </rfmt>
    <rfmt sheetId="2" sqref="CS797" start="0" length="0">
      <dxf/>
    </rfmt>
    <rfmt sheetId="2" sqref="CT797" start="0" length="0">
      <dxf/>
    </rfmt>
    <rfmt sheetId="2" sqref="CU797" start="0" length="0">
      <dxf/>
    </rfmt>
    <rfmt sheetId="2" sqref="CV797" start="0" length="0">
      <dxf/>
    </rfmt>
    <rfmt sheetId="2" sqref="CW797" start="0" length="0">
      <dxf/>
    </rfmt>
    <rfmt sheetId="2" sqref="CX797" start="0" length="0">
      <dxf/>
    </rfmt>
    <rfmt sheetId="2" sqref="CY797" start="0" length="0">
      <dxf/>
    </rfmt>
    <rfmt sheetId="2" sqref="CZ797" start="0" length="0">
      <dxf/>
    </rfmt>
    <rfmt sheetId="2" sqref="DA797" start="0" length="0">
      <dxf/>
    </rfmt>
    <rfmt sheetId="2" sqref="DB797" start="0" length="0">
      <dxf/>
    </rfmt>
    <rfmt sheetId="2" sqref="DC797" start="0" length="0">
      <dxf/>
    </rfmt>
    <rfmt sheetId="2" sqref="DD797" start="0" length="0">
      <dxf/>
    </rfmt>
    <rfmt sheetId="2" sqref="DE797" start="0" length="0">
      <dxf/>
    </rfmt>
    <rfmt sheetId="2" sqref="DF797" start="0" length="0">
      <dxf/>
    </rfmt>
    <rfmt sheetId="2" sqref="DG797" start="0" length="0">
      <dxf/>
    </rfmt>
    <rfmt sheetId="2" sqref="DH797" start="0" length="0">
      <dxf/>
    </rfmt>
    <rfmt sheetId="2" sqref="DI797" start="0" length="0">
      <dxf/>
    </rfmt>
    <rfmt sheetId="2" sqref="DJ797" start="0" length="0">
      <dxf/>
    </rfmt>
    <rfmt sheetId="2" sqref="DK797" start="0" length="0">
      <dxf/>
    </rfmt>
    <rfmt sheetId="2" sqref="DL797" start="0" length="0">
      <dxf/>
    </rfmt>
    <rfmt sheetId="2" sqref="DM797" start="0" length="0">
      <dxf/>
    </rfmt>
    <rfmt sheetId="2" sqref="DN797" start="0" length="0">
      <dxf/>
    </rfmt>
    <rfmt sheetId="2" sqref="DO797" start="0" length="0">
      <dxf/>
    </rfmt>
    <rfmt sheetId="2" sqref="DP797" start="0" length="0">
      <dxf/>
    </rfmt>
    <rfmt sheetId="2" sqref="DQ797" start="0" length="0">
      <dxf/>
    </rfmt>
    <rfmt sheetId="2" sqref="DR797" start="0" length="0">
      <dxf/>
    </rfmt>
    <rfmt sheetId="2" sqref="DS797" start="0" length="0">
      <dxf/>
    </rfmt>
    <rfmt sheetId="2" sqref="DT797" start="0" length="0">
      <dxf/>
    </rfmt>
    <rfmt sheetId="2" sqref="DU797" start="0" length="0">
      <dxf/>
    </rfmt>
    <rfmt sheetId="2" sqref="DV797" start="0" length="0">
      <dxf/>
    </rfmt>
    <rfmt sheetId="2" sqref="DW797" start="0" length="0">
      <dxf/>
    </rfmt>
    <rfmt sheetId="2" sqref="DX797" start="0" length="0">
      <dxf/>
    </rfmt>
    <rfmt sheetId="2" sqref="DY797" start="0" length="0">
      <dxf/>
    </rfmt>
    <rfmt sheetId="2" sqref="DZ797" start="0" length="0">
      <dxf/>
    </rfmt>
    <rfmt sheetId="2" sqref="EA797" start="0" length="0">
      <dxf/>
    </rfmt>
    <rfmt sheetId="2" sqref="EB797" start="0" length="0">
      <dxf/>
    </rfmt>
    <rfmt sheetId="2" sqref="EC797" start="0" length="0">
      <dxf/>
    </rfmt>
    <rfmt sheetId="2" sqref="ED797" start="0" length="0">
      <dxf/>
    </rfmt>
    <rfmt sheetId="2" sqref="EE797" start="0" length="0">
      <dxf/>
    </rfmt>
    <rfmt sheetId="2" sqref="EF797" start="0" length="0">
      <dxf/>
    </rfmt>
    <rfmt sheetId="2" sqref="EG797" start="0" length="0">
      <dxf/>
    </rfmt>
    <rfmt sheetId="2" sqref="EH797" start="0" length="0">
      <dxf/>
    </rfmt>
    <rfmt sheetId="2" sqref="EI797" start="0" length="0">
      <dxf/>
    </rfmt>
    <rfmt sheetId="2" sqref="EJ797" start="0" length="0">
      <dxf/>
    </rfmt>
    <rfmt sheetId="2" sqref="EK797" start="0" length="0">
      <dxf/>
    </rfmt>
    <rfmt sheetId="2" sqref="EL797" start="0" length="0">
      <dxf/>
    </rfmt>
    <rfmt sheetId="2" sqref="EM797" start="0" length="0">
      <dxf/>
    </rfmt>
    <rfmt sheetId="2" sqref="EN797" start="0" length="0">
      <dxf/>
    </rfmt>
    <rfmt sheetId="2" sqref="EO797" start="0" length="0">
      <dxf/>
    </rfmt>
    <rfmt sheetId="2" sqref="EP797" start="0" length="0">
      <dxf/>
    </rfmt>
    <rfmt sheetId="2" sqref="EQ797" start="0" length="0">
      <dxf/>
    </rfmt>
    <rfmt sheetId="2" sqref="ER797" start="0" length="0">
      <dxf/>
    </rfmt>
    <rfmt sheetId="2" sqref="ES797" start="0" length="0">
      <dxf/>
    </rfmt>
    <rfmt sheetId="2" sqref="ET797" start="0" length="0">
      <dxf/>
    </rfmt>
    <rfmt sheetId="2" sqref="EU797" start="0" length="0">
      <dxf/>
    </rfmt>
    <rfmt sheetId="2" sqref="EV797" start="0" length="0">
      <dxf/>
    </rfmt>
    <rfmt sheetId="2" sqref="EW797" start="0" length="0">
      <dxf/>
    </rfmt>
    <rfmt sheetId="2" sqref="EX797" start="0" length="0">
      <dxf/>
    </rfmt>
    <rfmt sheetId="2" sqref="EY797" start="0" length="0">
      <dxf/>
    </rfmt>
    <rfmt sheetId="2" sqref="EZ797" start="0" length="0">
      <dxf/>
    </rfmt>
    <rfmt sheetId="2" sqref="FA797" start="0" length="0">
      <dxf/>
    </rfmt>
    <rfmt sheetId="2" sqref="FB797" start="0" length="0">
      <dxf/>
    </rfmt>
    <rfmt sheetId="2" sqref="FC797" start="0" length="0">
      <dxf/>
    </rfmt>
    <rfmt sheetId="2" sqref="FD797" start="0" length="0">
      <dxf/>
    </rfmt>
    <rfmt sheetId="2" sqref="FE797" start="0" length="0">
      <dxf/>
    </rfmt>
    <rfmt sheetId="2" sqref="FF797" start="0" length="0">
      <dxf/>
    </rfmt>
    <rfmt sheetId="2" sqref="FG797" start="0" length="0">
      <dxf/>
    </rfmt>
    <rfmt sheetId="2" sqref="FH797" start="0" length="0">
      <dxf/>
    </rfmt>
    <rfmt sheetId="2" sqref="FI797" start="0" length="0">
      <dxf/>
    </rfmt>
    <rfmt sheetId="2" sqref="FJ797" start="0" length="0">
      <dxf/>
    </rfmt>
    <rfmt sheetId="2" sqref="FK797" start="0" length="0">
      <dxf/>
    </rfmt>
    <rfmt sheetId="2" sqref="FL797" start="0" length="0">
      <dxf/>
    </rfmt>
    <rfmt sheetId="2" sqref="FM797" start="0" length="0">
      <dxf/>
    </rfmt>
    <rfmt sheetId="2" sqref="FN797" start="0" length="0">
      <dxf/>
    </rfmt>
    <rfmt sheetId="2" sqref="FO797" start="0" length="0">
      <dxf/>
    </rfmt>
    <rfmt sheetId="2" sqref="FP797" start="0" length="0">
      <dxf/>
    </rfmt>
    <rfmt sheetId="2" sqref="FQ797" start="0" length="0">
      <dxf/>
    </rfmt>
    <rfmt sheetId="2" sqref="FR797" start="0" length="0">
      <dxf/>
    </rfmt>
    <rfmt sheetId="2" sqref="FS797" start="0" length="0">
      <dxf/>
    </rfmt>
    <rfmt sheetId="2" sqref="FT797" start="0" length="0">
      <dxf/>
    </rfmt>
    <rfmt sheetId="2" sqref="FU797" start="0" length="0">
      <dxf/>
    </rfmt>
    <rfmt sheetId="2" sqref="FV797" start="0" length="0">
      <dxf/>
    </rfmt>
    <rfmt sheetId="2" sqref="FW797" start="0" length="0">
      <dxf/>
    </rfmt>
    <rfmt sheetId="2" sqref="FX797" start="0" length="0">
      <dxf/>
    </rfmt>
    <rfmt sheetId="2" sqref="FY797" start="0" length="0">
      <dxf/>
    </rfmt>
    <rfmt sheetId="2" sqref="FZ797" start="0" length="0">
      <dxf/>
    </rfmt>
    <rfmt sheetId="2" sqref="GA797" start="0" length="0">
      <dxf/>
    </rfmt>
    <rfmt sheetId="2" sqref="GB797" start="0" length="0">
      <dxf/>
    </rfmt>
    <rfmt sheetId="2" sqref="GC797" start="0" length="0">
      <dxf/>
    </rfmt>
    <rfmt sheetId="2" sqref="GD797" start="0" length="0">
      <dxf/>
    </rfmt>
    <rfmt sheetId="2" sqref="GE797" start="0" length="0">
      <dxf/>
    </rfmt>
    <rfmt sheetId="2" sqref="GF797" start="0" length="0">
      <dxf/>
    </rfmt>
    <rfmt sheetId="2" sqref="GG797" start="0" length="0">
      <dxf/>
    </rfmt>
    <rfmt sheetId="2" sqref="GH797" start="0" length="0">
      <dxf/>
    </rfmt>
    <rfmt sheetId="2" sqref="GI797" start="0" length="0">
      <dxf/>
    </rfmt>
    <rfmt sheetId="2" sqref="GJ797" start="0" length="0">
      <dxf/>
    </rfmt>
    <rfmt sheetId="2" sqref="GK797" start="0" length="0">
      <dxf/>
    </rfmt>
    <rfmt sheetId="2" sqref="GL797" start="0" length="0">
      <dxf/>
    </rfmt>
    <rfmt sheetId="2" sqref="GM797" start="0" length="0">
      <dxf/>
    </rfmt>
    <rfmt sheetId="2" sqref="GN797" start="0" length="0">
      <dxf/>
    </rfmt>
    <rfmt sheetId="2" sqref="GO797" start="0" length="0">
      <dxf/>
    </rfmt>
    <rfmt sheetId="2" sqref="GP797" start="0" length="0">
      <dxf/>
    </rfmt>
    <rfmt sheetId="2" sqref="GQ797" start="0" length="0">
      <dxf/>
    </rfmt>
    <rfmt sheetId="2" sqref="GR797" start="0" length="0">
      <dxf/>
    </rfmt>
    <rfmt sheetId="2" sqref="GS797" start="0" length="0">
      <dxf/>
    </rfmt>
    <rfmt sheetId="2" sqref="GT797" start="0" length="0">
      <dxf/>
    </rfmt>
    <rfmt sheetId="2" sqref="GU797" start="0" length="0">
      <dxf/>
    </rfmt>
    <rfmt sheetId="2" sqref="GV797" start="0" length="0">
      <dxf/>
    </rfmt>
    <rfmt sheetId="2" sqref="GW797" start="0" length="0">
      <dxf/>
    </rfmt>
    <rfmt sheetId="2" sqref="GX797" start="0" length="0">
      <dxf/>
    </rfmt>
    <rfmt sheetId="2" sqref="GY797" start="0" length="0">
      <dxf/>
    </rfmt>
    <rfmt sheetId="2" sqref="GZ797" start="0" length="0">
      <dxf/>
    </rfmt>
    <rfmt sheetId="2" sqref="HA797" start="0" length="0">
      <dxf/>
    </rfmt>
    <rfmt sheetId="2" sqref="HB797" start="0" length="0">
      <dxf/>
    </rfmt>
    <rfmt sheetId="2" sqref="HC797" start="0" length="0">
      <dxf/>
    </rfmt>
    <rfmt sheetId="2" sqref="HD797" start="0" length="0">
      <dxf/>
    </rfmt>
    <rfmt sheetId="2" sqref="HE797" start="0" length="0">
      <dxf/>
    </rfmt>
    <rfmt sheetId="2" sqref="HF797" start="0" length="0">
      <dxf/>
    </rfmt>
    <rfmt sheetId="2" sqref="HG797" start="0" length="0">
      <dxf/>
    </rfmt>
    <rfmt sheetId="2" sqref="HH797" start="0" length="0">
      <dxf/>
    </rfmt>
    <rfmt sheetId="2" sqref="HI797" start="0" length="0">
      <dxf/>
    </rfmt>
    <rfmt sheetId="2" sqref="HJ797" start="0" length="0">
      <dxf/>
    </rfmt>
    <rfmt sheetId="2" sqref="HK797" start="0" length="0">
      <dxf/>
    </rfmt>
    <rfmt sheetId="2" sqref="HL797" start="0" length="0">
      <dxf/>
    </rfmt>
    <rfmt sheetId="2" sqref="HM797" start="0" length="0">
      <dxf/>
    </rfmt>
    <rfmt sheetId="2" sqref="HN797" start="0" length="0">
      <dxf/>
    </rfmt>
    <rfmt sheetId="2" sqref="HO797" start="0" length="0">
      <dxf/>
    </rfmt>
    <rfmt sheetId="2" sqref="HP797" start="0" length="0">
      <dxf/>
    </rfmt>
    <rfmt sheetId="2" sqref="HQ797" start="0" length="0">
      <dxf/>
    </rfmt>
    <rfmt sheetId="2" sqref="HR797" start="0" length="0">
      <dxf/>
    </rfmt>
    <rfmt sheetId="2" sqref="HS797" start="0" length="0">
      <dxf/>
    </rfmt>
    <rfmt sheetId="2" sqref="HT797" start="0" length="0">
      <dxf/>
    </rfmt>
    <rfmt sheetId="2" sqref="HU797" start="0" length="0">
      <dxf/>
    </rfmt>
    <rfmt sheetId="2" sqref="HV797" start="0" length="0">
      <dxf/>
    </rfmt>
    <rfmt sheetId="2" sqref="HW797" start="0" length="0">
      <dxf/>
    </rfmt>
    <rfmt sheetId="2" sqref="HX797" start="0" length="0">
      <dxf/>
    </rfmt>
    <rfmt sheetId="2" sqref="HY797" start="0" length="0">
      <dxf/>
    </rfmt>
    <rfmt sheetId="2" sqref="HZ797" start="0" length="0">
      <dxf/>
    </rfmt>
    <rfmt sheetId="2" sqref="IA797" start="0" length="0">
      <dxf/>
    </rfmt>
    <rfmt sheetId="2" sqref="IB797" start="0" length="0">
      <dxf/>
    </rfmt>
    <rfmt sheetId="2" sqref="IC797" start="0" length="0">
      <dxf/>
    </rfmt>
    <rfmt sheetId="2" sqref="ID797" start="0" length="0">
      <dxf/>
    </rfmt>
    <rfmt sheetId="2" sqref="IE797" start="0" length="0">
      <dxf/>
    </rfmt>
    <rfmt sheetId="2" sqref="IF797" start="0" length="0">
      <dxf/>
    </rfmt>
    <rfmt sheetId="2" sqref="IG797" start="0" length="0">
      <dxf/>
    </rfmt>
    <rfmt sheetId="2" sqref="IH797" start="0" length="0">
      <dxf/>
    </rfmt>
    <rfmt sheetId="2" sqref="II797" start="0" length="0">
      <dxf/>
    </rfmt>
    <rfmt sheetId="2" sqref="IJ797" start="0" length="0">
      <dxf/>
    </rfmt>
    <rfmt sheetId="2" sqref="IK797" start="0" length="0">
      <dxf/>
    </rfmt>
    <rfmt sheetId="2" sqref="IL797" start="0" length="0">
      <dxf/>
    </rfmt>
    <rfmt sheetId="2" sqref="IM797" start="0" length="0">
      <dxf/>
    </rfmt>
    <rfmt sheetId="2" sqref="IN797" start="0" length="0">
      <dxf/>
    </rfmt>
    <rfmt sheetId="2" sqref="IO797" start="0" length="0">
      <dxf/>
    </rfmt>
    <rfmt sheetId="2" sqref="IP797" start="0" length="0">
      <dxf/>
    </rfmt>
    <rfmt sheetId="2" sqref="IQ797" start="0" length="0">
      <dxf/>
    </rfmt>
    <rfmt sheetId="2" sqref="IR797" start="0" length="0">
      <dxf/>
    </rfmt>
    <rfmt sheetId="2" sqref="IS797" start="0" length="0">
      <dxf/>
    </rfmt>
    <rfmt sheetId="2" sqref="IT797" start="0" length="0">
      <dxf/>
    </rfmt>
    <rfmt sheetId="2" sqref="IU797" start="0" length="0">
      <dxf/>
    </rfmt>
    <rfmt sheetId="2" sqref="IV797" start="0" length="0">
      <dxf/>
    </rfmt>
    <rfmt sheetId="2" sqref="IW797" start="0" length="0">
      <dxf/>
    </rfmt>
    <rfmt sheetId="2" sqref="IX797" start="0" length="0">
      <dxf/>
    </rfmt>
    <rfmt sheetId="2" sqref="IY797" start="0" length="0">
      <dxf/>
    </rfmt>
    <rfmt sheetId="2" sqref="IZ797" start="0" length="0">
      <dxf/>
    </rfmt>
    <rfmt sheetId="2" sqref="JA797" start="0" length="0">
      <dxf/>
    </rfmt>
    <rfmt sheetId="2" sqref="JB797" start="0" length="0">
      <dxf/>
    </rfmt>
    <rfmt sheetId="2" sqref="JC797" start="0" length="0">
      <dxf/>
    </rfmt>
    <rfmt sheetId="2" sqref="JD797" start="0" length="0">
      <dxf/>
    </rfmt>
    <rfmt sheetId="2" sqref="JE797" start="0" length="0">
      <dxf/>
    </rfmt>
    <rfmt sheetId="2" sqref="JF797" start="0" length="0">
      <dxf/>
    </rfmt>
    <rfmt sheetId="2" sqref="JG797" start="0" length="0">
      <dxf/>
    </rfmt>
    <rfmt sheetId="2" sqref="JH797" start="0" length="0">
      <dxf/>
    </rfmt>
    <rfmt sheetId="2" sqref="JI797" start="0" length="0">
      <dxf/>
    </rfmt>
    <rfmt sheetId="2" sqref="JJ797" start="0" length="0">
      <dxf/>
    </rfmt>
    <rfmt sheetId="2" sqref="JK797" start="0" length="0">
      <dxf/>
    </rfmt>
    <rfmt sheetId="2" sqref="JL797" start="0" length="0">
      <dxf/>
    </rfmt>
    <rfmt sheetId="2" sqref="JM797" start="0" length="0">
      <dxf/>
    </rfmt>
    <rfmt sheetId="2" sqref="JN797" start="0" length="0">
      <dxf/>
    </rfmt>
    <rfmt sheetId="2" sqref="JO797" start="0" length="0">
      <dxf/>
    </rfmt>
    <rfmt sheetId="2" sqref="JP797" start="0" length="0">
      <dxf/>
    </rfmt>
    <rfmt sheetId="2" sqref="JQ797" start="0" length="0">
      <dxf/>
    </rfmt>
    <rfmt sheetId="2" sqref="JR797" start="0" length="0">
      <dxf/>
    </rfmt>
    <rfmt sheetId="2" sqref="JS797" start="0" length="0">
      <dxf/>
    </rfmt>
    <rfmt sheetId="2" sqref="JT797" start="0" length="0">
      <dxf/>
    </rfmt>
    <rfmt sheetId="2" sqref="JU797" start="0" length="0">
      <dxf/>
    </rfmt>
    <rfmt sheetId="2" sqref="JV797" start="0" length="0">
      <dxf/>
    </rfmt>
    <rfmt sheetId="2" sqref="JW797" start="0" length="0">
      <dxf/>
    </rfmt>
    <rfmt sheetId="2" sqref="JX797" start="0" length="0">
      <dxf/>
    </rfmt>
    <rfmt sheetId="2" sqref="JY797" start="0" length="0">
      <dxf/>
    </rfmt>
    <rfmt sheetId="2" sqref="JZ797" start="0" length="0">
      <dxf/>
    </rfmt>
    <rfmt sheetId="2" sqref="KA797" start="0" length="0">
      <dxf/>
    </rfmt>
    <rfmt sheetId="2" sqref="KB797" start="0" length="0">
      <dxf/>
    </rfmt>
    <rfmt sheetId="2" sqref="KC797" start="0" length="0">
      <dxf/>
    </rfmt>
    <rfmt sheetId="2" sqref="KD797" start="0" length="0">
      <dxf/>
    </rfmt>
    <rfmt sheetId="2" sqref="KE797" start="0" length="0">
      <dxf/>
    </rfmt>
    <rfmt sheetId="2" sqref="KF797" start="0" length="0">
      <dxf/>
    </rfmt>
    <rfmt sheetId="2" sqref="KG797" start="0" length="0">
      <dxf/>
    </rfmt>
    <rfmt sheetId="2" sqref="KH797" start="0" length="0">
      <dxf/>
    </rfmt>
    <rfmt sheetId="2" sqref="KI797" start="0" length="0">
      <dxf/>
    </rfmt>
    <rfmt sheetId="2" sqref="KJ797" start="0" length="0">
      <dxf/>
    </rfmt>
    <rfmt sheetId="2" sqref="KK797" start="0" length="0">
      <dxf/>
    </rfmt>
    <rfmt sheetId="2" sqref="KL797" start="0" length="0">
      <dxf/>
    </rfmt>
    <rfmt sheetId="2" sqref="KM797" start="0" length="0">
      <dxf/>
    </rfmt>
    <rfmt sheetId="2" sqref="KN797" start="0" length="0">
      <dxf/>
    </rfmt>
    <rfmt sheetId="2" sqref="KO797" start="0" length="0">
      <dxf/>
    </rfmt>
    <rfmt sheetId="2" sqref="KP797" start="0" length="0">
      <dxf/>
    </rfmt>
    <rfmt sheetId="2" sqref="KQ797" start="0" length="0">
      <dxf/>
    </rfmt>
    <rfmt sheetId="2" sqref="KR797" start="0" length="0">
      <dxf/>
    </rfmt>
    <rfmt sheetId="2" sqref="KS797" start="0" length="0">
      <dxf/>
    </rfmt>
    <rfmt sheetId="2" sqref="KT797" start="0" length="0">
      <dxf/>
    </rfmt>
    <rfmt sheetId="2" sqref="KU797" start="0" length="0">
      <dxf/>
    </rfmt>
    <rfmt sheetId="2" sqref="KV797" start="0" length="0">
      <dxf/>
    </rfmt>
    <rfmt sheetId="2" sqref="KW797" start="0" length="0">
      <dxf/>
    </rfmt>
    <rfmt sheetId="2" sqref="KX797" start="0" length="0">
      <dxf/>
    </rfmt>
    <rfmt sheetId="2" sqref="KY797" start="0" length="0">
      <dxf/>
    </rfmt>
    <rfmt sheetId="2" sqref="KZ797" start="0" length="0">
      <dxf/>
    </rfmt>
    <rfmt sheetId="2" sqref="LA797" start="0" length="0">
      <dxf/>
    </rfmt>
    <rfmt sheetId="2" sqref="LB797" start="0" length="0">
      <dxf/>
    </rfmt>
    <rfmt sheetId="2" sqref="LC797" start="0" length="0">
      <dxf/>
    </rfmt>
    <rfmt sheetId="2" sqref="LD797" start="0" length="0">
      <dxf/>
    </rfmt>
    <rfmt sheetId="2" sqref="LE797" start="0" length="0">
      <dxf/>
    </rfmt>
    <rfmt sheetId="2" sqref="LF797" start="0" length="0">
      <dxf/>
    </rfmt>
    <rfmt sheetId="2" sqref="LG797" start="0" length="0">
      <dxf/>
    </rfmt>
    <rfmt sheetId="2" sqref="LH797" start="0" length="0">
      <dxf/>
    </rfmt>
    <rfmt sheetId="2" sqref="LI797" start="0" length="0">
      <dxf/>
    </rfmt>
    <rfmt sheetId="2" sqref="LJ797" start="0" length="0">
      <dxf/>
    </rfmt>
    <rfmt sheetId="2" sqref="LK797" start="0" length="0">
      <dxf/>
    </rfmt>
    <rfmt sheetId="2" sqref="LL797" start="0" length="0">
      <dxf/>
    </rfmt>
    <rfmt sheetId="2" sqref="LM797" start="0" length="0">
      <dxf/>
    </rfmt>
    <rfmt sheetId="2" sqref="LN797" start="0" length="0">
      <dxf/>
    </rfmt>
    <rfmt sheetId="2" sqref="LO797" start="0" length="0">
      <dxf/>
    </rfmt>
    <rfmt sheetId="2" sqref="LP797" start="0" length="0">
      <dxf/>
    </rfmt>
    <rfmt sheetId="2" sqref="LQ797" start="0" length="0">
      <dxf/>
    </rfmt>
    <rfmt sheetId="2" sqref="LR797" start="0" length="0">
      <dxf/>
    </rfmt>
    <rfmt sheetId="2" sqref="LS797" start="0" length="0">
      <dxf/>
    </rfmt>
    <rfmt sheetId="2" sqref="LT797" start="0" length="0">
      <dxf/>
    </rfmt>
    <rfmt sheetId="2" sqref="LU797" start="0" length="0">
      <dxf/>
    </rfmt>
    <rfmt sheetId="2" sqref="LV797" start="0" length="0">
      <dxf/>
    </rfmt>
    <rfmt sheetId="2" sqref="LW797" start="0" length="0">
      <dxf/>
    </rfmt>
    <rfmt sheetId="2" sqref="LX797" start="0" length="0">
      <dxf/>
    </rfmt>
    <rfmt sheetId="2" sqref="LY797" start="0" length="0">
      <dxf/>
    </rfmt>
    <rfmt sheetId="2" sqref="LZ797" start="0" length="0">
      <dxf/>
    </rfmt>
    <rfmt sheetId="2" sqref="MA797" start="0" length="0">
      <dxf/>
    </rfmt>
    <rfmt sheetId="2" sqref="MB797" start="0" length="0">
      <dxf/>
    </rfmt>
    <rfmt sheetId="2" sqref="A798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798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79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79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79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79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798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79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79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9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798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798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798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798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798" start="0" length="0">
      <dxf>
        <numFmt numFmtId="176" formatCode="m/d;@"/>
      </dxf>
    </rfmt>
    <rfmt sheetId="2" sqref="P798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798" start="0" length="0">
      <dxf/>
    </rfmt>
    <rfmt sheetId="2" sqref="U798" start="0" length="0">
      <dxf/>
    </rfmt>
    <rfmt sheetId="2" sqref="V798" start="0" length="0">
      <dxf/>
    </rfmt>
    <rfmt sheetId="2" sqref="W798" start="0" length="0">
      <dxf/>
    </rfmt>
    <rfmt sheetId="2" sqref="X798" start="0" length="0">
      <dxf/>
    </rfmt>
    <rfmt sheetId="2" sqref="Y798" start="0" length="0">
      <dxf/>
    </rfmt>
    <rfmt sheetId="2" sqref="Z798" start="0" length="0">
      <dxf/>
    </rfmt>
    <rfmt sheetId="2" sqref="AA798" start="0" length="0">
      <dxf/>
    </rfmt>
    <rfmt sheetId="2" sqref="AB798" start="0" length="0">
      <dxf/>
    </rfmt>
    <rfmt sheetId="2" sqref="AC798" start="0" length="0">
      <dxf/>
    </rfmt>
    <rfmt sheetId="2" sqref="AD798" start="0" length="0">
      <dxf/>
    </rfmt>
    <rfmt sheetId="2" sqref="AE798" start="0" length="0">
      <dxf/>
    </rfmt>
    <rfmt sheetId="2" sqref="AF798" start="0" length="0">
      <dxf/>
    </rfmt>
    <rfmt sheetId="2" sqref="AG798" start="0" length="0">
      <dxf/>
    </rfmt>
    <rfmt sheetId="2" sqref="AH798" start="0" length="0">
      <dxf/>
    </rfmt>
    <rfmt sheetId="2" sqref="AI798" start="0" length="0">
      <dxf/>
    </rfmt>
    <rfmt sheetId="2" sqref="AJ798" start="0" length="0">
      <dxf/>
    </rfmt>
    <rfmt sheetId="2" sqref="AK798" start="0" length="0">
      <dxf/>
    </rfmt>
    <rfmt sheetId="2" sqref="AL798" start="0" length="0">
      <dxf/>
    </rfmt>
    <rfmt sheetId="2" sqref="AM798" start="0" length="0">
      <dxf/>
    </rfmt>
    <rfmt sheetId="2" sqref="AN798" start="0" length="0">
      <dxf/>
    </rfmt>
    <rfmt sheetId="2" sqref="AO798" start="0" length="0">
      <dxf/>
    </rfmt>
    <rfmt sheetId="2" sqref="AP798" start="0" length="0">
      <dxf/>
    </rfmt>
    <rfmt sheetId="2" sqref="AQ798" start="0" length="0">
      <dxf/>
    </rfmt>
    <rfmt sheetId="2" sqref="AR798" start="0" length="0">
      <dxf/>
    </rfmt>
    <rfmt sheetId="2" sqref="AS798" start="0" length="0">
      <dxf/>
    </rfmt>
    <rfmt sheetId="2" sqref="AT798" start="0" length="0">
      <dxf/>
    </rfmt>
    <rfmt sheetId="2" sqref="AU798" start="0" length="0">
      <dxf/>
    </rfmt>
    <rfmt sheetId="2" sqref="AV798" start="0" length="0">
      <dxf/>
    </rfmt>
    <rfmt sheetId="2" sqref="AW798" start="0" length="0">
      <dxf/>
    </rfmt>
    <rfmt sheetId="2" sqref="AX798" start="0" length="0">
      <dxf/>
    </rfmt>
    <rfmt sheetId="2" sqref="AY798" start="0" length="0">
      <dxf/>
    </rfmt>
    <rfmt sheetId="2" sqref="AZ798" start="0" length="0">
      <dxf/>
    </rfmt>
    <rfmt sheetId="2" sqref="BA798" start="0" length="0">
      <dxf/>
    </rfmt>
    <rfmt sheetId="2" sqref="BB798" start="0" length="0">
      <dxf/>
    </rfmt>
    <rfmt sheetId="2" sqref="BC798" start="0" length="0">
      <dxf/>
    </rfmt>
    <rfmt sheetId="2" sqref="BD798" start="0" length="0">
      <dxf/>
    </rfmt>
    <rfmt sheetId="2" sqref="BE798" start="0" length="0">
      <dxf/>
    </rfmt>
    <rfmt sheetId="2" sqref="BF798" start="0" length="0">
      <dxf/>
    </rfmt>
    <rfmt sheetId="2" sqref="BG798" start="0" length="0">
      <dxf/>
    </rfmt>
    <rfmt sheetId="2" sqref="BH798" start="0" length="0">
      <dxf/>
    </rfmt>
    <rfmt sheetId="2" sqref="BI798" start="0" length="0">
      <dxf/>
    </rfmt>
    <rfmt sheetId="2" sqref="BJ798" start="0" length="0">
      <dxf/>
    </rfmt>
    <rfmt sheetId="2" sqref="BK798" start="0" length="0">
      <dxf/>
    </rfmt>
    <rfmt sheetId="2" sqref="BL798" start="0" length="0">
      <dxf/>
    </rfmt>
    <rfmt sheetId="2" sqref="BM798" start="0" length="0">
      <dxf/>
    </rfmt>
    <rfmt sheetId="2" sqref="BN798" start="0" length="0">
      <dxf/>
    </rfmt>
    <rfmt sheetId="2" sqref="BO798" start="0" length="0">
      <dxf/>
    </rfmt>
    <rfmt sheetId="2" sqref="BP798" start="0" length="0">
      <dxf/>
    </rfmt>
    <rfmt sheetId="2" sqref="BQ798" start="0" length="0">
      <dxf/>
    </rfmt>
    <rfmt sheetId="2" sqref="BR798" start="0" length="0">
      <dxf/>
    </rfmt>
    <rfmt sheetId="2" sqref="BS798" start="0" length="0">
      <dxf/>
    </rfmt>
    <rfmt sheetId="2" sqref="BT798" start="0" length="0">
      <dxf/>
    </rfmt>
    <rfmt sheetId="2" sqref="BU798" start="0" length="0">
      <dxf/>
    </rfmt>
    <rfmt sheetId="2" sqref="BV798" start="0" length="0">
      <dxf/>
    </rfmt>
    <rfmt sheetId="2" sqref="BW798" start="0" length="0">
      <dxf/>
    </rfmt>
    <rfmt sheetId="2" sqref="BX798" start="0" length="0">
      <dxf/>
    </rfmt>
    <rfmt sheetId="2" sqref="BY798" start="0" length="0">
      <dxf/>
    </rfmt>
    <rfmt sheetId="2" sqref="BZ798" start="0" length="0">
      <dxf/>
    </rfmt>
    <rfmt sheetId="2" sqref="CA798" start="0" length="0">
      <dxf/>
    </rfmt>
    <rfmt sheetId="2" sqref="CB798" start="0" length="0">
      <dxf/>
    </rfmt>
    <rfmt sheetId="2" sqref="CC798" start="0" length="0">
      <dxf/>
    </rfmt>
    <rfmt sheetId="2" sqref="CD798" start="0" length="0">
      <dxf/>
    </rfmt>
    <rfmt sheetId="2" sqref="CE798" start="0" length="0">
      <dxf/>
    </rfmt>
    <rfmt sheetId="2" sqref="CF798" start="0" length="0">
      <dxf/>
    </rfmt>
    <rfmt sheetId="2" sqref="CG798" start="0" length="0">
      <dxf/>
    </rfmt>
    <rfmt sheetId="2" sqref="CH798" start="0" length="0">
      <dxf/>
    </rfmt>
    <rfmt sheetId="2" sqref="CI798" start="0" length="0">
      <dxf/>
    </rfmt>
    <rfmt sheetId="2" sqref="CJ798" start="0" length="0">
      <dxf/>
    </rfmt>
    <rfmt sheetId="2" sqref="CK798" start="0" length="0">
      <dxf/>
    </rfmt>
    <rfmt sheetId="2" sqref="CL798" start="0" length="0">
      <dxf/>
    </rfmt>
    <rfmt sheetId="2" sqref="CM798" start="0" length="0">
      <dxf/>
    </rfmt>
    <rfmt sheetId="2" sqref="CN798" start="0" length="0">
      <dxf/>
    </rfmt>
    <rfmt sheetId="2" sqref="CO798" start="0" length="0">
      <dxf/>
    </rfmt>
    <rfmt sheetId="2" sqref="CP798" start="0" length="0">
      <dxf/>
    </rfmt>
    <rfmt sheetId="2" sqref="CQ798" start="0" length="0">
      <dxf/>
    </rfmt>
    <rfmt sheetId="2" sqref="CR798" start="0" length="0">
      <dxf/>
    </rfmt>
    <rfmt sheetId="2" sqref="CS798" start="0" length="0">
      <dxf/>
    </rfmt>
    <rfmt sheetId="2" sqref="CT798" start="0" length="0">
      <dxf/>
    </rfmt>
    <rfmt sheetId="2" sqref="CU798" start="0" length="0">
      <dxf/>
    </rfmt>
    <rfmt sheetId="2" sqref="CV798" start="0" length="0">
      <dxf/>
    </rfmt>
    <rfmt sheetId="2" sqref="CW798" start="0" length="0">
      <dxf/>
    </rfmt>
    <rfmt sheetId="2" sqref="CX798" start="0" length="0">
      <dxf/>
    </rfmt>
    <rfmt sheetId="2" sqref="CY798" start="0" length="0">
      <dxf/>
    </rfmt>
    <rfmt sheetId="2" sqref="CZ798" start="0" length="0">
      <dxf/>
    </rfmt>
    <rfmt sheetId="2" sqref="DA798" start="0" length="0">
      <dxf/>
    </rfmt>
    <rfmt sheetId="2" sqref="DB798" start="0" length="0">
      <dxf/>
    </rfmt>
    <rfmt sheetId="2" sqref="DC798" start="0" length="0">
      <dxf/>
    </rfmt>
    <rfmt sheetId="2" sqref="DD798" start="0" length="0">
      <dxf/>
    </rfmt>
    <rfmt sheetId="2" sqref="DE798" start="0" length="0">
      <dxf/>
    </rfmt>
    <rfmt sheetId="2" sqref="DF798" start="0" length="0">
      <dxf/>
    </rfmt>
    <rfmt sheetId="2" sqref="DG798" start="0" length="0">
      <dxf/>
    </rfmt>
    <rfmt sheetId="2" sqref="DH798" start="0" length="0">
      <dxf/>
    </rfmt>
    <rfmt sheetId="2" sqref="DI798" start="0" length="0">
      <dxf/>
    </rfmt>
    <rfmt sheetId="2" sqref="DJ798" start="0" length="0">
      <dxf/>
    </rfmt>
    <rfmt sheetId="2" sqref="DK798" start="0" length="0">
      <dxf/>
    </rfmt>
    <rfmt sheetId="2" sqref="DL798" start="0" length="0">
      <dxf/>
    </rfmt>
    <rfmt sheetId="2" sqref="DM798" start="0" length="0">
      <dxf/>
    </rfmt>
    <rfmt sheetId="2" sqref="DN798" start="0" length="0">
      <dxf/>
    </rfmt>
    <rfmt sheetId="2" sqref="DO798" start="0" length="0">
      <dxf/>
    </rfmt>
    <rfmt sheetId="2" sqref="DP798" start="0" length="0">
      <dxf/>
    </rfmt>
    <rfmt sheetId="2" sqref="DQ798" start="0" length="0">
      <dxf/>
    </rfmt>
    <rfmt sheetId="2" sqref="DR798" start="0" length="0">
      <dxf/>
    </rfmt>
    <rfmt sheetId="2" sqref="DS798" start="0" length="0">
      <dxf/>
    </rfmt>
    <rfmt sheetId="2" sqref="DT798" start="0" length="0">
      <dxf/>
    </rfmt>
    <rfmt sheetId="2" sqref="DU798" start="0" length="0">
      <dxf/>
    </rfmt>
    <rfmt sheetId="2" sqref="DV798" start="0" length="0">
      <dxf/>
    </rfmt>
    <rfmt sheetId="2" sqref="DW798" start="0" length="0">
      <dxf/>
    </rfmt>
    <rfmt sheetId="2" sqref="DX798" start="0" length="0">
      <dxf/>
    </rfmt>
    <rfmt sheetId="2" sqref="DY798" start="0" length="0">
      <dxf/>
    </rfmt>
    <rfmt sheetId="2" sqref="DZ798" start="0" length="0">
      <dxf/>
    </rfmt>
    <rfmt sheetId="2" sqref="EA798" start="0" length="0">
      <dxf/>
    </rfmt>
    <rfmt sheetId="2" sqref="EB798" start="0" length="0">
      <dxf/>
    </rfmt>
    <rfmt sheetId="2" sqref="EC798" start="0" length="0">
      <dxf/>
    </rfmt>
    <rfmt sheetId="2" sqref="ED798" start="0" length="0">
      <dxf/>
    </rfmt>
    <rfmt sheetId="2" sqref="EE798" start="0" length="0">
      <dxf/>
    </rfmt>
    <rfmt sheetId="2" sqref="EF798" start="0" length="0">
      <dxf/>
    </rfmt>
    <rfmt sheetId="2" sqref="EG798" start="0" length="0">
      <dxf/>
    </rfmt>
    <rfmt sheetId="2" sqref="EH798" start="0" length="0">
      <dxf/>
    </rfmt>
    <rfmt sheetId="2" sqref="EI798" start="0" length="0">
      <dxf/>
    </rfmt>
    <rfmt sheetId="2" sqref="EJ798" start="0" length="0">
      <dxf/>
    </rfmt>
    <rfmt sheetId="2" sqref="EK798" start="0" length="0">
      <dxf/>
    </rfmt>
    <rfmt sheetId="2" sqref="EL798" start="0" length="0">
      <dxf/>
    </rfmt>
    <rfmt sheetId="2" sqref="EM798" start="0" length="0">
      <dxf/>
    </rfmt>
    <rfmt sheetId="2" sqref="EN798" start="0" length="0">
      <dxf/>
    </rfmt>
    <rfmt sheetId="2" sqref="EO798" start="0" length="0">
      <dxf/>
    </rfmt>
    <rfmt sheetId="2" sqref="EP798" start="0" length="0">
      <dxf/>
    </rfmt>
    <rfmt sheetId="2" sqref="EQ798" start="0" length="0">
      <dxf/>
    </rfmt>
    <rfmt sheetId="2" sqref="ER798" start="0" length="0">
      <dxf/>
    </rfmt>
    <rfmt sheetId="2" sqref="ES798" start="0" length="0">
      <dxf/>
    </rfmt>
    <rfmt sheetId="2" sqref="ET798" start="0" length="0">
      <dxf/>
    </rfmt>
    <rfmt sheetId="2" sqref="EU798" start="0" length="0">
      <dxf/>
    </rfmt>
    <rfmt sheetId="2" sqref="EV798" start="0" length="0">
      <dxf/>
    </rfmt>
    <rfmt sheetId="2" sqref="EW798" start="0" length="0">
      <dxf/>
    </rfmt>
    <rfmt sheetId="2" sqref="EX798" start="0" length="0">
      <dxf/>
    </rfmt>
    <rfmt sheetId="2" sqref="EY798" start="0" length="0">
      <dxf/>
    </rfmt>
    <rfmt sheetId="2" sqref="EZ798" start="0" length="0">
      <dxf/>
    </rfmt>
    <rfmt sheetId="2" sqref="FA798" start="0" length="0">
      <dxf/>
    </rfmt>
    <rfmt sheetId="2" sqref="FB798" start="0" length="0">
      <dxf/>
    </rfmt>
    <rfmt sheetId="2" sqref="FC798" start="0" length="0">
      <dxf/>
    </rfmt>
    <rfmt sheetId="2" sqref="FD798" start="0" length="0">
      <dxf/>
    </rfmt>
    <rfmt sheetId="2" sqref="FE798" start="0" length="0">
      <dxf/>
    </rfmt>
    <rfmt sheetId="2" sqref="FF798" start="0" length="0">
      <dxf/>
    </rfmt>
    <rfmt sheetId="2" sqref="FG798" start="0" length="0">
      <dxf/>
    </rfmt>
    <rfmt sheetId="2" sqref="FH798" start="0" length="0">
      <dxf/>
    </rfmt>
    <rfmt sheetId="2" sqref="FI798" start="0" length="0">
      <dxf/>
    </rfmt>
    <rfmt sheetId="2" sqref="FJ798" start="0" length="0">
      <dxf/>
    </rfmt>
    <rfmt sheetId="2" sqref="FK798" start="0" length="0">
      <dxf/>
    </rfmt>
    <rfmt sheetId="2" sqref="FL798" start="0" length="0">
      <dxf/>
    </rfmt>
    <rfmt sheetId="2" sqref="FM798" start="0" length="0">
      <dxf/>
    </rfmt>
    <rfmt sheetId="2" sqref="FN798" start="0" length="0">
      <dxf/>
    </rfmt>
    <rfmt sheetId="2" sqref="FO798" start="0" length="0">
      <dxf/>
    </rfmt>
    <rfmt sheetId="2" sqref="FP798" start="0" length="0">
      <dxf/>
    </rfmt>
    <rfmt sheetId="2" sqref="FQ798" start="0" length="0">
      <dxf/>
    </rfmt>
    <rfmt sheetId="2" sqref="FR798" start="0" length="0">
      <dxf/>
    </rfmt>
    <rfmt sheetId="2" sqref="FS798" start="0" length="0">
      <dxf/>
    </rfmt>
    <rfmt sheetId="2" sqref="FT798" start="0" length="0">
      <dxf/>
    </rfmt>
    <rfmt sheetId="2" sqref="FU798" start="0" length="0">
      <dxf/>
    </rfmt>
    <rfmt sheetId="2" sqref="FV798" start="0" length="0">
      <dxf/>
    </rfmt>
    <rfmt sheetId="2" sqref="FW798" start="0" length="0">
      <dxf/>
    </rfmt>
    <rfmt sheetId="2" sqref="FX798" start="0" length="0">
      <dxf/>
    </rfmt>
    <rfmt sheetId="2" sqref="FY798" start="0" length="0">
      <dxf/>
    </rfmt>
    <rfmt sheetId="2" sqref="FZ798" start="0" length="0">
      <dxf/>
    </rfmt>
    <rfmt sheetId="2" sqref="GA798" start="0" length="0">
      <dxf/>
    </rfmt>
    <rfmt sheetId="2" sqref="GB798" start="0" length="0">
      <dxf/>
    </rfmt>
    <rfmt sheetId="2" sqref="GC798" start="0" length="0">
      <dxf/>
    </rfmt>
    <rfmt sheetId="2" sqref="GD798" start="0" length="0">
      <dxf/>
    </rfmt>
    <rfmt sheetId="2" sqref="GE798" start="0" length="0">
      <dxf/>
    </rfmt>
    <rfmt sheetId="2" sqref="GF798" start="0" length="0">
      <dxf/>
    </rfmt>
    <rfmt sheetId="2" sqref="GG798" start="0" length="0">
      <dxf/>
    </rfmt>
    <rfmt sheetId="2" sqref="GH798" start="0" length="0">
      <dxf/>
    </rfmt>
    <rfmt sheetId="2" sqref="GI798" start="0" length="0">
      <dxf/>
    </rfmt>
    <rfmt sheetId="2" sqref="GJ798" start="0" length="0">
      <dxf/>
    </rfmt>
    <rfmt sheetId="2" sqref="GK798" start="0" length="0">
      <dxf/>
    </rfmt>
    <rfmt sheetId="2" sqref="GL798" start="0" length="0">
      <dxf/>
    </rfmt>
    <rfmt sheetId="2" sqref="GM798" start="0" length="0">
      <dxf/>
    </rfmt>
    <rfmt sheetId="2" sqref="GN798" start="0" length="0">
      <dxf/>
    </rfmt>
    <rfmt sheetId="2" sqref="GO798" start="0" length="0">
      <dxf/>
    </rfmt>
    <rfmt sheetId="2" sqref="GP798" start="0" length="0">
      <dxf/>
    </rfmt>
    <rfmt sheetId="2" sqref="GQ798" start="0" length="0">
      <dxf/>
    </rfmt>
    <rfmt sheetId="2" sqref="GR798" start="0" length="0">
      <dxf/>
    </rfmt>
    <rfmt sheetId="2" sqref="GS798" start="0" length="0">
      <dxf/>
    </rfmt>
    <rfmt sheetId="2" sqref="GT798" start="0" length="0">
      <dxf/>
    </rfmt>
    <rfmt sheetId="2" sqref="GU798" start="0" length="0">
      <dxf/>
    </rfmt>
    <rfmt sheetId="2" sqref="GV798" start="0" length="0">
      <dxf/>
    </rfmt>
    <rfmt sheetId="2" sqref="GW798" start="0" length="0">
      <dxf/>
    </rfmt>
    <rfmt sheetId="2" sqref="GX798" start="0" length="0">
      <dxf/>
    </rfmt>
    <rfmt sheetId="2" sqref="GY798" start="0" length="0">
      <dxf/>
    </rfmt>
    <rfmt sheetId="2" sqref="GZ798" start="0" length="0">
      <dxf/>
    </rfmt>
    <rfmt sheetId="2" sqref="HA798" start="0" length="0">
      <dxf/>
    </rfmt>
    <rfmt sheetId="2" sqref="HB798" start="0" length="0">
      <dxf/>
    </rfmt>
    <rfmt sheetId="2" sqref="HC798" start="0" length="0">
      <dxf/>
    </rfmt>
    <rfmt sheetId="2" sqref="HD798" start="0" length="0">
      <dxf/>
    </rfmt>
    <rfmt sheetId="2" sqref="HE798" start="0" length="0">
      <dxf/>
    </rfmt>
    <rfmt sheetId="2" sqref="HF798" start="0" length="0">
      <dxf/>
    </rfmt>
    <rfmt sheetId="2" sqref="HG798" start="0" length="0">
      <dxf/>
    </rfmt>
    <rfmt sheetId="2" sqref="HH798" start="0" length="0">
      <dxf/>
    </rfmt>
    <rfmt sheetId="2" sqref="HI798" start="0" length="0">
      <dxf/>
    </rfmt>
    <rfmt sheetId="2" sqref="HJ798" start="0" length="0">
      <dxf/>
    </rfmt>
    <rfmt sheetId="2" sqref="HK798" start="0" length="0">
      <dxf/>
    </rfmt>
    <rfmt sheetId="2" sqref="HL798" start="0" length="0">
      <dxf/>
    </rfmt>
    <rfmt sheetId="2" sqref="HM798" start="0" length="0">
      <dxf/>
    </rfmt>
    <rfmt sheetId="2" sqref="HN798" start="0" length="0">
      <dxf/>
    </rfmt>
    <rfmt sheetId="2" sqref="HO798" start="0" length="0">
      <dxf/>
    </rfmt>
    <rfmt sheetId="2" sqref="HP798" start="0" length="0">
      <dxf/>
    </rfmt>
    <rfmt sheetId="2" sqref="HQ798" start="0" length="0">
      <dxf/>
    </rfmt>
    <rfmt sheetId="2" sqref="HR798" start="0" length="0">
      <dxf/>
    </rfmt>
    <rfmt sheetId="2" sqref="HS798" start="0" length="0">
      <dxf/>
    </rfmt>
    <rfmt sheetId="2" sqref="HT798" start="0" length="0">
      <dxf/>
    </rfmt>
    <rfmt sheetId="2" sqref="HU798" start="0" length="0">
      <dxf/>
    </rfmt>
    <rfmt sheetId="2" sqref="HV798" start="0" length="0">
      <dxf/>
    </rfmt>
    <rfmt sheetId="2" sqref="HW798" start="0" length="0">
      <dxf/>
    </rfmt>
    <rfmt sheetId="2" sqref="HX798" start="0" length="0">
      <dxf/>
    </rfmt>
    <rfmt sheetId="2" sqref="HY798" start="0" length="0">
      <dxf/>
    </rfmt>
    <rfmt sheetId="2" sqref="HZ798" start="0" length="0">
      <dxf/>
    </rfmt>
    <rfmt sheetId="2" sqref="IA798" start="0" length="0">
      <dxf/>
    </rfmt>
    <rfmt sheetId="2" sqref="IB798" start="0" length="0">
      <dxf/>
    </rfmt>
    <rfmt sheetId="2" sqref="IC798" start="0" length="0">
      <dxf/>
    </rfmt>
    <rfmt sheetId="2" sqref="ID798" start="0" length="0">
      <dxf/>
    </rfmt>
    <rfmt sheetId="2" sqref="IE798" start="0" length="0">
      <dxf/>
    </rfmt>
    <rfmt sheetId="2" sqref="IF798" start="0" length="0">
      <dxf/>
    </rfmt>
    <rfmt sheetId="2" sqref="IG798" start="0" length="0">
      <dxf/>
    </rfmt>
    <rfmt sheetId="2" sqref="IH798" start="0" length="0">
      <dxf/>
    </rfmt>
    <rfmt sheetId="2" sqref="II798" start="0" length="0">
      <dxf/>
    </rfmt>
    <rfmt sheetId="2" sqref="IJ798" start="0" length="0">
      <dxf/>
    </rfmt>
    <rfmt sheetId="2" sqref="IK798" start="0" length="0">
      <dxf/>
    </rfmt>
    <rfmt sheetId="2" sqref="IL798" start="0" length="0">
      <dxf/>
    </rfmt>
    <rfmt sheetId="2" sqref="IM798" start="0" length="0">
      <dxf/>
    </rfmt>
    <rfmt sheetId="2" sqref="IN798" start="0" length="0">
      <dxf/>
    </rfmt>
    <rfmt sheetId="2" sqref="IO798" start="0" length="0">
      <dxf/>
    </rfmt>
    <rfmt sheetId="2" sqref="IP798" start="0" length="0">
      <dxf/>
    </rfmt>
    <rfmt sheetId="2" sqref="IQ798" start="0" length="0">
      <dxf/>
    </rfmt>
    <rfmt sheetId="2" sqref="IR798" start="0" length="0">
      <dxf/>
    </rfmt>
    <rfmt sheetId="2" sqref="IS798" start="0" length="0">
      <dxf/>
    </rfmt>
    <rfmt sheetId="2" sqref="IT798" start="0" length="0">
      <dxf/>
    </rfmt>
    <rfmt sheetId="2" sqref="IU798" start="0" length="0">
      <dxf/>
    </rfmt>
    <rfmt sheetId="2" sqref="IV798" start="0" length="0">
      <dxf/>
    </rfmt>
    <rfmt sheetId="2" sqref="IW798" start="0" length="0">
      <dxf/>
    </rfmt>
    <rfmt sheetId="2" sqref="IX798" start="0" length="0">
      <dxf/>
    </rfmt>
    <rfmt sheetId="2" sqref="IY798" start="0" length="0">
      <dxf/>
    </rfmt>
    <rfmt sheetId="2" sqref="IZ798" start="0" length="0">
      <dxf/>
    </rfmt>
    <rfmt sheetId="2" sqref="JA798" start="0" length="0">
      <dxf/>
    </rfmt>
    <rfmt sheetId="2" sqref="JB798" start="0" length="0">
      <dxf/>
    </rfmt>
    <rfmt sheetId="2" sqref="JC798" start="0" length="0">
      <dxf/>
    </rfmt>
    <rfmt sheetId="2" sqref="JD798" start="0" length="0">
      <dxf/>
    </rfmt>
    <rfmt sheetId="2" sqref="JE798" start="0" length="0">
      <dxf/>
    </rfmt>
    <rfmt sheetId="2" sqref="JF798" start="0" length="0">
      <dxf/>
    </rfmt>
    <rfmt sheetId="2" sqref="JG798" start="0" length="0">
      <dxf/>
    </rfmt>
    <rfmt sheetId="2" sqref="JH798" start="0" length="0">
      <dxf/>
    </rfmt>
    <rfmt sheetId="2" sqref="JI798" start="0" length="0">
      <dxf/>
    </rfmt>
    <rfmt sheetId="2" sqref="JJ798" start="0" length="0">
      <dxf/>
    </rfmt>
    <rfmt sheetId="2" sqref="JK798" start="0" length="0">
      <dxf/>
    </rfmt>
    <rfmt sheetId="2" sqref="JL798" start="0" length="0">
      <dxf/>
    </rfmt>
    <rfmt sheetId="2" sqref="JM798" start="0" length="0">
      <dxf/>
    </rfmt>
    <rfmt sheetId="2" sqref="JN798" start="0" length="0">
      <dxf/>
    </rfmt>
    <rfmt sheetId="2" sqref="JO798" start="0" length="0">
      <dxf/>
    </rfmt>
    <rfmt sheetId="2" sqref="JP798" start="0" length="0">
      <dxf/>
    </rfmt>
    <rfmt sheetId="2" sqref="JQ798" start="0" length="0">
      <dxf/>
    </rfmt>
    <rfmt sheetId="2" sqref="JR798" start="0" length="0">
      <dxf/>
    </rfmt>
    <rfmt sheetId="2" sqref="JS798" start="0" length="0">
      <dxf/>
    </rfmt>
    <rfmt sheetId="2" sqref="JT798" start="0" length="0">
      <dxf/>
    </rfmt>
    <rfmt sheetId="2" sqref="JU798" start="0" length="0">
      <dxf/>
    </rfmt>
    <rfmt sheetId="2" sqref="JV798" start="0" length="0">
      <dxf/>
    </rfmt>
    <rfmt sheetId="2" sqref="JW798" start="0" length="0">
      <dxf/>
    </rfmt>
    <rfmt sheetId="2" sqref="JX798" start="0" length="0">
      <dxf/>
    </rfmt>
    <rfmt sheetId="2" sqref="JY798" start="0" length="0">
      <dxf/>
    </rfmt>
    <rfmt sheetId="2" sqref="JZ798" start="0" length="0">
      <dxf/>
    </rfmt>
    <rfmt sheetId="2" sqref="KA798" start="0" length="0">
      <dxf/>
    </rfmt>
    <rfmt sheetId="2" sqref="KB798" start="0" length="0">
      <dxf/>
    </rfmt>
    <rfmt sheetId="2" sqref="KC798" start="0" length="0">
      <dxf/>
    </rfmt>
    <rfmt sheetId="2" sqref="KD798" start="0" length="0">
      <dxf/>
    </rfmt>
    <rfmt sheetId="2" sqref="KE798" start="0" length="0">
      <dxf/>
    </rfmt>
    <rfmt sheetId="2" sqref="KF798" start="0" length="0">
      <dxf/>
    </rfmt>
    <rfmt sheetId="2" sqref="KG798" start="0" length="0">
      <dxf/>
    </rfmt>
    <rfmt sheetId="2" sqref="KH798" start="0" length="0">
      <dxf/>
    </rfmt>
    <rfmt sheetId="2" sqref="KI798" start="0" length="0">
      <dxf/>
    </rfmt>
    <rfmt sheetId="2" sqref="KJ798" start="0" length="0">
      <dxf/>
    </rfmt>
    <rfmt sheetId="2" sqref="KK798" start="0" length="0">
      <dxf/>
    </rfmt>
    <rfmt sheetId="2" sqref="KL798" start="0" length="0">
      <dxf/>
    </rfmt>
    <rfmt sheetId="2" sqref="KM798" start="0" length="0">
      <dxf/>
    </rfmt>
    <rfmt sheetId="2" sqref="KN798" start="0" length="0">
      <dxf/>
    </rfmt>
    <rfmt sheetId="2" sqref="KO798" start="0" length="0">
      <dxf/>
    </rfmt>
    <rfmt sheetId="2" sqref="KP798" start="0" length="0">
      <dxf/>
    </rfmt>
    <rfmt sheetId="2" sqref="KQ798" start="0" length="0">
      <dxf/>
    </rfmt>
    <rfmt sheetId="2" sqref="KR798" start="0" length="0">
      <dxf/>
    </rfmt>
    <rfmt sheetId="2" sqref="KS798" start="0" length="0">
      <dxf/>
    </rfmt>
    <rfmt sheetId="2" sqref="KT798" start="0" length="0">
      <dxf/>
    </rfmt>
    <rfmt sheetId="2" sqref="KU798" start="0" length="0">
      <dxf/>
    </rfmt>
    <rfmt sheetId="2" sqref="KV798" start="0" length="0">
      <dxf/>
    </rfmt>
    <rfmt sheetId="2" sqref="KW798" start="0" length="0">
      <dxf/>
    </rfmt>
    <rfmt sheetId="2" sqref="KX798" start="0" length="0">
      <dxf/>
    </rfmt>
    <rfmt sheetId="2" sqref="KY798" start="0" length="0">
      <dxf/>
    </rfmt>
    <rfmt sheetId="2" sqref="KZ798" start="0" length="0">
      <dxf/>
    </rfmt>
    <rfmt sheetId="2" sqref="LA798" start="0" length="0">
      <dxf/>
    </rfmt>
    <rfmt sheetId="2" sqref="LB798" start="0" length="0">
      <dxf/>
    </rfmt>
    <rfmt sheetId="2" sqref="LC798" start="0" length="0">
      <dxf/>
    </rfmt>
    <rfmt sheetId="2" sqref="LD798" start="0" length="0">
      <dxf/>
    </rfmt>
    <rfmt sheetId="2" sqref="LE798" start="0" length="0">
      <dxf/>
    </rfmt>
    <rfmt sheetId="2" sqref="LF798" start="0" length="0">
      <dxf/>
    </rfmt>
    <rfmt sheetId="2" sqref="LG798" start="0" length="0">
      <dxf/>
    </rfmt>
    <rfmt sheetId="2" sqref="LH798" start="0" length="0">
      <dxf/>
    </rfmt>
    <rfmt sheetId="2" sqref="LI798" start="0" length="0">
      <dxf/>
    </rfmt>
    <rfmt sheetId="2" sqref="LJ798" start="0" length="0">
      <dxf/>
    </rfmt>
    <rfmt sheetId="2" sqref="LK798" start="0" length="0">
      <dxf/>
    </rfmt>
    <rfmt sheetId="2" sqref="LL798" start="0" length="0">
      <dxf/>
    </rfmt>
    <rfmt sheetId="2" sqref="LM798" start="0" length="0">
      <dxf/>
    </rfmt>
    <rfmt sheetId="2" sqref="LN798" start="0" length="0">
      <dxf/>
    </rfmt>
    <rfmt sheetId="2" sqref="LO798" start="0" length="0">
      <dxf/>
    </rfmt>
    <rfmt sheetId="2" sqref="LP798" start="0" length="0">
      <dxf/>
    </rfmt>
    <rfmt sheetId="2" sqref="LQ798" start="0" length="0">
      <dxf/>
    </rfmt>
    <rfmt sheetId="2" sqref="LR798" start="0" length="0">
      <dxf/>
    </rfmt>
    <rfmt sheetId="2" sqref="LS798" start="0" length="0">
      <dxf/>
    </rfmt>
    <rfmt sheetId="2" sqref="LT798" start="0" length="0">
      <dxf/>
    </rfmt>
    <rfmt sheetId="2" sqref="LU798" start="0" length="0">
      <dxf/>
    </rfmt>
    <rfmt sheetId="2" sqref="LV798" start="0" length="0">
      <dxf/>
    </rfmt>
    <rfmt sheetId="2" sqref="LW798" start="0" length="0">
      <dxf/>
    </rfmt>
    <rfmt sheetId="2" sqref="LX798" start="0" length="0">
      <dxf/>
    </rfmt>
    <rfmt sheetId="2" sqref="LY798" start="0" length="0">
      <dxf/>
    </rfmt>
    <rfmt sheetId="2" sqref="LZ798" start="0" length="0">
      <dxf/>
    </rfmt>
    <rfmt sheetId="2" sqref="MA798" start="0" length="0">
      <dxf/>
    </rfmt>
    <rfmt sheetId="2" sqref="MB798" start="0" length="0">
      <dxf/>
    </rfmt>
  </rm>
  <rrc rId="2679" sId="2" ref="A803:XFD803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803:XFD803" start="0" length="0">
      <dxf>
        <font>
          <sz val="10"/>
          <name val="Arial"/>
          <scheme val="none"/>
        </font>
        <alignment horizontal="center" readingOrder="0"/>
      </dxf>
    </rfmt>
    <rfmt sheetId="2" sqref="A80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80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3" start="0" length="0">
      <dxf>
        <numFmt numFmtId="176" formatCode="m/d;@"/>
      </dxf>
    </rfmt>
    <rfmt sheetId="2" sqref="P80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3" start="0" length="0">
      <dxf/>
    </rfmt>
    <rfmt sheetId="2" sqref="U803" start="0" length="0">
      <dxf/>
    </rfmt>
    <rfmt sheetId="2" sqref="V803" start="0" length="0">
      <dxf/>
    </rfmt>
    <rfmt sheetId="2" sqref="W803" start="0" length="0">
      <dxf/>
    </rfmt>
    <rfmt sheetId="2" sqref="X803" start="0" length="0">
      <dxf/>
    </rfmt>
    <rfmt sheetId="2" sqref="Y803" start="0" length="0">
      <dxf/>
    </rfmt>
    <rfmt sheetId="2" sqref="Z803" start="0" length="0">
      <dxf/>
    </rfmt>
    <rfmt sheetId="2" sqref="AA803" start="0" length="0">
      <dxf/>
    </rfmt>
    <rfmt sheetId="2" sqref="AB803" start="0" length="0">
      <dxf/>
    </rfmt>
    <rfmt sheetId="2" sqref="AC803" start="0" length="0">
      <dxf/>
    </rfmt>
    <rfmt sheetId="2" sqref="AD803" start="0" length="0">
      <dxf/>
    </rfmt>
    <rfmt sheetId="2" sqref="AE803" start="0" length="0">
      <dxf/>
    </rfmt>
    <rfmt sheetId="2" sqref="AF803" start="0" length="0">
      <dxf/>
    </rfmt>
    <rfmt sheetId="2" sqref="AG803" start="0" length="0">
      <dxf/>
    </rfmt>
    <rfmt sheetId="2" sqref="AH803" start="0" length="0">
      <dxf/>
    </rfmt>
    <rfmt sheetId="2" sqref="AI803" start="0" length="0">
      <dxf/>
    </rfmt>
    <rfmt sheetId="2" sqref="AJ803" start="0" length="0">
      <dxf/>
    </rfmt>
    <rfmt sheetId="2" sqref="AK803" start="0" length="0">
      <dxf/>
    </rfmt>
    <rfmt sheetId="2" sqref="AL803" start="0" length="0">
      <dxf/>
    </rfmt>
    <rfmt sheetId="2" sqref="AM803" start="0" length="0">
      <dxf/>
    </rfmt>
    <rfmt sheetId="2" sqref="AN803" start="0" length="0">
      <dxf/>
    </rfmt>
    <rfmt sheetId="2" sqref="AO803" start="0" length="0">
      <dxf/>
    </rfmt>
    <rfmt sheetId="2" sqref="AP803" start="0" length="0">
      <dxf/>
    </rfmt>
    <rfmt sheetId="2" sqref="AQ803" start="0" length="0">
      <dxf/>
    </rfmt>
    <rfmt sheetId="2" sqref="AR803" start="0" length="0">
      <dxf/>
    </rfmt>
    <rfmt sheetId="2" sqref="AS803" start="0" length="0">
      <dxf/>
    </rfmt>
    <rfmt sheetId="2" sqref="AT803" start="0" length="0">
      <dxf/>
    </rfmt>
    <rfmt sheetId="2" sqref="AU803" start="0" length="0">
      <dxf/>
    </rfmt>
    <rfmt sheetId="2" sqref="AV803" start="0" length="0">
      <dxf/>
    </rfmt>
    <rfmt sheetId="2" sqref="AW803" start="0" length="0">
      <dxf/>
    </rfmt>
    <rfmt sheetId="2" sqref="AX803" start="0" length="0">
      <dxf/>
    </rfmt>
    <rfmt sheetId="2" sqref="AY803" start="0" length="0">
      <dxf/>
    </rfmt>
    <rfmt sheetId="2" sqref="AZ803" start="0" length="0">
      <dxf/>
    </rfmt>
    <rfmt sheetId="2" sqref="BA803" start="0" length="0">
      <dxf/>
    </rfmt>
    <rfmt sheetId="2" sqref="BB803" start="0" length="0">
      <dxf/>
    </rfmt>
    <rfmt sheetId="2" sqref="BC803" start="0" length="0">
      <dxf/>
    </rfmt>
    <rfmt sheetId="2" sqref="BD803" start="0" length="0">
      <dxf/>
    </rfmt>
    <rfmt sheetId="2" sqref="BE803" start="0" length="0">
      <dxf/>
    </rfmt>
    <rfmt sheetId="2" sqref="BF803" start="0" length="0">
      <dxf/>
    </rfmt>
    <rfmt sheetId="2" sqref="BG803" start="0" length="0">
      <dxf/>
    </rfmt>
    <rfmt sheetId="2" sqref="BH803" start="0" length="0">
      <dxf/>
    </rfmt>
    <rfmt sheetId="2" sqref="BI803" start="0" length="0">
      <dxf/>
    </rfmt>
    <rfmt sheetId="2" sqref="BJ803" start="0" length="0">
      <dxf/>
    </rfmt>
    <rfmt sheetId="2" sqref="BK803" start="0" length="0">
      <dxf/>
    </rfmt>
    <rfmt sheetId="2" sqref="BL803" start="0" length="0">
      <dxf/>
    </rfmt>
    <rfmt sheetId="2" sqref="BM803" start="0" length="0">
      <dxf/>
    </rfmt>
    <rfmt sheetId="2" sqref="BN803" start="0" length="0">
      <dxf/>
    </rfmt>
    <rfmt sheetId="2" sqref="BO803" start="0" length="0">
      <dxf/>
    </rfmt>
    <rfmt sheetId="2" sqref="BP803" start="0" length="0">
      <dxf/>
    </rfmt>
    <rfmt sheetId="2" sqref="BQ803" start="0" length="0">
      <dxf/>
    </rfmt>
    <rfmt sheetId="2" sqref="BR803" start="0" length="0">
      <dxf/>
    </rfmt>
    <rfmt sheetId="2" sqref="BS803" start="0" length="0">
      <dxf/>
    </rfmt>
    <rfmt sheetId="2" sqref="BT803" start="0" length="0">
      <dxf/>
    </rfmt>
    <rfmt sheetId="2" sqref="BU803" start="0" length="0">
      <dxf/>
    </rfmt>
    <rfmt sheetId="2" sqref="BV803" start="0" length="0">
      <dxf/>
    </rfmt>
    <rfmt sheetId="2" sqref="BW803" start="0" length="0">
      <dxf/>
    </rfmt>
    <rfmt sheetId="2" sqref="BX803" start="0" length="0">
      <dxf/>
    </rfmt>
    <rfmt sheetId="2" sqref="BY803" start="0" length="0">
      <dxf/>
    </rfmt>
    <rfmt sheetId="2" sqref="BZ803" start="0" length="0">
      <dxf/>
    </rfmt>
    <rfmt sheetId="2" sqref="CA803" start="0" length="0">
      <dxf/>
    </rfmt>
    <rfmt sheetId="2" sqref="CB803" start="0" length="0">
      <dxf/>
    </rfmt>
    <rfmt sheetId="2" sqref="CC803" start="0" length="0">
      <dxf/>
    </rfmt>
    <rfmt sheetId="2" sqref="CD803" start="0" length="0">
      <dxf/>
    </rfmt>
    <rfmt sheetId="2" sqref="CE803" start="0" length="0">
      <dxf/>
    </rfmt>
    <rfmt sheetId="2" sqref="CF803" start="0" length="0">
      <dxf/>
    </rfmt>
    <rfmt sheetId="2" sqref="CG803" start="0" length="0">
      <dxf/>
    </rfmt>
    <rfmt sheetId="2" sqref="CH803" start="0" length="0">
      <dxf/>
    </rfmt>
    <rfmt sheetId="2" sqref="CI803" start="0" length="0">
      <dxf/>
    </rfmt>
    <rfmt sheetId="2" sqref="CJ803" start="0" length="0">
      <dxf/>
    </rfmt>
    <rfmt sheetId="2" sqref="CK803" start="0" length="0">
      <dxf/>
    </rfmt>
    <rfmt sheetId="2" sqref="CL803" start="0" length="0">
      <dxf/>
    </rfmt>
    <rfmt sheetId="2" sqref="CM803" start="0" length="0">
      <dxf/>
    </rfmt>
    <rfmt sheetId="2" sqref="CN803" start="0" length="0">
      <dxf/>
    </rfmt>
    <rfmt sheetId="2" sqref="CO803" start="0" length="0">
      <dxf/>
    </rfmt>
    <rfmt sheetId="2" sqref="CP803" start="0" length="0">
      <dxf/>
    </rfmt>
    <rfmt sheetId="2" sqref="CQ803" start="0" length="0">
      <dxf/>
    </rfmt>
    <rfmt sheetId="2" sqref="CR803" start="0" length="0">
      <dxf/>
    </rfmt>
    <rfmt sheetId="2" sqref="CS803" start="0" length="0">
      <dxf/>
    </rfmt>
    <rfmt sheetId="2" sqref="CT803" start="0" length="0">
      <dxf/>
    </rfmt>
    <rfmt sheetId="2" sqref="CU803" start="0" length="0">
      <dxf/>
    </rfmt>
    <rfmt sheetId="2" sqref="CV803" start="0" length="0">
      <dxf/>
    </rfmt>
    <rfmt sheetId="2" sqref="CW803" start="0" length="0">
      <dxf/>
    </rfmt>
    <rfmt sheetId="2" sqref="CX803" start="0" length="0">
      <dxf/>
    </rfmt>
    <rfmt sheetId="2" sqref="CY803" start="0" length="0">
      <dxf/>
    </rfmt>
    <rfmt sheetId="2" sqref="CZ803" start="0" length="0">
      <dxf/>
    </rfmt>
    <rfmt sheetId="2" sqref="DA803" start="0" length="0">
      <dxf/>
    </rfmt>
    <rfmt sheetId="2" sqref="DB803" start="0" length="0">
      <dxf/>
    </rfmt>
    <rfmt sheetId="2" sqref="DC803" start="0" length="0">
      <dxf/>
    </rfmt>
    <rfmt sheetId="2" sqref="DD803" start="0" length="0">
      <dxf/>
    </rfmt>
    <rfmt sheetId="2" sqref="DE803" start="0" length="0">
      <dxf/>
    </rfmt>
    <rfmt sheetId="2" sqref="DF803" start="0" length="0">
      <dxf/>
    </rfmt>
    <rfmt sheetId="2" sqref="DG803" start="0" length="0">
      <dxf/>
    </rfmt>
    <rfmt sheetId="2" sqref="DH803" start="0" length="0">
      <dxf/>
    </rfmt>
    <rfmt sheetId="2" sqref="DI803" start="0" length="0">
      <dxf/>
    </rfmt>
    <rfmt sheetId="2" sqref="DJ803" start="0" length="0">
      <dxf/>
    </rfmt>
    <rfmt sheetId="2" sqref="DK803" start="0" length="0">
      <dxf/>
    </rfmt>
    <rfmt sheetId="2" sqref="DL803" start="0" length="0">
      <dxf/>
    </rfmt>
    <rfmt sheetId="2" sqref="DM803" start="0" length="0">
      <dxf/>
    </rfmt>
    <rfmt sheetId="2" sqref="DN803" start="0" length="0">
      <dxf/>
    </rfmt>
    <rfmt sheetId="2" sqref="DO803" start="0" length="0">
      <dxf/>
    </rfmt>
    <rfmt sheetId="2" sqref="DP803" start="0" length="0">
      <dxf/>
    </rfmt>
    <rfmt sheetId="2" sqref="DQ803" start="0" length="0">
      <dxf/>
    </rfmt>
    <rfmt sheetId="2" sqref="DR803" start="0" length="0">
      <dxf/>
    </rfmt>
    <rfmt sheetId="2" sqref="DS803" start="0" length="0">
      <dxf/>
    </rfmt>
    <rfmt sheetId="2" sqref="DT803" start="0" length="0">
      <dxf/>
    </rfmt>
    <rfmt sheetId="2" sqref="DU803" start="0" length="0">
      <dxf/>
    </rfmt>
    <rfmt sheetId="2" sqref="DV803" start="0" length="0">
      <dxf/>
    </rfmt>
    <rfmt sheetId="2" sqref="DW803" start="0" length="0">
      <dxf/>
    </rfmt>
    <rfmt sheetId="2" sqref="DX803" start="0" length="0">
      <dxf/>
    </rfmt>
    <rfmt sheetId="2" sqref="DY803" start="0" length="0">
      <dxf/>
    </rfmt>
    <rfmt sheetId="2" sqref="DZ803" start="0" length="0">
      <dxf/>
    </rfmt>
    <rfmt sheetId="2" sqref="EA803" start="0" length="0">
      <dxf/>
    </rfmt>
    <rfmt sheetId="2" sqref="EB803" start="0" length="0">
      <dxf/>
    </rfmt>
    <rfmt sheetId="2" sqref="EC803" start="0" length="0">
      <dxf/>
    </rfmt>
    <rfmt sheetId="2" sqref="ED803" start="0" length="0">
      <dxf/>
    </rfmt>
    <rfmt sheetId="2" sqref="EE803" start="0" length="0">
      <dxf/>
    </rfmt>
    <rfmt sheetId="2" sqref="EF803" start="0" length="0">
      <dxf/>
    </rfmt>
    <rfmt sheetId="2" sqref="EG803" start="0" length="0">
      <dxf/>
    </rfmt>
    <rfmt sheetId="2" sqref="EH803" start="0" length="0">
      <dxf/>
    </rfmt>
    <rfmt sheetId="2" sqref="EI803" start="0" length="0">
      <dxf/>
    </rfmt>
    <rfmt sheetId="2" sqref="EJ803" start="0" length="0">
      <dxf/>
    </rfmt>
    <rfmt sheetId="2" sqref="EK803" start="0" length="0">
      <dxf/>
    </rfmt>
    <rfmt sheetId="2" sqref="EL803" start="0" length="0">
      <dxf/>
    </rfmt>
    <rfmt sheetId="2" sqref="EM803" start="0" length="0">
      <dxf/>
    </rfmt>
    <rfmt sheetId="2" sqref="EN803" start="0" length="0">
      <dxf/>
    </rfmt>
    <rfmt sheetId="2" sqref="EO803" start="0" length="0">
      <dxf/>
    </rfmt>
    <rfmt sheetId="2" sqref="EP803" start="0" length="0">
      <dxf/>
    </rfmt>
    <rfmt sheetId="2" sqref="EQ803" start="0" length="0">
      <dxf/>
    </rfmt>
    <rfmt sheetId="2" sqref="ER803" start="0" length="0">
      <dxf/>
    </rfmt>
    <rfmt sheetId="2" sqref="ES803" start="0" length="0">
      <dxf/>
    </rfmt>
    <rfmt sheetId="2" sqref="ET803" start="0" length="0">
      <dxf/>
    </rfmt>
    <rfmt sheetId="2" sqref="EU803" start="0" length="0">
      <dxf/>
    </rfmt>
    <rfmt sheetId="2" sqref="EV803" start="0" length="0">
      <dxf/>
    </rfmt>
    <rfmt sheetId="2" sqref="EW803" start="0" length="0">
      <dxf/>
    </rfmt>
    <rfmt sheetId="2" sqref="EX803" start="0" length="0">
      <dxf/>
    </rfmt>
    <rfmt sheetId="2" sqref="EY803" start="0" length="0">
      <dxf/>
    </rfmt>
    <rfmt sheetId="2" sqref="EZ803" start="0" length="0">
      <dxf/>
    </rfmt>
    <rfmt sheetId="2" sqref="FA803" start="0" length="0">
      <dxf/>
    </rfmt>
    <rfmt sheetId="2" sqref="FB803" start="0" length="0">
      <dxf/>
    </rfmt>
    <rfmt sheetId="2" sqref="FC803" start="0" length="0">
      <dxf/>
    </rfmt>
    <rfmt sheetId="2" sqref="FD803" start="0" length="0">
      <dxf/>
    </rfmt>
    <rfmt sheetId="2" sqref="FE803" start="0" length="0">
      <dxf/>
    </rfmt>
    <rfmt sheetId="2" sqref="FF803" start="0" length="0">
      <dxf/>
    </rfmt>
    <rfmt sheetId="2" sqref="FG803" start="0" length="0">
      <dxf/>
    </rfmt>
    <rfmt sheetId="2" sqref="FH803" start="0" length="0">
      <dxf/>
    </rfmt>
    <rfmt sheetId="2" sqref="FI803" start="0" length="0">
      <dxf/>
    </rfmt>
    <rfmt sheetId="2" sqref="FJ803" start="0" length="0">
      <dxf/>
    </rfmt>
    <rfmt sheetId="2" sqref="FK803" start="0" length="0">
      <dxf/>
    </rfmt>
    <rfmt sheetId="2" sqref="FL803" start="0" length="0">
      <dxf/>
    </rfmt>
    <rfmt sheetId="2" sqref="FM803" start="0" length="0">
      <dxf/>
    </rfmt>
    <rfmt sheetId="2" sqref="FN803" start="0" length="0">
      <dxf/>
    </rfmt>
    <rfmt sheetId="2" sqref="FO803" start="0" length="0">
      <dxf/>
    </rfmt>
    <rfmt sheetId="2" sqref="FP803" start="0" length="0">
      <dxf/>
    </rfmt>
    <rfmt sheetId="2" sqref="FQ803" start="0" length="0">
      <dxf/>
    </rfmt>
    <rfmt sheetId="2" sqref="FR803" start="0" length="0">
      <dxf/>
    </rfmt>
    <rfmt sheetId="2" sqref="FS803" start="0" length="0">
      <dxf/>
    </rfmt>
    <rfmt sheetId="2" sqref="FT803" start="0" length="0">
      <dxf/>
    </rfmt>
    <rfmt sheetId="2" sqref="FU803" start="0" length="0">
      <dxf/>
    </rfmt>
    <rfmt sheetId="2" sqref="FV803" start="0" length="0">
      <dxf/>
    </rfmt>
    <rfmt sheetId="2" sqref="FW803" start="0" length="0">
      <dxf/>
    </rfmt>
    <rfmt sheetId="2" sqref="FX803" start="0" length="0">
      <dxf/>
    </rfmt>
    <rfmt sheetId="2" sqref="FY803" start="0" length="0">
      <dxf/>
    </rfmt>
    <rfmt sheetId="2" sqref="FZ803" start="0" length="0">
      <dxf/>
    </rfmt>
    <rfmt sheetId="2" sqref="GA803" start="0" length="0">
      <dxf/>
    </rfmt>
    <rfmt sheetId="2" sqref="GB803" start="0" length="0">
      <dxf/>
    </rfmt>
    <rfmt sheetId="2" sqref="GC803" start="0" length="0">
      <dxf/>
    </rfmt>
    <rfmt sheetId="2" sqref="GD803" start="0" length="0">
      <dxf/>
    </rfmt>
    <rfmt sheetId="2" sqref="GE803" start="0" length="0">
      <dxf/>
    </rfmt>
    <rfmt sheetId="2" sqref="GF803" start="0" length="0">
      <dxf/>
    </rfmt>
    <rfmt sheetId="2" sqref="GG803" start="0" length="0">
      <dxf/>
    </rfmt>
    <rfmt sheetId="2" sqref="GH803" start="0" length="0">
      <dxf/>
    </rfmt>
    <rfmt sheetId="2" sqref="GI803" start="0" length="0">
      <dxf/>
    </rfmt>
    <rfmt sheetId="2" sqref="GJ803" start="0" length="0">
      <dxf/>
    </rfmt>
    <rfmt sheetId="2" sqref="GK803" start="0" length="0">
      <dxf/>
    </rfmt>
    <rfmt sheetId="2" sqref="GL803" start="0" length="0">
      <dxf/>
    </rfmt>
    <rfmt sheetId="2" sqref="GM803" start="0" length="0">
      <dxf/>
    </rfmt>
    <rfmt sheetId="2" sqref="GN803" start="0" length="0">
      <dxf/>
    </rfmt>
    <rfmt sheetId="2" sqref="GO803" start="0" length="0">
      <dxf/>
    </rfmt>
    <rfmt sheetId="2" sqref="GP803" start="0" length="0">
      <dxf/>
    </rfmt>
    <rfmt sheetId="2" sqref="GQ803" start="0" length="0">
      <dxf/>
    </rfmt>
    <rfmt sheetId="2" sqref="GR803" start="0" length="0">
      <dxf/>
    </rfmt>
    <rfmt sheetId="2" sqref="GS803" start="0" length="0">
      <dxf/>
    </rfmt>
    <rfmt sheetId="2" sqref="GT803" start="0" length="0">
      <dxf/>
    </rfmt>
    <rfmt sheetId="2" sqref="GU803" start="0" length="0">
      <dxf/>
    </rfmt>
    <rfmt sheetId="2" sqref="GV803" start="0" length="0">
      <dxf/>
    </rfmt>
    <rfmt sheetId="2" sqref="GW803" start="0" length="0">
      <dxf/>
    </rfmt>
    <rfmt sheetId="2" sqref="GX803" start="0" length="0">
      <dxf/>
    </rfmt>
    <rfmt sheetId="2" sqref="GY803" start="0" length="0">
      <dxf/>
    </rfmt>
    <rfmt sheetId="2" sqref="GZ803" start="0" length="0">
      <dxf/>
    </rfmt>
    <rfmt sheetId="2" sqref="HA803" start="0" length="0">
      <dxf/>
    </rfmt>
    <rfmt sheetId="2" sqref="HB803" start="0" length="0">
      <dxf/>
    </rfmt>
    <rfmt sheetId="2" sqref="HC803" start="0" length="0">
      <dxf/>
    </rfmt>
    <rfmt sheetId="2" sqref="HD803" start="0" length="0">
      <dxf/>
    </rfmt>
    <rfmt sheetId="2" sqref="HE803" start="0" length="0">
      <dxf/>
    </rfmt>
    <rfmt sheetId="2" sqref="HF803" start="0" length="0">
      <dxf/>
    </rfmt>
    <rfmt sheetId="2" sqref="HG803" start="0" length="0">
      <dxf/>
    </rfmt>
    <rfmt sheetId="2" sqref="HH803" start="0" length="0">
      <dxf/>
    </rfmt>
    <rfmt sheetId="2" sqref="HI803" start="0" length="0">
      <dxf/>
    </rfmt>
    <rfmt sheetId="2" sqref="HJ803" start="0" length="0">
      <dxf/>
    </rfmt>
    <rfmt sheetId="2" sqref="HK803" start="0" length="0">
      <dxf/>
    </rfmt>
    <rfmt sheetId="2" sqref="HL803" start="0" length="0">
      <dxf/>
    </rfmt>
    <rfmt sheetId="2" sqref="HM803" start="0" length="0">
      <dxf/>
    </rfmt>
    <rfmt sheetId="2" sqref="HN803" start="0" length="0">
      <dxf/>
    </rfmt>
    <rfmt sheetId="2" sqref="HO803" start="0" length="0">
      <dxf/>
    </rfmt>
    <rfmt sheetId="2" sqref="HP803" start="0" length="0">
      <dxf/>
    </rfmt>
    <rfmt sheetId="2" sqref="HQ803" start="0" length="0">
      <dxf/>
    </rfmt>
    <rfmt sheetId="2" sqref="HR803" start="0" length="0">
      <dxf/>
    </rfmt>
    <rfmt sheetId="2" sqref="HS803" start="0" length="0">
      <dxf/>
    </rfmt>
    <rfmt sheetId="2" sqref="HT803" start="0" length="0">
      <dxf/>
    </rfmt>
    <rfmt sheetId="2" sqref="HU803" start="0" length="0">
      <dxf/>
    </rfmt>
    <rfmt sheetId="2" sqref="HV803" start="0" length="0">
      <dxf/>
    </rfmt>
    <rfmt sheetId="2" sqref="HW803" start="0" length="0">
      <dxf/>
    </rfmt>
    <rfmt sheetId="2" sqref="HX803" start="0" length="0">
      <dxf/>
    </rfmt>
    <rfmt sheetId="2" sqref="HY803" start="0" length="0">
      <dxf/>
    </rfmt>
    <rfmt sheetId="2" sqref="HZ803" start="0" length="0">
      <dxf/>
    </rfmt>
    <rfmt sheetId="2" sqref="IA803" start="0" length="0">
      <dxf/>
    </rfmt>
    <rfmt sheetId="2" sqref="IB803" start="0" length="0">
      <dxf/>
    </rfmt>
    <rfmt sheetId="2" sqref="IC803" start="0" length="0">
      <dxf/>
    </rfmt>
    <rfmt sheetId="2" sqref="ID803" start="0" length="0">
      <dxf/>
    </rfmt>
    <rfmt sheetId="2" sqref="IE803" start="0" length="0">
      <dxf/>
    </rfmt>
    <rfmt sheetId="2" sqref="IF803" start="0" length="0">
      <dxf/>
    </rfmt>
    <rfmt sheetId="2" sqref="IG803" start="0" length="0">
      <dxf/>
    </rfmt>
    <rfmt sheetId="2" sqref="IH803" start="0" length="0">
      <dxf/>
    </rfmt>
    <rfmt sheetId="2" sqref="II803" start="0" length="0">
      <dxf/>
    </rfmt>
    <rfmt sheetId="2" sqref="IJ803" start="0" length="0">
      <dxf/>
    </rfmt>
    <rfmt sheetId="2" sqref="IK803" start="0" length="0">
      <dxf/>
    </rfmt>
    <rfmt sheetId="2" sqref="IL803" start="0" length="0">
      <dxf/>
    </rfmt>
    <rfmt sheetId="2" sqref="IM803" start="0" length="0">
      <dxf/>
    </rfmt>
    <rfmt sheetId="2" sqref="IN803" start="0" length="0">
      <dxf/>
    </rfmt>
    <rfmt sheetId="2" sqref="IO803" start="0" length="0">
      <dxf/>
    </rfmt>
    <rfmt sheetId="2" sqref="IP803" start="0" length="0">
      <dxf/>
    </rfmt>
    <rfmt sheetId="2" sqref="IQ803" start="0" length="0">
      <dxf/>
    </rfmt>
    <rfmt sheetId="2" sqref="IR803" start="0" length="0">
      <dxf/>
    </rfmt>
    <rfmt sheetId="2" sqref="IS803" start="0" length="0">
      <dxf/>
    </rfmt>
    <rfmt sheetId="2" sqref="IT803" start="0" length="0">
      <dxf/>
    </rfmt>
    <rfmt sheetId="2" sqref="IU803" start="0" length="0">
      <dxf/>
    </rfmt>
    <rfmt sheetId="2" sqref="IV803" start="0" length="0">
      <dxf/>
    </rfmt>
    <rfmt sheetId="2" sqref="IW803" start="0" length="0">
      <dxf/>
    </rfmt>
    <rfmt sheetId="2" sqref="IX803" start="0" length="0">
      <dxf/>
    </rfmt>
    <rfmt sheetId="2" sqref="IY803" start="0" length="0">
      <dxf/>
    </rfmt>
    <rfmt sheetId="2" sqref="IZ803" start="0" length="0">
      <dxf/>
    </rfmt>
    <rfmt sheetId="2" sqref="JA803" start="0" length="0">
      <dxf/>
    </rfmt>
    <rfmt sheetId="2" sqref="JB803" start="0" length="0">
      <dxf/>
    </rfmt>
    <rfmt sheetId="2" sqref="JC803" start="0" length="0">
      <dxf/>
    </rfmt>
    <rfmt sheetId="2" sqref="JD803" start="0" length="0">
      <dxf/>
    </rfmt>
    <rfmt sheetId="2" sqref="JE803" start="0" length="0">
      <dxf/>
    </rfmt>
    <rfmt sheetId="2" sqref="JF803" start="0" length="0">
      <dxf/>
    </rfmt>
    <rfmt sheetId="2" sqref="JG803" start="0" length="0">
      <dxf/>
    </rfmt>
    <rfmt sheetId="2" sqref="JH803" start="0" length="0">
      <dxf/>
    </rfmt>
    <rfmt sheetId="2" sqref="JI803" start="0" length="0">
      <dxf/>
    </rfmt>
    <rfmt sheetId="2" sqref="JJ803" start="0" length="0">
      <dxf/>
    </rfmt>
    <rfmt sheetId="2" sqref="JK803" start="0" length="0">
      <dxf/>
    </rfmt>
    <rfmt sheetId="2" sqref="JL803" start="0" length="0">
      <dxf/>
    </rfmt>
    <rfmt sheetId="2" sqref="JM803" start="0" length="0">
      <dxf/>
    </rfmt>
    <rfmt sheetId="2" sqref="JN803" start="0" length="0">
      <dxf/>
    </rfmt>
    <rfmt sheetId="2" sqref="JO803" start="0" length="0">
      <dxf/>
    </rfmt>
    <rfmt sheetId="2" sqref="JP803" start="0" length="0">
      <dxf/>
    </rfmt>
    <rfmt sheetId="2" sqref="JQ803" start="0" length="0">
      <dxf/>
    </rfmt>
    <rfmt sheetId="2" sqref="JR803" start="0" length="0">
      <dxf/>
    </rfmt>
    <rfmt sheetId="2" sqref="JS803" start="0" length="0">
      <dxf/>
    </rfmt>
    <rfmt sheetId="2" sqref="JT803" start="0" length="0">
      <dxf/>
    </rfmt>
    <rfmt sheetId="2" sqref="JU803" start="0" length="0">
      <dxf/>
    </rfmt>
    <rfmt sheetId="2" sqref="JV803" start="0" length="0">
      <dxf/>
    </rfmt>
    <rfmt sheetId="2" sqref="JW803" start="0" length="0">
      <dxf/>
    </rfmt>
    <rfmt sheetId="2" sqref="JX803" start="0" length="0">
      <dxf/>
    </rfmt>
    <rfmt sheetId="2" sqref="JY803" start="0" length="0">
      <dxf/>
    </rfmt>
    <rfmt sheetId="2" sqref="JZ803" start="0" length="0">
      <dxf/>
    </rfmt>
    <rfmt sheetId="2" sqref="KA803" start="0" length="0">
      <dxf/>
    </rfmt>
    <rfmt sheetId="2" sqref="KB803" start="0" length="0">
      <dxf/>
    </rfmt>
    <rfmt sheetId="2" sqref="KC803" start="0" length="0">
      <dxf/>
    </rfmt>
    <rfmt sheetId="2" sqref="KD803" start="0" length="0">
      <dxf/>
    </rfmt>
    <rfmt sheetId="2" sqref="KE803" start="0" length="0">
      <dxf/>
    </rfmt>
    <rfmt sheetId="2" sqref="KF803" start="0" length="0">
      <dxf/>
    </rfmt>
    <rfmt sheetId="2" sqref="KG803" start="0" length="0">
      <dxf/>
    </rfmt>
    <rfmt sheetId="2" sqref="KH803" start="0" length="0">
      <dxf/>
    </rfmt>
    <rfmt sheetId="2" sqref="KI803" start="0" length="0">
      <dxf/>
    </rfmt>
    <rfmt sheetId="2" sqref="KJ803" start="0" length="0">
      <dxf/>
    </rfmt>
    <rfmt sheetId="2" sqref="KK803" start="0" length="0">
      <dxf/>
    </rfmt>
    <rfmt sheetId="2" sqref="KL803" start="0" length="0">
      <dxf/>
    </rfmt>
    <rfmt sheetId="2" sqref="KM803" start="0" length="0">
      <dxf/>
    </rfmt>
    <rfmt sheetId="2" sqref="KN803" start="0" length="0">
      <dxf/>
    </rfmt>
    <rfmt sheetId="2" sqref="KO803" start="0" length="0">
      <dxf/>
    </rfmt>
    <rfmt sheetId="2" sqref="KP803" start="0" length="0">
      <dxf/>
    </rfmt>
    <rfmt sheetId="2" sqref="KQ803" start="0" length="0">
      <dxf/>
    </rfmt>
    <rfmt sheetId="2" sqref="KR803" start="0" length="0">
      <dxf/>
    </rfmt>
    <rfmt sheetId="2" sqref="KS803" start="0" length="0">
      <dxf/>
    </rfmt>
    <rfmt sheetId="2" sqref="KT803" start="0" length="0">
      <dxf/>
    </rfmt>
    <rfmt sheetId="2" sqref="KU803" start="0" length="0">
      <dxf/>
    </rfmt>
    <rfmt sheetId="2" sqref="KV803" start="0" length="0">
      <dxf/>
    </rfmt>
    <rfmt sheetId="2" sqref="KW803" start="0" length="0">
      <dxf/>
    </rfmt>
    <rfmt sheetId="2" sqref="KX803" start="0" length="0">
      <dxf/>
    </rfmt>
    <rfmt sheetId="2" sqref="KY803" start="0" length="0">
      <dxf/>
    </rfmt>
    <rfmt sheetId="2" sqref="KZ803" start="0" length="0">
      <dxf/>
    </rfmt>
    <rfmt sheetId="2" sqref="LA803" start="0" length="0">
      <dxf/>
    </rfmt>
    <rfmt sheetId="2" sqref="LB803" start="0" length="0">
      <dxf/>
    </rfmt>
    <rfmt sheetId="2" sqref="LC803" start="0" length="0">
      <dxf/>
    </rfmt>
    <rfmt sheetId="2" sqref="LD803" start="0" length="0">
      <dxf/>
    </rfmt>
    <rfmt sheetId="2" sqref="LE803" start="0" length="0">
      <dxf/>
    </rfmt>
    <rfmt sheetId="2" sqref="LF803" start="0" length="0">
      <dxf/>
    </rfmt>
    <rfmt sheetId="2" sqref="LG803" start="0" length="0">
      <dxf/>
    </rfmt>
    <rfmt sheetId="2" sqref="LH803" start="0" length="0">
      <dxf/>
    </rfmt>
    <rfmt sheetId="2" sqref="LI803" start="0" length="0">
      <dxf/>
    </rfmt>
    <rfmt sheetId="2" sqref="LJ803" start="0" length="0">
      <dxf/>
    </rfmt>
    <rfmt sheetId="2" sqref="LK803" start="0" length="0">
      <dxf/>
    </rfmt>
    <rfmt sheetId="2" sqref="LL803" start="0" length="0">
      <dxf/>
    </rfmt>
    <rfmt sheetId="2" sqref="LM803" start="0" length="0">
      <dxf/>
    </rfmt>
    <rfmt sheetId="2" sqref="LN803" start="0" length="0">
      <dxf/>
    </rfmt>
    <rfmt sheetId="2" sqref="LO803" start="0" length="0">
      <dxf/>
    </rfmt>
    <rfmt sheetId="2" sqref="LP803" start="0" length="0">
      <dxf/>
    </rfmt>
    <rfmt sheetId="2" sqref="LQ803" start="0" length="0">
      <dxf/>
    </rfmt>
    <rfmt sheetId="2" sqref="LR803" start="0" length="0">
      <dxf/>
    </rfmt>
    <rfmt sheetId="2" sqref="LS803" start="0" length="0">
      <dxf/>
    </rfmt>
    <rfmt sheetId="2" sqref="LT803" start="0" length="0">
      <dxf/>
    </rfmt>
    <rfmt sheetId="2" sqref="LU803" start="0" length="0">
      <dxf/>
    </rfmt>
    <rfmt sheetId="2" sqref="LV803" start="0" length="0">
      <dxf/>
    </rfmt>
    <rfmt sheetId="2" sqref="LW803" start="0" length="0">
      <dxf/>
    </rfmt>
    <rfmt sheetId="2" sqref="LX803" start="0" length="0">
      <dxf/>
    </rfmt>
    <rfmt sheetId="2" sqref="LY803" start="0" length="0">
      <dxf/>
    </rfmt>
    <rfmt sheetId="2" sqref="LZ803" start="0" length="0">
      <dxf/>
    </rfmt>
    <rfmt sheetId="2" sqref="MA803" start="0" length="0">
      <dxf/>
    </rfmt>
    <rfmt sheetId="2" sqref="MB803" start="0" length="0">
      <dxf/>
    </rfmt>
  </rrc>
  <rrc rId="2680" sId="2" ref="A803:XFD803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803:XFD803" start="0" length="0">
      <dxf>
        <font>
          <sz val="10"/>
          <name val="Arial"/>
          <scheme val="none"/>
        </font>
        <alignment horizontal="center" readingOrder="0"/>
      </dxf>
    </rfmt>
    <rfmt sheetId="2" sqref="A80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3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80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3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3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3" start="0" length="0">
      <dxf>
        <numFmt numFmtId="176" formatCode="m/d;@"/>
      </dxf>
    </rfmt>
    <rfmt sheetId="2" sqref="P803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3" start="0" length="0">
      <dxf/>
    </rfmt>
    <rfmt sheetId="2" sqref="U803" start="0" length="0">
      <dxf/>
    </rfmt>
    <rfmt sheetId="2" sqref="V803" start="0" length="0">
      <dxf/>
    </rfmt>
    <rfmt sheetId="2" sqref="W803" start="0" length="0">
      <dxf/>
    </rfmt>
    <rfmt sheetId="2" sqref="X803" start="0" length="0">
      <dxf/>
    </rfmt>
    <rfmt sheetId="2" sqref="Y803" start="0" length="0">
      <dxf/>
    </rfmt>
    <rfmt sheetId="2" sqref="Z803" start="0" length="0">
      <dxf/>
    </rfmt>
    <rfmt sheetId="2" sqref="AA803" start="0" length="0">
      <dxf/>
    </rfmt>
    <rfmt sheetId="2" sqref="AB803" start="0" length="0">
      <dxf/>
    </rfmt>
    <rfmt sheetId="2" sqref="AC803" start="0" length="0">
      <dxf/>
    </rfmt>
    <rfmt sheetId="2" sqref="AD803" start="0" length="0">
      <dxf/>
    </rfmt>
    <rfmt sheetId="2" sqref="AE803" start="0" length="0">
      <dxf/>
    </rfmt>
    <rfmt sheetId="2" sqref="AF803" start="0" length="0">
      <dxf/>
    </rfmt>
    <rfmt sheetId="2" sqref="AG803" start="0" length="0">
      <dxf/>
    </rfmt>
    <rfmt sheetId="2" sqref="AH803" start="0" length="0">
      <dxf/>
    </rfmt>
    <rfmt sheetId="2" sqref="AI803" start="0" length="0">
      <dxf/>
    </rfmt>
    <rfmt sheetId="2" sqref="AJ803" start="0" length="0">
      <dxf/>
    </rfmt>
    <rfmt sheetId="2" sqref="AK803" start="0" length="0">
      <dxf/>
    </rfmt>
    <rfmt sheetId="2" sqref="AL803" start="0" length="0">
      <dxf/>
    </rfmt>
    <rfmt sheetId="2" sqref="AM803" start="0" length="0">
      <dxf/>
    </rfmt>
    <rfmt sheetId="2" sqref="AN803" start="0" length="0">
      <dxf/>
    </rfmt>
    <rfmt sheetId="2" sqref="AO803" start="0" length="0">
      <dxf/>
    </rfmt>
    <rfmt sheetId="2" sqref="AP803" start="0" length="0">
      <dxf/>
    </rfmt>
    <rfmt sheetId="2" sqref="AQ803" start="0" length="0">
      <dxf/>
    </rfmt>
    <rfmt sheetId="2" sqref="AR803" start="0" length="0">
      <dxf/>
    </rfmt>
    <rfmt sheetId="2" sqref="AS803" start="0" length="0">
      <dxf/>
    </rfmt>
    <rfmt sheetId="2" sqref="AT803" start="0" length="0">
      <dxf/>
    </rfmt>
    <rfmt sheetId="2" sqref="AU803" start="0" length="0">
      <dxf/>
    </rfmt>
    <rfmt sheetId="2" sqref="AV803" start="0" length="0">
      <dxf/>
    </rfmt>
    <rfmt sheetId="2" sqref="AW803" start="0" length="0">
      <dxf/>
    </rfmt>
    <rfmt sheetId="2" sqref="AX803" start="0" length="0">
      <dxf/>
    </rfmt>
    <rfmt sheetId="2" sqref="AY803" start="0" length="0">
      <dxf/>
    </rfmt>
    <rfmt sheetId="2" sqref="AZ803" start="0" length="0">
      <dxf/>
    </rfmt>
    <rfmt sheetId="2" sqref="BA803" start="0" length="0">
      <dxf/>
    </rfmt>
    <rfmt sheetId="2" sqref="BB803" start="0" length="0">
      <dxf/>
    </rfmt>
    <rfmt sheetId="2" sqref="BC803" start="0" length="0">
      <dxf/>
    </rfmt>
    <rfmt sheetId="2" sqref="BD803" start="0" length="0">
      <dxf/>
    </rfmt>
    <rfmt sheetId="2" sqref="BE803" start="0" length="0">
      <dxf/>
    </rfmt>
    <rfmt sheetId="2" sqref="BF803" start="0" length="0">
      <dxf/>
    </rfmt>
    <rfmt sheetId="2" sqref="BG803" start="0" length="0">
      <dxf/>
    </rfmt>
    <rfmt sheetId="2" sqref="BH803" start="0" length="0">
      <dxf/>
    </rfmt>
    <rfmt sheetId="2" sqref="BI803" start="0" length="0">
      <dxf/>
    </rfmt>
    <rfmt sheetId="2" sqref="BJ803" start="0" length="0">
      <dxf/>
    </rfmt>
    <rfmt sheetId="2" sqref="BK803" start="0" length="0">
      <dxf/>
    </rfmt>
    <rfmt sheetId="2" sqref="BL803" start="0" length="0">
      <dxf/>
    </rfmt>
    <rfmt sheetId="2" sqref="BM803" start="0" length="0">
      <dxf/>
    </rfmt>
    <rfmt sheetId="2" sqref="BN803" start="0" length="0">
      <dxf/>
    </rfmt>
    <rfmt sheetId="2" sqref="BO803" start="0" length="0">
      <dxf/>
    </rfmt>
    <rfmt sheetId="2" sqref="BP803" start="0" length="0">
      <dxf/>
    </rfmt>
    <rfmt sheetId="2" sqref="BQ803" start="0" length="0">
      <dxf/>
    </rfmt>
    <rfmt sheetId="2" sqref="BR803" start="0" length="0">
      <dxf/>
    </rfmt>
    <rfmt sheetId="2" sqref="BS803" start="0" length="0">
      <dxf/>
    </rfmt>
    <rfmt sheetId="2" sqref="BT803" start="0" length="0">
      <dxf/>
    </rfmt>
    <rfmt sheetId="2" sqref="BU803" start="0" length="0">
      <dxf/>
    </rfmt>
    <rfmt sheetId="2" sqref="BV803" start="0" length="0">
      <dxf/>
    </rfmt>
    <rfmt sheetId="2" sqref="BW803" start="0" length="0">
      <dxf/>
    </rfmt>
    <rfmt sheetId="2" sqref="BX803" start="0" length="0">
      <dxf/>
    </rfmt>
    <rfmt sheetId="2" sqref="BY803" start="0" length="0">
      <dxf/>
    </rfmt>
    <rfmt sheetId="2" sqref="BZ803" start="0" length="0">
      <dxf/>
    </rfmt>
    <rfmt sheetId="2" sqref="CA803" start="0" length="0">
      <dxf/>
    </rfmt>
    <rfmt sheetId="2" sqref="CB803" start="0" length="0">
      <dxf/>
    </rfmt>
    <rfmt sheetId="2" sqref="CC803" start="0" length="0">
      <dxf/>
    </rfmt>
    <rfmt sheetId="2" sqref="CD803" start="0" length="0">
      <dxf/>
    </rfmt>
    <rfmt sheetId="2" sqref="CE803" start="0" length="0">
      <dxf/>
    </rfmt>
    <rfmt sheetId="2" sqref="CF803" start="0" length="0">
      <dxf/>
    </rfmt>
    <rfmt sheetId="2" sqref="CG803" start="0" length="0">
      <dxf/>
    </rfmt>
    <rfmt sheetId="2" sqref="CH803" start="0" length="0">
      <dxf/>
    </rfmt>
    <rfmt sheetId="2" sqref="CI803" start="0" length="0">
      <dxf/>
    </rfmt>
    <rfmt sheetId="2" sqref="CJ803" start="0" length="0">
      <dxf/>
    </rfmt>
    <rfmt sheetId="2" sqref="CK803" start="0" length="0">
      <dxf/>
    </rfmt>
    <rfmt sheetId="2" sqref="CL803" start="0" length="0">
      <dxf/>
    </rfmt>
    <rfmt sheetId="2" sqref="CM803" start="0" length="0">
      <dxf/>
    </rfmt>
    <rfmt sheetId="2" sqref="CN803" start="0" length="0">
      <dxf/>
    </rfmt>
    <rfmt sheetId="2" sqref="CO803" start="0" length="0">
      <dxf/>
    </rfmt>
    <rfmt sheetId="2" sqref="CP803" start="0" length="0">
      <dxf/>
    </rfmt>
    <rfmt sheetId="2" sqref="CQ803" start="0" length="0">
      <dxf/>
    </rfmt>
    <rfmt sheetId="2" sqref="CR803" start="0" length="0">
      <dxf/>
    </rfmt>
    <rfmt sheetId="2" sqref="CS803" start="0" length="0">
      <dxf/>
    </rfmt>
    <rfmt sheetId="2" sqref="CT803" start="0" length="0">
      <dxf/>
    </rfmt>
    <rfmt sheetId="2" sqref="CU803" start="0" length="0">
      <dxf/>
    </rfmt>
    <rfmt sheetId="2" sqref="CV803" start="0" length="0">
      <dxf/>
    </rfmt>
    <rfmt sheetId="2" sqref="CW803" start="0" length="0">
      <dxf/>
    </rfmt>
    <rfmt sheetId="2" sqref="CX803" start="0" length="0">
      <dxf/>
    </rfmt>
    <rfmt sheetId="2" sqref="CY803" start="0" length="0">
      <dxf/>
    </rfmt>
    <rfmt sheetId="2" sqref="CZ803" start="0" length="0">
      <dxf/>
    </rfmt>
    <rfmt sheetId="2" sqref="DA803" start="0" length="0">
      <dxf/>
    </rfmt>
    <rfmt sheetId="2" sqref="DB803" start="0" length="0">
      <dxf/>
    </rfmt>
    <rfmt sheetId="2" sqref="DC803" start="0" length="0">
      <dxf/>
    </rfmt>
    <rfmt sheetId="2" sqref="DD803" start="0" length="0">
      <dxf/>
    </rfmt>
    <rfmt sheetId="2" sqref="DE803" start="0" length="0">
      <dxf/>
    </rfmt>
    <rfmt sheetId="2" sqref="DF803" start="0" length="0">
      <dxf/>
    </rfmt>
    <rfmt sheetId="2" sqref="DG803" start="0" length="0">
      <dxf/>
    </rfmt>
    <rfmt sheetId="2" sqref="DH803" start="0" length="0">
      <dxf/>
    </rfmt>
    <rfmt sheetId="2" sqref="DI803" start="0" length="0">
      <dxf/>
    </rfmt>
    <rfmt sheetId="2" sqref="DJ803" start="0" length="0">
      <dxf/>
    </rfmt>
    <rfmt sheetId="2" sqref="DK803" start="0" length="0">
      <dxf/>
    </rfmt>
    <rfmt sheetId="2" sqref="DL803" start="0" length="0">
      <dxf/>
    </rfmt>
    <rfmt sheetId="2" sqref="DM803" start="0" length="0">
      <dxf/>
    </rfmt>
    <rfmt sheetId="2" sqref="DN803" start="0" length="0">
      <dxf/>
    </rfmt>
    <rfmt sheetId="2" sqref="DO803" start="0" length="0">
      <dxf/>
    </rfmt>
    <rfmt sheetId="2" sqref="DP803" start="0" length="0">
      <dxf/>
    </rfmt>
    <rfmt sheetId="2" sqref="DQ803" start="0" length="0">
      <dxf/>
    </rfmt>
    <rfmt sheetId="2" sqref="DR803" start="0" length="0">
      <dxf/>
    </rfmt>
    <rfmt sheetId="2" sqref="DS803" start="0" length="0">
      <dxf/>
    </rfmt>
    <rfmt sheetId="2" sqref="DT803" start="0" length="0">
      <dxf/>
    </rfmt>
    <rfmt sheetId="2" sqref="DU803" start="0" length="0">
      <dxf/>
    </rfmt>
    <rfmt sheetId="2" sqref="DV803" start="0" length="0">
      <dxf/>
    </rfmt>
    <rfmt sheetId="2" sqref="DW803" start="0" length="0">
      <dxf/>
    </rfmt>
    <rfmt sheetId="2" sqref="DX803" start="0" length="0">
      <dxf/>
    </rfmt>
    <rfmt sheetId="2" sqref="DY803" start="0" length="0">
      <dxf/>
    </rfmt>
    <rfmt sheetId="2" sqref="DZ803" start="0" length="0">
      <dxf/>
    </rfmt>
    <rfmt sheetId="2" sqref="EA803" start="0" length="0">
      <dxf/>
    </rfmt>
    <rfmt sheetId="2" sqref="EB803" start="0" length="0">
      <dxf/>
    </rfmt>
    <rfmt sheetId="2" sqref="EC803" start="0" length="0">
      <dxf/>
    </rfmt>
    <rfmt sheetId="2" sqref="ED803" start="0" length="0">
      <dxf/>
    </rfmt>
    <rfmt sheetId="2" sqref="EE803" start="0" length="0">
      <dxf/>
    </rfmt>
    <rfmt sheetId="2" sqref="EF803" start="0" length="0">
      <dxf/>
    </rfmt>
    <rfmt sheetId="2" sqref="EG803" start="0" length="0">
      <dxf/>
    </rfmt>
    <rfmt sheetId="2" sqref="EH803" start="0" length="0">
      <dxf/>
    </rfmt>
    <rfmt sheetId="2" sqref="EI803" start="0" length="0">
      <dxf/>
    </rfmt>
    <rfmt sheetId="2" sqref="EJ803" start="0" length="0">
      <dxf/>
    </rfmt>
    <rfmt sheetId="2" sqref="EK803" start="0" length="0">
      <dxf/>
    </rfmt>
    <rfmt sheetId="2" sqref="EL803" start="0" length="0">
      <dxf/>
    </rfmt>
    <rfmt sheetId="2" sqref="EM803" start="0" length="0">
      <dxf/>
    </rfmt>
    <rfmt sheetId="2" sqref="EN803" start="0" length="0">
      <dxf/>
    </rfmt>
    <rfmt sheetId="2" sqref="EO803" start="0" length="0">
      <dxf/>
    </rfmt>
    <rfmt sheetId="2" sqref="EP803" start="0" length="0">
      <dxf/>
    </rfmt>
    <rfmt sheetId="2" sqref="EQ803" start="0" length="0">
      <dxf/>
    </rfmt>
    <rfmt sheetId="2" sqref="ER803" start="0" length="0">
      <dxf/>
    </rfmt>
    <rfmt sheetId="2" sqref="ES803" start="0" length="0">
      <dxf/>
    </rfmt>
    <rfmt sheetId="2" sqref="ET803" start="0" length="0">
      <dxf/>
    </rfmt>
    <rfmt sheetId="2" sqref="EU803" start="0" length="0">
      <dxf/>
    </rfmt>
    <rfmt sheetId="2" sqref="EV803" start="0" length="0">
      <dxf/>
    </rfmt>
    <rfmt sheetId="2" sqref="EW803" start="0" length="0">
      <dxf/>
    </rfmt>
    <rfmt sheetId="2" sqref="EX803" start="0" length="0">
      <dxf/>
    </rfmt>
    <rfmt sheetId="2" sqref="EY803" start="0" length="0">
      <dxf/>
    </rfmt>
    <rfmt sheetId="2" sqref="EZ803" start="0" length="0">
      <dxf/>
    </rfmt>
    <rfmt sheetId="2" sqref="FA803" start="0" length="0">
      <dxf/>
    </rfmt>
    <rfmt sheetId="2" sqref="FB803" start="0" length="0">
      <dxf/>
    </rfmt>
    <rfmt sheetId="2" sqref="FC803" start="0" length="0">
      <dxf/>
    </rfmt>
    <rfmt sheetId="2" sqref="FD803" start="0" length="0">
      <dxf/>
    </rfmt>
    <rfmt sheetId="2" sqref="FE803" start="0" length="0">
      <dxf/>
    </rfmt>
    <rfmt sheetId="2" sqref="FF803" start="0" length="0">
      <dxf/>
    </rfmt>
    <rfmt sheetId="2" sqref="FG803" start="0" length="0">
      <dxf/>
    </rfmt>
    <rfmt sheetId="2" sqref="FH803" start="0" length="0">
      <dxf/>
    </rfmt>
    <rfmt sheetId="2" sqref="FI803" start="0" length="0">
      <dxf/>
    </rfmt>
    <rfmt sheetId="2" sqref="FJ803" start="0" length="0">
      <dxf/>
    </rfmt>
    <rfmt sheetId="2" sqref="FK803" start="0" length="0">
      <dxf/>
    </rfmt>
    <rfmt sheetId="2" sqref="FL803" start="0" length="0">
      <dxf/>
    </rfmt>
    <rfmt sheetId="2" sqref="FM803" start="0" length="0">
      <dxf/>
    </rfmt>
    <rfmt sheetId="2" sqref="FN803" start="0" length="0">
      <dxf/>
    </rfmt>
    <rfmt sheetId="2" sqref="FO803" start="0" length="0">
      <dxf/>
    </rfmt>
    <rfmt sheetId="2" sqref="FP803" start="0" length="0">
      <dxf/>
    </rfmt>
    <rfmt sheetId="2" sqref="FQ803" start="0" length="0">
      <dxf/>
    </rfmt>
    <rfmt sheetId="2" sqref="FR803" start="0" length="0">
      <dxf/>
    </rfmt>
    <rfmt sheetId="2" sqref="FS803" start="0" length="0">
      <dxf/>
    </rfmt>
    <rfmt sheetId="2" sqref="FT803" start="0" length="0">
      <dxf/>
    </rfmt>
    <rfmt sheetId="2" sqref="FU803" start="0" length="0">
      <dxf/>
    </rfmt>
    <rfmt sheetId="2" sqref="FV803" start="0" length="0">
      <dxf/>
    </rfmt>
    <rfmt sheetId="2" sqref="FW803" start="0" length="0">
      <dxf/>
    </rfmt>
    <rfmt sheetId="2" sqref="FX803" start="0" length="0">
      <dxf/>
    </rfmt>
    <rfmt sheetId="2" sqref="FY803" start="0" length="0">
      <dxf/>
    </rfmt>
    <rfmt sheetId="2" sqref="FZ803" start="0" length="0">
      <dxf/>
    </rfmt>
    <rfmt sheetId="2" sqref="GA803" start="0" length="0">
      <dxf/>
    </rfmt>
    <rfmt sheetId="2" sqref="GB803" start="0" length="0">
      <dxf/>
    </rfmt>
    <rfmt sheetId="2" sqref="GC803" start="0" length="0">
      <dxf/>
    </rfmt>
    <rfmt sheetId="2" sqref="GD803" start="0" length="0">
      <dxf/>
    </rfmt>
    <rfmt sheetId="2" sqref="GE803" start="0" length="0">
      <dxf/>
    </rfmt>
    <rfmt sheetId="2" sqref="GF803" start="0" length="0">
      <dxf/>
    </rfmt>
    <rfmt sheetId="2" sqref="GG803" start="0" length="0">
      <dxf/>
    </rfmt>
    <rfmt sheetId="2" sqref="GH803" start="0" length="0">
      <dxf/>
    </rfmt>
    <rfmt sheetId="2" sqref="GI803" start="0" length="0">
      <dxf/>
    </rfmt>
    <rfmt sheetId="2" sqref="GJ803" start="0" length="0">
      <dxf/>
    </rfmt>
    <rfmt sheetId="2" sqref="GK803" start="0" length="0">
      <dxf/>
    </rfmt>
    <rfmt sheetId="2" sqref="GL803" start="0" length="0">
      <dxf/>
    </rfmt>
    <rfmt sheetId="2" sqref="GM803" start="0" length="0">
      <dxf/>
    </rfmt>
    <rfmt sheetId="2" sqref="GN803" start="0" length="0">
      <dxf/>
    </rfmt>
    <rfmt sheetId="2" sqref="GO803" start="0" length="0">
      <dxf/>
    </rfmt>
    <rfmt sheetId="2" sqref="GP803" start="0" length="0">
      <dxf/>
    </rfmt>
    <rfmt sheetId="2" sqref="GQ803" start="0" length="0">
      <dxf/>
    </rfmt>
    <rfmt sheetId="2" sqref="GR803" start="0" length="0">
      <dxf/>
    </rfmt>
    <rfmt sheetId="2" sqref="GS803" start="0" length="0">
      <dxf/>
    </rfmt>
    <rfmt sheetId="2" sqref="GT803" start="0" length="0">
      <dxf/>
    </rfmt>
    <rfmt sheetId="2" sqref="GU803" start="0" length="0">
      <dxf/>
    </rfmt>
    <rfmt sheetId="2" sqref="GV803" start="0" length="0">
      <dxf/>
    </rfmt>
    <rfmt sheetId="2" sqref="GW803" start="0" length="0">
      <dxf/>
    </rfmt>
    <rfmt sheetId="2" sqref="GX803" start="0" length="0">
      <dxf/>
    </rfmt>
    <rfmt sheetId="2" sqref="GY803" start="0" length="0">
      <dxf/>
    </rfmt>
    <rfmt sheetId="2" sqref="GZ803" start="0" length="0">
      <dxf/>
    </rfmt>
    <rfmt sheetId="2" sqref="HA803" start="0" length="0">
      <dxf/>
    </rfmt>
    <rfmt sheetId="2" sqref="HB803" start="0" length="0">
      <dxf/>
    </rfmt>
    <rfmt sheetId="2" sqref="HC803" start="0" length="0">
      <dxf/>
    </rfmt>
    <rfmt sheetId="2" sqref="HD803" start="0" length="0">
      <dxf/>
    </rfmt>
    <rfmt sheetId="2" sqref="HE803" start="0" length="0">
      <dxf/>
    </rfmt>
    <rfmt sheetId="2" sqref="HF803" start="0" length="0">
      <dxf/>
    </rfmt>
    <rfmt sheetId="2" sqref="HG803" start="0" length="0">
      <dxf/>
    </rfmt>
    <rfmt sheetId="2" sqref="HH803" start="0" length="0">
      <dxf/>
    </rfmt>
    <rfmt sheetId="2" sqref="HI803" start="0" length="0">
      <dxf/>
    </rfmt>
    <rfmt sheetId="2" sqref="HJ803" start="0" length="0">
      <dxf/>
    </rfmt>
    <rfmt sheetId="2" sqref="HK803" start="0" length="0">
      <dxf/>
    </rfmt>
    <rfmt sheetId="2" sqref="HL803" start="0" length="0">
      <dxf/>
    </rfmt>
    <rfmt sheetId="2" sqref="HM803" start="0" length="0">
      <dxf/>
    </rfmt>
    <rfmt sheetId="2" sqref="HN803" start="0" length="0">
      <dxf/>
    </rfmt>
    <rfmt sheetId="2" sqref="HO803" start="0" length="0">
      <dxf/>
    </rfmt>
    <rfmt sheetId="2" sqref="HP803" start="0" length="0">
      <dxf/>
    </rfmt>
    <rfmt sheetId="2" sqref="HQ803" start="0" length="0">
      <dxf/>
    </rfmt>
    <rfmt sheetId="2" sqref="HR803" start="0" length="0">
      <dxf/>
    </rfmt>
    <rfmt sheetId="2" sqref="HS803" start="0" length="0">
      <dxf/>
    </rfmt>
    <rfmt sheetId="2" sqref="HT803" start="0" length="0">
      <dxf/>
    </rfmt>
    <rfmt sheetId="2" sqref="HU803" start="0" length="0">
      <dxf/>
    </rfmt>
    <rfmt sheetId="2" sqref="HV803" start="0" length="0">
      <dxf/>
    </rfmt>
    <rfmt sheetId="2" sqref="HW803" start="0" length="0">
      <dxf/>
    </rfmt>
    <rfmt sheetId="2" sqref="HX803" start="0" length="0">
      <dxf/>
    </rfmt>
    <rfmt sheetId="2" sqref="HY803" start="0" length="0">
      <dxf/>
    </rfmt>
    <rfmt sheetId="2" sqref="HZ803" start="0" length="0">
      <dxf/>
    </rfmt>
    <rfmt sheetId="2" sqref="IA803" start="0" length="0">
      <dxf/>
    </rfmt>
    <rfmt sheetId="2" sqref="IB803" start="0" length="0">
      <dxf/>
    </rfmt>
    <rfmt sheetId="2" sqref="IC803" start="0" length="0">
      <dxf/>
    </rfmt>
    <rfmt sheetId="2" sqref="ID803" start="0" length="0">
      <dxf/>
    </rfmt>
    <rfmt sheetId="2" sqref="IE803" start="0" length="0">
      <dxf/>
    </rfmt>
    <rfmt sheetId="2" sqref="IF803" start="0" length="0">
      <dxf/>
    </rfmt>
    <rfmt sheetId="2" sqref="IG803" start="0" length="0">
      <dxf/>
    </rfmt>
    <rfmt sheetId="2" sqref="IH803" start="0" length="0">
      <dxf/>
    </rfmt>
    <rfmt sheetId="2" sqref="II803" start="0" length="0">
      <dxf/>
    </rfmt>
    <rfmt sheetId="2" sqref="IJ803" start="0" length="0">
      <dxf/>
    </rfmt>
    <rfmt sheetId="2" sqref="IK803" start="0" length="0">
      <dxf/>
    </rfmt>
    <rfmt sheetId="2" sqref="IL803" start="0" length="0">
      <dxf/>
    </rfmt>
    <rfmt sheetId="2" sqref="IM803" start="0" length="0">
      <dxf/>
    </rfmt>
    <rfmt sheetId="2" sqref="IN803" start="0" length="0">
      <dxf/>
    </rfmt>
    <rfmt sheetId="2" sqref="IO803" start="0" length="0">
      <dxf/>
    </rfmt>
    <rfmt sheetId="2" sqref="IP803" start="0" length="0">
      <dxf/>
    </rfmt>
    <rfmt sheetId="2" sqref="IQ803" start="0" length="0">
      <dxf/>
    </rfmt>
    <rfmt sheetId="2" sqref="IR803" start="0" length="0">
      <dxf/>
    </rfmt>
    <rfmt sheetId="2" sqref="IS803" start="0" length="0">
      <dxf/>
    </rfmt>
    <rfmt sheetId="2" sqref="IT803" start="0" length="0">
      <dxf/>
    </rfmt>
    <rfmt sheetId="2" sqref="IU803" start="0" length="0">
      <dxf/>
    </rfmt>
    <rfmt sheetId="2" sqref="IV803" start="0" length="0">
      <dxf/>
    </rfmt>
    <rfmt sheetId="2" sqref="IW803" start="0" length="0">
      <dxf/>
    </rfmt>
    <rfmt sheetId="2" sqref="IX803" start="0" length="0">
      <dxf/>
    </rfmt>
    <rfmt sheetId="2" sqref="IY803" start="0" length="0">
      <dxf/>
    </rfmt>
    <rfmt sheetId="2" sqref="IZ803" start="0" length="0">
      <dxf/>
    </rfmt>
    <rfmt sheetId="2" sqref="JA803" start="0" length="0">
      <dxf/>
    </rfmt>
    <rfmt sheetId="2" sqref="JB803" start="0" length="0">
      <dxf/>
    </rfmt>
    <rfmt sheetId="2" sqref="JC803" start="0" length="0">
      <dxf/>
    </rfmt>
    <rfmt sheetId="2" sqref="JD803" start="0" length="0">
      <dxf/>
    </rfmt>
    <rfmt sheetId="2" sqref="JE803" start="0" length="0">
      <dxf/>
    </rfmt>
    <rfmt sheetId="2" sqref="JF803" start="0" length="0">
      <dxf/>
    </rfmt>
    <rfmt sheetId="2" sqref="JG803" start="0" length="0">
      <dxf/>
    </rfmt>
    <rfmt sheetId="2" sqref="JH803" start="0" length="0">
      <dxf/>
    </rfmt>
    <rfmt sheetId="2" sqref="JI803" start="0" length="0">
      <dxf/>
    </rfmt>
    <rfmt sheetId="2" sqref="JJ803" start="0" length="0">
      <dxf/>
    </rfmt>
    <rfmt sheetId="2" sqref="JK803" start="0" length="0">
      <dxf/>
    </rfmt>
    <rfmt sheetId="2" sqref="JL803" start="0" length="0">
      <dxf/>
    </rfmt>
    <rfmt sheetId="2" sqref="JM803" start="0" length="0">
      <dxf/>
    </rfmt>
    <rfmt sheetId="2" sqref="JN803" start="0" length="0">
      <dxf/>
    </rfmt>
    <rfmt sheetId="2" sqref="JO803" start="0" length="0">
      <dxf/>
    </rfmt>
    <rfmt sheetId="2" sqref="JP803" start="0" length="0">
      <dxf/>
    </rfmt>
    <rfmt sheetId="2" sqref="JQ803" start="0" length="0">
      <dxf/>
    </rfmt>
    <rfmt sheetId="2" sqref="JR803" start="0" length="0">
      <dxf/>
    </rfmt>
    <rfmt sheetId="2" sqref="JS803" start="0" length="0">
      <dxf/>
    </rfmt>
    <rfmt sheetId="2" sqref="JT803" start="0" length="0">
      <dxf/>
    </rfmt>
    <rfmt sheetId="2" sqref="JU803" start="0" length="0">
      <dxf/>
    </rfmt>
    <rfmt sheetId="2" sqref="JV803" start="0" length="0">
      <dxf/>
    </rfmt>
    <rfmt sheetId="2" sqref="JW803" start="0" length="0">
      <dxf/>
    </rfmt>
    <rfmt sheetId="2" sqref="JX803" start="0" length="0">
      <dxf/>
    </rfmt>
    <rfmt sheetId="2" sqref="JY803" start="0" length="0">
      <dxf/>
    </rfmt>
    <rfmt sheetId="2" sqref="JZ803" start="0" length="0">
      <dxf/>
    </rfmt>
    <rfmt sheetId="2" sqref="KA803" start="0" length="0">
      <dxf/>
    </rfmt>
    <rfmt sheetId="2" sqref="KB803" start="0" length="0">
      <dxf/>
    </rfmt>
    <rfmt sheetId="2" sqref="KC803" start="0" length="0">
      <dxf/>
    </rfmt>
    <rfmt sheetId="2" sqref="KD803" start="0" length="0">
      <dxf/>
    </rfmt>
    <rfmt sheetId="2" sqref="KE803" start="0" length="0">
      <dxf/>
    </rfmt>
    <rfmt sheetId="2" sqref="KF803" start="0" length="0">
      <dxf/>
    </rfmt>
    <rfmt sheetId="2" sqref="KG803" start="0" length="0">
      <dxf/>
    </rfmt>
    <rfmt sheetId="2" sqref="KH803" start="0" length="0">
      <dxf/>
    </rfmt>
    <rfmt sheetId="2" sqref="KI803" start="0" length="0">
      <dxf/>
    </rfmt>
    <rfmt sheetId="2" sqref="KJ803" start="0" length="0">
      <dxf/>
    </rfmt>
    <rfmt sheetId="2" sqref="KK803" start="0" length="0">
      <dxf/>
    </rfmt>
    <rfmt sheetId="2" sqref="KL803" start="0" length="0">
      <dxf/>
    </rfmt>
    <rfmt sheetId="2" sqref="KM803" start="0" length="0">
      <dxf/>
    </rfmt>
    <rfmt sheetId="2" sqref="KN803" start="0" length="0">
      <dxf/>
    </rfmt>
    <rfmt sheetId="2" sqref="KO803" start="0" length="0">
      <dxf/>
    </rfmt>
    <rfmt sheetId="2" sqref="KP803" start="0" length="0">
      <dxf/>
    </rfmt>
    <rfmt sheetId="2" sqref="KQ803" start="0" length="0">
      <dxf/>
    </rfmt>
    <rfmt sheetId="2" sqref="KR803" start="0" length="0">
      <dxf/>
    </rfmt>
    <rfmt sheetId="2" sqref="KS803" start="0" length="0">
      <dxf/>
    </rfmt>
    <rfmt sheetId="2" sqref="KT803" start="0" length="0">
      <dxf/>
    </rfmt>
    <rfmt sheetId="2" sqref="KU803" start="0" length="0">
      <dxf/>
    </rfmt>
    <rfmt sheetId="2" sqref="KV803" start="0" length="0">
      <dxf/>
    </rfmt>
    <rfmt sheetId="2" sqref="KW803" start="0" length="0">
      <dxf/>
    </rfmt>
    <rfmt sheetId="2" sqref="KX803" start="0" length="0">
      <dxf/>
    </rfmt>
    <rfmt sheetId="2" sqref="KY803" start="0" length="0">
      <dxf/>
    </rfmt>
    <rfmt sheetId="2" sqref="KZ803" start="0" length="0">
      <dxf/>
    </rfmt>
    <rfmt sheetId="2" sqref="LA803" start="0" length="0">
      <dxf/>
    </rfmt>
    <rfmt sheetId="2" sqref="LB803" start="0" length="0">
      <dxf/>
    </rfmt>
    <rfmt sheetId="2" sqref="LC803" start="0" length="0">
      <dxf/>
    </rfmt>
    <rfmt sheetId="2" sqref="LD803" start="0" length="0">
      <dxf/>
    </rfmt>
    <rfmt sheetId="2" sqref="LE803" start="0" length="0">
      <dxf/>
    </rfmt>
    <rfmt sheetId="2" sqref="LF803" start="0" length="0">
      <dxf/>
    </rfmt>
    <rfmt sheetId="2" sqref="LG803" start="0" length="0">
      <dxf/>
    </rfmt>
    <rfmt sheetId="2" sqref="LH803" start="0" length="0">
      <dxf/>
    </rfmt>
    <rfmt sheetId="2" sqref="LI803" start="0" length="0">
      <dxf/>
    </rfmt>
    <rfmt sheetId="2" sqref="LJ803" start="0" length="0">
      <dxf/>
    </rfmt>
    <rfmt sheetId="2" sqref="LK803" start="0" length="0">
      <dxf/>
    </rfmt>
    <rfmt sheetId="2" sqref="LL803" start="0" length="0">
      <dxf/>
    </rfmt>
    <rfmt sheetId="2" sqref="LM803" start="0" length="0">
      <dxf/>
    </rfmt>
    <rfmt sheetId="2" sqref="LN803" start="0" length="0">
      <dxf/>
    </rfmt>
    <rfmt sheetId="2" sqref="LO803" start="0" length="0">
      <dxf/>
    </rfmt>
    <rfmt sheetId="2" sqref="LP803" start="0" length="0">
      <dxf/>
    </rfmt>
    <rfmt sheetId="2" sqref="LQ803" start="0" length="0">
      <dxf/>
    </rfmt>
    <rfmt sheetId="2" sqref="LR803" start="0" length="0">
      <dxf/>
    </rfmt>
    <rfmt sheetId="2" sqref="LS803" start="0" length="0">
      <dxf/>
    </rfmt>
    <rfmt sheetId="2" sqref="LT803" start="0" length="0">
      <dxf/>
    </rfmt>
    <rfmt sheetId="2" sqref="LU803" start="0" length="0">
      <dxf/>
    </rfmt>
    <rfmt sheetId="2" sqref="LV803" start="0" length="0">
      <dxf/>
    </rfmt>
    <rfmt sheetId="2" sqref="LW803" start="0" length="0">
      <dxf/>
    </rfmt>
    <rfmt sheetId="2" sqref="LX803" start="0" length="0">
      <dxf/>
    </rfmt>
    <rfmt sheetId="2" sqref="LY803" start="0" length="0">
      <dxf/>
    </rfmt>
    <rfmt sheetId="2" sqref="LZ803" start="0" length="0">
      <dxf/>
    </rfmt>
    <rfmt sheetId="2" sqref="MA803" start="0" length="0">
      <dxf/>
    </rfmt>
    <rfmt sheetId="2" sqref="MB803" start="0" length="0">
      <dxf/>
    </rfmt>
  </rrc>
  <rrc rId="2681" sId="2" ref="A801:XFD802" action="insert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</rrc>
  <rm rId="2682" sheetId="2" source="A805:XFD806" destination="A801:XFD802" sourceSheetId="2">
    <rfmt sheetId="2" xfDxf="1" sqref="A801:XFD801" start="0" length="0">
      <dxf>
        <font>
          <sz val="10"/>
          <name val="Arial"/>
          <scheme val="none"/>
        </font>
        <alignment horizontal="center" readingOrder="0"/>
      </dxf>
    </rfmt>
    <rfmt sheetId="2" xfDxf="1" sqref="A802:XFD802" start="0" length="0">
      <dxf>
        <font>
          <sz val="10"/>
          <name val="Arial"/>
          <scheme val="none"/>
        </font>
        <alignment horizontal="center" readingOrder="0"/>
      </dxf>
    </rfmt>
    <rfmt sheetId="2" sqref="A801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1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1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80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80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80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801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1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1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1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1" start="0" length="0">
      <dxf>
        <numFmt numFmtId="176" formatCode="m/d;@"/>
      </dxf>
    </rfmt>
    <rfmt sheetId="2" sqref="P801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1" start="0" length="0">
      <dxf/>
    </rfmt>
    <rfmt sheetId="2" sqref="U801" start="0" length="0">
      <dxf/>
    </rfmt>
    <rfmt sheetId="2" sqref="V801" start="0" length="0">
      <dxf/>
    </rfmt>
    <rfmt sheetId="2" sqref="W801" start="0" length="0">
      <dxf/>
    </rfmt>
    <rfmt sheetId="2" sqref="X801" start="0" length="0">
      <dxf/>
    </rfmt>
    <rfmt sheetId="2" sqref="Y801" start="0" length="0">
      <dxf/>
    </rfmt>
    <rfmt sheetId="2" sqref="Z801" start="0" length="0">
      <dxf/>
    </rfmt>
    <rfmt sheetId="2" sqref="AA801" start="0" length="0">
      <dxf/>
    </rfmt>
    <rfmt sheetId="2" sqref="AB801" start="0" length="0">
      <dxf/>
    </rfmt>
    <rfmt sheetId="2" sqref="AC801" start="0" length="0">
      <dxf/>
    </rfmt>
    <rfmt sheetId="2" sqref="AD801" start="0" length="0">
      <dxf/>
    </rfmt>
    <rfmt sheetId="2" sqref="AE801" start="0" length="0">
      <dxf/>
    </rfmt>
    <rfmt sheetId="2" sqref="AF801" start="0" length="0">
      <dxf/>
    </rfmt>
    <rfmt sheetId="2" sqref="AG801" start="0" length="0">
      <dxf/>
    </rfmt>
    <rfmt sheetId="2" sqref="AH801" start="0" length="0">
      <dxf/>
    </rfmt>
    <rfmt sheetId="2" sqref="AI801" start="0" length="0">
      <dxf/>
    </rfmt>
    <rfmt sheetId="2" sqref="AJ801" start="0" length="0">
      <dxf/>
    </rfmt>
    <rfmt sheetId="2" sqref="AK801" start="0" length="0">
      <dxf/>
    </rfmt>
    <rfmt sheetId="2" sqref="AL801" start="0" length="0">
      <dxf/>
    </rfmt>
    <rfmt sheetId="2" sqref="AM801" start="0" length="0">
      <dxf/>
    </rfmt>
    <rfmt sheetId="2" sqref="AN801" start="0" length="0">
      <dxf/>
    </rfmt>
    <rfmt sheetId="2" sqref="AO801" start="0" length="0">
      <dxf/>
    </rfmt>
    <rfmt sheetId="2" sqref="AP801" start="0" length="0">
      <dxf/>
    </rfmt>
    <rfmt sheetId="2" sqref="AQ801" start="0" length="0">
      <dxf/>
    </rfmt>
    <rfmt sheetId="2" sqref="AR801" start="0" length="0">
      <dxf/>
    </rfmt>
    <rfmt sheetId="2" sqref="AS801" start="0" length="0">
      <dxf/>
    </rfmt>
    <rfmt sheetId="2" sqref="AT801" start="0" length="0">
      <dxf/>
    </rfmt>
    <rfmt sheetId="2" sqref="AU801" start="0" length="0">
      <dxf/>
    </rfmt>
    <rfmt sheetId="2" sqref="AV801" start="0" length="0">
      <dxf/>
    </rfmt>
    <rfmt sheetId="2" sqref="AW801" start="0" length="0">
      <dxf/>
    </rfmt>
    <rfmt sheetId="2" sqref="AX801" start="0" length="0">
      <dxf/>
    </rfmt>
    <rfmt sheetId="2" sqref="AY801" start="0" length="0">
      <dxf/>
    </rfmt>
    <rfmt sheetId="2" sqref="AZ801" start="0" length="0">
      <dxf/>
    </rfmt>
    <rfmt sheetId="2" sqref="BA801" start="0" length="0">
      <dxf/>
    </rfmt>
    <rfmt sheetId="2" sqref="BB801" start="0" length="0">
      <dxf/>
    </rfmt>
    <rfmt sheetId="2" sqref="BC801" start="0" length="0">
      <dxf/>
    </rfmt>
    <rfmt sheetId="2" sqref="BD801" start="0" length="0">
      <dxf/>
    </rfmt>
    <rfmt sheetId="2" sqref="BE801" start="0" length="0">
      <dxf/>
    </rfmt>
    <rfmt sheetId="2" sqref="BF801" start="0" length="0">
      <dxf/>
    </rfmt>
    <rfmt sheetId="2" sqref="BG801" start="0" length="0">
      <dxf/>
    </rfmt>
    <rfmt sheetId="2" sqref="BH801" start="0" length="0">
      <dxf/>
    </rfmt>
    <rfmt sheetId="2" sqref="BI801" start="0" length="0">
      <dxf/>
    </rfmt>
    <rfmt sheetId="2" sqref="BJ801" start="0" length="0">
      <dxf/>
    </rfmt>
    <rfmt sheetId="2" sqref="BK801" start="0" length="0">
      <dxf/>
    </rfmt>
    <rfmt sheetId="2" sqref="BL801" start="0" length="0">
      <dxf/>
    </rfmt>
    <rfmt sheetId="2" sqref="BM801" start="0" length="0">
      <dxf/>
    </rfmt>
    <rfmt sheetId="2" sqref="BN801" start="0" length="0">
      <dxf/>
    </rfmt>
    <rfmt sheetId="2" sqref="BO801" start="0" length="0">
      <dxf/>
    </rfmt>
    <rfmt sheetId="2" sqref="BP801" start="0" length="0">
      <dxf/>
    </rfmt>
    <rfmt sheetId="2" sqref="BQ801" start="0" length="0">
      <dxf/>
    </rfmt>
    <rfmt sheetId="2" sqref="BR801" start="0" length="0">
      <dxf/>
    </rfmt>
    <rfmt sheetId="2" sqref="BS801" start="0" length="0">
      <dxf/>
    </rfmt>
    <rfmt sheetId="2" sqref="BT801" start="0" length="0">
      <dxf/>
    </rfmt>
    <rfmt sheetId="2" sqref="BU801" start="0" length="0">
      <dxf/>
    </rfmt>
    <rfmt sheetId="2" sqref="BV801" start="0" length="0">
      <dxf/>
    </rfmt>
    <rfmt sheetId="2" sqref="BW801" start="0" length="0">
      <dxf/>
    </rfmt>
    <rfmt sheetId="2" sqref="BX801" start="0" length="0">
      <dxf/>
    </rfmt>
    <rfmt sheetId="2" sqref="BY801" start="0" length="0">
      <dxf/>
    </rfmt>
    <rfmt sheetId="2" sqref="BZ801" start="0" length="0">
      <dxf/>
    </rfmt>
    <rfmt sheetId="2" sqref="CA801" start="0" length="0">
      <dxf/>
    </rfmt>
    <rfmt sheetId="2" sqref="CB801" start="0" length="0">
      <dxf/>
    </rfmt>
    <rfmt sheetId="2" sqref="CC801" start="0" length="0">
      <dxf/>
    </rfmt>
    <rfmt sheetId="2" sqref="CD801" start="0" length="0">
      <dxf/>
    </rfmt>
    <rfmt sheetId="2" sqref="CE801" start="0" length="0">
      <dxf/>
    </rfmt>
    <rfmt sheetId="2" sqref="CF801" start="0" length="0">
      <dxf/>
    </rfmt>
    <rfmt sheetId="2" sqref="CG801" start="0" length="0">
      <dxf/>
    </rfmt>
    <rfmt sheetId="2" sqref="CH801" start="0" length="0">
      <dxf/>
    </rfmt>
    <rfmt sheetId="2" sqref="CI801" start="0" length="0">
      <dxf/>
    </rfmt>
    <rfmt sheetId="2" sqref="CJ801" start="0" length="0">
      <dxf/>
    </rfmt>
    <rfmt sheetId="2" sqref="CK801" start="0" length="0">
      <dxf/>
    </rfmt>
    <rfmt sheetId="2" sqref="CL801" start="0" length="0">
      <dxf/>
    </rfmt>
    <rfmt sheetId="2" sqref="CM801" start="0" length="0">
      <dxf/>
    </rfmt>
    <rfmt sheetId="2" sqref="CN801" start="0" length="0">
      <dxf/>
    </rfmt>
    <rfmt sheetId="2" sqref="CO801" start="0" length="0">
      <dxf/>
    </rfmt>
    <rfmt sheetId="2" sqref="CP801" start="0" length="0">
      <dxf/>
    </rfmt>
    <rfmt sheetId="2" sqref="CQ801" start="0" length="0">
      <dxf/>
    </rfmt>
    <rfmt sheetId="2" sqref="CR801" start="0" length="0">
      <dxf/>
    </rfmt>
    <rfmt sheetId="2" sqref="CS801" start="0" length="0">
      <dxf/>
    </rfmt>
    <rfmt sheetId="2" sqref="CT801" start="0" length="0">
      <dxf/>
    </rfmt>
    <rfmt sheetId="2" sqref="CU801" start="0" length="0">
      <dxf/>
    </rfmt>
    <rfmt sheetId="2" sqref="CV801" start="0" length="0">
      <dxf/>
    </rfmt>
    <rfmt sheetId="2" sqref="CW801" start="0" length="0">
      <dxf/>
    </rfmt>
    <rfmt sheetId="2" sqref="CX801" start="0" length="0">
      <dxf/>
    </rfmt>
    <rfmt sheetId="2" sqref="CY801" start="0" length="0">
      <dxf/>
    </rfmt>
    <rfmt sheetId="2" sqref="CZ801" start="0" length="0">
      <dxf/>
    </rfmt>
    <rfmt sheetId="2" sqref="DA801" start="0" length="0">
      <dxf/>
    </rfmt>
    <rfmt sheetId="2" sqref="DB801" start="0" length="0">
      <dxf/>
    </rfmt>
    <rfmt sheetId="2" sqref="DC801" start="0" length="0">
      <dxf/>
    </rfmt>
    <rfmt sheetId="2" sqref="DD801" start="0" length="0">
      <dxf/>
    </rfmt>
    <rfmt sheetId="2" sqref="DE801" start="0" length="0">
      <dxf/>
    </rfmt>
    <rfmt sheetId="2" sqref="DF801" start="0" length="0">
      <dxf/>
    </rfmt>
    <rfmt sheetId="2" sqref="DG801" start="0" length="0">
      <dxf/>
    </rfmt>
    <rfmt sheetId="2" sqref="DH801" start="0" length="0">
      <dxf/>
    </rfmt>
    <rfmt sheetId="2" sqref="DI801" start="0" length="0">
      <dxf/>
    </rfmt>
    <rfmt sheetId="2" sqref="DJ801" start="0" length="0">
      <dxf/>
    </rfmt>
    <rfmt sheetId="2" sqref="DK801" start="0" length="0">
      <dxf/>
    </rfmt>
    <rfmt sheetId="2" sqref="DL801" start="0" length="0">
      <dxf/>
    </rfmt>
    <rfmt sheetId="2" sqref="DM801" start="0" length="0">
      <dxf/>
    </rfmt>
    <rfmt sheetId="2" sqref="DN801" start="0" length="0">
      <dxf/>
    </rfmt>
    <rfmt sheetId="2" sqref="DO801" start="0" length="0">
      <dxf/>
    </rfmt>
    <rfmt sheetId="2" sqref="DP801" start="0" length="0">
      <dxf/>
    </rfmt>
    <rfmt sheetId="2" sqref="DQ801" start="0" length="0">
      <dxf/>
    </rfmt>
    <rfmt sheetId="2" sqref="DR801" start="0" length="0">
      <dxf/>
    </rfmt>
    <rfmt sheetId="2" sqref="DS801" start="0" length="0">
      <dxf/>
    </rfmt>
    <rfmt sheetId="2" sqref="DT801" start="0" length="0">
      <dxf/>
    </rfmt>
    <rfmt sheetId="2" sqref="DU801" start="0" length="0">
      <dxf/>
    </rfmt>
    <rfmt sheetId="2" sqref="DV801" start="0" length="0">
      <dxf/>
    </rfmt>
    <rfmt sheetId="2" sqref="DW801" start="0" length="0">
      <dxf/>
    </rfmt>
    <rfmt sheetId="2" sqref="DX801" start="0" length="0">
      <dxf/>
    </rfmt>
    <rfmt sheetId="2" sqref="DY801" start="0" length="0">
      <dxf/>
    </rfmt>
    <rfmt sheetId="2" sqref="DZ801" start="0" length="0">
      <dxf/>
    </rfmt>
    <rfmt sheetId="2" sqref="EA801" start="0" length="0">
      <dxf/>
    </rfmt>
    <rfmt sheetId="2" sqref="EB801" start="0" length="0">
      <dxf/>
    </rfmt>
    <rfmt sheetId="2" sqref="EC801" start="0" length="0">
      <dxf/>
    </rfmt>
    <rfmt sheetId="2" sqref="ED801" start="0" length="0">
      <dxf/>
    </rfmt>
    <rfmt sheetId="2" sqref="EE801" start="0" length="0">
      <dxf/>
    </rfmt>
    <rfmt sheetId="2" sqref="EF801" start="0" length="0">
      <dxf/>
    </rfmt>
    <rfmt sheetId="2" sqref="EG801" start="0" length="0">
      <dxf/>
    </rfmt>
    <rfmt sheetId="2" sqref="EH801" start="0" length="0">
      <dxf/>
    </rfmt>
    <rfmt sheetId="2" sqref="EI801" start="0" length="0">
      <dxf/>
    </rfmt>
    <rfmt sheetId="2" sqref="EJ801" start="0" length="0">
      <dxf/>
    </rfmt>
    <rfmt sheetId="2" sqref="EK801" start="0" length="0">
      <dxf/>
    </rfmt>
    <rfmt sheetId="2" sqref="EL801" start="0" length="0">
      <dxf/>
    </rfmt>
    <rfmt sheetId="2" sqref="EM801" start="0" length="0">
      <dxf/>
    </rfmt>
    <rfmt sheetId="2" sqref="EN801" start="0" length="0">
      <dxf/>
    </rfmt>
    <rfmt sheetId="2" sqref="EO801" start="0" length="0">
      <dxf/>
    </rfmt>
    <rfmt sheetId="2" sqref="EP801" start="0" length="0">
      <dxf/>
    </rfmt>
    <rfmt sheetId="2" sqref="EQ801" start="0" length="0">
      <dxf/>
    </rfmt>
    <rfmt sheetId="2" sqref="ER801" start="0" length="0">
      <dxf/>
    </rfmt>
    <rfmt sheetId="2" sqref="ES801" start="0" length="0">
      <dxf/>
    </rfmt>
    <rfmt sheetId="2" sqref="ET801" start="0" length="0">
      <dxf/>
    </rfmt>
    <rfmt sheetId="2" sqref="EU801" start="0" length="0">
      <dxf/>
    </rfmt>
    <rfmt sheetId="2" sqref="EV801" start="0" length="0">
      <dxf/>
    </rfmt>
    <rfmt sheetId="2" sqref="EW801" start="0" length="0">
      <dxf/>
    </rfmt>
    <rfmt sheetId="2" sqref="EX801" start="0" length="0">
      <dxf/>
    </rfmt>
    <rfmt sheetId="2" sqref="EY801" start="0" length="0">
      <dxf/>
    </rfmt>
    <rfmt sheetId="2" sqref="EZ801" start="0" length="0">
      <dxf/>
    </rfmt>
    <rfmt sheetId="2" sqref="FA801" start="0" length="0">
      <dxf/>
    </rfmt>
    <rfmt sheetId="2" sqref="FB801" start="0" length="0">
      <dxf/>
    </rfmt>
    <rfmt sheetId="2" sqref="FC801" start="0" length="0">
      <dxf/>
    </rfmt>
    <rfmt sheetId="2" sqref="FD801" start="0" length="0">
      <dxf/>
    </rfmt>
    <rfmt sheetId="2" sqref="FE801" start="0" length="0">
      <dxf/>
    </rfmt>
    <rfmt sheetId="2" sqref="FF801" start="0" length="0">
      <dxf/>
    </rfmt>
    <rfmt sheetId="2" sqref="FG801" start="0" length="0">
      <dxf/>
    </rfmt>
    <rfmt sheetId="2" sqref="FH801" start="0" length="0">
      <dxf/>
    </rfmt>
    <rfmt sheetId="2" sqref="FI801" start="0" length="0">
      <dxf/>
    </rfmt>
    <rfmt sheetId="2" sqref="FJ801" start="0" length="0">
      <dxf/>
    </rfmt>
    <rfmt sheetId="2" sqref="FK801" start="0" length="0">
      <dxf/>
    </rfmt>
    <rfmt sheetId="2" sqref="FL801" start="0" length="0">
      <dxf/>
    </rfmt>
    <rfmt sheetId="2" sqref="FM801" start="0" length="0">
      <dxf/>
    </rfmt>
    <rfmt sheetId="2" sqref="FN801" start="0" length="0">
      <dxf/>
    </rfmt>
    <rfmt sheetId="2" sqref="FO801" start="0" length="0">
      <dxf/>
    </rfmt>
    <rfmt sheetId="2" sqref="FP801" start="0" length="0">
      <dxf/>
    </rfmt>
    <rfmt sheetId="2" sqref="FQ801" start="0" length="0">
      <dxf/>
    </rfmt>
    <rfmt sheetId="2" sqref="FR801" start="0" length="0">
      <dxf/>
    </rfmt>
    <rfmt sheetId="2" sqref="FS801" start="0" length="0">
      <dxf/>
    </rfmt>
    <rfmt sheetId="2" sqref="FT801" start="0" length="0">
      <dxf/>
    </rfmt>
    <rfmt sheetId="2" sqref="FU801" start="0" length="0">
      <dxf/>
    </rfmt>
    <rfmt sheetId="2" sqref="FV801" start="0" length="0">
      <dxf/>
    </rfmt>
    <rfmt sheetId="2" sqref="FW801" start="0" length="0">
      <dxf/>
    </rfmt>
    <rfmt sheetId="2" sqref="FX801" start="0" length="0">
      <dxf/>
    </rfmt>
    <rfmt sheetId="2" sqref="FY801" start="0" length="0">
      <dxf/>
    </rfmt>
    <rfmt sheetId="2" sqref="FZ801" start="0" length="0">
      <dxf/>
    </rfmt>
    <rfmt sheetId="2" sqref="GA801" start="0" length="0">
      <dxf/>
    </rfmt>
    <rfmt sheetId="2" sqref="GB801" start="0" length="0">
      <dxf/>
    </rfmt>
    <rfmt sheetId="2" sqref="GC801" start="0" length="0">
      <dxf/>
    </rfmt>
    <rfmt sheetId="2" sqref="GD801" start="0" length="0">
      <dxf/>
    </rfmt>
    <rfmt sheetId="2" sqref="GE801" start="0" length="0">
      <dxf/>
    </rfmt>
    <rfmt sheetId="2" sqref="GF801" start="0" length="0">
      <dxf/>
    </rfmt>
    <rfmt sheetId="2" sqref="GG801" start="0" length="0">
      <dxf/>
    </rfmt>
    <rfmt sheetId="2" sqref="GH801" start="0" length="0">
      <dxf/>
    </rfmt>
    <rfmt sheetId="2" sqref="GI801" start="0" length="0">
      <dxf/>
    </rfmt>
    <rfmt sheetId="2" sqref="GJ801" start="0" length="0">
      <dxf/>
    </rfmt>
    <rfmt sheetId="2" sqref="GK801" start="0" length="0">
      <dxf/>
    </rfmt>
    <rfmt sheetId="2" sqref="GL801" start="0" length="0">
      <dxf/>
    </rfmt>
    <rfmt sheetId="2" sqref="GM801" start="0" length="0">
      <dxf/>
    </rfmt>
    <rfmt sheetId="2" sqref="GN801" start="0" length="0">
      <dxf/>
    </rfmt>
    <rfmt sheetId="2" sqref="GO801" start="0" length="0">
      <dxf/>
    </rfmt>
    <rfmt sheetId="2" sqref="GP801" start="0" length="0">
      <dxf/>
    </rfmt>
    <rfmt sheetId="2" sqref="GQ801" start="0" length="0">
      <dxf/>
    </rfmt>
    <rfmt sheetId="2" sqref="GR801" start="0" length="0">
      <dxf/>
    </rfmt>
    <rfmt sheetId="2" sqref="GS801" start="0" length="0">
      <dxf/>
    </rfmt>
    <rfmt sheetId="2" sqref="GT801" start="0" length="0">
      <dxf/>
    </rfmt>
    <rfmt sheetId="2" sqref="GU801" start="0" length="0">
      <dxf/>
    </rfmt>
    <rfmt sheetId="2" sqref="GV801" start="0" length="0">
      <dxf/>
    </rfmt>
    <rfmt sheetId="2" sqref="GW801" start="0" length="0">
      <dxf/>
    </rfmt>
    <rfmt sheetId="2" sqref="GX801" start="0" length="0">
      <dxf/>
    </rfmt>
    <rfmt sheetId="2" sqref="GY801" start="0" length="0">
      <dxf/>
    </rfmt>
    <rfmt sheetId="2" sqref="GZ801" start="0" length="0">
      <dxf/>
    </rfmt>
    <rfmt sheetId="2" sqref="HA801" start="0" length="0">
      <dxf/>
    </rfmt>
    <rfmt sheetId="2" sqref="HB801" start="0" length="0">
      <dxf/>
    </rfmt>
    <rfmt sheetId="2" sqref="HC801" start="0" length="0">
      <dxf/>
    </rfmt>
    <rfmt sheetId="2" sqref="HD801" start="0" length="0">
      <dxf/>
    </rfmt>
    <rfmt sheetId="2" sqref="HE801" start="0" length="0">
      <dxf/>
    </rfmt>
    <rfmt sheetId="2" sqref="HF801" start="0" length="0">
      <dxf/>
    </rfmt>
    <rfmt sheetId="2" sqref="HG801" start="0" length="0">
      <dxf/>
    </rfmt>
    <rfmt sheetId="2" sqref="HH801" start="0" length="0">
      <dxf/>
    </rfmt>
    <rfmt sheetId="2" sqref="HI801" start="0" length="0">
      <dxf/>
    </rfmt>
    <rfmt sheetId="2" sqref="HJ801" start="0" length="0">
      <dxf/>
    </rfmt>
    <rfmt sheetId="2" sqref="HK801" start="0" length="0">
      <dxf/>
    </rfmt>
    <rfmt sheetId="2" sqref="HL801" start="0" length="0">
      <dxf/>
    </rfmt>
    <rfmt sheetId="2" sqref="HM801" start="0" length="0">
      <dxf/>
    </rfmt>
    <rfmt sheetId="2" sqref="HN801" start="0" length="0">
      <dxf/>
    </rfmt>
    <rfmt sheetId="2" sqref="HO801" start="0" length="0">
      <dxf/>
    </rfmt>
    <rfmt sheetId="2" sqref="HP801" start="0" length="0">
      <dxf/>
    </rfmt>
    <rfmt sheetId="2" sqref="HQ801" start="0" length="0">
      <dxf/>
    </rfmt>
    <rfmt sheetId="2" sqref="HR801" start="0" length="0">
      <dxf/>
    </rfmt>
    <rfmt sheetId="2" sqref="HS801" start="0" length="0">
      <dxf/>
    </rfmt>
    <rfmt sheetId="2" sqref="HT801" start="0" length="0">
      <dxf/>
    </rfmt>
    <rfmt sheetId="2" sqref="HU801" start="0" length="0">
      <dxf/>
    </rfmt>
    <rfmt sheetId="2" sqref="HV801" start="0" length="0">
      <dxf/>
    </rfmt>
    <rfmt sheetId="2" sqref="HW801" start="0" length="0">
      <dxf/>
    </rfmt>
    <rfmt sheetId="2" sqref="HX801" start="0" length="0">
      <dxf/>
    </rfmt>
    <rfmt sheetId="2" sqref="HY801" start="0" length="0">
      <dxf/>
    </rfmt>
    <rfmt sheetId="2" sqref="HZ801" start="0" length="0">
      <dxf/>
    </rfmt>
    <rfmt sheetId="2" sqref="IA801" start="0" length="0">
      <dxf/>
    </rfmt>
    <rfmt sheetId="2" sqref="IB801" start="0" length="0">
      <dxf/>
    </rfmt>
    <rfmt sheetId="2" sqref="IC801" start="0" length="0">
      <dxf/>
    </rfmt>
    <rfmt sheetId="2" sqref="ID801" start="0" length="0">
      <dxf/>
    </rfmt>
    <rfmt sheetId="2" sqref="IE801" start="0" length="0">
      <dxf/>
    </rfmt>
    <rfmt sheetId="2" sqref="IF801" start="0" length="0">
      <dxf/>
    </rfmt>
    <rfmt sheetId="2" sqref="IG801" start="0" length="0">
      <dxf/>
    </rfmt>
    <rfmt sheetId="2" sqref="IH801" start="0" length="0">
      <dxf/>
    </rfmt>
    <rfmt sheetId="2" sqref="II801" start="0" length="0">
      <dxf/>
    </rfmt>
    <rfmt sheetId="2" sqref="IJ801" start="0" length="0">
      <dxf/>
    </rfmt>
    <rfmt sheetId="2" sqref="IK801" start="0" length="0">
      <dxf/>
    </rfmt>
    <rfmt sheetId="2" sqref="IL801" start="0" length="0">
      <dxf/>
    </rfmt>
    <rfmt sheetId="2" sqref="IM801" start="0" length="0">
      <dxf/>
    </rfmt>
    <rfmt sheetId="2" sqref="IN801" start="0" length="0">
      <dxf/>
    </rfmt>
    <rfmt sheetId="2" sqref="IO801" start="0" length="0">
      <dxf/>
    </rfmt>
    <rfmt sheetId="2" sqref="IP801" start="0" length="0">
      <dxf/>
    </rfmt>
    <rfmt sheetId="2" sqref="IQ801" start="0" length="0">
      <dxf/>
    </rfmt>
    <rfmt sheetId="2" sqref="IR801" start="0" length="0">
      <dxf/>
    </rfmt>
    <rfmt sheetId="2" sqref="IS801" start="0" length="0">
      <dxf/>
    </rfmt>
    <rfmt sheetId="2" sqref="IT801" start="0" length="0">
      <dxf/>
    </rfmt>
    <rfmt sheetId="2" sqref="IU801" start="0" length="0">
      <dxf/>
    </rfmt>
    <rfmt sheetId="2" sqref="IV801" start="0" length="0">
      <dxf/>
    </rfmt>
    <rfmt sheetId="2" sqref="IW801" start="0" length="0">
      <dxf/>
    </rfmt>
    <rfmt sheetId="2" sqref="IX801" start="0" length="0">
      <dxf/>
    </rfmt>
    <rfmt sheetId="2" sqref="IY801" start="0" length="0">
      <dxf/>
    </rfmt>
    <rfmt sheetId="2" sqref="IZ801" start="0" length="0">
      <dxf/>
    </rfmt>
    <rfmt sheetId="2" sqref="JA801" start="0" length="0">
      <dxf/>
    </rfmt>
    <rfmt sheetId="2" sqref="JB801" start="0" length="0">
      <dxf/>
    </rfmt>
    <rfmt sheetId="2" sqref="JC801" start="0" length="0">
      <dxf/>
    </rfmt>
    <rfmt sheetId="2" sqref="JD801" start="0" length="0">
      <dxf/>
    </rfmt>
    <rfmt sheetId="2" sqref="JE801" start="0" length="0">
      <dxf/>
    </rfmt>
    <rfmt sheetId="2" sqref="JF801" start="0" length="0">
      <dxf/>
    </rfmt>
    <rfmt sheetId="2" sqref="JG801" start="0" length="0">
      <dxf/>
    </rfmt>
    <rfmt sheetId="2" sqref="JH801" start="0" length="0">
      <dxf/>
    </rfmt>
    <rfmt sheetId="2" sqref="JI801" start="0" length="0">
      <dxf/>
    </rfmt>
    <rfmt sheetId="2" sqref="JJ801" start="0" length="0">
      <dxf/>
    </rfmt>
    <rfmt sheetId="2" sqref="JK801" start="0" length="0">
      <dxf/>
    </rfmt>
    <rfmt sheetId="2" sqref="JL801" start="0" length="0">
      <dxf/>
    </rfmt>
    <rfmt sheetId="2" sqref="JM801" start="0" length="0">
      <dxf/>
    </rfmt>
    <rfmt sheetId="2" sqref="JN801" start="0" length="0">
      <dxf/>
    </rfmt>
    <rfmt sheetId="2" sqref="JO801" start="0" length="0">
      <dxf/>
    </rfmt>
    <rfmt sheetId="2" sqref="JP801" start="0" length="0">
      <dxf/>
    </rfmt>
    <rfmt sheetId="2" sqref="JQ801" start="0" length="0">
      <dxf/>
    </rfmt>
    <rfmt sheetId="2" sqref="JR801" start="0" length="0">
      <dxf/>
    </rfmt>
    <rfmt sheetId="2" sqref="JS801" start="0" length="0">
      <dxf/>
    </rfmt>
    <rfmt sheetId="2" sqref="JT801" start="0" length="0">
      <dxf/>
    </rfmt>
    <rfmt sheetId="2" sqref="JU801" start="0" length="0">
      <dxf/>
    </rfmt>
    <rfmt sheetId="2" sqref="JV801" start="0" length="0">
      <dxf/>
    </rfmt>
    <rfmt sheetId="2" sqref="JW801" start="0" length="0">
      <dxf/>
    </rfmt>
    <rfmt sheetId="2" sqref="JX801" start="0" length="0">
      <dxf/>
    </rfmt>
    <rfmt sheetId="2" sqref="JY801" start="0" length="0">
      <dxf/>
    </rfmt>
    <rfmt sheetId="2" sqref="JZ801" start="0" length="0">
      <dxf/>
    </rfmt>
    <rfmt sheetId="2" sqref="KA801" start="0" length="0">
      <dxf/>
    </rfmt>
    <rfmt sheetId="2" sqref="KB801" start="0" length="0">
      <dxf/>
    </rfmt>
    <rfmt sheetId="2" sqref="KC801" start="0" length="0">
      <dxf/>
    </rfmt>
    <rfmt sheetId="2" sqref="KD801" start="0" length="0">
      <dxf/>
    </rfmt>
    <rfmt sheetId="2" sqref="KE801" start="0" length="0">
      <dxf/>
    </rfmt>
    <rfmt sheetId="2" sqref="KF801" start="0" length="0">
      <dxf/>
    </rfmt>
    <rfmt sheetId="2" sqref="KG801" start="0" length="0">
      <dxf/>
    </rfmt>
    <rfmt sheetId="2" sqref="KH801" start="0" length="0">
      <dxf/>
    </rfmt>
    <rfmt sheetId="2" sqref="KI801" start="0" length="0">
      <dxf/>
    </rfmt>
    <rfmt sheetId="2" sqref="KJ801" start="0" length="0">
      <dxf/>
    </rfmt>
    <rfmt sheetId="2" sqref="KK801" start="0" length="0">
      <dxf/>
    </rfmt>
    <rfmt sheetId="2" sqref="KL801" start="0" length="0">
      <dxf/>
    </rfmt>
    <rfmt sheetId="2" sqref="KM801" start="0" length="0">
      <dxf/>
    </rfmt>
    <rfmt sheetId="2" sqref="KN801" start="0" length="0">
      <dxf/>
    </rfmt>
    <rfmt sheetId="2" sqref="KO801" start="0" length="0">
      <dxf/>
    </rfmt>
    <rfmt sheetId="2" sqref="KP801" start="0" length="0">
      <dxf/>
    </rfmt>
    <rfmt sheetId="2" sqref="KQ801" start="0" length="0">
      <dxf/>
    </rfmt>
    <rfmt sheetId="2" sqref="KR801" start="0" length="0">
      <dxf/>
    </rfmt>
    <rfmt sheetId="2" sqref="KS801" start="0" length="0">
      <dxf/>
    </rfmt>
    <rfmt sheetId="2" sqref="KT801" start="0" length="0">
      <dxf/>
    </rfmt>
    <rfmt sheetId="2" sqref="KU801" start="0" length="0">
      <dxf/>
    </rfmt>
    <rfmt sheetId="2" sqref="KV801" start="0" length="0">
      <dxf/>
    </rfmt>
    <rfmt sheetId="2" sqref="KW801" start="0" length="0">
      <dxf/>
    </rfmt>
    <rfmt sheetId="2" sqref="KX801" start="0" length="0">
      <dxf/>
    </rfmt>
    <rfmt sheetId="2" sqref="KY801" start="0" length="0">
      <dxf/>
    </rfmt>
    <rfmt sheetId="2" sqref="KZ801" start="0" length="0">
      <dxf/>
    </rfmt>
    <rfmt sheetId="2" sqref="LA801" start="0" length="0">
      <dxf/>
    </rfmt>
    <rfmt sheetId="2" sqref="LB801" start="0" length="0">
      <dxf/>
    </rfmt>
    <rfmt sheetId="2" sqref="LC801" start="0" length="0">
      <dxf/>
    </rfmt>
    <rfmt sheetId="2" sqref="LD801" start="0" length="0">
      <dxf/>
    </rfmt>
    <rfmt sheetId="2" sqref="LE801" start="0" length="0">
      <dxf/>
    </rfmt>
    <rfmt sheetId="2" sqref="LF801" start="0" length="0">
      <dxf/>
    </rfmt>
    <rfmt sheetId="2" sqref="LG801" start="0" length="0">
      <dxf/>
    </rfmt>
    <rfmt sheetId="2" sqref="LH801" start="0" length="0">
      <dxf/>
    </rfmt>
    <rfmt sheetId="2" sqref="LI801" start="0" length="0">
      <dxf/>
    </rfmt>
    <rfmt sheetId="2" sqref="LJ801" start="0" length="0">
      <dxf/>
    </rfmt>
    <rfmt sheetId="2" sqref="LK801" start="0" length="0">
      <dxf/>
    </rfmt>
    <rfmt sheetId="2" sqref="LL801" start="0" length="0">
      <dxf/>
    </rfmt>
    <rfmt sheetId="2" sqref="LM801" start="0" length="0">
      <dxf/>
    </rfmt>
    <rfmt sheetId="2" sqref="LN801" start="0" length="0">
      <dxf/>
    </rfmt>
    <rfmt sheetId="2" sqref="LO801" start="0" length="0">
      <dxf/>
    </rfmt>
    <rfmt sheetId="2" sqref="LP801" start="0" length="0">
      <dxf/>
    </rfmt>
    <rfmt sheetId="2" sqref="LQ801" start="0" length="0">
      <dxf/>
    </rfmt>
    <rfmt sheetId="2" sqref="LR801" start="0" length="0">
      <dxf/>
    </rfmt>
    <rfmt sheetId="2" sqref="LS801" start="0" length="0">
      <dxf/>
    </rfmt>
    <rfmt sheetId="2" sqref="LT801" start="0" length="0">
      <dxf/>
    </rfmt>
    <rfmt sheetId="2" sqref="LU801" start="0" length="0">
      <dxf/>
    </rfmt>
    <rfmt sheetId="2" sqref="LV801" start="0" length="0">
      <dxf/>
    </rfmt>
    <rfmt sheetId="2" sqref="LW801" start="0" length="0">
      <dxf/>
    </rfmt>
    <rfmt sheetId="2" sqref="LX801" start="0" length="0">
      <dxf/>
    </rfmt>
    <rfmt sheetId="2" sqref="LY801" start="0" length="0">
      <dxf/>
    </rfmt>
    <rfmt sheetId="2" sqref="LZ801" start="0" length="0">
      <dxf/>
    </rfmt>
    <rfmt sheetId="2" sqref="MA801" start="0" length="0">
      <dxf/>
    </rfmt>
    <rfmt sheetId="2" sqref="MB801" start="0" length="0">
      <dxf/>
    </rfmt>
    <rfmt sheetId="2" sqref="A802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2" start="0" length="0">
      <dxf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2" start="0" length="0">
      <dxf>
        <font>
          <sz val="10"/>
          <color auto="1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H80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I80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80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K802" start="0" length="0">
      <dxf>
        <font>
          <sz val="10"/>
          <color auto="1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2" start="0" length="0">
      <dxf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2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2" start="0" length="0">
      <dxf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2" start="0" length="0">
      <dxf>
        <numFmt numFmtId="176" formatCode="m/d;@"/>
      </dxf>
    </rfmt>
    <rfmt sheetId="2" sqref="P802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2" start="0" length="0">
      <dxf/>
    </rfmt>
    <rfmt sheetId="2" sqref="U802" start="0" length="0">
      <dxf/>
    </rfmt>
    <rfmt sheetId="2" sqref="V802" start="0" length="0">
      <dxf/>
    </rfmt>
    <rfmt sheetId="2" sqref="W802" start="0" length="0">
      <dxf/>
    </rfmt>
    <rfmt sheetId="2" sqref="X802" start="0" length="0">
      <dxf/>
    </rfmt>
    <rfmt sheetId="2" sqref="Y802" start="0" length="0">
      <dxf/>
    </rfmt>
    <rfmt sheetId="2" sqref="Z802" start="0" length="0">
      <dxf/>
    </rfmt>
    <rfmt sheetId="2" sqref="AA802" start="0" length="0">
      <dxf/>
    </rfmt>
    <rfmt sheetId="2" sqref="AB802" start="0" length="0">
      <dxf/>
    </rfmt>
    <rfmt sheetId="2" sqref="AC802" start="0" length="0">
      <dxf/>
    </rfmt>
    <rfmt sheetId="2" sqref="AD802" start="0" length="0">
      <dxf/>
    </rfmt>
    <rfmt sheetId="2" sqref="AE802" start="0" length="0">
      <dxf/>
    </rfmt>
    <rfmt sheetId="2" sqref="AF802" start="0" length="0">
      <dxf/>
    </rfmt>
    <rfmt sheetId="2" sqref="AG802" start="0" length="0">
      <dxf/>
    </rfmt>
    <rfmt sheetId="2" sqref="AH802" start="0" length="0">
      <dxf/>
    </rfmt>
    <rfmt sheetId="2" sqref="AI802" start="0" length="0">
      <dxf/>
    </rfmt>
    <rfmt sheetId="2" sqref="AJ802" start="0" length="0">
      <dxf/>
    </rfmt>
    <rfmt sheetId="2" sqref="AK802" start="0" length="0">
      <dxf/>
    </rfmt>
    <rfmt sheetId="2" sqref="AL802" start="0" length="0">
      <dxf/>
    </rfmt>
    <rfmt sheetId="2" sqref="AM802" start="0" length="0">
      <dxf/>
    </rfmt>
    <rfmt sheetId="2" sqref="AN802" start="0" length="0">
      <dxf/>
    </rfmt>
    <rfmt sheetId="2" sqref="AO802" start="0" length="0">
      <dxf/>
    </rfmt>
    <rfmt sheetId="2" sqref="AP802" start="0" length="0">
      <dxf/>
    </rfmt>
    <rfmt sheetId="2" sqref="AQ802" start="0" length="0">
      <dxf/>
    </rfmt>
    <rfmt sheetId="2" sqref="AR802" start="0" length="0">
      <dxf/>
    </rfmt>
    <rfmt sheetId="2" sqref="AS802" start="0" length="0">
      <dxf/>
    </rfmt>
    <rfmt sheetId="2" sqref="AT802" start="0" length="0">
      <dxf/>
    </rfmt>
    <rfmt sheetId="2" sqref="AU802" start="0" length="0">
      <dxf/>
    </rfmt>
    <rfmt sheetId="2" sqref="AV802" start="0" length="0">
      <dxf/>
    </rfmt>
    <rfmt sheetId="2" sqref="AW802" start="0" length="0">
      <dxf/>
    </rfmt>
    <rfmt sheetId="2" sqref="AX802" start="0" length="0">
      <dxf/>
    </rfmt>
    <rfmt sheetId="2" sqref="AY802" start="0" length="0">
      <dxf/>
    </rfmt>
    <rfmt sheetId="2" sqref="AZ802" start="0" length="0">
      <dxf/>
    </rfmt>
    <rfmt sheetId="2" sqref="BA802" start="0" length="0">
      <dxf/>
    </rfmt>
    <rfmt sheetId="2" sqref="BB802" start="0" length="0">
      <dxf/>
    </rfmt>
    <rfmt sheetId="2" sqref="BC802" start="0" length="0">
      <dxf/>
    </rfmt>
    <rfmt sheetId="2" sqref="BD802" start="0" length="0">
      <dxf/>
    </rfmt>
    <rfmt sheetId="2" sqref="BE802" start="0" length="0">
      <dxf/>
    </rfmt>
    <rfmt sheetId="2" sqref="BF802" start="0" length="0">
      <dxf/>
    </rfmt>
    <rfmt sheetId="2" sqref="BG802" start="0" length="0">
      <dxf/>
    </rfmt>
    <rfmt sheetId="2" sqref="BH802" start="0" length="0">
      <dxf/>
    </rfmt>
    <rfmt sheetId="2" sqref="BI802" start="0" length="0">
      <dxf/>
    </rfmt>
    <rfmt sheetId="2" sqref="BJ802" start="0" length="0">
      <dxf/>
    </rfmt>
    <rfmt sheetId="2" sqref="BK802" start="0" length="0">
      <dxf/>
    </rfmt>
    <rfmt sheetId="2" sqref="BL802" start="0" length="0">
      <dxf/>
    </rfmt>
    <rfmt sheetId="2" sqref="BM802" start="0" length="0">
      <dxf/>
    </rfmt>
    <rfmt sheetId="2" sqref="BN802" start="0" length="0">
      <dxf/>
    </rfmt>
    <rfmt sheetId="2" sqref="BO802" start="0" length="0">
      <dxf/>
    </rfmt>
    <rfmt sheetId="2" sqref="BP802" start="0" length="0">
      <dxf/>
    </rfmt>
    <rfmt sheetId="2" sqref="BQ802" start="0" length="0">
      <dxf/>
    </rfmt>
    <rfmt sheetId="2" sqref="BR802" start="0" length="0">
      <dxf/>
    </rfmt>
    <rfmt sheetId="2" sqref="BS802" start="0" length="0">
      <dxf/>
    </rfmt>
    <rfmt sheetId="2" sqref="BT802" start="0" length="0">
      <dxf/>
    </rfmt>
    <rfmt sheetId="2" sqref="BU802" start="0" length="0">
      <dxf/>
    </rfmt>
    <rfmt sheetId="2" sqref="BV802" start="0" length="0">
      <dxf/>
    </rfmt>
    <rfmt sheetId="2" sqref="BW802" start="0" length="0">
      <dxf/>
    </rfmt>
    <rfmt sheetId="2" sqref="BX802" start="0" length="0">
      <dxf/>
    </rfmt>
    <rfmt sheetId="2" sqref="BY802" start="0" length="0">
      <dxf/>
    </rfmt>
    <rfmt sheetId="2" sqref="BZ802" start="0" length="0">
      <dxf/>
    </rfmt>
    <rfmt sheetId="2" sqref="CA802" start="0" length="0">
      <dxf/>
    </rfmt>
    <rfmt sheetId="2" sqref="CB802" start="0" length="0">
      <dxf/>
    </rfmt>
    <rfmt sheetId="2" sqref="CC802" start="0" length="0">
      <dxf/>
    </rfmt>
    <rfmt sheetId="2" sqref="CD802" start="0" length="0">
      <dxf/>
    </rfmt>
    <rfmt sheetId="2" sqref="CE802" start="0" length="0">
      <dxf/>
    </rfmt>
    <rfmt sheetId="2" sqref="CF802" start="0" length="0">
      <dxf/>
    </rfmt>
    <rfmt sheetId="2" sqref="CG802" start="0" length="0">
      <dxf/>
    </rfmt>
    <rfmt sheetId="2" sqref="CH802" start="0" length="0">
      <dxf/>
    </rfmt>
    <rfmt sheetId="2" sqref="CI802" start="0" length="0">
      <dxf/>
    </rfmt>
    <rfmt sheetId="2" sqref="CJ802" start="0" length="0">
      <dxf/>
    </rfmt>
    <rfmt sheetId="2" sqref="CK802" start="0" length="0">
      <dxf/>
    </rfmt>
    <rfmt sheetId="2" sqref="CL802" start="0" length="0">
      <dxf/>
    </rfmt>
    <rfmt sheetId="2" sqref="CM802" start="0" length="0">
      <dxf/>
    </rfmt>
    <rfmt sheetId="2" sqref="CN802" start="0" length="0">
      <dxf/>
    </rfmt>
    <rfmt sheetId="2" sqref="CO802" start="0" length="0">
      <dxf/>
    </rfmt>
    <rfmt sheetId="2" sqref="CP802" start="0" length="0">
      <dxf/>
    </rfmt>
    <rfmt sheetId="2" sqref="CQ802" start="0" length="0">
      <dxf/>
    </rfmt>
    <rfmt sheetId="2" sqref="CR802" start="0" length="0">
      <dxf/>
    </rfmt>
    <rfmt sheetId="2" sqref="CS802" start="0" length="0">
      <dxf/>
    </rfmt>
    <rfmt sheetId="2" sqref="CT802" start="0" length="0">
      <dxf/>
    </rfmt>
    <rfmt sheetId="2" sqref="CU802" start="0" length="0">
      <dxf/>
    </rfmt>
    <rfmt sheetId="2" sqref="CV802" start="0" length="0">
      <dxf/>
    </rfmt>
    <rfmt sheetId="2" sqref="CW802" start="0" length="0">
      <dxf/>
    </rfmt>
    <rfmt sheetId="2" sqref="CX802" start="0" length="0">
      <dxf/>
    </rfmt>
    <rfmt sheetId="2" sqref="CY802" start="0" length="0">
      <dxf/>
    </rfmt>
    <rfmt sheetId="2" sqref="CZ802" start="0" length="0">
      <dxf/>
    </rfmt>
    <rfmt sheetId="2" sqref="DA802" start="0" length="0">
      <dxf/>
    </rfmt>
    <rfmt sheetId="2" sqref="DB802" start="0" length="0">
      <dxf/>
    </rfmt>
    <rfmt sheetId="2" sqref="DC802" start="0" length="0">
      <dxf/>
    </rfmt>
    <rfmt sheetId="2" sqref="DD802" start="0" length="0">
      <dxf/>
    </rfmt>
    <rfmt sheetId="2" sqref="DE802" start="0" length="0">
      <dxf/>
    </rfmt>
    <rfmt sheetId="2" sqref="DF802" start="0" length="0">
      <dxf/>
    </rfmt>
    <rfmt sheetId="2" sqref="DG802" start="0" length="0">
      <dxf/>
    </rfmt>
    <rfmt sheetId="2" sqref="DH802" start="0" length="0">
      <dxf/>
    </rfmt>
    <rfmt sheetId="2" sqref="DI802" start="0" length="0">
      <dxf/>
    </rfmt>
    <rfmt sheetId="2" sqref="DJ802" start="0" length="0">
      <dxf/>
    </rfmt>
    <rfmt sheetId="2" sqref="DK802" start="0" length="0">
      <dxf/>
    </rfmt>
    <rfmt sheetId="2" sqref="DL802" start="0" length="0">
      <dxf/>
    </rfmt>
    <rfmt sheetId="2" sqref="DM802" start="0" length="0">
      <dxf/>
    </rfmt>
    <rfmt sheetId="2" sqref="DN802" start="0" length="0">
      <dxf/>
    </rfmt>
    <rfmt sheetId="2" sqref="DO802" start="0" length="0">
      <dxf/>
    </rfmt>
    <rfmt sheetId="2" sqref="DP802" start="0" length="0">
      <dxf/>
    </rfmt>
    <rfmt sheetId="2" sqref="DQ802" start="0" length="0">
      <dxf/>
    </rfmt>
    <rfmt sheetId="2" sqref="DR802" start="0" length="0">
      <dxf/>
    </rfmt>
    <rfmt sheetId="2" sqref="DS802" start="0" length="0">
      <dxf/>
    </rfmt>
    <rfmt sheetId="2" sqref="DT802" start="0" length="0">
      <dxf/>
    </rfmt>
    <rfmt sheetId="2" sqref="DU802" start="0" length="0">
      <dxf/>
    </rfmt>
    <rfmt sheetId="2" sqref="DV802" start="0" length="0">
      <dxf/>
    </rfmt>
    <rfmt sheetId="2" sqref="DW802" start="0" length="0">
      <dxf/>
    </rfmt>
    <rfmt sheetId="2" sqref="DX802" start="0" length="0">
      <dxf/>
    </rfmt>
    <rfmt sheetId="2" sqref="DY802" start="0" length="0">
      <dxf/>
    </rfmt>
    <rfmt sheetId="2" sqref="DZ802" start="0" length="0">
      <dxf/>
    </rfmt>
    <rfmt sheetId="2" sqref="EA802" start="0" length="0">
      <dxf/>
    </rfmt>
    <rfmt sheetId="2" sqref="EB802" start="0" length="0">
      <dxf/>
    </rfmt>
    <rfmt sheetId="2" sqref="EC802" start="0" length="0">
      <dxf/>
    </rfmt>
    <rfmt sheetId="2" sqref="ED802" start="0" length="0">
      <dxf/>
    </rfmt>
    <rfmt sheetId="2" sqref="EE802" start="0" length="0">
      <dxf/>
    </rfmt>
    <rfmt sheetId="2" sqref="EF802" start="0" length="0">
      <dxf/>
    </rfmt>
    <rfmt sheetId="2" sqref="EG802" start="0" length="0">
      <dxf/>
    </rfmt>
    <rfmt sheetId="2" sqref="EH802" start="0" length="0">
      <dxf/>
    </rfmt>
    <rfmt sheetId="2" sqref="EI802" start="0" length="0">
      <dxf/>
    </rfmt>
    <rfmt sheetId="2" sqref="EJ802" start="0" length="0">
      <dxf/>
    </rfmt>
    <rfmt sheetId="2" sqref="EK802" start="0" length="0">
      <dxf/>
    </rfmt>
    <rfmt sheetId="2" sqref="EL802" start="0" length="0">
      <dxf/>
    </rfmt>
    <rfmt sheetId="2" sqref="EM802" start="0" length="0">
      <dxf/>
    </rfmt>
    <rfmt sheetId="2" sqref="EN802" start="0" length="0">
      <dxf/>
    </rfmt>
    <rfmt sheetId="2" sqref="EO802" start="0" length="0">
      <dxf/>
    </rfmt>
    <rfmt sheetId="2" sqref="EP802" start="0" length="0">
      <dxf/>
    </rfmt>
    <rfmt sheetId="2" sqref="EQ802" start="0" length="0">
      <dxf/>
    </rfmt>
    <rfmt sheetId="2" sqref="ER802" start="0" length="0">
      <dxf/>
    </rfmt>
    <rfmt sheetId="2" sqref="ES802" start="0" length="0">
      <dxf/>
    </rfmt>
    <rfmt sheetId="2" sqref="ET802" start="0" length="0">
      <dxf/>
    </rfmt>
    <rfmt sheetId="2" sqref="EU802" start="0" length="0">
      <dxf/>
    </rfmt>
    <rfmt sheetId="2" sqref="EV802" start="0" length="0">
      <dxf/>
    </rfmt>
    <rfmt sheetId="2" sqref="EW802" start="0" length="0">
      <dxf/>
    </rfmt>
    <rfmt sheetId="2" sqref="EX802" start="0" length="0">
      <dxf/>
    </rfmt>
    <rfmt sheetId="2" sqref="EY802" start="0" length="0">
      <dxf/>
    </rfmt>
    <rfmt sheetId="2" sqref="EZ802" start="0" length="0">
      <dxf/>
    </rfmt>
    <rfmt sheetId="2" sqref="FA802" start="0" length="0">
      <dxf/>
    </rfmt>
    <rfmt sheetId="2" sqref="FB802" start="0" length="0">
      <dxf/>
    </rfmt>
    <rfmt sheetId="2" sqref="FC802" start="0" length="0">
      <dxf/>
    </rfmt>
    <rfmt sheetId="2" sqref="FD802" start="0" length="0">
      <dxf/>
    </rfmt>
    <rfmt sheetId="2" sqref="FE802" start="0" length="0">
      <dxf/>
    </rfmt>
    <rfmt sheetId="2" sqref="FF802" start="0" length="0">
      <dxf/>
    </rfmt>
    <rfmt sheetId="2" sqref="FG802" start="0" length="0">
      <dxf/>
    </rfmt>
    <rfmt sheetId="2" sqref="FH802" start="0" length="0">
      <dxf/>
    </rfmt>
    <rfmt sheetId="2" sqref="FI802" start="0" length="0">
      <dxf/>
    </rfmt>
    <rfmt sheetId="2" sqref="FJ802" start="0" length="0">
      <dxf/>
    </rfmt>
    <rfmt sheetId="2" sqref="FK802" start="0" length="0">
      <dxf/>
    </rfmt>
    <rfmt sheetId="2" sqref="FL802" start="0" length="0">
      <dxf/>
    </rfmt>
    <rfmt sheetId="2" sqref="FM802" start="0" length="0">
      <dxf/>
    </rfmt>
    <rfmt sheetId="2" sqref="FN802" start="0" length="0">
      <dxf/>
    </rfmt>
    <rfmt sheetId="2" sqref="FO802" start="0" length="0">
      <dxf/>
    </rfmt>
    <rfmt sheetId="2" sqref="FP802" start="0" length="0">
      <dxf/>
    </rfmt>
    <rfmt sheetId="2" sqref="FQ802" start="0" length="0">
      <dxf/>
    </rfmt>
    <rfmt sheetId="2" sqref="FR802" start="0" length="0">
      <dxf/>
    </rfmt>
    <rfmt sheetId="2" sqref="FS802" start="0" length="0">
      <dxf/>
    </rfmt>
    <rfmt sheetId="2" sqref="FT802" start="0" length="0">
      <dxf/>
    </rfmt>
    <rfmt sheetId="2" sqref="FU802" start="0" length="0">
      <dxf/>
    </rfmt>
    <rfmt sheetId="2" sqref="FV802" start="0" length="0">
      <dxf/>
    </rfmt>
    <rfmt sheetId="2" sqref="FW802" start="0" length="0">
      <dxf/>
    </rfmt>
    <rfmt sheetId="2" sqref="FX802" start="0" length="0">
      <dxf/>
    </rfmt>
    <rfmt sheetId="2" sqref="FY802" start="0" length="0">
      <dxf/>
    </rfmt>
    <rfmt sheetId="2" sqref="FZ802" start="0" length="0">
      <dxf/>
    </rfmt>
    <rfmt sheetId="2" sqref="GA802" start="0" length="0">
      <dxf/>
    </rfmt>
    <rfmt sheetId="2" sqref="GB802" start="0" length="0">
      <dxf/>
    </rfmt>
    <rfmt sheetId="2" sqref="GC802" start="0" length="0">
      <dxf/>
    </rfmt>
    <rfmt sheetId="2" sqref="GD802" start="0" length="0">
      <dxf/>
    </rfmt>
    <rfmt sheetId="2" sqref="GE802" start="0" length="0">
      <dxf/>
    </rfmt>
    <rfmt sheetId="2" sqref="GF802" start="0" length="0">
      <dxf/>
    </rfmt>
    <rfmt sheetId="2" sqref="GG802" start="0" length="0">
      <dxf/>
    </rfmt>
    <rfmt sheetId="2" sqref="GH802" start="0" length="0">
      <dxf/>
    </rfmt>
    <rfmt sheetId="2" sqref="GI802" start="0" length="0">
      <dxf/>
    </rfmt>
    <rfmt sheetId="2" sqref="GJ802" start="0" length="0">
      <dxf/>
    </rfmt>
    <rfmt sheetId="2" sqref="GK802" start="0" length="0">
      <dxf/>
    </rfmt>
    <rfmt sheetId="2" sqref="GL802" start="0" length="0">
      <dxf/>
    </rfmt>
    <rfmt sheetId="2" sqref="GM802" start="0" length="0">
      <dxf/>
    </rfmt>
    <rfmt sheetId="2" sqref="GN802" start="0" length="0">
      <dxf/>
    </rfmt>
    <rfmt sheetId="2" sqref="GO802" start="0" length="0">
      <dxf/>
    </rfmt>
    <rfmt sheetId="2" sqref="GP802" start="0" length="0">
      <dxf/>
    </rfmt>
    <rfmt sheetId="2" sqref="GQ802" start="0" length="0">
      <dxf/>
    </rfmt>
    <rfmt sheetId="2" sqref="GR802" start="0" length="0">
      <dxf/>
    </rfmt>
    <rfmt sheetId="2" sqref="GS802" start="0" length="0">
      <dxf/>
    </rfmt>
    <rfmt sheetId="2" sqref="GT802" start="0" length="0">
      <dxf/>
    </rfmt>
    <rfmt sheetId="2" sqref="GU802" start="0" length="0">
      <dxf/>
    </rfmt>
    <rfmt sheetId="2" sqref="GV802" start="0" length="0">
      <dxf/>
    </rfmt>
    <rfmt sheetId="2" sqref="GW802" start="0" length="0">
      <dxf/>
    </rfmt>
    <rfmt sheetId="2" sqref="GX802" start="0" length="0">
      <dxf/>
    </rfmt>
    <rfmt sheetId="2" sqref="GY802" start="0" length="0">
      <dxf/>
    </rfmt>
    <rfmt sheetId="2" sqref="GZ802" start="0" length="0">
      <dxf/>
    </rfmt>
    <rfmt sheetId="2" sqref="HA802" start="0" length="0">
      <dxf/>
    </rfmt>
    <rfmt sheetId="2" sqref="HB802" start="0" length="0">
      <dxf/>
    </rfmt>
    <rfmt sheetId="2" sqref="HC802" start="0" length="0">
      <dxf/>
    </rfmt>
    <rfmt sheetId="2" sqref="HD802" start="0" length="0">
      <dxf/>
    </rfmt>
    <rfmt sheetId="2" sqref="HE802" start="0" length="0">
      <dxf/>
    </rfmt>
    <rfmt sheetId="2" sqref="HF802" start="0" length="0">
      <dxf/>
    </rfmt>
    <rfmt sheetId="2" sqref="HG802" start="0" length="0">
      <dxf/>
    </rfmt>
    <rfmt sheetId="2" sqref="HH802" start="0" length="0">
      <dxf/>
    </rfmt>
    <rfmt sheetId="2" sqref="HI802" start="0" length="0">
      <dxf/>
    </rfmt>
    <rfmt sheetId="2" sqref="HJ802" start="0" length="0">
      <dxf/>
    </rfmt>
    <rfmt sheetId="2" sqref="HK802" start="0" length="0">
      <dxf/>
    </rfmt>
    <rfmt sheetId="2" sqref="HL802" start="0" length="0">
      <dxf/>
    </rfmt>
    <rfmt sheetId="2" sqref="HM802" start="0" length="0">
      <dxf/>
    </rfmt>
    <rfmt sheetId="2" sqref="HN802" start="0" length="0">
      <dxf/>
    </rfmt>
    <rfmt sheetId="2" sqref="HO802" start="0" length="0">
      <dxf/>
    </rfmt>
    <rfmt sheetId="2" sqref="HP802" start="0" length="0">
      <dxf/>
    </rfmt>
    <rfmt sheetId="2" sqref="HQ802" start="0" length="0">
      <dxf/>
    </rfmt>
    <rfmt sheetId="2" sqref="HR802" start="0" length="0">
      <dxf/>
    </rfmt>
    <rfmt sheetId="2" sqref="HS802" start="0" length="0">
      <dxf/>
    </rfmt>
    <rfmt sheetId="2" sqref="HT802" start="0" length="0">
      <dxf/>
    </rfmt>
    <rfmt sheetId="2" sqref="HU802" start="0" length="0">
      <dxf/>
    </rfmt>
    <rfmt sheetId="2" sqref="HV802" start="0" length="0">
      <dxf/>
    </rfmt>
    <rfmt sheetId="2" sqref="HW802" start="0" length="0">
      <dxf/>
    </rfmt>
    <rfmt sheetId="2" sqref="HX802" start="0" length="0">
      <dxf/>
    </rfmt>
    <rfmt sheetId="2" sqref="HY802" start="0" length="0">
      <dxf/>
    </rfmt>
    <rfmt sheetId="2" sqref="HZ802" start="0" length="0">
      <dxf/>
    </rfmt>
    <rfmt sheetId="2" sqref="IA802" start="0" length="0">
      <dxf/>
    </rfmt>
    <rfmt sheetId="2" sqref="IB802" start="0" length="0">
      <dxf/>
    </rfmt>
    <rfmt sheetId="2" sqref="IC802" start="0" length="0">
      <dxf/>
    </rfmt>
    <rfmt sheetId="2" sqref="ID802" start="0" length="0">
      <dxf/>
    </rfmt>
    <rfmt sheetId="2" sqref="IE802" start="0" length="0">
      <dxf/>
    </rfmt>
    <rfmt sheetId="2" sqref="IF802" start="0" length="0">
      <dxf/>
    </rfmt>
    <rfmt sheetId="2" sqref="IG802" start="0" length="0">
      <dxf/>
    </rfmt>
    <rfmt sheetId="2" sqref="IH802" start="0" length="0">
      <dxf/>
    </rfmt>
    <rfmt sheetId="2" sqref="II802" start="0" length="0">
      <dxf/>
    </rfmt>
    <rfmt sheetId="2" sqref="IJ802" start="0" length="0">
      <dxf/>
    </rfmt>
    <rfmt sheetId="2" sqref="IK802" start="0" length="0">
      <dxf/>
    </rfmt>
    <rfmt sheetId="2" sqref="IL802" start="0" length="0">
      <dxf/>
    </rfmt>
    <rfmt sheetId="2" sqref="IM802" start="0" length="0">
      <dxf/>
    </rfmt>
    <rfmt sheetId="2" sqref="IN802" start="0" length="0">
      <dxf/>
    </rfmt>
    <rfmt sheetId="2" sqref="IO802" start="0" length="0">
      <dxf/>
    </rfmt>
    <rfmt sheetId="2" sqref="IP802" start="0" length="0">
      <dxf/>
    </rfmt>
    <rfmt sheetId="2" sqref="IQ802" start="0" length="0">
      <dxf/>
    </rfmt>
    <rfmt sheetId="2" sqref="IR802" start="0" length="0">
      <dxf/>
    </rfmt>
    <rfmt sheetId="2" sqref="IS802" start="0" length="0">
      <dxf/>
    </rfmt>
    <rfmt sheetId="2" sqref="IT802" start="0" length="0">
      <dxf/>
    </rfmt>
    <rfmt sheetId="2" sqref="IU802" start="0" length="0">
      <dxf/>
    </rfmt>
    <rfmt sheetId="2" sqref="IV802" start="0" length="0">
      <dxf/>
    </rfmt>
    <rfmt sheetId="2" sqref="IW802" start="0" length="0">
      <dxf/>
    </rfmt>
    <rfmt sheetId="2" sqref="IX802" start="0" length="0">
      <dxf/>
    </rfmt>
    <rfmt sheetId="2" sqref="IY802" start="0" length="0">
      <dxf/>
    </rfmt>
    <rfmt sheetId="2" sqref="IZ802" start="0" length="0">
      <dxf/>
    </rfmt>
    <rfmt sheetId="2" sqref="JA802" start="0" length="0">
      <dxf/>
    </rfmt>
    <rfmt sheetId="2" sqref="JB802" start="0" length="0">
      <dxf/>
    </rfmt>
    <rfmt sheetId="2" sqref="JC802" start="0" length="0">
      <dxf/>
    </rfmt>
    <rfmt sheetId="2" sqref="JD802" start="0" length="0">
      <dxf/>
    </rfmt>
    <rfmt sheetId="2" sqref="JE802" start="0" length="0">
      <dxf/>
    </rfmt>
    <rfmt sheetId="2" sqref="JF802" start="0" length="0">
      <dxf/>
    </rfmt>
    <rfmt sheetId="2" sqref="JG802" start="0" length="0">
      <dxf/>
    </rfmt>
    <rfmt sheetId="2" sqref="JH802" start="0" length="0">
      <dxf/>
    </rfmt>
    <rfmt sheetId="2" sqref="JI802" start="0" length="0">
      <dxf/>
    </rfmt>
    <rfmt sheetId="2" sqref="JJ802" start="0" length="0">
      <dxf/>
    </rfmt>
    <rfmt sheetId="2" sqref="JK802" start="0" length="0">
      <dxf/>
    </rfmt>
    <rfmt sheetId="2" sqref="JL802" start="0" length="0">
      <dxf/>
    </rfmt>
    <rfmt sheetId="2" sqref="JM802" start="0" length="0">
      <dxf/>
    </rfmt>
    <rfmt sheetId="2" sqref="JN802" start="0" length="0">
      <dxf/>
    </rfmt>
    <rfmt sheetId="2" sqref="JO802" start="0" length="0">
      <dxf/>
    </rfmt>
    <rfmt sheetId="2" sqref="JP802" start="0" length="0">
      <dxf/>
    </rfmt>
    <rfmt sheetId="2" sqref="JQ802" start="0" length="0">
      <dxf/>
    </rfmt>
    <rfmt sheetId="2" sqref="JR802" start="0" length="0">
      <dxf/>
    </rfmt>
    <rfmt sheetId="2" sqref="JS802" start="0" length="0">
      <dxf/>
    </rfmt>
    <rfmt sheetId="2" sqref="JT802" start="0" length="0">
      <dxf/>
    </rfmt>
    <rfmt sheetId="2" sqref="JU802" start="0" length="0">
      <dxf/>
    </rfmt>
    <rfmt sheetId="2" sqref="JV802" start="0" length="0">
      <dxf/>
    </rfmt>
    <rfmt sheetId="2" sqref="JW802" start="0" length="0">
      <dxf/>
    </rfmt>
    <rfmt sheetId="2" sqref="JX802" start="0" length="0">
      <dxf/>
    </rfmt>
    <rfmt sheetId="2" sqref="JY802" start="0" length="0">
      <dxf/>
    </rfmt>
    <rfmt sheetId="2" sqref="JZ802" start="0" length="0">
      <dxf/>
    </rfmt>
    <rfmt sheetId="2" sqref="KA802" start="0" length="0">
      <dxf/>
    </rfmt>
    <rfmt sheetId="2" sqref="KB802" start="0" length="0">
      <dxf/>
    </rfmt>
    <rfmt sheetId="2" sqref="KC802" start="0" length="0">
      <dxf/>
    </rfmt>
    <rfmt sheetId="2" sqref="KD802" start="0" length="0">
      <dxf/>
    </rfmt>
    <rfmt sheetId="2" sqref="KE802" start="0" length="0">
      <dxf/>
    </rfmt>
    <rfmt sheetId="2" sqref="KF802" start="0" length="0">
      <dxf/>
    </rfmt>
    <rfmt sheetId="2" sqref="KG802" start="0" length="0">
      <dxf/>
    </rfmt>
    <rfmt sheetId="2" sqref="KH802" start="0" length="0">
      <dxf/>
    </rfmt>
    <rfmt sheetId="2" sqref="KI802" start="0" length="0">
      <dxf/>
    </rfmt>
    <rfmt sheetId="2" sqref="KJ802" start="0" length="0">
      <dxf/>
    </rfmt>
    <rfmt sheetId="2" sqref="KK802" start="0" length="0">
      <dxf/>
    </rfmt>
    <rfmt sheetId="2" sqref="KL802" start="0" length="0">
      <dxf/>
    </rfmt>
    <rfmt sheetId="2" sqref="KM802" start="0" length="0">
      <dxf/>
    </rfmt>
    <rfmt sheetId="2" sqref="KN802" start="0" length="0">
      <dxf/>
    </rfmt>
    <rfmt sheetId="2" sqref="KO802" start="0" length="0">
      <dxf/>
    </rfmt>
    <rfmt sheetId="2" sqref="KP802" start="0" length="0">
      <dxf/>
    </rfmt>
    <rfmt sheetId="2" sqref="KQ802" start="0" length="0">
      <dxf/>
    </rfmt>
    <rfmt sheetId="2" sqref="KR802" start="0" length="0">
      <dxf/>
    </rfmt>
    <rfmt sheetId="2" sqref="KS802" start="0" length="0">
      <dxf/>
    </rfmt>
    <rfmt sheetId="2" sqref="KT802" start="0" length="0">
      <dxf/>
    </rfmt>
    <rfmt sheetId="2" sqref="KU802" start="0" length="0">
      <dxf/>
    </rfmt>
    <rfmt sheetId="2" sqref="KV802" start="0" length="0">
      <dxf/>
    </rfmt>
    <rfmt sheetId="2" sqref="KW802" start="0" length="0">
      <dxf/>
    </rfmt>
    <rfmt sheetId="2" sqref="KX802" start="0" length="0">
      <dxf/>
    </rfmt>
    <rfmt sheetId="2" sqref="KY802" start="0" length="0">
      <dxf/>
    </rfmt>
    <rfmt sheetId="2" sqref="KZ802" start="0" length="0">
      <dxf/>
    </rfmt>
    <rfmt sheetId="2" sqref="LA802" start="0" length="0">
      <dxf/>
    </rfmt>
    <rfmt sheetId="2" sqref="LB802" start="0" length="0">
      <dxf/>
    </rfmt>
    <rfmt sheetId="2" sqref="LC802" start="0" length="0">
      <dxf/>
    </rfmt>
    <rfmt sheetId="2" sqref="LD802" start="0" length="0">
      <dxf/>
    </rfmt>
    <rfmt sheetId="2" sqref="LE802" start="0" length="0">
      <dxf/>
    </rfmt>
    <rfmt sheetId="2" sqref="LF802" start="0" length="0">
      <dxf/>
    </rfmt>
    <rfmt sheetId="2" sqref="LG802" start="0" length="0">
      <dxf/>
    </rfmt>
    <rfmt sheetId="2" sqref="LH802" start="0" length="0">
      <dxf/>
    </rfmt>
    <rfmt sheetId="2" sqref="LI802" start="0" length="0">
      <dxf/>
    </rfmt>
    <rfmt sheetId="2" sqref="LJ802" start="0" length="0">
      <dxf/>
    </rfmt>
    <rfmt sheetId="2" sqref="LK802" start="0" length="0">
      <dxf/>
    </rfmt>
    <rfmt sheetId="2" sqref="LL802" start="0" length="0">
      <dxf/>
    </rfmt>
    <rfmt sheetId="2" sqref="LM802" start="0" length="0">
      <dxf/>
    </rfmt>
    <rfmt sheetId="2" sqref="LN802" start="0" length="0">
      <dxf/>
    </rfmt>
    <rfmt sheetId="2" sqref="LO802" start="0" length="0">
      <dxf/>
    </rfmt>
    <rfmt sheetId="2" sqref="LP802" start="0" length="0">
      <dxf/>
    </rfmt>
    <rfmt sheetId="2" sqref="LQ802" start="0" length="0">
      <dxf/>
    </rfmt>
    <rfmt sheetId="2" sqref="LR802" start="0" length="0">
      <dxf/>
    </rfmt>
    <rfmt sheetId="2" sqref="LS802" start="0" length="0">
      <dxf/>
    </rfmt>
    <rfmt sheetId="2" sqref="LT802" start="0" length="0">
      <dxf/>
    </rfmt>
    <rfmt sheetId="2" sqref="LU802" start="0" length="0">
      <dxf/>
    </rfmt>
    <rfmt sheetId="2" sqref="LV802" start="0" length="0">
      <dxf/>
    </rfmt>
    <rfmt sheetId="2" sqref="LW802" start="0" length="0">
      <dxf/>
    </rfmt>
    <rfmt sheetId="2" sqref="LX802" start="0" length="0">
      <dxf/>
    </rfmt>
    <rfmt sheetId="2" sqref="LY802" start="0" length="0">
      <dxf/>
    </rfmt>
    <rfmt sheetId="2" sqref="LZ802" start="0" length="0">
      <dxf/>
    </rfmt>
    <rfmt sheetId="2" sqref="MA802" start="0" length="0">
      <dxf/>
    </rfmt>
    <rfmt sheetId="2" sqref="MB802" start="0" length="0">
      <dxf/>
    </rfmt>
  </rm>
  <rrc rId="2683" sId="2" ref="A805:XFD805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805:XFD805" start="0" length="0">
      <dxf>
        <font>
          <sz val="10"/>
          <name val="Arial"/>
          <scheme val="none"/>
        </font>
        <alignment horizontal="center" readingOrder="0"/>
      </dxf>
    </rfmt>
    <rfmt sheetId="2" sqref="A80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80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5" start="0" length="0">
      <dxf>
        <numFmt numFmtId="176" formatCode="m/d;@"/>
      </dxf>
    </rfmt>
    <rfmt sheetId="2" sqref="P80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5" start="0" length="0">
      <dxf/>
    </rfmt>
    <rfmt sheetId="2" sqref="U805" start="0" length="0">
      <dxf/>
    </rfmt>
    <rfmt sheetId="2" sqref="V805" start="0" length="0">
      <dxf/>
    </rfmt>
    <rfmt sheetId="2" sqref="W805" start="0" length="0">
      <dxf/>
    </rfmt>
    <rfmt sheetId="2" sqref="X805" start="0" length="0">
      <dxf/>
    </rfmt>
    <rfmt sheetId="2" sqref="Y805" start="0" length="0">
      <dxf/>
    </rfmt>
    <rfmt sheetId="2" sqref="Z805" start="0" length="0">
      <dxf/>
    </rfmt>
    <rfmt sheetId="2" sqref="AA805" start="0" length="0">
      <dxf/>
    </rfmt>
    <rfmt sheetId="2" sqref="AB805" start="0" length="0">
      <dxf/>
    </rfmt>
    <rfmt sheetId="2" sqref="AC805" start="0" length="0">
      <dxf/>
    </rfmt>
    <rfmt sheetId="2" sqref="AD805" start="0" length="0">
      <dxf/>
    </rfmt>
    <rfmt sheetId="2" sqref="AE805" start="0" length="0">
      <dxf/>
    </rfmt>
    <rfmt sheetId="2" sqref="AF805" start="0" length="0">
      <dxf/>
    </rfmt>
    <rfmt sheetId="2" sqref="AG805" start="0" length="0">
      <dxf/>
    </rfmt>
    <rfmt sheetId="2" sqref="AH805" start="0" length="0">
      <dxf/>
    </rfmt>
    <rfmt sheetId="2" sqref="AI805" start="0" length="0">
      <dxf/>
    </rfmt>
    <rfmt sheetId="2" sqref="AJ805" start="0" length="0">
      <dxf/>
    </rfmt>
    <rfmt sheetId="2" sqref="AK805" start="0" length="0">
      <dxf/>
    </rfmt>
    <rfmt sheetId="2" sqref="AL805" start="0" length="0">
      <dxf/>
    </rfmt>
    <rfmt sheetId="2" sqref="AM805" start="0" length="0">
      <dxf/>
    </rfmt>
    <rfmt sheetId="2" sqref="AN805" start="0" length="0">
      <dxf/>
    </rfmt>
    <rfmt sheetId="2" sqref="AO805" start="0" length="0">
      <dxf/>
    </rfmt>
    <rfmt sheetId="2" sqref="AP805" start="0" length="0">
      <dxf/>
    </rfmt>
    <rfmt sheetId="2" sqref="AQ805" start="0" length="0">
      <dxf/>
    </rfmt>
    <rfmt sheetId="2" sqref="AR805" start="0" length="0">
      <dxf/>
    </rfmt>
    <rfmt sheetId="2" sqref="AS805" start="0" length="0">
      <dxf/>
    </rfmt>
    <rfmt sheetId="2" sqref="AT805" start="0" length="0">
      <dxf/>
    </rfmt>
    <rfmt sheetId="2" sqref="AU805" start="0" length="0">
      <dxf/>
    </rfmt>
    <rfmt sheetId="2" sqref="AV805" start="0" length="0">
      <dxf/>
    </rfmt>
    <rfmt sheetId="2" sqref="AW805" start="0" length="0">
      <dxf/>
    </rfmt>
    <rfmt sheetId="2" sqref="AX805" start="0" length="0">
      <dxf/>
    </rfmt>
    <rfmt sheetId="2" sqref="AY805" start="0" length="0">
      <dxf/>
    </rfmt>
    <rfmt sheetId="2" sqref="AZ805" start="0" length="0">
      <dxf/>
    </rfmt>
    <rfmt sheetId="2" sqref="BA805" start="0" length="0">
      <dxf/>
    </rfmt>
    <rfmt sheetId="2" sqref="BB805" start="0" length="0">
      <dxf/>
    </rfmt>
    <rfmt sheetId="2" sqref="BC805" start="0" length="0">
      <dxf/>
    </rfmt>
    <rfmt sheetId="2" sqref="BD805" start="0" length="0">
      <dxf/>
    </rfmt>
    <rfmt sheetId="2" sqref="BE805" start="0" length="0">
      <dxf/>
    </rfmt>
    <rfmt sheetId="2" sqref="BF805" start="0" length="0">
      <dxf/>
    </rfmt>
    <rfmt sheetId="2" sqref="BG805" start="0" length="0">
      <dxf/>
    </rfmt>
    <rfmt sheetId="2" sqref="BH805" start="0" length="0">
      <dxf/>
    </rfmt>
    <rfmt sheetId="2" sqref="BI805" start="0" length="0">
      <dxf/>
    </rfmt>
    <rfmt sheetId="2" sqref="BJ805" start="0" length="0">
      <dxf/>
    </rfmt>
    <rfmt sheetId="2" sqref="BK805" start="0" length="0">
      <dxf/>
    </rfmt>
    <rfmt sheetId="2" sqref="BL805" start="0" length="0">
      <dxf/>
    </rfmt>
    <rfmt sheetId="2" sqref="BM805" start="0" length="0">
      <dxf/>
    </rfmt>
    <rfmt sheetId="2" sqref="BN805" start="0" length="0">
      <dxf/>
    </rfmt>
    <rfmt sheetId="2" sqref="BO805" start="0" length="0">
      <dxf/>
    </rfmt>
    <rfmt sheetId="2" sqref="BP805" start="0" length="0">
      <dxf/>
    </rfmt>
    <rfmt sheetId="2" sqref="BQ805" start="0" length="0">
      <dxf/>
    </rfmt>
    <rfmt sheetId="2" sqref="BR805" start="0" length="0">
      <dxf/>
    </rfmt>
    <rfmt sheetId="2" sqref="BS805" start="0" length="0">
      <dxf/>
    </rfmt>
    <rfmt sheetId="2" sqref="BT805" start="0" length="0">
      <dxf/>
    </rfmt>
    <rfmt sheetId="2" sqref="BU805" start="0" length="0">
      <dxf/>
    </rfmt>
    <rfmt sheetId="2" sqref="BV805" start="0" length="0">
      <dxf/>
    </rfmt>
    <rfmt sheetId="2" sqref="BW805" start="0" length="0">
      <dxf/>
    </rfmt>
    <rfmt sheetId="2" sqref="BX805" start="0" length="0">
      <dxf/>
    </rfmt>
    <rfmt sheetId="2" sqref="BY805" start="0" length="0">
      <dxf/>
    </rfmt>
    <rfmt sheetId="2" sqref="BZ805" start="0" length="0">
      <dxf/>
    </rfmt>
    <rfmt sheetId="2" sqref="CA805" start="0" length="0">
      <dxf/>
    </rfmt>
    <rfmt sheetId="2" sqref="CB805" start="0" length="0">
      <dxf/>
    </rfmt>
    <rfmt sheetId="2" sqref="CC805" start="0" length="0">
      <dxf/>
    </rfmt>
    <rfmt sheetId="2" sqref="CD805" start="0" length="0">
      <dxf/>
    </rfmt>
    <rfmt sheetId="2" sqref="CE805" start="0" length="0">
      <dxf/>
    </rfmt>
    <rfmt sheetId="2" sqref="CF805" start="0" length="0">
      <dxf/>
    </rfmt>
    <rfmt sheetId="2" sqref="CG805" start="0" length="0">
      <dxf/>
    </rfmt>
    <rfmt sheetId="2" sqref="CH805" start="0" length="0">
      <dxf/>
    </rfmt>
    <rfmt sheetId="2" sqref="CI805" start="0" length="0">
      <dxf/>
    </rfmt>
    <rfmt sheetId="2" sqref="CJ805" start="0" length="0">
      <dxf/>
    </rfmt>
    <rfmt sheetId="2" sqref="CK805" start="0" length="0">
      <dxf/>
    </rfmt>
    <rfmt sheetId="2" sqref="CL805" start="0" length="0">
      <dxf/>
    </rfmt>
    <rfmt sheetId="2" sqref="CM805" start="0" length="0">
      <dxf/>
    </rfmt>
    <rfmt sheetId="2" sqref="CN805" start="0" length="0">
      <dxf/>
    </rfmt>
    <rfmt sheetId="2" sqref="CO805" start="0" length="0">
      <dxf/>
    </rfmt>
    <rfmt sheetId="2" sqref="CP805" start="0" length="0">
      <dxf/>
    </rfmt>
    <rfmt sheetId="2" sqref="CQ805" start="0" length="0">
      <dxf/>
    </rfmt>
    <rfmt sheetId="2" sqref="CR805" start="0" length="0">
      <dxf/>
    </rfmt>
    <rfmt sheetId="2" sqref="CS805" start="0" length="0">
      <dxf/>
    </rfmt>
    <rfmt sheetId="2" sqref="CT805" start="0" length="0">
      <dxf/>
    </rfmt>
    <rfmt sheetId="2" sqref="CU805" start="0" length="0">
      <dxf/>
    </rfmt>
    <rfmt sheetId="2" sqref="CV805" start="0" length="0">
      <dxf/>
    </rfmt>
    <rfmt sheetId="2" sqref="CW805" start="0" length="0">
      <dxf/>
    </rfmt>
    <rfmt sheetId="2" sqref="CX805" start="0" length="0">
      <dxf/>
    </rfmt>
    <rfmt sheetId="2" sqref="CY805" start="0" length="0">
      <dxf/>
    </rfmt>
    <rfmt sheetId="2" sqref="CZ805" start="0" length="0">
      <dxf/>
    </rfmt>
    <rfmt sheetId="2" sqref="DA805" start="0" length="0">
      <dxf/>
    </rfmt>
    <rfmt sheetId="2" sqref="DB805" start="0" length="0">
      <dxf/>
    </rfmt>
    <rfmt sheetId="2" sqref="DC805" start="0" length="0">
      <dxf/>
    </rfmt>
    <rfmt sheetId="2" sqref="DD805" start="0" length="0">
      <dxf/>
    </rfmt>
    <rfmt sheetId="2" sqref="DE805" start="0" length="0">
      <dxf/>
    </rfmt>
    <rfmt sheetId="2" sqref="DF805" start="0" length="0">
      <dxf/>
    </rfmt>
    <rfmt sheetId="2" sqref="DG805" start="0" length="0">
      <dxf/>
    </rfmt>
    <rfmt sheetId="2" sqref="DH805" start="0" length="0">
      <dxf/>
    </rfmt>
    <rfmt sheetId="2" sqref="DI805" start="0" length="0">
      <dxf/>
    </rfmt>
    <rfmt sheetId="2" sqref="DJ805" start="0" length="0">
      <dxf/>
    </rfmt>
    <rfmt sheetId="2" sqref="DK805" start="0" length="0">
      <dxf/>
    </rfmt>
    <rfmt sheetId="2" sqref="DL805" start="0" length="0">
      <dxf/>
    </rfmt>
    <rfmt sheetId="2" sqref="DM805" start="0" length="0">
      <dxf/>
    </rfmt>
    <rfmt sheetId="2" sqref="DN805" start="0" length="0">
      <dxf/>
    </rfmt>
    <rfmt sheetId="2" sqref="DO805" start="0" length="0">
      <dxf/>
    </rfmt>
    <rfmt sheetId="2" sqref="DP805" start="0" length="0">
      <dxf/>
    </rfmt>
    <rfmt sheetId="2" sqref="DQ805" start="0" length="0">
      <dxf/>
    </rfmt>
    <rfmt sheetId="2" sqref="DR805" start="0" length="0">
      <dxf/>
    </rfmt>
    <rfmt sheetId="2" sqref="DS805" start="0" length="0">
      <dxf/>
    </rfmt>
    <rfmt sheetId="2" sqref="DT805" start="0" length="0">
      <dxf/>
    </rfmt>
    <rfmt sheetId="2" sqref="DU805" start="0" length="0">
      <dxf/>
    </rfmt>
    <rfmt sheetId="2" sqref="DV805" start="0" length="0">
      <dxf/>
    </rfmt>
    <rfmt sheetId="2" sqref="DW805" start="0" length="0">
      <dxf/>
    </rfmt>
    <rfmt sheetId="2" sqref="DX805" start="0" length="0">
      <dxf/>
    </rfmt>
    <rfmt sheetId="2" sqref="DY805" start="0" length="0">
      <dxf/>
    </rfmt>
    <rfmt sheetId="2" sqref="DZ805" start="0" length="0">
      <dxf/>
    </rfmt>
    <rfmt sheetId="2" sqref="EA805" start="0" length="0">
      <dxf/>
    </rfmt>
    <rfmt sheetId="2" sqref="EB805" start="0" length="0">
      <dxf/>
    </rfmt>
    <rfmt sheetId="2" sqref="EC805" start="0" length="0">
      <dxf/>
    </rfmt>
    <rfmt sheetId="2" sqref="ED805" start="0" length="0">
      <dxf/>
    </rfmt>
    <rfmt sheetId="2" sqref="EE805" start="0" length="0">
      <dxf/>
    </rfmt>
    <rfmt sheetId="2" sqref="EF805" start="0" length="0">
      <dxf/>
    </rfmt>
    <rfmt sheetId="2" sqref="EG805" start="0" length="0">
      <dxf/>
    </rfmt>
    <rfmt sheetId="2" sqref="EH805" start="0" length="0">
      <dxf/>
    </rfmt>
    <rfmt sheetId="2" sqref="EI805" start="0" length="0">
      <dxf/>
    </rfmt>
    <rfmt sheetId="2" sqref="EJ805" start="0" length="0">
      <dxf/>
    </rfmt>
    <rfmt sheetId="2" sqref="EK805" start="0" length="0">
      <dxf/>
    </rfmt>
    <rfmt sheetId="2" sqref="EL805" start="0" length="0">
      <dxf/>
    </rfmt>
    <rfmt sheetId="2" sqref="EM805" start="0" length="0">
      <dxf/>
    </rfmt>
    <rfmt sheetId="2" sqref="EN805" start="0" length="0">
      <dxf/>
    </rfmt>
    <rfmt sheetId="2" sqref="EO805" start="0" length="0">
      <dxf/>
    </rfmt>
    <rfmt sheetId="2" sqref="EP805" start="0" length="0">
      <dxf/>
    </rfmt>
    <rfmt sheetId="2" sqref="EQ805" start="0" length="0">
      <dxf/>
    </rfmt>
    <rfmt sheetId="2" sqref="ER805" start="0" length="0">
      <dxf/>
    </rfmt>
    <rfmt sheetId="2" sqref="ES805" start="0" length="0">
      <dxf/>
    </rfmt>
    <rfmt sheetId="2" sqref="ET805" start="0" length="0">
      <dxf/>
    </rfmt>
    <rfmt sheetId="2" sqref="EU805" start="0" length="0">
      <dxf/>
    </rfmt>
    <rfmt sheetId="2" sqref="EV805" start="0" length="0">
      <dxf/>
    </rfmt>
    <rfmt sheetId="2" sqref="EW805" start="0" length="0">
      <dxf/>
    </rfmt>
    <rfmt sheetId="2" sqref="EX805" start="0" length="0">
      <dxf/>
    </rfmt>
    <rfmt sheetId="2" sqref="EY805" start="0" length="0">
      <dxf/>
    </rfmt>
    <rfmt sheetId="2" sqref="EZ805" start="0" length="0">
      <dxf/>
    </rfmt>
    <rfmt sheetId="2" sqref="FA805" start="0" length="0">
      <dxf/>
    </rfmt>
    <rfmt sheetId="2" sqref="FB805" start="0" length="0">
      <dxf/>
    </rfmt>
    <rfmt sheetId="2" sqref="FC805" start="0" length="0">
      <dxf/>
    </rfmt>
    <rfmt sheetId="2" sqref="FD805" start="0" length="0">
      <dxf/>
    </rfmt>
    <rfmt sheetId="2" sqref="FE805" start="0" length="0">
      <dxf/>
    </rfmt>
    <rfmt sheetId="2" sqref="FF805" start="0" length="0">
      <dxf/>
    </rfmt>
    <rfmt sheetId="2" sqref="FG805" start="0" length="0">
      <dxf/>
    </rfmt>
    <rfmt sheetId="2" sqref="FH805" start="0" length="0">
      <dxf/>
    </rfmt>
    <rfmt sheetId="2" sqref="FI805" start="0" length="0">
      <dxf/>
    </rfmt>
    <rfmt sheetId="2" sqref="FJ805" start="0" length="0">
      <dxf/>
    </rfmt>
    <rfmt sheetId="2" sqref="FK805" start="0" length="0">
      <dxf/>
    </rfmt>
    <rfmt sheetId="2" sqref="FL805" start="0" length="0">
      <dxf/>
    </rfmt>
    <rfmt sheetId="2" sqref="FM805" start="0" length="0">
      <dxf/>
    </rfmt>
    <rfmt sheetId="2" sqref="FN805" start="0" length="0">
      <dxf/>
    </rfmt>
    <rfmt sheetId="2" sqref="FO805" start="0" length="0">
      <dxf/>
    </rfmt>
    <rfmt sheetId="2" sqref="FP805" start="0" length="0">
      <dxf/>
    </rfmt>
    <rfmt sheetId="2" sqref="FQ805" start="0" length="0">
      <dxf/>
    </rfmt>
    <rfmt sheetId="2" sqref="FR805" start="0" length="0">
      <dxf/>
    </rfmt>
    <rfmt sheetId="2" sqref="FS805" start="0" length="0">
      <dxf/>
    </rfmt>
    <rfmt sheetId="2" sqref="FT805" start="0" length="0">
      <dxf/>
    </rfmt>
    <rfmt sheetId="2" sqref="FU805" start="0" length="0">
      <dxf/>
    </rfmt>
    <rfmt sheetId="2" sqref="FV805" start="0" length="0">
      <dxf/>
    </rfmt>
    <rfmt sheetId="2" sqref="FW805" start="0" length="0">
      <dxf/>
    </rfmt>
    <rfmt sheetId="2" sqref="FX805" start="0" length="0">
      <dxf/>
    </rfmt>
    <rfmt sheetId="2" sqref="FY805" start="0" length="0">
      <dxf/>
    </rfmt>
    <rfmt sheetId="2" sqref="FZ805" start="0" length="0">
      <dxf/>
    </rfmt>
    <rfmt sheetId="2" sqref="GA805" start="0" length="0">
      <dxf/>
    </rfmt>
    <rfmt sheetId="2" sqref="GB805" start="0" length="0">
      <dxf/>
    </rfmt>
    <rfmt sheetId="2" sqref="GC805" start="0" length="0">
      <dxf/>
    </rfmt>
    <rfmt sheetId="2" sqref="GD805" start="0" length="0">
      <dxf/>
    </rfmt>
    <rfmt sheetId="2" sqref="GE805" start="0" length="0">
      <dxf/>
    </rfmt>
    <rfmt sheetId="2" sqref="GF805" start="0" length="0">
      <dxf/>
    </rfmt>
    <rfmt sheetId="2" sqref="GG805" start="0" length="0">
      <dxf/>
    </rfmt>
    <rfmt sheetId="2" sqref="GH805" start="0" length="0">
      <dxf/>
    </rfmt>
    <rfmt sheetId="2" sqref="GI805" start="0" length="0">
      <dxf/>
    </rfmt>
    <rfmt sheetId="2" sqref="GJ805" start="0" length="0">
      <dxf/>
    </rfmt>
    <rfmt sheetId="2" sqref="GK805" start="0" length="0">
      <dxf/>
    </rfmt>
    <rfmt sheetId="2" sqref="GL805" start="0" length="0">
      <dxf/>
    </rfmt>
    <rfmt sheetId="2" sqref="GM805" start="0" length="0">
      <dxf/>
    </rfmt>
    <rfmt sheetId="2" sqref="GN805" start="0" length="0">
      <dxf/>
    </rfmt>
    <rfmt sheetId="2" sqref="GO805" start="0" length="0">
      <dxf/>
    </rfmt>
    <rfmt sheetId="2" sqref="GP805" start="0" length="0">
      <dxf/>
    </rfmt>
    <rfmt sheetId="2" sqref="GQ805" start="0" length="0">
      <dxf/>
    </rfmt>
    <rfmt sheetId="2" sqref="GR805" start="0" length="0">
      <dxf/>
    </rfmt>
    <rfmt sheetId="2" sqref="GS805" start="0" length="0">
      <dxf/>
    </rfmt>
    <rfmt sheetId="2" sqref="GT805" start="0" length="0">
      <dxf/>
    </rfmt>
    <rfmt sheetId="2" sqref="GU805" start="0" length="0">
      <dxf/>
    </rfmt>
    <rfmt sheetId="2" sqref="GV805" start="0" length="0">
      <dxf/>
    </rfmt>
    <rfmt sheetId="2" sqref="GW805" start="0" length="0">
      <dxf/>
    </rfmt>
    <rfmt sheetId="2" sqref="GX805" start="0" length="0">
      <dxf/>
    </rfmt>
    <rfmt sheetId="2" sqref="GY805" start="0" length="0">
      <dxf/>
    </rfmt>
    <rfmt sheetId="2" sqref="GZ805" start="0" length="0">
      <dxf/>
    </rfmt>
    <rfmt sheetId="2" sqref="HA805" start="0" length="0">
      <dxf/>
    </rfmt>
    <rfmt sheetId="2" sqref="HB805" start="0" length="0">
      <dxf/>
    </rfmt>
    <rfmt sheetId="2" sqref="HC805" start="0" length="0">
      <dxf/>
    </rfmt>
    <rfmt sheetId="2" sqref="HD805" start="0" length="0">
      <dxf/>
    </rfmt>
    <rfmt sheetId="2" sqref="HE805" start="0" length="0">
      <dxf/>
    </rfmt>
    <rfmt sheetId="2" sqref="HF805" start="0" length="0">
      <dxf/>
    </rfmt>
    <rfmt sheetId="2" sqref="HG805" start="0" length="0">
      <dxf/>
    </rfmt>
    <rfmt sheetId="2" sqref="HH805" start="0" length="0">
      <dxf/>
    </rfmt>
    <rfmt sheetId="2" sqref="HI805" start="0" length="0">
      <dxf/>
    </rfmt>
    <rfmt sheetId="2" sqref="HJ805" start="0" length="0">
      <dxf/>
    </rfmt>
    <rfmt sheetId="2" sqref="HK805" start="0" length="0">
      <dxf/>
    </rfmt>
    <rfmt sheetId="2" sqref="HL805" start="0" length="0">
      <dxf/>
    </rfmt>
    <rfmt sheetId="2" sqref="HM805" start="0" length="0">
      <dxf/>
    </rfmt>
    <rfmt sheetId="2" sqref="HN805" start="0" length="0">
      <dxf/>
    </rfmt>
    <rfmt sheetId="2" sqref="HO805" start="0" length="0">
      <dxf/>
    </rfmt>
    <rfmt sheetId="2" sqref="HP805" start="0" length="0">
      <dxf/>
    </rfmt>
    <rfmt sheetId="2" sqref="HQ805" start="0" length="0">
      <dxf/>
    </rfmt>
    <rfmt sheetId="2" sqref="HR805" start="0" length="0">
      <dxf/>
    </rfmt>
    <rfmt sheetId="2" sqref="HS805" start="0" length="0">
      <dxf/>
    </rfmt>
    <rfmt sheetId="2" sqref="HT805" start="0" length="0">
      <dxf/>
    </rfmt>
    <rfmt sheetId="2" sqref="HU805" start="0" length="0">
      <dxf/>
    </rfmt>
    <rfmt sheetId="2" sqref="HV805" start="0" length="0">
      <dxf/>
    </rfmt>
    <rfmt sheetId="2" sqref="HW805" start="0" length="0">
      <dxf/>
    </rfmt>
    <rfmt sheetId="2" sqref="HX805" start="0" length="0">
      <dxf/>
    </rfmt>
    <rfmt sheetId="2" sqref="HY805" start="0" length="0">
      <dxf/>
    </rfmt>
    <rfmt sheetId="2" sqref="HZ805" start="0" length="0">
      <dxf/>
    </rfmt>
    <rfmt sheetId="2" sqref="IA805" start="0" length="0">
      <dxf/>
    </rfmt>
    <rfmt sheetId="2" sqref="IB805" start="0" length="0">
      <dxf/>
    </rfmt>
    <rfmt sheetId="2" sqref="IC805" start="0" length="0">
      <dxf/>
    </rfmt>
    <rfmt sheetId="2" sqref="ID805" start="0" length="0">
      <dxf/>
    </rfmt>
    <rfmt sheetId="2" sqref="IE805" start="0" length="0">
      <dxf/>
    </rfmt>
    <rfmt sheetId="2" sqref="IF805" start="0" length="0">
      <dxf/>
    </rfmt>
    <rfmt sheetId="2" sqref="IG805" start="0" length="0">
      <dxf/>
    </rfmt>
    <rfmt sheetId="2" sqref="IH805" start="0" length="0">
      <dxf/>
    </rfmt>
    <rfmt sheetId="2" sqref="II805" start="0" length="0">
      <dxf/>
    </rfmt>
    <rfmt sheetId="2" sqref="IJ805" start="0" length="0">
      <dxf/>
    </rfmt>
    <rfmt sheetId="2" sqref="IK805" start="0" length="0">
      <dxf/>
    </rfmt>
    <rfmt sheetId="2" sqref="IL805" start="0" length="0">
      <dxf/>
    </rfmt>
    <rfmt sheetId="2" sqref="IM805" start="0" length="0">
      <dxf/>
    </rfmt>
    <rfmt sheetId="2" sqref="IN805" start="0" length="0">
      <dxf/>
    </rfmt>
    <rfmt sheetId="2" sqref="IO805" start="0" length="0">
      <dxf/>
    </rfmt>
    <rfmt sheetId="2" sqref="IP805" start="0" length="0">
      <dxf/>
    </rfmt>
    <rfmt sheetId="2" sqref="IQ805" start="0" length="0">
      <dxf/>
    </rfmt>
    <rfmt sheetId="2" sqref="IR805" start="0" length="0">
      <dxf/>
    </rfmt>
    <rfmt sheetId="2" sqref="IS805" start="0" length="0">
      <dxf/>
    </rfmt>
    <rfmt sheetId="2" sqref="IT805" start="0" length="0">
      <dxf/>
    </rfmt>
    <rfmt sheetId="2" sqref="IU805" start="0" length="0">
      <dxf/>
    </rfmt>
    <rfmt sheetId="2" sqref="IV805" start="0" length="0">
      <dxf/>
    </rfmt>
    <rfmt sheetId="2" sqref="IW805" start="0" length="0">
      <dxf/>
    </rfmt>
    <rfmt sheetId="2" sqref="IX805" start="0" length="0">
      <dxf/>
    </rfmt>
    <rfmt sheetId="2" sqref="IY805" start="0" length="0">
      <dxf/>
    </rfmt>
    <rfmt sheetId="2" sqref="IZ805" start="0" length="0">
      <dxf/>
    </rfmt>
    <rfmt sheetId="2" sqref="JA805" start="0" length="0">
      <dxf/>
    </rfmt>
    <rfmt sheetId="2" sqref="JB805" start="0" length="0">
      <dxf/>
    </rfmt>
    <rfmt sheetId="2" sqref="JC805" start="0" length="0">
      <dxf/>
    </rfmt>
    <rfmt sheetId="2" sqref="JD805" start="0" length="0">
      <dxf/>
    </rfmt>
    <rfmt sheetId="2" sqref="JE805" start="0" length="0">
      <dxf/>
    </rfmt>
    <rfmt sheetId="2" sqref="JF805" start="0" length="0">
      <dxf/>
    </rfmt>
    <rfmt sheetId="2" sqref="JG805" start="0" length="0">
      <dxf/>
    </rfmt>
    <rfmt sheetId="2" sqref="JH805" start="0" length="0">
      <dxf/>
    </rfmt>
    <rfmt sheetId="2" sqref="JI805" start="0" length="0">
      <dxf/>
    </rfmt>
    <rfmt sheetId="2" sqref="JJ805" start="0" length="0">
      <dxf/>
    </rfmt>
    <rfmt sheetId="2" sqref="JK805" start="0" length="0">
      <dxf/>
    </rfmt>
    <rfmt sheetId="2" sqref="JL805" start="0" length="0">
      <dxf/>
    </rfmt>
    <rfmt sheetId="2" sqref="JM805" start="0" length="0">
      <dxf/>
    </rfmt>
    <rfmt sheetId="2" sqref="JN805" start="0" length="0">
      <dxf/>
    </rfmt>
    <rfmt sheetId="2" sqref="JO805" start="0" length="0">
      <dxf/>
    </rfmt>
    <rfmt sheetId="2" sqref="JP805" start="0" length="0">
      <dxf/>
    </rfmt>
    <rfmt sheetId="2" sqref="JQ805" start="0" length="0">
      <dxf/>
    </rfmt>
    <rfmt sheetId="2" sqref="JR805" start="0" length="0">
      <dxf/>
    </rfmt>
    <rfmt sheetId="2" sqref="JS805" start="0" length="0">
      <dxf/>
    </rfmt>
    <rfmt sheetId="2" sqref="JT805" start="0" length="0">
      <dxf/>
    </rfmt>
    <rfmt sheetId="2" sqref="JU805" start="0" length="0">
      <dxf/>
    </rfmt>
    <rfmt sheetId="2" sqref="JV805" start="0" length="0">
      <dxf/>
    </rfmt>
    <rfmt sheetId="2" sqref="JW805" start="0" length="0">
      <dxf/>
    </rfmt>
    <rfmt sheetId="2" sqref="JX805" start="0" length="0">
      <dxf/>
    </rfmt>
    <rfmt sheetId="2" sqref="JY805" start="0" length="0">
      <dxf/>
    </rfmt>
    <rfmt sheetId="2" sqref="JZ805" start="0" length="0">
      <dxf/>
    </rfmt>
    <rfmt sheetId="2" sqref="KA805" start="0" length="0">
      <dxf/>
    </rfmt>
    <rfmt sheetId="2" sqref="KB805" start="0" length="0">
      <dxf/>
    </rfmt>
    <rfmt sheetId="2" sqref="KC805" start="0" length="0">
      <dxf/>
    </rfmt>
    <rfmt sheetId="2" sqref="KD805" start="0" length="0">
      <dxf/>
    </rfmt>
    <rfmt sheetId="2" sqref="KE805" start="0" length="0">
      <dxf/>
    </rfmt>
    <rfmt sheetId="2" sqref="KF805" start="0" length="0">
      <dxf/>
    </rfmt>
    <rfmt sheetId="2" sqref="KG805" start="0" length="0">
      <dxf/>
    </rfmt>
    <rfmt sheetId="2" sqref="KH805" start="0" length="0">
      <dxf/>
    </rfmt>
    <rfmt sheetId="2" sqref="KI805" start="0" length="0">
      <dxf/>
    </rfmt>
    <rfmt sheetId="2" sqref="KJ805" start="0" length="0">
      <dxf/>
    </rfmt>
    <rfmt sheetId="2" sqref="KK805" start="0" length="0">
      <dxf/>
    </rfmt>
    <rfmt sheetId="2" sqref="KL805" start="0" length="0">
      <dxf/>
    </rfmt>
    <rfmt sheetId="2" sqref="KM805" start="0" length="0">
      <dxf/>
    </rfmt>
    <rfmt sheetId="2" sqref="KN805" start="0" length="0">
      <dxf/>
    </rfmt>
    <rfmt sheetId="2" sqref="KO805" start="0" length="0">
      <dxf/>
    </rfmt>
    <rfmt sheetId="2" sqref="KP805" start="0" length="0">
      <dxf/>
    </rfmt>
    <rfmt sheetId="2" sqref="KQ805" start="0" length="0">
      <dxf/>
    </rfmt>
    <rfmt sheetId="2" sqref="KR805" start="0" length="0">
      <dxf/>
    </rfmt>
    <rfmt sheetId="2" sqref="KS805" start="0" length="0">
      <dxf/>
    </rfmt>
    <rfmt sheetId="2" sqref="KT805" start="0" length="0">
      <dxf/>
    </rfmt>
    <rfmt sheetId="2" sqref="KU805" start="0" length="0">
      <dxf/>
    </rfmt>
    <rfmt sheetId="2" sqref="KV805" start="0" length="0">
      <dxf/>
    </rfmt>
    <rfmt sheetId="2" sqref="KW805" start="0" length="0">
      <dxf/>
    </rfmt>
    <rfmt sheetId="2" sqref="KX805" start="0" length="0">
      <dxf/>
    </rfmt>
    <rfmt sheetId="2" sqref="KY805" start="0" length="0">
      <dxf/>
    </rfmt>
    <rfmt sheetId="2" sqref="KZ805" start="0" length="0">
      <dxf/>
    </rfmt>
    <rfmt sheetId="2" sqref="LA805" start="0" length="0">
      <dxf/>
    </rfmt>
    <rfmt sheetId="2" sqref="LB805" start="0" length="0">
      <dxf/>
    </rfmt>
    <rfmt sheetId="2" sqref="LC805" start="0" length="0">
      <dxf/>
    </rfmt>
    <rfmt sheetId="2" sqref="LD805" start="0" length="0">
      <dxf/>
    </rfmt>
    <rfmt sheetId="2" sqref="LE805" start="0" length="0">
      <dxf/>
    </rfmt>
    <rfmt sheetId="2" sqref="LF805" start="0" length="0">
      <dxf/>
    </rfmt>
    <rfmt sheetId="2" sqref="LG805" start="0" length="0">
      <dxf/>
    </rfmt>
    <rfmt sheetId="2" sqref="LH805" start="0" length="0">
      <dxf/>
    </rfmt>
    <rfmt sheetId="2" sqref="LI805" start="0" length="0">
      <dxf/>
    </rfmt>
    <rfmt sheetId="2" sqref="LJ805" start="0" length="0">
      <dxf/>
    </rfmt>
    <rfmt sheetId="2" sqref="LK805" start="0" length="0">
      <dxf/>
    </rfmt>
    <rfmt sheetId="2" sqref="LL805" start="0" length="0">
      <dxf/>
    </rfmt>
    <rfmt sheetId="2" sqref="LM805" start="0" length="0">
      <dxf/>
    </rfmt>
    <rfmt sheetId="2" sqref="LN805" start="0" length="0">
      <dxf/>
    </rfmt>
    <rfmt sheetId="2" sqref="LO805" start="0" length="0">
      <dxf/>
    </rfmt>
    <rfmt sheetId="2" sqref="LP805" start="0" length="0">
      <dxf/>
    </rfmt>
    <rfmt sheetId="2" sqref="LQ805" start="0" length="0">
      <dxf/>
    </rfmt>
    <rfmt sheetId="2" sqref="LR805" start="0" length="0">
      <dxf/>
    </rfmt>
    <rfmt sheetId="2" sqref="LS805" start="0" length="0">
      <dxf/>
    </rfmt>
    <rfmt sheetId="2" sqref="LT805" start="0" length="0">
      <dxf/>
    </rfmt>
    <rfmt sheetId="2" sqref="LU805" start="0" length="0">
      <dxf/>
    </rfmt>
    <rfmt sheetId="2" sqref="LV805" start="0" length="0">
      <dxf/>
    </rfmt>
    <rfmt sheetId="2" sqref="LW805" start="0" length="0">
      <dxf/>
    </rfmt>
    <rfmt sheetId="2" sqref="LX805" start="0" length="0">
      <dxf/>
    </rfmt>
    <rfmt sheetId="2" sqref="LY805" start="0" length="0">
      <dxf/>
    </rfmt>
    <rfmt sheetId="2" sqref="LZ805" start="0" length="0">
      <dxf/>
    </rfmt>
    <rfmt sheetId="2" sqref="MA805" start="0" length="0">
      <dxf/>
    </rfmt>
    <rfmt sheetId="2" sqref="MB805" start="0" length="0">
      <dxf/>
    </rfmt>
  </rrc>
  <rrc rId="2684" sId="2" ref="A805:XFD805" action="deleteRow"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805:XFD805" start="0" length="0">
      <dxf>
        <font>
          <sz val="10"/>
          <name val="Arial"/>
          <scheme val="none"/>
        </font>
        <alignment horizontal="center" readingOrder="0"/>
      </dxf>
    </rfmt>
    <rfmt sheetId="2" sqref="A80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B805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C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D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E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F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G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H80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I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J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K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L805" start="0" length="0">
      <dxf>
        <numFmt numFmtId="179" formatCode="0_);[Red]\(0\)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M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N805" start="0" length="0">
      <dxf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qref="O805" start="0" length="0">
      <dxf>
        <numFmt numFmtId="176" formatCode="m/d;@"/>
      </dxf>
    </rfmt>
    <rfmt sheetId="2" sqref="P805" start="0" length="0">
      <dxf>
        <font>
          <sz val="10"/>
          <color auto="1"/>
          <name val="Arial"/>
          <scheme val="none"/>
        </font>
        <numFmt numFmtId="177" formatCode="m/d/yyyy"/>
      </dxf>
    </rfmt>
    <rfmt sheetId="2" sqref="T805" start="0" length="0">
      <dxf/>
    </rfmt>
    <rfmt sheetId="2" sqref="U805" start="0" length="0">
      <dxf/>
    </rfmt>
    <rfmt sheetId="2" sqref="V805" start="0" length="0">
      <dxf/>
    </rfmt>
    <rfmt sheetId="2" sqref="W805" start="0" length="0">
      <dxf/>
    </rfmt>
    <rfmt sheetId="2" sqref="X805" start="0" length="0">
      <dxf/>
    </rfmt>
    <rfmt sheetId="2" sqref="Y805" start="0" length="0">
      <dxf/>
    </rfmt>
    <rfmt sheetId="2" sqref="Z805" start="0" length="0">
      <dxf/>
    </rfmt>
    <rfmt sheetId="2" sqref="AA805" start="0" length="0">
      <dxf/>
    </rfmt>
    <rfmt sheetId="2" sqref="AB805" start="0" length="0">
      <dxf/>
    </rfmt>
    <rfmt sheetId="2" sqref="AC805" start="0" length="0">
      <dxf/>
    </rfmt>
    <rfmt sheetId="2" sqref="AD805" start="0" length="0">
      <dxf/>
    </rfmt>
    <rfmt sheetId="2" sqref="AE805" start="0" length="0">
      <dxf/>
    </rfmt>
    <rfmt sheetId="2" sqref="AF805" start="0" length="0">
      <dxf/>
    </rfmt>
    <rfmt sheetId="2" sqref="AG805" start="0" length="0">
      <dxf/>
    </rfmt>
    <rfmt sheetId="2" sqref="AH805" start="0" length="0">
      <dxf/>
    </rfmt>
    <rfmt sheetId="2" sqref="AI805" start="0" length="0">
      <dxf/>
    </rfmt>
    <rfmt sheetId="2" sqref="AJ805" start="0" length="0">
      <dxf/>
    </rfmt>
    <rfmt sheetId="2" sqref="AK805" start="0" length="0">
      <dxf/>
    </rfmt>
    <rfmt sheetId="2" sqref="AL805" start="0" length="0">
      <dxf/>
    </rfmt>
    <rfmt sheetId="2" sqref="AM805" start="0" length="0">
      <dxf/>
    </rfmt>
    <rfmt sheetId="2" sqref="AN805" start="0" length="0">
      <dxf/>
    </rfmt>
    <rfmt sheetId="2" sqref="AO805" start="0" length="0">
      <dxf/>
    </rfmt>
    <rfmt sheetId="2" sqref="AP805" start="0" length="0">
      <dxf/>
    </rfmt>
    <rfmt sheetId="2" sqref="AQ805" start="0" length="0">
      <dxf/>
    </rfmt>
    <rfmt sheetId="2" sqref="AR805" start="0" length="0">
      <dxf/>
    </rfmt>
    <rfmt sheetId="2" sqref="AS805" start="0" length="0">
      <dxf/>
    </rfmt>
    <rfmt sheetId="2" sqref="AT805" start="0" length="0">
      <dxf/>
    </rfmt>
    <rfmt sheetId="2" sqref="AU805" start="0" length="0">
      <dxf/>
    </rfmt>
    <rfmt sheetId="2" sqref="AV805" start="0" length="0">
      <dxf/>
    </rfmt>
    <rfmt sheetId="2" sqref="AW805" start="0" length="0">
      <dxf/>
    </rfmt>
    <rfmt sheetId="2" sqref="AX805" start="0" length="0">
      <dxf/>
    </rfmt>
    <rfmt sheetId="2" sqref="AY805" start="0" length="0">
      <dxf/>
    </rfmt>
    <rfmt sheetId="2" sqref="AZ805" start="0" length="0">
      <dxf/>
    </rfmt>
    <rfmt sheetId="2" sqref="BA805" start="0" length="0">
      <dxf/>
    </rfmt>
    <rfmt sheetId="2" sqref="BB805" start="0" length="0">
      <dxf/>
    </rfmt>
    <rfmt sheetId="2" sqref="BC805" start="0" length="0">
      <dxf/>
    </rfmt>
    <rfmt sheetId="2" sqref="BD805" start="0" length="0">
      <dxf/>
    </rfmt>
    <rfmt sheetId="2" sqref="BE805" start="0" length="0">
      <dxf/>
    </rfmt>
    <rfmt sheetId="2" sqref="BF805" start="0" length="0">
      <dxf/>
    </rfmt>
    <rfmt sheetId="2" sqref="BG805" start="0" length="0">
      <dxf/>
    </rfmt>
    <rfmt sheetId="2" sqref="BH805" start="0" length="0">
      <dxf/>
    </rfmt>
    <rfmt sheetId="2" sqref="BI805" start="0" length="0">
      <dxf/>
    </rfmt>
    <rfmt sheetId="2" sqref="BJ805" start="0" length="0">
      <dxf/>
    </rfmt>
    <rfmt sheetId="2" sqref="BK805" start="0" length="0">
      <dxf/>
    </rfmt>
    <rfmt sheetId="2" sqref="BL805" start="0" length="0">
      <dxf/>
    </rfmt>
    <rfmt sheetId="2" sqref="BM805" start="0" length="0">
      <dxf/>
    </rfmt>
    <rfmt sheetId="2" sqref="BN805" start="0" length="0">
      <dxf/>
    </rfmt>
    <rfmt sheetId="2" sqref="BO805" start="0" length="0">
      <dxf/>
    </rfmt>
    <rfmt sheetId="2" sqref="BP805" start="0" length="0">
      <dxf/>
    </rfmt>
    <rfmt sheetId="2" sqref="BQ805" start="0" length="0">
      <dxf/>
    </rfmt>
    <rfmt sheetId="2" sqref="BR805" start="0" length="0">
      <dxf/>
    </rfmt>
    <rfmt sheetId="2" sqref="BS805" start="0" length="0">
      <dxf/>
    </rfmt>
    <rfmt sheetId="2" sqref="BT805" start="0" length="0">
      <dxf/>
    </rfmt>
    <rfmt sheetId="2" sqref="BU805" start="0" length="0">
      <dxf/>
    </rfmt>
    <rfmt sheetId="2" sqref="BV805" start="0" length="0">
      <dxf/>
    </rfmt>
    <rfmt sheetId="2" sqref="BW805" start="0" length="0">
      <dxf/>
    </rfmt>
    <rfmt sheetId="2" sqref="BX805" start="0" length="0">
      <dxf/>
    </rfmt>
    <rfmt sheetId="2" sqref="BY805" start="0" length="0">
      <dxf/>
    </rfmt>
    <rfmt sheetId="2" sqref="BZ805" start="0" length="0">
      <dxf/>
    </rfmt>
    <rfmt sheetId="2" sqref="CA805" start="0" length="0">
      <dxf/>
    </rfmt>
    <rfmt sheetId="2" sqref="CB805" start="0" length="0">
      <dxf/>
    </rfmt>
    <rfmt sheetId="2" sqref="CC805" start="0" length="0">
      <dxf/>
    </rfmt>
    <rfmt sheetId="2" sqref="CD805" start="0" length="0">
      <dxf/>
    </rfmt>
    <rfmt sheetId="2" sqref="CE805" start="0" length="0">
      <dxf/>
    </rfmt>
    <rfmt sheetId="2" sqref="CF805" start="0" length="0">
      <dxf/>
    </rfmt>
    <rfmt sheetId="2" sqref="CG805" start="0" length="0">
      <dxf/>
    </rfmt>
    <rfmt sheetId="2" sqref="CH805" start="0" length="0">
      <dxf/>
    </rfmt>
    <rfmt sheetId="2" sqref="CI805" start="0" length="0">
      <dxf/>
    </rfmt>
    <rfmt sheetId="2" sqref="CJ805" start="0" length="0">
      <dxf/>
    </rfmt>
    <rfmt sheetId="2" sqref="CK805" start="0" length="0">
      <dxf/>
    </rfmt>
    <rfmt sheetId="2" sqref="CL805" start="0" length="0">
      <dxf/>
    </rfmt>
    <rfmt sheetId="2" sqref="CM805" start="0" length="0">
      <dxf/>
    </rfmt>
    <rfmt sheetId="2" sqref="CN805" start="0" length="0">
      <dxf/>
    </rfmt>
    <rfmt sheetId="2" sqref="CO805" start="0" length="0">
      <dxf/>
    </rfmt>
    <rfmt sheetId="2" sqref="CP805" start="0" length="0">
      <dxf/>
    </rfmt>
    <rfmt sheetId="2" sqref="CQ805" start="0" length="0">
      <dxf/>
    </rfmt>
    <rfmt sheetId="2" sqref="CR805" start="0" length="0">
      <dxf/>
    </rfmt>
    <rfmt sheetId="2" sqref="CS805" start="0" length="0">
      <dxf/>
    </rfmt>
    <rfmt sheetId="2" sqref="CT805" start="0" length="0">
      <dxf/>
    </rfmt>
    <rfmt sheetId="2" sqref="CU805" start="0" length="0">
      <dxf/>
    </rfmt>
    <rfmt sheetId="2" sqref="CV805" start="0" length="0">
      <dxf/>
    </rfmt>
    <rfmt sheetId="2" sqref="CW805" start="0" length="0">
      <dxf/>
    </rfmt>
    <rfmt sheetId="2" sqref="CX805" start="0" length="0">
      <dxf/>
    </rfmt>
    <rfmt sheetId="2" sqref="CY805" start="0" length="0">
      <dxf/>
    </rfmt>
    <rfmt sheetId="2" sqref="CZ805" start="0" length="0">
      <dxf/>
    </rfmt>
    <rfmt sheetId="2" sqref="DA805" start="0" length="0">
      <dxf/>
    </rfmt>
    <rfmt sheetId="2" sqref="DB805" start="0" length="0">
      <dxf/>
    </rfmt>
    <rfmt sheetId="2" sqref="DC805" start="0" length="0">
      <dxf/>
    </rfmt>
    <rfmt sheetId="2" sqref="DD805" start="0" length="0">
      <dxf/>
    </rfmt>
    <rfmt sheetId="2" sqref="DE805" start="0" length="0">
      <dxf/>
    </rfmt>
    <rfmt sheetId="2" sqref="DF805" start="0" length="0">
      <dxf/>
    </rfmt>
    <rfmt sheetId="2" sqref="DG805" start="0" length="0">
      <dxf/>
    </rfmt>
    <rfmt sheetId="2" sqref="DH805" start="0" length="0">
      <dxf/>
    </rfmt>
    <rfmt sheetId="2" sqref="DI805" start="0" length="0">
      <dxf/>
    </rfmt>
    <rfmt sheetId="2" sqref="DJ805" start="0" length="0">
      <dxf/>
    </rfmt>
    <rfmt sheetId="2" sqref="DK805" start="0" length="0">
      <dxf/>
    </rfmt>
    <rfmt sheetId="2" sqref="DL805" start="0" length="0">
      <dxf/>
    </rfmt>
    <rfmt sheetId="2" sqref="DM805" start="0" length="0">
      <dxf/>
    </rfmt>
    <rfmt sheetId="2" sqref="DN805" start="0" length="0">
      <dxf/>
    </rfmt>
    <rfmt sheetId="2" sqref="DO805" start="0" length="0">
      <dxf/>
    </rfmt>
    <rfmt sheetId="2" sqref="DP805" start="0" length="0">
      <dxf/>
    </rfmt>
    <rfmt sheetId="2" sqref="DQ805" start="0" length="0">
      <dxf/>
    </rfmt>
    <rfmt sheetId="2" sqref="DR805" start="0" length="0">
      <dxf/>
    </rfmt>
    <rfmt sheetId="2" sqref="DS805" start="0" length="0">
      <dxf/>
    </rfmt>
    <rfmt sheetId="2" sqref="DT805" start="0" length="0">
      <dxf/>
    </rfmt>
    <rfmt sheetId="2" sqref="DU805" start="0" length="0">
      <dxf/>
    </rfmt>
    <rfmt sheetId="2" sqref="DV805" start="0" length="0">
      <dxf/>
    </rfmt>
    <rfmt sheetId="2" sqref="DW805" start="0" length="0">
      <dxf/>
    </rfmt>
    <rfmt sheetId="2" sqref="DX805" start="0" length="0">
      <dxf/>
    </rfmt>
    <rfmt sheetId="2" sqref="DY805" start="0" length="0">
      <dxf/>
    </rfmt>
    <rfmt sheetId="2" sqref="DZ805" start="0" length="0">
      <dxf/>
    </rfmt>
    <rfmt sheetId="2" sqref="EA805" start="0" length="0">
      <dxf/>
    </rfmt>
    <rfmt sheetId="2" sqref="EB805" start="0" length="0">
      <dxf/>
    </rfmt>
    <rfmt sheetId="2" sqref="EC805" start="0" length="0">
      <dxf/>
    </rfmt>
    <rfmt sheetId="2" sqref="ED805" start="0" length="0">
      <dxf/>
    </rfmt>
    <rfmt sheetId="2" sqref="EE805" start="0" length="0">
      <dxf/>
    </rfmt>
    <rfmt sheetId="2" sqref="EF805" start="0" length="0">
      <dxf/>
    </rfmt>
    <rfmt sheetId="2" sqref="EG805" start="0" length="0">
      <dxf/>
    </rfmt>
    <rfmt sheetId="2" sqref="EH805" start="0" length="0">
      <dxf/>
    </rfmt>
    <rfmt sheetId="2" sqref="EI805" start="0" length="0">
      <dxf/>
    </rfmt>
    <rfmt sheetId="2" sqref="EJ805" start="0" length="0">
      <dxf/>
    </rfmt>
    <rfmt sheetId="2" sqref="EK805" start="0" length="0">
      <dxf/>
    </rfmt>
    <rfmt sheetId="2" sqref="EL805" start="0" length="0">
      <dxf/>
    </rfmt>
    <rfmt sheetId="2" sqref="EM805" start="0" length="0">
      <dxf/>
    </rfmt>
    <rfmt sheetId="2" sqref="EN805" start="0" length="0">
      <dxf/>
    </rfmt>
    <rfmt sheetId="2" sqref="EO805" start="0" length="0">
      <dxf/>
    </rfmt>
    <rfmt sheetId="2" sqref="EP805" start="0" length="0">
      <dxf/>
    </rfmt>
    <rfmt sheetId="2" sqref="EQ805" start="0" length="0">
      <dxf/>
    </rfmt>
    <rfmt sheetId="2" sqref="ER805" start="0" length="0">
      <dxf/>
    </rfmt>
    <rfmt sheetId="2" sqref="ES805" start="0" length="0">
      <dxf/>
    </rfmt>
    <rfmt sheetId="2" sqref="ET805" start="0" length="0">
      <dxf/>
    </rfmt>
    <rfmt sheetId="2" sqref="EU805" start="0" length="0">
      <dxf/>
    </rfmt>
    <rfmt sheetId="2" sqref="EV805" start="0" length="0">
      <dxf/>
    </rfmt>
    <rfmt sheetId="2" sqref="EW805" start="0" length="0">
      <dxf/>
    </rfmt>
    <rfmt sheetId="2" sqref="EX805" start="0" length="0">
      <dxf/>
    </rfmt>
    <rfmt sheetId="2" sqref="EY805" start="0" length="0">
      <dxf/>
    </rfmt>
    <rfmt sheetId="2" sqref="EZ805" start="0" length="0">
      <dxf/>
    </rfmt>
    <rfmt sheetId="2" sqref="FA805" start="0" length="0">
      <dxf/>
    </rfmt>
    <rfmt sheetId="2" sqref="FB805" start="0" length="0">
      <dxf/>
    </rfmt>
    <rfmt sheetId="2" sqref="FC805" start="0" length="0">
      <dxf/>
    </rfmt>
    <rfmt sheetId="2" sqref="FD805" start="0" length="0">
      <dxf/>
    </rfmt>
    <rfmt sheetId="2" sqref="FE805" start="0" length="0">
      <dxf/>
    </rfmt>
    <rfmt sheetId="2" sqref="FF805" start="0" length="0">
      <dxf/>
    </rfmt>
    <rfmt sheetId="2" sqref="FG805" start="0" length="0">
      <dxf/>
    </rfmt>
    <rfmt sheetId="2" sqref="FH805" start="0" length="0">
      <dxf/>
    </rfmt>
    <rfmt sheetId="2" sqref="FI805" start="0" length="0">
      <dxf/>
    </rfmt>
    <rfmt sheetId="2" sqref="FJ805" start="0" length="0">
      <dxf/>
    </rfmt>
    <rfmt sheetId="2" sqref="FK805" start="0" length="0">
      <dxf/>
    </rfmt>
    <rfmt sheetId="2" sqref="FL805" start="0" length="0">
      <dxf/>
    </rfmt>
    <rfmt sheetId="2" sqref="FM805" start="0" length="0">
      <dxf/>
    </rfmt>
    <rfmt sheetId="2" sqref="FN805" start="0" length="0">
      <dxf/>
    </rfmt>
    <rfmt sheetId="2" sqref="FO805" start="0" length="0">
      <dxf/>
    </rfmt>
    <rfmt sheetId="2" sqref="FP805" start="0" length="0">
      <dxf/>
    </rfmt>
    <rfmt sheetId="2" sqref="FQ805" start="0" length="0">
      <dxf/>
    </rfmt>
    <rfmt sheetId="2" sqref="FR805" start="0" length="0">
      <dxf/>
    </rfmt>
    <rfmt sheetId="2" sqref="FS805" start="0" length="0">
      <dxf/>
    </rfmt>
    <rfmt sheetId="2" sqref="FT805" start="0" length="0">
      <dxf/>
    </rfmt>
    <rfmt sheetId="2" sqref="FU805" start="0" length="0">
      <dxf/>
    </rfmt>
    <rfmt sheetId="2" sqref="FV805" start="0" length="0">
      <dxf/>
    </rfmt>
    <rfmt sheetId="2" sqref="FW805" start="0" length="0">
      <dxf/>
    </rfmt>
    <rfmt sheetId="2" sqref="FX805" start="0" length="0">
      <dxf/>
    </rfmt>
    <rfmt sheetId="2" sqref="FY805" start="0" length="0">
      <dxf/>
    </rfmt>
    <rfmt sheetId="2" sqref="FZ805" start="0" length="0">
      <dxf/>
    </rfmt>
    <rfmt sheetId="2" sqref="GA805" start="0" length="0">
      <dxf/>
    </rfmt>
    <rfmt sheetId="2" sqref="GB805" start="0" length="0">
      <dxf/>
    </rfmt>
    <rfmt sheetId="2" sqref="GC805" start="0" length="0">
      <dxf/>
    </rfmt>
    <rfmt sheetId="2" sqref="GD805" start="0" length="0">
      <dxf/>
    </rfmt>
    <rfmt sheetId="2" sqref="GE805" start="0" length="0">
      <dxf/>
    </rfmt>
    <rfmt sheetId="2" sqref="GF805" start="0" length="0">
      <dxf/>
    </rfmt>
    <rfmt sheetId="2" sqref="GG805" start="0" length="0">
      <dxf/>
    </rfmt>
    <rfmt sheetId="2" sqref="GH805" start="0" length="0">
      <dxf/>
    </rfmt>
    <rfmt sheetId="2" sqref="GI805" start="0" length="0">
      <dxf/>
    </rfmt>
    <rfmt sheetId="2" sqref="GJ805" start="0" length="0">
      <dxf/>
    </rfmt>
    <rfmt sheetId="2" sqref="GK805" start="0" length="0">
      <dxf/>
    </rfmt>
    <rfmt sheetId="2" sqref="GL805" start="0" length="0">
      <dxf/>
    </rfmt>
    <rfmt sheetId="2" sqref="GM805" start="0" length="0">
      <dxf/>
    </rfmt>
    <rfmt sheetId="2" sqref="GN805" start="0" length="0">
      <dxf/>
    </rfmt>
    <rfmt sheetId="2" sqref="GO805" start="0" length="0">
      <dxf/>
    </rfmt>
    <rfmt sheetId="2" sqref="GP805" start="0" length="0">
      <dxf/>
    </rfmt>
    <rfmt sheetId="2" sqref="GQ805" start="0" length="0">
      <dxf/>
    </rfmt>
    <rfmt sheetId="2" sqref="GR805" start="0" length="0">
      <dxf/>
    </rfmt>
    <rfmt sheetId="2" sqref="GS805" start="0" length="0">
      <dxf/>
    </rfmt>
    <rfmt sheetId="2" sqref="GT805" start="0" length="0">
      <dxf/>
    </rfmt>
    <rfmt sheetId="2" sqref="GU805" start="0" length="0">
      <dxf/>
    </rfmt>
    <rfmt sheetId="2" sqref="GV805" start="0" length="0">
      <dxf/>
    </rfmt>
    <rfmt sheetId="2" sqref="GW805" start="0" length="0">
      <dxf/>
    </rfmt>
    <rfmt sheetId="2" sqref="GX805" start="0" length="0">
      <dxf/>
    </rfmt>
    <rfmt sheetId="2" sqref="GY805" start="0" length="0">
      <dxf/>
    </rfmt>
    <rfmt sheetId="2" sqref="GZ805" start="0" length="0">
      <dxf/>
    </rfmt>
    <rfmt sheetId="2" sqref="HA805" start="0" length="0">
      <dxf/>
    </rfmt>
    <rfmt sheetId="2" sqref="HB805" start="0" length="0">
      <dxf/>
    </rfmt>
    <rfmt sheetId="2" sqref="HC805" start="0" length="0">
      <dxf/>
    </rfmt>
    <rfmt sheetId="2" sqref="HD805" start="0" length="0">
      <dxf/>
    </rfmt>
    <rfmt sheetId="2" sqref="HE805" start="0" length="0">
      <dxf/>
    </rfmt>
    <rfmt sheetId="2" sqref="HF805" start="0" length="0">
      <dxf/>
    </rfmt>
    <rfmt sheetId="2" sqref="HG805" start="0" length="0">
      <dxf/>
    </rfmt>
    <rfmt sheetId="2" sqref="HH805" start="0" length="0">
      <dxf/>
    </rfmt>
    <rfmt sheetId="2" sqref="HI805" start="0" length="0">
      <dxf/>
    </rfmt>
    <rfmt sheetId="2" sqref="HJ805" start="0" length="0">
      <dxf/>
    </rfmt>
    <rfmt sheetId="2" sqref="HK805" start="0" length="0">
      <dxf/>
    </rfmt>
    <rfmt sheetId="2" sqref="HL805" start="0" length="0">
      <dxf/>
    </rfmt>
    <rfmt sheetId="2" sqref="HM805" start="0" length="0">
      <dxf/>
    </rfmt>
    <rfmt sheetId="2" sqref="HN805" start="0" length="0">
      <dxf/>
    </rfmt>
    <rfmt sheetId="2" sqref="HO805" start="0" length="0">
      <dxf/>
    </rfmt>
    <rfmt sheetId="2" sqref="HP805" start="0" length="0">
      <dxf/>
    </rfmt>
    <rfmt sheetId="2" sqref="HQ805" start="0" length="0">
      <dxf/>
    </rfmt>
    <rfmt sheetId="2" sqref="HR805" start="0" length="0">
      <dxf/>
    </rfmt>
    <rfmt sheetId="2" sqref="HS805" start="0" length="0">
      <dxf/>
    </rfmt>
    <rfmt sheetId="2" sqref="HT805" start="0" length="0">
      <dxf/>
    </rfmt>
    <rfmt sheetId="2" sqref="HU805" start="0" length="0">
      <dxf/>
    </rfmt>
    <rfmt sheetId="2" sqref="HV805" start="0" length="0">
      <dxf/>
    </rfmt>
    <rfmt sheetId="2" sqref="HW805" start="0" length="0">
      <dxf/>
    </rfmt>
    <rfmt sheetId="2" sqref="HX805" start="0" length="0">
      <dxf/>
    </rfmt>
    <rfmt sheetId="2" sqref="HY805" start="0" length="0">
      <dxf/>
    </rfmt>
    <rfmt sheetId="2" sqref="HZ805" start="0" length="0">
      <dxf/>
    </rfmt>
    <rfmt sheetId="2" sqref="IA805" start="0" length="0">
      <dxf/>
    </rfmt>
    <rfmt sheetId="2" sqref="IB805" start="0" length="0">
      <dxf/>
    </rfmt>
    <rfmt sheetId="2" sqref="IC805" start="0" length="0">
      <dxf/>
    </rfmt>
    <rfmt sheetId="2" sqref="ID805" start="0" length="0">
      <dxf/>
    </rfmt>
    <rfmt sheetId="2" sqref="IE805" start="0" length="0">
      <dxf/>
    </rfmt>
    <rfmt sheetId="2" sqref="IF805" start="0" length="0">
      <dxf/>
    </rfmt>
    <rfmt sheetId="2" sqref="IG805" start="0" length="0">
      <dxf/>
    </rfmt>
    <rfmt sheetId="2" sqref="IH805" start="0" length="0">
      <dxf/>
    </rfmt>
    <rfmt sheetId="2" sqref="II805" start="0" length="0">
      <dxf/>
    </rfmt>
    <rfmt sheetId="2" sqref="IJ805" start="0" length="0">
      <dxf/>
    </rfmt>
    <rfmt sheetId="2" sqref="IK805" start="0" length="0">
      <dxf/>
    </rfmt>
    <rfmt sheetId="2" sqref="IL805" start="0" length="0">
      <dxf/>
    </rfmt>
    <rfmt sheetId="2" sqref="IM805" start="0" length="0">
      <dxf/>
    </rfmt>
    <rfmt sheetId="2" sqref="IN805" start="0" length="0">
      <dxf/>
    </rfmt>
    <rfmt sheetId="2" sqref="IO805" start="0" length="0">
      <dxf/>
    </rfmt>
    <rfmt sheetId="2" sqref="IP805" start="0" length="0">
      <dxf/>
    </rfmt>
    <rfmt sheetId="2" sqref="IQ805" start="0" length="0">
      <dxf/>
    </rfmt>
    <rfmt sheetId="2" sqref="IR805" start="0" length="0">
      <dxf/>
    </rfmt>
    <rfmt sheetId="2" sqref="IS805" start="0" length="0">
      <dxf/>
    </rfmt>
    <rfmt sheetId="2" sqref="IT805" start="0" length="0">
      <dxf/>
    </rfmt>
    <rfmt sheetId="2" sqref="IU805" start="0" length="0">
      <dxf/>
    </rfmt>
    <rfmt sheetId="2" sqref="IV805" start="0" length="0">
      <dxf/>
    </rfmt>
    <rfmt sheetId="2" sqref="IW805" start="0" length="0">
      <dxf/>
    </rfmt>
    <rfmt sheetId="2" sqref="IX805" start="0" length="0">
      <dxf/>
    </rfmt>
    <rfmt sheetId="2" sqref="IY805" start="0" length="0">
      <dxf/>
    </rfmt>
    <rfmt sheetId="2" sqref="IZ805" start="0" length="0">
      <dxf/>
    </rfmt>
    <rfmt sheetId="2" sqref="JA805" start="0" length="0">
      <dxf/>
    </rfmt>
    <rfmt sheetId="2" sqref="JB805" start="0" length="0">
      <dxf/>
    </rfmt>
    <rfmt sheetId="2" sqref="JC805" start="0" length="0">
      <dxf/>
    </rfmt>
    <rfmt sheetId="2" sqref="JD805" start="0" length="0">
      <dxf/>
    </rfmt>
    <rfmt sheetId="2" sqref="JE805" start="0" length="0">
      <dxf/>
    </rfmt>
    <rfmt sheetId="2" sqref="JF805" start="0" length="0">
      <dxf/>
    </rfmt>
    <rfmt sheetId="2" sqref="JG805" start="0" length="0">
      <dxf/>
    </rfmt>
    <rfmt sheetId="2" sqref="JH805" start="0" length="0">
      <dxf/>
    </rfmt>
    <rfmt sheetId="2" sqref="JI805" start="0" length="0">
      <dxf/>
    </rfmt>
    <rfmt sheetId="2" sqref="JJ805" start="0" length="0">
      <dxf/>
    </rfmt>
    <rfmt sheetId="2" sqref="JK805" start="0" length="0">
      <dxf/>
    </rfmt>
    <rfmt sheetId="2" sqref="JL805" start="0" length="0">
      <dxf/>
    </rfmt>
    <rfmt sheetId="2" sqref="JM805" start="0" length="0">
      <dxf/>
    </rfmt>
    <rfmt sheetId="2" sqref="JN805" start="0" length="0">
      <dxf/>
    </rfmt>
    <rfmt sheetId="2" sqref="JO805" start="0" length="0">
      <dxf/>
    </rfmt>
    <rfmt sheetId="2" sqref="JP805" start="0" length="0">
      <dxf/>
    </rfmt>
    <rfmt sheetId="2" sqref="JQ805" start="0" length="0">
      <dxf/>
    </rfmt>
    <rfmt sheetId="2" sqref="JR805" start="0" length="0">
      <dxf/>
    </rfmt>
    <rfmt sheetId="2" sqref="JS805" start="0" length="0">
      <dxf/>
    </rfmt>
    <rfmt sheetId="2" sqref="JT805" start="0" length="0">
      <dxf/>
    </rfmt>
    <rfmt sheetId="2" sqref="JU805" start="0" length="0">
      <dxf/>
    </rfmt>
    <rfmt sheetId="2" sqref="JV805" start="0" length="0">
      <dxf/>
    </rfmt>
    <rfmt sheetId="2" sqref="JW805" start="0" length="0">
      <dxf/>
    </rfmt>
    <rfmt sheetId="2" sqref="JX805" start="0" length="0">
      <dxf/>
    </rfmt>
    <rfmt sheetId="2" sqref="JY805" start="0" length="0">
      <dxf/>
    </rfmt>
    <rfmt sheetId="2" sqref="JZ805" start="0" length="0">
      <dxf/>
    </rfmt>
    <rfmt sheetId="2" sqref="KA805" start="0" length="0">
      <dxf/>
    </rfmt>
    <rfmt sheetId="2" sqref="KB805" start="0" length="0">
      <dxf/>
    </rfmt>
    <rfmt sheetId="2" sqref="KC805" start="0" length="0">
      <dxf/>
    </rfmt>
    <rfmt sheetId="2" sqref="KD805" start="0" length="0">
      <dxf/>
    </rfmt>
    <rfmt sheetId="2" sqref="KE805" start="0" length="0">
      <dxf/>
    </rfmt>
    <rfmt sheetId="2" sqref="KF805" start="0" length="0">
      <dxf/>
    </rfmt>
    <rfmt sheetId="2" sqref="KG805" start="0" length="0">
      <dxf/>
    </rfmt>
    <rfmt sheetId="2" sqref="KH805" start="0" length="0">
      <dxf/>
    </rfmt>
    <rfmt sheetId="2" sqref="KI805" start="0" length="0">
      <dxf/>
    </rfmt>
    <rfmt sheetId="2" sqref="KJ805" start="0" length="0">
      <dxf/>
    </rfmt>
    <rfmt sheetId="2" sqref="KK805" start="0" length="0">
      <dxf/>
    </rfmt>
    <rfmt sheetId="2" sqref="KL805" start="0" length="0">
      <dxf/>
    </rfmt>
    <rfmt sheetId="2" sqref="KM805" start="0" length="0">
      <dxf/>
    </rfmt>
    <rfmt sheetId="2" sqref="KN805" start="0" length="0">
      <dxf/>
    </rfmt>
    <rfmt sheetId="2" sqref="KO805" start="0" length="0">
      <dxf/>
    </rfmt>
    <rfmt sheetId="2" sqref="KP805" start="0" length="0">
      <dxf/>
    </rfmt>
    <rfmt sheetId="2" sqref="KQ805" start="0" length="0">
      <dxf/>
    </rfmt>
    <rfmt sheetId="2" sqref="KR805" start="0" length="0">
      <dxf/>
    </rfmt>
    <rfmt sheetId="2" sqref="KS805" start="0" length="0">
      <dxf/>
    </rfmt>
    <rfmt sheetId="2" sqref="KT805" start="0" length="0">
      <dxf/>
    </rfmt>
    <rfmt sheetId="2" sqref="KU805" start="0" length="0">
      <dxf/>
    </rfmt>
    <rfmt sheetId="2" sqref="KV805" start="0" length="0">
      <dxf/>
    </rfmt>
    <rfmt sheetId="2" sqref="KW805" start="0" length="0">
      <dxf/>
    </rfmt>
    <rfmt sheetId="2" sqref="KX805" start="0" length="0">
      <dxf/>
    </rfmt>
    <rfmt sheetId="2" sqref="KY805" start="0" length="0">
      <dxf/>
    </rfmt>
    <rfmt sheetId="2" sqref="KZ805" start="0" length="0">
      <dxf/>
    </rfmt>
    <rfmt sheetId="2" sqref="LA805" start="0" length="0">
      <dxf/>
    </rfmt>
    <rfmt sheetId="2" sqref="LB805" start="0" length="0">
      <dxf/>
    </rfmt>
    <rfmt sheetId="2" sqref="LC805" start="0" length="0">
      <dxf/>
    </rfmt>
    <rfmt sheetId="2" sqref="LD805" start="0" length="0">
      <dxf/>
    </rfmt>
    <rfmt sheetId="2" sqref="LE805" start="0" length="0">
      <dxf/>
    </rfmt>
    <rfmt sheetId="2" sqref="LF805" start="0" length="0">
      <dxf/>
    </rfmt>
    <rfmt sheetId="2" sqref="LG805" start="0" length="0">
      <dxf/>
    </rfmt>
    <rfmt sheetId="2" sqref="LH805" start="0" length="0">
      <dxf/>
    </rfmt>
    <rfmt sheetId="2" sqref="LI805" start="0" length="0">
      <dxf/>
    </rfmt>
    <rfmt sheetId="2" sqref="LJ805" start="0" length="0">
      <dxf/>
    </rfmt>
    <rfmt sheetId="2" sqref="LK805" start="0" length="0">
      <dxf/>
    </rfmt>
    <rfmt sheetId="2" sqref="LL805" start="0" length="0">
      <dxf/>
    </rfmt>
    <rfmt sheetId="2" sqref="LM805" start="0" length="0">
      <dxf/>
    </rfmt>
    <rfmt sheetId="2" sqref="LN805" start="0" length="0">
      <dxf/>
    </rfmt>
    <rfmt sheetId="2" sqref="LO805" start="0" length="0">
      <dxf/>
    </rfmt>
    <rfmt sheetId="2" sqref="LP805" start="0" length="0">
      <dxf/>
    </rfmt>
    <rfmt sheetId="2" sqref="LQ805" start="0" length="0">
      <dxf/>
    </rfmt>
    <rfmt sheetId="2" sqref="LR805" start="0" length="0">
      <dxf/>
    </rfmt>
    <rfmt sheetId="2" sqref="LS805" start="0" length="0">
      <dxf/>
    </rfmt>
    <rfmt sheetId="2" sqref="LT805" start="0" length="0">
      <dxf/>
    </rfmt>
    <rfmt sheetId="2" sqref="LU805" start="0" length="0">
      <dxf/>
    </rfmt>
    <rfmt sheetId="2" sqref="LV805" start="0" length="0">
      <dxf/>
    </rfmt>
    <rfmt sheetId="2" sqref="LW805" start="0" length="0">
      <dxf/>
    </rfmt>
    <rfmt sheetId="2" sqref="LX805" start="0" length="0">
      <dxf/>
    </rfmt>
    <rfmt sheetId="2" sqref="LY805" start="0" length="0">
      <dxf/>
    </rfmt>
    <rfmt sheetId="2" sqref="LZ805" start="0" length="0">
      <dxf/>
    </rfmt>
    <rfmt sheetId="2" sqref="MA805" start="0" length="0">
      <dxf/>
    </rfmt>
    <rfmt sheetId="2" sqref="MB805" start="0" length="0">
      <dxf/>
    </rfmt>
  </rrc>
  <rcc rId="2685" sId="2" numFmtId="19">
    <oc r="B805">
      <v>46285</v>
    </oc>
    <nc r="B805">
      <v>46287</v>
    </nc>
  </rcc>
  <rcc rId="2686" sId="2" numFmtId="19">
    <oc r="B806">
      <v>46289</v>
    </oc>
    <nc r="B806">
      <v>46294</v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'IPAHQ(TANK)-中科'!$A$2:$S$906</formula>
    <oldFormula>'IPAHQ(TANK)-中科'!$A$2:$S$906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'IPAHQ(TANK)-南科'!$A$2:$S$192</formula>
    <oldFormula>'IPAHQ(TANK)-南科'!$A$2:$S$192</oldFormula>
  </rdn>
  <rcv guid="{8578D927-8BDE-4C99-A2DB-3E44DFA36FF2}" action="add"/>
</revisions>
</file>

<file path=xl/revisions/revisionLog1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99" sId="2" numFmtId="19">
    <oc r="B805">
      <v>46287</v>
    </oc>
    <nc r="B805">
      <v>46289</v>
    </nc>
  </rcc>
</revisions>
</file>

<file path=xl/revisions/revisionLog1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00" sId="2" numFmtId="34">
    <nc r="I762">
      <v>4390</v>
    </nc>
  </rcc>
  <rcc rId="2701" sId="2" numFmtId="34">
    <nc r="J762">
      <v>4230</v>
    </nc>
  </rcc>
</revisions>
</file>

<file path=xl/revisions/revisionLog1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02" sId="2" numFmtId="34">
    <nc r="I758">
      <v>4180</v>
    </nc>
  </rcc>
  <rcc rId="2703" sId="2" numFmtId="34">
    <nc r="J758">
      <v>4240</v>
    </nc>
  </rcc>
  <rcc rId="2704" sId="2">
    <oc r="K758">
      <f>J758/0.786</f>
    </oc>
    <nc r="K758">
      <f>J758/0.786+1</f>
    </nc>
  </rcc>
  <rrc rId="2705" sId="2" ref="A759:XFD759" action="deleteRow">
    <undo index="0" exp="ref" v="1" dr="H759" r="H764" sId="2"/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59:XFD759" start="0" length="0">
      <dxf>
        <font>
          <sz val="10"/>
          <name val="Arial"/>
          <scheme val="none"/>
        </font>
        <alignment horizontal="center" readingOrder="0"/>
      </dxf>
    </rfmt>
    <rcc rId="0" sId="2" dxf="1" numFmtId="19">
      <nc r="B759">
        <v>46277</v>
      </nc>
      <ndxf>
        <font>
          <strike/>
          <sz val="10"/>
          <color rgb="FFFF0000"/>
          <name val="Arial"/>
          <scheme val="none"/>
        </font>
        <numFmt numFmtId="176" formatCode="m/d;@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C759" t="inlineStr">
        <is>
          <t>26910E3191</t>
          <phoneticPr fontId="64529" type="noConversion"/>
        </is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D759">
        <f>IF($C759="", "", MID($C759, 6, IF(MID($C759, LEN($C759)-1, 1)="J", 3, 4)))</f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E759" t="inlineStr">
        <is>
          <t>15P5</t>
          <phoneticPr fontId="64529" type="noConversion"/>
        </is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F759">
        <v>20260907011</v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G759" t="inlineStr">
        <is>
          <t>4800384805/400</t>
          <phoneticPr fontId="64529" type="noConversion"/>
        </is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s="1" dxf="1">
      <nc r="H759">
        <f>H758-K759</f>
      </nc>
      <ndxf>
        <font>
          <sz val="10"/>
          <color rgb="FFFF0000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="1" sqref="I759" start="0" length="0">
      <dxf>
        <font>
          <sz val="10"/>
          <color rgb="FFFF0000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59" start="0" length="0">
      <dxf>
        <font>
          <sz val="10"/>
          <color rgb="FFFF0000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s="1" dxf="1">
      <nc r="K759">
        <f>J759/0.786</f>
      </nc>
      <ndxf>
        <font>
          <sz val="10"/>
          <color rgb="FFFF0000"/>
          <name val="Arial"/>
          <scheme val="none"/>
        </font>
        <numFmt numFmtId="178" formatCode="_-* #,##0_-;\-* #,##0_-;_-* &quot;-&quot;??_-;_-@_-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L759" t="inlineStr">
        <is>
          <t>取消出貨</t>
          <phoneticPr fontId="64529" type="noConversion"/>
        </is>
      </nc>
      <ndxf>
        <font>
          <b/>
          <sz val="10"/>
          <color rgb="FFFF0000"/>
          <name val="細明體"/>
          <scheme val="none"/>
        </font>
        <numFmt numFmtId="179" formatCode="0_);[Red]\(0\)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qref="M759" start="0" length="0">
      <dxf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 numFmtId="25">
      <nc r="N759">
        <v>0.75</v>
      </nc>
      <ndxf>
        <font>
          <strike/>
          <sz val="10"/>
          <name val="Arial"/>
          <scheme val="none"/>
        </font>
        <numFmt numFmtId="25" formatCode="hh:mm"/>
        <fill>
          <patternFill patternType="solid">
            <bgColor theme="6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O759">
        <f>IF($C759="","",DATE(2000+LEFT($C759,2), HEX2DEC(MID($C759,3,1)), MID($C759,4,2)))</f>
      </nc>
      <ndxf>
        <numFmt numFmtId="176" formatCode="m/d;@"/>
      </ndxf>
    </rcc>
    <rcc rId="0" sId="2" dxf="1">
      <nc r="P759">
        <f>DATE(YEAR(O759)+1,MONTH(O759),DAY(O759))-1</f>
      </nc>
      <ndxf>
        <font>
          <sz val="10"/>
          <color auto="1"/>
          <name val="Arial"/>
          <scheme val="none"/>
        </font>
        <numFmt numFmtId="177" formatCode="m/d/yyyy"/>
      </ndxf>
    </rcc>
  </rrc>
  <rrc rId="2706" sId="2" ref="A760:XFD760" action="deleteRow">
    <undo index="0" exp="ref" v="1" dr="H760" r="H762" sId="2"/>
    <undo index="0" exp="area" ref3D="1" dr="$A$1:$A$1048576" dn="Z_F261CC3E_BBAF_4421_92E0_E43167440BFB_.wvu.Cols" sId="2"/>
    <undo index="0" exp="area" ref3D="1" dr="$A$1:$A$1048576" dn="Z_F607B316_DD6D_4909_B40C_8E7F3D6FB597_.wvu.Cols" sId="2"/>
    <undo index="0" exp="area" ref3D="1" dr="$A$1:$A$1048576" dn="Z_8578D927_8BDE_4C99_A2DB_3E44DFA36FF2_.wvu.Cols" sId="2"/>
    <undo index="0" exp="area" ref3D="1" dr="$A$1:$A$1048576" dn="Z_D108A94F_96BE_4B2E_9408_7CE19DC55699_.wvu.Cols" sId="2"/>
    <undo index="0" exp="area" ref3D="1" dr="$A$1:$A$1048576" dn="Z_5AFECFD9_E8A5_469F_BA7F_E625784BB00E_.wvu.Cols" sId="2"/>
    <rfmt sheetId="2" xfDxf="1" sqref="A760:XFD760" start="0" length="0">
      <dxf>
        <font>
          <sz val="10"/>
          <name val="Arial"/>
          <scheme val="none"/>
        </font>
        <alignment horizontal="center" readingOrder="0"/>
      </dxf>
    </rfmt>
    <rfmt sheetId="2" sqref="A760" start="0" length="0">
      <dxf>
        <numFmt numFmtId="176" formatCode="m/d;@"/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 numFmtId="19">
      <nc r="B760">
        <v>46277</v>
      </nc>
      <ndxf>
        <font>
          <strike/>
          <sz val="10"/>
          <color rgb="FFFF0000"/>
          <name val="Arial"/>
          <scheme val="none"/>
        </font>
        <numFmt numFmtId="176" formatCode="m/d;@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C760" t="inlineStr">
        <is>
          <t>26910E3061</t>
          <phoneticPr fontId="8522" type="noConversion"/>
        </is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D760">
        <f>IF($C760="", "", MID($C760, 6, IF(MID($C760, LEN($C760)-1, 1)="J", 3, 4)))</f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E760" t="inlineStr">
        <is>
          <t>15P6</t>
          <phoneticPr fontId="8522" type="noConversion"/>
        </is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F760">
        <v>20260907025</v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G760" t="inlineStr">
        <is>
          <t>4800384805/300</t>
          <phoneticPr fontId="8522" type="noConversion"/>
        </is>
      </nc>
      <ndxf>
        <font>
          <strike/>
          <sz val="10"/>
          <color rgb="FFFF0000"/>
          <name val="Arial"/>
          <scheme val="none"/>
        </font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s="1" dxf="1">
      <nc r="H760">
        <f>H759-K760</f>
      </nc>
      <ndxf>
        <font>
          <sz val="10"/>
          <color rgb="FFFF0000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="1" sqref="I760" start="0" length="0">
      <dxf>
        <font>
          <sz val="10"/>
          <color rgb="FFFF0000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2" s="1" sqref="J760" start="0" length="0">
      <dxf>
        <font>
          <sz val="10"/>
          <color rgb="FFFF0000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s="1" dxf="1">
      <nc r="K760">
        <f>J760/0.786</f>
      </nc>
      <ndxf>
        <font>
          <sz val="10"/>
          <color rgb="FFFF0000"/>
          <name val="Arial"/>
          <scheme val="none"/>
        </font>
        <numFmt numFmtId="178" formatCode="_-* #,##0_-;\-* #,##0_-;_-* &quot;-&quot;??_-;_-@_-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L760" t="inlineStr">
        <is>
          <t>取消出貨</t>
          <phoneticPr fontId="8522" type="noConversion"/>
        </is>
      </nc>
      <ndxf>
        <font>
          <b/>
          <sz val="10"/>
          <color rgb="FFFF0000"/>
          <name val="細明體"/>
          <scheme val="none"/>
        </font>
        <numFmt numFmtId="179" formatCode="0_);[Red]\(0\)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2" sqref="M760" start="0" length="0">
      <dxf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2" dxf="1" numFmtId="25">
      <nc r="N760">
        <v>0.66666666666666663</v>
      </nc>
      <ndxf>
        <font>
          <strike/>
          <sz val="10"/>
          <name val="Arial"/>
          <scheme val="none"/>
        </font>
        <numFmt numFmtId="25" formatCode="hh:mm"/>
        <fill>
          <patternFill patternType="solid">
            <bgColor theme="8" tint="0.59999389629810485"/>
          </patternFill>
        </fill>
        <alignment shrinkToFit="1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2" dxf="1">
      <nc r="O760">
        <f>IF($C760="","",DATE(2000+LEFT($C760,2), HEX2DEC(MID($C760,3,1)), MID($C760,4,2)))</f>
      </nc>
      <ndxf>
        <numFmt numFmtId="176" formatCode="m/d;@"/>
      </ndxf>
    </rcc>
    <rcc rId="0" sId="2" dxf="1">
      <nc r="P760">
        <f>DATE(YEAR(O760)+1,MONTH(O760),DAY(O760))-1</f>
      </nc>
      <ndxf>
        <font>
          <sz val="10"/>
          <color auto="1"/>
          <name val="Arial"/>
          <scheme val="none"/>
        </font>
        <numFmt numFmtId="177" formatCode="m/d/yyyy"/>
      </ndxf>
    </rcc>
    <rfmt sheetId="2" sqref="T760" start="0" length="0">
      <dxf/>
    </rfmt>
    <rfmt sheetId="2" sqref="U760" start="0" length="0">
      <dxf/>
    </rfmt>
    <rfmt sheetId="2" sqref="V760" start="0" length="0">
      <dxf/>
    </rfmt>
    <rfmt sheetId="2" sqref="W760" start="0" length="0">
      <dxf/>
    </rfmt>
    <rfmt sheetId="2" sqref="X760" start="0" length="0">
      <dxf/>
    </rfmt>
    <rfmt sheetId="2" sqref="Y760" start="0" length="0">
      <dxf/>
    </rfmt>
    <rfmt sheetId="2" sqref="Z760" start="0" length="0">
      <dxf/>
    </rfmt>
    <rfmt sheetId="2" sqref="AA760" start="0" length="0">
      <dxf/>
    </rfmt>
    <rfmt sheetId="2" sqref="AB760" start="0" length="0">
      <dxf/>
    </rfmt>
    <rfmt sheetId="2" sqref="AC760" start="0" length="0">
      <dxf/>
    </rfmt>
    <rfmt sheetId="2" sqref="AD760" start="0" length="0">
      <dxf/>
    </rfmt>
    <rfmt sheetId="2" sqref="AE760" start="0" length="0">
      <dxf/>
    </rfmt>
    <rfmt sheetId="2" sqref="AF760" start="0" length="0">
      <dxf/>
    </rfmt>
    <rfmt sheetId="2" sqref="AG760" start="0" length="0">
      <dxf/>
    </rfmt>
    <rfmt sheetId="2" sqref="AH760" start="0" length="0">
      <dxf/>
    </rfmt>
    <rfmt sheetId="2" sqref="AI760" start="0" length="0">
      <dxf/>
    </rfmt>
    <rfmt sheetId="2" sqref="AJ760" start="0" length="0">
      <dxf/>
    </rfmt>
    <rfmt sheetId="2" sqref="AK760" start="0" length="0">
      <dxf/>
    </rfmt>
    <rfmt sheetId="2" sqref="AL760" start="0" length="0">
      <dxf/>
    </rfmt>
    <rfmt sheetId="2" sqref="AM760" start="0" length="0">
      <dxf/>
    </rfmt>
    <rfmt sheetId="2" sqref="AN760" start="0" length="0">
      <dxf/>
    </rfmt>
    <rfmt sheetId="2" sqref="AO760" start="0" length="0">
      <dxf/>
    </rfmt>
    <rfmt sheetId="2" sqref="AP760" start="0" length="0">
      <dxf/>
    </rfmt>
    <rfmt sheetId="2" sqref="AQ760" start="0" length="0">
      <dxf/>
    </rfmt>
    <rfmt sheetId="2" sqref="AR760" start="0" length="0">
      <dxf/>
    </rfmt>
    <rfmt sheetId="2" sqref="AS760" start="0" length="0">
      <dxf/>
    </rfmt>
    <rfmt sheetId="2" sqref="AT760" start="0" length="0">
      <dxf/>
    </rfmt>
    <rfmt sheetId="2" sqref="AU760" start="0" length="0">
      <dxf/>
    </rfmt>
    <rfmt sheetId="2" sqref="AV760" start="0" length="0">
      <dxf/>
    </rfmt>
    <rfmt sheetId="2" sqref="AW760" start="0" length="0">
      <dxf/>
    </rfmt>
    <rfmt sheetId="2" sqref="AX760" start="0" length="0">
      <dxf/>
    </rfmt>
    <rfmt sheetId="2" sqref="AY760" start="0" length="0">
      <dxf/>
    </rfmt>
    <rfmt sheetId="2" sqref="AZ760" start="0" length="0">
      <dxf/>
    </rfmt>
    <rfmt sheetId="2" sqref="BA760" start="0" length="0">
      <dxf/>
    </rfmt>
    <rfmt sheetId="2" sqref="BB760" start="0" length="0">
      <dxf/>
    </rfmt>
    <rfmt sheetId="2" sqref="BC760" start="0" length="0">
      <dxf/>
    </rfmt>
    <rfmt sheetId="2" sqref="BD760" start="0" length="0">
      <dxf/>
    </rfmt>
    <rfmt sheetId="2" sqref="BE760" start="0" length="0">
      <dxf/>
    </rfmt>
    <rfmt sheetId="2" sqref="BF760" start="0" length="0">
      <dxf/>
    </rfmt>
    <rfmt sheetId="2" sqref="BG760" start="0" length="0">
      <dxf/>
    </rfmt>
    <rfmt sheetId="2" sqref="BH760" start="0" length="0">
      <dxf/>
    </rfmt>
    <rfmt sheetId="2" sqref="BI760" start="0" length="0">
      <dxf/>
    </rfmt>
    <rfmt sheetId="2" sqref="BJ760" start="0" length="0">
      <dxf/>
    </rfmt>
    <rfmt sheetId="2" sqref="BK760" start="0" length="0">
      <dxf/>
    </rfmt>
    <rfmt sheetId="2" sqref="BL760" start="0" length="0">
      <dxf/>
    </rfmt>
    <rfmt sheetId="2" sqref="BM760" start="0" length="0">
      <dxf/>
    </rfmt>
    <rfmt sheetId="2" sqref="BN760" start="0" length="0">
      <dxf/>
    </rfmt>
    <rfmt sheetId="2" sqref="BO760" start="0" length="0">
      <dxf/>
    </rfmt>
    <rfmt sheetId="2" sqref="BP760" start="0" length="0">
      <dxf/>
    </rfmt>
    <rfmt sheetId="2" sqref="BQ760" start="0" length="0">
      <dxf/>
    </rfmt>
    <rfmt sheetId="2" sqref="BR760" start="0" length="0">
      <dxf/>
    </rfmt>
    <rfmt sheetId="2" sqref="BS760" start="0" length="0">
      <dxf/>
    </rfmt>
    <rfmt sheetId="2" sqref="BT760" start="0" length="0">
      <dxf/>
    </rfmt>
    <rfmt sheetId="2" sqref="BU760" start="0" length="0">
      <dxf/>
    </rfmt>
    <rfmt sheetId="2" sqref="BV760" start="0" length="0">
      <dxf/>
    </rfmt>
    <rfmt sheetId="2" sqref="BW760" start="0" length="0">
      <dxf/>
    </rfmt>
    <rfmt sheetId="2" sqref="BX760" start="0" length="0">
      <dxf/>
    </rfmt>
    <rfmt sheetId="2" sqref="BY760" start="0" length="0">
      <dxf/>
    </rfmt>
    <rfmt sheetId="2" sqref="BZ760" start="0" length="0">
      <dxf/>
    </rfmt>
    <rfmt sheetId="2" sqref="CA760" start="0" length="0">
      <dxf/>
    </rfmt>
    <rfmt sheetId="2" sqref="CB760" start="0" length="0">
      <dxf/>
    </rfmt>
    <rfmt sheetId="2" sqref="CC760" start="0" length="0">
      <dxf/>
    </rfmt>
    <rfmt sheetId="2" sqref="CD760" start="0" length="0">
      <dxf/>
    </rfmt>
    <rfmt sheetId="2" sqref="CE760" start="0" length="0">
      <dxf/>
    </rfmt>
    <rfmt sheetId="2" sqref="CF760" start="0" length="0">
      <dxf/>
    </rfmt>
    <rfmt sheetId="2" sqref="CG760" start="0" length="0">
      <dxf/>
    </rfmt>
    <rfmt sheetId="2" sqref="CH760" start="0" length="0">
      <dxf/>
    </rfmt>
    <rfmt sheetId="2" sqref="CI760" start="0" length="0">
      <dxf/>
    </rfmt>
    <rfmt sheetId="2" sqref="CJ760" start="0" length="0">
      <dxf/>
    </rfmt>
    <rfmt sheetId="2" sqref="CK760" start="0" length="0">
      <dxf/>
    </rfmt>
    <rfmt sheetId="2" sqref="CL760" start="0" length="0">
      <dxf/>
    </rfmt>
    <rfmt sheetId="2" sqref="CM760" start="0" length="0">
      <dxf/>
    </rfmt>
    <rfmt sheetId="2" sqref="CN760" start="0" length="0">
      <dxf/>
    </rfmt>
    <rfmt sheetId="2" sqref="CO760" start="0" length="0">
      <dxf/>
    </rfmt>
    <rfmt sheetId="2" sqref="CP760" start="0" length="0">
      <dxf/>
    </rfmt>
    <rfmt sheetId="2" sqref="CQ760" start="0" length="0">
      <dxf/>
    </rfmt>
    <rfmt sheetId="2" sqref="CR760" start="0" length="0">
      <dxf/>
    </rfmt>
    <rfmt sheetId="2" sqref="CS760" start="0" length="0">
      <dxf/>
    </rfmt>
    <rfmt sheetId="2" sqref="CT760" start="0" length="0">
      <dxf/>
    </rfmt>
    <rfmt sheetId="2" sqref="CU760" start="0" length="0">
      <dxf/>
    </rfmt>
    <rfmt sheetId="2" sqref="CV760" start="0" length="0">
      <dxf/>
    </rfmt>
    <rfmt sheetId="2" sqref="CW760" start="0" length="0">
      <dxf/>
    </rfmt>
    <rfmt sheetId="2" sqref="CX760" start="0" length="0">
      <dxf/>
    </rfmt>
    <rfmt sheetId="2" sqref="CY760" start="0" length="0">
      <dxf/>
    </rfmt>
    <rfmt sheetId="2" sqref="CZ760" start="0" length="0">
      <dxf/>
    </rfmt>
    <rfmt sheetId="2" sqref="DA760" start="0" length="0">
      <dxf/>
    </rfmt>
    <rfmt sheetId="2" sqref="DB760" start="0" length="0">
      <dxf/>
    </rfmt>
    <rfmt sheetId="2" sqref="DC760" start="0" length="0">
      <dxf/>
    </rfmt>
    <rfmt sheetId="2" sqref="DD760" start="0" length="0">
      <dxf/>
    </rfmt>
    <rfmt sheetId="2" sqref="DE760" start="0" length="0">
      <dxf/>
    </rfmt>
    <rfmt sheetId="2" sqref="DF760" start="0" length="0">
      <dxf/>
    </rfmt>
    <rfmt sheetId="2" sqref="DG760" start="0" length="0">
      <dxf/>
    </rfmt>
    <rfmt sheetId="2" sqref="DH760" start="0" length="0">
      <dxf/>
    </rfmt>
    <rfmt sheetId="2" sqref="DI760" start="0" length="0">
      <dxf/>
    </rfmt>
    <rfmt sheetId="2" sqref="DJ760" start="0" length="0">
      <dxf/>
    </rfmt>
    <rfmt sheetId="2" sqref="DK760" start="0" length="0">
      <dxf/>
    </rfmt>
    <rfmt sheetId="2" sqref="DL760" start="0" length="0">
      <dxf/>
    </rfmt>
    <rfmt sheetId="2" sqref="DM760" start="0" length="0">
      <dxf/>
    </rfmt>
    <rfmt sheetId="2" sqref="DN760" start="0" length="0">
      <dxf/>
    </rfmt>
    <rfmt sheetId="2" sqref="DO760" start="0" length="0">
      <dxf/>
    </rfmt>
    <rfmt sheetId="2" sqref="DP760" start="0" length="0">
      <dxf/>
    </rfmt>
    <rfmt sheetId="2" sqref="DQ760" start="0" length="0">
      <dxf/>
    </rfmt>
    <rfmt sheetId="2" sqref="DR760" start="0" length="0">
      <dxf/>
    </rfmt>
    <rfmt sheetId="2" sqref="DS760" start="0" length="0">
      <dxf/>
    </rfmt>
    <rfmt sheetId="2" sqref="DT760" start="0" length="0">
      <dxf/>
    </rfmt>
    <rfmt sheetId="2" sqref="DU760" start="0" length="0">
      <dxf/>
    </rfmt>
    <rfmt sheetId="2" sqref="DV760" start="0" length="0">
      <dxf/>
    </rfmt>
    <rfmt sheetId="2" sqref="DW760" start="0" length="0">
      <dxf/>
    </rfmt>
    <rfmt sheetId="2" sqref="DX760" start="0" length="0">
      <dxf/>
    </rfmt>
    <rfmt sheetId="2" sqref="DY760" start="0" length="0">
      <dxf/>
    </rfmt>
    <rfmt sheetId="2" sqref="DZ760" start="0" length="0">
      <dxf/>
    </rfmt>
    <rfmt sheetId="2" sqref="EA760" start="0" length="0">
      <dxf/>
    </rfmt>
    <rfmt sheetId="2" sqref="EB760" start="0" length="0">
      <dxf/>
    </rfmt>
    <rfmt sheetId="2" sqref="EC760" start="0" length="0">
      <dxf/>
    </rfmt>
    <rfmt sheetId="2" sqref="ED760" start="0" length="0">
      <dxf/>
    </rfmt>
    <rfmt sheetId="2" sqref="EE760" start="0" length="0">
      <dxf/>
    </rfmt>
    <rfmt sheetId="2" sqref="EF760" start="0" length="0">
      <dxf/>
    </rfmt>
    <rfmt sheetId="2" sqref="EG760" start="0" length="0">
      <dxf/>
    </rfmt>
    <rfmt sheetId="2" sqref="EH760" start="0" length="0">
      <dxf/>
    </rfmt>
    <rfmt sheetId="2" sqref="EI760" start="0" length="0">
      <dxf/>
    </rfmt>
    <rfmt sheetId="2" sqref="EJ760" start="0" length="0">
      <dxf/>
    </rfmt>
    <rfmt sheetId="2" sqref="EK760" start="0" length="0">
      <dxf/>
    </rfmt>
    <rfmt sheetId="2" sqref="EL760" start="0" length="0">
      <dxf/>
    </rfmt>
    <rfmt sheetId="2" sqref="EM760" start="0" length="0">
      <dxf/>
    </rfmt>
    <rfmt sheetId="2" sqref="EN760" start="0" length="0">
      <dxf/>
    </rfmt>
    <rfmt sheetId="2" sqref="EO760" start="0" length="0">
      <dxf/>
    </rfmt>
    <rfmt sheetId="2" sqref="EP760" start="0" length="0">
      <dxf/>
    </rfmt>
    <rfmt sheetId="2" sqref="EQ760" start="0" length="0">
      <dxf/>
    </rfmt>
    <rfmt sheetId="2" sqref="ER760" start="0" length="0">
      <dxf/>
    </rfmt>
    <rfmt sheetId="2" sqref="ES760" start="0" length="0">
      <dxf/>
    </rfmt>
    <rfmt sheetId="2" sqref="ET760" start="0" length="0">
      <dxf/>
    </rfmt>
    <rfmt sheetId="2" sqref="EU760" start="0" length="0">
      <dxf/>
    </rfmt>
    <rfmt sheetId="2" sqref="EV760" start="0" length="0">
      <dxf/>
    </rfmt>
    <rfmt sheetId="2" sqref="EW760" start="0" length="0">
      <dxf/>
    </rfmt>
    <rfmt sheetId="2" sqref="EX760" start="0" length="0">
      <dxf/>
    </rfmt>
    <rfmt sheetId="2" sqref="EY760" start="0" length="0">
      <dxf/>
    </rfmt>
    <rfmt sheetId="2" sqref="EZ760" start="0" length="0">
      <dxf/>
    </rfmt>
    <rfmt sheetId="2" sqref="FA760" start="0" length="0">
      <dxf/>
    </rfmt>
    <rfmt sheetId="2" sqref="FB760" start="0" length="0">
      <dxf/>
    </rfmt>
    <rfmt sheetId="2" sqref="FC760" start="0" length="0">
      <dxf/>
    </rfmt>
    <rfmt sheetId="2" sqref="FD760" start="0" length="0">
      <dxf/>
    </rfmt>
    <rfmt sheetId="2" sqref="FE760" start="0" length="0">
      <dxf/>
    </rfmt>
    <rfmt sheetId="2" sqref="FF760" start="0" length="0">
      <dxf/>
    </rfmt>
    <rfmt sheetId="2" sqref="FG760" start="0" length="0">
      <dxf/>
    </rfmt>
    <rfmt sheetId="2" sqref="FH760" start="0" length="0">
      <dxf/>
    </rfmt>
    <rfmt sheetId="2" sqref="FI760" start="0" length="0">
      <dxf/>
    </rfmt>
    <rfmt sheetId="2" sqref="FJ760" start="0" length="0">
      <dxf/>
    </rfmt>
    <rfmt sheetId="2" sqref="FK760" start="0" length="0">
      <dxf/>
    </rfmt>
    <rfmt sheetId="2" sqref="FL760" start="0" length="0">
      <dxf/>
    </rfmt>
    <rfmt sheetId="2" sqref="FM760" start="0" length="0">
      <dxf/>
    </rfmt>
    <rfmt sheetId="2" sqref="FN760" start="0" length="0">
      <dxf/>
    </rfmt>
    <rfmt sheetId="2" sqref="FO760" start="0" length="0">
      <dxf/>
    </rfmt>
    <rfmt sheetId="2" sqref="FP760" start="0" length="0">
      <dxf/>
    </rfmt>
    <rfmt sheetId="2" sqref="FQ760" start="0" length="0">
      <dxf/>
    </rfmt>
    <rfmt sheetId="2" sqref="FR760" start="0" length="0">
      <dxf/>
    </rfmt>
    <rfmt sheetId="2" sqref="FS760" start="0" length="0">
      <dxf/>
    </rfmt>
    <rfmt sheetId="2" sqref="FT760" start="0" length="0">
      <dxf/>
    </rfmt>
    <rfmt sheetId="2" sqref="FU760" start="0" length="0">
      <dxf/>
    </rfmt>
    <rfmt sheetId="2" sqref="FV760" start="0" length="0">
      <dxf/>
    </rfmt>
    <rfmt sheetId="2" sqref="FW760" start="0" length="0">
      <dxf/>
    </rfmt>
    <rfmt sheetId="2" sqref="FX760" start="0" length="0">
      <dxf/>
    </rfmt>
    <rfmt sheetId="2" sqref="FY760" start="0" length="0">
      <dxf/>
    </rfmt>
    <rfmt sheetId="2" sqref="FZ760" start="0" length="0">
      <dxf/>
    </rfmt>
    <rfmt sheetId="2" sqref="GA760" start="0" length="0">
      <dxf/>
    </rfmt>
    <rfmt sheetId="2" sqref="GB760" start="0" length="0">
      <dxf/>
    </rfmt>
    <rfmt sheetId="2" sqref="GC760" start="0" length="0">
      <dxf/>
    </rfmt>
    <rfmt sheetId="2" sqref="GD760" start="0" length="0">
      <dxf/>
    </rfmt>
    <rfmt sheetId="2" sqref="GE760" start="0" length="0">
      <dxf/>
    </rfmt>
    <rfmt sheetId="2" sqref="GF760" start="0" length="0">
      <dxf/>
    </rfmt>
    <rfmt sheetId="2" sqref="GG760" start="0" length="0">
      <dxf/>
    </rfmt>
    <rfmt sheetId="2" sqref="GH760" start="0" length="0">
      <dxf/>
    </rfmt>
    <rfmt sheetId="2" sqref="GI760" start="0" length="0">
      <dxf/>
    </rfmt>
    <rfmt sheetId="2" sqref="GJ760" start="0" length="0">
      <dxf/>
    </rfmt>
    <rfmt sheetId="2" sqref="GK760" start="0" length="0">
      <dxf/>
    </rfmt>
    <rfmt sheetId="2" sqref="GL760" start="0" length="0">
      <dxf/>
    </rfmt>
    <rfmt sheetId="2" sqref="GM760" start="0" length="0">
      <dxf/>
    </rfmt>
    <rfmt sheetId="2" sqref="GN760" start="0" length="0">
      <dxf/>
    </rfmt>
    <rfmt sheetId="2" sqref="GO760" start="0" length="0">
      <dxf/>
    </rfmt>
    <rfmt sheetId="2" sqref="GP760" start="0" length="0">
      <dxf/>
    </rfmt>
    <rfmt sheetId="2" sqref="GQ760" start="0" length="0">
      <dxf/>
    </rfmt>
    <rfmt sheetId="2" sqref="GR760" start="0" length="0">
      <dxf/>
    </rfmt>
    <rfmt sheetId="2" sqref="GS760" start="0" length="0">
      <dxf/>
    </rfmt>
    <rfmt sheetId="2" sqref="GT760" start="0" length="0">
      <dxf/>
    </rfmt>
    <rfmt sheetId="2" sqref="GU760" start="0" length="0">
      <dxf/>
    </rfmt>
    <rfmt sheetId="2" sqref="GV760" start="0" length="0">
      <dxf/>
    </rfmt>
    <rfmt sheetId="2" sqref="GW760" start="0" length="0">
      <dxf/>
    </rfmt>
    <rfmt sheetId="2" sqref="GX760" start="0" length="0">
      <dxf/>
    </rfmt>
    <rfmt sheetId="2" sqref="GY760" start="0" length="0">
      <dxf/>
    </rfmt>
    <rfmt sheetId="2" sqref="GZ760" start="0" length="0">
      <dxf/>
    </rfmt>
    <rfmt sheetId="2" sqref="HA760" start="0" length="0">
      <dxf/>
    </rfmt>
    <rfmt sheetId="2" sqref="HB760" start="0" length="0">
      <dxf/>
    </rfmt>
    <rfmt sheetId="2" sqref="HC760" start="0" length="0">
      <dxf/>
    </rfmt>
    <rfmt sheetId="2" sqref="HD760" start="0" length="0">
      <dxf/>
    </rfmt>
    <rfmt sheetId="2" sqref="HE760" start="0" length="0">
      <dxf/>
    </rfmt>
    <rfmt sheetId="2" sqref="HF760" start="0" length="0">
      <dxf/>
    </rfmt>
    <rfmt sheetId="2" sqref="HG760" start="0" length="0">
      <dxf/>
    </rfmt>
    <rfmt sheetId="2" sqref="HH760" start="0" length="0">
      <dxf/>
    </rfmt>
    <rfmt sheetId="2" sqref="HI760" start="0" length="0">
      <dxf/>
    </rfmt>
    <rfmt sheetId="2" sqref="HJ760" start="0" length="0">
      <dxf/>
    </rfmt>
    <rfmt sheetId="2" sqref="HK760" start="0" length="0">
      <dxf/>
    </rfmt>
    <rfmt sheetId="2" sqref="HL760" start="0" length="0">
      <dxf/>
    </rfmt>
    <rfmt sheetId="2" sqref="HM760" start="0" length="0">
      <dxf/>
    </rfmt>
    <rfmt sheetId="2" sqref="HN760" start="0" length="0">
      <dxf/>
    </rfmt>
    <rfmt sheetId="2" sqref="HO760" start="0" length="0">
      <dxf/>
    </rfmt>
    <rfmt sheetId="2" sqref="HP760" start="0" length="0">
      <dxf/>
    </rfmt>
    <rfmt sheetId="2" sqref="HQ760" start="0" length="0">
      <dxf/>
    </rfmt>
    <rfmt sheetId="2" sqref="HR760" start="0" length="0">
      <dxf/>
    </rfmt>
    <rfmt sheetId="2" sqref="HS760" start="0" length="0">
      <dxf/>
    </rfmt>
    <rfmt sheetId="2" sqref="HT760" start="0" length="0">
      <dxf/>
    </rfmt>
    <rfmt sheetId="2" sqref="HU760" start="0" length="0">
      <dxf/>
    </rfmt>
    <rfmt sheetId="2" sqref="HV760" start="0" length="0">
      <dxf/>
    </rfmt>
    <rfmt sheetId="2" sqref="HW760" start="0" length="0">
      <dxf/>
    </rfmt>
    <rfmt sheetId="2" sqref="HX760" start="0" length="0">
      <dxf/>
    </rfmt>
    <rfmt sheetId="2" sqref="HY760" start="0" length="0">
      <dxf/>
    </rfmt>
    <rfmt sheetId="2" sqref="HZ760" start="0" length="0">
      <dxf/>
    </rfmt>
    <rfmt sheetId="2" sqref="IA760" start="0" length="0">
      <dxf/>
    </rfmt>
    <rfmt sheetId="2" sqref="IB760" start="0" length="0">
      <dxf/>
    </rfmt>
    <rfmt sheetId="2" sqref="IC760" start="0" length="0">
      <dxf/>
    </rfmt>
    <rfmt sheetId="2" sqref="ID760" start="0" length="0">
      <dxf/>
    </rfmt>
    <rfmt sheetId="2" sqref="IE760" start="0" length="0">
      <dxf/>
    </rfmt>
    <rfmt sheetId="2" sqref="IF760" start="0" length="0">
      <dxf/>
    </rfmt>
    <rfmt sheetId="2" sqref="IG760" start="0" length="0">
      <dxf/>
    </rfmt>
    <rfmt sheetId="2" sqref="IH760" start="0" length="0">
      <dxf/>
    </rfmt>
    <rfmt sheetId="2" sqref="II760" start="0" length="0">
      <dxf/>
    </rfmt>
    <rfmt sheetId="2" sqref="IJ760" start="0" length="0">
      <dxf/>
    </rfmt>
    <rfmt sheetId="2" sqref="IK760" start="0" length="0">
      <dxf/>
    </rfmt>
    <rfmt sheetId="2" sqref="IL760" start="0" length="0">
      <dxf/>
    </rfmt>
    <rfmt sheetId="2" sqref="IM760" start="0" length="0">
      <dxf/>
    </rfmt>
    <rfmt sheetId="2" sqref="IN760" start="0" length="0">
      <dxf/>
    </rfmt>
    <rfmt sheetId="2" sqref="IO760" start="0" length="0">
      <dxf/>
    </rfmt>
    <rfmt sheetId="2" sqref="IP760" start="0" length="0">
      <dxf/>
    </rfmt>
    <rfmt sheetId="2" sqref="IQ760" start="0" length="0">
      <dxf/>
    </rfmt>
    <rfmt sheetId="2" sqref="IR760" start="0" length="0">
      <dxf/>
    </rfmt>
    <rfmt sheetId="2" sqref="IS760" start="0" length="0">
      <dxf/>
    </rfmt>
    <rfmt sheetId="2" sqref="IT760" start="0" length="0">
      <dxf/>
    </rfmt>
    <rfmt sheetId="2" sqref="IU760" start="0" length="0">
      <dxf/>
    </rfmt>
    <rfmt sheetId="2" sqref="IV760" start="0" length="0">
      <dxf/>
    </rfmt>
    <rfmt sheetId="2" sqref="IW760" start="0" length="0">
      <dxf/>
    </rfmt>
    <rfmt sheetId="2" sqref="IX760" start="0" length="0">
      <dxf/>
    </rfmt>
    <rfmt sheetId="2" sqref="IY760" start="0" length="0">
      <dxf/>
    </rfmt>
    <rfmt sheetId="2" sqref="IZ760" start="0" length="0">
      <dxf/>
    </rfmt>
    <rfmt sheetId="2" sqref="JA760" start="0" length="0">
      <dxf/>
    </rfmt>
    <rfmt sheetId="2" sqref="JB760" start="0" length="0">
      <dxf/>
    </rfmt>
    <rfmt sheetId="2" sqref="JC760" start="0" length="0">
      <dxf/>
    </rfmt>
    <rfmt sheetId="2" sqref="JD760" start="0" length="0">
      <dxf/>
    </rfmt>
    <rfmt sheetId="2" sqref="JE760" start="0" length="0">
      <dxf/>
    </rfmt>
    <rfmt sheetId="2" sqref="JF760" start="0" length="0">
      <dxf/>
    </rfmt>
    <rfmt sheetId="2" sqref="JG760" start="0" length="0">
      <dxf/>
    </rfmt>
    <rfmt sheetId="2" sqref="JH760" start="0" length="0">
      <dxf/>
    </rfmt>
    <rfmt sheetId="2" sqref="JI760" start="0" length="0">
      <dxf/>
    </rfmt>
    <rfmt sheetId="2" sqref="JJ760" start="0" length="0">
      <dxf/>
    </rfmt>
    <rfmt sheetId="2" sqref="JK760" start="0" length="0">
      <dxf/>
    </rfmt>
    <rfmt sheetId="2" sqref="JL760" start="0" length="0">
      <dxf/>
    </rfmt>
    <rfmt sheetId="2" sqref="JM760" start="0" length="0">
      <dxf/>
    </rfmt>
    <rfmt sheetId="2" sqref="JN760" start="0" length="0">
      <dxf/>
    </rfmt>
    <rfmt sheetId="2" sqref="JO760" start="0" length="0">
      <dxf/>
    </rfmt>
    <rfmt sheetId="2" sqref="JP760" start="0" length="0">
      <dxf/>
    </rfmt>
    <rfmt sheetId="2" sqref="JQ760" start="0" length="0">
      <dxf/>
    </rfmt>
    <rfmt sheetId="2" sqref="JR760" start="0" length="0">
      <dxf/>
    </rfmt>
    <rfmt sheetId="2" sqref="JS760" start="0" length="0">
      <dxf/>
    </rfmt>
    <rfmt sheetId="2" sqref="JT760" start="0" length="0">
      <dxf/>
    </rfmt>
    <rfmt sheetId="2" sqref="JU760" start="0" length="0">
      <dxf/>
    </rfmt>
    <rfmt sheetId="2" sqref="JV760" start="0" length="0">
      <dxf/>
    </rfmt>
    <rfmt sheetId="2" sqref="JW760" start="0" length="0">
      <dxf/>
    </rfmt>
    <rfmt sheetId="2" sqref="JX760" start="0" length="0">
      <dxf/>
    </rfmt>
    <rfmt sheetId="2" sqref="JY760" start="0" length="0">
      <dxf/>
    </rfmt>
    <rfmt sheetId="2" sqref="JZ760" start="0" length="0">
      <dxf/>
    </rfmt>
    <rfmt sheetId="2" sqref="KA760" start="0" length="0">
      <dxf/>
    </rfmt>
    <rfmt sheetId="2" sqref="KB760" start="0" length="0">
      <dxf/>
    </rfmt>
    <rfmt sheetId="2" sqref="KC760" start="0" length="0">
      <dxf/>
    </rfmt>
    <rfmt sheetId="2" sqref="KD760" start="0" length="0">
      <dxf/>
    </rfmt>
    <rfmt sheetId="2" sqref="KE760" start="0" length="0">
      <dxf/>
    </rfmt>
    <rfmt sheetId="2" sqref="KF760" start="0" length="0">
      <dxf/>
    </rfmt>
    <rfmt sheetId="2" sqref="KG760" start="0" length="0">
      <dxf/>
    </rfmt>
    <rfmt sheetId="2" sqref="KH760" start="0" length="0">
      <dxf/>
    </rfmt>
    <rfmt sheetId="2" sqref="KI760" start="0" length="0">
      <dxf/>
    </rfmt>
    <rfmt sheetId="2" sqref="KJ760" start="0" length="0">
      <dxf/>
    </rfmt>
    <rfmt sheetId="2" sqref="KK760" start="0" length="0">
      <dxf/>
    </rfmt>
    <rfmt sheetId="2" sqref="KL760" start="0" length="0">
      <dxf/>
    </rfmt>
    <rfmt sheetId="2" sqref="KM760" start="0" length="0">
      <dxf/>
    </rfmt>
    <rfmt sheetId="2" sqref="KN760" start="0" length="0">
      <dxf/>
    </rfmt>
    <rfmt sheetId="2" sqref="KO760" start="0" length="0">
      <dxf/>
    </rfmt>
    <rfmt sheetId="2" sqref="KP760" start="0" length="0">
      <dxf/>
    </rfmt>
    <rfmt sheetId="2" sqref="KQ760" start="0" length="0">
      <dxf/>
    </rfmt>
    <rfmt sheetId="2" sqref="KR760" start="0" length="0">
      <dxf/>
    </rfmt>
    <rfmt sheetId="2" sqref="KS760" start="0" length="0">
      <dxf/>
    </rfmt>
    <rfmt sheetId="2" sqref="KT760" start="0" length="0">
      <dxf/>
    </rfmt>
    <rfmt sheetId="2" sqref="KU760" start="0" length="0">
      <dxf/>
    </rfmt>
    <rfmt sheetId="2" sqref="KV760" start="0" length="0">
      <dxf/>
    </rfmt>
    <rfmt sheetId="2" sqref="KW760" start="0" length="0">
      <dxf/>
    </rfmt>
    <rfmt sheetId="2" sqref="KX760" start="0" length="0">
      <dxf/>
    </rfmt>
    <rfmt sheetId="2" sqref="KY760" start="0" length="0">
      <dxf/>
    </rfmt>
    <rfmt sheetId="2" sqref="KZ760" start="0" length="0">
      <dxf/>
    </rfmt>
    <rfmt sheetId="2" sqref="LA760" start="0" length="0">
      <dxf/>
    </rfmt>
    <rfmt sheetId="2" sqref="LB760" start="0" length="0">
      <dxf/>
    </rfmt>
    <rfmt sheetId="2" sqref="LC760" start="0" length="0">
      <dxf/>
    </rfmt>
    <rfmt sheetId="2" sqref="LD760" start="0" length="0">
      <dxf/>
    </rfmt>
    <rfmt sheetId="2" sqref="LE760" start="0" length="0">
      <dxf/>
    </rfmt>
    <rfmt sheetId="2" sqref="LF760" start="0" length="0">
      <dxf/>
    </rfmt>
    <rfmt sheetId="2" sqref="LG760" start="0" length="0">
      <dxf/>
    </rfmt>
    <rfmt sheetId="2" sqref="LH760" start="0" length="0">
      <dxf/>
    </rfmt>
    <rfmt sheetId="2" sqref="LI760" start="0" length="0">
      <dxf/>
    </rfmt>
    <rfmt sheetId="2" sqref="LJ760" start="0" length="0">
      <dxf/>
    </rfmt>
    <rfmt sheetId="2" sqref="LK760" start="0" length="0">
      <dxf/>
    </rfmt>
    <rfmt sheetId="2" sqref="LL760" start="0" length="0">
      <dxf/>
    </rfmt>
    <rfmt sheetId="2" sqref="LM760" start="0" length="0">
      <dxf/>
    </rfmt>
    <rfmt sheetId="2" sqref="LN760" start="0" length="0">
      <dxf/>
    </rfmt>
    <rfmt sheetId="2" sqref="LO760" start="0" length="0">
      <dxf/>
    </rfmt>
    <rfmt sheetId="2" sqref="LP760" start="0" length="0">
      <dxf/>
    </rfmt>
    <rfmt sheetId="2" sqref="LQ760" start="0" length="0">
      <dxf/>
    </rfmt>
    <rfmt sheetId="2" sqref="LR760" start="0" length="0">
      <dxf/>
    </rfmt>
    <rfmt sheetId="2" sqref="LS760" start="0" length="0">
      <dxf/>
    </rfmt>
    <rfmt sheetId="2" sqref="LT760" start="0" length="0">
      <dxf/>
    </rfmt>
    <rfmt sheetId="2" sqref="LU760" start="0" length="0">
      <dxf/>
    </rfmt>
    <rfmt sheetId="2" sqref="LV760" start="0" length="0">
      <dxf/>
    </rfmt>
    <rfmt sheetId="2" sqref="LW760" start="0" length="0">
      <dxf/>
    </rfmt>
    <rfmt sheetId="2" sqref="LX760" start="0" length="0">
      <dxf/>
    </rfmt>
    <rfmt sheetId="2" sqref="LY760" start="0" length="0">
      <dxf/>
    </rfmt>
    <rfmt sheetId="2" sqref="LZ760" start="0" length="0">
      <dxf/>
    </rfmt>
    <rfmt sheetId="2" sqref="MA760" start="0" length="0">
      <dxf/>
    </rfmt>
    <rfmt sheetId="2" sqref="MB760" start="0" length="0">
      <dxf/>
    </rfmt>
  </rrc>
  <rcc rId="2707" sId="2">
    <oc r="H761">
      <f>#REF!-K761</f>
    </oc>
    <nc r="H761">
      <f>H759-K761</f>
    </nc>
  </rcc>
  <rcc rId="2708" sId="2">
    <oc r="H762">
      <f>#REF!-K762</f>
    </oc>
    <nc r="H762">
      <f>H758-K762</f>
    </nc>
  </rcc>
</revisions>
</file>

<file path=xl/revisions/revisionLog1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09" sId="2" numFmtId="34">
    <nc r="I762">
      <v>4160</v>
    </nc>
  </rcc>
  <rcc rId="2710" sId="2" numFmtId="34">
    <nc r="J762">
      <v>4140</v>
    </nc>
  </rcc>
  <rcc rId="2711" sId="2">
    <oc r="K762">
      <f>J762/0.786</f>
    </oc>
    <nc r="K762">
      <f>J762/0.786+1</f>
    </nc>
  </rcc>
  <rcc rId="2712" sId="2" numFmtId="34">
    <nc r="I763">
      <v>4200</v>
    </nc>
  </rcc>
  <rcc rId="2713" sId="2" numFmtId="34">
    <nc r="J763">
      <v>4250</v>
    </nc>
  </rcc>
  <rcc rId="2714" sId="2">
    <oc r="K763">
      <f>J763/0.786</f>
    </oc>
    <nc r="K763">
      <f>J763/0.786+1</f>
    </nc>
  </rcc>
  <rcc rId="2715" sId="2" numFmtId="34">
    <nc r="I759">
      <v>4260</v>
    </nc>
  </rcc>
  <rfmt sheetId="2" sqref="I759:K759" start="0" length="2147483647">
    <dxf>
      <font>
        <color theme="1"/>
      </font>
    </dxf>
  </rfmt>
  <rcc rId="2716" sId="2" numFmtId="34">
    <nc r="J759">
      <v>4360</v>
    </nc>
  </rcc>
  <rcc rId="2717" sId="2">
    <oc r="K759">
      <f>J759/0.786</f>
    </oc>
    <nc r="K759">
      <f>J759/0.786+1</f>
    </nc>
  </rcc>
  <rcc rId="2718" sId="2" numFmtId="34">
    <nc r="I761">
      <v>4350</v>
    </nc>
  </rcc>
  <rcc rId="2719" sId="2" numFmtId="34">
    <nc r="J761">
      <v>4340</v>
    </nc>
  </rcc>
  <rcc rId="2720" sId="2" numFmtId="34">
    <nc r="I764">
      <v>4260</v>
    </nc>
  </rcc>
  <rcc rId="2721" sId="2" numFmtId="34">
    <nc r="J764">
      <v>4210</v>
    </nc>
  </rcc>
  <rcc rId="2722" sId="2">
    <oc r="K764">
      <f>J764/0.786</f>
    </oc>
    <nc r="K764">
      <f>J764/0.786+1</f>
    </nc>
  </rcc>
  <rcc rId="2723" sId="2" numFmtId="34">
    <nc r="I765">
      <v>4200</v>
    </nc>
  </rcc>
  <rcc rId="2724" sId="2" numFmtId="34">
    <nc r="J765">
      <v>4180</v>
    </nc>
  </rcc>
  <rcc rId="2725" sId="2">
    <oc r="K765">
      <f>J765/0.786</f>
    </oc>
    <nc r="K765">
      <f>J765/0.786+1</f>
    </nc>
  </rcc>
  <rcc rId="2726" sId="2" numFmtId="34">
    <nc r="I766">
      <v>4180</v>
    </nc>
  </rcc>
  <rcc rId="2727" sId="2" numFmtId="34">
    <nc r="J766">
      <v>4280</v>
    </nc>
  </rcc>
  <rcc rId="2728" sId="2">
    <oc r="K766">
      <f>J766/0.786</f>
    </oc>
    <nc r="K766">
      <f>J766/0.786+1</f>
    </nc>
  </rcc>
</revisions>
</file>

<file path=xl/revisions/revisionLog1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29" sId="2">
    <oc r="F760" t="inlineStr">
      <is>
        <t>20260907004-1</t>
        <phoneticPr fontId="30098" type="noConversion"/>
      </is>
    </oc>
    <nc r="F760" t="inlineStr">
      <is>
        <t>20260907004-1</t>
        <phoneticPr fontId="30098" type="noConversion"/>
      </is>
    </nc>
  </rcc>
</revisions>
</file>

<file path=xl/revisions/revisionLog1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30" sId="2">
    <oc r="C772" t="inlineStr">
      <is>
        <t>26915E3171</t>
        <phoneticPr fontId="30098" type="noConversion"/>
      </is>
    </oc>
    <nc r="C772" t="inlineStr">
      <is>
        <t>26915E3171</t>
        <phoneticPr fontId="30098" type="noConversion"/>
      </is>
    </nc>
  </rcc>
  <rcc rId="2731" sId="2">
    <oc r="G772" t="inlineStr">
      <is>
        <t>4800384805/400</t>
        <phoneticPr fontId="30098" type="noConversion"/>
      </is>
    </oc>
    <nc r="G772" t="inlineStr">
      <is>
        <t>4800384805/400</t>
        <phoneticPr fontId="30098" type="noConversion"/>
      </is>
    </nc>
  </rcc>
</revisions>
</file>

<file path=xl/revisions/revisionLog1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'IPAHQ(TANK)-中科'!$A$2:$S$904</formula>
    <oldFormula>'IPAHQ(TANK)-中科'!$A$2:$S$904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'IPAHQ(TANK)-南科'!$A$2:$S$192</formula>
    <oldFormula>'IPAHQ(TANK)-南科'!$A$2:$S$192</oldFormula>
  </rdn>
  <rcv guid="{8578D927-8BDE-4C99-A2DB-3E44DFA36FF2}" action="add"/>
</revisions>
</file>

<file path=xl/revisions/revisionLog1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44" sId="2" numFmtId="19">
    <oc r="B775">
      <v>46282</v>
    </oc>
    <nc r="B775">
      <v>46281</v>
    </nc>
  </rcc>
</revisions>
</file>

<file path=xl/revisions/revisionLog1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45" sId="2">
    <nc r="C775" t="inlineStr">
      <is>
        <t>26915E3081</t>
        <phoneticPr fontId="30098" type="noConversion"/>
      </is>
    </nc>
  </rcc>
  <rcc rId="2746" sId="2">
    <nc r="C776" t="inlineStr">
      <is>
        <t>26915E3021</t>
        <phoneticPr fontId="30098" type="noConversion"/>
      </is>
    </nc>
  </rcc>
  <rcc rId="2747" sId="2">
    <nc r="D776">
      <f>IF($C776="", "", MID($C776, 6, IF(MID($C776, LEN($C776)-1, 1)="J", 3, 4)))</f>
    </nc>
  </rcc>
  <rcc rId="2748" sId="2">
    <oc r="D803">
      <f>IF($C803="", "", MID($C803, 6, IF(MID($C803, LEN($C803)-1, 1)="J", 3, 4)))</f>
    </oc>
    <nc r="D803">
      <f>IF($C803="", "", MID($C803, 6, IF(MID($C803, LEN($C803)-1, 1)="J", 3, 4)))</f>
    </nc>
  </rcc>
  <rcc rId="2749" sId="2">
    <oc r="D804">
      <f>IF($C804="", "", MID($C804, 6, IF(MID($C804, LEN($C804)-1, 1)="J", 3, 4)))</f>
    </oc>
    <nc r="D804">
      <f>IF($C804="", "", MID($C804, 6, IF(MID($C804, LEN($C804)-1, 1)="J", 3, 4)))</f>
    </nc>
  </rcc>
</revisions>
</file>

<file path=xl/revisions/revisionLog1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50" sId="2">
    <nc r="C777" t="inlineStr">
      <is>
        <t>26915E3091</t>
        <phoneticPr fontId="30098" type="noConversion"/>
      </is>
    </nc>
  </rcc>
  <rcc rId="2751" sId="2">
    <nc r="D777">
      <f>IF($C777="", "", MID($C777, 6, IF(MID($C777, LEN($C777)-1, 1)="J", 3, 4)))</f>
    </nc>
  </rcc>
  <rcc rId="2752" sId="4">
    <nc r="C169" t="inlineStr">
      <is>
        <t>26915E3071</t>
        <phoneticPr fontId="30098" type="noConversion"/>
      </is>
    </nc>
  </rcc>
</revisions>
</file>

<file path=xl/revisions/revisionLog1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53" sId="2">
    <nc r="D778">
      <f>IF($C778="", "", MID($C778, 6, IF(MID($C778, LEN($C778)-1, 1)="J", 3, 4)))</f>
    </nc>
  </rcc>
  <rcc rId="2754" sId="2">
    <nc r="D781">
      <f>IF($C781="", "", MID($C781, 6, IF(MID($C781, LEN($C781)-1, 1)="J", 3, 4)))</f>
    </nc>
  </rcc>
  <rcc rId="2755" sId="2">
    <nc r="D782">
      <f>IF($C782="", "", MID($C782, 6, IF(MID($C782, LEN($C782)-1, 1)="J", 3, 4)))</f>
    </nc>
  </rcc>
  <rcc rId="2756" sId="2">
    <nc r="D785">
      <f>IF($C785="", "", MID($C785, 6, IF(MID($C785, LEN($C785)-1, 1)="J", 3, 4)))</f>
    </nc>
  </rcc>
  <rcc rId="2757" sId="2">
    <nc r="D786">
      <f>IF($C786="", "", MID($C786, 6, IF(MID($C786, LEN($C786)-1, 1)="J", 3, 4)))</f>
    </nc>
  </rcc>
  <rcc rId="2758" sId="2">
    <nc r="D788">
      <f>IF($C788="", "", MID($C788, 6, IF(MID($C788, LEN($C788)-1, 1)="J", 3, 4)))</f>
    </nc>
  </rcc>
  <rcc rId="2759" sId="2">
    <nc r="D789">
      <f>IF($C789="", "", MID($C789, 6, IF(MID($C789, LEN($C789)-1, 1)="J", 3, 4)))</f>
    </nc>
  </rcc>
  <rcc rId="2760" sId="2">
    <nc r="D792">
      <f>IF($C792="", "", MID($C792, 6, IF(MID($C792, LEN($C792)-1, 1)="J", 3, 4)))</f>
    </nc>
  </rcc>
  <rcc rId="2761" sId="2">
    <nc r="D793">
      <f>IF($C793="", "", MID($C793, 6, IF(MID($C793, LEN($C793)-1, 1)="J", 3, 4)))</f>
    </nc>
  </rcc>
  <rcc rId="2762" sId="2">
    <nc r="D795">
      <f>IF($C795="", "", MID($C795, 6, IF(MID($C795, LEN($C795)-1, 1)="J", 3, 4)))</f>
    </nc>
  </rcc>
  <rcc rId="2763" sId="2">
    <nc r="D796">
      <f>IF($C796="", "", MID($C796, 6, IF(MID($C796, LEN($C796)-1, 1)="J", 3, 4)))</f>
    </nc>
  </rcc>
  <rcc rId="2764" sId="2">
    <nc r="D799">
      <f>IF($C799="", "", MID($C799, 6, IF(MID($C799, LEN($C799)-1, 1)="J", 3, 4)))</f>
    </nc>
  </rcc>
  <rcc rId="2765" sId="2">
    <nc r="D800">
      <f>IF($C800="", "", MID($C800, 6, IF(MID($C800, LEN($C800)-1, 1)="J", 3, 4)))</f>
    </nc>
  </rcc>
  <rcc rId="2766" sId="2">
    <nc r="D779">
      <f>IF($C779="", "", MID($C779, 6, IF(MID($C779, LEN($C779)-1, 1)="J", 3, 4)))</f>
    </nc>
  </rcc>
  <rcc rId="2767" sId="2">
    <nc r="D780">
      <f>IF($C780="", "", MID($C780, 6, IF(MID($C780, LEN($C780)-1, 1)="J", 3, 4)))</f>
    </nc>
  </rcc>
  <rcc rId="2768" sId="2">
    <nc r="D783">
      <f>IF($C783="", "", MID($C783, 6, IF(MID($C783, LEN($C783)-1, 1)="J", 3, 4)))</f>
    </nc>
  </rcc>
  <rcc rId="2769" sId="2">
    <nc r="D784">
      <f>IF($C784="", "", MID($C784, 6, IF(MID($C784, LEN($C784)-1, 1)="J", 3, 4)))</f>
    </nc>
  </rcc>
  <rcc rId="2770" sId="2">
    <nc r="D787">
      <f>IF($C787="", "", MID($C787, 6, IF(MID($C787, LEN($C787)-1, 1)="J", 3, 4)))</f>
    </nc>
  </rcc>
  <rcc rId="2771" sId="2">
    <nc r="D790">
      <f>IF($C790="", "", MID($C790, 6, IF(MID($C790, LEN($C790)-1, 1)="J", 3, 4)))</f>
    </nc>
  </rcc>
  <rcc rId="2772" sId="2">
    <nc r="D791">
      <f>IF($C791="", "", MID($C791, 6, IF(MID($C791, LEN($C791)-1, 1)="J", 3, 4)))</f>
    </nc>
  </rcc>
  <rcc rId="2773" sId="2">
    <nc r="D794">
      <f>IF($C794="", "", MID($C794, 6, IF(MID($C794, LEN($C794)-1, 1)="J", 3, 4)))</f>
    </nc>
  </rcc>
  <rcc rId="2774" sId="2">
    <nc r="D797">
      <f>IF($C797="", "", MID($C797, 6, IF(MID($C797, LEN($C797)-1, 1)="J", 3, 4)))</f>
    </nc>
  </rcc>
  <rcc rId="2775" sId="2">
    <nc r="D798">
      <f>IF($C798="", "", MID($C798, 6, IF(MID($C798, LEN($C798)-1, 1)="J", 3, 4)))</f>
    </nc>
  </rcc>
  <rcc rId="2776" sId="2">
    <nc r="D801">
      <f>IF($C801="", "", MID($C801, 6, IF(MID($C801, LEN($C801)-1, 1)="J", 3, 4)))</f>
    </nc>
  </rcc>
  <rcc rId="2777" sId="2">
    <nc r="D802">
      <f>IF($C802="", "", MID($C802, 6, IF(MID($C802, LEN($C802)-1, 1)="J", 3, 4)))</f>
    </nc>
  </rcc>
</revisions>
</file>

<file path=xl/revisions/revisionLog1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78" sId="2">
    <oc r="D778">
      <f>IF($C778="", "", MID($C778, 6, IF(MID($C778, LEN($C778)-1, 1)="J", 3, 4)))</f>
    </oc>
    <nc r="D778">
      <f>IF($C778="", "", MID($C778, 6, IF(MID($C778, LEN($C778)-1, 1)="J", 3, 4)))</f>
    </nc>
  </rcc>
  <rcc rId="2779" sId="2">
    <nc r="C778" t="inlineStr">
      <is>
        <t>26916E3051</t>
        <phoneticPr fontId="30098" type="noConversion"/>
      </is>
    </nc>
  </rcc>
</revisions>
</file>

<file path=xl/revisions/revisionLog1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80" sId="2">
    <oc r="C775" t="inlineStr">
      <is>
        <t>26915E3081</t>
        <phoneticPr fontId="30098" type="noConversion"/>
      </is>
    </oc>
    <nc r="C775" t="inlineStr">
      <is>
        <t>26915E3081</t>
        <phoneticPr fontId="30098" type="noConversion"/>
      </is>
    </nc>
  </rcc>
  <rcc rId="2781" sId="2">
    <nc r="P776">
      <f>DATE(YEAR(O776)+1,MONTH(O776),DAY(O776))-1</f>
    </nc>
  </rcc>
  <rcc rId="2782" sId="2">
    <nc r="P777">
      <f>DATE(YEAR(O777)+1,MONTH(O777),DAY(O777))-1</f>
    </nc>
  </rcc>
  <rcc rId="2783" sId="2">
    <nc r="P778">
      <f>DATE(YEAR(O778)+1,MONTH(O778),DAY(O778))-1</f>
    </nc>
  </rcc>
  <rcc rId="2784" sId="2">
    <nc r="P779">
      <f>DATE(YEAR(O779)+1,MONTH(O779),DAY(O779))-1</f>
    </nc>
  </rcc>
  <rcc rId="2785" sId="2">
    <nc r="P780">
      <f>DATE(YEAR(O780)+1,MONTH(O780),DAY(O780))-1</f>
    </nc>
  </rcc>
  <rcc rId="2786" sId="2">
    <nc r="P781">
      <f>DATE(YEAR(O781)+1,MONTH(O781),DAY(O781))-1</f>
    </nc>
  </rcc>
  <rcc rId="2787" sId="2">
    <nc r="P782">
      <f>DATE(YEAR(O782)+1,MONTH(O782),DAY(O782))-1</f>
    </nc>
  </rcc>
  <rcc rId="2788" sId="2">
    <nc r="P783">
      <f>DATE(YEAR(O783)+1,MONTH(O783),DAY(O783))-1</f>
    </nc>
  </rcc>
  <rcc rId="2789" sId="2">
    <nc r="P784">
      <f>DATE(YEAR(O784)+1,MONTH(O784),DAY(O784))-1</f>
    </nc>
  </rcc>
  <rcc rId="2790" sId="2">
    <nc r="P785">
      <f>DATE(YEAR(O785)+1,MONTH(O785),DAY(O785))-1</f>
    </nc>
  </rcc>
  <rcc rId="2791" sId="2">
    <nc r="P786">
      <f>DATE(YEAR(O786)+1,MONTH(O786),DAY(O786))-1</f>
    </nc>
  </rcc>
  <rcc rId="2792" sId="2">
    <nc r="P787">
      <f>DATE(YEAR(O787)+1,MONTH(O787),DAY(O787))-1</f>
    </nc>
  </rcc>
  <rcc rId="2793" sId="2">
    <nc r="P788">
      <f>DATE(YEAR(O788)+1,MONTH(O788),DAY(O788))-1</f>
    </nc>
  </rcc>
  <rcc rId="2794" sId="2">
    <nc r="P789">
      <f>DATE(YEAR(O789)+1,MONTH(O789),DAY(O789))-1</f>
    </nc>
  </rcc>
</revisions>
</file>

<file path=xl/revisions/revisionLog1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95" sId="4" numFmtId="25">
    <nc r="N169">
      <v>0.66666666666666663</v>
    </nc>
  </rcc>
  <rcc rId="2796" sId="2" numFmtId="25">
    <nc r="N775">
      <v>0.58333333333333337</v>
    </nc>
  </rcc>
  <rcc rId="2797" sId="2" numFmtId="25">
    <nc r="N776">
      <v>0.5</v>
    </nc>
  </rcc>
  <rcc rId="2798" sId="2" numFmtId="25">
    <nc r="N777">
      <v>8.3333333333333329E-2</v>
    </nc>
  </rcc>
  <rcc rId="2799" sId="2" numFmtId="25">
    <nc r="N778">
      <v>0.58333333333333337</v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'IPAHQ(TANK)-中科'!$A$2:$S$904</formula>
    <oldFormula>'IPAHQ(TANK)-中科'!$A$2:$S$904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'IPAHQ(TANK)-南科'!$A$2:$S$192</formula>
    <oldFormula>'IPAHQ(TANK)-南科'!$A$2:$S$192</oldFormula>
  </rdn>
  <rcv guid="{8578D927-8BDE-4C99-A2DB-3E44DFA36FF2}" action="add"/>
</revisions>
</file>

<file path=xl/revisions/revisionLog1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12" sId="2">
    <oc r="C777" t="inlineStr">
      <is>
        <t>26915E3091</t>
        <phoneticPr fontId="30098" type="noConversion"/>
      </is>
    </oc>
    <nc r="C777" t="inlineStr">
      <is>
        <t>26915E3091</t>
        <phoneticPr fontId="30098" type="noConversion"/>
      </is>
    </nc>
  </rcc>
  <rcc rId="2813" sId="2">
    <oc r="C778" t="inlineStr">
      <is>
        <t>26916E3051</t>
        <phoneticPr fontId="30098" type="noConversion"/>
      </is>
    </oc>
    <nc r="C778" t="inlineStr">
      <is>
        <t>26916E3051</t>
        <phoneticPr fontId="30098" type="noConversion"/>
      </is>
    </nc>
  </rcc>
  <rcc rId="2814" sId="2">
    <oc r="C776" t="inlineStr">
      <is>
        <t>26915E3021</t>
        <phoneticPr fontId="30098" type="noConversion"/>
      </is>
    </oc>
    <nc r="C776" t="inlineStr">
      <is>
        <t>26915E3021</t>
        <phoneticPr fontId="30098" type="noConversion"/>
      </is>
    </nc>
  </rcc>
  <rcc rId="2815" sId="4">
    <nc r="I168">
      <v>4310</v>
    </nc>
  </rcc>
  <rcc rId="2816" sId="4">
    <nc r="J168">
      <v>480</v>
    </nc>
  </rcc>
  <rcc rId="2817" sId="2" numFmtId="34">
    <nc r="I767">
      <v>4360</v>
    </nc>
  </rcc>
  <rcc rId="2818" sId="2" numFmtId="34">
    <nc r="J767">
      <v>4360</v>
    </nc>
  </rcc>
  <rcc rId="2819" sId="2">
    <oc r="K767">
      <f>J767/0.786</f>
    </oc>
    <nc r="K767">
      <f>J767/0.786+1</f>
    </nc>
  </rcc>
  <rcc rId="2820" sId="2" numFmtId="34">
    <nc r="I769">
      <v>4220</v>
    </nc>
  </rcc>
  <rcc rId="2821" sId="2" numFmtId="34">
    <nc r="J769">
      <v>4230</v>
    </nc>
  </rcc>
</revisions>
</file>

<file path=xl/revisions/revisionLog1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22" sId="2" numFmtId="34">
    <nc r="I770">
      <v>4230</v>
    </nc>
  </rcc>
  <rcc rId="2823" sId="2" numFmtId="34">
    <nc r="J770">
      <v>4210</v>
    </nc>
  </rcc>
  <rcc rId="2824" sId="2">
    <oc r="K770">
      <f>J770/0.786</f>
    </oc>
    <nc r="K770">
      <f>J770/0.786+1</f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'IPAHQ(TANK)-中科'!$A$2:$S$904</formula>
    <oldFormula>'IPAHQ(TANK)-中科'!$A$2:$S$904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'IPAHQ(TANK)-南科'!$A$2:$S$192</formula>
    <oldFormula>'IPAHQ(TANK)-南科'!$A$2:$S$192</oldFormula>
  </rdn>
  <rcv guid="{8578D927-8BDE-4C99-A2DB-3E44DFA36FF2}" action="add"/>
</revisions>
</file>

<file path=xl/revisions/revisionLog1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37" sId="2">
    <oc r="C778" t="inlineStr">
      <is>
        <t>26916E3051</t>
        <phoneticPr fontId="30367" type="noConversion"/>
      </is>
    </oc>
    <nc r="C778" t="inlineStr">
      <is>
        <t>26916E3051</t>
        <phoneticPr fontId="30367" type="noConversion"/>
      </is>
    </nc>
  </rcc>
  <rcv guid="{8578D927-8BDE-4C99-A2DB-3E44DFA36FF2}" action="delete"/>
  <rdn rId="0" localSheetId="1" customView="1" name="Z_8578D927_8BDE_4C99_A2DB_3E44DFA36FF2_.wvu.PrintArea" hidden="1" oldHidden="1">
    <formula>'IPAHQ(TANK)-竹科'!$A$1:$Q$2</formula>
    <oldFormula>'IPAHQ(TANK)-竹科'!$A$1:$Q$2</oldFormula>
  </rdn>
  <rdn rId="0" localSheetId="1" customView="1" name="Z_8578D927_8BDE_4C99_A2DB_3E44DFA36FF2_.wvu.Cols" hidden="1" oldHidden="1">
    <formula>'IPAHQ(TANK)-竹科'!$A:$A</formula>
    <oldFormula>'IPAHQ(TANK)-竹科'!$A:$A</oldFormula>
  </rdn>
  <rdn rId="0" localSheetId="1" customView="1" name="Z_8578D927_8BDE_4C99_A2DB_3E44DFA36FF2_.wvu.FilterData" hidden="1" oldHidden="1">
    <formula>'IPAHQ(TANK)-竹科'!$A$2:$T$181</formula>
    <oldFormula>'IPAHQ(TANK)-竹科'!$A$2:$T$181</oldFormula>
  </rdn>
  <rdn rId="0" localSheetId="2" customView="1" name="Z_8578D927_8BDE_4C99_A2DB_3E44DFA36FF2_.wvu.PrintArea" hidden="1" oldHidden="1">
    <formula>'IPAHQ(TANK)-中科'!$A$1:$P$2</formula>
    <oldFormula>'IPAHQ(TANK)-中科'!$A$1:$P$2</oldFormula>
  </rdn>
  <rdn rId="0" localSheetId="2" customView="1" name="Z_8578D927_8BDE_4C99_A2DB_3E44DFA36FF2_.wvu.Cols" hidden="1" oldHidden="1">
    <formula>'IPAHQ(TANK)-中科'!$A:$A</formula>
    <oldFormula>'IPAHQ(TANK)-中科'!$A:$A</oldFormula>
  </rdn>
  <rdn rId="0" localSheetId="2" customView="1" name="Z_8578D927_8BDE_4C99_A2DB_3E44DFA36FF2_.wvu.FilterData" hidden="1" oldHidden="1">
    <formula>'IPAHQ(TANK)-中科'!$A$2:$S$904</formula>
    <oldFormula>'IPAHQ(TANK)-中科'!$A$2:$S$904</oldFormula>
  </rdn>
  <rdn rId="0" localSheetId="3" customView="1" name="Z_8578D927_8BDE_4C99_A2DB_3E44DFA36FF2_.wvu.PrintArea" hidden="1" oldHidden="1">
    <formula>'IPAHQ(TANK)-12P3'!$A$1:$Q$2</formula>
    <oldFormula>'IPAHQ(TANK)-12P3'!$A$1:$Q$2</oldFormula>
  </rdn>
  <rdn rId="0" localSheetId="3" customView="1" name="Z_8578D927_8BDE_4C99_A2DB_3E44DFA36FF2_.wvu.Cols" hidden="1" oldHidden="1">
    <formula>'IPAHQ(TANK)-12P3'!$A:$A</formula>
    <oldFormula>'IPAHQ(TANK)-12P3'!$A:$A</oldFormula>
  </rdn>
  <rdn rId="0" localSheetId="3" customView="1" name="Z_8578D927_8BDE_4C99_A2DB_3E44DFA36FF2_.wvu.FilterData" hidden="1" oldHidden="1">
    <formula>'IPAHQ(TANK)-12P3'!$A$2:$T$22</formula>
    <oldFormula>'IPAHQ(TANK)-12P3'!$A$2:$T$22</oldFormula>
  </rdn>
  <rdn rId="0" localSheetId="4" customView="1" name="Z_8578D927_8BDE_4C99_A2DB_3E44DFA36FF2_.wvu.PrintArea" hidden="1" oldHidden="1">
    <formula>'IPAHQ(TANK)-南科'!$A$1:$P$2</formula>
    <oldFormula>'IPAHQ(TANK)-南科'!$A$1:$P$2</oldFormula>
  </rdn>
  <rdn rId="0" localSheetId="4" customView="1" name="Z_8578D927_8BDE_4C99_A2DB_3E44DFA36FF2_.wvu.Cols" hidden="1" oldHidden="1">
    <formula>'IPAHQ(TANK)-南科'!$A:$A</formula>
    <oldFormula>'IPAHQ(TANK)-南科'!$A:$A</oldFormula>
  </rdn>
  <rdn rId="0" localSheetId="4" customView="1" name="Z_8578D927_8BDE_4C99_A2DB_3E44DFA36FF2_.wvu.FilterData" hidden="1" oldHidden="1">
    <formula>'IPAHQ(TANK)-南科'!$A$2:$S$192</formula>
    <oldFormula>'IPAHQ(TANK)-南科'!$A$2:$S$192</oldFormula>
  </rdn>
  <rcv guid="{8578D927-8BDE-4C99-A2DB-3E44DFA36FF2}" action="add"/>
</revisions>
</file>

<file path=xl/revisions/revisionLog1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0" sId="2">
    <oc r="G778" t="inlineStr">
      <is>
        <t>4800384805/300</t>
        <phoneticPr fontId="30367" type="noConversion"/>
      </is>
    </oc>
    <nc r="G778" t="inlineStr">
      <is>
        <t>4800384805/300</t>
        <phoneticPr fontId="30367" type="noConversion"/>
      </is>
    </nc>
  </rcc>
</revisions>
</file>

<file path=xl/revisions/revisionLog1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1" sId="2">
    <nc r="C779" t="inlineStr">
      <is>
        <t>26916E3181</t>
        <phoneticPr fontId="0" type="noConversion"/>
      </is>
    </nc>
  </rcc>
  <rcc rId="2852" sId="2">
    <nc r="C780" t="inlineStr">
      <is>
        <t>26916E3191</t>
        <phoneticPr fontId="0" type="noConversion"/>
      </is>
    </nc>
  </rcc>
  <rcc rId="2853" sId="2">
    <nc r="C781" t="inlineStr">
      <is>
        <t>26916E44J1</t>
        <phoneticPr fontId="0" type="noConversion"/>
      </is>
    </nc>
  </rcc>
  <rcc rId="2854" sId="2">
    <nc r="C782" t="inlineStr">
      <is>
        <t>26916E3031</t>
        <phoneticPr fontId="0" type="noConversion"/>
      </is>
    </nc>
  </rcc>
</revisions>
</file>

<file path=xl/revisions/revisionLog1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5" sId="2" numFmtId="25">
    <nc r="N779">
      <v>8.3333333333333329E-2</v>
    </nc>
  </rcc>
  <rcc rId="2856" sId="2" numFmtId="25">
    <nc r="N780">
      <v>0.70833333333333337</v>
    </nc>
  </rcc>
  <rcc rId="2857" sId="2" numFmtId="25">
    <nc r="N781">
      <v>0.125</v>
    </nc>
  </rcc>
  <rcc rId="2858" sId="2" numFmtId="25">
    <nc r="N782">
      <v>0.625</v>
    </nc>
  </rcc>
</revisions>
</file>

<file path=xl/revisions/revisionLog1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859" sId="2">
    <oc r="G779" t="inlineStr">
      <is>
        <t>4800384805/400</t>
        <phoneticPr fontId="30093" type="noConversion"/>
      </is>
    </oc>
    <nc r="G779" t="inlineStr">
      <is>
        <t>4800384805/400</t>
        <phoneticPr fontId="30093" type="noConversion"/>
      </is>
    </nc>
  </rcc>
  <rcc rId="2860" sId="2">
    <oc r="G781" t="inlineStr">
      <is>
        <t>4800384805/300</t>
        <phoneticPr fontId="30093" type="noConversion"/>
      </is>
    </oc>
    <nc r="G781" t="inlineStr">
      <is>
        <t>4800384805/300</t>
        <phoneticPr fontId="30093" type="noConversion"/>
      </is>
    </nc>
  </rcc>
  <rcc rId="2861" sId="2">
    <oc r="G782" t="inlineStr">
      <is>
        <t>4800384805/300</t>
        <phoneticPr fontId="30093" type="noConversion"/>
      </is>
    </oc>
    <nc r="G782" t="inlineStr">
      <is>
        <t>4800384805/300</t>
        <phoneticPr fontId="30093" type="noConversion"/>
      </is>
    </nc>
  </rcc>
  <rcc rId="2862" sId="2">
    <oc r="C781" t="inlineStr">
      <is>
        <t>26916E44J1</t>
        <phoneticPr fontId="30093" type="noConversion"/>
      </is>
    </oc>
    <nc r="C781" t="inlineStr">
      <is>
        <t>26916E44J1</t>
        <phoneticPr fontId="30093" type="noConversion"/>
      </is>
    </nc>
  </rcc>
  <rcc rId="2863" sId="2">
    <oc r="C780" t="inlineStr">
      <is>
        <t>26916E3191</t>
        <phoneticPr fontId="30093" type="noConversion"/>
      </is>
    </oc>
    <nc r="C780" t="inlineStr">
      <is>
        <t>26916E3191</t>
        <phoneticPr fontId="30093" type="noConversion"/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0">
  <userInfo guid="{F0D16619-4214-4931-B61D-C67FD23107B2}" name="C600-PC" id="-55424137" dateTime="2026-09-02T10:21:08"/>
  <userInfo guid="{6FF9ECF2-EF08-4D33-B0CE-A7D1BF3E1706}" name="C600-PC" id="-55394736" dateTime="2026-09-04T09:22:44"/>
  <userInfo guid="{CE67832A-2921-4AFC-A187-5AF261443793}" name="C776-PC" id="-51511201" dateTime="2026-09-04T09:41:18"/>
  <userInfo guid="{ECB085BD-5402-4EAE-9101-C937FE2BF6E0}" name="C600-PC" id="-55417334" dateTime="2026-09-04T09:51:40"/>
  <userInfo guid="{768A2820-9064-4E80-961D-5D65C6F04FC3}" name="C776-PC" id="-51476128" dateTime="2026-09-08T07:48:38"/>
  <userInfo guid="{52CFB3B3-D017-43B6-9414-3F85C76C2B86}" name="C600-PC" id="-55409826" dateTime="2026-09-08T08:59:21"/>
  <userInfo guid="{7D4C1F72-C058-488B-A68F-CD13F86503AB}" name="C600-PC" id="-55393460" dateTime="2026-09-09T10:24:06"/>
  <userInfo guid="{071ECF2A-81EE-4A55-8911-93CBBA510A2C}" name="C600-PC" id="-55421476" dateTime="2026-09-10T10:09:37"/>
  <userInfo guid="{E4CEBD93-FBF4-47E7-9FC6-A2CCBB230BC7}" name="C776-PC" id="-51467016" dateTime="2026-09-15T08:15:27"/>
  <userInfo guid="{E5374466-A230-443B-BA58-CD24A5519A4C}" name="C776-PC" id="-51489405" dateTime="2026-09-16T10:57:22"/>
</user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8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printerSettings" Target="../printerSettings/printerSettings1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C181"/>
  <sheetViews>
    <sheetView topLeftCell="B1" zoomScaleNormal="100" workbookViewId="0">
      <pane ySplit="2" topLeftCell="A3" activePane="bottomLeft" state="frozen"/>
      <selection activeCell="B1" sqref="B1"/>
      <selection pane="bottomLeft" activeCell="G22" sqref="G22"/>
    </sheetView>
  </sheetViews>
  <sheetFormatPr defaultColWidth="9" defaultRowHeight="20.149999999999999" customHeight="1" x14ac:dyDescent="0.2"/>
  <cols>
    <col min="1" max="1" width="7" style="33" hidden="1" customWidth="1"/>
    <col min="2" max="2" width="7" style="33" customWidth="1"/>
    <col min="3" max="3" width="13.875" style="39" customWidth="1"/>
    <col min="4" max="4" width="5.875" style="39" customWidth="1"/>
    <col min="5" max="5" width="9.5" style="39" customWidth="1"/>
    <col min="6" max="6" width="14.625" style="39" bestFit="1" customWidth="1"/>
    <col min="7" max="7" width="16.875" style="39" customWidth="1"/>
    <col min="8" max="8" width="12.125" style="40" customWidth="1"/>
    <col min="9" max="11" width="10.875" style="39" customWidth="1"/>
    <col min="12" max="12" width="10.625" style="40" customWidth="1"/>
    <col min="13" max="13" width="10.625" style="86" customWidth="1"/>
    <col min="14" max="14" width="14" style="39" bestFit="1" customWidth="1"/>
    <col min="15" max="15" width="7.5" style="29" customWidth="1"/>
    <col min="16" max="16" width="11.125" style="28" customWidth="1"/>
    <col min="17" max="18" width="12" style="13" customWidth="1"/>
    <col min="19" max="19" width="22.875" style="13" bestFit="1" customWidth="1"/>
    <col min="20" max="20" width="11.625" style="13" bestFit="1" customWidth="1"/>
    <col min="21" max="341" width="9" style="12"/>
    <col min="342" max="16384" width="9" style="13"/>
  </cols>
  <sheetData>
    <row r="1" spans="1:341" ht="24.05" customHeight="1" x14ac:dyDescent="0.25">
      <c r="A1" s="1"/>
      <c r="B1" s="2" t="s">
        <v>0</v>
      </c>
      <c r="C1" s="3"/>
      <c r="D1" s="4"/>
      <c r="E1" s="129" t="s">
        <v>814</v>
      </c>
      <c r="F1" s="129"/>
      <c r="G1" s="129"/>
      <c r="H1" s="4" t="s">
        <v>1</v>
      </c>
      <c r="I1" s="4"/>
      <c r="J1" s="4"/>
      <c r="K1" s="4" t="s">
        <v>2</v>
      </c>
      <c r="L1" s="5"/>
      <c r="M1" s="87"/>
      <c r="N1" s="4"/>
      <c r="O1" s="6"/>
      <c r="P1" s="7"/>
      <c r="Q1" s="8"/>
      <c r="R1" s="9"/>
      <c r="S1" s="10"/>
      <c r="T1" s="11"/>
    </row>
    <row r="2" spans="1:341" s="23" customFormat="1" ht="20.149999999999999" customHeight="1" x14ac:dyDescent="0.25">
      <c r="A2" s="14" t="s">
        <v>3</v>
      </c>
      <c r="B2" s="15" t="s">
        <v>4</v>
      </c>
      <c r="C2" s="16" t="s">
        <v>5</v>
      </c>
      <c r="D2" s="17" t="s">
        <v>6</v>
      </c>
      <c r="E2" s="16" t="s">
        <v>7</v>
      </c>
      <c r="F2" s="16" t="s">
        <v>2149</v>
      </c>
      <c r="G2" s="16" t="s">
        <v>8</v>
      </c>
      <c r="H2" s="18" t="s">
        <v>9</v>
      </c>
      <c r="I2" s="19" t="s">
        <v>10</v>
      </c>
      <c r="J2" s="19" t="s">
        <v>11</v>
      </c>
      <c r="K2" s="20" t="s">
        <v>12</v>
      </c>
      <c r="L2" s="17" t="s">
        <v>13</v>
      </c>
      <c r="M2" s="88" t="s">
        <v>2143</v>
      </c>
      <c r="N2" s="17" t="s">
        <v>2140</v>
      </c>
      <c r="O2" s="6" t="s">
        <v>14</v>
      </c>
      <c r="P2" s="21" t="s">
        <v>15</v>
      </c>
      <c r="Q2" s="8" t="s">
        <v>16</v>
      </c>
      <c r="R2" s="9" t="s">
        <v>17</v>
      </c>
      <c r="S2" s="22" t="s">
        <v>18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</row>
    <row r="3" spans="1:341" ht="20.149999999999999" customHeight="1" x14ac:dyDescent="0.2">
      <c r="B3" s="45">
        <v>46037</v>
      </c>
      <c r="C3" s="46" t="s">
        <v>199</v>
      </c>
      <c r="D3" s="46" t="s">
        <v>21</v>
      </c>
      <c r="E3" s="46" t="s">
        <v>19</v>
      </c>
      <c r="F3" s="46" t="s">
        <v>2150</v>
      </c>
      <c r="G3" s="47" t="s">
        <v>29</v>
      </c>
      <c r="H3" s="48">
        <f>13643-K3</f>
        <v>7916.8091603053435</v>
      </c>
      <c r="I3" s="50">
        <v>4450</v>
      </c>
      <c r="J3" s="50">
        <v>4500</v>
      </c>
      <c r="K3" s="48">
        <f>J3/0.786+1</f>
        <v>5726.1908396946565</v>
      </c>
      <c r="L3" s="49"/>
      <c r="M3" s="84"/>
      <c r="N3" s="46"/>
      <c r="O3" s="29">
        <v>46035</v>
      </c>
      <c r="P3" s="28">
        <f t="shared" ref="P3:P12" si="0">DATE(YEAR(O3)+1,MONTH(O3),DAY(O3))-1</f>
        <v>46399</v>
      </c>
    </row>
    <row r="4" spans="1:341" ht="20.149999999999999" customHeight="1" x14ac:dyDescent="0.2">
      <c r="B4" s="45">
        <v>46050</v>
      </c>
      <c r="C4" s="46" t="s">
        <v>336</v>
      </c>
      <c r="D4" s="46" t="s">
        <v>21</v>
      </c>
      <c r="E4" s="46" t="s">
        <v>19</v>
      </c>
      <c r="F4" s="46" t="s">
        <v>2151</v>
      </c>
      <c r="G4" s="47" t="s">
        <v>335</v>
      </c>
      <c r="H4" s="48">
        <f>H3-K4</f>
        <v>2267.9541984732823</v>
      </c>
      <c r="I4" s="50">
        <v>4460</v>
      </c>
      <c r="J4" s="50">
        <v>4440</v>
      </c>
      <c r="K4" s="48">
        <f>J4/0.786</f>
        <v>5648.8549618320612</v>
      </c>
      <c r="L4" s="49"/>
      <c r="M4" s="84"/>
      <c r="N4" s="46"/>
      <c r="O4" s="29">
        <v>46049</v>
      </c>
      <c r="P4" s="28">
        <f t="shared" si="0"/>
        <v>46413</v>
      </c>
    </row>
    <row r="5" spans="1:341" ht="20.149999999999999" customHeight="1" x14ac:dyDescent="0.2">
      <c r="B5" s="45">
        <v>46072</v>
      </c>
      <c r="C5" s="46" t="s">
        <v>545</v>
      </c>
      <c r="D5" s="46" t="s">
        <v>21</v>
      </c>
      <c r="E5" s="46" t="s">
        <v>19</v>
      </c>
      <c r="F5" s="46" t="s">
        <v>2152</v>
      </c>
      <c r="G5" s="47" t="s">
        <v>546</v>
      </c>
      <c r="H5" s="48">
        <f>1548-K5</f>
        <v>-0.46055979643733735</v>
      </c>
      <c r="I5" s="50">
        <v>4300</v>
      </c>
      <c r="J5" s="50">
        <v>4310</v>
      </c>
      <c r="K5" s="48">
        <f>J5/0.786-3935</f>
        <v>1548.4605597964373</v>
      </c>
      <c r="L5" s="49"/>
      <c r="M5" s="84"/>
      <c r="N5" s="46"/>
      <c r="O5" s="29">
        <v>46070</v>
      </c>
      <c r="P5" s="28">
        <f t="shared" si="0"/>
        <v>46434</v>
      </c>
    </row>
    <row r="6" spans="1:341" ht="20.149999999999999" customHeight="1" x14ac:dyDescent="0.2">
      <c r="B6" s="25"/>
      <c r="C6" s="26"/>
      <c r="D6" s="26" t="s">
        <v>21</v>
      </c>
      <c r="E6" s="26" t="s">
        <v>19</v>
      </c>
      <c r="F6" s="26" t="s">
        <v>2153</v>
      </c>
      <c r="G6" s="26" t="s">
        <v>547</v>
      </c>
      <c r="H6" s="38">
        <f>65000-K6</f>
        <v>61064</v>
      </c>
      <c r="I6" s="27"/>
      <c r="J6" s="27"/>
      <c r="K6" s="38">
        <f>3935+1</f>
        <v>3936</v>
      </c>
      <c r="L6" s="37"/>
      <c r="M6" s="85"/>
      <c r="N6" s="26"/>
    </row>
    <row r="7" spans="1:341" ht="20.149999999999999" customHeight="1" x14ac:dyDescent="0.2">
      <c r="B7" s="25">
        <v>46088</v>
      </c>
      <c r="C7" s="26" t="s">
        <v>714</v>
      </c>
      <c r="D7" s="26" t="s">
        <v>21</v>
      </c>
      <c r="E7" s="26" t="s">
        <v>19</v>
      </c>
      <c r="F7" s="26" t="s">
        <v>2154</v>
      </c>
      <c r="G7" s="26" t="s">
        <v>547</v>
      </c>
      <c r="H7" s="38">
        <f>H6-K7</f>
        <v>55566.816793893129</v>
      </c>
      <c r="I7" s="27">
        <v>4300</v>
      </c>
      <c r="J7" s="27">
        <v>4320</v>
      </c>
      <c r="K7" s="38">
        <f>J7/0.786+1</f>
        <v>5497.1832061068699</v>
      </c>
      <c r="L7" s="37"/>
      <c r="M7" s="85"/>
      <c r="N7" s="26"/>
      <c r="O7" s="29">
        <v>46086</v>
      </c>
      <c r="P7" s="28">
        <f t="shared" si="0"/>
        <v>46450</v>
      </c>
    </row>
    <row r="8" spans="1:341" ht="20.149999999999999" customHeight="1" x14ac:dyDescent="0.2">
      <c r="B8" s="25">
        <v>46108</v>
      </c>
      <c r="C8" s="26" t="s">
        <v>799</v>
      </c>
      <c r="D8" s="26" t="s">
        <v>21</v>
      </c>
      <c r="E8" s="26" t="s">
        <v>19</v>
      </c>
      <c r="F8" s="26">
        <v>20260323001</v>
      </c>
      <c r="G8" s="26" t="s">
        <v>547</v>
      </c>
      <c r="H8" s="38">
        <f>H7-K8</f>
        <v>51583.628498727732</v>
      </c>
      <c r="I8" s="27">
        <v>4230</v>
      </c>
      <c r="J8" s="27">
        <v>3130</v>
      </c>
      <c r="K8" s="38">
        <f>J8/0.786+1</f>
        <v>3983.1882951653943</v>
      </c>
      <c r="L8" s="37"/>
      <c r="M8" s="85"/>
      <c r="N8" s="26"/>
      <c r="O8" s="29">
        <v>46106</v>
      </c>
      <c r="P8" s="28">
        <f t="shared" si="0"/>
        <v>46470</v>
      </c>
    </row>
    <row r="9" spans="1:341" ht="20.149999999999999" customHeight="1" x14ac:dyDescent="0.2">
      <c r="B9" s="25">
        <v>46130</v>
      </c>
      <c r="C9" s="26" t="s">
        <v>800</v>
      </c>
      <c r="D9" s="26" t="s">
        <v>21</v>
      </c>
      <c r="E9" s="26" t="s">
        <v>19</v>
      </c>
      <c r="F9" s="26" t="s">
        <v>2155</v>
      </c>
      <c r="G9" s="26" t="s">
        <v>547</v>
      </c>
      <c r="H9" s="38">
        <f t="shared" ref="H9:H14" si="1">H8-K9</f>
        <v>46252.839694656483</v>
      </c>
      <c r="I9" s="27">
        <v>4180</v>
      </c>
      <c r="J9" s="27">
        <v>4190</v>
      </c>
      <c r="K9" s="38">
        <f>J9/0.786</f>
        <v>5330.7888040712469</v>
      </c>
      <c r="L9" s="37"/>
      <c r="M9" s="85"/>
      <c r="N9" s="26"/>
      <c r="O9" s="29">
        <v>46128</v>
      </c>
      <c r="P9" s="28">
        <f t="shared" si="0"/>
        <v>46492</v>
      </c>
    </row>
    <row r="10" spans="1:341" ht="20.149999999999999" customHeight="1" x14ac:dyDescent="0.2">
      <c r="B10" s="25">
        <v>46142</v>
      </c>
      <c r="C10" s="26" t="s">
        <v>815</v>
      </c>
      <c r="D10" s="26" t="s">
        <v>21</v>
      </c>
      <c r="E10" s="26" t="s">
        <v>19</v>
      </c>
      <c r="F10" s="26" t="s">
        <v>2156</v>
      </c>
      <c r="G10" s="26" t="s">
        <v>547</v>
      </c>
      <c r="H10" s="38">
        <f t="shared" si="1"/>
        <v>41595.351145038163</v>
      </c>
      <c r="I10" s="27">
        <v>4170</v>
      </c>
      <c r="J10" s="27">
        <v>3660</v>
      </c>
      <c r="K10" s="38">
        <f>J10/0.786+1</f>
        <v>4657.4885496183206</v>
      </c>
      <c r="L10" s="37"/>
      <c r="M10" s="85"/>
      <c r="N10" s="26"/>
      <c r="O10" s="29">
        <v>46140</v>
      </c>
      <c r="P10" s="28">
        <f t="shared" si="0"/>
        <v>46504</v>
      </c>
    </row>
    <row r="11" spans="1:341" ht="20.149999999999999" customHeight="1" x14ac:dyDescent="0.2">
      <c r="B11" s="25">
        <v>46161</v>
      </c>
      <c r="C11" s="26" t="s">
        <v>942</v>
      </c>
      <c r="D11" s="26" t="s">
        <v>21</v>
      </c>
      <c r="E11" s="26" t="s">
        <v>19</v>
      </c>
      <c r="F11" s="26" t="s">
        <v>2157</v>
      </c>
      <c r="G11" s="26" t="s">
        <v>941</v>
      </c>
      <c r="H11" s="38">
        <f t="shared" si="1"/>
        <v>36199.949109414752</v>
      </c>
      <c r="I11" s="27">
        <v>4160</v>
      </c>
      <c r="J11" s="27">
        <v>4240</v>
      </c>
      <c r="K11" s="38">
        <f>J11/0.786+1</f>
        <v>5395.4020356234096</v>
      </c>
      <c r="L11" s="37"/>
      <c r="M11" s="85"/>
      <c r="N11" s="26"/>
      <c r="O11" s="29">
        <v>46159</v>
      </c>
      <c r="P11" s="28">
        <f t="shared" si="0"/>
        <v>46523</v>
      </c>
    </row>
    <row r="12" spans="1:341" ht="20.149999999999999" customHeight="1" x14ac:dyDescent="0.2">
      <c r="B12" s="25">
        <v>46179</v>
      </c>
      <c r="C12" s="26" t="s">
        <v>1156</v>
      </c>
      <c r="D12" s="26" t="s">
        <v>21</v>
      </c>
      <c r="E12" s="26" t="s">
        <v>19</v>
      </c>
      <c r="F12" s="26">
        <v>20260605003</v>
      </c>
      <c r="G12" s="26" t="s">
        <v>1199</v>
      </c>
      <c r="H12" s="38">
        <f t="shared" si="1"/>
        <v>30664.597964376586</v>
      </c>
      <c r="I12" s="27">
        <v>4340</v>
      </c>
      <c r="J12" s="27">
        <v>4350</v>
      </c>
      <c r="K12" s="38">
        <f>J12/0.786+1</f>
        <v>5535.3511450381675</v>
      </c>
      <c r="L12" s="37"/>
      <c r="M12" s="85"/>
      <c r="N12" s="26"/>
      <c r="O12" s="29">
        <v>46177</v>
      </c>
      <c r="P12" s="28">
        <f t="shared" si="0"/>
        <v>46541</v>
      </c>
    </row>
    <row r="13" spans="1:341" ht="20.149999999999999" customHeight="1" x14ac:dyDescent="0.2">
      <c r="B13" s="25">
        <v>46193</v>
      </c>
      <c r="C13" s="26" t="s">
        <v>1293</v>
      </c>
      <c r="D13" s="26" t="s">
        <v>21</v>
      </c>
      <c r="E13" s="26" t="s">
        <v>2086</v>
      </c>
      <c r="F13" s="26">
        <v>20260618001</v>
      </c>
      <c r="G13" s="26" t="s">
        <v>547</v>
      </c>
      <c r="H13" s="38">
        <f t="shared" si="1"/>
        <v>25600.984732824421</v>
      </c>
      <c r="I13" s="27">
        <v>4260</v>
      </c>
      <c r="J13" s="27">
        <v>3980</v>
      </c>
      <c r="K13" s="38">
        <f>J13/0.786</f>
        <v>5063.6132315521627</v>
      </c>
      <c r="L13" s="37"/>
      <c r="M13" s="85"/>
      <c r="N13" s="26"/>
      <c r="O13" s="29">
        <v>46190</v>
      </c>
      <c r="P13" s="28">
        <f t="shared" ref="P13:P28" si="2">DATE(YEAR(O13)+1,MONTH(O13),DAY(O13))-1</f>
        <v>46554</v>
      </c>
    </row>
    <row r="14" spans="1:341" ht="20.149999999999999" customHeight="1" x14ac:dyDescent="0.2">
      <c r="B14" s="25">
        <v>46211</v>
      </c>
      <c r="C14" s="26" t="s">
        <v>1521</v>
      </c>
      <c r="D14" s="26" t="s">
        <v>21</v>
      </c>
      <c r="E14" s="26" t="s">
        <v>19</v>
      </c>
      <c r="F14" s="26">
        <v>20260707002</v>
      </c>
      <c r="G14" s="26" t="s">
        <v>1199</v>
      </c>
      <c r="H14" s="38">
        <f t="shared" si="1"/>
        <v>20116.524173027985</v>
      </c>
      <c r="I14" s="27">
        <v>4340</v>
      </c>
      <c r="J14" s="27">
        <v>4310</v>
      </c>
      <c r="K14" s="38">
        <f>J14/0.786+1</f>
        <v>5484.4605597964373</v>
      </c>
      <c r="L14" s="37"/>
      <c r="M14" s="85"/>
      <c r="N14" s="26"/>
      <c r="O14" s="29">
        <v>46208</v>
      </c>
      <c r="P14" s="28">
        <f t="shared" si="2"/>
        <v>46572</v>
      </c>
    </row>
    <row r="15" spans="1:341" ht="20.149999999999999" customHeight="1" x14ac:dyDescent="0.2">
      <c r="B15" s="25">
        <v>46228</v>
      </c>
      <c r="C15" s="26" t="s">
        <v>1714</v>
      </c>
      <c r="D15" s="26" t="s">
        <v>1713</v>
      </c>
      <c r="E15" s="26" t="s">
        <v>19</v>
      </c>
      <c r="F15" s="26">
        <v>20260724001</v>
      </c>
      <c r="G15" s="26" t="s">
        <v>547</v>
      </c>
      <c r="H15" s="38">
        <f>H14-K15</f>
        <v>14696.676844783709</v>
      </c>
      <c r="I15" s="27">
        <v>4270</v>
      </c>
      <c r="J15" s="27">
        <v>4260</v>
      </c>
      <c r="K15" s="38">
        <f>J15/0.786</f>
        <v>5419.8473282442746</v>
      </c>
      <c r="L15" s="37"/>
      <c r="M15" s="85"/>
      <c r="N15" s="26"/>
      <c r="O15" s="29">
        <v>46224</v>
      </c>
      <c r="P15" s="28">
        <f t="shared" si="2"/>
        <v>46588</v>
      </c>
    </row>
    <row r="16" spans="1:341" ht="20.149999999999999" customHeight="1" x14ac:dyDescent="0.2">
      <c r="B16" s="25">
        <v>46244</v>
      </c>
      <c r="C16" s="26" t="s">
        <v>1886</v>
      </c>
      <c r="D16" s="26" t="s">
        <v>1052</v>
      </c>
      <c r="E16" s="26" t="s">
        <v>19</v>
      </c>
      <c r="F16" s="26" t="s">
        <v>2158</v>
      </c>
      <c r="G16" s="26" t="s">
        <v>547</v>
      </c>
      <c r="H16" s="38">
        <f>H15-K16</f>
        <v>9212.216284987273</v>
      </c>
      <c r="I16" s="27">
        <v>4320</v>
      </c>
      <c r="J16" s="27">
        <v>4310</v>
      </c>
      <c r="K16" s="38">
        <f>J16/0.786+1</f>
        <v>5484.4605597964373</v>
      </c>
      <c r="L16" s="37"/>
      <c r="M16" s="85"/>
      <c r="N16" s="26"/>
      <c r="O16" s="29">
        <v>46242</v>
      </c>
      <c r="P16" s="28">
        <f t="shared" si="2"/>
        <v>46606</v>
      </c>
    </row>
    <row r="17" spans="2:16" ht="20.149999999999999" customHeight="1" x14ac:dyDescent="0.2">
      <c r="B17" s="25">
        <v>46259</v>
      </c>
      <c r="C17" s="26" t="s">
        <v>2061</v>
      </c>
      <c r="D17" s="26" t="str">
        <f>IF($C17="", "", MID($C17, 6, IF(MID($C17, LEN($C17)-1, 1)="J", 3, 4)))</f>
        <v>E304</v>
      </c>
      <c r="E17" s="26" t="s">
        <v>19</v>
      </c>
      <c r="F17" s="26">
        <v>20260821009</v>
      </c>
      <c r="G17" s="26" t="s">
        <v>547</v>
      </c>
      <c r="H17" s="38">
        <f>H16-K17</f>
        <v>3727.7557251908356</v>
      </c>
      <c r="I17" s="27">
        <v>4320</v>
      </c>
      <c r="J17" s="27">
        <v>4310</v>
      </c>
      <c r="K17" s="38">
        <f>J17/0.786+1</f>
        <v>5484.4605597964373</v>
      </c>
      <c r="L17" s="37"/>
      <c r="M17" s="85"/>
      <c r="N17" s="26"/>
      <c r="O17" s="29">
        <f>IF($C17="","",DATE(2000+LEFT($C17,2), HEX2DEC(MID($C17,3,1)), MID($C17,4,2)))</f>
        <v>46256</v>
      </c>
      <c r="P17" s="28">
        <f t="shared" si="2"/>
        <v>46620</v>
      </c>
    </row>
    <row r="18" spans="2:16" ht="20.149999999999999" customHeight="1" x14ac:dyDescent="0.25">
      <c r="B18" s="25">
        <v>46272</v>
      </c>
      <c r="C18" s="26" t="s">
        <v>2342</v>
      </c>
      <c r="D18" s="26" t="str">
        <f>IF($C18="", "", MID($C18, 6, IF(MID($C18, LEN($C18)-1, 1)="J", 3, 4)))</f>
        <v>E304</v>
      </c>
      <c r="E18" s="26" t="s">
        <v>19</v>
      </c>
      <c r="F18" s="26" t="s">
        <v>2370</v>
      </c>
      <c r="G18" s="26" t="s">
        <v>2371</v>
      </c>
      <c r="H18" s="38">
        <f>H17-K18</f>
        <v>-2.2442748091643807</v>
      </c>
      <c r="I18" s="27">
        <v>4520</v>
      </c>
      <c r="J18" s="27">
        <v>4470</v>
      </c>
      <c r="K18" s="38">
        <v>3730</v>
      </c>
      <c r="L18" s="55" t="s">
        <v>2372</v>
      </c>
      <c r="M18" s="85"/>
      <c r="N18" s="108">
        <v>0.375</v>
      </c>
      <c r="O18" s="29">
        <f t="shared" ref="O18:O81" si="3">IF($C18="","",DATE(2000+LEFT($C18,2), HEX2DEC(MID($C18,3,1)), MID($C18,4,2)))</f>
        <v>46270</v>
      </c>
      <c r="P18" s="28">
        <f t="shared" si="2"/>
        <v>46634</v>
      </c>
    </row>
    <row r="19" spans="2:16" ht="20.149999999999999" customHeight="1" x14ac:dyDescent="0.2">
      <c r="B19" s="101"/>
      <c r="C19" s="102"/>
      <c r="D19" s="102" t="str">
        <f t="shared" ref="D19:D30" si="4">IF($C19="", "", MID($C19, 6, IF(MID($C19, LEN($C19)-1, 1)="J", 3, 4)))</f>
        <v/>
      </c>
      <c r="E19" s="102"/>
      <c r="F19" s="102" t="s">
        <v>2373</v>
      </c>
      <c r="G19" s="102" t="s">
        <v>2144</v>
      </c>
      <c r="H19" s="105">
        <f>11348-K19</f>
        <v>9390</v>
      </c>
      <c r="I19" s="102"/>
      <c r="J19" s="102"/>
      <c r="K19" s="105">
        <v>1958</v>
      </c>
      <c r="L19" s="103"/>
      <c r="M19" s="104"/>
      <c r="N19" s="123"/>
      <c r="O19" s="29" t="str">
        <f t="shared" si="3"/>
        <v/>
      </c>
      <c r="P19" s="28" t="e">
        <f t="shared" si="2"/>
        <v>#VALUE!</v>
      </c>
    </row>
    <row r="20" spans="2:16" ht="20.149999999999999" customHeight="1" x14ac:dyDescent="0.2">
      <c r="D20" s="26" t="str">
        <f t="shared" si="4"/>
        <v/>
      </c>
      <c r="N20" s="119"/>
      <c r="O20" s="29" t="str">
        <f t="shared" si="3"/>
        <v/>
      </c>
      <c r="P20" s="28" t="e">
        <f t="shared" si="2"/>
        <v>#VALUE!</v>
      </c>
    </row>
    <row r="21" spans="2:16" ht="20.149999999999999" customHeight="1" x14ac:dyDescent="0.2">
      <c r="D21" s="26" t="str">
        <f t="shared" si="4"/>
        <v/>
      </c>
      <c r="N21" s="119"/>
      <c r="O21" s="29" t="str">
        <f t="shared" si="3"/>
        <v/>
      </c>
      <c r="P21" s="28" t="e">
        <f t="shared" si="2"/>
        <v>#VALUE!</v>
      </c>
    </row>
    <row r="22" spans="2:16" ht="20.149999999999999" customHeight="1" x14ac:dyDescent="0.2">
      <c r="D22" s="26" t="str">
        <f t="shared" si="4"/>
        <v/>
      </c>
      <c r="N22" s="119"/>
      <c r="O22" s="29" t="str">
        <f t="shared" si="3"/>
        <v/>
      </c>
      <c r="P22" s="28" t="e">
        <f t="shared" si="2"/>
        <v>#VALUE!</v>
      </c>
    </row>
    <row r="23" spans="2:16" ht="20.149999999999999" customHeight="1" x14ac:dyDescent="0.2">
      <c r="D23" s="26" t="str">
        <f t="shared" si="4"/>
        <v/>
      </c>
      <c r="N23" s="119"/>
      <c r="O23" s="29" t="str">
        <f t="shared" si="3"/>
        <v/>
      </c>
      <c r="P23" s="28" t="e">
        <f t="shared" si="2"/>
        <v>#VALUE!</v>
      </c>
    </row>
    <row r="24" spans="2:16" ht="20.149999999999999" customHeight="1" x14ac:dyDescent="0.2">
      <c r="D24" s="26" t="str">
        <f t="shared" si="4"/>
        <v/>
      </c>
      <c r="N24" s="119"/>
      <c r="O24" s="29" t="str">
        <f t="shared" si="3"/>
        <v/>
      </c>
      <c r="P24" s="28" t="e">
        <f t="shared" si="2"/>
        <v>#VALUE!</v>
      </c>
    </row>
    <row r="25" spans="2:16" ht="20.149999999999999" customHeight="1" x14ac:dyDescent="0.2">
      <c r="D25" s="26" t="str">
        <f t="shared" si="4"/>
        <v/>
      </c>
      <c r="N25" s="119"/>
      <c r="O25" s="29" t="str">
        <f t="shared" si="3"/>
        <v/>
      </c>
      <c r="P25" s="28" t="e">
        <f t="shared" si="2"/>
        <v>#VALUE!</v>
      </c>
    </row>
    <row r="26" spans="2:16" ht="20.149999999999999" customHeight="1" x14ac:dyDescent="0.2">
      <c r="D26" s="26" t="str">
        <f t="shared" si="4"/>
        <v/>
      </c>
      <c r="N26" s="119"/>
      <c r="O26" s="29" t="str">
        <f t="shared" si="3"/>
        <v/>
      </c>
      <c r="P26" s="28" t="e">
        <f t="shared" si="2"/>
        <v>#VALUE!</v>
      </c>
    </row>
    <row r="27" spans="2:16" ht="20.149999999999999" customHeight="1" x14ac:dyDescent="0.2">
      <c r="D27" s="26" t="str">
        <f t="shared" si="4"/>
        <v/>
      </c>
      <c r="N27" s="119"/>
      <c r="O27" s="29" t="str">
        <f t="shared" si="3"/>
        <v/>
      </c>
      <c r="P27" s="28" t="e">
        <f t="shared" si="2"/>
        <v>#VALUE!</v>
      </c>
    </row>
    <row r="28" spans="2:16" ht="20.149999999999999" customHeight="1" x14ac:dyDescent="0.2">
      <c r="D28" s="26" t="str">
        <f t="shared" si="4"/>
        <v/>
      </c>
      <c r="N28" s="119"/>
      <c r="O28" s="29" t="str">
        <f t="shared" si="3"/>
        <v/>
      </c>
      <c r="P28" s="28" t="e">
        <f t="shared" si="2"/>
        <v>#VALUE!</v>
      </c>
    </row>
    <row r="29" spans="2:16" ht="20.149999999999999" customHeight="1" x14ac:dyDescent="0.2">
      <c r="D29" s="26" t="str">
        <f t="shared" si="4"/>
        <v/>
      </c>
      <c r="N29" s="119"/>
      <c r="O29" s="29" t="str">
        <f t="shared" si="3"/>
        <v/>
      </c>
    </row>
    <row r="30" spans="2:16" ht="20.149999999999999" customHeight="1" x14ac:dyDescent="0.2">
      <c r="D30" s="26" t="str">
        <f t="shared" si="4"/>
        <v/>
      </c>
      <c r="N30" s="119"/>
      <c r="O30" s="29" t="str">
        <f t="shared" si="3"/>
        <v/>
      </c>
    </row>
    <row r="31" spans="2:16" ht="20.149999999999999" customHeight="1" x14ac:dyDescent="0.2">
      <c r="N31" s="119"/>
      <c r="O31" s="29" t="str">
        <f t="shared" si="3"/>
        <v/>
      </c>
    </row>
    <row r="32" spans="2:16" ht="20.149999999999999" customHeight="1" x14ac:dyDescent="0.2">
      <c r="N32" s="119"/>
      <c r="O32" s="29" t="str">
        <f t="shared" si="3"/>
        <v/>
      </c>
    </row>
    <row r="33" spans="3:15" ht="20.149999999999999" customHeight="1" x14ac:dyDescent="0.2">
      <c r="N33" s="119"/>
      <c r="O33" s="29" t="str">
        <f t="shared" si="3"/>
        <v/>
      </c>
    </row>
    <row r="34" spans="3:15" ht="20.149999999999999" customHeight="1" x14ac:dyDescent="0.2">
      <c r="N34" s="119"/>
      <c r="O34" s="29" t="str">
        <f t="shared" si="3"/>
        <v/>
      </c>
    </row>
    <row r="35" spans="3:15" ht="20.149999999999999" customHeight="1" x14ac:dyDescent="0.2">
      <c r="N35" s="119"/>
      <c r="O35" s="29" t="str">
        <f t="shared" si="3"/>
        <v/>
      </c>
    </row>
    <row r="36" spans="3:15" ht="20.149999999999999" customHeight="1" x14ac:dyDescent="0.2">
      <c r="N36" s="119"/>
      <c r="O36" s="29" t="str">
        <f t="shared" si="3"/>
        <v/>
      </c>
    </row>
    <row r="37" spans="3:15" ht="20.149999999999999" customHeight="1" x14ac:dyDescent="0.2">
      <c r="N37" s="119"/>
      <c r="O37" s="29" t="str">
        <f t="shared" si="3"/>
        <v/>
      </c>
    </row>
    <row r="38" spans="3:15" ht="20.149999999999999" customHeight="1" x14ac:dyDescent="0.2">
      <c r="N38" s="118"/>
      <c r="O38" s="29" t="str">
        <f t="shared" si="3"/>
        <v/>
      </c>
    </row>
    <row r="39" spans="3:15" ht="20.149999999999999" customHeight="1" x14ac:dyDescent="0.2">
      <c r="N39" s="118"/>
      <c r="O39" s="29" t="str">
        <f t="shared" si="3"/>
        <v/>
      </c>
    </row>
    <row r="40" spans="3:15" ht="20.149999999999999" customHeight="1" x14ac:dyDescent="0.2">
      <c r="C40" s="39" ph="1"/>
      <c r="N40" s="118"/>
      <c r="O40" s="29" t="str">
        <f t="shared" si="3"/>
        <v/>
      </c>
    </row>
    <row r="41" spans="3:15" ht="20.149999999999999" customHeight="1" x14ac:dyDescent="0.2">
      <c r="C41" s="39" ph="1"/>
      <c r="N41" s="118"/>
      <c r="O41" s="29" t="str">
        <f t="shared" si="3"/>
        <v/>
      </c>
    </row>
    <row r="42" spans="3:15" ht="20.149999999999999" customHeight="1" x14ac:dyDescent="0.2">
      <c r="N42" s="118"/>
      <c r="O42" s="29" t="str">
        <f t="shared" si="3"/>
        <v/>
      </c>
    </row>
    <row r="43" spans="3:15" ht="20.149999999999999" customHeight="1" x14ac:dyDescent="0.2">
      <c r="N43" s="118"/>
      <c r="O43" s="29" t="str">
        <f t="shared" si="3"/>
        <v/>
      </c>
    </row>
    <row r="44" spans="3:15" ht="20.149999999999999" customHeight="1" x14ac:dyDescent="0.2">
      <c r="N44" s="118"/>
      <c r="O44" s="29" t="str">
        <f t="shared" si="3"/>
        <v/>
      </c>
    </row>
    <row r="45" spans="3:15" ht="20.149999999999999" customHeight="1" x14ac:dyDescent="0.2">
      <c r="N45" s="118"/>
      <c r="O45" s="29" t="str">
        <f t="shared" si="3"/>
        <v/>
      </c>
    </row>
    <row r="46" spans="3:15" ht="20.149999999999999" customHeight="1" x14ac:dyDescent="0.2">
      <c r="N46" s="118"/>
      <c r="O46" s="29" t="str">
        <f t="shared" si="3"/>
        <v/>
      </c>
    </row>
    <row r="47" spans="3:15" ht="20.149999999999999" customHeight="1" x14ac:dyDescent="0.2">
      <c r="N47" s="118"/>
      <c r="O47" s="29" t="str">
        <f t="shared" si="3"/>
        <v/>
      </c>
    </row>
    <row r="48" spans="3:15" ht="20.149999999999999" customHeight="1" x14ac:dyDescent="0.2">
      <c r="N48" s="118"/>
      <c r="O48" s="29" t="str">
        <f t="shared" si="3"/>
        <v/>
      </c>
    </row>
    <row r="49" spans="14:15" ht="20.149999999999999" customHeight="1" x14ac:dyDescent="0.2">
      <c r="N49" s="118"/>
      <c r="O49" s="29" t="str">
        <f t="shared" si="3"/>
        <v/>
      </c>
    </row>
    <row r="50" spans="14:15" ht="20.149999999999999" customHeight="1" x14ac:dyDescent="0.2">
      <c r="N50" s="118"/>
      <c r="O50" s="29" t="str">
        <f t="shared" si="3"/>
        <v/>
      </c>
    </row>
    <row r="51" spans="14:15" ht="20.149999999999999" customHeight="1" x14ac:dyDescent="0.2">
      <c r="N51" s="118"/>
      <c r="O51" s="29" t="str">
        <f t="shared" si="3"/>
        <v/>
      </c>
    </row>
    <row r="52" spans="14:15" ht="20.149999999999999" customHeight="1" x14ac:dyDescent="0.2">
      <c r="N52" s="118"/>
      <c r="O52" s="29" t="str">
        <f t="shared" si="3"/>
        <v/>
      </c>
    </row>
    <row r="53" spans="14:15" ht="20.149999999999999" customHeight="1" x14ac:dyDescent="0.2">
      <c r="N53" s="118"/>
      <c r="O53" s="29" t="str">
        <f t="shared" si="3"/>
        <v/>
      </c>
    </row>
    <row r="54" spans="14:15" ht="20.149999999999999" customHeight="1" x14ac:dyDescent="0.2">
      <c r="N54" s="118"/>
      <c r="O54" s="29" t="str">
        <f t="shared" si="3"/>
        <v/>
      </c>
    </row>
    <row r="55" spans="14:15" ht="20.149999999999999" customHeight="1" x14ac:dyDescent="0.2">
      <c r="N55" s="118"/>
      <c r="O55" s="29" t="str">
        <f t="shared" si="3"/>
        <v/>
      </c>
    </row>
    <row r="56" spans="14:15" ht="20.149999999999999" customHeight="1" x14ac:dyDescent="0.2">
      <c r="N56" s="118"/>
      <c r="O56" s="29" t="str">
        <f t="shared" si="3"/>
        <v/>
      </c>
    </row>
    <row r="57" spans="14:15" ht="20.149999999999999" customHeight="1" x14ac:dyDescent="0.2">
      <c r="N57" s="118"/>
      <c r="O57" s="29" t="str">
        <f t="shared" si="3"/>
        <v/>
      </c>
    </row>
    <row r="58" spans="14:15" ht="20.149999999999999" customHeight="1" x14ac:dyDescent="0.2">
      <c r="N58" s="118"/>
      <c r="O58" s="29" t="str">
        <f t="shared" si="3"/>
        <v/>
      </c>
    </row>
    <row r="59" spans="14:15" ht="20.149999999999999" customHeight="1" x14ac:dyDescent="0.2">
      <c r="N59" s="118"/>
      <c r="O59" s="29" t="str">
        <f t="shared" si="3"/>
        <v/>
      </c>
    </row>
    <row r="60" spans="14:15" ht="20.149999999999999" customHeight="1" x14ac:dyDescent="0.2">
      <c r="N60" s="118"/>
      <c r="O60" s="29" t="str">
        <f t="shared" si="3"/>
        <v/>
      </c>
    </row>
    <row r="61" spans="14:15" ht="20.149999999999999" customHeight="1" x14ac:dyDescent="0.2">
      <c r="N61" s="118"/>
      <c r="O61" s="29" t="str">
        <f t="shared" si="3"/>
        <v/>
      </c>
    </row>
    <row r="62" spans="14:15" ht="20.149999999999999" customHeight="1" x14ac:dyDescent="0.2">
      <c r="N62" s="118"/>
      <c r="O62" s="29" t="str">
        <f t="shared" si="3"/>
        <v/>
      </c>
    </row>
    <row r="63" spans="14:15" ht="20.149999999999999" customHeight="1" x14ac:dyDescent="0.2">
      <c r="N63" s="118"/>
      <c r="O63" s="29" t="str">
        <f t="shared" si="3"/>
        <v/>
      </c>
    </row>
    <row r="64" spans="14:15" ht="20.149999999999999" customHeight="1" x14ac:dyDescent="0.2">
      <c r="N64" s="118"/>
      <c r="O64" s="29" t="str">
        <f t="shared" si="3"/>
        <v/>
      </c>
    </row>
    <row r="65" spans="14:15" ht="20.149999999999999" customHeight="1" x14ac:dyDescent="0.2">
      <c r="N65" s="118"/>
      <c r="O65" s="29" t="str">
        <f t="shared" si="3"/>
        <v/>
      </c>
    </row>
    <row r="66" spans="14:15" ht="20.149999999999999" customHeight="1" x14ac:dyDescent="0.2">
      <c r="N66" s="118"/>
      <c r="O66" s="29" t="str">
        <f t="shared" si="3"/>
        <v/>
      </c>
    </row>
    <row r="67" spans="14:15" ht="20.149999999999999" customHeight="1" x14ac:dyDescent="0.2">
      <c r="N67" s="118"/>
      <c r="O67" s="29" t="str">
        <f t="shared" si="3"/>
        <v/>
      </c>
    </row>
    <row r="68" spans="14:15" ht="20.149999999999999" customHeight="1" x14ac:dyDescent="0.2">
      <c r="N68" s="118"/>
      <c r="O68" s="29" t="str">
        <f t="shared" si="3"/>
        <v/>
      </c>
    </row>
    <row r="69" spans="14:15" ht="20.149999999999999" customHeight="1" x14ac:dyDescent="0.2">
      <c r="N69" s="118"/>
      <c r="O69" s="29" t="str">
        <f t="shared" si="3"/>
        <v/>
      </c>
    </row>
    <row r="70" spans="14:15" ht="20.149999999999999" customHeight="1" x14ac:dyDescent="0.2">
      <c r="N70" s="118"/>
      <c r="O70" s="29" t="str">
        <f t="shared" si="3"/>
        <v/>
      </c>
    </row>
    <row r="71" spans="14:15" ht="20.149999999999999" customHeight="1" x14ac:dyDescent="0.2">
      <c r="N71" s="118"/>
      <c r="O71" s="29" t="str">
        <f t="shared" si="3"/>
        <v/>
      </c>
    </row>
    <row r="72" spans="14:15" ht="20.149999999999999" customHeight="1" x14ac:dyDescent="0.2">
      <c r="N72" s="118"/>
      <c r="O72" s="29" t="str">
        <f t="shared" si="3"/>
        <v/>
      </c>
    </row>
    <row r="73" spans="14:15" ht="20.149999999999999" customHeight="1" x14ac:dyDescent="0.2">
      <c r="N73" s="118"/>
      <c r="O73" s="29" t="str">
        <f t="shared" si="3"/>
        <v/>
      </c>
    </row>
    <row r="74" spans="14:15" ht="20.149999999999999" customHeight="1" x14ac:dyDescent="0.2">
      <c r="N74" s="118"/>
      <c r="O74" s="29" t="str">
        <f t="shared" si="3"/>
        <v/>
      </c>
    </row>
    <row r="75" spans="14:15" ht="20.149999999999999" customHeight="1" x14ac:dyDescent="0.2">
      <c r="N75" s="118"/>
      <c r="O75" s="29" t="str">
        <f t="shared" si="3"/>
        <v/>
      </c>
    </row>
    <row r="76" spans="14:15" ht="20.149999999999999" customHeight="1" x14ac:dyDescent="0.2">
      <c r="N76" s="118"/>
      <c r="O76" s="29" t="str">
        <f t="shared" si="3"/>
        <v/>
      </c>
    </row>
    <row r="77" spans="14:15" ht="20.149999999999999" customHeight="1" x14ac:dyDescent="0.2">
      <c r="N77" s="118"/>
      <c r="O77" s="29" t="str">
        <f t="shared" si="3"/>
        <v/>
      </c>
    </row>
    <row r="78" spans="14:15" ht="20.149999999999999" customHeight="1" x14ac:dyDescent="0.2">
      <c r="N78" s="118"/>
      <c r="O78" s="29" t="str">
        <f t="shared" si="3"/>
        <v/>
      </c>
    </row>
    <row r="79" spans="14:15" ht="20.149999999999999" customHeight="1" x14ac:dyDescent="0.2">
      <c r="N79" s="118"/>
      <c r="O79" s="29" t="str">
        <f t="shared" si="3"/>
        <v/>
      </c>
    </row>
    <row r="80" spans="14:15" ht="20.149999999999999" customHeight="1" x14ac:dyDescent="0.2">
      <c r="N80" s="118"/>
      <c r="O80" s="29" t="str">
        <f t="shared" si="3"/>
        <v/>
      </c>
    </row>
    <row r="81" spans="14:15" ht="20.149999999999999" customHeight="1" x14ac:dyDescent="0.2">
      <c r="N81" s="118"/>
      <c r="O81" s="29" t="str">
        <f t="shared" si="3"/>
        <v/>
      </c>
    </row>
    <row r="82" spans="14:15" ht="20.149999999999999" customHeight="1" x14ac:dyDescent="0.2">
      <c r="N82" s="118"/>
      <c r="O82" s="29" t="str">
        <f t="shared" ref="O82:O145" si="5">IF($C82="","",DATE(2000+LEFT($C82,2), HEX2DEC(MID($C82,3,1)), MID($C82,4,2)))</f>
        <v/>
      </c>
    </row>
    <row r="83" spans="14:15" ht="20.149999999999999" customHeight="1" x14ac:dyDescent="0.2">
      <c r="N83" s="118"/>
      <c r="O83" s="29" t="str">
        <f t="shared" si="5"/>
        <v/>
      </c>
    </row>
    <row r="84" spans="14:15" ht="20.149999999999999" customHeight="1" x14ac:dyDescent="0.2">
      <c r="N84" s="118"/>
      <c r="O84" s="29" t="str">
        <f t="shared" si="5"/>
        <v/>
      </c>
    </row>
    <row r="85" spans="14:15" ht="20.149999999999999" customHeight="1" x14ac:dyDescent="0.2">
      <c r="N85" s="118"/>
      <c r="O85" s="29" t="str">
        <f t="shared" si="5"/>
        <v/>
      </c>
    </row>
    <row r="86" spans="14:15" ht="20.149999999999999" customHeight="1" x14ac:dyDescent="0.2">
      <c r="N86" s="118"/>
      <c r="O86" s="29" t="str">
        <f t="shared" si="5"/>
        <v/>
      </c>
    </row>
    <row r="87" spans="14:15" ht="20.149999999999999" customHeight="1" x14ac:dyDescent="0.2">
      <c r="N87" s="118"/>
      <c r="O87" s="29" t="str">
        <f t="shared" si="5"/>
        <v/>
      </c>
    </row>
    <row r="88" spans="14:15" ht="20.149999999999999" customHeight="1" x14ac:dyDescent="0.2">
      <c r="N88" s="118"/>
      <c r="O88" s="29" t="str">
        <f t="shared" si="5"/>
        <v/>
      </c>
    </row>
    <row r="89" spans="14:15" ht="20.149999999999999" customHeight="1" x14ac:dyDescent="0.2">
      <c r="N89" s="118"/>
      <c r="O89" s="29" t="str">
        <f t="shared" si="5"/>
        <v/>
      </c>
    </row>
    <row r="90" spans="14:15" ht="20.149999999999999" customHeight="1" x14ac:dyDescent="0.2">
      <c r="N90" s="118"/>
      <c r="O90" s="29" t="str">
        <f t="shared" si="5"/>
        <v/>
      </c>
    </row>
    <row r="91" spans="14:15" ht="20.149999999999999" customHeight="1" x14ac:dyDescent="0.2">
      <c r="N91" s="118"/>
      <c r="O91" s="29" t="str">
        <f t="shared" si="5"/>
        <v/>
      </c>
    </row>
    <row r="92" spans="14:15" ht="20.149999999999999" customHeight="1" x14ac:dyDescent="0.2">
      <c r="N92" s="118"/>
      <c r="O92" s="29" t="str">
        <f t="shared" si="5"/>
        <v/>
      </c>
    </row>
    <row r="93" spans="14:15" ht="20.149999999999999" customHeight="1" x14ac:dyDescent="0.2">
      <c r="N93" s="118"/>
      <c r="O93" s="29" t="str">
        <f t="shared" si="5"/>
        <v/>
      </c>
    </row>
    <row r="94" spans="14:15" ht="20.149999999999999" customHeight="1" x14ac:dyDescent="0.2">
      <c r="N94" s="118"/>
      <c r="O94" s="29" t="str">
        <f t="shared" si="5"/>
        <v/>
      </c>
    </row>
    <row r="95" spans="14:15" ht="20.149999999999999" customHeight="1" x14ac:dyDescent="0.2">
      <c r="N95" s="118"/>
      <c r="O95" s="29" t="str">
        <f t="shared" si="5"/>
        <v/>
      </c>
    </row>
    <row r="96" spans="14:15" ht="20.149999999999999" customHeight="1" x14ac:dyDescent="0.2">
      <c r="N96" s="118"/>
      <c r="O96" s="29" t="str">
        <f t="shared" si="5"/>
        <v/>
      </c>
    </row>
    <row r="97" spans="14:15" ht="20.149999999999999" customHeight="1" x14ac:dyDescent="0.2">
      <c r="N97" s="118"/>
      <c r="O97" s="29" t="str">
        <f t="shared" si="5"/>
        <v/>
      </c>
    </row>
    <row r="98" spans="14:15" ht="20.149999999999999" customHeight="1" x14ac:dyDescent="0.2">
      <c r="N98" s="118"/>
      <c r="O98" s="29" t="str">
        <f t="shared" si="5"/>
        <v/>
      </c>
    </row>
    <row r="99" spans="14:15" ht="20.149999999999999" customHeight="1" x14ac:dyDescent="0.2">
      <c r="N99" s="118"/>
      <c r="O99" s="29" t="str">
        <f t="shared" si="5"/>
        <v/>
      </c>
    </row>
    <row r="100" spans="14:15" ht="20.149999999999999" customHeight="1" x14ac:dyDescent="0.2">
      <c r="N100" s="118"/>
      <c r="O100" s="29" t="str">
        <f t="shared" si="5"/>
        <v/>
      </c>
    </row>
    <row r="101" spans="14:15" ht="20.149999999999999" customHeight="1" x14ac:dyDescent="0.2">
      <c r="N101" s="118"/>
      <c r="O101" s="29" t="str">
        <f t="shared" si="5"/>
        <v/>
      </c>
    </row>
    <row r="102" spans="14:15" ht="20.149999999999999" customHeight="1" x14ac:dyDescent="0.2">
      <c r="N102" s="118"/>
      <c r="O102" s="29" t="str">
        <f t="shared" si="5"/>
        <v/>
      </c>
    </row>
    <row r="103" spans="14:15" ht="20.149999999999999" customHeight="1" x14ac:dyDescent="0.2">
      <c r="N103" s="118"/>
      <c r="O103" s="29" t="str">
        <f t="shared" si="5"/>
        <v/>
      </c>
    </row>
    <row r="104" spans="14:15" ht="20.149999999999999" customHeight="1" x14ac:dyDescent="0.2">
      <c r="N104" s="118"/>
      <c r="O104" s="29" t="str">
        <f t="shared" si="5"/>
        <v/>
      </c>
    </row>
    <row r="105" spans="14:15" ht="20.149999999999999" customHeight="1" x14ac:dyDescent="0.2">
      <c r="N105" s="118"/>
      <c r="O105" s="29" t="str">
        <f t="shared" si="5"/>
        <v/>
      </c>
    </row>
    <row r="106" spans="14:15" ht="20.149999999999999" customHeight="1" x14ac:dyDescent="0.2">
      <c r="N106" s="118"/>
      <c r="O106" s="29" t="str">
        <f t="shared" si="5"/>
        <v/>
      </c>
    </row>
    <row r="107" spans="14:15" ht="20.149999999999999" customHeight="1" x14ac:dyDescent="0.2">
      <c r="N107" s="118"/>
      <c r="O107" s="29" t="str">
        <f t="shared" si="5"/>
        <v/>
      </c>
    </row>
    <row r="108" spans="14:15" ht="20.149999999999999" customHeight="1" x14ac:dyDescent="0.2">
      <c r="N108" s="118"/>
      <c r="O108" s="29" t="str">
        <f t="shared" si="5"/>
        <v/>
      </c>
    </row>
    <row r="109" spans="14:15" ht="20.149999999999999" customHeight="1" x14ac:dyDescent="0.2">
      <c r="N109" s="118"/>
      <c r="O109" s="29" t="str">
        <f t="shared" si="5"/>
        <v/>
      </c>
    </row>
    <row r="110" spans="14:15" ht="20.149999999999999" customHeight="1" x14ac:dyDescent="0.2">
      <c r="N110" s="118"/>
      <c r="O110" s="29" t="str">
        <f t="shared" si="5"/>
        <v/>
      </c>
    </row>
    <row r="111" spans="14:15" ht="20.149999999999999" customHeight="1" x14ac:dyDescent="0.2">
      <c r="N111" s="118"/>
      <c r="O111" s="29" t="str">
        <f t="shared" si="5"/>
        <v/>
      </c>
    </row>
    <row r="112" spans="14:15" ht="20.149999999999999" customHeight="1" x14ac:dyDescent="0.2">
      <c r="N112" s="118"/>
      <c r="O112" s="29" t="str">
        <f t="shared" si="5"/>
        <v/>
      </c>
    </row>
    <row r="113" spans="14:15" ht="20.149999999999999" customHeight="1" x14ac:dyDescent="0.2">
      <c r="N113" s="118"/>
      <c r="O113" s="29" t="str">
        <f t="shared" si="5"/>
        <v/>
      </c>
    </row>
    <row r="114" spans="14:15" ht="20.149999999999999" customHeight="1" x14ac:dyDescent="0.2">
      <c r="N114" s="118"/>
      <c r="O114" s="29" t="str">
        <f t="shared" si="5"/>
        <v/>
      </c>
    </row>
    <row r="115" spans="14:15" ht="20.149999999999999" customHeight="1" x14ac:dyDescent="0.2">
      <c r="N115" s="118"/>
      <c r="O115" s="29" t="str">
        <f t="shared" si="5"/>
        <v/>
      </c>
    </row>
    <row r="116" spans="14:15" ht="20.149999999999999" customHeight="1" x14ac:dyDescent="0.2">
      <c r="N116" s="118"/>
      <c r="O116" s="29" t="str">
        <f t="shared" si="5"/>
        <v/>
      </c>
    </row>
    <row r="117" spans="14:15" ht="20.149999999999999" customHeight="1" x14ac:dyDescent="0.2">
      <c r="N117" s="118"/>
      <c r="O117" s="29" t="str">
        <f t="shared" si="5"/>
        <v/>
      </c>
    </row>
    <row r="118" spans="14:15" ht="20.149999999999999" customHeight="1" x14ac:dyDescent="0.2">
      <c r="N118" s="118"/>
      <c r="O118" s="29" t="str">
        <f t="shared" si="5"/>
        <v/>
      </c>
    </row>
    <row r="119" spans="14:15" ht="20.149999999999999" customHeight="1" x14ac:dyDescent="0.2">
      <c r="N119" s="118"/>
      <c r="O119" s="29" t="str">
        <f t="shared" si="5"/>
        <v/>
      </c>
    </row>
    <row r="120" spans="14:15" ht="20.149999999999999" customHeight="1" x14ac:dyDescent="0.2">
      <c r="N120" s="118"/>
      <c r="O120" s="29" t="str">
        <f t="shared" si="5"/>
        <v/>
      </c>
    </row>
    <row r="121" spans="14:15" ht="20.149999999999999" customHeight="1" x14ac:dyDescent="0.2">
      <c r="N121" s="118"/>
      <c r="O121" s="29" t="str">
        <f t="shared" si="5"/>
        <v/>
      </c>
    </row>
    <row r="122" spans="14:15" ht="20.149999999999999" customHeight="1" x14ac:dyDescent="0.2">
      <c r="N122" s="118"/>
      <c r="O122" s="29" t="str">
        <f t="shared" si="5"/>
        <v/>
      </c>
    </row>
    <row r="123" spans="14:15" ht="20.149999999999999" customHeight="1" x14ac:dyDescent="0.2">
      <c r="N123" s="118"/>
      <c r="O123" s="29" t="str">
        <f t="shared" si="5"/>
        <v/>
      </c>
    </row>
    <row r="124" spans="14:15" ht="20.149999999999999" customHeight="1" x14ac:dyDescent="0.2">
      <c r="N124" s="118"/>
      <c r="O124" s="29" t="str">
        <f t="shared" si="5"/>
        <v/>
      </c>
    </row>
    <row r="125" spans="14:15" ht="20.149999999999999" customHeight="1" x14ac:dyDescent="0.2">
      <c r="N125" s="118"/>
      <c r="O125" s="29" t="str">
        <f t="shared" si="5"/>
        <v/>
      </c>
    </row>
    <row r="126" spans="14:15" ht="20.149999999999999" customHeight="1" x14ac:dyDescent="0.2">
      <c r="N126" s="118"/>
      <c r="O126" s="29" t="str">
        <f t="shared" si="5"/>
        <v/>
      </c>
    </row>
    <row r="127" spans="14:15" ht="20.149999999999999" customHeight="1" x14ac:dyDescent="0.2">
      <c r="N127" s="118"/>
      <c r="O127" s="29" t="str">
        <f t="shared" si="5"/>
        <v/>
      </c>
    </row>
    <row r="128" spans="14:15" ht="20.149999999999999" customHeight="1" x14ac:dyDescent="0.2">
      <c r="N128" s="118"/>
      <c r="O128" s="29" t="str">
        <f t="shared" si="5"/>
        <v/>
      </c>
    </row>
    <row r="129" spans="14:15" ht="20.149999999999999" customHeight="1" x14ac:dyDescent="0.2">
      <c r="N129" s="118"/>
      <c r="O129" s="29" t="str">
        <f t="shared" si="5"/>
        <v/>
      </c>
    </row>
    <row r="130" spans="14:15" ht="20.149999999999999" customHeight="1" x14ac:dyDescent="0.2">
      <c r="N130" s="118"/>
      <c r="O130" s="29" t="str">
        <f t="shared" si="5"/>
        <v/>
      </c>
    </row>
    <row r="131" spans="14:15" ht="20.149999999999999" customHeight="1" x14ac:dyDescent="0.2">
      <c r="N131" s="118"/>
      <c r="O131" s="29" t="str">
        <f t="shared" si="5"/>
        <v/>
      </c>
    </row>
    <row r="132" spans="14:15" ht="20.149999999999999" customHeight="1" x14ac:dyDescent="0.2">
      <c r="N132" s="118"/>
      <c r="O132" s="29" t="str">
        <f t="shared" si="5"/>
        <v/>
      </c>
    </row>
    <row r="133" spans="14:15" ht="20.149999999999999" customHeight="1" x14ac:dyDescent="0.2">
      <c r="N133" s="118"/>
      <c r="O133" s="29" t="str">
        <f t="shared" si="5"/>
        <v/>
      </c>
    </row>
    <row r="134" spans="14:15" ht="20.149999999999999" customHeight="1" x14ac:dyDescent="0.2">
      <c r="N134" s="118"/>
      <c r="O134" s="29" t="str">
        <f t="shared" si="5"/>
        <v/>
      </c>
    </row>
    <row r="135" spans="14:15" ht="20.149999999999999" customHeight="1" x14ac:dyDescent="0.2">
      <c r="N135" s="118"/>
      <c r="O135" s="29" t="str">
        <f t="shared" si="5"/>
        <v/>
      </c>
    </row>
    <row r="136" spans="14:15" ht="20.149999999999999" customHeight="1" x14ac:dyDescent="0.2">
      <c r="N136" s="118"/>
      <c r="O136" s="29" t="str">
        <f t="shared" si="5"/>
        <v/>
      </c>
    </row>
    <row r="137" spans="14:15" ht="20.149999999999999" customHeight="1" x14ac:dyDescent="0.2">
      <c r="N137" s="118"/>
      <c r="O137" s="29" t="str">
        <f t="shared" si="5"/>
        <v/>
      </c>
    </row>
    <row r="138" spans="14:15" ht="20.149999999999999" customHeight="1" x14ac:dyDescent="0.2">
      <c r="N138" s="118"/>
      <c r="O138" s="29" t="str">
        <f t="shared" si="5"/>
        <v/>
      </c>
    </row>
    <row r="139" spans="14:15" ht="20.149999999999999" customHeight="1" x14ac:dyDescent="0.2">
      <c r="N139" s="118"/>
      <c r="O139" s="29" t="str">
        <f t="shared" si="5"/>
        <v/>
      </c>
    </row>
    <row r="140" spans="14:15" ht="20.149999999999999" customHeight="1" x14ac:dyDescent="0.2">
      <c r="N140" s="118"/>
      <c r="O140" s="29" t="str">
        <f t="shared" si="5"/>
        <v/>
      </c>
    </row>
    <row r="141" spans="14:15" ht="20.149999999999999" customHeight="1" x14ac:dyDescent="0.2">
      <c r="N141" s="118"/>
      <c r="O141" s="29" t="str">
        <f t="shared" si="5"/>
        <v/>
      </c>
    </row>
    <row r="142" spans="14:15" ht="20.149999999999999" customHeight="1" x14ac:dyDescent="0.2">
      <c r="N142" s="118"/>
      <c r="O142" s="29" t="str">
        <f t="shared" si="5"/>
        <v/>
      </c>
    </row>
    <row r="143" spans="14:15" ht="20.149999999999999" customHeight="1" x14ac:dyDescent="0.2">
      <c r="N143" s="118"/>
      <c r="O143" s="29" t="str">
        <f t="shared" si="5"/>
        <v/>
      </c>
    </row>
    <row r="144" spans="14:15" ht="20.149999999999999" customHeight="1" x14ac:dyDescent="0.2">
      <c r="N144" s="118"/>
      <c r="O144" s="29" t="str">
        <f t="shared" si="5"/>
        <v/>
      </c>
    </row>
    <row r="145" spans="14:15" ht="20.149999999999999" customHeight="1" x14ac:dyDescent="0.2">
      <c r="N145" s="118"/>
      <c r="O145" s="29" t="str">
        <f t="shared" si="5"/>
        <v/>
      </c>
    </row>
    <row r="146" spans="14:15" ht="20.149999999999999" customHeight="1" x14ac:dyDescent="0.2">
      <c r="N146" s="118"/>
      <c r="O146" s="29" t="str">
        <f t="shared" ref="O146:O181" si="6">IF($C146="","",DATE(2000+LEFT($C146,2), HEX2DEC(MID($C146,3,1)), MID($C146,4,2)))</f>
        <v/>
      </c>
    </row>
    <row r="147" spans="14:15" ht="20.149999999999999" customHeight="1" x14ac:dyDescent="0.2">
      <c r="O147" s="29" t="str">
        <f t="shared" si="6"/>
        <v/>
      </c>
    </row>
    <row r="148" spans="14:15" ht="20.149999999999999" customHeight="1" x14ac:dyDescent="0.2">
      <c r="O148" s="29" t="str">
        <f t="shared" si="6"/>
        <v/>
      </c>
    </row>
    <row r="149" spans="14:15" ht="20.149999999999999" customHeight="1" x14ac:dyDescent="0.2">
      <c r="O149" s="29" t="str">
        <f t="shared" si="6"/>
        <v/>
      </c>
    </row>
    <row r="150" spans="14:15" ht="20.149999999999999" customHeight="1" x14ac:dyDescent="0.2">
      <c r="O150" s="29" t="str">
        <f t="shared" si="6"/>
        <v/>
      </c>
    </row>
    <row r="151" spans="14:15" ht="20.149999999999999" customHeight="1" x14ac:dyDescent="0.2">
      <c r="O151" s="29" t="str">
        <f t="shared" si="6"/>
        <v/>
      </c>
    </row>
    <row r="152" spans="14:15" ht="20.149999999999999" customHeight="1" x14ac:dyDescent="0.2">
      <c r="O152" s="29" t="str">
        <f t="shared" si="6"/>
        <v/>
      </c>
    </row>
    <row r="153" spans="14:15" ht="20.149999999999999" customHeight="1" x14ac:dyDescent="0.2">
      <c r="O153" s="29" t="str">
        <f t="shared" si="6"/>
        <v/>
      </c>
    </row>
    <row r="154" spans="14:15" ht="20.149999999999999" customHeight="1" x14ac:dyDescent="0.2">
      <c r="O154" s="29" t="str">
        <f t="shared" si="6"/>
        <v/>
      </c>
    </row>
    <row r="155" spans="14:15" ht="20.149999999999999" customHeight="1" x14ac:dyDescent="0.2">
      <c r="O155" s="29" t="str">
        <f t="shared" si="6"/>
        <v/>
      </c>
    </row>
    <row r="156" spans="14:15" ht="20.149999999999999" customHeight="1" x14ac:dyDescent="0.2">
      <c r="O156" s="29" t="str">
        <f t="shared" si="6"/>
        <v/>
      </c>
    </row>
    <row r="157" spans="14:15" ht="20.149999999999999" customHeight="1" x14ac:dyDescent="0.2">
      <c r="O157" s="29" t="str">
        <f t="shared" si="6"/>
        <v/>
      </c>
    </row>
    <row r="158" spans="14:15" ht="20.149999999999999" customHeight="1" x14ac:dyDescent="0.2">
      <c r="O158" s="29" t="str">
        <f t="shared" si="6"/>
        <v/>
      </c>
    </row>
    <row r="159" spans="14:15" ht="20.149999999999999" customHeight="1" x14ac:dyDescent="0.2">
      <c r="O159" s="29" t="str">
        <f t="shared" si="6"/>
        <v/>
      </c>
    </row>
    <row r="160" spans="14:15" ht="20.149999999999999" customHeight="1" x14ac:dyDescent="0.2">
      <c r="O160" s="29" t="str">
        <f t="shared" si="6"/>
        <v/>
      </c>
    </row>
    <row r="161" spans="15:15" ht="20.149999999999999" customHeight="1" x14ac:dyDescent="0.2">
      <c r="O161" s="29" t="str">
        <f t="shared" si="6"/>
        <v/>
      </c>
    </row>
    <row r="162" spans="15:15" ht="20.149999999999999" customHeight="1" x14ac:dyDescent="0.2">
      <c r="O162" s="29" t="str">
        <f t="shared" si="6"/>
        <v/>
      </c>
    </row>
    <row r="163" spans="15:15" ht="20.149999999999999" customHeight="1" x14ac:dyDescent="0.2">
      <c r="O163" s="29" t="str">
        <f t="shared" si="6"/>
        <v/>
      </c>
    </row>
    <row r="164" spans="15:15" ht="20.149999999999999" customHeight="1" x14ac:dyDescent="0.2">
      <c r="O164" s="29" t="str">
        <f t="shared" si="6"/>
        <v/>
      </c>
    </row>
    <row r="165" spans="15:15" ht="20.149999999999999" customHeight="1" x14ac:dyDescent="0.2">
      <c r="O165" s="29" t="str">
        <f t="shared" si="6"/>
        <v/>
      </c>
    </row>
    <row r="166" spans="15:15" ht="20.149999999999999" customHeight="1" x14ac:dyDescent="0.2">
      <c r="O166" s="29" t="str">
        <f t="shared" si="6"/>
        <v/>
      </c>
    </row>
    <row r="167" spans="15:15" ht="20.149999999999999" customHeight="1" x14ac:dyDescent="0.2">
      <c r="O167" s="29" t="str">
        <f t="shared" si="6"/>
        <v/>
      </c>
    </row>
    <row r="168" spans="15:15" ht="20.149999999999999" customHeight="1" x14ac:dyDescent="0.2">
      <c r="O168" s="29" t="str">
        <f t="shared" si="6"/>
        <v/>
      </c>
    </row>
    <row r="169" spans="15:15" ht="20.149999999999999" customHeight="1" x14ac:dyDescent="0.2">
      <c r="O169" s="29" t="str">
        <f t="shared" si="6"/>
        <v/>
      </c>
    </row>
    <row r="170" spans="15:15" ht="20.149999999999999" customHeight="1" x14ac:dyDescent="0.2">
      <c r="O170" s="29" t="str">
        <f t="shared" si="6"/>
        <v/>
      </c>
    </row>
    <row r="171" spans="15:15" ht="20.149999999999999" customHeight="1" x14ac:dyDescent="0.2">
      <c r="O171" s="29" t="str">
        <f t="shared" si="6"/>
        <v/>
      </c>
    </row>
    <row r="172" spans="15:15" ht="20.149999999999999" customHeight="1" x14ac:dyDescent="0.2">
      <c r="O172" s="29" t="str">
        <f t="shared" si="6"/>
        <v/>
      </c>
    </row>
    <row r="173" spans="15:15" ht="20.149999999999999" customHeight="1" x14ac:dyDescent="0.2">
      <c r="O173" s="29" t="str">
        <f t="shared" si="6"/>
        <v/>
      </c>
    </row>
    <row r="174" spans="15:15" ht="20.149999999999999" customHeight="1" x14ac:dyDescent="0.2">
      <c r="O174" s="29" t="str">
        <f t="shared" si="6"/>
        <v/>
      </c>
    </row>
    <row r="175" spans="15:15" ht="20.149999999999999" customHeight="1" x14ac:dyDescent="0.2">
      <c r="O175" s="29" t="str">
        <f t="shared" si="6"/>
        <v/>
      </c>
    </row>
    <row r="176" spans="15:15" ht="20.149999999999999" customHeight="1" x14ac:dyDescent="0.2">
      <c r="O176" s="29" t="str">
        <f t="shared" si="6"/>
        <v/>
      </c>
    </row>
    <row r="177" spans="15:15" ht="20.149999999999999" customHeight="1" x14ac:dyDescent="0.2">
      <c r="O177" s="29" t="str">
        <f t="shared" si="6"/>
        <v/>
      </c>
    </row>
    <row r="178" spans="15:15" ht="20.149999999999999" customHeight="1" x14ac:dyDescent="0.2">
      <c r="O178" s="29" t="str">
        <f t="shared" si="6"/>
        <v/>
      </c>
    </row>
    <row r="179" spans="15:15" ht="20.149999999999999" customHeight="1" x14ac:dyDescent="0.2">
      <c r="O179" s="29" t="str">
        <f t="shared" si="6"/>
        <v/>
      </c>
    </row>
    <row r="180" spans="15:15" ht="20.149999999999999" customHeight="1" x14ac:dyDescent="0.2">
      <c r="O180" s="29" t="str">
        <f t="shared" si="6"/>
        <v/>
      </c>
    </row>
    <row r="181" spans="15:15" ht="20.149999999999999" customHeight="1" x14ac:dyDescent="0.2">
      <c r="O181" s="29" t="str">
        <f t="shared" si="6"/>
        <v/>
      </c>
    </row>
  </sheetData>
  <autoFilter ref="A2:T181"/>
  <customSheetViews>
    <customSheetView guid="{F261CC3E-BBAF-4421-92E0-E43167440BFB}" scale="110" showPageBreaks="1" fitToPage="1" printArea="1" showAutoFilter="1" hiddenColumns="1" topLeftCell="B1">
      <pane ySplit="2" topLeftCell="A9" activePane="bottomLeft" state="frozen"/>
      <selection pane="bottomLeft" activeCell="F23" sqref="F23"/>
      <pageMargins left="0.25" right="0.25" top="0.75" bottom="0.75" header="0.3" footer="0.3"/>
      <pageSetup paperSize="9" scale="80" orientation="landscape" r:id="rId1"/>
      <autoFilter ref="A2:T181"/>
    </customSheetView>
    <customSheetView guid="{D108A94F-96BE-4B2E-9408-7CE19DC55699}" showPageBreaks="1" fitToPage="1" printArea="1" showAutoFilter="1" hiddenColumns="1" topLeftCell="B1">
      <pane ySplit="2" topLeftCell="A3" activePane="bottomLeft" state="frozen"/>
      <selection pane="bottomLeft" activeCell="G22" sqref="G22"/>
      <pageMargins left="0.25" right="0.25" top="0.75" bottom="0.75" header="0.3" footer="0.3"/>
      <pageSetup paperSize="9" scale="79" orientation="landscape" r:id="rId2"/>
      <autoFilter ref="A2:T181"/>
    </customSheetView>
    <customSheetView guid="{8578D927-8BDE-4C99-A2DB-3E44DFA36FF2}" showPageBreaks="1" fitToPage="1" printArea="1" showAutoFilter="1" hiddenColumns="1" topLeftCell="B1">
      <pane ySplit="2" topLeftCell="A3" activePane="bottomLeft" state="frozen"/>
      <selection pane="bottomLeft" activeCell="G22" sqref="G22"/>
      <pageMargins left="0.25" right="0.25" top="0.75" bottom="0.75" header="0.3" footer="0.3"/>
      <pageSetup paperSize="9" scale="80" orientation="landscape" r:id="rId3"/>
      <autoFilter ref="A2:T181"/>
    </customSheetView>
  </customSheetViews>
  <mergeCells count="1">
    <mergeCell ref="E1:G1"/>
  </mergeCells>
  <phoneticPr fontId="3" type="noConversion"/>
  <pageMargins left="0.25" right="0.25" top="0.75" bottom="0.75" header="0.3" footer="0.3"/>
  <pageSetup paperSize="9" scale="80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B904"/>
  <sheetViews>
    <sheetView tabSelected="1" topLeftCell="B1" zoomScaleNormal="115" workbookViewId="0">
      <pane ySplit="2" topLeftCell="A773" activePane="bottomLeft" state="frozen"/>
      <selection activeCell="B1" sqref="B1"/>
      <selection pane="bottomLeft" activeCell="L792" sqref="L792"/>
    </sheetView>
  </sheetViews>
  <sheetFormatPr defaultColWidth="9" defaultRowHeight="20.149999999999999" customHeight="1" x14ac:dyDescent="0.2"/>
  <cols>
    <col min="1" max="1" width="7" style="33" hidden="1" customWidth="1"/>
    <col min="2" max="2" width="7" style="33" customWidth="1"/>
    <col min="3" max="3" width="13.875" style="39" customWidth="1"/>
    <col min="4" max="4" width="5.875" style="39" customWidth="1"/>
    <col min="5" max="5" width="9.5" style="39" customWidth="1"/>
    <col min="6" max="6" width="14.5" style="39" customWidth="1"/>
    <col min="7" max="7" width="17.5" style="39" customWidth="1"/>
    <col min="8" max="8" width="12.125" style="40" customWidth="1"/>
    <col min="9" max="11" width="10.875" style="39" customWidth="1"/>
    <col min="12" max="12" width="10.625" style="40" customWidth="1"/>
    <col min="13" max="13" width="10.625" style="86" customWidth="1"/>
    <col min="14" max="14" width="9.75" style="39" customWidth="1"/>
    <col min="15" max="15" width="8.5" style="29" customWidth="1"/>
    <col min="16" max="16" width="11.125" style="28" customWidth="1"/>
    <col min="17" max="17" width="12" style="13" customWidth="1"/>
    <col min="18" max="18" width="22.875" style="13" bestFit="1" customWidth="1"/>
    <col min="19" max="19" width="11.625" style="13" bestFit="1" customWidth="1"/>
    <col min="20" max="340" width="9" style="12"/>
    <col min="341" max="16384" width="9" style="13"/>
  </cols>
  <sheetData>
    <row r="1" spans="1:340" ht="24.05" customHeight="1" x14ac:dyDescent="0.25">
      <c r="A1" s="1"/>
      <c r="B1" s="2" t="s">
        <v>0</v>
      </c>
      <c r="C1" s="3"/>
      <c r="D1" s="4"/>
      <c r="E1" s="129" t="s">
        <v>2350</v>
      </c>
      <c r="F1" s="129"/>
      <c r="G1" s="129"/>
      <c r="H1" s="4" t="s">
        <v>1</v>
      </c>
      <c r="I1" s="4"/>
      <c r="J1" s="4"/>
      <c r="K1" s="4" t="s">
        <v>2</v>
      </c>
      <c r="L1" s="5"/>
      <c r="M1" s="87"/>
      <c r="N1" s="4"/>
      <c r="O1" s="6"/>
      <c r="P1" s="7"/>
      <c r="Q1" s="9"/>
      <c r="R1" s="10"/>
      <c r="S1" s="11"/>
    </row>
    <row r="2" spans="1:340" s="23" customFormat="1" ht="20.149999999999999" customHeight="1" x14ac:dyDescent="0.25">
      <c r="A2" s="14" t="s">
        <v>3</v>
      </c>
      <c r="B2" s="15" t="s">
        <v>4</v>
      </c>
      <c r="C2" s="16" t="s">
        <v>5</v>
      </c>
      <c r="D2" s="17" t="s">
        <v>6</v>
      </c>
      <c r="E2" s="16" t="s">
        <v>7</v>
      </c>
      <c r="F2" s="16" t="s">
        <v>2149</v>
      </c>
      <c r="G2" s="16" t="s">
        <v>8</v>
      </c>
      <c r="H2" s="18" t="s">
        <v>9</v>
      </c>
      <c r="I2" s="19" t="s">
        <v>10</v>
      </c>
      <c r="J2" s="19" t="s">
        <v>11</v>
      </c>
      <c r="K2" s="20" t="s">
        <v>12</v>
      </c>
      <c r="L2" s="17" t="s">
        <v>13</v>
      </c>
      <c r="M2" s="88" t="s">
        <v>2143</v>
      </c>
      <c r="N2" s="17" t="s">
        <v>2140</v>
      </c>
      <c r="O2" s="6" t="s">
        <v>14</v>
      </c>
      <c r="P2" s="21" t="s">
        <v>15</v>
      </c>
      <c r="Q2" s="9" t="s">
        <v>17</v>
      </c>
      <c r="R2" s="22" t="s">
        <v>18</v>
      </c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</row>
    <row r="3" spans="1:340" ht="20.149999999999999" customHeight="1" x14ac:dyDescent="0.2">
      <c r="B3" s="45">
        <v>46023</v>
      </c>
      <c r="C3" s="46" t="s">
        <v>37</v>
      </c>
      <c r="D3" s="46" t="s">
        <v>35</v>
      </c>
      <c r="E3" s="46" t="s">
        <v>25</v>
      </c>
      <c r="F3" s="46" t="s">
        <v>2159</v>
      </c>
      <c r="G3" s="46" t="s">
        <v>26</v>
      </c>
      <c r="H3" s="48">
        <f>650855-K3</f>
        <v>645090.64122137404</v>
      </c>
      <c r="I3" s="50">
        <v>4560</v>
      </c>
      <c r="J3" s="50">
        <v>4530</v>
      </c>
      <c r="K3" s="48">
        <f>J3/0.786+1</f>
        <v>5764.3587786259541</v>
      </c>
      <c r="L3" s="49"/>
      <c r="M3" s="84"/>
      <c r="N3" s="46"/>
      <c r="O3" s="29">
        <v>46021</v>
      </c>
      <c r="P3" s="28">
        <f t="shared" ref="P3:P8" si="0">DATE(YEAR(O3)+1,MONTH(O3),DAY(O3))-1</f>
        <v>46385</v>
      </c>
    </row>
    <row r="4" spans="1:340" ht="20.149999999999999" customHeight="1" x14ac:dyDescent="0.2">
      <c r="B4" s="30">
        <v>46023</v>
      </c>
      <c r="C4" s="31" t="s">
        <v>39</v>
      </c>
      <c r="D4" s="31" t="s">
        <v>36</v>
      </c>
      <c r="E4" s="31" t="s">
        <v>22</v>
      </c>
      <c r="F4" s="31">
        <v>20251230004</v>
      </c>
      <c r="G4" s="31" t="s">
        <v>40</v>
      </c>
      <c r="H4" s="41">
        <f>31499-K4</f>
        <v>25799.254452926209</v>
      </c>
      <c r="I4" s="32">
        <v>4420</v>
      </c>
      <c r="J4" s="32">
        <v>4480</v>
      </c>
      <c r="K4" s="41">
        <f t="shared" ref="K4:K7" si="1">J4/0.786</f>
        <v>5699.7455470737914</v>
      </c>
      <c r="L4" s="42"/>
      <c r="M4" s="89"/>
      <c r="N4" s="31"/>
      <c r="O4" s="29">
        <v>46021</v>
      </c>
      <c r="P4" s="28">
        <f t="shared" si="0"/>
        <v>46385</v>
      </c>
    </row>
    <row r="5" spans="1:340" ht="20.149999999999999" customHeight="1" x14ac:dyDescent="0.2">
      <c r="B5" s="30">
        <v>46023</v>
      </c>
      <c r="C5" s="31" t="s">
        <v>41</v>
      </c>
      <c r="D5" s="31" t="s">
        <v>38</v>
      </c>
      <c r="E5" s="31" t="s">
        <v>22</v>
      </c>
      <c r="F5" s="31" t="s">
        <v>2160</v>
      </c>
      <c r="G5" s="31" t="s">
        <v>31</v>
      </c>
      <c r="H5" s="41">
        <f>H4-K5</f>
        <v>20251.180661577608</v>
      </c>
      <c r="I5" s="32">
        <v>4330</v>
      </c>
      <c r="J5" s="32">
        <v>4360</v>
      </c>
      <c r="K5" s="41">
        <f>J5/0.786+1</f>
        <v>5548.0737913486</v>
      </c>
      <c r="L5" s="42"/>
      <c r="M5" s="89"/>
      <c r="N5" s="31"/>
      <c r="O5" s="29">
        <v>46021</v>
      </c>
      <c r="P5" s="28">
        <f t="shared" si="0"/>
        <v>46385</v>
      </c>
    </row>
    <row r="6" spans="1:340" ht="20.149999999999999" customHeight="1" x14ac:dyDescent="0.2">
      <c r="B6" s="45">
        <v>46024</v>
      </c>
      <c r="C6" s="46" t="s">
        <v>56</v>
      </c>
      <c r="D6" s="46" t="s">
        <v>51</v>
      </c>
      <c r="E6" s="46" t="s">
        <v>25</v>
      </c>
      <c r="F6" s="46">
        <v>20251230011</v>
      </c>
      <c r="G6" s="46" t="s">
        <v>26</v>
      </c>
      <c r="H6" s="48">
        <f>H3-K6</f>
        <v>639402.61832061072</v>
      </c>
      <c r="I6" s="50">
        <v>4450</v>
      </c>
      <c r="J6" s="50">
        <v>4470</v>
      </c>
      <c r="K6" s="48">
        <f>J6/0.786+1</f>
        <v>5688.0229007633588</v>
      </c>
      <c r="L6" s="49"/>
      <c r="M6" s="84"/>
      <c r="N6" s="46"/>
      <c r="O6" s="29">
        <v>46022</v>
      </c>
      <c r="P6" s="28">
        <f t="shared" si="0"/>
        <v>46386</v>
      </c>
    </row>
    <row r="7" spans="1:340" ht="20.149999999999999" customHeight="1" x14ac:dyDescent="0.2">
      <c r="B7" s="30">
        <v>46024</v>
      </c>
      <c r="C7" s="31" t="s">
        <v>54</v>
      </c>
      <c r="D7" s="31" t="s">
        <v>52</v>
      </c>
      <c r="E7" s="31" t="s">
        <v>22</v>
      </c>
      <c r="F7" s="31" t="s">
        <v>2161</v>
      </c>
      <c r="G7" s="31" t="s">
        <v>64</v>
      </c>
      <c r="H7" s="41">
        <f>H5-K7</f>
        <v>14640.493638676846</v>
      </c>
      <c r="I7" s="32">
        <v>4460</v>
      </c>
      <c r="J7" s="32">
        <v>4410</v>
      </c>
      <c r="K7" s="41">
        <f t="shared" si="1"/>
        <v>5610.6870229007627</v>
      </c>
      <c r="L7" s="42"/>
      <c r="M7" s="89"/>
      <c r="N7" s="31"/>
      <c r="O7" s="29">
        <v>46022</v>
      </c>
      <c r="P7" s="28">
        <f t="shared" si="0"/>
        <v>46386</v>
      </c>
    </row>
    <row r="8" spans="1:340" ht="20.149999999999999" customHeight="1" x14ac:dyDescent="0.25">
      <c r="B8" s="30">
        <v>46024</v>
      </c>
      <c r="C8" s="31" t="s">
        <v>55</v>
      </c>
      <c r="D8" s="31" t="s">
        <v>53</v>
      </c>
      <c r="E8" s="31" t="s">
        <v>22</v>
      </c>
      <c r="F8" s="31">
        <v>20251230014</v>
      </c>
      <c r="G8" s="31" t="s">
        <v>30</v>
      </c>
      <c r="H8" s="41">
        <f>H7-K8</f>
        <v>9143.3104325699751</v>
      </c>
      <c r="I8" s="32">
        <v>4510</v>
      </c>
      <c r="J8" s="32">
        <v>4320</v>
      </c>
      <c r="K8" s="41">
        <f>J8/0.786+1</f>
        <v>5497.1832061068699</v>
      </c>
      <c r="L8" s="51" t="s">
        <v>118</v>
      </c>
      <c r="M8" s="89"/>
      <c r="N8" s="31"/>
      <c r="O8" s="29">
        <v>46022</v>
      </c>
      <c r="P8" s="28">
        <f t="shared" si="0"/>
        <v>46386</v>
      </c>
    </row>
    <row r="9" spans="1:340" ht="20.149999999999999" customHeight="1" x14ac:dyDescent="0.2">
      <c r="B9" s="45">
        <v>46024</v>
      </c>
      <c r="C9" s="46" t="s">
        <v>63</v>
      </c>
      <c r="D9" s="46" t="s">
        <v>62</v>
      </c>
      <c r="E9" s="46" t="s">
        <v>25</v>
      </c>
      <c r="F9" s="46" t="s">
        <v>2162</v>
      </c>
      <c r="G9" s="46" t="s">
        <v>26</v>
      </c>
      <c r="H9" s="48">
        <f>H6-K9</f>
        <v>633880.98982188303</v>
      </c>
      <c r="I9" s="50">
        <v>4480</v>
      </c>
      <c r="J9" s="50">
        <v>4340</v>
      </c>
      <c r="K9" s="48">
        <f>J9/0.786</f>
        <v>5521.628498727735</v>
      </c>
      <c r="L9" s="49"/>
      <c r="M9" s="84"/>
      <c r="N9" s="46"/>
      <c r="O9" s="29">
        <v>46023</v>
      </c>
      <c r="P9" s="28">
        <f>DATE(YEAR(O9)+1,MONTH(O9),DAY(O9))-1</f>
        <v>46387</v>
      </c>
    </row>
    <row r="10" spans="1:340" ht="20.149999999999999" customHeight="1" x14ac:dyDescent="0.2">
      <c r="B10" s="45">
        <v>46025</v>
      </c>
      <c r="C10" s="46" t="s">
        <v>67</v>
      </c>
      <c r="D10" s="46" t="s">
        <v>68</v>
      </c>
      <c r="E10" s="46" t="s">
        <v>25</v>
      </c>
      <c r="F10" s="46">
        <v>20251230015</v>
      </c>
      <c r="G10" s="46" t="s">
        <v>69</v>
      </c>
      <c r="H10" s="48">
        <f>H9-K10</f>
        <v>628205.68956743006</v>
      </c>
      <c r="I10" s="50">
        <v>4500</v>
      </c>
      <c r="J10" s="50">
        <v>4460</v>
      </c>
      <c r="K10" s="48">
        <f>J10/0.786+1</f>
        <v>5675.3002544529263</v>
      </c>
      <c r="L10" s="49"/>
      <c r="M10" s="84"/>
      <c r="N10" s="46"/>
      <c r="O10" s="29">
        <v>46023</v>
      </c>
      <c r="P10" s="28">
        <f>DATE(YEAR(O10)+1,MONTH(O10),DAY(O10))-1</f>
        <v>46387</v>
      </c>
    </row>
    <row r="11" spans="1:340" ht="20.149999999999999" customHeight="1" x14ac:dyDescent="0.2">
      <c r="B11" s="30">
        <v>46025</v>
      </c>
      <c r="C11" s="31" t="s">
        <v>70</v>
      </c>
      <c r="D11" s="31" t="s">
        <v>71</v>
      </c>
      <c r="E11" s="31" t="s">
        <v>22</v>
      </c>
      <c r="F11" s="31">
        <v>20260102014</v>
      </c>
      <c r="G11" s="31" t="s">
        <v>72</v>
      </c>
      <c r="H11" s="41">
        <f>H8-K11</f>
        <v>3545.3460559796449</v>
      </c>
      <c r="I11" s="32">
        <v>4470</v>
      </c>
      <c r="J11" s="32">
        <v>4400</v>
      </c>
      <c r="K11" s="41">
        <f>J11/0.786</f>
        <v>5597.9643765903302</v>
      </c>
      <c r="L11" s="42"/>
      <c r="M11" s="89"/>
      <c r="N11" s="31"/>
      <c r="O11" s="29">
        <v>46023</v>
      </c>
      <c r="P11" s="28">
        <f>DATE(YEAR(O11)+1,MONTH(O11),DAY(O11))-1</f>
        <v>46387</v>
      </c>
    </row>
    <row r="12" spans="1:340" ht="20.149999999999999" customHeight="1" x14ac:dyDescent="0.2">
      <c r="B12" s="30">
        <v>46025</v>
      </c>
      <c r="C12" s="31" t="s">
        <v>111</v>
      </c>
      <c r="D12" s="31" t="s">
        <v>73</v>
      </c>
      <c r="E12" s="31" t="s">
        <v>66</v>
      </c>
      <c r="F12" s="31">
        <v>20260102015</v>
      </c>
      <c r="G12" s="31" t="s">
        <v>32</v>
      </c>
      <c r="H12" s="41">
        <f>H11-K12</f>
        <v>0.34605597964491608</v>
      </c>
      <c r="I12" s="32">
        <v>4390</v>
      </c>
      <c r="J12" s="32">
        <v>4410</v>
      </c>
      <c r="K12" s="41">
        <v>3545</v>
      </c>
      <c r="L12" s="42"/>
      <c r="M12" s="89"/>
      <c r="N12" s="31"/>
      <c r="O12" s="29">
        <v>46024</v>
      </c>
      <c r="P12" s="28">
        <f>DATE(YEAR(O12)+1,MONTH(O12),DAY(O12))-1</f>
        <v>46388</v>
      </c>
    </row>
    <row r="13" spans="1:340" ht="20.149999999999999" customHeight="1" x14ac:dyDescent="0.2">
      <c r="B13" s="25"/>
      <c r="C13" s="26"/>
      <c r="D13" s="26"/>
      <c r="E13" s="26" t="s">
        <v>24</v>
      </c>
      <c r="F13" s="26" t="s">
        <v>2163</v>
      </c>
      <c r="G13" s="26" t="s">
        <v>101</v>
      </c>
      <c r="H13" s="38">
        <f>272978-K13</f>
        <v>270912</v>
      </c>
      <c r="I13" s="27"/>
      <c r="J13" s="27"/>
      <c r="K13" s="38">
        <v>2066</v>
      </c>
      <c r="L13" s="37"/>
      <c r="M13" s="85"/>
      <c r="N13" s="26"/>
    </row>
    <row r="14" spans="1:340" ht="20.149999999999999" customHeight="1" x14ac:dyDescent="0.2">
      <c r="B14" s="45">
        <v>46026</v>
      </c>
      <c r="C14" s="46" t="s">
        <v>85</v>
      </c>
      <c r="D14" s="46" t="s">
        <v>80</v>
      </c>
      <c r="E14" s="46" t="s">
        <v>25</v>
      </c>
      <c r="F14" s="46" t="s">
        <v>2164</v>
      </c>
      <c r="G14" s="46" t="s">
        <v>26</v>
      </c>
      <c r="H14" s="48">
        <f>H10-K14</f>
        <v>622505.94402035628</v>
      </c>
      <c r="I14" s="50">
        <v>4540</v>
      </c>
      <c r="J14" s="50">
        <v>4480</v>
      </c>
      <c r="K14" s="48">
        <f t="shared" ref="K14:K67" si="2">J14/0.786</f>
        <v>5699.7455470737914</v>
      </c>
      <c r="L14" s="49"/>
      <c r="M14" s="84"/>
      <c r="N14" s="46"/>
      <c r="O14" s="29">
        <v>46024</v>
      </c>
      <c r="P14" s="28">
        <f t="shared" ref="P14:P67" si="3">DATE(YEAR(O14)+1,MONTH(O14),DAY(O14))-1</f>
        <v>46388</v>
      </c>
    </row>
    <row r="15" spans="1:340" ht="20.149999999999999" customHeight="1" x14ac:dyDescent="0.2">
      <c r="B15" s="25">
        <v>46026</v>
      </c>
      <c r="C15" s="26" t="s">
        <v>83</v>
      </c>
      <c r="D15" s="26" t="s">
        <v>81</v>
      </c>
      <c r="E15" s="26" t="s">
        <v>66</v>
      </c>
      <c r="F15" s="26">
        <v>20260102016</v>
      </c>
      <c r="G15" s="26" t="s">
        <v>65</v>
      </c>
      <c r="H15" s="38">
        <f>272978-K15</f>
        <v>267329.14503816795</v>
      </c>
      <c r="I15" s="27">
        <v>4520</v>
      </c>
      <c r="J15" s="27">
        <v>4440</v>
      </c>
      <c r="K15" s="38">
        <f>J15/0.786</f>
        <v>5648.8549618320612</v>
      </c>
      <c r="L15" s="37"/>
      <c r="M15" s="85"/>
      <c r="N15" s="26"/>
      <c r="O15" s="29">
        <v>46024</v>
      </c>
      <c r="P15" s="28">
        <f>DATE(YEAR(O15)+1,MONTH(O15),DAY(O15))-1</f>
        <v>46388</v>
      </c>
    </row>
    <row r="16" spans="1:340" ht="20.149999999999999" customHeight="1" x14ac:dyDescent="0.2">
      <c r="B16" s="45">
        <v>46027</v>
      </c>
      <c r="C16" s="46" t="s">
        <v>95</v>
      </c>
      <c r="D16" s="46" t="s">
        <v>88</v>
      </c>
      <c r="E16" s="46" t="s">
        <v>25</v>
      </c>
      <c r="F16" s="46" t="s">
        <v>2165</v>
      </c>
      <c r="G16" s="46" t="s">
        <v>26</v>
      </c>
      <c r="H16" s="48">
        <f>H14-K16</f>
        <v>616970.59287531814</v>
      </c>
      <c r="I16" s="50">
        <v>4280</v>
      </c>
      <c r="J16" s="50">
        <v>4350</v>
      </c>
      <c r="K16" s="48">
        <f>J16/0.786+1</f>
        <v>5535.3511450381675</v>
      </c>
      <c r="L16" s="49"/>
      <c r="M16" s="84"/>
      <c r="N16" s="46"/>
      <c r="O16" s="29">
        <v>46025</v>
      </c>
      <c r="P16" s="28">
        <f t="shared" si="3"/>
        <v>46389</v>
      </c>
    </row>
    <row r="17" spans="2:16" ht="20.149999999999999" customHeight="1" x14ac:dyDescent="0.2">
      <c r="B17" s="45">
        <v>46027</v>
      </c>
      <c r="C17" s="46" t="s">
        <v>96</v>
      </c>
      <c r="D17" s="46" t="s">
        <v>93</v>
      </c>
      <c r="E17" s="46" t="s">
        <v>25</v>
      </c>
      <c r="F17" s="46" t="s">
        <v>2166</v>
      </c>
      <c r="G17" s="46" t="s">
        <v>94</v>
      </c>
      <c r="H17" s="48">
        <f>H16-K17</f>
        <v>611321.73791348608</v>
      </c>
      <c r="I17" s="50">
        <v>4490</v>
      </c>
      <c r="J17" s="50">
        <v>4440</v>
      </c>
      <c r="K17" s="48">
        <f>J17/0.786</f>
        <v>5648.8549618320612</v>
      </c>
      <c r="L17" s="49"/>
      <c r="M17" s="84"/>
      <c r="N17" s="46"/>
      <c r="O17" s="29">
        <v>46025</v>
      </c>
      <c r="P17" s="28">
        <f>DATE(YEAR(O17)+1,MONTH(O17),DAY(O17))-1</f>
        <v>46389</v>
      </c>
    </row>
    <row r="18" spans="2:16" ht="20.149999999999999" customHeight="1" x14ac:dyDescent="0.2">
      <c r="B18" s="25">
        <v>46027</v>
      </c>
      <c r="C18" s="26" t="s">
        <v>87</v>
      </c>
      <c r="D18" s="26" t="s">
        <v>86</v>
      </c>
      <c r="E18" s="26" t="s">
        <v>66</v>
      </c>
      <c r="F18" s="26">
        <v>20260102017</v>
      </c>
      <c r="G18" s="26" t="s">
        <v>65</v>
      </c>
      <c r="H18" s="38">
        <f>H15-K18</f>
        <v>261680.29007633589</v>
      </c>
      <c r="I18" s="27">
        <v>4360</v>
      </c>
      <c r="J18" s="27">
        <v>4440</v>
      </c>
      <c r="K18" s="38">
        <f>J18/0.786</f>
        <v>5648.8549618320612</v>
      </c>
      <c r="L18" s="37"/>
      <c r="M18" s="85"/>
      <c r="N18" s="26"/>
      <c r="O18" s="29">
        <v>46025</v>
      </c>
      <c r="P18" s="28">
        <f>DATE(YEAR(O18)+1,MONTH(O18),DAY(O18))-1</f>
        <v>46389</v>
      </c>
    </row>
    <row r="19" spans="2:16" ht="20.149999999999999" customHeight="1" x14ac:dyDescent="0.2">
      <c r="B19" s="45">
        <v>46028</v>
      </c>
      <c r="C19" s="46" t="s">
        <v>103</v>
      </c>
      <c r="D19" s="46" t="s">
        <v>102</v>
      </c>
      <c r="E19" s="46" t="s">
        <v>25</v>
      </c>
      <c r="F19" s="46" t="s">
        <v>2167</v>
      </c>
      <c r="G19" s="46" t="s">
        <v>26</v>
      </c>
      <c r="H19" s="48">
        <f>H17-K19</f>
        <v>605773.66412213747</v>
      </c>
      <c r="I19" s="50">
        <v>4460</v>
      </c>
      <c r="J19" s="50">
        <v>4360</v>
      </c>
      <c r="K19" s="48">
        <f>J19/0.786+1</f>
        <v>5548.0737913486</v>
      </c>
      <c r="L19" s="49"/>
      <c r="M19" s="84"/>
      <c r="N19" s="46"/>
      <c r="O19" s="29">
        <v>46026</v>
      </c>
      <c r="P19" s="28">
        <f t="shared" si="3"/>
        <v>46390</v>
      </c>
    </row>
    <row r="20" spans="2:16" ht="20.149999999999999" customHeight="1" x14ac:dyDescent="0.2">
      <c r="B20" s="25">
        <v>46028</v>
      </c>
      <c r="C20" s="26" t="s">
        <v>108</v>
      </c>
      <c r="D20" s="26" t="s">
        <v>99</v>
      </c>
      <c r="E20" s="26" t="s">
        <v>66</v>
      </c>
      <c r="F20" s="26">
        <v>20260102019</v>
      </c>
      <c r="G20" s="26" t="s">
        <v>65</v>
      </c>
      <c r="H20" s="38">
        <f>H18-K20</f>
        <v>255966.82188295166</v>
      </c>
      <c r="I20" s="27">
        <v>4500</v>
      </c>
      <c r="J20" s="27">
        <v>4490</v>
      </c>
      <c r="K20" s="38">
        <f>J20/0.786+1</f>
        <v>5713.4681933842239</v>
      </c>
      <c r="L20" s="37"/>
      <c r="M20" s="85"/>
      <c r="N20" s="26"/>
      <c r="O20" s="29">
        <v>46026</v>
      </c>
      <c r="P20" s="28">
        <f>DATE(YEAR(O20)+1,MONTH(O20),DAY(O20))-1</f>
        <v>46390</v>
      </c>
    </row>
    <row r="21" spans="2:16" ht="20.149999999999999" customHeight="1" x14ac:dyDescent="0.2">
      <c r="B21" s="25">
        <v>46028</v>
      </c>
      <c r="C21" s="26" t="s">
        <v>109</v>
      </c>
      <c r="D21" s="26" t="s">
        <v>100</v>
      </c>
      <c r="E21" s="26" t="s">
        <v>66</v>
      </c>
      <c r="F21" s="26">
        <v>20260102020</v>
      </c>
      <c r="G21" s="26" t="s">
        <v>65</v>
      </c>
      <c r="H21" s="38">
        <f>H20-K21</f>
        <v>250368.85750636132</v>
      </c>
      <c r="I21" s="27">
        <v>4540</v>
      </c>
      <c r="J21" s="27">
        <v>4400</v>
      </c>
      <c r="K21" s="38">
        <f>J21/0.786</f>
        <v>5597.9643765903302</v>
      </c>
      <c r="L21" s="37"/>
      <c r="M21" s="85"/>
      <c r="N21" s="26"/>
      <c r="O21" s="29">
        <v>46026</v>
      </c>
      <c r="P21" s="28">
        <f>DATE(YEAR(O21)+1,MONTH(O21),DAY(O21))-1</f>
        <v>46390</v>
      </c>
    </row>
    <row r="22" spans="2:16" ht="20.149999999999999" customHeight="1" x14ac:dyDescent="0.2">
      <c r="B22" s="45">
        <v>46029</v>
      </c>
      <c r="C22" s="46" t="s">
        <v>116</v>
      </c>
      <c r="D22" s="46" t="s">
        <v>115</v>
      </c>
      <c r="E22" s="46" t="s">
        <v>25</v>
      </c>
      <c r="F22" s="46" t="s">
        <v>2168</v>
      </c>
      <c r="G22" s="46" t="s">
        <v>33</v>
      </c>
      <c r="H22" s="48">
        <f>H19-K22</f>
        <v>600225.59033078887</v>
      </c>
      <c r="I22" s="50">
        <v>4430</v>
      </c>
      <c r="J22" s="50">
        <v>4360</v>
      </c>
      <c r="K22" s="48">
        <f>J22/0.786+1</f>
        <v>5548.0737913486</v>
      </c>
      <c r="L22" s="49"/>
      <c r="M22" s="84"/>
      <c r="N22" s="46"/>
      <c r="O22" s="29">
        <v>46027</v>
      </c>
      <c r="P22" s="28">
        <f t="shared" si="3"/>
        <v>46391</v>
      </c>
    </row>
    <row r="23" spans="2:16" ht="20.149999999999999" customHeight="1" x14ac:dyDescent="0.2">
      <c r="B23" s="25">
        <v>46029</v>
      </c>
      <c r="C23" s="26" t="s">
        <v>117</v>
      </c>
      <c r="D23" s="26" t="s">
        <v>112</v>
      </c>
      <c r="E23" s="26" t="s">
        <v>66</v>
      </c>
      <c r="F23" s="26">
        <v>20260102021</v>
      </c>
      <c r="G23" s="26" t="s">
        <v>65</v>
      </c>
      <c r="H23" s="38">
        <f>H21-K23</f>
        <v>244744.44783715013</v>
      </c>
      <c r="I23" s="27">
        <v>4390</v>
      </c>
      <c r="J23" s="27">
        <v>4420</v>
      </c>
      <c r="K23" s="38">
        <f>J23/0.786+1</f>
        <v>5624.4096692111953</v>
      </c>
      <c r="L23" s="37"/>
      <c r="M23" s="85"/>
      <c r="N23" s="26"/>
      <c r="O23" s="29">
        <v>46027</v>
      </c>
      <c r="P23" s="28">
        <f>DATE(YEAR(O23)+1,MONTH(O23),DAY(O23))-1</f>
        <v>46391</v>
      </c>
    </row>
    <row r="24" spans="2:16" ht="20.149999999999999" customHeight="1" x14ac:dyDescent="0.2">
      <c r="B24" s="25">
        <v>46029</v>
      </c>
      <c r="C24" s="26" t="s">
        <v>114</v>
      </c>
      <c r="D24" s="26" t="s">
        <v>113</v>
      </c>
      <c r="E24" s="26" t="s">
        <v>66</v>
      </c>
      <c r="F24" s="26">
        <v>20260102022</v>
      </c>
      <c r="G24" s="26" t="s">
        <v>65</v>
      </c>
      <c r="H24" s="38">
        <f>H23-K24</f>
        <v>239171.92875318066</v>
      </c>
      <c r="I24" s="27">
        <v>4440</v>
      </c>
      <c r="J24" s="27">
        <v>4380</v>
      </c>
      <c r="K24" s="38">
        <f>J24/0.786</f>
        <v>5572.5190839694651</v>
      </c>
      <c r="L24" s="37"/>
      <c r="M24" s="85"/>
      <c r="N24" s="26"/>
      <c r="O24" s="29">
        <v>46027</v>
      </c>
      <c r="P24" s="28">
        <f>DATE(YEAR(O24)+1,MONTH(O24),DAY(O24))-1</f>
        <v>46391</v>
      </c>
    </row>
    <row r="25" spans="2:16" ht="20.149999999999999" customHeight="1" x14ac:dyDescent="0.2">
      <c r="B25" s="45">
        <v>46030</v>
      </c>
      <c r="C25" s="46" t="s">
        <v>122</v>
      </c>
      <c r="D25" s="46" t="s">
        <v>121</v>
      </c>
      <c r="E25" s="46" t="s">
        <v>25</v>
      </c>
      <c r="F25" s="46">
        <v>20260102009</v>
      </c>
      <c r="G25" s="46" t="s">
        <v>123</v>
      </c>
      <c r="H25" s="48">
        <f>H22-K25</f>
        <v>594614.90330788807</v>
      </c>
      <c r="I25" s="50">
        <v>4580</v>
      </c>
      <c r="J25" s="50">
        <v>4410</v>
      </c>
      <c r="K25" s="48">
        <f t="shared" si="2"/>
        <v>5610.6870229007627</v>
      </c>
      <c r="L25" s="49"/>
      <c r="M25" s="84"/>
      <c r="N25" s="46"/>
      <c r="O25" s="29">
        <v>46027</v>
      </c>
      <c r="P25" s="28">
        <f t="shared" si="3"/>
        <v>46391</v>
      </c>
    </row>
    <row r="26" spans="2:16" ht="20.149999999999999" customHeight="1" x14ac:dyDescent="0.2">
      <c r="B26" s="25">
        <v>46030</v>
      </c>
      <c r="C26" s="26" t="s">
        <v>126</v>
      </c>
      <c r="D26" s="26" t="s">
        <v>124</v>
      </c>
      <c r="E26" s="26" t="s">
        <v>66</v>
      </c>
      <c r="F26" s="26">
        <v>20260102023</v>
      </c>
      <c r="G26" s="26" t="s">
        <v>65</v>
      </c>
      <c r="H26" s="38">
        <f>H24-K26</f>
        <v>233623.85496183205</v>
      </c>
      <c r="I26" s="27">
        <v>4400</v>
      </c>
      <c r="J26" s="27">
        <v>4360</v>
      </c>
      <c r="K26" s="38">
        <f>J26/0.786+1</f>
        <v>5548.0737913486</v>
      </c>
      <c r="L26" s="37"/>
      <c r="M26" s="85"/>
      <c r="N26" s="26"/>
      <c r="O26" s="29">
        <v>46028</v>
      </c>
      <c r="P26" s="28">
        <f>DATE(YEAR(O26)+1,MONTH(O26),DAY(O26))-1</f>
        <v>46392</v>
      </c>
    </row>
    <row r="27" spans="2:16" ht="20.149999999999999" customHeight="1" x14ac:dyDescent="0.2">
      <c r="B27" s="25">
        <v>46030</v>
      </c>
      <c r="C27" s="26" t="s">
        <v>127</v>
      </c>
      <c r="D27" s="26" t="s">
        <v>125</v>
      </c>
      <c r="E27" s="26" t="s">
        <v>66</v>
      </c>
      <c r="F27" s="26">
        <v>20260102024</v>
      </c>
      <c r="G27" s="26" t="s">
        <v>65</v>
      </c>
      <c r="H27" s="38">
        <f>H26-K27</f>
        <v>227910.38676844782</v>
      </c>
      <c r="I27" s="27">
        <v>4380</v>
      </c>
      <c r="J27" s="27">
        <v>4490</v>
      </c>
      <c r="K27" s="38">
        <f>J27/0.786+1</f>
        <v>5713.4681933842239</v>
      </c>
      <c r="L27" s="37"/>
      <c r="M27" s="85"/>
      <c r="N27" s="26"/>
      <c r="O27" s="29">
        <v>46028</v>
      </c>
      <c r="P27" s="28">
        <f>DATE(YEAR(O27)+1,MONTH(O27),DAY(O27))-1</f>
        <v>46392</v>
      </c>
    </row>
    <row r="28" spans="2:16" ht="20.149999999999999" customHeight="1" x14ac:dyDescent="0.2">
      <c r="B28" s="45">
        <v>46031</v>
      </c>
      <c r="C28" s="46" t="s">
        <v>132</v>
      </c>
      <c r="D28" s="46" t="s">
        <v>130</v>
      </c>
      <c r="E28" s="46" t="s">
        <v>25</v>
      </c>
      <c r="F28" s="46">
        <v>20260102010</v>
      </c>
      <c r="G28" s="46" t="s">
        <v>94</v>
      </c>
      <c r="H28" s="48">
        <f>H25-K28</f>
        <v>588901.43511450384</v>
      </c>
      <c r="I28" s="50">
        <v>4540</v>
      </c>
      <c r="J28" s="50">
        <v>4490</v>
      </c>
      <c r="K28" s="48">
        <f>J28/0.786+1</f>
        <v>5713.4681933842239</v>
      </c>
      <c r="L28" s="49"/>
      <c r="M28" s="84"/>
      <c r="N28" s="46"/>
      <c r="O28" s="29">
        <v>46028</v>
      </c>
      <c r="P28" s="28">
        <f>DATE(YEAR(O28)+1,MONTH(O28),DAY(O28))-1</f>
        <v>46392</v>
      </c>
    </row>
    <row r="29" spans="2:16" ht="20.149999999999999" customHeight="1" x14ac:dyDescent="0.2">
      <c r="B29" s="45">
        <v>46031</v>
      </c>
      <c r="C29" s="46" t="s">
        <v>137</v>
      </c>
      <c r="D29" s="46" t="s">
        <v>131</v>
      </c>
      <c r="E29" s="46" t="s">
        <v>25</v>
      </c>
      <c r="F29" s="46">
        <v>20260102011</v>
      </c>
      <c r="G29" s="46" t="s">
        <v>133</v>
      </c>
      <c r="H29" s="48">
        <f>H28-K29</f>
        <v>583506.0330788804</v>
      </c>
      <c r="I29" s="50">
        <v>4270</v>
      </c>
      <c r="J29" s="50">
        <v>4240</v>
      </c>
      <c r="K29" s="48">
        <f>J29/0.786+1</f>
        <v>5395.4020356234096</v>
      </c>
      <c r="L29" s="49"/>
      <c r="M29" s="84"/>
      <c r="N29" s="46"/>
      <c r="O29" s="29">
        <v>46029</v>
      </c>
      <c r="P29" s="28">
        <f t="shared" si="3"/>
        <v>46393</v>
      </c>
    </row>
    <row r="30" spans="2:16" ht="20.149999999999999" customHeight="1" x14ac:dyDescent="0.2">
      <c r="B30" s="25">
        <v>46031</v>
      </c>
      <c r="C30" s="26" t="s">
        <v>138</v>
      </c>
      <c r="D30" s="26" t="s">
        <v>134</v>
      </c>
      <c r="E30" s="26" t="s">
        <v>66</v>
      </c>
      <c r="F30" s="26">
        <v>20260102025</v>
      </c>
      <c r="G30" s="26" t="s">
        <v>135</v>
      </c>
      <c r="H30" s="38">
        <f>H27-K30</f>
        <v>222579.59796437656</v>
      </c>
      <c r="I30" s="27">
        <v>4260</v>
      </c>
      <c r="J30" s="27">
        <v>4190</v>
      </c>
      <c r="K30" s="38">
        <f>J30/0.786</f>
        <v>5330.7888040712469</v>
      </c>
      <c r="L30" s="37"/>
      <c r="M30" s="85"/>
      <c r="N30" s="26"/>
      <c r="O30" s="29">
        <v>46029</v>
      </c>
      <c r="P30" s="28">
        <f>DATE(YEAR(O30)+1,MONTH(O30),DAY(O30))-1</f>
        <v>46393</v>
      </c>
    </row>
    <row r="31" spans="2:16" ht="20.149999999999999" customHeight="1" x14ac:dyDescent="0.2">
      <c r="B31" s="45">
        <v>46032</v>
      </c>
      <c r="C31" s="46" t="s">
        <v>146</v>
      </c>
      <c r="D31" s="46" t="s">
        <v>145</v>
      </c>
      <c r="E31" s="46" t="s">
        <v>25</v>
      </c>
      <c r="F31" s="46">
        <v>20260102012</v>
      </c>
      <c r="G31" s="46" t="s">
        <v>26</v>
      </c>
      <c r="H31" s="48">
        <f>H29-K31</f>
        <v>578097.9083969465</v>
      </c>
      <c r="I31" s="50">
        <v>4200</v>
      </c>
      <c r="J31" s="50">
        <v>4250</v>
      </c>
      <c r="K31" s="48">
        <f>J31/0.786+1</f>
        <v>5408.1246819338421</v>
      </c>
      <c r="L31" s="49"/>
      <c r="M31" s="84"/>
      <c r="N31" s="46"/>
      <c r="O31" s="29">
        <v>46030</v>
      </c>
      <c r="P31" s="28">
        <f t="shared" si="3"/>
        <v>46394</v>
      </c>
    </row>
    <row r="32" spans="2:16" ht="20.149999999999999" customHeight="1" x14ac:dyDescent="0.2">
      <c r="B32" s="53">
        <v>46032</v>
      </c>
      <c r="C32" s="52" t="s">
        <v>142</v>
      </c>
      <c r="D32" s="52" t="s">
        <v>140</v>
      </c>
      <c r="E32" s="52" t="s">
        <v>22</v>
      </c>
      <c r="F32" s="52">
        <v>20260108009</v>
      </c>
      <c r="G32" s="52" t="s">
        <v>65</v>
      </c>
      <c r="H32" s="38">
        <f>H30-K32</f>
        <v>217273.25445292616</v>
      </c>
      <c r="I32" s="38">
        <v>4290</v>
      </c>
      <c r="J32" s="38">
        <v>4170</v>
      </c>
      <c r="K32" s="38">
        <f>J32/0.786+1</f>
        <v>5306.3435114503818</v>
      </c>
      <c r="L32" s="54"/>
      <c r="M32" s="90"/>
      <c r="N32" s="52"/>
      <c r="O32" s="29">
        <v>46029</v>
      </c>
      <c r="P32" s="28">
        <f>DATE(YEAR(O32)+1,MONTH(O32),DAY(O32))-1</f>
        <v>46393</v>
      </c>
    </row>
    <row r="33" spans="2:16" ht="20.149999999999999" customHeight="1" x14ac:dyDescent="0.2">
      <c r="B33" s="53">
        <v>46032</v>
      </c>
      <c r="C33" s="52" t="s">
        <v>143</v>
      </c>
      <c r="D33" s="52" t="s">
        <v>141</v>
      </c>
      <c r="E33" s="52" t="s">
        <v>22</v>
      </c>
      <c r="F33" s="52">
        <v>20260108010</v>
      </c>
      <c r="G33" s="52" t="s">
        <v>144</v>
      </c>
      <c r="H33" s="38">
        <f>H32-K33</f>
        <v>211826.96183206103</v>
      </c>
      <c r="I33" s="38">
        <v>4290</v>
      </c>
      <c r="J33" s="38">
        <v>4280</v>
      </c>
      <c r="K33" s="38">
        <f>J33/0.786+1</f>
        <v>5446.2926208651397</v>
      </c>
      <c r="L33" s="54"/>
      <c r="M33" s="90"/>
      <c r="N33" s="52"/>
      <c r="O33" s="29">
        <v>46030</v>
      </c>
      <c r="P33" s="28">
        <f>DATE(YEAR(O33)+1,MONTH(O33),DAY(O33))-1</f>
        <v>46394</v>
      </c>
    </row>
    <row r="34" spans="2:16" ht="20.149999999999999" customHeight="1" x14ac:dyDescent="0.2">
      <c r="B34" s="45">
        <v>46033</v>
      </c>
      <c r="C34" s="46" t="s">
        <v>155</v>
      </c>
      <c r="D34" s="46" t="s">
        <v>153</v>
      </c>
      <c r="E34" s="46" t="s">
        <v>25</v>
      </c>
      <c r="F34" s="46">
        <v>20260102013</v>
      </c>
      <c r="G34" s="46" t="s">
        <v>94</v>
      </c>
      <c r="H34" s="48">
        <f>H31-K34</f>
        <v>572818.01017811697</v>
      </c>
      <c r="I34" s="50">
        <v>4210</v>
      </c>
      <c r="J34" s="50">
        <v>4150</v>
      </c>
      <c r="K34" s="48">
        <f t="shared" si="2"/>
        <v>5279.8982188295167</v>
      </c>
      <c r="L34" s="49"/>
      <c r="M34" s="84"/>
      <c r="N34" s="46"/>
      <c r="O34" s="29">
        <v>46031</v>
      </c>
      <c r="P34" s="28">
        <f t="shared" si="3"/>
        <v>46395</v>
      </c>
    </row>
    <row r="35" spans="2:16" ht="20.149999999999999" customHeight="1" x14ac:dyDescent="0.2">
      <c r="B35" s="53">
        <v>46033</v>
      </c>
      <c r="C35" s="52" t="s">
        <v>154</v>
      </c>
      <c r="D35" s="52" t="s">
        <v>149</v>
      </c>
      <c r="E35" s="52" t="s">
        <v>22</v>
      </c>
      <c r="F35" s="52">
        <v>20260108011</v>
      </c>
      <c r="G35" s="52" t="s">
        <v>101</v>
      </c>
      <c r="H35" s="38">
        <f>H33-K35</f>
        <v>206534.3409669211</v>
      </c>
      <c r="I35" s="38">
        <v>4170</v>
      </c>
      <c r="J35" s="38">
        <v>4160</v>
      </c>
      <c r="K35" s="38">
        <f t="shared" si="2"/>
        <v>5292.6208651399493</v>
      </c>
      <c r="L35" s="54"/>
      <c r="M35" s="90"/>
      <c r="N35" s="52"/>
      <c r="O35" s="29">
        <v>46030</v>
      </c>
      <c r="P35" s="28">
        <f t="shared" si="3"/>
        <v>46394</v>
      </c>
    </row>
    <row r="36" spans="2:16" ht="20.149999999999999" customHeight="1" x14ac:dyDescent="0.2">
      <c r="B36" s="53">
        <v>46033</v>
      </c>
      <c r="C36" s="52" t="s">
        <v>151</v>
      </c>
      <c r="D36" s="52" t="s">
        <v>150</v>
      </c>
      <c r="E36" s="52" t="s">
        <v>22</v>
      </c>
      <c r="F36" s="52">
        <v>20260108012</v>
      </c>
      <c r="G36" s="52" t="s">
        <v>152</v>
      </c>
      <c r="H36" s="38">
        <f>H35-K36</f>
        <v>201138.93893129769</v>
      </c>
      <c r="I36" s="38">
        <v>4340</v>
      </c>
      <c r="J36" s="38">
        <v>4240</v>
      </c>
      <c r="K36" s="38">
        <f>J36/0.786+1</f>
        <v>5395.4020356234096</v>
      </c>
      <c r="L36" s="54"/>
      <c r="M36" s="90"/>
      <c r="N36" s="52"/>
      <c r="O36" s="29">
        <v>46031</v>
      </c>
      <c r="P36" s="28">
        <f>DATE(YEAR(O36)+1,MONTH(O36),DAY(O36))-1</f>
        <v>46395</v>
      </c>
    </row>
    <row r="37" spans="2:16" ht="20.149999999999999" customHeight="1" x14ac:dyDescent="0.2">
      <c r="B37" s="45">
        <v>46033</v>
      </c>
      <c r="C37" s="46" t="s">
        <v>164</v>
      </c>
      <c r="D37" s="46" t="s">
        <v>156</v>
      </c>
      <c r="E37" s="46" t="s">
        <v>25</v>
      </c>
      <c r="F37" s="46">
        <v>20260108019</v>
      </c>
      <c r="G37" s="46" t="s">
        <v>157</v>
      </c>
      <c r="H37" s="48">
        <f>H34-K37</f>
        <v>567385.44020356226</v>
      </c>
      <c r="I37" s="50">
        <v>4230</v>
      </c>
      <c r="J37" s="50">
        <v>4270</v>
      </c>
      <c r="K37" s="48">
        <f>J37/0.786</f>
        <v>5432.5699745547072</v>
      </c>
      <c r="L37" s="49"/>
      <c r="M37" s="84"/>
      <c r="N37" s="46"/>
      <c r="O37" s="29">
        <v>46031</v>
      </c>
      <c r="P37" s="28">
        <f>DATE(YEAR(O37)+1,MONTH(O37),DAY(O37))-1</f>
        <v>46395</v>
      </c>
    </row>
    <row r="38" spans="2:16" ht="20.149999999999999" customHeight="1" x14ac:dyDescent="0.2">
      <c r="B38" s="45">
        <v>46034</v>
      </c>
      <c r="C38" s="46" t="s">
        <v>165</v>
      </c>
      <c r="D38" s="46" t="s">
        <v>161</v>
      </c>
      <c r="E38" s="46" t="s">
        <v>25</v>
      </c>
      <c r="F38" s="46">
        <v>20260108020</v>
      </c>
      <c r="G38" s="46" t="s">
        <v>26</v>
      </c>
      <c r="H38" s="48">
        <f>H37-K38</f>
        <v>562041.92875318055</v>
      </c>
      <c r="I38" s="50">
        <v>4210</v>
      </c>
      <c r="J38" s="50">
        <v>4200</v>
      </c>
      <c r="K38" s="48">
        <f>J38/0.786</f>
        <v>5343.5114503816794</v>
      </c>
      <c r="L38" s="49"/>
      <c r="M38" s="84"/>
      <c r="N38" s="46"/>
      <c r="O38" s="29">
        <v>46032</v>
      </c>
      <c r="P38" s="28">
        <f>DATE(YEAR(O38)+1,MONTH(O38),DAY(O38))-1</f>
        <v>46396</v>
      </c>
    </row>
    <row r="39" spans="2:16" ht="20.149999999999999" customHeight="1" x14ac:dyDescent="0.2">
      <c r="B39" s="25">
        <v>46034</v>
      </c>
      <c r="C39" s="26" t="s">
        <v>166</v>
      </c>
      <c r="D39" s="26" t="s">
        <v>158</v>
      </c>
      <c r="E39" s="26" t="s">
        <v>66</v>
      </c>
      <c r="F39" s="26">
        <v>20260102018</v>
      </c>
      <c r="G39" s="26" t="s">
        <v>65</v>
      </c>
      <c r="H39" s="38">
        <f>H36-K39</f>
        <v>195743.53689567428</v>
      </c>
      <c r="I39" s="38">
        <v>4290</v>
      </c>
      <c r="J39" s="38">
        <v>4240</v>
      </c>
      <c r="K39" s="38">
        <f>J39/0.786+1</f>
        <v>5395.4020356234096</v>
      </c>
      <c r="L39" s="37"/>
      <c r="M39" s="85"/>
      <c r="N39" s="26"/>
      <c r="O39" s="29">
        <v>46032</v>
      </c>
      <c r="P39" s="28">
        <f>DATE(YEAR(O39)+1,MONTH(O39),DAY(O39))-1</f>
        <v>46396</v>
      </c>
    </row>
    <row r="40" spans="2:16" ht="20.149999999999999" customHeight="1" x14ac:dyDescent="0.2">
      <c r="B40" s="53">
        <v>46034</v>
      </c>
      <c r="C40" s="52" t="s">
        <v>167</v>
      </c>
      <c r="D40" s="52" t="s">
        <v>159</v>
      </c>
      <c r="E40" s="52" t="s">
        <v>22</v>
      </c>
      <c r="F40" s="52">
        <v>20260108013</v>
      </c>
      <c r="G40" s="52" t="s">
        <v>160</v>
      </c>
      <c r="H40" s="38">
        <f>H39-K40</f>
        <v>190679.92366412212</v>
      </c>
      <c r="I40" s="38">
        <v>4170</v>
      </c>
      <c r="J40" s="38">
        <v>3980</v>
      </c>
      <c r="K40" s="38">
        <f t="shared" si="2"/>
        <v>5063.6132315521627</v>
      </c>
      <c r="L40" s="54"/>
      <c r="M40" s="90"/>
      <c r="N40" s="52"/>
      <c r="O40" s="29">
        <v>46032</v>
      </c>
      <c r="P40" s="28">
        <f t="shared" si="3"/>
        <v>46396</v>
      </c>
    </row>
    <row r="41" spans="2:16" ht="20.149999999999999" customHeight="1" x14ac:dyDescent="0.2">
      <c r="B41" s="45">
        <v>46035</v>
      </c>
      <c r="C41" s="46" t="s">
        <v>170</v>
      </c>
      <c r="D41" s="46" t="s">
        <v>169</v>
      </c>
      <c r="E41" s="46" t="s">
        <v>25</v>
      </c>
      <c r="F41" s="46">
        <v>20260108021</v>
      </c>
      <c r="G41" s="46" t="s">
        <v>33</v>
      </c>
      <c r="H41" s="48">
        <f>H38-K41</f>
        <v>556786.47582697193</v>
      </c>
      <c r="I41" s="50">
        <v>4220</v>
      </c>
      <c r="J41" s="50">
        <v>4130</v>
      </c>
      <c r="K41" s="48">
        <f>J41/0.786+1</f>
        <v>5255.4529262086508</v>
      </c>
      <c r="L41" s="49"/>
      <c r="M41" s="84"/>
      <c r="N41" s="46"/>
      <c r="O41" s="29">
        <v>46033</v>
      </c>
      <c r="P41" s="28">
        <f>DATE(YEAR(O41)+1,MONTH(O41),DAY(O41))-1</f>
        <v>46397</v>
      </c>
    </row>
    <row r="42" spans="2:16" ht="20.149999999999999" customHeight="1" x14ac:dyDescent="0.2">
      <c r="B42" s="45">
        <v>46035</v>
      </c>
      <c r="C42" s="46" t="s">
        <v>176</v>
      </c>
      <c r="D42" s="46" t="s">
        <v>175</v>
      </c>
      <c r="E42" s="46" t="s">
        <v>25</v>
      </c>
      <c r="F42" s="46">
        <v>20260108025</v>
      </c>
      <c r="G42" s="46" t="s">
        <v>33</v>
      </c>
      <c r="H42" s="48">
        <f>H41-K42</f>
        <v>551302.01526717551</v>
      </c>
      <c r="I42" s="50">
        <v>1320</v>
      </c>
      <c r="J42" s="50">
        <v>4310</v>
      </c>
      <c r="K42" s="48">
        <f>J42/0.786+1</f>
        <v>5484.4605597964373</v>
      </c>
      <c r="L42" s="49"/>
      <c r="M42" s="84"/>
      <c r="N42" s="46"/>
      <c r="O42" s="29">
        <v>46034</v>
      </c>
      <c r="P42" s="28">
        <f>DATE(YEAR(O42)+1,MONTH(O42),DAY(O42))-1</f>
        <v>46398</v>
      </c>
    </row>
    <row r="43" spans="2:16" ht="20.149999999999999" customHeight="1" x14ac:dyDescent="0.2">
      <c r="B43" s="53">
        <v>46035</v>
      </c>
      <c r="C43" s="52" t="s">
        <v>172</v>
      </c>
      <c r="D43" s="52" t="s">
        <v>171</v>
      </c>
      <c r="E43" s="52" t="s">
        <v>22</v>
      </c>
      <c r="F43" s="52">
        <v>20260108014</v>
      </c>
      <c r="G43" s="52" t="s">
        <v>152</v>
      </c>
      <c r="H43" s="38">
        <f>H40-K43</f>
        <v>185349.13486005086</v>
      </c>
      <c r="I43" s="38">
        <v>4260</v>
      </c>
      <c r="J43" s="38">
        <v>4190</v>
      </c>
      <c r="K43" s="38">
        <f t="shared" si="2"/>
        <v>5330.7888040712469</v>
      </c>
      <c r="L43" s="54"/>
      <c r="M43" s="90"/>
      <c r="N43" s="52"/>
      <c r="O43" s="29">
        <v>46033</v>
      </c>
      <c r="P43" s="28">
        <f t="shared" si="3"/>
        <v>46397</v>
      </c>
    </row>
    <row r="44" spans="2:16" ht="20.149999999999999" customHeight="1" x14ac:dyDescent="0.2">
      <c r="B44" s="53">
        <v>46035</v>
      </c>
      <c r="C44" s="52" t="s">
        <v>178</v>
      </c>
      <c r="D44" s="52" t="s">
        <v>177</v>
      </c>
      <c r="E44" s="52" t="s">
        <v>22</v>
      </c>
      <c r="F44" s="52">
        <v>20260108015</v>
      </c>
      <c r="G44" s="52" t="s">
        <v>179</v>
      </c>
      <c r="H44" s="38">
        <f>H43-K44</f>
        <v>180005.62340966918</v>
      </c>
      <c r="I44" s="38">
        <v>4220</v>
      </c>
      <c r="J44" s="38">
        <v>4200</v>
      </c>
      <c r="K44" s="38">
        <f>J44/0.786</f>
        <v>5343.5114503816794</v>
      </c>
      <c r="L44" s="54"/>
      <c r="M44" s="90"/>
      <c r="N44" s="52"/>
      <c r="O44" s="29">
        <v>46034</v>
      </c>
      <c r="P44" s="28">
        <f>DATE(YEAR(O44)+1,MONTH(O44),DAY(O44))-1</f>
        <v>46398</v>
      </c>
    </row>
    <row r="45" spans="2:16" ht="20.149999999999999" customHeight="1" x14ac:dyDescent="0.2">
      <c r="B45" s="45">
        <v>46036</v>
      </c>
      <c r="C45" s="46" t="s">
        <v>186</v>
      </c>
      <c r="D45" s="46" t="s">
        <v>184</v>
      </c>
      <c r="E45" s="46" t="s">
        <v>25</v>
      </c>
      <c r="F45" s="46">
        <v>20260108022</v>
      </c>
      <c r="G45" s="46" t="s">
        <v>94</v>
      </c>
      <c r="H45" s="48">
        <f>H42-K45</f>
        <v>545855.72264631034</v>
      </c>
      <c r="I45" s="50">
        <v>4330</v>
      </c>
      <c r="J45" s="50">
        <v>4280</v>
      </c>
      <c r="K45" s="48">
        <f>J45/0.786+1</f>
        <v>5446.2926208651397</v>
      </c>
      <c r="L45" s="49"/>
      <c r="M45" s="84"/>
      <c r="N45" s="46"/>
      <c r="O45" s="29">
        <v>46034</v>
      </c>
      <c r="P45" s="28">
        <f>DATE(YEAR(O45)+1,MONTH(O45),DAY(O45))-1</f>
        <v>46398</v>
      </c>
    </row>
    <row r="46" spans="2:16" ht="20.149999999999999" customHeight="1" x14ac:dyDescent="0.2">
      <c r="B46" s="53">
        <v>46036</v>
      </c>
      <c r="C46" s="52" t="s">
        <v>182</v>
      </c>
      <c r="D46" s="52" t="s">
        <v>180</v>
      </c>
      <c r="E46" s="52" t="s">
        <v>22</v>
      </c>
      <c r="F46" s="52">
        <v>20260108016</v>
      </c>
      <c r="G46" s="52" t="s">
        <v>183</v>
      </c>
      <c r="H46" s="38">
        <f>H44-K46</f>
        <v>174662.11195928749</v>
      </c>
      <c r="I46" s="38">
        <v>4430</v>
      </c>
      <c r="J46" s="38">
        <v>4200</v>
      </c>
      <c r="K46" s="38">
        <f t="shared" si="2"/>
        <v>5343.5114503816794</v>
      </c>
      <c r="L46" s="54"/>
      <c r="M46" s="90"/>
      <c r="N46" s="52"/>
      <c r="O46" s="29">
        <v>46034</v>
      </c>
      <c r="P46" s="28">
        <f t="shared" si="3"/>
        <v>46398</v>
      </c>
    </row>
    <row r="47" spans="2:16" ht="20.149999999999999" customHeight="1" x14ac:dyDescent="0.2">
      <c r="B47" s="53">
        <v>46036</v>
      </c>
      <c r="C47" s="52" t="s">
        <v>185</v>
      </c>
      <c r="D47" s="52" t="s">
        <v>181</v>
      </c>
      <c r="E47" s="52" t="s">
        <v>22</v>
      </c>
      <c r="F47" s="52">
        <v>20260108017</v>
      </c>
      <c r="G47" s="52" t="s">
        <v>101</v>
      </c>
      <c r="H47" s="38">
        <f>H46-K47</f>
        <v>169229.54198473279</v>
      </c>
      <c r="I47" s="38">
        <v>4280</v>
      </c>
      <c r="J47" s="38">
        <v>4270</v>
      </c>
      <c r="K47" s="38">
        <f t="shared" si="2"/>
        <v>5432.5699745547072</v>
      </c>
      <c r="L47" s="54"/>
      <c r="M47" s="90"/>
      <c r="N47" s="52"/>
      <c r="O47" s="29">
        <v>46034</v>
      </c>
      <c r="P47" s="28">
        <f t="shared" si="3"/>
        <v>46398</v>
      </c>
    </row>
    <row r="48" spans="2:16" ht="20.149999999999999" customHeight="1" x14ac:dyDescent="0.2">
      <c r="B48" s="45">
        <v>46037</v>
      </c>
      <c r="C48" s="46" t="s">
        <v>197</v>
      </c>
      <c r="D48" s="46" t="s">
        <v>195</v>
      </c>
      <c r="E48" s="46" t="s">
        <v>25</v>
      </c>
      <c r="F48" s="46">
        <v>20260108023</v>
      </c>
      <c r="G48" s="46" t="s">
        <v>33</v>
      </c>
      <c r="H48" s="48">
        <f>H45-K48</f>
        <v>540334.09414758265</v>
      </c>
      <c r="I48" s="50">
        <v>4280</v>
      </c>
      <c r="J48" s="50">
        <v>4340</v>
      </c>
      <c r="K48" s="48">
        <f>J48/0.786</f>
        <v>5521.628498727735</v>
      </c>
      <c r="L48" s="49"/>
      <c r="M48" s="84"/>
      <c r="N48" s="46"/>
      <c r="O48" s="29">
        <v>46035</v>
      </c>
      <c r="P48" s="28">
        <f>DATE(YEAR(O48)+1,MONTH(O48),DAY(O48))-1</f>
        <v>46399</v>
      </c>
    </row>
    <row r="49" spans="2:16" ht="20.149999999999999" customHeight="1" x14ac:dyDescent="0.2">
      <c r="B49" s="45">
        <v>46037</v>
      </c>
      <c r="C49" s="46" t="s">
        <v>198</v>
      </c>
      <c r="D49" s="46" t="s">
        <v>196</v>
      </c>
      <c r="E49" s="46" t="s">
        <v>25</v>
      </c>
      <c r="F49" s="46">
        <v>20260108024</v>
      </c>
      <c r="G49" s="46" t="s">
        <v>33</v>
      </c>
      <c r="H49" s="48">
        <f>H48-K49</f>
        <v>534849.63358778623</v>
      </c>
      <c r="I49" s="50">
        <v>4360</v>
      </c>
      <c r="J49" s="50">
        <v>4310</v>
      </c>
      <c r="K49" s="48">
        <f>J49/0.786+1</f>
        <v>5484.4605597964373</v>
      </c>
      <c r="L49" s="49"/>
      <c r="M49" s="84"/>
      <c r="N49" s="46"/>
      <c r="O49" s="29">
        <v>46036</v>
      </c>
      <c r="P49" s="28">
        <f>DATE(YEAR(O49)+1,MONTH(O49),DAY(O49))-1</f>
        <v>46400</v>
      </c>
    </row>
    <row r="50" spans="2:16" ht="20.149999999999999" customHeight="1" x14ac:dyDescent="0.2">
      <c r="B50" s="53">
        <v>46037</v>
      </c>
      <c r="C50" s="26" t="s">
        <v>191</v>
      </c>
      <c r="D50" s="26" t="s">
        <v>189</v>
      </c>
      <c r="E50" s="52" t="s">
        <v>22</v>
      </c>
      <c r="F50" s="52">
        <v>20260108018</v>
      </c>
      <c r="G50" s="52" t="s">
        <v>192</v>
      </c>
      <c r="H50" s="38">
        <f>H47-K50</f>
        <v>163949.64376590328</v>
      </c>
      <c r="I50" s="38">
        <v>4170</v>
      </c>
      <c r="J50" s="38">
        <v>4150</v>
      </c>
      <c r="K50" s="38">
        <f t="shared" si="2"/>
        <v>5279.8982188295167</v>
      </c>
      <c r="L50" s="54"/>
      <c r="M50" s="90"/>
      <c r="N50" s="52"/>
      <c r="O50" s="29">
        <v>46035</v>
      </c>
      <c r="P50" s="28">
        <f t="shared" si="3"/>
        <v>46399</v>
      </c>
    </row>
    <row r="51" spans="2:16" ht="20.149999999999999" customHeight="1" x14ac:dyDescent="0.2">
      <c r="B51" s="25">
        <v>46037</v>
      </c>
      <c r="C51" s="26" t="s">
        <v>193</v>
      </c>
      <c r="D51" s="26" t="s">
        <v>190</v>
      </c>
      <c r="E51" s="52" t="s">
        <v>22</v>
      </c>
      <c r="F51" s="52">
        <v>20260114008</v>
      </c>
      <c r="G51" s="52" t="s">
        <v>194</v>
      </c>
      <c r="H51" s="38">
        <f>H50-K51</f>
        <v>158517.07379134858</v>
      </c>
      <c r="I51" s="38">
        <v>4350</v>
      </c>
      <c r="J51" s="38">
        <v>4270</v>
      </c>
      <c r="K51" s="38">
        <f t="shared" si="2"/>
        <v>5432.5699745547072</v>
      </c>
      <c r="L51" s="37"/>
      <c r="M51" s="85"/>
      <c r="N51" s="26"/>
      <c r="O51" s="29">
        <v>46035</v>
      </c>
      <c r="P51" s="28">
        <f t="shared" si="3"/>
        <v>46399</v>
      </c>
    </row>
    <row r="52" spans="2:16" ht="20.149999999999999" customHeight="1" x14ac:dyDescent="0.2">
      <c r="B52" s="45">
        <v>46038</v>
      </c>
      <c r="C52" s="46" t="s">
        <v>201</v>
      </c>
      <c r="D52" s="46" t="s">
        <v>200</v>
      </c>
      <c r="E52" s="46" t="s">
        <v>25</v>
      </c>
      <c r="F52" s="46">
        <v>20260114018</v>
      </c>
      <c r="G52" s="46" t="s">
        <v>33</v>
      </c>
      <c r="H52" s="48">
        <f>H49-K52</f>
        <v>529480.67684478371</v>
      </c>
      <c r="I52" s="48">
        <v>4220</v>
      </c>
      <c r="J52" s="48">
        <v>4220</v>
      </c>
      <c r="K52" s="48">
        <f>J52/0.786</f>
        <v>5368.9567430025445</v>
      </c>
      <c r="L52" s="49"/>
      <c r="M52" s="84"/>
      <c r="N52" s="46"/>
      <c r="O52" s="29">
        <v>46036</v>
      </c>
      <c r="P52" s="28">
        <f>DATE(YEAR(O52)+1,MONTH(O52),DAY(O52))-1</f>
        <v>46400</v>
      </c>
    </row>
    <row r="53" spans="2:16" ht="20.149999999999999" customHeight="1" x14ac:dyDescent="0.2">
      <c r="B53" s="25">
        <v>46038</v>
      </c>
      <c r="C53" s="26" t="s">
        <v>205</v>
      </c>
      <c r="D53" s="26" t="s">
        <v>202</v>
      </c>
      <c r="E53" s="52" t="s">
        <v>22</v>
      </c>
      <c r="F53" s="52">
        <v>20260114009</v>
      </c>
      <c r="G53" s="52" t="s">
        <v>203</v>
      </c>
      <c r="H53" s="38">
        <f>H51-K53</f>
        <v>153108.94910941474</v>
      </c>
      <c r="I53" s="38">
        <v>4310</v>
      </c>
      <c r="J53" s="38">
        <v>4250</v>
      </c>
      <c r="K53" s="38">
        <f>J53/0.786+1</f>
        <v>5408.1246819338421</v>
      </c>
      <c r="L53" s="37"/>
      <c r="M53" s="85"/>
      <c r="N53" s="26"/>
      <c r="O53" s="29">
        <v>46036</v>
      </c>
      <c r="P53" s="28">
        <f t="shared" si="3"/>
        <v>46400</v>
      </c>
    </row>
    <row r="54" spans="2:16" ht="20.149999999999999" customHeight="1" x14ac:dyDescent="0.2">
      <c r="B54" s="45">
        <v>46039</v>
      </c>
      <c r="C54" s="46" t="s">
        <v>208</v>
      </c>
      <c r="D54" s="46" t="s">
        <v>207</v>
      </c>
      <c r="E54" s="46" t="s">
        <v>25</v>
      </c>
      <c r="F54" s="46">
        <v>20260114019</v>
      </c>
      <c r="G54" s="46" t="s">
        <v>33</v>
      </c>
      <c r="H54" s="48">
        <f>H52-K54</f>
        <v>523959.04834605596</v>
      </c>
      <c r="I54" s="48">
        <v>4340</v>
      </c>
      <c r="J54" s="48">
        <v>4340</v>
      </c>
      <c r="K54" s="48">
        <f>J54/0.786</f>
        <v>5521.628498727735</v>
      </c>
      <c r="L54" s="49"/>
      <c r="M54" s="84"/>
      <c r="N54" s="46"/>
      <c r="O54" s="29">
        <v>46037</v>
      </c>
      <c r="P54" s="28">
        <f>DATE(YEAR(O54)+1,MONTH(O54),DAY(O54))-1</f>
        <v>46401</v>
      </c>
    </row>
    <row r="55" spans="2:16" ht="20.149999999999999" customHeight="1" x14ac:dyDescent="0.2">
      <c r="B55" s="25">
        <v>46039</v>
      </c>
      <c r="C55" s="26" t="s">
        <v>212</v>
      </c>
      <c r="D55" s="26" t="s">
        <v>209</v>
      </c>
      <c r="E55" s="52" t="s">
        <v>22</v>
      </c>
      <c r="F55" s="52">
        <v>20260114010</v>
      </c>
      <c r="G55" s="52" t="s">
        <v>65</v>
      </c>
      <c r="H55" s="38">
        <f>H53-K55</f>
        <v>147840.77353689566</v>
      </c>
      <c r="I55" s="38">
        <v>4150</v>
      </c>
      <c r="J55" s="38">
        <v>4140</v>
      </c>
      <c r="K55" s="38">
        <f>J55/0.786+1</f>
        <v>5268.1755725190842</v>
      </c>
      <c r="L55" s="37"/>
      <c r="M55" s="85"/>
      <c r="N55" s="26"/>
      <c r="O55" s="29">
        <v>46037</v>
      </c>
      <c r="P55" s="28">
        <f t="shared" si="3"/>
        <v>46401</v>
      </c>
    </row>
    <row r="56" spans="2:16" ht="20.149999999999999" customHeight="1" x14ac:dyDescent="0.2">
      <c r="B56" s="25">
        <v>46039</v>
      </c>
      <c r="C56" s="26" t="s">
        <v>211</v>
      </c>
      <c r="D56" s="26" t="s">
        <v>210</v>
      </c>
      <c r="E56" s="52" t="s">
        <v>22</v>
      </c>
      <c r="F56" s="52">
        <v>20260114011</v>
      </c>
      <c r="G56" s="52" t="s">
        <v>65</v>
      </c>
      <c r="H56" s="38">
        <f>H55-K56</f>
        <v>142483.53944020355</v>
      </c>
      <c r="I56" s="38">
        <v>4320</v>
      </c>
      <c r="J56" s="38">
        <v>4210</v>
      </c>
      <c r="K56" s="38">
        <f>J56/0.786+1</f>
        <v>5357.234096692112</v>
      </c>
      <c r="L56" s="37"/>
      <c r="M56" s="85"/>
      <c r="N56" s="26"/>
      <c r="O56" s="29">
        <v>46037</v>
      </c>
      <c r="P56" s="28">
        <f t="shared" si="3"/>
        <v>46401</v>
      </c>
    </row>
    <row r="57" spans="2:16" ht="20.149999999999999" customHeight="1" x14ac:dyDescent="0.2">
      <c r="B57" s="45">
        <v>46040</v>
      </c>
      <c r="C57" s="46" t="s">
        <v>220</v>
      </c>
      <c r="D57" s="46" t="s">
        <v>218</v>
      </c>
      <c r="E57" s="46" t="s">
        <v>25</v>
      </c>
      <c r="F57" s="46">
        <v>20260114020</v>
      </c>
      <c r="G57" s="46" t="s">
        <v>123</v>
      </c>
      <c r="H57" s="48">
        <f>H54-K57</f>
        <v>518577.36895674298</v>
      </c>
      <c r="I57" s="48">
        <v>4310</v>
      </c>
      <c r="J57" s="48">
        <v>4230</v>
      </c>
      <c r="K57" s="48">
        <f>J57/0.786</f>
        <v>5381.679389312977</v>
      </c>
      <c r="L57" s="49"/>
      <c r="M57" s="84"/>
      <c r="N57" s="46"/>
      <c r="O57" s="29">
        <v>46038</v>
      </c>
      <c r="P57" s="28">
        <f>DATE(YEAR(O57)+1,MONTH(O57),DAY(O57))-1</f>
        <v>46402</v>
      </c>
    </row>
    <row r="58" spans="2:16" ht="20.149999999999999" customHeight="1" x14ac:dyDescent="0.2">
      <c r="B58" s="45">
        <v>46040</v>
      </c>
      <c r="C58" s="46" t="s">
        <v>221</v>
      </c>
      <c r="D58" s="46" t="s">
        <v>219</v>
      </c>
      <c r="E58" s="46" t="s">
        <v>25</v>
      </c>
      <c r="F58" s="46">
        <v>20260114021</v>
      </c>
      <c r="G58" s="46" t="s">
        <v>123</v>
      </c>
      <c r="H58" s="48">
        <f>H57-K58</f>
        <v>513080.1857506361</v>
      </c>
      <c r="I58" s="48">
        <v>4360</v>
      </c>
      <c r="J58" s="48">
        <v>4320</v>
      </c>
      <c r="K58" s="48">
        <f>J58/0.786+1</f>
        <v>5497.1832061068699</v>
      </c>
      <c r="L58" s="49"/>
      <c r="M58" s="84"/>
      <c r="N58" s="46"/>
      <c r="O58" s="29">
        <v>46038</v>
      </c>
      <c r="P58" s="28">
        <f>DATE(YEAR(O58)+1,MONTH(O58),DAY(O58))-1</f>
        <v>46402</v>
      </c>
    </row>
    <row r="59" spans="2:16" ht="20.149999999999999" customHeight="1" x14ac:dyDescent="0.25">
      <c r="B59" s="25">
        <v>46040</v>
      </c>
      <c r="C59" s="26" t="s">
        <v>222</v>
      </c>
      <c r="D59" s="26" t="s">
        <v>215</v>
      </c>
      <c r="E59" s="52" t="s">
        <v>22</v>
      </c>
      <c r="F59" s="52">
        <v>20260114012</v>
      </c>
      <c r="G59" s="52" t="s">
        <v>217</v>
      </c>
      <c r="H59" s="38">
        <f>H56-K59</f>
        <v>142037.24681933841</v>
      </c>
      <c r="I59" s="38">
        <v>4190</v>
      </c>
      <c r="J59" s="38">
        <v>350</v>
      </c>
      <c r="K59" s="38">
        <f>J59/0.786+1</f>
        <v>446.29262086513995</v>
      </c>
      <c r="L59" s="55" t="s">
        <v>262</v>
      </c>
      <c r="M59" s="85"/>
      <c r="N59" s="26"/>
      <c r="O59" s="29">
        <v>46037</v>
      </c>
      <c r="P59" s="28">
        <f t="shared" si="3"/>
        <v>46401</v>
      </c>
    </row>
    <row r="60" spans="2:16" ht="20.149999999999999" customHeight="1" x14ac:dyDescent="0.2">
      <c r="B60" s="25">
        <v>46040</v>
      </c>
      <c r="C60" s="26" t="s">
        <v>223</v>
      </c>
      <c r="D60" s="26" t="s">
        <v>216</v>
      </c>
      <c r="E60" s="52" t="s">
        <v>22</v>
      </c>
      <c r="F60" s="52">
        <v>20260114013</v>
      </c>
      <c r="G60" s="52" t="s">
        <v>65</v>
      </c>
      <c r="H60" s="38">
        <f>H59-K60</f>
        <v>136769.07124681934</v>
      </c>
      <c r="I60" s="38">
        <v>4280</v>
      </c>
      <c r="J60" s="38">
        <v>4140</v>
      </c>
      <c r="K60" s="38">
        <f>J60/0.786+1</f>
        <v>5268.1755725190842</v>
      </c>
      <c r="L60" s="37"/>
      <c r="M60" s="85"/>
      <c r="N60" s="26"/>
      <c r="O60" s="29">
        <v>46038</v>
      </c>
      <c r="P60" s="28">
        <f t="shared" si="3"/>
        <v>46402</v>
      </c>
    </row>
    <row r="61" spans="2:16" ht="20.149999999999999" customHeight="1" x14ac:dyDescent="0.2">
      <c r="B61" s="45">
        <v>46041</v>
      </c>
      <c r="C61" s="46" t="s">
        <v>234</v>
      </c>
      <c r="D61" s="46" t="s">
        <v>233</v>
      </c>
      <c r="E61" s="46" t="s">
        <v>25</v>
      </c>
      <c r="F61" s="46">
        <v>20260114022</v>
      </c>
      <c r="G61" s="46" t="s">
        <v>26</v>
      </c>
      <c r="H61" s="48">
        <f>H58-K61</f>
        <v>507850.17811704829</v>
      </c>
      <c r="I61" s="48">
        <v>4100</v>
      </c>
      <c r="J61" s="48">
        <v>4110</v>
      </c>
      <c r="K61" s="48">
        <f>J61/0.786+1</f>
        <v>5230.0076335877857</v>
      </c>
      <c r="L61" s="49"/>
      <c r="M61" s="84"/>
      <c r="N61" s="46"/>
      <c r="O61" s="29">
        <v>46039</v>
      </c>
      <c r="P61" s="28">
        <f>DATE(YEAR(O61)+1,MONTH(O61),DAY(O61))-1</f>
        <v>46403</v>
      </c>
    </row>
    <row r="62" spans="2:16" ht="20.149999999999999" customHeight="1" x14ac:dyDescent="0.2">
      <c r="B62" s="25">
        <v>46041</v>
      </c>
      <c r="C62" s="26" t="s">
        <v>229</v>
      </c>
      <c r="D62" s="26" t="s">
        <v>227</v>
      </c>
      <c r="E62" s="52" t="s">
        <v>22</v>
      </c>
      <c r="F62" s="52">
        <v>20260114014</v>
      </c>
      <c r="G62" s="52" t="s">
        <v>230</v>
      </c>
      <c r="H62" s="38">
        <f>H60-K62</f>
        <v>131578.23155216285</v>
      </c>
      <c r="I62" s="38">
        <v>3990</v>
      </c>
      <c r="J62" s="38">
        <v>4080</v>
      </c>
      <c r="K62" s="38">
        <f t="shared" si="2"/>
        <v>5190.8396946564881</v>
      </c>
      <c r="L62" s="37"/>
      <c r="M62" s="85"/>
      <c r="N62" s="26"/>
      <c r="O62" s="29">
        <v>46039</v>
      </c>
      <c r="P62" s="28">
        <f t="shared" si="3"/>
        <v>46403</v>
      </c>
    </row>
    <row r="63" spans="2:16" ht="20.149999999999999" customHeight="1" x14ac:dyDescent="0.2">
      <c r="B63" s="25">
        <v>46041</v>
      </c>
      <c r="C63" s="26" t="s">
        <v>231</v>
      </c>
      <c r="D63" s="26" t="s">
        <v>228</v>
      </c>
      <c r="E63" s="52" t="s">
        <v>22</v>
      </c>
      <c r="F63" s="52">
        <v>20260114015</v>
      </c>
      <c r="G63" s="52" t="s">
        <v>232</v>
      </c>
      <c r="H63" s="38">
        <f>H62-K63</f>
        <v>126271.88804071247</v>
      </c>
      <c r="I63" s="38">
        <v>4160</v>
      </c>
      <c r="J63" s="38">
        <v>4170</v>
      </c>
      <c r="K63" s="38">
        <f>J63/0.786+1</f>
        <v>5306.3435114503818</v>
      </c>
      <c r="L63" s="37"/>
      <c r="M63" s="85"/>
      <c r="N63" s="26"/>
      <c r="O63" s="29">
        <v>46039</v>
      </c>
      <c r="P63" s="28">
        <f t="shared" si="3"/>
        <v>46403</v>
      </c>
    </row>
    <row r="64" spans="2:16" ht="20.149999999999999" customHeight="1" x14ac:dyDescent="0.2">
      <c r="B64" s="45">
        <v>46042</v>
      </c>
      <c r="C64" s="46" t="s">
        <v>237</v>
      </c>
      <c r="D64" s="46" t="s">
        <v>235</v>
      </c>
      <c r="E64" s="46" t="s">
        <v>25</v>
      </c>
      <c r="F64" s="46">
        <v>20260114023</v>
      </c>
      <c r="G64" s="46" t="s">
        <v>238</v>
      </c>
      <c r="H64" s="48">
        <f>H61-K64</f>
        <v>502403.88549618312</v>
      </c>
      <c r="I64" s="48">
        <v>4240</v>
      </c>
      <c r="J64" s="48">
        <v>4280</v>
      </c>
      <c r="K64" s="48">
        <f>J64/0.786+1</f>
        <v>5446.2926208651397</v>
      </c>
      <c r="L64" s="49"/>
      <c r="M64" s="84"/>
      <c r="N64" s="46"/>
      <c r="O64" s="29">
        <v>46039</v>
      </c>
      <c r="P64" s="28">
        <f>DATE(YEAR(O64)+1,MONTH(O64),DAY(O64))-1</f>
        <v>46403</v>
      </c>
    </row>
    <row r="65" spans="2:18" ht="20.149999999999999" customHeight="1" x14ac:dyDescent="0.2">
      <c r="B65" s="45">
        <v>46042</v>
      </c>
      <c r="C65" s="46" t="s">
        <v>242</v>
      </c>
      <c r="D65" s="46" t="s">
        <v>236</v>
      </c>
      <c r="E65" s="46" t="s">
        <v>25</v>
      </c>
      <c r="F65" s="46">
        <v>20260114024</v>
      </c>
      <c r="G65" s="46" t="s">
        <v>69</v>
      </c>
      <c r="H65" s="48">
        <f>H64-K65</f>
        <v>497022.20610687014</v>
      </c>
      <c r="I65" s="48">
        <v>4220</v>
      </c>
      <c r="J65" s="48">
        <v>4230</v>
      </c>
      <c r="K65" s="48">
        <f>J65/0.786</f>
        <v>5381.679389312977</v>
      </c>
      <c r="L65" s="49"/>
      <c r="M65" s="84"/>
      <c r="N65" s="46"/>
      <c r="O65" s="29">
        <v>46040</v>
      </c>
      <c r="P65" s="28">
        <f>DATE(YEAR(O65)+1,MONTH(O65),DAY(O65))-1</f>
        <v>46404</v>
      </c>
    </row>
    <row r="66" spans="2:18" ht="20.149999999999999" customHeight="1" x14ac:dyDescent="0.2">
      <c r="B66" s="25">
        <v>46042</v>
      </c>
      <c r="C66" s="26" t="s">
        <v>241</v>
      </c>
      <c r="D66" s="26" t="s">
        <v>239</v>
      </c>
      <c r="E66" s="52" t="s">
        <v>22</v>
      </c>
      <c r="F66" s="52">
        <v>20260114016</v>
      </c>
      <c r="G66" s="52" t="s">
        <v>240</v>
      </c>
      <c r="H66" s="38">
        <f>H63-K66</f>
        <v>121054.60305343512</v>
      </c>
      <c r="I66" s="38">
        <v>4100</v>
      </c>
      <c r="J66" s="38">
        <v>4100</v>
      </c>
      <c r="K66" s="38">
        <f>J66/0.786+1</f>
        <v>5217.2849872773531</v>
      </c>
      <c r="L66" s="37"/>
      <c r="M66" s="85"/>
      <c r="N66" s="26"/>
      <c r="O66" s="29">
        <v>46040</v>
      </c>
      <c r="P66" s="28">
        <f t="shared" si="3"/>
        <v>46404</v>
      </c>
    </row>
    <row r="67" spans="2:18" ht="20.149999999999999" customHeight="1" x14ac:dyDescent="0.2">
      <c r="B67" s="45">
        <v>46043</v>
      </c>
      <c r="C67" s="46" t="s">
        <v>253</v>
      </c>
      <c r="D67" s="46" t="s">
        <v>248</v>
      </c>
      <c r="E67" s="46" t="s">
        <v>25</v>
      </c>
      <c r="F67" s="46">
        <v>20260114025</v>
      </c>
      <c r="G67" s="46" t="s">
        <v>33</v>
      </c>
      <c r="H67" s="48">
        <f>H65-K67</f>
        <v>491653.24936386762</v>
      </c>
      <c r="I67" s="48">
        <v>4290</v>
      </c>
      <c r="J67" s="48">
        <v>4220</v>
      </c>
      <c r="K67" s="48">
        <f t="shared" si="2"/>
        <v>5368.9567430025445</v>
      </c>
      <c r="L67" s="49"/>
      <c r="M67" s="84"/>
      <c r="N67" s="46"/>
      <c r="O67" s="29">
        <v>46041</v>
      </c>
      <c r="P67" s="28">
        <f t="shared" si="3"/>
        <v>46405</v>
      </c>
    </row>
    <row r="68" spans="2:18" ht="20.149999999999999" customHeight="1" x14ac:dyDescent="0.2">
      <c r="B68" s="25">
        <v>46043</v>
      </c>
      <c r="C68" s="26" t="s">
        <v>247</v>
      </c>
      <c r="D68" s="26" t="s">
        <v>245</v>
      </c>
      <c r="E68" s="52" t="s">
        <v>22</v>
      </c>
      <c r="F68" s="52">
        <v>20260114017</v>
      </c>
      <c r="G68" s="52" t="s">
        <v>65</v>
      </c>
      <c r="H68" s="38">
        <f>H66-K68</f>
        <v>115685.64631043257</v>
      </c>
      <c r="I68" s="38">
        <v>4480</v>
      </c>
      <c r="J68" s="38">
        <v>4220</v>
      </c>
      <c r="K68" s="38">
        <f>J68/0.786</f>
        <v>5368.9567430025445</v>
      </c>
      <c r="L68" s="37"/>
      <c r="M68" s="85"/>
      <c r="N68" s="26"/>
      <c r="O68" s="29">
        <v>46040</v>
      </c>
      <c r="P68" s="28">
        <f>DATE(YEAR(O68)+1,MONTH(O68),DAY(O68))-1</f>
        <v>46404</v>
      </c>
    </row>
    <row r="69" spans="2:18" ht="20.149999999999999" customHeight="1" x14ac:dyDescent="0.2">
      <c r="B69" s="25">
        <v>46043</v>
      </c>
      <c r="C69" s="26" t="s">
        <v>252</v>
      </c>
      <c r="D69" s="26" t="s">
        <v>246</v>
      </c>
      <c r="E69" s="52" t="s">
        <v>22</v>
      </c>
      <c r="F69" s="52">
        <v>20260120009</v>
      </c>
      <c r="G69" s="52" t="s">
        <v>65</v>
      </c>
      <c r="H69" s="38">
        <f>H68-K69</f>
        <v>110393.02544529262</v>
      </c>
      <c r="I69" s="38">
        <v>4230</v>
      </c>
      <c r="J69" s="38">
        <v>4160</v>
      </c>
      <c r="K69" s="38">
        <f t="shared" ref="K69:K80" si="4">J69/0.786</f>
        <v>5292.6208651399493</v>
      </c>
      <c r="L69" s="37"/>
      <c r="M69" s="85"/>
      <c r="N69" s="26"/>
      <c r="O69" s="29">
        <v>46041</v>
      </c>
      <c r="P69" s="28">
        <f t="shared" ref="P69:P87" si="5">DATE(YEAR(O69)+1,MONTH(O69),DAY(O69))-1</f>
        <v>46405</v>
      </c>
    </row>
    <row r="70" spans="2:18" ht="20.149999999999999" customHeight="1" x14ac:dyDescent="0.25">
      <c r="B70" s="45">
        <v>46043</v>
      </c>
      <c r="C70" s="46" t="s">
        <v>222</v>
      </c>
      <c r="D70" s="46" t="s">
        <v>36</v>
      </c>
      <c r="E70" s="46" t="s">
        <v>25</v>
      </c>
      <c r="F70" s="46">
        <v>20260120021</v>
      </c>
      <c r="G70" s="46" t="s">
        <v>33</v>
      </c>
      <c r="H70" s="48"/>
      <c r="I70" s="48">
        <v>3710</v>
      </c>
      <c r="J70" s="48">
        <v>220</v>
      </c>
      <c r="K70" s="48">
        <f>J70/0.786</f>
        <v>279.89821882951651</v>
      </c>
      <c r="L70" s="56" t="s">
        <v>263</v>
      </c>
      <c r="M70" s="84"/>
      <c r="N70" s="46"/>
      <c r="O70" s="29">
        <v>46037</v>
      </c>
      <c r="P70" s="28">
        <f>DATE(YEAR(O70)+1,MONTH(O70),DAY(O70))-1</f>
        <v>46401</v>
      </c>
    </row>
    <row r="71" spans="2:18" ht="20.149999999999999" customHeight="1" x14ac:dyDescent="0.2">
      <c r="B71" s="25">
        <v>46043</v>
      </c>
      <c r="C71" s="26" t="s">
        <v>257</v>
      </c>
      <c r="D71" s="26" t="s">
        <v>256</v>
      </c>
      <c r="E71" s="52" t="s">
        <v>22</v>
      </c>
      <c r="F71" s="52">
        <v>20260120010</v>
      </c>
      <c r="G71" s="52" t="s">
        <v>65</v>
      </c>
      <c r="H71" s="38">
        <f>H69-K71</f>
        <v>105086.68193384224</v>
      </c>
      <c r="I71" s="38">
        <v>4200</v>
      </c>
      <c r="J71" s="38">
        <v>4170</v>
      </c>
      <c r="K71" s="38">
        <f>J71/0.786+1</f>
        <v>5306.3435114503818</v>
      </c>
      <c r="L71" s="37"/>
      <c r="M71" s="85"/>
      <c r="N71" s="26"/>
      <c r="O71" s="29">
        <v>46042</v>
      </c>
      <c r="P71" s="28">
        <f>DATE(YEAR(O71)+1,MONTH(O71),DAY(O71))-1</f>
        <v>46406</v>
      </c>
    </row>
    <row r="72" spans="2:18" ht="20.149999999999999" customHeight="1" x14ac:dyDescent="0.2">
      <c r="B72" s="45">
        <v>46044</v>
      </c>
      <c r="C72" s="46" t="s">
        <v>259</v>
      </c>
      <c r="D72" s="46" t="s">
        <v>258</v>
      </c>
      <c r="E72" s="46" t="s">
        <v>25</v>
      </c>
      <c r="F72" s="46">
        <v>20260120022</v>
      </c>
      <c r="G72" s="46" t="s">
        <v>265</v>
      </c>
      <c r="H72" s="48">
        <f>H67-K72</f>
        <v>486309.73791348597</v>
      </c>
      <c r="I72" s="48">
        <v>4130</v>
      </c>
      <c r="J72" s="48">
        <v>4200</v>
      </c>
      <c r="K72" s="48">
        <f>J72/0.786</f>
        <v>5343.5114503816794</v>
      </c>
      <c r="L72" s="49"/>
      <c r="M72" s="84"/>
      <c r="N72" s="46"/>
      <c r="O72" s="29">
        <v>46042</v>
      </c>
      <c r="P72" s="28">
        <f>DATE(YEAR(O72)+1,MONTH(O72),DAY(O72))-1</f>
        <v>46406</v>
      </c>
    </row>
    <row r="73" spans="2:18" ht="20.149999999999999" customHeight="1" x14ac:dyDescent="0.2">
      <c r="B73" s="25">
        <v>46044</v>
      </c>
      <c r="C73" s="26" t="s">
        <v>261</v>
      </c>
      <c r="D73" s="26" t="s">
        <v>260</v>
      </c>
      <c r="E73" s="52" t="s">
        <v>22</v>
      </c>
      <c r="F73" s="52">
        <v>20260120011</v>
      </c>
      <c r="G73" s="52" t="s">
        <v>264</v>
      </c>
      <c r="H73" s="38">
        <f>H71-K73</f>
        <v>99844.951653944023</v>
      </c>
      <c r="I73" s="38">
        <v>4100</v>
      </c>
      <c r="J73" s="38">
        <v>4120</v>
      </c>
      <c r="K73" s="38">
        <f t="shared" si="4"/>
        <v>5241.7302798982182</v>
      </c>
      <c r="L73" s="37"/>
      <c r="M73" s="85"/>
      <c r="N73" s="26"/>
      <c r="O73" s="29">
        <v>46042</v>
      </c>
      <c r="P73" s="28">
        <f t="shared" si="5"/>
        <v>46406</v>
      </c>
      <c r="R73" s="13" t="s">
        <v>255</v>
      </c>
    </row>
    <row r="74" spans="2:18" ht="20.149999999999999" customHeight="1" x14ac:dyDescent="0.2">
      <c r="B74" s="45">
        <v>46045</v>
      </c>
      <c r="C74" s="46" t="s">
        <v>271</v>
      </c>
      <c r="D74" s="46" t="s">
        <v>269</v>
      </c>
      <c r="E74" s="46" t="s">
        <v>25</v>
      </c>
      <c r="F74" s="46">
        <v>20260120023</v>
      </c>
      <c r="G74" s="46" t="s">
        <v>33</v>
      </c>
      <c r="H74" s="48">
        <f>H72-K74</f>
        <v>480877.16793893126</v>
      </c>
      <c r="I74" s="48">
        <v>4260</v>
      </c>
      <c r="J74" s="48">
        <v>4270</v>
      </c>
      <c r="K74" s="48">
        <f>J74/0.786</f>
        <v>5432.5699745547072</v>
      </c>
      <c r="L74" s="49"/>
      <c r="M74" s="84"/>
      <c r="N74" s="46"/>
      <c r="O74" s="29">
        <v>46043</v>
      </c>
      <c r="P74" s="28">
        <f>DATE(YEAR(O74)+1,MONTH(O74),DAY(O74))-1</f>
        <v>46407</v>
      </c>
    </row>
    <row r="75" spans="2:18" ht="20.149999999999999" customHeight="1" x14ac:dyDescent="0.2">
      <c r="B75" s="45">
        <v>46045</v>
      </c>
      <c r="C75" s="46" t="s">
        <v>272</v>
      </c>
      <c r="D75" s="46" t="s">
        <v>270</v>
      </c>
      <c r="E75" s="46" t="s">
        <v>25</v>
      </c>
      <c r="F75" s="46">
        <v>20260120024</v>
      </c>
      <c r="G75" s="46" t="s">
        <v>273</v>
      </c>
      <c r="H75" s="48">
        <f>H74-K75</f>
        <v>475584.54707379133</v>
      </c>
      <c r="I75" s="48">
        <v>4080</v>
      </c>
      <c r="J75" s="48">
        <v>4160</v>
      </c>
      <c r="K75" s="48">
        <f>J75/0.786</f>
        <v>5292.6208651399493</v>
      </c>
      <c r="L75" s="49"/>
      <c r="M75" s="84"/>
      <c r="N75" s="46"/>
      <c r="O75" s="29">
        <v>46043</v>
      </c>
      <c r="P75" s="28">
        <f>DATE(YEAR(O75)+1,MONTH(O75),DAY(O75))-1</f>
        <v>46407</v>
      </c>
    </row>
    <row r="76" spans="2:18" ht="20.149999999999999" customHeight="1" x14ac:dyDescent="0.2">
      <c r="B76" s="25">
        <v>46045</v>
      </c>
      <c r="C76" s="26" t="s">
        <v>276</v>
      </c>
      <c r="D76" s="26" t="s">
        <v>274</v>
      </c>
      <c r="E76" s="52" t="s">
        <v>22</v>
      </c>
      <c r="F76" s="52">
        <v>20260120012</v>
      </c>
      <c r="G76" s="52" t="s">
        <v>65</v>
      </c>
      <c r="H76" s="38">
        <f>H73-K76</f>
        <v>94449.549618320612</v>
      </c>
      <c r="I76" s="38">
        <v>4200</v>
      </c>
      <c r="J76" s="38">
        <v>4240</v>
      </c>
      <c r="K76" s="38">
        <f>J76/0.786+1</f>
        <v>5395.4020356234096</v>
      </c>
      <c r="L76" s="37"/>
      <c r="M76" s="85"/>
      <c r="N76" s="26"/>
      <c r="O76" s="29">
        <v>46043</v>
      </c>
      <c r="P76" s="28">
        <f t="shared" si="5"/>
        <v>46407</v>
      </c>
    </row>
    <row r="77" spans="2:18" ht="20.149999999999999" customHeight="1" x14ac:dyDescent="0.2">
      <c r="B77" s="25">
        <v>46045</v>
      </c>
      <c r="C77" s="26" t="s">
        <v>277</v>
      </c>
      <c r="D77" s="26" t="s">
        <v>275</v>
      </c>
      <c r="E77" s="52" t="s">
        <v>22</v>
      </c>
      <c r="F77" s="52">
        <v>20260120013</v>
      </c>
      <c r="G77" s="52" t="s">
        <v>278</v>
      </c>
      <c r="H77" s="38">
        <f>H76-K77</f>
        <v>88990.534351145034</v>
      </c>
      <c r="I77" s="38">
        <v>4440</v>
      </c>
      <c r="J77" s="38">
        <v>4290</v>
      </c>
      <c r="K77" s="38">
        <f>J77/0.786+1</f>
        <v>5459.0152671755723</v>
      </c>
      <c r="L77" s="37"/>
      <c r="M77" s="85"/>
      <c r="N77" s="26"/>
      <c r="O77" s="29">
        <v>46043</v>
      </c>
      <c r="P77" s="28">
        <f t="shared" si="5"/>
        <v>46407</v>
      </c>
    </row>
    <row r="78" spans="2:18" ht="20.149999999999999" customHeight="1" x14ac:dyDescent="0.2">
      <c r="B78" s="45">
        <v>46046</v>
      </c>
      <c r="C78" s="46" t="s">
        <v>282</v>
      </c>
      <c r="D78" s="46" t="s">
        <v>281</v>
      </c>
      <c r="E78" s="46" t="s">
        <v>25</v>
      </c>
      <c r="F78" s="46">
        <v>20260120025</v>
      </c>
      <c r="G78" s="46" t="s">
        <v>33</v>
      </c>
      <c r="H78" s="48">
        <f>H75-K78</f>
        <v>470075.64122137404</v>
      </c>
      <c r="I78" s="48">
        <v>4370</v>
      </c>
      <c r="J78" s="48">
        <v>4330</v>
      </c>
      <c r="K78" s="48">
        <f>J78/0.786</f>
        <v>5508.9058524173024</v>
      </c>
      <c r="L78" s="49"/>
      <c r="M78" s="84"/>
      <c r="N78" s="46"/>
      <c r="O78" s="29">
        <v>46044</v>
      </c>
      <c r="P78" s="28">
        <f>DATE(YEAR(O78)+1,MONTH(O78),DAY(O78))-1</f>
        <v>46408</v>
      </c>
    </row>
    <row r="79" spans="2:18" ht="20.149999999999999" customHeight="1" x14ac:dyDescent="0.2">
      <c r="B79" s="25">
        <v>46046</v>
      </c>
      <c r="C79" s="26" t="s">
        <v>284</v>
      </c>
      <c r="D79" s="26" t="s">
        <v>283</v>
      </c>
      <c r="E79" s="52" t="s">
        <v>22</v>
      </c>
      <c r="F79" s="52">
        <v>20260120014</v>
      </c>
      <c r="G79" s="52" t="s">
        <v>65</v>
      </c>
      <c r="H79" s="38">
        <f>H77-K79</f>
        <v>83570.687022900762</v>
      </c>
      <c r="I79" s="38">
        <v>4320</v>
      </c>
      <c r="J79" s="38">
        <v>4260</v>
      </c>
      <c r="K79" s="38">
        <f t="shared" si="4"/>
        <v>5419.8473282442746</v>
      </c>
      <c r="L79" s="37"/>
      <c r="M79" s="85"/>
      <c r="N79" s="26"/>
      <c r="O79" s="29">
        <v>46044</v>
      </c>
      <c r="P79" s="28">
        <f t="shared" si="5"/>
        <v>46408</v>
      </c>
    </row>
    <row r="80" spans="2:18" ht="20.149999999999999" customHeight="1" x14ac:dyDescent="0.2">
      <c r="B80" s="25">
        <v>46046</v>
      </c>
      <c r="C80" s="26" t="s">
        <v>286</v>
      </c>
      <c r="D80" s="26" t="s">
        <v>285</v>
      </c>
      <c r="E80" s="52" t="s">
        <v>22</v>
      </c>
      <c r="F80" s="52">
        <v>20260120015</v>
      </c>
      <c r="G80" s="52" t="s">
        <v>287</v>
      </c>
      <c r="H80" s="38">
        <f>H79-K80</f>
        <v>78138.117048346059</v>
      </c>
      <c r="I80" s="38">
        <v>4360</v>
      </c>
      <c r="J80" s="38">
        <v>4270</v>
      </c>
      <c r="K80" s="38">
        <f t="shared" si="4"/>
        <v>5432.5699745547072</v>
      </c>
      <c r="L80" s="37"/>
      <c r="M80" s="85"/>
      <c r="N80" s="26"/>
      <c r="O80" s="29">
        <v>46044</v>
      </c>
      <c r="P80" s="28">
        <f t="shared" si="5"/>
        <v>46408</v>
      </c>
    </row>
    <row r="81" spans="2:16" ht="20.149999999999999" customHeight="1" x14ac:dyDescent="0.2">
      <c r="B81" s="45">
        <v>46047</v>
      </c>
      <c r="C81" s="46" t="s">
        <v>301</v>
      </c>
      <c r="D81" s="46" t="s">
        <v>293</v>
      </c>
      <c r="E81" s="46" t="s">
        <v>25</v>
      </c>
      <c r="F81" s="46">
        <v>20260120026</v>
      </c>
      <c r="G81" s="46" t="s">
        <v>294</v>
      </c>
      <c r="H81" s="48">
        <f>H78-K81</f>
        <v>464655.79389312974</v>
      </c>
      <c r="I81" s="48">
        <v>4200</v>
      </c>
      <c r="J81" s="48">
        <v>4260</v>
      </c>
      <c r="K81" s="48">
        <f>J81/0.786</f>
        <v>5419.8473282442746</v>
      </c>
      <c r="L81" s="49"/>
      <c r="M81" s="84"/>
      <c r="N81" s="46"/>
      <c r="O81" s="29">
        <v>46045</v>
      </c>
      <c r="P81" s="28">
        <f>DATE(YEAR(O81)+1,MONTH(O81),DAY(O81))-1</f>
        <v>46409</v>
      </c>
    </row>
    <row r="82" spans="2:16" ht="20.149999999999999" customHeight="1" x14ac:dyDescent="0.2">
      <c r="B82" s="45">
        <v>46047</v>
      </c>
      <c r="C82" s="46" t="s">
        <v>303</v>
      </c>
      <c r="D82" s="46" t="s">
        <v>300</v>
      </c>
      <c r="E82" s="46" t="s">
        <v>25</v>
      </c>
      <c r="F82" s="46">
        <v>20260120027</v>
      </c>
      <c r="G82" s="46" t="s">
        <v>302</v>
      </c>
      <c r="H82" s="48">
        <f>H81-K82</f>
        <v>459476.67684478371</v>
      </c>
      <c r="I82" s="48">
        <v>4310</v>
      </c>
      <c r="J82" s="48">
        <v>4070</v>
      </c>
      <c r="K82" s="48">
        <f>J82/0.786+1</f>
        <v>5179.1170483460555</v>
      </c>
      <c r="L82" s="49"/>
      <c r="M82" s="84"/>
      <c r="N82" s="46"/>
      <c r="O82" s="29">
        <v>46046</v>
      </c>
      <c r="P82" s="28">
        <f>DATE(YEAR(O82)+1,MONTH(O82),DAY(O82))-1</f>
        <v>46410</v>
      </c>
    </row>
    <row r="83" spans="2:16" ht="20.149999999999999" customHeight="1" x14ac:dyDescent="0.2">
      <c r="B83" s="25">
        <v>46047</v>
      </c>
      <c r="C83" s="26" t="s">
        <v>298</v>
      </c>
      <c r="D83" s="26" t="s">
        <v>290</v>
      </c>
      <c r="E83" s="52" t="s">
        <v>22</v>
      </c>
      <c r="F83" s="52">
        <v>20260120016</v>
      </c>
      <c r="G83" s="52" t="s">
        <v>292</v>
      </c>
      <c r="H83" s="38">
        <f>H80-K83</f>
        <v>72959</v>
      </c>
      <c r="I83" s="38">
        <v>4100</v>
      </c>
      <c r="J83" s="38">
        <v>4070</v>
      </c>
      <c r="K83" s="38">
        <f>J83/0.786+1</f>
        <v>5179.1170483460555</v>
      </c>
      <c r="L83" s="37"/>
      <c r="M83" s="85"/>
      <c r="N83" s="26"/>
      <c r="O83" s="29">
        <v>46045</v>
      </c>
      <c r="P83" s="28">
        <f t="shared" si="5"/>
        <v>46409</v>
      </c>
    </row>
    <row r="84" spans="2:16" ht="20.149999999999999" customHeight="1" x14ac:dyDescent="0.2">
      <c r="B84" s="25">
        <v>46047</v>
      </c>
      <c r="C84" s="26" t="s">
        <v>299</v>
      </c>
      <c r="D84" s="26" t="s">
        <v>291</v>
      </c>
      <c r="E84" s="52" t="s">
        <v>22</v>
      </c>
      <c r="F84" s="52">
        <v>20260120019</v>
      </c>
      <c r="G84" s="52" t="s">
        <v>292</v>
      </c>
      <c r="H84" s="38">
        <f>H83-K84</f>
        <v>67590.043256997451</v>
      </c>
      <c r="I84" s="38">
        <v>4250</v>
      </c>
      <c r="J84" s="38">
        <v>4220</v>
      </c>
      <c r="K84" s="38">
        <f>J84/0.786</f>
        <v>5368.9567430025445</v>
      </c>
      <c r="L84" s="37"/>
      <c r="M84" s="85"/>
      <c r="N84" s="26"/>
      <c r="O84" s="29">
        <v>46045</v>
      </c>
      <c r="P84" s="28">
        <f>DATE(YEAR(O84)+1,MONTH(O84),DAY(O84))-1</f>
        <v>46409</v>
      </c>
    </row>
    <row r="85" spans="2:16" ht="20.149999999999999" customHeight="1" x14ac:dyDescent="0.2">
      <c r="B85" s="45">
        <v>46048</v>
      </c>
      <c r="C85" s="46" t="s">
        <v>311</v>
      </c>
      <c r="D85" s="46" t="s">
        <v>308</v>
      </c>
      <c r="E85" s="46" t="s">
        <v>25</v>
      </c>
      <c r="F85" s="46">
        <v>20260120028</v>
      </c>
      <c r="G85" s="46" t="s">
        <v>26</v>
      </c>
      <c r="H85" s="48">
        <f>H82-K85</f>
        <v>454133.16539440205</v>
      </c>
      <c r="I85" s="48">
        <v>4150</v>
      </c>
      <c r="J85" s="48">
        <v>4200</v>
      </c>
      <c r="K85" s="48">
        <f>J85/0.786</f>
        <v>5343.5114503816794</v>
      </c>
      <c r="L85" s="49"/>
      <c r="M85" s="84"/>
      <c r="N85" s="46"/>
      <c r="O85" s="29">
        <v>46046</v>
      </c>
      <c r="P85" s="28">
        <f>DATE(YEAR(O85)+1,MONTH(O85),DAY(O85))-1</f>
        <v>46410</v>
      </c>
    </row>
    <row r="86" spans="2:16" ht="20.149999999999999" customHeight="1" x14ac:dyDescent="0.2">
      <c r="B86" s="25">
        <v>46048</v>
      </c>
      <c r="C86" s="26" t="s">
        <v>312</v>
      </c>
      <c r="D86" s="26" t="s">
        <v>304</v>
      </c>
      <c r="E86" s="52" t="s">
        <v>22</v>
      </c>
      <c r="F86" s="52">
        <v>20260120017</v>
      </c>
      <c r="G86" s="52" t="s">
        <v>306</v>
      </c>
      <c r="H86" s="38">
        <f>H84-K86</f>
        <v>62283.69974554707</v>
      </c>
      <c r="I86" s="38">
        <v>4270</v>
      </c>
      <c r="J86" s="38">
        <v>4170</v>
      </c>
      <c r="K86" s="38">
        <f>J86/0.786+1</f>
        <v>5306.3435114503818</v>
      </c>
      <c r="L86" s="37"/>
      <c r="M86" s="85"/>
      <c r="N86" s="26"/>
      <c r="O86" s="29">
        <v>46046</v>
      </c>
      <c r="P86" s="28">
        <f t="shared" si="5"/>
        <v>46410</v>
      </c>
    </row>
    <row r="87" spans="2:16" ht="20.149999999999999" customHeight="1" x14ac:dyDescent="0.2">
      <c r="B87" s="25">
        <v>46048</v>
      </c>
      <c r="C87" s="26" t="s">
        <v>313</v>
      </c>
      <c r="D87" s="26" t="s">
        <v>305</v>
      </c>
      <c r="E87" s="52" t="s">
        <v>22</v>
      </c>
      <c r="F87" s="52">
        <v>20260120018</v>
      </c>
      <c r="G87" s="52" t="s">
        <v>307</v>
      </c>
      <c r="H87" s="38">
        <f>H86-K87</f>
        <v>56964.633587786258</v>
      </c>
      <c r="I87" s="38">
        <v>4200</v>
      </c>
      <c r="J87" s="38">
        <v>4180</v>
      </c>
      <c r="K87" s="38">
        <f>J87/0.786+1</f>
        <v>5319.0661577608143</v>
      </c>
      <c r="L87" s="37"/>
      <c r="M87" s="85"/>
      <c r="N87" s="26"/>
      <c r="O87" s="29">
        <v>46046</v>
      </c>
      <c r="P87" s="28">
        <f t="shared" si="5"/>
        <v>46410</v>
      </c>
    </row>
    <row r="88" spans="2:16" ht="20.149999999999999" customHeight="1" x14ac:dyDescent="0.2">
      <c r="B88" s="45">
        <v>46049</v>
      </c>
      <c r="C88" s="46" t="s">
        <v>322</v>
      </c>
      <c r="D88" s="46" t="s">
        <v>315</v>
      </c>
      <c r="E88" s="46" t="s">
        <v>25</v>
      </c>
      <c r="F88" s="46">
        <v>20260120029</v>
      </c>
      <c r="G88" s="46" t="s">
        <v>33</v>
      </c>
      <c r="H88" s="48">
        <f>H85-K88</f>
        <v>448674.15012722649</v>
      </c>
      <c r="I88" s="48">
        <v>4270</v>
      </c>
      <c r="J88" s="48">
        <v>4290</v>
      </c>
      <c r="K88" s="48">
        <f>J88/0.786+1</f>
        <v>5459.0152671755723</v>
      </c>
      <c r="L88" s="49"/>
      <c r="M88" s="84"/>
      <c r="N88" s="46"/>
      <c r="O88" s="29">
        <v>46047</v>
      </c>
      <c r="P88" s="28">
        <f>DATE(YEAR(O88)+1,MONTH(O88),DAY(O88))-1</f>
        <v>46411</v>
      </c>
    </row>
    <row r="89" spans="2:16" ht="20.149999999999999" customHeight="1" x14ac:dyDescent="0.2">
      <c r="B89" s="57">
        <v>46049</v>
      </c>
      <c r="C89" s="47" t="s">
        <v>320</v>
      </c>
      <c r="D89" s="47" t="s">
        <v>316</v>
      </c>
      <c r="E89" s="47" t="s">
        <v>25</v>
      </c>
      <c r="F89" s="47">
        <v>20260126001</v>
      </c>
      <c r="G89" s="47" t="s">
        <v>33</v>
      </c>
      <c r="H89" s="48">
        <f>H88-K89</f>
        <v>443101.63104325702</v>
      </c>
      <c r="I89" s="48">
        <v>4460</v>
      </c>
      <c r="J89" s="48">
        <v>4380</v>
      </c>
      <c r="K89" s="48">
        <f t="shared" ref="K89:K123" si="6">J89/0.786</f>
        <v>5572.5190839694651</v>
      </c>
      <c r="L89" s="58"/>
      <c r="M89" s="91"/>
      <c r="N89" s="47"/>
      <c r="O89" s="29">
        <v>46047</v>
      </c>
      <c r="P89" s="28">
        <f t="shared" ref="P89:P123" si="7">DATE(YEAR(O89)+1,MONTH(O89),DAY(O89))-1</f>
        <v>46411</v>
      </c>
    </row>
    <row r="90" spans="2:16" ht="20.149999999999999" customHeight="1" x14ac:dyDescent="0.2">
      <c r="B90" s="25">
        <v>46049</v>
      </c>
      <c r="C90" s="26" t="s">
        <v>319</v>
      </c>
      <c r="D90" s="26" t="s">
        <v>318</v>
      </c>
      <c r="E90" s="52" t="s">
        <v>22</v>
      </c>
      <c r="F90" s="52">
        <v>20260126008</v>
      </c>
      <c r="G90" s="52" t="s">
        <v>65</v>
      </c>
      <c r="H90" s="38">
        <f>H87-K90</f>
        <v>51595.676844783717</v>
      </c>
      <c r="I90" s="38">
        <v>4290</v>
      </c>
      <c r="J90" s="38">
        <v>4220</v>
      </c>
      <c r="K90" s="38">
        <f>J90/0.786</f>
        <v>5368.9567430025445</v>
      </c>
      <c r="L90" s="37"/>
      <c r="M90" s="85"/>
      <c r="N90" s="26"/>
      <c r="O90" s="29">
        <v>46047</v>
      </c>
      <c r="P90" s="28">
        <f>DATE(YEAR(O90)+1,MONTH(O90),DAY(O90))-1</f>
        <v>46411</v>
      </c>
    </row>
    <row r="91" spans="2:16" ht="20.149999999999999" customHeight="1" x14ac:dyDescent="0.2">
      <c r="B91" s="25">
        <v>46049</v>
      </c>
      <c r="C91" s="26" t="s">
        <v>321</v>
      </c>
      <c r="D91" s="26" t="s">
        <v>317</v>
      </c>
      <c r="E91" s="52" t="s">
        <v>22</v>
      </c>
      <c r="F91" s="52">
        <v>20260126009</v>
      </c>
      <c r="G91" s="52" t="s">
        <v>65</v>
      </c>
      <c r="H91" s="38">
        <f>H90-K91</f>
        <v>46252.165394402036</v>
      </c>
      <c r="I91" s="38">
        <v>4250</v>
      </c>
      <c r="J91" s="38">
        <v>4200</v>
      </c>
      <c r="K91" s="38">
        <f>J91/0.786</f>
        <v>5343.5114503816794</v>
      </c>
      <c r="L91" s="37"/>
      <c r="M91" s="85"/>
      <c r="N91" s="26"/>
      <c r="O91" s="29">
        <v>46047</v>
      </c>
      <c r="P91" s="28">
        <f>DATE(YEAR(O91)+1,MONTH(O91),DAY(O91))-1</f>
        <v>46411</v>
      </c>
    </row>
    <row r="92" spans="2:16" ht="20.149999999999999" customHeight="1" x14ac:dyDescent="0.2">
      <c r="B92" s="57">
        <v>46050</v>
      </c>
      <c r="C92" s="47" t="s">
        <v>330</v>
      </c>
      <c r="D92" s="47" t="s">
        <v>329</v>
      </c>
      <c r="E92" s="47" t="s">
        <v>25</v>
      </c>
      <c r="F92" s="47" t="s">
        <v>2169</v>
      </c>
      <c r="G92" s="47" t="s">
        <v>331</v>
      </c>
      <c r="H92" s="48">
        <f>H89-K92</f>
        <v>437592.72519083973</v>
      </c>
      <c r="I92" s="48">
        <v>4450</v>
      </c>
      <c r="J92" s="48">
        <v>4330</v>
      </c>
      <c r="K92" s="48">
        <f t="shared" si="6"/>
        <v>5508.9058524173024</v>
      </c>
      <c r="L92" s="58"/>
      <c r="M92" s="91"/>
      <c r="N92" s="47"/>
      <c r="O92" s="29">
        <v>46048</v>
      </c>
      <c r="P92" s="28">
        <f t="shared" si="7"/>
        <v>46412</v>
      </c>
    </row>
    <row r="93" spans="2:16" ht="20.149999999999999" customHeight="1" x14ac:dyDescent="0.2">
      <c r="B93" s="25">
        <v>46050</v>
      </c>
      <c r="C93" s="26" t="s">
        <v>327</v>
      </c>
      <c r="D93" s="26" t="s">
        <v>325</v>
      </c>
      <c r="E93" s="52" t="s">
        <v>22</v>
      </c>
      <c r="F93" s="52">
        <v>20260126010</v>
      </c>
      <c r="G93" s="52" t="s">
        <v>101</v>
      </c>
      <c r="H93" s="38">
        <f>H91-K93</f>
        <v>40793.150127226465</v>
      </c>
      <c r="I93" s="38">
        <v>4260</v>
      </c>
      <c r="J93" s="38">
        <v>4290</v>
      </c>
      <c r="K93" s="38">
        <f>J93/0.786+1</f>
        <v>5459.0152671755723</v>
      </c>
      <c r="L93" s="37"/>
      <c r="M93" s="85"/>
      <c r="N93" s="26"/>
      <c r="O93" s="29">
        <v>46048</v>
      </c>
      <c r="P93" s="28">
        <f>DATE(YEAR(O93)+1,MONTH(O93),DAY(O93))-1</f>
        <v>46412</v>
      </c>
    </row>
    <row r="94" spans="2:16" ht="20.149999999999999" customHeight="1" x14ac:dyDescent="0.2">
      <c r="B94" s="25">
        <v>46050</v>
      </c>
      <c r="C94" s="26" t="s">
        <v>328</v>
      </c>
      <c r="D94" s="26" t="s">
        <v>326</v>
      </c>
      <c r="E94" s="52" t="s">
        <v>22</v>
      </c>
      <c r="F94" s="52">
        <v>20260126011</v>
      </c>
      <c r="G94" s="52" t="s">
        <v>101</v>
      </c>
      <c r="H94" s="38">
        <f>H93-K94</f>
        <v>35308.689567430025</v>
      </c>
      <c r="I94" s="38">
        <v>4360</v>
      </c>
      <c r="J94" s="38">
        <v>4310</v>
      </c>
      <c r="K94" s="38">
        <f>J94/0.786+1</f>
        <v>5484.4605597964373</v>
      </c>
      <c r="L94" s="37"/>
      <c r="M94" s="85"/>
      <c r="N94" s="26"/>
      <c r="O94" s="29">
        <v>46048</v>
      </c>
      <c r="P94" s="28">
        <f>DATE(YEAR(O94)+1,MONTH(O94),DAY(O94))-1</f>
        <v>46412</v>
      </c>
    </row>
    <row r="95" spans="2:16" ht="20.149999999999999" customHeight="1" x14ac:dyDescent="0.2">
      <c r="B95" s="57">
        <v>46051</v>
      </c>
      <c r="C95" s="47" t="s">
        <v>339</v>
      </c>
      <c r="D95" s="47" t="s">
        <v>340</v>
      </c>
      <c r="E95" s="47" t="s">
        <v>25</v>
      </c>
      <c r="F95" s="47" t="s">
        <v>2170</v>
      </c>
      <c r="G95" s="47" t="s">
        <v>342</v>
      </c>
      <c r="H95" s="48">
        <f>H92-K95</f>
        <v>432032.92875318072</v>
      </c>
      <c r="I95" s="48">
        <v>4360</v>
      </c>
      <c r="J95" s="48">
        <v>4370</v>
      </c>
      <c r="K95" s="48">
        <f t="shared" si="6"/>
        <v>5559.7964376590326</v>
      </c>
      <c r="L95" s="58"/>
      <c r="M95" s="91"/>
      <c r="N95" s="47"/>
      <c r="O95" s="29">
        <v>46049</v>
      </c>
      <c r="P95" s="28">
        <f t="shared" si="7"/>
        <v>46413</v>
      </c>
    </row>
    <row r="96" spans="2:16" ht="20.149999999999999" customHeight="1" x14ac:dyDescent="0.2">
      <c r="B96" s="57">
        <v>46051</v>
      </c>
      <c r="C96" s="47" t="s">
        <v>344</v>
      </c>
      <c r="D96" s="47" t="s">
        <v>341</v>
      </c>
      <c r="E96" s="47" t="s">
        <v>25</v>
      </c>
      <c r="F96" s="47" t="s">
        <v>2171</v>
      </c>
      <c r="G96" s="47" t="s">
        <v>94</v>
      </c>
      <c r="H96" s="48">
        <f>H95-K96</f>
        <v>426371.35114503821</v>
      </c>
      <c r="I96" s="48">
        <v>4460</v>
      </c>
      <c r="J96" s="48">
        <v>4450</v>
      </c>
      <c r="K96" s="48">
        <f t="shared" si="6"/>
        <v>5661.5776081424938</v>
      </c>
      <c r="L96" s="58"/>
      <c r="M96" s="91"/>
      <c r="N96" s="47"/>
      <c r="O96" s="29">
        <v>46049</v>
      </c>
      <c r="P96" s="28">
        <f t="shared" si="7"/>
        <v>46413</v>
      </c>
    </row>
    <row r="97" spans="2:16" ht="20.149999999999999" customHeight="1" x14ac:dyDescent="0.2">
      <c r="B97" s="25">
        <v>46051</v>
      </c>
      <c r="C97" s="26" t="s">
        <v>343</v>
      </c>
      <c r="D97" s="26" t="s">
        <v>337</v>
      </c>
      <c r="E97" s="52" t="s">
        <v>22</v>
      </c>
      <c r="F97" s="52">
        <v>20260126012</v>
      </c>
      <c r="G97" s="52" t="s">
        <v>338</v>
      </c>
      <c r="H97" s="38">
        <f>H94-K97</f>
        <v>29837.951653944019</v>
      </c>
      <c r="I97" s="38">
        <v>4300</v>
      </c>
      <c r="J97" s="38">
        <v>4300</v>
      </c>
      <c r="K97" s="38">
        <f>J97/0.786</f>
        <v>5470.7379134860048</v>
      </c>
      <c r="L97" s="37"/>
      <c r="M97" s="85"/>
      <c r="N97" s="26"/>
      <c r="O97" s="29">
        <v>46049</v>
      </c>
      <c r="P97" s="28">
        <f>DATE(YEAR(O97)+1,MONTH(O97),DAY(O97))-1</f>
        <v>46413</v>
      </c>
    </row>
    <row r="98" spans="2:16" ht="20.149999999999999" customHeight="1" x14ac:dyDescent="0.2">
      <c r="B98" s="25">
        <v>46051</v>
      </c>
      <c r="C98" s="26" t="s">
        <v>346</v>
      </c>
      <c r="D98" s="26" t="s">
        <v>345</v>
      </c>
      <c r="E98" s="52" t="s">
        <v>22</v>
      </c>
      <c r="F98" s="52">
        <v>20260126013</v>
      </c>
      <c r="G98" s="52" t="s">
        <v>65</v>
      </c>
      <c r="H98" s="38">
        <f>H97-K98</f>
        <v>24658.834605597964</v>
      </c>
      <c r="I98" s="38">
        <v>4360</v>
      </c>
      <c r="J98" s="38">
        <v>4070</v>
      </c>
      <c r="K98" s="38">
        <f>J98/0.786+1</f>
        <v>5179.1170483460555</v>
      </c>
      <c r="L98" s="37"/>
      <c r="M98" s="85"/>
      <c r="N98" s="26"/>
      <c r="O98" s="29">
        <v>46050</v>
      </c>
      <c r="P98" s="28">
        <f>DATE(YEAR(O98)+1,MONTH(O98),DAY(O98))-1</f>
        <v>46414</v>
      </c>
    </row>
    <row r="99" spans="2:16" ht="20.149999999999999" customHeight="1" x14ac:dyDescent="0.2">
      <c r="B99" s="57">
        <v>46052</v>
      </c>
      <c r="C99" s="47" t="s">
        <v>348</v>
      </c>
      <c r="D99" s="47" t="s">
        <v>347</v>
      </c>
      <c r="E99" s="47" t="s">
        <v>25</v>
      </c>
      <c r="F99" s="47" t="s">
        <v>2172</v>
      </c>
      <c r="G99" s="47" t="s">
        <v>94</v>
      </c>
      <c r="H99" s="48">
        <f>H96-K99</f>
        <v>420836.00000000006</v>
      </c>
      <c r="I99" s="48">
        <v>4350</v>
      </c>
      <c r="J99" s="48">
        <v>4350</v>
      </c>
      <c r="K99" s="48">
        <f>J99/0.786+1</f>
        <v>5535.3511450381675</v>
      </c>
      <c r="L99" s="58"/>
      <c r="M99" s="91"/>
      <c r="N99" s="47"/>
      <c r="O99" s="29">
        <v>46049</v>
      </c>
      <c r="P99" s="28">
        <f t="shared" si="7"/>
        <v>46413</v>
      </c>
    </row>
    <row r="100" spans="2:16" ht="20.149999999999999" customHeight="1" x14ac:dyDescent="0.2">
      <c r="B100" s="25">
        <v>46052</v>
      </c>
      <c r="C100" s="26" t="s">
        <v>350</v>
      </c>
      <c r="D100" s="26" t="s">
        <v>349</v>
      </c>
      <c r="E100" s="52" t="s">
        <v>22</v>
      </c>
      <c r="F100" s="52">
        <v>20260126014</v>
      </c>
      <c r="G100" s="52" t="s">
        <v>101</v>
      </c>
      <c r="H100" s="38">
        <f>H98-K100</f>
        <v>19199.819338422392</v>
      </c>
      <c r="I100" s="38">
        <v>4340</v>
      </c>
      <c r="J100" s="38">
        <v>4290</v>
      </c>
      <c r="K100" s="38">
        <f>J100/0.786+1</f>
        <v>5459.0152671755723</v>
      </c>
      <c r="L100" s="37"/>
      <c r="M100" s="85"/>
      <c r="N100" s="26"/>
      <c r="O100" s="29">
        <v>46050</v>
      </c>
      <c r="P100" s="28">
        <f>DATE(YEAR(O100)+1,MONTH(O100),DAY(O100))-1</f>
        <v>46414</v>
      </c>
    </row>
    <row r="101" spans="2:16" ht="20.149999999999999" customHeight="1" x14ac:dyDescent="0.2">
      <c r="B101" s="57">
        <v>46053</v>
      </c>
      <c r="C101" s="47" t="s">
        <v>355</v>
      </c>
      <c r="D101" s="47" t="s">
        <v>353</v>
      </c>
      <c r="E101" s="47" t="s">
        <v>25</v>
      </c>
      <c r="F101" s="47">
        <v>20260126006</v>
      </c>
      <c r="G101" s="47" t="s">
        <v>69</v>
      </c>
      <c r="H101" s="48">
        <f>H99-K101</f>
        <v>415351.53944020363</v>
      </c>
      <c r="I101" s="48">
        <v>4350</v>
      </c>
      <c r="J101" s="48">
        <v>4310</v>
      </c>
      <c r="K101" s="48">
        <f>J101/0.786+1</f>
        <v>5484.4605597964373</v>
      </c>
      <c r="L101" s="58"/>
      <c r="M101" s="91"/>
      <c r="N101" s="47"/>
      <c r="O101" s="29">
        <v>46050</v>
      </c>
      <c r="P101" s="28">
        <f t="shared" si="7"/>
        <v>46414</v>
      </c>
    </row>
    <row r="102" spans="2:16" ht="20.149999999999999" customHeight="1" x14ac:dyDescent="0.2">
      <c r="B102" s="57">
        <v>46053</v>
      </c>
      <c r="C102" s="47" t="s">
        <v>356</v>
      </c>
      <c r="D102" s="47" t="s">
        <v>354</v>
      </c>
      <c r="E102" s="47" t="s">
        <v>25</v>
      </c>
      <c r="F102" s="47">
        <v>20260126007</v>
      </c>
      <c r="G102" s="47" t="s">
        <v>69</v>
      </c>
      <c r="H102" s="48">
        <f>H101-K102</f>
        <v>409905.24681933847</v>
      </c>
      <c r="I102" s="48">
        <v>4330</v>
      </c>
      <c r="J102" s="48">
        <v>4280</v>
      </c>
      <c r="K102" s="48">
        <f>J102/0.786+1</f>
        <v>5446.2926208651397</v>
      </c>
      <c r="L102" s="58"/>
      <c r="M102" s="91"/>
      <c r="N102" s="47"/>
      <c r="O102" s="29">
        <v>46050</v>
      </c>
      <c r="P102" s="28">
        <f t="shared" si="7"/>
        <v>46414</v>
      </c>
    </row>
    <row r="103" spans="2:16" ht="20.149999999999999" customHeight="1" x14ac:dyDescent="0.2">
      <c r="B103" s="25">
        <v>46053</v>
      </c>
      <c r="C103" s="26" t="s">
        <v>361</v>
      </c>
      <c r="D103" s="26" t="s">
        <v>357</v>
      </c>
      <c r="E103" s="52" t="s">
        <v>22</v>
      </c>
      <c r="F103" s="52">
        <v>20260126015</v>
      </c>
      <c r="G103" s="52" t="s">
        <v>65</v>
      </c>
      <c r="H103" s="38">
        <f>H100-K103</f>
        <v>13601.854961832061</v>
      </c>
      <c r="I103" s="38">
        <v>4440</v>
      </c>
      <c r="J103" s="38">
        <v>4400</v>
      </c>
      <c r="K103" s="38">
        <f t="shared" si="6"/>
        <v>5597.9643765903302</v>
      </c>
      <c r="L103" s="37"/>
      <c r="M103" s="85"/>
      <c r="N103" s="26"/>
      <c r="O103" s="29">
        <v>46051</v>
      </c>
      <c r="P103" s="28">
        <f t="shared" si="7"/>
        <v>46415</v>
      </c>
    </row>
    <row r="104" spans="2:16" ht="20.149999999999999" customHeight="1" x14ac:dyDescent="0.2">
      <c r="B104" s="25">
        <v>46053</v>
      </c>
      <c r="C104" s="26" t="s">
        <v>359</v>
      </c>
      <c r="D104" s="26" t="s">
        <v>358</v>
      </c>
      <c r="E104" s="52" t="s">
        <v>22</v>
      </c>
      <c r="F104" s="52">
        <v>20260126016</v>
      </c>
      <c r="G104" s="52" t="s">
        <v>360</v>
      </c>
      <c r="H104" s="38">
        <f>H103-K104</f>
        <v>8042.0585241730287</v>
      </c>
      <c r="I104" s="38">
        <v>4330</v>
      </c>
      <c r="J104" s="38">
        <v>4370</v>
      </c>
      <c r="K104" s="38">
        <f t="shared" si="6"/>
        <v>5559.7964376590326</v>
      </c>
      <c r="L104" s="37"/>
      <c r="M104" s="85"/>
      <c r="N104" s="26"/>
      <c r="O104" s="29">
        <v>46051</v>
      </c>
      <c r="P104" s="28">
        <f t="shared" si="7"/>
        <v>46415</v>
      </c>
    </row>
    <row r="105" spans="2:16" ht="20.149999999999999" customHeight="1" x14ac:dyDescent="0.2">
      <c r="B105" s="45">
        <v>46054</v>
      </c>
      <c r="C105" s="46" t="s">
        <v>374</v>
      </c>
      <c r="D105" s="46" t="s">
        <v>372</v>
      </c>
      <c r="E105" s="47" t="s">
        <v>25</v>
      </c>
      <c r="F105" s="47">
        <v>20260130020</v>
      </c>
      <c r="G105" s="47" t="s">
        <v>26</v>
      </c>
      <c r="H105" s="48">
        <f>H102-K105</f>
        <v>404586.18066157767</v>
      </c>
      <c r="I105" s="48">
        <v>4270</v>
      </c>
      <c r="J105" s="48">
        <v>4180</v>
      </c>
      <c r="K105" s="48">
        <f>J105/0.786+1</f>
        <v>5319.0661577608143</v>
      </c>
      <c r="L105" s="49"/>
      <c r="M105" s="84"/>
      <c r="N105" s="46"/>
      <c r="O105" s="29">
        <v>46052</v>
      </c>
      <c r="P105" s="28">
        <f t="shared" si="7"/>
        <v>46416</v>
      </c>
    </row>
    <row r="106" spans="2:16" ht="20.149999999999999" customHeight="1" x14ac:dyDescent="0.2">
      <c r="B106" s="25">
        <v>46054</v>
      </c>
      <c r="C106" s="26" t="s">
        <v>370</v>
      </c>
      <c r="D106" s="26" t="s">
        <v>368</v>
      </c>
      <c r="E106" s="52" t="s">
        <v>22</v>
      </c>
      <c r="F106" s="52">
        <v>20260130029</v>
      </c>
      <c r="G106" s="52" t="s">
        <v>101</v>
      </c>
      <c r="H106" s="38">
        <f>H104-K106</f>
        <v>2660.3791348600516</v>
      </c>
      <c r="I106" s="38">
        <v>4220</v>
      </c>
      <c r="J106" s="38">
        <v>4230</v>
      </c>
      <c r="K106" s="38">
        <f>J106/0.786</f>
        <v>5381.679389312977</v>
      </c>
      <c r="L106" s="37"/>
      <c r="M106" s="85"/>
      <c r="N106" s="26"/>
      <c r="O106" s="29">
        <v>46052</v>
      </c>
      <c r="P106" s="28">
        <f>DATE(YEAR(O106)+1,MONTH(O106),DAY(O106))-1</f>
        <v>46416</v>
      </c>
    </row>
    <row r="107" spans="2:16" ht="20.149999999999999" customHeight="1" x14ac:dyDescent="0.2">
      <c r="B107" s="34">
        <v>46054</v>
      </c>
      <c r="C107" s="35" t="s">
        <v>373</v>
      </c>
      <c r="D107" s="35" t="s">
        <v>369</v>
      </c>
      <c r="E107" s="59" t="s">
        <v>22</v>
      </c>
      <c r="F107" s="59">
        <v>20260130030</v>
      </c>
      <c r="G107" s="59" t="s">
        <v>371</v>
      </c>
      <c r="H107" s="43">
        <f>326683-K107</f>
        <v>321314.04325699748</v>
      </c>
      <c r="I107" s="43">
        <v>4290</v>
      </c>
      <c r="J107" s="43">
        <v>4220</v>
      </c>
      <c r="K107" s="43">
        <f>J107/0.786</f>
        <v>5368.9567430025445</v>
      </c>
      <c r="L107" s="44"/>
      <c r="M107" s="92"/>
      <c r="N107" s="35"/>
      <c r="O107" s="29">
        <v>46052</v>
      </c>
      <c r="P107" s="28">
        <f>DATE(YEAR(O107)+1,MONTH(O107),DAY(O107))-1</f>
        <v>46416</v>
      </c>
    </row>
    <row r="108" spans="2:16" ht="20.149999999999999" customHeight="1" x14ac:dyDescent="0.2">
      <c r="B108" s="45">
        <v>46055</v>
      </c>
      <c r="C108" s="46" t="s">
        <v>382</v>
      </c>
      <c r="D108" s="46" t="s">
        <v>381</v>
      </c>
      <c r="E108" s="47" t="s">
        <v>25</v>
      </c>
      <c r="F108" s="47">
        <v>20260130021</v>
      </c>
      <c r="G108" s="47" t="s">
        <v>33</v>
      </c>
      <c r="H108" s="48">
        <f>H105-K108</f>
        <v>399382.61832061072</v>
      </c>
      <c r="I108" s="48">
        <v>4090</v>
      </c>
      <c r="J108" s="48">
        <v>4090</v>
      </c>
      <c r="K108" s="48">
        <f t="shared" si="6"/>
        <v>5203.5623409669206</v>
      </c>
      <c r="L108" s="49"/>
      <c r="M108" s="84"/>
      <c r="N108" s="46"/>
      <c r="O108" s="29">
        <v>46053</v>
      </c>
      <c r="P108" s="28">
        <f t="shared" si="7"/>
        <v>46417</v>
      </c>
    </row>
    <row r="109" spans="2:16" ht="20.149999999999999" customHeight="1" x14ac:dyDescent="0.2">
      <c r="B109" s="34">
        <v>46055</v>
      </c>
      <c r="C109" s="35" t="s">
        <v>383</v>
      </c>
      <c r="D109" s="35" t="s">
        <v>378</v>
      </c>
      <c r="E109" s="59" t="s">
        <v>22</v>
      </c>
      <c r="F109" s="59">
        <v>20260130031</v>
      </c>
      <c r="G109" s="59" t="s">
        <v>380</v>
      </c>
      <c r="H109" s="43">
        <f>H107-K109</f>
        <v>315918.6412213741</v>
      </c>
      <c r="I109" s="43">
        <v>4120</v>
      </c>
      <c r="J109" s="43">
        <v>4240</v>
      </c>
      <c r="K109" s="43">
        <f>J109/0.786+1</f>
        <v>5395.4020356234096</v>
      </c>
      <c r="L109" s="44"/>
      <c r="M109" s="92"/>
      <c r="N109" s="35"/>
      <c r="O109" s="29">
        <v>46053</v>
      </c>
      <c r="P109" s="28">
        <f t="shared" ref="P109:P115" si="8">DATE(YEAR(O109)+1,MONTH(O109),DAY(O109))-1</f>
        <v>46417</v>
      </c>
    </row>
    <row r="110" spans="2:16" ht="20.149999999999999" customHeight="1" x14ac:dyDescent="0.2">
      <c r="B110" s="34">
        <v>46055</v>
      </c>
      <c r="C110" s="35" t="s">
        <v>384</v>
      </c>
      <c r="D110" s="35" t="s">
        <v>379</v>
      </c>
      <c r="E110" s="59" t="s">
        <v>22</v>
      </c>
      <c r="F110" s="59">
        <v>20260130032</v>
      </c>
      <c r="G110" s="59" t="s">
        <v>362</v>
      </c>
      <c r="H110" s="43">
        <f>H109-K110</f>
        <v>310977.29007633595</v>
      </c>
      <c r="I110" s="43">
        <v>4440</v>
      </c>
      <c r="J110" s="43">
        <v>4350</v>
      </c>
      <c r="K110" s="43">
        <f>J110/0.786+1-594</f>
        <v>4941.3511450381675</v>
      </c>
      <c r="L110" s="44"/>
      <c r="M110" s="92"/>
      <c r="N110" s="35"/>
      <c r="O110" s="29">
        <v>46053</v>
      </c>
      <c r="P110" s="28">
        <f t="shared" si="8"/>
        <v>46417</v>
      </c>
    </row>
    <row r="111" spans="2:16" ht="20.149999999999999" customHeight="1" x14ac:dyDescent="0.2">
      <c r="B111" s="25"/>
      <c r="C111" s="26" t="s">
        <v>384</v>
      </c>
      <c r="D111" s="26" t="s">
        <v>62</v>
      </c>
      <c r="E111" s="52" t="s">
        <v>22</v>
      </c>
      <c r="F111" s="52" t="s">
        <v>2173</v>
      </c>
      <c r="G111" s="52" t="s">
        <v>410</v>
      </c>
      <c r="H111" s="38">
        <f>K111-594</f>
        <v>0</v>
      </c>
      <c r="I111" s="38"/>
      <c r="J111" s="38"/>
      <c r="K111" s="38">
        <v>594</v>
      </c>
      <c r="L111" s="37"/>
      <c r="M111" s="85"/>
      <c r="N111" s="26"/>
    </row>
    <row r="112" spans="2:16" ht="20.149999999999999" customHeight="1" x14ac:dyDescent="0.2">
      <c r="B112" s="45">
        <v>46056</v>
      </c>
      <c r="C112" s="46" t="s">
        <v>391</v>
      </c>
      <c r="D112" s="46" t="s">
        <v>390</v>
      </c>
      <c r="E112" s="47" t="s">
        <v>25</v>
      </c>
      <c r="F112" s="47">
        <v>20260130022</v>
      </c>
      <c r="G112" s="47" t="s">
        <v>69</v>
      </c>
      <c r="H112" s="48">
        <f>H108-K112</f>
        <v>393950.04834605602</v>
      </c>
      <c r="I112" s="48">
        <v>4380</v>
      </c>
      <c r="J112" s="48">
        <v>4270</v>
      </c>
      <c r="K112" s="48">
        <f t="shared" ref="K112:K113" si="9">J112/0.786</f>
        <v>5432.5699745547072</v>
      </c>
      <c r="L112" s="49"/>
      <c r="M112" s="84"/>
      <c r="N112" s="46"/>
      <c r="O112" s="29">
        <v>46054</v>
      </c>
      <c r="P112" s="28">
        <f t="shared" si="8"/>
        <v>46418</v>
      </c>
    </row>
    <row r="113" spans="2:16" ht="20.149999999999999" customHeight="1" x14ac:dyDescent="0.2">
      <c r="B113" s="34">
        <v>46056</v>
      </c>
      <c r="C113" s="35" t="s">
        <v>388</v>
      </c>
      <c r="D113" s="35" t="s">
        <v>385</v>
      </c>
      <c r="E113" s="59" t="s">
        <v>22</v>
      </c>
      <c r="F113" s="59">
        <v>20260130033</v>
      </c>
      <c r="G113" s="59" t="s">
        <v>387</v>
      </c>
      <c r="H113" s="43">
        <f>H110-K113</f>
        <v>305608.33333333343</v>
      </c>
      <c r="I113" s="43">
        <v>4300</v>
      </c>
      <c r="J113" s="43">
        <v>4220</v>
      </c>
      <c r="K113" s="43">
        <f t="shared" si="9"/>
        <v>5368.9567430025445</v>
      </c>
      <c r="L113" s="44"/>
      <c r="M113" s="92"/>
      <c r="N113" s="35"/>
      <c r="O113" s="29">
        <v>46054</v>
      </c>
      <c r="P113" s="28">
        <f t="shared" si="8"/>
        <v>46418</v>
      </c>
    </row>
    <row r="114" spans="2:16" ht="20.149999999999999" customHeight="1" x14ac:dyDescent="0.2">
      <c r="B114" s="34">
        <v>46056</v>
      </c>
      <c r="C114" s="35" t="s">
        <v>389</v>
      </c>
      <c r="D114" s="35" t="s">
        <v>386</v>
      </c>
      <c r="E114" s="59" t="s">
        <v>22</v>
      </c>
      <c r="F114" s="59">
        <v>20260130034</v>
      </c>
      <c r="G114" s="59" t="s">
        <v>387</v>
      </c>
      <c r="H114" s="43">
        <f>H113-K114</f>
        <v>300480.10687022912</v>
      </c>
      <c r="I114" s="43">
        <v>4140</v>
      </c>
      <c r="J114" s="43">
        <v>4030</v>
      </c>
      <c r="K114" s="43">
        <f>J114/0.786+1</f>
        <v>5128.2264631043254</v>
      </c>
      <c r="L114" s="44"/>
      <c r="M114" s="92"/>
      <c r="N114" s="35"/>
      <c r="O114" s="29">
        <v>46054</v>
      </c>
      <c r="P114" s="28">
        <f t="shared" si="8"/>
        <v>46418</v>
      </c>
    </row>
    <row r="115" spans="2:16" ht="20.149999999999999" customHeight="1" x14ac:dyDescent="0.2">
      <c r="B115" s="45">
        <v>46057</v>
      </c>
      <c r="C115" s="46" t="s">
        <v>399</v>
      </c>
      <c r="D115" s="46" t="s">
        <v>398</v>
      </c>
      <c r="E115" s="47" t="s">
        <v>25</v>
      </c>
      <c r="F115" s="47">
        <v>20260130023</v>
      </c>
      <c r="G115" s="47" t="s">
        <v>94</v>
      </c>
      <c r="H115" s="48">
        <f>H112-K115</f>
        <v>388630.98218829522</v>
      </c>
      <c r="I115" s="48">
        <v>4180</v>
      </c>
      <c r="J115" s="48">
        <v>4180</v>
      </c>
      <c r="K115" s="48">
        <f>J115/0.786+1</f>
        <v>5319.0661577608143</v>
      </c>
      <c r="L115" s="49"/>
      <c r="M115" s="84"/>
      <c r="N115" s="46"/>
      <c r="O115" s="29">
        <v>46055</v>
      </c>
      <c r="P115" s="28">
        <f t="shared" si="8"/>
        <v>46419</v>
      </c>
    </row>
    <row r="116" spans="2:16" ht="20.149999999999999" customHeight="1" x14ac:dyDescent="0.2">
      <c r="B116" s="45">
        <v>46057</v>
      </c>
      <c r="C116" s="46" t="s">
        <v>405</v>
      </c>
      <c r="D116" s="46" t="s">
        <v>400</v>
      </c>
      <c r="E116" s="47" t="s">
        <v>25</v>
      </c>
      <c r="F116" s="47">
        <v>20260130024</v>
      </c>
      <c r="G116" s="47" t="s">
        <v>69</v>
      </c>
      <c r="H116" s="48">
        <f>H115-K116</f>
        <v>383249.30279898224</v>
      </c>
      <c r="I116" s="48">
        <v>4170</v>
      </c>
      <c r="J116" s="48">
        <v>4230</v>
      </c>
      <c r="K116" s="48">
        <f t="shared" si="6"/>
        <v>5381.679389312977</v>
      </c>
      <c r="L116" s="49"/>
      <c r="M116" s="84"/>
      <c r="N116" s="46"/>
      <c r="O116" s="29">
        <v>46056</v>
      </c>
      <c r="P116" s="28">
        <f t="shared" si="7"/>
        <v>46420</v>
      </c>
    </row>
    <row r="117" spans="2:16" ht="20.149999999999999" customHeight="1" x14ac:dyDescent="0.2">
      <c r="B117" s="34">
        <v>46057</v>
      </c>
      <c r="C117" s="35" t="s">
        <v>401</v>
      </c>
      <c r="D117" s="35" t="s">
        <v>396</v>
      </c>
      <c r="E117" s="59" t="s">
        <v>22</v>
      </c>
      <c r="F117" s="59">
        <v>20260130035</v>
      </c>
      <c r="G117" s="59" t="s">
        <v>397</v>
      </c>
      <c r="H117" s="43">
        <f>H114-K117</f>
        <v>295211.93129771005</v>
      </c>
      <c r="I117" s="43">
        <v>4220</v>
      </c>
      <c r="J117" s="43">
        <v>4140</v>
      </c>
      <c r="K117" s="43">
        <f>J117/0.786+1</f>
        <v>5268.1755725190842</v>
      </c>
      <c r="L117" s="44"/>
      <c r="M117" s="92"/>
      <c r="N117" s="35"/>
      <c r="O117" s="29">
        <v>46055</v>
      </c>
      <c r="P117" s="28">
        <f>DATE(YEAR(O117)+1,MONTH(O117),DAY(O117))-1</f>
        <v>46419</v>
      </c>
    </row>
    <row r="118" spans="2:16" ht="20.149999999999999" customHeight="1" x14ac:dyDescent="0.2">
      <c r="B118" s="45">
        <v>46058</v>
      </c>
      <c r="C118" s="46" t="s">
        <v>406</v>
      </c>
      <c r="D118" s="46" t="s">
        <v>407</v>
      </c>
      <c r="E118" s="47" t="s">
        <v>25</v>
      </c>
      <c r="F118" s="47">
        <v>20260130025</v>
      </c>
      <c r="G118" s="47" t="s">
        <v>33</v>
      </c>
      <c r="H118" s="48">
        <f>H116-K118</f>
        <v>377816.73282442754</v>
      </c>
      <c r="I118" s="48">
        <v>4330</v>
      </c>
      <c r="J118" s="48">
        <v>4270</v>
      </c>
      <c r="K118" s="48">
        <f>J118/0.786</f>
        <v>5432.5699745547072</v>
      </c>
      <c r="L118" s="49"/>
      <c r="M118" s="84"/>
      <c r="N118" s="46"/>
      <c r="O118" s="29">
        <v>46056</v>
      </c>
      <c r="P118" s="28">
        <f>DATE(YEAR(O118)+1,MONTH(O118),DAY(O118))-1</f>
        <v>46420</v>
      </c>
    </row>
    <row r="119" spans="2:16" ht="20.149999999999999" customHeight="1" x14ac:dyDescent="0.2">
      <c r="B119" s="45">
        <v>46058</v>
      </c>
      <c r="C119" s="46" t="s">
        <v>413</v>
      </c>
      <c r="D119" s="46" t="s">
        <v>412</v>
      </c>
      <c r="E119" s="47" t="s">
        <v>25</v>
      </c>
      <c r="F119" s="47">
        <v>20260130026</v>
      </c>
      <c r="G119" s="47" t="s">
        <v>69</v>
      </c>
      <c r="H119" s="48">
        <f>H118-K119</f>
        <v>372485.94402035628</v>
      </c>
      <c r="I119" s="48">
        <v>4200</v>
      </c>
      <c r="J119" s="48">
        <v>4190</v>
      </c>
      <c r="K119" s="48">
        <f t="shared" si="6"/>
        <v>5330.7888040712469</v>
      </c>
      <c r="L119" s="49"/>
      <c r="M119" s="84"/>
      <c r="N119" s="46"/>
      <c r="O119" s="29">
        <v>46057</v>
      </c>
      <c r="P119" s="28">
        <f t="shared" si="7"/>
        <v>46421</v>
      </c>
    </row>
    <row r="120" spans="2:16" ht="20.149999999999999" customHeight="1" x14ac:dyDescent="0.2">
      <c r="B120" s="34">
        <v>46058</v>
      </c>
      <c r="C120" s="35" t="s">
        <v>411</v>
      </c>
      <c r="D120" s="35" t="s">
        <v>408</v>
      </c>
      <c r="E120" s="59" t="s">
        <v>22</v>
      </c>
      <c r="F120" s="59">
        <v>20260130036</v>
      </c>
      <c r="G120" s="59" t="s">
        <v>397</v>
      </c>
      <c r="H120" s="43">
        <f>H117-K120</f>
        <v>289779.36132315535</v>
      </c>
      <c r="I120" s="43">
        <v>4230</v>
      </c>
      <c r="J120" s="43">
        <v>4270</v>
      </c>
      <c r="K120" s="43">
        <f>J120/0.786</f>
        <v>5432.5699745547072</v>
      </c>
      <c r="L120" s="44"/>
      <c r="M120" s="92"/>
      <c r="N120" s="35"/>
      <c r="O120" s="29">
        <v>46056</v>
      </c>
      <c r="P120" s="28">
        <f>DATE(YEAR(O120)+1,MONTH(O120),DAY(O120))-1</f>
        <v>46420</v>
      </c>
    </row>
    <row r="121" spans="2:16" ht="20.149999999999999" customHeight="1" x14ac:dyDescent="0.2">
      <c r="B121" s="45">
        <v>46059</v>
      </c>
      <c r="C121" s="46" t="s">
        <v>420</v>
      </c>
      <c r="D121" s="46" t="s">
        <v>419</v>
      </c>
      <c r="E121" s="47" t="s">
        <v>25</v>
      </c>
      <c r="F121" s="47">
        <v>20260130027</v>
      </c>
      <c r="G121" s="47" t="s">
        <v>69</v>
      </c>
      <c r="H121" s="48">
        <f>H119-K121</f>
        <v>367026.92875318072</v>
      </c>
      <c r="I121" s="48">
        <v>4340</v>
      </c>
      <c r="J121" s="48">
        <v>4290</v>
      </c>
      <c r="K121" s="48">
        <f>J121/0.786+1</f>
        <v>5459.0152671755723</v>
      </c>
      <c r="L121" s="49"/>
      <c r="M121" s="84"/>
      <c r="N121" s="46"/>
      <c r="O121" s="29">
        <v>46057</v>
      </c>
      <c r="P121" s="28">
        <f t="shared" si="7"/>
        <v>46421</v>
      </c>
    </row>
    <row r="122" spans="2:16" ht="20.149999999999999" customHeight="1" x14ac:dyDescent="0.2">
      <c r="B122" s="34">
        <v>46059</v>
      </c>
      <c r="C122" s="35" t="s">
        <v>416</v>
      </c>
      <c r="D122" s="35" t="s">
        <v>414</v>
      </c>
      <c r="E122" s="59" t="s">
        <v>22</v>
      </c>
      <c r="F122" s="59">
        <v>20260130038</v>
      </c>
      <c r="G122" s="59" t="s">
        <v>371</v>
      </c>
      <c r="H122" s="43">
        <f>H120-K122</f>
        <v>284371.23664122151</v>
      </c>
      <c r="I122" s="43">
        <v>4280</v>
      </c>
      <c r="J122" s="43">
        <v>4250</v>
      </c>
      <c r="K122" s="43">
        <f>J122/0.786+1</f>
        <v>5408.1246819338421</v>
      </c>
      <c r="L122" s="44"/>
      <c r="M122" s="92"/>
      <c r="N122" s="35"/>
      <c r="O122" s="29">
        <v>46057</v>
      </c>
      <c r="P122" s="28">
        <f t="shared" si="7"/>
        <v>46421</v>
      </c>
    </row>
    <row r="123" spans="2:16" ht="20.149999999999999" customHeight="1" x14ac:dyDescent="0.2">
      <c r="B123" s="34">
        <v>46059</v>
      </c>
      <c r="C123" s="35" t="s">
        <v>418</v>
      </c>
      <c r="D123" s="35" t="s">
        <v>415</v>
      </c>
      <c r="E123" s="59" t="s">
        <v>22</v>
      </c>
      <c r="F123" s="59">
        <v>20260130039</v>
      </c>
      <c r="G123" s="59" t="s">
        <v>371</v>
      </c>
      <c r="H123" s="43">
        <f>H122-K123</f>
        <v>278849.60814249376</v>
      </c>
      <c r="I123" s="43">
        <v>4400</v>
      </c>
      <c r="J123" s="43">
        <v>4340</v>
      </c>
      <c r="K123" s="43">
        <f t="shared" si="6"/>
        <v>5521.628498727735</v>
      </c>
      <c r="L123" s="44"/>
      <c r="M123" s="92"/>
      <c r="N123" s="35"/>
      <c r="O123" s="29">
        <v>46057</v>
      </c>
      <c r="P123" s="28">
        <f t="shared" si="7"/>
        <v>46421</v>
      </c>
    </row>
    <row r="124" spans="2:16" ht="20.149999999999999" customHeight="1" x14ac:dyDescent="0.2">
      <c r="B124" s="45">
        <v>46060</v>
      </c>
      <c r="C124" s="46" t="s">
        <v>426</v>
      </c>
      <c r="D124" s="46" t="s">
        <v>425</v>
      </c>
      <c r="E124" s="47" t="s">
        <v>25</v>
      </c>
      <c r="F124" s="47">
        <v>20260130028</v>
      </c>
      <c r="G124" s="47" t="s">
        <v>427</v>
      </c>
      <c r="H124" s="48">
        <f>H121-K124</f>
        <v>361428.96437659039</v>
      </c>
      <c r="I124" s="48">
        <v>4460</v>
      </c>
      <c r="J124" s="48">
        <v>4400</v>
      </c>
      <c r="K124" s="48">
        <f>J124/0.786</f>
        <v>5597.9643765903302</v>
      </c>
      <c r="L124" s="49"/>
      <c r="M124" s="84"/>
      <c r="N124" s="46"/>
      <c r="O124" s="29">
        <v>46057</v>
      </c>
      <c r="P124" s="28">
        <f>DATE(YEAR(O124)+1,MONTH(O124),DAY(O124))-1</f>
        <v>46421</v>
      </c>
    </row>
    <row r="125" spans="2:16" ht="20.149999999999999" customHeight="1" x14ac:dyDescent="0.2">
      <c r="B125" s="34">
        <v>46060</v>
      </c>
      <c r="C125" s="35" t="s">
        <v>423</v>
      </c>
      <c r="D125" s="35" t="s">
        <v>421</v>
      </c>
      <c r="E125" s="59" t="s">
        <v>22</v>
      </c>
      <c r="F125" s="59">
        <v>20260130037</v>
      </c>
      <c r="G125" s="59" t="s">
        <v>362</v>
      </c>
      <c r="H125" s="43">
        <f>H123-K125</f>
        <v>273454.20610687038</v>
      </c>
      <c r="I125" s="43">
        <v>4250</v>
      </c>
      <c r="J125" s="43">
        <v>4240</v>
      </c>
      <c r="K125" s="43">
        <f>J125/0.786+1</f>
        <v>5395.4020356234096</v>
      </c>
      <c r="L125" s="44"/>
      <c r="M125" s="92"/>
      <c r="N125" s="35"/>
      <c r="O125" s="29">
        <v>46058</v>
      </c>
      <c r="P125" s="28">
        <f>DATE(YEAR(O125)+1,MONTH(O125),DAY(O125))-1</f>
        <v>46422</v>
      </c>
    </row>
    <row r="126" spans="2:16" ht="20.149999999999999" customHeight="1" x14ac:dyDescent="0.2">
      <c r="B126" s="34">
        <v>46060</v>
      </c>
      <c r="C126" s="35" t="s">
        <v>424</v>
      </c>
      <c r="D126" s="35" t="s">
        <v>422</v>
      </c>
      <c r="E126" s="59" t="s">
        <v>22</v>
      </c>
      <c r="F126" s="59">
        <v>20260206003</v>
      </c>
      <c r="G126" s="59" t="s">
        <v>362</v>
      </c>
      <c r="H126" s="43">
        <f>H125-K126</f>
        <v>268072.5267175574</v>
      </c>
      <c r="I126" s="43">
        <v>4230</v>
      </c>
      <c r="J126" s="43">
        <v>4230</v>
      </c>
      <c r="K126" s="43">
        <f t="shared" ref="K126:K138" si="10">J126/0.786</f>
        <v>5381.679389312977</v>
      </c>
      <c r="L126" s="44"/>
      <c r="M126" s="92"/>
      <c r="N126" s="35"/>
      <c r="O126" s="29">
        <v>46058</v>
      </c>
      <c r="P126" s="28">
        <f t="shared" ref="P126:P180" si="11">DATE(YEAR(O126)+1,MONTH(O126),DAY(O126))-1</f>
        <v>46422</v>
      </c>
    </row>
    <row r="127" spans="2:16" ht="20.149999999999999" customHeight="1" x14ac:dyDescent="0.2">
      <c r="B127" s="45">
        <v>46061</v>
      </c>
      <c r="C127" s="46" t="s">
        <v>434</v>
      </c>
      <c r="D127" s="46" t="s">
        <v>430</v>
      </c>
      <c r="E127" s="47" t="s">
        <v>25</v>
      </c>
      <c r="F127" s="47">
        <v>20260206013</v>
      </c>
      <c r="G127" s="47" t="s">
        <v>94</v>
      </c>
      <c r="H127" s="48">
        <f>H124-K127</f>
        <v>355842.72264631052</v>
      </c>
      <c r="I127" s="48">
        <v>4350</v>
      </c>
      <c r="J127" s="48">
        <v>4390</v>
      </c>
      <c r="K127" s="48">
        <f>J127/0.786+1</f>
        <v>5586.2417302798976</v>
      </c>
      <c r="L127" s="49"/>
      <c r="M127" s="84"/>
      <c r="N127" s="46"/>
      <c r="O127" s="29">
        <v>46058</v>
      </c>
      <c r="P127" s="28">
        <f>DATE(YEAR(O127)+1,MONTH(O127),DAY(O127))-1</f>
        <v>46422</v>
      </c>
    </row>
    <row r="128" spans="2:16" ht="20.149999999999999" customHeight="1" x14ac:dyDescent="0.2">
      <c r="B128" s="45">
        <v>46061</v>
      </c>
      <c r="C128" s="46" t="s">
        <v>446</v>
      </c>
      <c r="D128" s="46" t="s">
        <v>99</v>
      </c>
      <c r="E128" s="47" t="s">
        <v>25</v>
      </c>
      <c r="F128" s="47">
        <v>20260206014</v>
      </c>
      <c r="G128" s="47" t="s">
        <v>445</v>
      </c>
      <c r="H128" s="48">
        <f>H127-K128</f>
        <v>350473.765903308</v>
      </c>
      <c r="I128" s="48">
        <v>4180</v>
      </c>
      <c r="J128" s="48">
        <v>4220</v>
      </c>
      <c r="K128" s="48">
        <f>J128/0.786</f>
        <v>5368.9567430025445</v>
      </c>
      <c r="L128" s="49"/>
      <c r="M128" s="84"/>
      <c r="N128" s="46"/>
      <c r="O128" s="29">
        <v>46058</v>
      </c>
      <c r="P128" s="28">
        <f>DATE(YEAR(O128)+1,MONTH(O128),DAY(O128))-1</f>
        <v>46422</v>
      </c>
    </row>
    <row r="129" spans="2:16" ht="20.149999999999999" customHeight="1" x14ac:dyDescent="0.2">
      <c r="B129" s="34">
        <v>46061</v>
      </c>
      <c r="C129" s="35" t="s">
        <v>431</v>
      </c>
      <c r="D129" s="35" t="s">
        <v>91</v>
      </c>
      <c r="E129" s="59" t="s">
        <v>22</v>
      </c>
      <c r="F129" s="59">
        <v>20260206004</v>
      </c>
      <c r="G129" s="59" t="s">
        <v>362</v>
      </c>
      <c r="H129" s="43">
        <f>H126-K129</f>
        <v>262753.4605597966</v>
      </c>
      <c r="I129" s="43">
        <v>4250</v>
      </c>
      <c r="J129" s="43">
        <v>4180</v>
      </c>
      <c r="K129" s="43">
        <f>J129/0.786+1</f>
        <v>5319.0661577608143</v>
      </c>
      <c r="L129" s="44"/>
      <c r="M129" s="92"/>
      <c r="N129" s="35"/>
      <c r="O129" s="29">
        <v>46059</v>
      </c>
      <c r="P129" s="28">
        <f t="shared" si="11"/>
        <v>46423</v>
      </c>
    </row>
    <row r="130" spans="2:16" ht="20.149999999999999" customHeight="1" x14ac:dyDescent="0.25">
      <c r="B130" s="45">
        <v>46062</v>
      </c>
      <c r="C130" s="46" t="s">
        <v>444</v>
      </c>
      <c r="D130" s="46" t="s">
        <v>438</v>
      </c>
      <c r="E130" s="47" t="s">
        <v>25</v>
      </c>
      <c r="F130" s="47">
        <v>20260206015</v>
      </c>
      <c r="G130" s="47" t="s">
        <v>94</v>
      </c>
      <c r="H130" s="48">
        <f>H128-K130</f>
        <v>344785.74300254462</v>
      </c>
      <c r="I130" s="48">
        <v>4510</v>
      </c>
      <c r="J130" s="48">
        <v>4470</v>
      </c>
      <c r="K130" s="48">
        <f>J130/0.786+1</f>
        <v>5688.0229007633588</v>
      </c>
      <c r="L130" s="56" t="s">
        <v>473</v>
      </c>
      <c r="M130" s="84"/>
      <c r="N130" s="46"/>
      <c r="O130" s="29">
        <v>46059</v>
      </c>
      <c r="P130" s="28">
        <f>DATE(YEAR(O130)+1,MONTH(O130),DAY(O130))-1</f>
        <v>46423</v>
      </c>
    </row>
    <row r="131" spans="2:16" ht="20.149999999999999" customHeight="1" x14ac:dyDescent="0.25">
      <c r="B131" s="34">
        <v>46062</v>
      </c>
      <c r="C131" s="35" t="s">
        <v>442</v>
      </c>
      <c r="D131" s="35" t="s">
        <v>435</v>
      </c>
      <c r="E131" s="59" t="s">
        <v>22</v>
      </c>
      <c r="F131" s="59">
        <v>20260206005</v>
      </c>
      <c r="G131" s="59" t="s">
        <v>362</v>
      </c>
      <c r="H131" s="43">
        <f>H129-K131</f>
        <v>257269.00000000017</v>
      </c>
      <c r="I131" s="43">
        <v>4430</v>
      </c>
      <c r="J131" s="43">
        <v>4310</v>
      </c>
      <c r="K131" s="43">
        <f>J131/0.786+1</f>
        <v>5484.4605597964373</v>
      </c>
      <c r="L131" s="60" t="s">
        <v>473</v>
      </c>
      <c r="M131" s="92"/>
      <c r="N131" s="35"/>
      <c r="O131" s="29">
        <v>46060</v>
      </c>
      <c r="P131" s="28">
        <f>DATE(YEAR(O131)+1,MONTH(O131),DAY(O131))-1</f>
        <v>46424</v>
      </c>
    </row>
    <row r="132" spans="2:16" ht="20.149999999999999" customHeight="1" x14ac:dyDescent="0.25">
      <c r="B132" s="34">
        <v>46062</v>
      </c>
      <c r="C132" s="35" t="s">
        <v>443</v>
      </c>
      <c r="D132" s="35" t="s">
        <v>436</v>
      </c>
      <c r="E132" s="59" t="s">
        <v>22</v>
      </c>
      <c r="F132" s="59">
        <v>20260206006</v>
      </c>
      <c r="G132" s="59" t="s">
        <v>437</v>
      </c>
      <c r="H132" s="43">
        <f>H131-K132</f>
        <v>251849.1526717559</v>
      </c>
      <c r="I132" s="43">
        <v>4260</v>
      </c>
      <c r="J132" s="43">
        <v>4260</v>
      </c>
      <c r="K132" s="43">
        <f t="shared" si="10"/>
        <v>5419.8473282442746</v>
      </c>
      <c r="L132" s="60" t="s">
        <v>473</v>
      </c>
      <c r="M132" s="92"/>
      <c r="N132" s="35"/>
      <c r="O132" s="29">
        <v>46060</v>
      </c>
      <c r="P132" s="28">
        <f t="shared" si="11"/>
        <v>46424</v>
      </c>
    </row>
    <row r="133" spans="2:16" ht="20.149999999999999" customHeight="1" x14ac:dyDescent="0.2">
      <c r="B133" s="45">
        <v>46063</v>
      </c>
      <c r="C133" s="46" t="s">
        <v>453</v>
      </c>
      <c r="D133" s="46" t="s">
        <v>447</v>
      </c>
      <c r="E133" s="47" t="s">
        <v>25</v>
      </c>
      <c r="F133" s="47">
        <v>20260206016</v>
      </c>
      <c r="G133" s="47" t="s">
        <v>33</v>
      </c>
      <c r="H133" s="48">
        <f>H130-K133</f>
        <v>339442.23155216296</v>
      </c>
      <c r="I133" s="48">
        <v>4380</v>
      </c>
      <c r="J133" s="48">
        <v>4200</v>
      </c>
      <c r="K133" s="48">
        <f>J133/0.786</f>
        <v>5343.5114503816794</v>
      </c>
      <c r="L133" s="49"/>
      <c r="M133" s="84"/>
      <c r="N133" s="46"/>
      <c r="O133" s="29">
        <v>46060</v>
      </c>
      <c r="P133" s="28">
        <f>DATE(YEAR(O133)+1,MONTH(O133),DAY(O133))-1</f>
        <v>46424</v>
      </c>
    </row>
    <row r="134" spans="2:16" ht="20.149999999999999" customHeight="1" x14ac:dyDescent="0.2">
      <c r="B134" s="45">
        <v>46063</v>
      </c>
      <c r="C134" s="46" t="s">
        <v>454</v>
      </c>
      <c r="D134" s="46" t="s">
        <v>448</v>
      </c>
      <c r="E134" s="47" t="s">
        <v>25</v>
      </c>
      <c r="F134" s="47">
        <v>20260206017</v>
      </c>
      <c r="G134" s="47" t="s">
        <v>33</v>
      </c>
      <c r="H134" s="48">
        <f>H133-K134</f>
        <v>334034.10687022912</v>
      </c>
      <c r="I134" s="48">
        <v>4450</v>
      </c>
      <c r="J134" s="48">
        <v>4250</v>
      </c>
      <c r="K134" s="48">
        <f>J134/0.786+1</f>
        <v>5408.1246819338421</v>
      </c>
      <c r="L134" s="49"/>
      <c r="M134" s="84"/>
      <c r="N134" s="46"/>
      <c r="O134" s="29">
        <v>46061</v>
      </c>
      <c r="P134" s="28">
        <f>DATE(YEAR(O134)+1,MONTH(O134),DAY(O134))-1</f>
        <v>46425</v>
      </c>
    </row>
    <row r="135" spans="2:16" ht="20.149999999999999" customHeight="1" x14ac:dyDescent="0.2">
      <c r="B135" s="34">
        <v>46063</v>
      </c>
      <c r="C135" s="35" t="s">
        <v>452</v>
      </c>
      <c r="D135" s="35" t="s">
        <v>449</v>
      </c>
      <c r="E135" s="59" t="s">
        <v>22</v>
      </c>
      <c r="F135" s="59" t="s">
        <v>2174</v>
      </c>
      <c r="G135" s="59" t="s">
        <v>397</v>
      </c>
      <c r="H135" s="43">
        <f>H132-K135</f>
        <v>246467.47328244292</v>
      </c>
      <c r="I135" s="43">
        <v>4240</v>
      </c>
      <c r="J135" s="43">
        <v>4230</v>
      </c>
      <c r="K135" s="43">
        <f t="shared" si="10"/>
        <v>5381.679389312977</v>
      </c>
      <c r="L135" s="44"/>
      <c r="M135" s="92"/>
      <c r="N135" s="35"/>
      <c r="O135" s="29">
        <v>46061</v>
      </c>
      <c r="P135" s="28">
        <f t="shared" si="11"/>
        <v>46425</v>
      </c>
    </row>
    <row r="136" spans="2:16" ht="20.149999999999999" customHeight="1" x14ac:dyDescent="0.2">
      <c r="B136" s="34">
        <v>46063</v>
      </c>
      <c r="C136" s="35" t="s">
        <v>451</v>
      </c>
      <c r="D136" s="35" t="s">
        <v>450</v>
      </c>
      <c r="E136" s="59" t="s">
        <v>22</v>
      </c>
      <c r="F136" s="59">
        <v>20260206008</v>
      </c>
      <c r="G136" s="59" t="s">
        <v>397</v>
      </c>
      <c r="H136" s="43">
        <f>H135-K136</f>
        <v>241008.45801526736</v>
      </c>
      <c r="I136" s="43">
        <v>4380</v>
      </c>
      <c r="J136" s="43">
        <v>4290</v>
      </c>
      <c r="K136" s="43">
        <f>J136/0.786+1</f>
        <v>5459.0152671755723</v>
      </c>
      <c r="L136" s="44"/>
      <c r="M136" s="92"/>
      <c r="N136" s="35"/>
      <c r="O136" s="29">
        <v>46061</v>
      </c>
      <c r="P136" s="28">
        <f t="shared" si="11"/>
        <v>46425</v>
      </c>
    </row>
    <row r="137" spans="2:16" ht="20.149999999999999" customHeight="1" x14ac:dyDescent="0.2">
      <c r="B137" s="45">
        <v>46064</v>
      </c>
      <c r="C137" s="46" t="s">
        <v>464</v>
      </c>
      <c r="D137" s="46" t="s">
        <v>457</v>
      </c>
      <c r="E137" s="47" t="s">
        <v>25</v>
      </c>
      <c r="F137" s="47">
        <v>20260206018</v>
      </c>
      <c r="G137" s="47" t="s">
        <v>463</v>
      </c>
      <c r="H137" s="48">
        <f>H134-K137</f>
        <v>328614.25954198482</v>
      </c>
      <c r="I137" s="48">
        <v>4280</v>
      </c>
      <c r="J137" s="48">
        <v>4260</v>
      </c>
      <c r="K137" s="48">
        <f>J137/0.786</f>
        <v>5419.8473282442746</v>
      </c>
      <c r="L137" s="49"/>
      <c r="M137" s="84"/>
      <c r="N137" s="46"/>
      <c r="O137" s="29">
        <v>46062</v>
      </c>
      <c r="P137" s="28">
        <f>DATE(YEAR(O137)+1,MONTH(O137),DAY(O137))-1</f>
        <v>46426</v>
      </c>
    </row>
    <row r="138" spans="2:16" ht="20.149999999999999" customHeight="1" x14ac:dyDescent="0.2">
      <c r="B138" s="34">
        <v>46064</v>
      </c>
      <c r="C138" s="35" t="s">
        <v>460</v>
      </c>
      <c r="D138" s="35" t="s">
        <v>455</v>
      </c>
      <c r="E138" s="59" t="s">
        <v>22</v>
      </c>
      <c r="F138" s="59" t="s">
        <v>2175</v>
      </c>
      <c r="G138" s="59" t="s">
        <v>461</v>
      </c>
      <c r="H138" s="43">
        <f>H136-K138</f>
        <v>235677.6692111961</v>
      </c>
      <c r="I138" s="43">
        <v>4230</v>
      </c>
      <c r="J138" s="43">
        <v>4190</v>
      </c>
      <c r="K138" s="43">
        <f t="shared" si="10"/>
        <v>5330.7888040712469</v>
      </c>
      <c r="L138" s="44"/>
      <c r="M138" s="92"/>
      <c r="N138" s="35"/>
      <c r="O138" s="29">
        <v>46061</v>
      </c>
      <c r="P138" s="28">
        <f t="shared" si="11"/>
        <v>46425</v>
      </c>
    </row>
    <row r="139" spans="2:16" ht="20.149999999999999" customHeight="1" x14ac:dyDescent="0.2">
      <c r="B139" s="34">
        <v>46064</v>
      </c>
      <c r="C139" s="35" t="s">
        <v>462</v>
      </c>
      <c r="D139" s="35" t="s">
        <v>456</v>
      </c>
      <c r="E139" s="59" t="s">
        <v>22</v>
      </c>
      <c r="F139" s="59" t="s">
        <v>2176</v>
      </c>
      <c r="G139" s="59" t="s">
        <v>362</v>
      </c>
      <c r="H139" s="43">
        <f>H138-K139</f>
        <v>230218.65394402054</v>
      </c>
      <c r="I139" s="43">
        <v>4250</v>
      </c>
      <c r="J139" s="43">
        <v>4290</v>
      </c>
      <c r="K139" s="43">
        <f>J139/0.786+1</f>
        <v>5459.0152671755723</v>
      </c>
      <c r="L139" s="44"/>
      <c r="M139" s="92"/>
      <c r="N139" s="35"/>
      <c r="O139" s="29">
        <v>46062</v>
      </c>
      <c r="P139" s="28">
        <f t="shared" si="11"/>
        <v>46426</v>
      </c>
    </row>
    <row r="140" spans="2:16" ht="20.149999999999999" customHeight="1" x14ac:dyDescent="0.2">
      <c r="B140" s="45">
        <v>46065</v>
      </c>
      <c r="C140" s="46" t="s">
        <v>470</v>
      </c>
      <c r="D140" s="46" t="s">
        <v>469</v>
      </c>
      <c r="E140" s="47" t="s">
        <v>25</v>
      </c>
      <c r="F140" s="47">
        <v>20260206019</v>
      </c>
      <c r="G140" s="47" t="s">
        <v>94</v>
      </c>
      <c r="H140" s="48">
        <f>H137-K140</f>
        <v>323143.5216284988</v>
      </c>
      <c r="I140" s="48">
        <v>4360</v>
      </c>
      <c r="J140" s="48">
        <v>4300</v>
      </c>
      <c r="K140" s="48">
        <f>J140/0.786</f>
        <v>5470.7379134860048</v>
      </c>
      <c r="L140" s="49"/>
      <c r="M140" s="84"/>
      <c r="N140" s="46"/>
      <c r="O140" s="29">
        <v>46063</v>
      </c>
      <c r="P140" s="28">
        <f>DATE(YEAR(O140)+1,MONTH(O140),DAY(O140))-1</f>
        <v>46427</v>
      </c>
    </row>
    <row r="141" spans="2:16" ht="20.149999999999999" customHeight="1" x14ac:dyDescent="0.2">
      <c r="B141" s="34">
        <v>46065</v>
      </c>
      <c r="C141" s="35" t="s">
        <v>467</v>
      </c>
      <c r="D141" s="35" t="s">
        <v>465</v>
      </c>
      <c r="E141" s="59" t="s">
        <v>22</v>
      </c>
      <c r="F141" s="59" t="s">
        <v>2177</v>
      </c>
      <c r="G141" s="59" t="s">
        <v>362</v>
      </c>
      <c r="H141" s="43">
        <f>H139-K141</f>
        <v>224759.63867684497</v>
      </c>
      <c r="I141" s="43">
        <v>4460</v>
      </c>
      <c r="J141" s="43">
        <v>4290</v>
      </c>
      <c r="K141" s="43">
        <f>J141/0.786+1</f>
        <v>5459.0152671755723</v>
      </c>
      <c r="L141" s="44"/>
      <c r="M141" s="92"/>
      <c r="N141" s="35"/>
      <c r="O141" s="29">
        <v>46062</v>
      </c>
      <c r="P141" s="28">
        <f t="shared" si="11"/>
        <v>46426</v>
      </c>
    </row>
    <row r="142" spans="2:16" ht="20.149999999999999" customHeight="1" x14ac:dyDescent="0.2">
      <c r="B142" s="34">
        <v>46065</v>
      </c>
      <c r="C142" s="35" t="s">
        <v>468</v>
      </c>
      <c r="D142" s="35" t="s">
        <v>466</v>
      </c>
      <c r="E142" s="59" t="s">
        <v>22</v>
      </c>
      <c r="F142" s="59">
        <v>20260206012</v>
      </c>
      <c r="G142" s="59" t="s">
        <v>362</v>
      </c>
      <c r="H142" s="43">
        <f>H141-K142</f>
        <v>219377.95928753199</v>
      </c>
      <c r="I142" s="43">
        <v>4230</v>
      </c>
      <c r="J142" s="43">
        <v>4230</v>
      </c>
      <c r="K142" s="43">
        <f>J142/0.786</f>
        <v>5381.679389312977</v>
      </c>
      <c r="L142" s="44"/>
      <c r="M142" s="92"/>
      <c r="N142" s="35"/>
      <c r="O142" s="29">
        <v>46063</v>
      </c>
      <c r="P142" s="28">
        <f t="shared" si="11"/>
        <v>46427</v>
      </c>
    </row>
    <row r="143" spans="2:16" ht="20.149999999999999" customHeight="1" x14ac:dyDescent="0.2">
      <c r="B143" s="45">
        <v>46066</v>
      </c>
      <c r="C143" s="46" t="s">
        <v>484</v>
      </c>
      <c r="D143" s="46" t="s">
        <v>478</v>
      </c>
      <c r="E143" s="47" t="s">
        <v>25</v>
      </c>
      <c r="F143" s="47">
        <v>20260206020</v>
      </c>
      <c r="G143" s="47" t="s">
        <v>480</v>
      </c>
      <c r="H143" s="48">
        <f>H140-K143</f>
        <v>317672.78371501277</v>
      </c>
      <c r="I143" s="48">
        <v>4240</v>
      </c>
      <c r="J143" s="48">
        <v>4300</v>
      </c>
      <c r="K143" s="48">
        <f>J143/0.786</f>
        <v>5470.7379134860048</v>
      </c>
      <c r="L143" s="49"/>
      <c r="M143" s="84"/>
      <c r="N143" s="46"/>
      <c r="O143" s="29">
        <v>46063</v>
      </c>
      <c r="P143" s="28">
        <f>DATE(YEAR(O143)+1,MONTH(O143),DAY(O143))-1</f>
        <v>46427</v>
      </c>
    </row>
    <row r="144" spans="2:16" ht="20.149999999999999" customHeight="1" x14ac:dyDescent="0.2">
      <c r="B144" s="45">
        <v>46066</v>
      </c>
      <c r="C144" s="46" t="s">
        <v>485</v>
      </c>
      <c r="D144" s="46" t="s">
        <v>479</v>
      </c>
      <c r="E144" s="47" t="s">
        <v>25</v>
      </c>
      <c r="F144" s="47">
        <v>20260206021</v>
      </c>
      <c r="G144" s="47" t="s">
        <v>33</v>
      </c>
      <c r="H144" s="48">
        <f>H143-K144</f>
        <v>312277.38167938939</v>
      </c>
      <c r="I144" s="48">
        <v>4270</v>
      </c>
      <c r="J144" s="48">
        <v>4240</v>
      </c>
      <c r="K144" s="48">
        <f>J144/0.786+1</f>
        <v>5395.4020356234096</v>
      </c>
      <c r="L144" s="49"/>
      <c r="M144" s="84"/>
      <c r="N144" s="46"/>
      <c r="O144" s="29">
        <v>46064</v>
      </c>
      <c r="P144" s="28">
        <f t="shared" si="11"/>
        <v>46428</v>
      </c>
    </row>
    <row r="145" spans="2:16" ht="20.149999999999999" customHeight="1" x14ac:dyDescent="0.2">
      <c r="B145" s="34">
        <v>46066</v>
      </c>
      <c r="C145" s="35" t="s">
        <v>486</v>
      </c>
      <c r="D145" s="35" t="s">
        <v>474</v>
      </c>
      <c r="E145" s="59" t="s">
        <v>22</v>
      </c>
      <c r="F145" s="59">
        <v>20260210021</v>
      </c>
      <c r="G145" s="59" t="s">
        <v>476</v>
      </c>
      <c r="H145" s="43">
        <f>H142-K145</f>
        <v>214071.6157760816</v>
      </c>
      <c r="I145" s="43">
        <v>4210</v>
      </c>
      <c r="J145" s="43">
        <v>4170</v>
      </c>
      <c r="K145" s="43">
        <f>J145/0.786+1</f>
        <v>5306.3435114503818</v>
      </c>
      <c r="L145" s="44"/>
      <c r="M145" s="92"/>
      <c r="N145" s="35"/>
      <c r="O145" s="29">
        <v>46064</v>
      </c>
      <c r="P145" s="28">
        <f>DATE(YEAR(O145)+1,MONTH(O145),DAY(O145))-1</f>
        <v>46428</v>
      </c>
    </row>
    <row r="146" spans="2:16" ht="20.149999999999999" customHeight="1" x14ac:dyDescent="0.2">
      <c r="B146" s="34">
        <v>46066</v>
      </c>
      <c r="C146" s="35" t="s">
        <v>477</v>
      </c>
      <c r="D146" s="35" t="s">
        <v>475</v>
      </c>
      <c r="E146" s="59" t="s">
        <v>22</v>
      </c>
      <c r="F146" s="59">
        <v>20260210022</v>
      </c>
      <c r="G146" s="59" t="s">
        <v>380</v>
      </c>
      <c r="H146" s="43">
        <f>H145-K146</f>
        <v>208714.38167938948</v>
      </c>
      <c r="I146" s="43">
        <v>4260</v>
      </c>
      <c r="J146" s="43">
        <v>4210</v>
      </c>
      <c r="K146" s="43">
        <f>J146/0.786+1</f>
        <v>5357.234096692112</v>
      </c>
      <c r="L146" s="44"/>
      <c r="M146" s="92"/>
      <c r="N146" s="35"/>
      <c r="O146" s="29">
        <v>46064</v>
      </c>
      <c r="P146" s="28">
        <f>DATE(YEAR(O146)+1,MONTH(O146),DAY(O146))-1</f>
        <v>46428</v>
      </c>
    </row>
    <row r="147" spans="2:16" ht="20.149999999999999" customHeight="1" x14ac:dyDescent="0.2">
      <c r="B147" s="45">
        <v>46067</v>
      </c>
      <c r="C147" s="46" t="s">
        <v>490</v>
      </c>
      <c r="D147" s="46" t="s">
        <v>489</v>
      </c>
      <c r="E147" s="47" t="s">
        <v>25</v>
      </c>
      <c r="F147" s="47">
        <v>20260210004</v>
      </c>
      <c r="G147" s="47" t="s">
        <v>26</v>
      </c>
      <c r="H147" s="48">
        <f>H144-K147</f>
        <v>306933.87022900773</v>
      </c>
      <c r="I147" s="48">
        <v>4220</v>
      </c>
      <c r="J147" s="48">
        <v>4200</v>
      </c>
      <c r="K147" s="48">
        <f t="shared" ref="K147:K165" si="12">J147/0.786</f>
        <v>5343.5114503816794</v>
      </c>
      <c r="L147" s="49"/>
      <c r="M147" s="84"/>
      <c r="N147" s="46"/>
      <c r="O147" s="29">
        <v>46065</v>
      </c>
      <c r="P147" s="28">
        <f t="shared" si="11"/>
        <v>46429</v>
      </c>
    </row>
    <row r="148" spans="2:16" ht="20.149999999999999" customHeight="1" x14ac:dyDescent="0.2">
      <c r="B148" s="34">
        <v>46067</v>
      </c>
      <c r="C148" s="35" t="s">
        <v>488</v>
      </c>
      <c r="D148" s="35" t="s">
        <v>487</v>
      </c>
      <c r="E148" s="59" t="s">
        <v>22</v>
      </c>
      <c r="F148" s="59">
        <v>20260210023</v>
      </c>
      <c r="G148" s="59" t="s">
        <v>371</v>
      </c>
      <c r="H148" s="43">
        <f>H146-K148</f>
        <v>203268.08905852435</v>
      </c>
      <c r="I148" s="43">
        <v>4250</v>
      </c>
      <c r="J148" s="43">
        <v>4280</v>
      </c>
      <c r="K148" s="43">
        <f>J148/0.786+1</f>
        <v>5446.2926208651397</v>
      </c>
      <c r="L148" s="44"/>
      <c r="M148" s="92"/>
      <c r="N148" s="35"/>
      <c r="O148" s="29">
        <v>46065</v>
      </c>
      <c r="P148" s="28">
        <f>DATE(YEAR(O148)+1,MONTH(O148),DAY(O148))-1</f>
        <v>46429</v>
      </c>
    </row>
    <row r="149" spans="2:16" ht="20.149999999999999" customHeight="1" x14ac:dyDescent="0.25">
      <c r="B149" s="45">
        <v>46068</v>
      </c>
      <c r="C149" s="46" t="s">
        <v>495</v>
      </c>
      <c r="D149" s="46" t="s">
        <v>494</v>
      </c>
      <c r="E149" s="47" t="s">
        <v>25</v>
      </c>
      <c r="F149" s="47" t="s">
        <v>2178</v>
      </c>
      <c r="G149" s="47" t="s">
        <v>133</v>
      </c>
      <c r="H149" s="48">
        <f>H147-K149</f>
        <v>306449.40966921131</v>
      </c>
      <c r="I149" s="48">
        <v>4230</v>
      </c>
      <c r="J149" s="48">
        <v>380</v>
      </c>
      <c r="K149" s="48">
        <f>J149/0.786+1</f>
        <v>484.46055979643762</v>
      </c>
      <c r="L149" s="56" t="s">
        <v>600</v>
      </c>
      <c r="M149" s="84"/>
      <c r="N149" s="46"/>
      <c r="O149" s="29">
        <v>46066</v>
      </c>
      <c r="P149" s="28">
        <f>DATE(YEAR(O149)+1,MONTH(O149),DAY(O149))-1</f>
        <v>46430</v>
      </c>
    </row>
    <row r="150" spans="2:16" ht="20.149999999999999" customHeight="1" x14ac:dyDescent="0.2">
      <c r="B150" s="34">
        <v>46068</v>
      </c>
      <c r="C150" s="35" t="s">
        <v>499</v>
      </c>
      <c r="D150" s="35" t="s">
        <v>491</v>
      </c>
      <c r="E150" s="59" t="s">
        <v>22</v>
      </c>
      <c r="F150" s="59">
        <v>20260210024</v>
      </c>
      <c r="G150" s="59" t="s">
        <v>493</v>
      </c>
      <c r="H150" s="43">
        <f>H148-K150</f>
        <v>197746.4605597966</v>
      </c>
      <c r="I150" s="43">
        <v>4320</v>
      </c>
      <c r="J150" s="43">
        <v>4340</v>
      </c>
      <c r="K150" s="43">
        <f>J150/0.786</f>
        <v>5521.628498727735</v>
      </c>
      <c r="L150" s="44"/>
      <c r="M150" s="92"/>
      <c r="N150" s="35"/>
      <c r="O150" s="29">
        <v>46065</v>
      </c>
      <c r="P150" s="28">
        <f>DATE(YEAR(O150)+1,MONTH(O150),DAY(O150))-1</f>
        <v>46429</v>
      </c>
    </row>
    <row r="151" spans="2:16" ht="20.149999999999999" customHeight="1" x14ac:dyDescent="0.2">
      <c r="B151" s="34">
        <v>46068</v>
      </c>
      <c r="C151" s="35" t="s">
        <v>500</v>
      </c>
      <c r="D151" s="35" t="s">
        <v>492</v>
      </c>
      <c r="E151" s="59" t="s">
        <v>22</v>
      </c>
      <c r="F151" s="59">
        <v>20260210025</v>
      </c>
      <c r="G151" s="59" t="s">
        <v>380</v>
      </c>
      <c r="H151" s="43">
        <f>H150-K151</f>
        <v>192555.62086514011</v>
      </c>
      <c r="I151" s="43">
        <v>4090</v>
      </c>
      <c r="J151" s="43">
        <v>4080</v>
      </c>
      <c r="K151" s="43">
        <f>J151/0.786</f>
        <v>5190.8396946564881</v>
      </c>
      <c r="L151" s="44"/>
      <c r="M151" s="92"/>
      <c r="N151" s="35"/>
      <c r="O151" s="29">
        <v>46065</v>
      </c>
      <c r="P151" s="28">
        <f>DATE(YEAR(O151)+1,MONTH(O151),DAY(O151))-1</f>
        <v>46429</v>
      </c>
    </row>
    <row r="152" spans="2:16" ht="20.149999999999999" customHeight="1" x14ac:dyDescent="0.2">
      <c r="B152" s="62">
        <v>46068</v>
      </c>
      <c r="C152" s="61" t="s">
        <v>509</v>
      </c>
      <c r="D152" s="61" t="s">
        <v>501</v>
      </c>
      <c r="E152" s="63" t="s">
        <v>516</v>
      </c>
      <c r="F152" s="63" t="s">
        <v>2179</v>
      </c>
      <c r="G152" s="61" t="s">
        <v>549</v>
      </c>
      <c r="H152" s="64">
        <f>59318-K152</f>
        <v>53858.984732824429</v>
      </c>
      <c r="I152" s="64">
        <v>4290</v>
      </c>
      <c r="J152" s="64">
        <v>4290</v>
      </c>
      <c r="K152" s="64">
        <f>J152/0.786+1</f>
        <v>5459.0152671755723</v>
      </c>
      <c r="L152" s="65"/>
      <c r="M152" s="93"/>
      <c r="N152" s="61"/>
      <c r="O152" s="29">
        <v>46066</v>
      </c>
      <c r="P152" s="28">
        <f>DATE(YEAR(O152)+1,MONTH(O152),DAY(O152))-1</f>
        <v>46430</v>
      </c>
    </row>
    <row r="153" spans="2:16" ht="20.149999999999999" customHeight="1" x14ac:dyDescent="0.2">
      <c r="B153" s="45">
        <v>46069</v>
      </c>
      <c r="C153" s="46" t="s">
        <v>510</v>
      </c>
      <c r="D153" s="46" t="s">
        <v>506</v>
      </c>
      <c r="E153" s="47" t="s">
        <v>25</v>
      </c>
      <c r="F153" s="47">
        <v>20260210007</v>
      </c>
      <c r="G153" s="47" t="s">
        <v>502</v>
      </c>
      <c r="H153" s="48">
        <f>H149-K153</f>
        <v>300889.6132315523</v>
      </c>
      <c r="I153" s="48">
        <v>4440</v>
      </c>
      <c r="J153" s="48">
        <v>4370</v>
      </c>
      <c r="K153" s="48">
        <f t="shared" si="12"/>
        <v>5559.7964376590326</v>
      </c>
      <c r="L153" s="49"/>
      <c r="M153" s="84"/>
      <c r="N153" s="46"/>
      <c r="O153" s="29">
        <v>46067</v>
      </c>
      <c r="P153" s="28">
        <f t="shared" si="11"/>
        <v>46431</v>
      </c>
    </row>
    <row r="154" spans="2:16" ht="20.149999999999999" customHeight="1" x14ac:dyDescent="0.2">
      <c r="B154" s="34">
        <v>46069</v>
      </c>
      <c r="C154" s="35" t="s">
        <v>511</v>
      </c>
      <c r="D154" s="35" t="s">
        <v>503</v>
      </c>
      <c r="E154" s="59" t="s">
        <v>22</v>
      </c>
      <c r="F154" s="59">
        <v>20260210026</v>
      </c>
      <c r="G154" s="59" t="s">
        <v>362</v>
      </c>
      <c r="H154" s="43">
        <f>H151-K154</f>
        <v>187020.26972010193</v>
      </c>
      <c r="I154" s="43">
        <v>4410</v>
      </c>
      <c r="J154" s="43">
        <v>4350</v>
      </c>
      <c r="K154" s="43">
        <f>J154/0.786+1</f>
        <v>5535.3511450381675</v>
      </c>
      <c r="L154" s="44"/>
      <c r="M154" s="92"/>
      <c r="N154" s="35"/>
      <c r="O154" s="29">
        <v>46067</v>
      </c>
      <c r="P154" s="28">
        <f>DATE(YEAR(O154)+1,MONTH(O154),DAY(O154))-1</f>
        <v>46431</v>
      </c>
    </row>
    <row r="155" spans="2:16" ht="20.149999999999999" customHeight="1" x14ac:dyDescent="0.2">
      <c r="B155" s="34">
        <v>46069</v>
      </c>
      <c r="C155" s="35" t="s">
        <v>512</v>
      </c>
      <c r="D155" s="35" t="s">
        <v>504</v>
      </c>
      <c r="E155" s="59" t="s">
        <v>22</v>
      </c>
      <c r="F155" s="59">
        <v>20260210027</v>
      </c>
      <c r="G155" s="59" t="s">
        <v>505</v>
      </c>
      <c r="H155" s="43">
        <f>H154-K155</f>
        <v>181764.81679389329</v>
      </c>
      <c r="I155" s="43">
        <v>4240</v>
      </c>
      <c r="J155" s="43">
        <v>4130</v>
      </c>
      <c r="K155" s="43">
        <f>J155/0.786+1</f>
        <v>5255.4529262086508</v>
      </c>
      <c r="L155" s="44"/>
      <c r="M155" s="92"/>
      <c r="N155" s="35"/>
      <c r="O155" s="29">
        <v>46067</v>
      </c>
      <c r="P155" s="28">
        <f>DATE(YEAR(O155)+1,MONTH(O155),DAY(O155))-1</f>
        <v>46431</v>
      </c>
    </row>
    <row r="156" spans="2:16" ht="20.149999999999999" customHeight="1" x14ac:dyDescent="0.2">
      <c r="B156" s="45">
        <v>46069</v>
      </c>
      <c r="C156" s="46" t="s">
        <v>515</v>
      </c>
      <c r="D156" s="46" t="s">
        <v>514</v>
      </c>
      <c r="E156" s="47" t="s">
        <v>25</v>
      </c>
      <c r="F156" s="47">
        <v>20260210008</v>
      </c>
      <c r="G156" s="47" t="s">
        <v>94</v>
      </c>
      <c r="H156" s="48">
        <f>H153-K156</f>
        <v>295405.15267175587</v>
      </c>
      <c r="I156" s="48">
        <v>4380</v>
      </c>
      <c r="J156" s="48">
        <v>4310</v>
      </c>
      <c r="K156" s="48">
        <f>J156/0.786+1</f>
        <v>5484.4605597964373</v>
      </c>
      <c r="L156" s="49"/>
      <c r="M156" s="84"/>
      <c r="N156" s="46"/>
      <c r="O156" s="29">
        <v>46067</v>
      </c>
      <c r="P156" s="28">
        <f>DATE(YEAR(O156)+1,MONTH(O156),DAY(O156))-1</f>
        <v>46431</v>
      </c>
    </row>
    <row r="157" spans="2:16" ht="20.149999999999999" customHeight="1" x14ac:dyDescent="0.2">
      <c r="B157" s="45">
        <v>46070</v>
      </c>
      <c r="C157" s="46" t="s">
        <v>528</v>
      </c>
      <c r="D157" s="46" t="s">
        <v>526</v>
      </c>
      <c r="E157" s="47" t="s">
        <v>25</v>
      </c>
      <c r="F157" s="47">
        <v>20260210009</v>
      </c>
      <c r="G157" s="47" t="s">
        <v>519</v>
      </c>
      <c r="H157" s="48">
        <f>H156-K157</f>
        <v>289845.35623409686</v>
      </c>
      <c r="I157" s="48">
        <v>4260</v>
      </c>
      <c r="J157" s="48">
        <v>4370</v>
      </c>
      <c r="K157" s="48">
        <f t="shared" si="12"/>
        <v>5559.7964376590326</v>
      </c>
      <c r="L157" s="49"/>
      <c r="M157" s="84"/>
      <c r="N157" s="46"/>
      <c r="O157" s="29">
        <v>46068</v>
      </c>
      <c r="P157" s="28">
        <f t="shared" si="11"/>
        <v>46432</v>
      </c>
    </row>
    <row r="158" spans="2:16" ht="20.149999999999999" customHeight="1" x14ac:dyDescent="0.2">
      <c r="B158" s="45">
        <v>46070</v>
      </c>
      <c r="C158" s="46" t="s">
        <v>520</v>
      </c>
      <c r="D158" s="46" t="s">
        <v>518</v>
      </c>
      <c r="E158" s="47" t="s">
        <v>25</v>
      </c>
      <c r="F158" s="47">
        <v>20260210010</v>
      </c>
      <c r="G158" s="47" t="s">
        <v>26</v>
      </c>
      <c r="H158" s="48">
        <f>H157-K158</f>
        <v>284285.55979643785</v>
      </c>
      <c r="I158" s="48">
        <v>4430</v>
      </c>
      <c r="J158" s="48">
        <v>4370</v>
      </c>
      <c r="K158" s="48">
        <f>J158/0.786</f>
        <v>5559.7964376590326</v>
      </c>
      <c r="L158" s="49"/>
      <c r="M158" s="84"/>
      <c r="N158" s="46"/>
      <c r="O158" s="29">
        <v>46068</v>
      </c>
      <c r="P158" s="28">
        <f>DATE(YEAR(O158)+1,MONTH(O158),DAY(O158))-1</f>
        <v>46432</v>
      </c>
    </row>
    <row r="159" spans="2:16" ht="20.149999999999999" customHeight="1" x14ac:dyDescent="0.2">
      <c r="B159" s="34">
        <v>46070</v>
      </c>
      <c r="C159" s="35" t="s">
        <v>522</v>
      </c>
      <c r="D159" s="35" t="s">
        <v>517</v>
      </c>
      <c r="E159" s="59" t="s">
        <v>22</v>
      </c>
      <c r="F159" s="59">
        <v>20260210028</v>
      </c>
      <c r="G159" s="59" t="s">
        <v>362</v>
      </c>
      <c r="H159" s="43">
        <f>H155-K159</f>
        <v>176445.75063613246</v>
      </c>
      <c r="I159" s="43">
        <v>4120</v>
      </c>
      <c r="J159" s="43">
        <v>4180</v>
      </c>
      <c r="K159" s="43">
        <f>J159/0.786+1</f>
        <v>5319.0661577608143</v>
      </c>
      <c r="L159" s="44"/>
      <c r="M159" s="92"/>
      <c r="N159" s="35"/>
      <c r="O159" s="29">
        <v>46068</v>
      </c>
      <c r="P159" s="28">
        <f>DATE(YEAR(O159)+1,MONTH(O159),DAY(O159))-1</f>
        <v>46432</v>
      </c>
    </row>
    <row r="160" spans="2:16" ht="20.149999999999999" customHeight="1" x14ac:dyDescent="0.2">
      <c r="B160" s="34">
        <v>46070</v>
      </c>
      <c r="C160" s="35" t="s">
        <v>523</v>
      </c>
      <c r="D160" s="35" t="s">
        <v>521</v>
      </c>
      <c r="E160" s="59" t="s">
        <v>22</v>
      </c>
      <c r="F160" s="59">
        <v>20260210029</v>
      </c>
      <c r="G160" s="59" t="s">
        <v>524</v>
      </c>
      <c r="H160" s="43">
        <f>H159-K160</f>
        <v>170999.45801526733</v>
      </c>
      <c r="I160" s="43">
        <v>4290</v>
      </c>
      <c r="J160" s="43">
        <v>4280</v>
      </c>
      <c r="K160" s="43">
        <f>J160/0.786+1</f>
        <v>5446.2926208651397</v>
      </c>
      <c r="L160" s="44"/>
      <c r="M160" s="92"/>
      <c r="N160" s="35"/>
      <c r="O160" s="29">
        <v>46069</v>
      </c>
      <c r="P160" s="28">
        <f>DATE(YEAR(O160)+1,MONTH(O160),DAY(O160))-1</f>
        <v>46433</v>
      </c>
    </row>
    <row r="161" spans="2:16" ht="20.149999999999999" customHeight="1" x14ac:dyDescent="0.2">
      <c r="B161" s="45">
        <v>46071</v>
      </c>
      <c r="C161" s="46" t="s">
        <v>531</v>
      </c>
      <c r="D161" s="46" t="s">
        <v>529</v>
      </c>
      <c r="E161" s="47" t="s">
        <v>25</v>
      </c>
      <c r="F161" s="47">
        <v>20260210011</v>
      </c>
      <c r="G161" s="47" t="s">
        <v>532</v>
      </c>
      <c r="H161" s="48">
        <f>H158-K161</f>
        <v>278508.47837150149</v>
      </c>
      <c r="I161" s="48">
        <v>4590</v>
      </c>
      <c r="J161" s="48">
        <v>4540</v>
      </c>
      <c r="K161" s="48">
        <f>J161/0.786+1</f>
        <v>5777.0814249363866</v>
      </c>
      <c r="L161" s="49"/>
      <c r="M161" s="84"/>
      <c r="N161" s="46"/>
      <c r="O161" s="29">
        <v>46069</v>
      </c>
      <c r="P161" s="28">
        <f t="shared" si="11"/>
        <v>46433</v>
      </c>
    </row>
    <row r="162" spans="2:16" ht="20.149999999999999" customHeight="1" x14ac:dyDescent="0.2">
      <c r="B162" s="45">
        <v>46071</v>
      </c>
      <c r="C162" s="46" t="s">
        <v>538</v>
      </c>
      <c r="D162" s="46" t="s">
        <v>534</v>
      </c>
      <c r="E162" s="47" t="s">
        <v>25</v>
      </c>
      <c r="F162" s="47">
        <v>20260210012</v>
      </c>
      <c r="G162" s="47" t="s">
        <v>26</v>
      </c>
      <c r="H162" s="48">
        <f>H161-K162</f>
        <v>273011.29516539461</v>
      </c>
      <c r="I162" s="48">
        <v>4380</v>
      </c>
      <c r="J162" s="48">
        <v>4320</v>
      </c>
      <c r="K162" s="48">
        <f>J162/0.786+1</f>
        <v>5497.1832061068699</v>
      </c>
      <c r="L162" s="49"/>
      <c r="M162" s="84"/>
      <c r="N162" s="46"/>
      <c r="O162" s="29">
        <v>46070</v>
      </c>
      <c r="P162" s="28">
        <f>DATE(YEAR(O162)+1,MONTH(O162),DAY(O162))-1</f>
        <v>46434</v>
      </c>
    </row>
    <row r="163" spans="2:16" ht="20.149999999999999" customHeight="1" x14ac:dyDescent="0.2">
      <c r="B163" s="34">
        <v>46071</v>
      </c>
      <c r="C163" s="35" t="s">
        <v>536</v>
      </c>
      <c r="D163" s="35" t="s">
        <v>530</v>
      </c>
      <c r="E163" s="59" t="s">
        <v>22</v>
      </c>
      <c r="F163" s="59">
        <v>20260210030</v>
      </c>
      <c r="G163" s="59" t="s">
        <v>380</v>
      </c>
      <c r="H163" s="43">
        <f>H160-K163</f>
        <v>165490.55216285001</v>
      </c>
      <c r="I163" s="43">
        <v>4410</v>
      </c>
      <c r="J163" s="43">
        <v>4330</v>
      </c>
      <c r="K163" s="43">
        <f>J163/0.786</f>
        <v>5508.9058524173024</v>
      </c>
      <c r="L163" s="44"/>
      <c r="M163" s="92"/>
      <c r="N163" s="35"/>
      <c r="O163" s="29">
        <v>46069</v>
      </c>
      <c r="P163" s="28">
        <f>DATE(YEAR(O163)+1,MONTH(O163),DAY(O163))-1</f>
        <v>46433</v>
      </c>
    </row>
    <row r="164" spans="2:16" ht="20.149999999999999" customHeight="1" x14ac:dyDescent="0.2">
      <c r="B164" s="34">
        <v>46071</v>
      </c>
      <c r="C164" s="35" t="s">
        <v>539</v>
      </c>
      <c r="D164" s="35" t="s">
        <v>535</v>
      </c>
      <c r="E164" s="59" t="s">
        <v>22</v>
      </c>
      <c r="F164" s="59">
        <v>20260210031</v>
      </c>
      <c r="G164" s="59" t="s">
        <v>540</v>
      </c>
      <c r="H164" s="43">
        <f>H163-K164</f>
        <v>160147.04071246833</v>
      </c>
      <c r="I164" s="43">
        <v>4260</v>
      </c>
      <c r="J164" s="43">
        <v>4200</v>
      </c>
      <c r="K164" s="43">
        <f>J164/0.786</f>
        <v>5343.5114503816794</v>
      </c>
      <c r="L164" s="44"/>
      <c r="M164" s="92"/>
      <c r="N164" s="35"/>
      <c r="O164" s="29">
        <v>46070</v>
      </c>
      <c r="P164" s="28">
        <f>DATE(YEAR(O164)+1,MONTH(O164),DAY(O164))-1</f>
        <v>46434</v>
      </c>
    </row>
    <row r="165" spans="2:16" ht="20.149999999999999" customHeight="1" x14ac:dyDescent="0.2">
      <c r="B165" s="45">
        <v>46072</v>
      </c>
      <c r="C165" s="46" t="s">
        <v>543</v>
      </c>
      <c r="D165" s="46" t="s">
        <v>541</v>
      </c>
      <c r="E165" s="47" t="s">
        <v>25</v>
      </c>
      <c r="F165" s="47">
        <v>20260210013</v>
      </c>
      <c r="G165" s="47" t="s">
        <v>26</v>
      </c>
      <c r="H165" s="48">
        <f>H162-K165</f>
        <v>267502.38931297732</v>
      </c>
      <c r="I165" s="48">
        <v>4410</v>
      </c>
      <c r="J165" s="48">
        <v>4330</v>
      </c>
      <c r="K165" s="48">
        <f t="shared" si="12"/>
        <v>5508.9058524173024</v>
      </c>
      <c r="L165" s="49"/>
      <c r="M165" s="84"/>
      <c r="N165" s="46"/>
      <c r="O165" s="29">
        <v>46070</v>
      </c>
      <c r="P165" s="28">
        <f t="shared" si="11"/>
        <v>46434</v>
      </c>
    </row>
    <row r="166" spans="2:16" ht="20.149999999999999" customHeight="1" x14ac:dyDescent="0.2">
      <c r="B166" s="34">
        <v>46072</v>
      </c>
      <c r="C166" s="35" t="s">
        <v>548</v>
      </c>
      <c r="D166" s="35" t="s">
        <v>542</v>
      </c>
      <c r="E166" s="59" t="s">
        <v>22</v>
      </c>
      <c r="F166" s="59">
        <v>20260210032</v>
      </c>
      <c r="G166" s="59" t="s">
        <v>544</v>
      </c>
      <c r="H166" s="43">
        <f>H164-K166</f>
        <v>154714.47073791362</v>
      </c>
      <c r="I166" s="43">
        <v>4280</v>
      </c>
      <c r="J166" s="43">
        <v>4270</v>
      </c>
      <c r="K166" s="43">
        <f>J166/0.786</f>
        <v>5432.5699745547072</v>
      </c>
      <c r="L166" s="44"/>
      <c r="M166" s="92"/>
      <c r="N166" s="35"/>
      <c r="O166" s="29">
        <v>46070</v>
      </c>
      <c r="P166" s="28">
        <f>DATE(YEAR(O166)+1,MONTH(O166),DAY(O166))-1</f>
        <v>46434</v>
      </c>
    </row>
    <row r="167" spans="2:16" ht="20.149999999999999" customHeight="1" x14ac:dyDescent="0.2">
      <c r="B167" s="45">
        <v>46073</v>
      </c>
      <c r="C167" s="46" t="s">
        <v>555</v>
      </c>
      <c r="D167" s="46" t="s">
        <v>552</v>
      </c>
      <c r="E167" s="47" t="s">
        <v>25</v>
      </c>
      <c r="F167" s="47">
        <v>20260210014</v>
      </c>
      <c r="G167" s="47" t="s">
        <v>554</v>
      </c>
      <c r="H167" s="48">
        <f>H165-K167</f>
        <v>262145.1552162852</v>
      </c>
      <c r="I167" s="48">
        <v>4210</v>
      </c>
      <c r="J167" s="48">
        <v>4210</v>
      </c>
      <c r="K167" s="48">
        <f>J167/0.786+1</f>
        <v>5357.234096692112</v>
      </c>
      <c r="L167" s="49"/>
      <c r="M167" s="84"/>
      <c r="N167" s="46"/>
      <c r="O167" s="29">
        <v>46071</v>
      </c>
      <c r="P167" s="28">
        <f t="shared" si="11"/>
        <v>46435</v>
      </c>
    </row>
    <row r="168" spans="2:16" ht="20.149999999999999" customHeight="1" x14ac:dyDescent="0.2">
      <c r="B168" s="45">
        <v>46073</v>
      </c>
      <c r="C168" s="46" t="s">
        <v>556</v>
      </c>
      <c r="D168" s="46" t="s">
        <v>553</v>
      </c>
      <c r="E168" s="47" t="s">
        <v>25</v>
      </c>
      <c r="F168" s="47">
        <v>20260210015</v>
      </c>
      <c r="G168" s="47" t="s">
        <v>554</v>
      </c>
      <c r="H168" s="48">
        <f>H167-K168</f>
        <v>256725.30788804093</v>
      </c>
      <c r="I168" s="48">
        <v>4240</v>
      </c>
      <c r="J168" s="48">
        <v>4260</v>
      </c>
      <c r="K168" s="48">
        <f t="shared" ref="K168:K173" si="13">J168/0.786</f>
        <v>5419.8473282442746</v>
      </c>
      <c r="L168" s="49"/>
      <c r="M168" s="84"/>
      <c r="N168" s="46"/>
      <c r="O168" s="29">
        <v>46071</v>
      </c>
      <c r="P168" s="28">
        <f t="shared" ref="P168:P173" si="14">DATE(YEAR(O168)+1,MONTH(O168),DAY(O168))-1</f>
        <v>46435</v>
      </c>
    </row>
    <row r="169" spans="2:16" ht="20.149999999999999" customHeight="1" x14ac:dyDescent="0.2">
      <c r="B169" s="34">
        <v>46073</v>
      </c>
      <c r="C169" s="35" t="s">
        <v>559</v>
      </c>
      <c r="D169" s="35" t="s">
        <v>550</v>
      </c>
      <c r="E169" s="59" t="s">
        <v>22</v>
      </c>
      <c r="F169" s="59">
        <v>20260210033</v>
      </c>
      <c r="G169" s="59" t="s">
        <v>371</v>
      </c>
      <c r="H169" s="43">
        <f>H166-K169</f>
        <v>149357.23664122151</v>
      </c>
      <c r="I169" s="43">
        <v>4360</v>
      </c>
      <c r="J169" s="43">
        <v>4210</v>
      </c>
      <c r="K169" s="43">
        <f>J169/0.786+1</f>
        <v>5357.234096692112</v>
      </c>
      <c r="L169" s="44"/>
      <c r="M169" s="92"/>
      <c r="N169" s="35"/>
      <c r="O169" s="29">
        <v>46071</v>
      </c>
      <c r="P169" s="28">
        <f t="shared" si="14"/>
        <v>46435</v>
      </c>
    </row>
    <row r="170" spans="2:16" ht="20.149999999999999" customHeight="1" x14ac:dyDescent="0.2">
      <c r="B170" s="34">
        <v>46073</v>
      </c>
      <c r="C170" s="35" t="s">
        <v>560</v>
      </c>
      <c r="D170" s="35" t="s">
        <v>551</v>
      </c>
      <c r="E170" s="59" t="s">
        <v>22</v>
      </c>
      <c r="F170" s="59">
        <v>20260210034</v>
      </c>
      <c r="G170" s="59" t="s">
        <v>371</v>
      </c>
      <c r="H170" s="43">
        <f>H169-K170</f>
        <v>143910.94402035637</v>
      </c>
      <c r="I170" s="43">
        <v>4320</v>
      </c>
      <c r="J170" s="43">
        <v>4280</v>
      </c>
      <c r="K170" s="43">
        <f>J170/0.786+1</f>
        <v>5446.2926208651397</v>
      </c>
      <c r="L170" s="44"/>
      <c r="M170" s="92"/>
      <c r="N170" s="35"/>
      <c r="O170" s="29">
        <v>46071</v>
      </c>
      <c r="P170" s="28">
        <f t="shared" si="14"/>
        <v>46435</v>
      </c>
    </row>
    <row r="171" spans="2:16" ht="20.149999999999999" customHeight="1" x14ac:dyDescent="0.2">
      <c r="B171" s="45">
        <v>46074</v>
      </c>
      <c r="C171" s="46" t="s">
        <v>568</v>
      </c>
      <c r="D171" s="46" t="s">
        <v>563</v>
      </c>
      <c r="E171" s="47" t="s">
        <v>25</v>
      </c>
      <c r="F171" s="47">
        <v>20260210016</v>
      </c>
      <c r="G171" s="47" t="s">
        <v>564</v>
      </c>
      <c r="H171" s="48">
        <f>H168-K171</f>
        <v>251292.73791348623</v>
      </c>
      <c r="I171" s="48">
        <v>4290</v>
      </c>
      <c r="J171" s="48">
        <v>4270</v>
      </c>
      <c r="K171" s="48">
        <f t="shared" si="13"/>
        <v>5432.5699745547072</v>
      </c>
      <c r="L171" s="49"/>
      <c r="M171" s="84"/>
      <c r="N171" s="46"/>
      <c r="O171" s="29">
        <v>46072</v>
      </c>
      <c r="P171" s="28">
        <f t="shared" si="14"/>
        <v>46436</v>
      </c>
    </row>
    <row r="172" spans="2:16" ht="20.149999999999999" customHeight="1" x14ac:dyDescent="0.2">
      <c r="B172" s="34">
        <v>46074</v>
      </c>
      <c r="C172" s="35" t="s">
        <v>569</v>
      </c>
      <c r="D172" s="35" t="s">
        <v>561</v>
      </c>
      <c r="E172" s="59" t="s">
        <v>22</v>
      </c>
      <c r="F172" s="59">
        <v>20260210035</v>
      </c>
      <c r="G172" s="59" t="s">
        <v>362</v>
      </c>
      <c r="H172" s="43">
        <f>H170-K172</f>
        <v>138338.4249363869</v>
      </c>
      <c r="I172" s="43">
        <v>4390</v>
      </c>
      <c r="J172" s="43">
        <v>4380</v>
      </c>
      <c r="K172" s="43">
        <f t="shared" si="13"/>
        <v>5572.5190839694651</v>
      </c>
      <c r="L172" s="44"/>
      <c r="M172" s="92"/>
      <c r="N172" s="35"/>
      <c r="O172" s="29">
        <v>46072</v>
      </c>
      <c r="P172" s="28">
        <f t="shared" si="14"/>
        <v>46436</v>
      </c>
    </row>
    <row r="173" spans="2:16" ht="20.149999999999999" customHeight="1" x14ac:dyDescent="0.2">
      <c r="B173" s="34">
        <v>46074</v>
      </c>
      <c r="C173" s="35" t="s">
        <v>570</v>
      </c>
      <c r="D173" s="35" t="s">
        <v>562</v>
      </c>
      <c r="E173" s="59" t="s">
        <v>22</v>
      </c>
      <c r="F173" s="59">
        <v>20260210036</v>
      </c>
      <c r="G173" s="59" t="s">
        <v>362</v>
      </c>
      <c r="H173" s="43">
        <f>H172-K173</f>
        <v>132829.51908396959</v>
      </c>
      <c r="I173" s="43">
        <v>4230</v>
      </c>
      <c r="J173" s="43">
        <v>4330</v>
      </c>
      <c r="K173" s="43">
        <f t="shared" si="13"/>
        <v>5508.9058524173024</v>
      </c>
      <c r="L173" s="44"/>
      <c r="M173" s="92"/>
      <c r="N173" s="35"/>
      <c r="O173" s="29">
        <v>46072</v>
      </c>
      <c r="P173" s="28">
        <f t="shared" si="14"/>
        <v>46436</v>
      </c>
    </row>
    <row r="174" spans="2:16" ht="20.149999999999999" customHeight="1" x14ac:dyDescent="0.2">
      <c r="B174" s="45">
        <v>46074</v>
      </c>
      <c r="C174" s="46" t="s">
        <v>579</v>
      </c>
      <c r="D174" s="46" t="s">
        <v>571</v>
      </c>
      <c r="E174" s="47" t="s">
        <v>25</v>
      </c>
      <c r="F174" s="47">
        <v>20260210017</v>
      </c>
      <c r="G174" s="47" t="s">
        <v>576</v>
      </c>
      <c r="H174" s="48">
        <f>H171-K174</f>
        <v>245986.39440203583</v>
      </c>
      <c r="I174" s="48">
        <v>4180</v>
      </c>
      <c r="J174" s="48">
        <v>4170</v>
      </c>
      <c r="K174" s="48">
        <f>J174/0.786+1</f>
        <v>5306.3435114503818</v>
      </c>
      <c r="L174" s="49"/>
      <c r="M174" s="84"/>
      <c r="N174" s="46"/>
      <c r="O174" s="29">
        <v>46073</v>
      </c>
      <c r="P174" s="28">
        <f t="shared" si="11"/>
        <v>46437</v>
      </c>
    </row>
    <row r="175" spans="2:16" ht="20.149999999999999" customHeight="1" x14ac:dyDescent="0.2">
      <c r="B175" s="45">
        <v>46075</v>
      </c>
      <c r="C175" s="46" t="s">
        <v>580</v>
      </c>
      <c r="D175" s="46" t="s">
        <v>573</v>
      </c>
      <c r="E175" s="47" t="s">
        <v>25</v>
      </c>
      <c r="F175" s="47">
        <v>20260210018</v>
      </c>
      <c r="G175" s="47" t="s">
        <v>26</v>
      </c>
      <c r="H175" s="48">
        <f>H174-K175</f>
        <v>240629.16030534371</v>
      </c>
      <c r="I175" s="48">
        <v>4140</v>
      </c>
      <c r="J175" s="48">
        <v>4210</v>
      </c>
      <c r="K175" s="48">
        <f>J175/0.786+1</f>
        <v>5357.234096692112</v>
      </c>
      <c r="L175" s="49"/>
      <c r="M175" s="84"/>
      <c r="N175" s="46"/>
      <c r="O175" s="29">
        <v>46073</v>
      </c>
      <c r="P175" s="28">
        <f t="shared" si="11"/>
        <v>46437</v>
      </c>
    </row>
    <row r="176" spans="2:16" ht="20.149999999999999" customHeight="1" x14ac:dyDescent="0.2">
      <c r="B176" s="34">
        <v>46075</v>
      </c>
      <c r="C176" s="35" t="s">
        <v>575</v>
      </c>
      <c r="D176" s="35" t="s">
        <v>574</v>
      </c>
      <c r="E176" s="59" t="s">
        <v>22</v>
      </c>
      <c r="F176" s="59">
        <v>20260210037</v>
      </c>
      <c r="G176" s="59" t="s">
        <v>577</v>
      </c>
      <c r="H176" s="43">
        <f>H173-K176</f>
        <v>127409.67175572531</v>
      </c>
      <c r="I176" s="43">
        <v>4170</v>
      </c>
      <c r="J176" s="43">
        <v>4260</v>
      </c>
      <c r="K176" s="43">
        <f>J176/0.786</f>
        <v>5419.8473282442746</v>
      </c>
      <c r="L176" s="44"/>
      <c r="M176" s="92"/>
      <c r="N176" s="35"/>
      <c r="O176" s="29">
        <v>46073</v>
      </c>
      <c r="P176" s="28">
        <f>DATE(YEAR(O176)+1,MONTH(O176),DAY(O176))-1</f>
        <v>46437</v>
      </c>
    </row>
    <row r="177" spans="2:16" ht="20.149999999999999" customHeight="1" x14ac:dyDescent="0.2">
      <c r="B177" s="34">
        <v>46075</v>
      </c>
      <c r="C177" s="35" t="s">
        <v>582</v>
      </c>
      <c r="D177" s="35" t="s">
        <v>581</v>
      </c>
      <c r="E177" s="59" t="s">
        <v>22</v>
      </c>
      <c r="F177" s="59">
        <v>20260210038</v>
      </c>
      <c r="G177" s="59" t="s">
        <v>371</v>
      </c>
      <c r="H177" s="43">
        <f>H176-K177</f>
        <v>122218.83206106882</v>
      </c>
      <c r="I177" s="43">
        <v>4130</v>
      </c>
      <c r="J177" s="43">
        <v>4080</v>
      </c>
      <c r="K177" s="43">
        <f>J177/0.786</f>
        <v>5190.8396946564881</v>
      </c>
      <c r="L177" s="44"/>
      <c r="M177" s="92"/>
      <c r="N177" s="35"/>
      <c r="O177" s="29">
        <v>46074</v>
      </c>
      <c r="P177" s="28">
        <f>DATE(YEAR(O177)+1,MONTH(O177),DAY(O177))-1</f>
        <v>46438</v>
      </c>
    </row>
    <row r="178" spans="2:16" ht="20.149999999999999" customHeight="1" x14ac:dyDescent="0.2">
      <c r="B178" s="45">
        <v>46076</v>
      </c>
      <c r="C178" s="46" t="s">
        <v>591</v>
      </c>
      <c r="D178" s="46" t="s">
        <v>586</v>
      </c>
      <c r="E178" s="47" t="s">
        <v>25</v>
      </c>
      <c r="F178" s="47">
        <v>20260210019</v>
      </c>
      <c r="G178" s="47" t="s">
        <v>26</v>
      </c>
      <c r="H178" s="48">
        <f>H175-K178</f>
        <v>235322.81679389332</v>
      </c>
      <c r="I178" s="48">
        <v>4310</v>
      </c>
      <c r="J178" s="48">
        <v>4170</v>
      </c>
      <c r="K178" s="48">
        <f>J178/0.786+1</f>
        <v>5306.3435114503818</v>
      </c>
      <c r="L178" s="49"/>
      <c r="M178" s="84"/>
      <c r="N178" s="46"/>
      <c r="O178" s="29">
        <v>46074</v>
      </c>
      <c r="P178" s="28">
        <f t="shared" si="11"/>
        <v>46438</v>
      </c>
    </row>
    <row r="179" spans="2:16" ht="20.149999999999999" customHeight="1" x14ac:dyDescent="0.2">
      <c r="B179" s="45">
        <v>46076</v>
      </c>
      <c r="C179" s="46" t="s">
        <v>592</v>
      </c>
      <c r="D179" s="46" t="s">
        <v>589</v>
      </c>
      <c r="E179" s="47" t="s">
        <v>25</v>
      </c>
      <c r="F179" s="47">
        <v>20260210020</v>
      </c>
      <c r="G179" s="47" t="s">
        <v>26</v>
      </c>
      <c r="H179" s="48">
        <f>H178-K179</f>
        <v>229863.80152671775</v>
      </c>
      <c r="I179" s="48">
        <v>4360</v>
      </c>
      <c r="J179" s="48">
        <v>4290</v>
      </c>
      <c r="K179" s="48">
        <f>J179/0.786+1</f>
        <v>5459.0152671755723</v>
      </c>
      <c r="L179" s="49"/>
      <c r="M179" s="84"/>
      <c r="N179" s="46"/>
      <c r="O179" s="29">
        <v>46075</v>
      </c>
      <c r="P179" s="28">
        <f>DATE(YEAR(O179)+1,MONTH(O179),DAY(O179))-1</f>
        <v>46439</v>
      </c>
    </row>
    <row r="180" spans="2:16" ht="20.149999999999999" customHeight="1" x14ac:dyDescent="0.2">
      <c r="B180" s="34">
        <v>46076</v>
      </c>
      <c r="C180" s="35" t="s">
        <v>590</v>
      </c>
      <c r="D180" s="35" t="s">
        <v>584</v>
      </c>
      <c r="E180" s="59" t="s">
        <v>22</v>
      </c>
      <c r="F180" s="59">
        <v>20260210039</v>
      </c>
      <c r="G180" s="59" t="s">
        <v>588</v>
      </c>
      <c r="H180" s="43">
        <f>H177-K180</f>
        <v>116810.70737913498</v>
      </c>
      <c r="I180" s="43">
        <v>4240</v>
      </c>
      <c r="J180" s="43">
        <v>4250</v>
      </c>
      <c r="K180" s="43">
        <f>J180/0.786+1</f>
        <v>5408.1246819338421</v>
      </c>
      <c r="L180" s="44"/>
      <c r="M180" s="92"/>
      <c r="N180" s="35"/>
      <c r="O180" s="29">
        <v>46074</v>
      </c>
      <c r="P180" s="28">
        <f t="shared" si="11"/>
        <v>46438</v>
      </c>
    </row>
    <row r="181" spans="2:16" ht="20.149999999999999" customHeight="1" x14ac:dyDescent="0.2">
      <c r="B181" s="45">
        <v>46077</v>
      </c>
      <c r="C181" s="46" t="s">
        <v>599</v>
      </c>
      <c r="D181" s="46" t="s">
        <v>597</v>
      </c>
      <c r="E181" s="47" t="s">
        <v>25</v>
      </c>
      <c r="F181" s="47">
        <v>20260219001</v>
      </c>
      <c r="G181" s="47" t="s">
        <v>133</v>
      </c>
      <c r="H181" s="48">
        <f>H179-K181</f>
        <v>224431.23155216305</v>
      </c>
      <c r="I181" s="48">
        <v>4430</v>
      </c>
      <c r="J181" s="48">
        <v>4270</v>
      </c>
      <c r="K181" s="48">
        <f t="shared" ref="K181:K238" si="15">J181/0.786</f>
        <v>5432.5699745547072</v>
      </c>
      <c r="L181" s="49"/>
      <c r="M181" s="84"/>
      <c r="N181" s="46"/>
      <c r="O181" s="29">
        <v>46075</v>
      </c>
      <c r="P181" s="28">
        <f t="shared" ref="P181:P238" si="16">DATE(YEAR(O181)+1,MONTH(O181),DAY(O181))-1</f>
        <v>46439</v>
      </c>
    </row>
    <row r="182" spans="2:16" ht="20.149999999999999" customHeight="1" x14ac:dyDescent="0.2">
      <c r="B182" s="45">
        <v>46077</v>
      </c>
      <c r="C182" s="46" t="s">
        <v>601</v>
      </c>
      <c r="D182" s="46" t="s">
        <v>598</v>
      </c>
      <c r="E182" s="47" t="s">
        <v>25</v>
      </c>
      <c r="F182" s="47" t="s">
        <v>2180</v>
      </c>
      <c r="G182" s="47" t="s">
        <v>133</v>
      </c>
      <c r="H182" s="48">
        <f>H181-K182</f>
        <v>218844.98982188315</v>
      </c>
      <c r="I182" s="48">
        <v>4520</v>
      </c>
      <c r="J182" s="48">
        <v>4390</v>
      </c>
      <c r="K182" s="48">
        <f>J182/0.786+1</f>
        <v>5586.2417302798976</v>
      </c>
      <c r="L182" s="49"/>
      <c r="M182" s="84"/>
      <c r="N182" s="46"/>
      <c r="O182" s="29">
        <v>46075</v>
      </c>
      <c r="P182" s="28">
        <f t="shared" ref="P182:P187" si="17">DATE(YEAR(O182)+1,MONTH(O182),DAY(O182))-1</f>
        <v>46439</v>
      </c>
    </row>
    <row r="183" spans="2:16" ht="20.149999999999999" customHeight="1" x14ac:dyDescent="0.2">
      <c r="B183" s="34">
        <v>46077</v>
      </c>
      <c r="C183" s="35" t="s">
        <v>602</v>
      </c>
      <c r="D183" s="35" t="s">
        <v>593</v>
      </c>
      <c r="E183" s="59" t="s">
        <v>22</v>
      </c>
      <c r="F183" s="59">
        <v>20260210040</v>
      </c>
      <c r="G183" s="59" t="s">
        <v>371</v>
      </c>
      <c r="H183" s="43">
        <f>H180-K183</f>
        <v>111479.91857506374</v>
      </c>
      <c r="I183" s="43">
        <v>4230</v>
      </c>
      <c r="J183" s="43">
        <v>4190</v>
      </c>
      <c r="K183" s="43">
        <f t="shared" ref="K183:K186" si="18">J183/0.786</f>
        <v>5330.7888040712469</v>
      </c>
      <c r="L183" s="44"/>
      <c r="M183" s="92"/>
      <c r="N183" s="35"/>
      <c r="O183" s="29">
        <v>46075</v>
      </c>
      <c r="P183" s="28">
        <f t="shared" si="17"/>
        <v>46439</v>
      </c>
    </row>
    <row r="184" spans="2:16" ht="20.149999999999999" customHeight="1" x14ac:dyDescent="0.2">
      <c r="B184" s="34">
        <v>46077</v>
      </c>
      <c r="C184" s="35" t="s">
        <v>595</v>
      </c>
      <c r="D184" s="35" t="s">
        <v>594</v>
      </c>
      <c r="E184" s="59" t="s">
        <v>22</v>
      </c>
      <c r="F184" s="59">
        <v>20260219008</v>
      </c>
      <c r="G184" s="59" t="s">
        <v>596</v>
      </c>
      <c r="H184" s="43">
        <f>H183-K184</f>
        <v>105931.84478371515</v>
      </c>
      <c r="I184" s="43">
        <v>4330</v>
      </c>
      <c r="J184" s="43">
        <v>4360</v>
      </c>
      <c r="K184" s="43">
        <f>J184/0.786+1</f>
        <v>5548.0737913486</v>
      </c>
      <c r="L184" s="44"/>
      <c r="M184" s="92"/>
      <c r="N184" s="35"/>
      <c r="O184" s="29">
        <v>46075</v>
      </c>
      <c r="P184" s="28">
        <f t="shared" si="17"/>
        <v>46439</v>
      </c>
    </row>
    <row r="185" spans="2:16" ht="20.149999999999999" customHeight="1" x14ac:dyDescent="0.2">
      <c r="B185" s="45">
        <v>46078</v>
      </c>
      <c r="C185" s="46" t="s">
        <v>609</v>
      </c>
      <c r="D185" s="46" t="s">
        <v>608</v>
      </c>
      <c r="E185" s="47" t="s">
        <v>25</v>
      </c>
      <c r="F185" s="47">
        <v>20260219003</v>
      </c>
      <c r="G185" s="47" t="s">
        <v>69</v>
      </c>
      <c r="H185" s="48">
        <f>H182-K185</f>
        <v>213538.64631043276</v>
      </c>
      <c r="I185" s="48">
        <v>4060</v>
      </c>
      <c r="J185" s="48">
        <v>4170</v>
      </c>
      <c r="K185" s="48">
        <f>J185/0.786+1</f>
        <v>5306.3435114503818</v>
      </c>
      <c r="L185" s="49"/>
      <c r="M185" s="84"/>
      <c r="N185" s="46"/>
      <c r="O185" s="29">
        <v>46076</v>
      </c>
      <c r="P185" s="28">
        <f t="shared" si="17"/>
        <v>46440</v>
      </c>
    </row>
    <row r="186" spans="2:16" ht="20.149999999999999" customHeight="1" x14ac:dyDescent="0.2">
      <c r="B186" s="34">
        <v>46078</v>
      </c>
      <c r="C186" s="35" t="s">
        <v>605</v>
      </c>
      <c r="D186" s="35" t="s">
        <v>603</v>
      </c>
      <c r="E186" s="59" t="s">
        <v>22</v>
      </c>
      <c r="F186" s="59">
        <v>20260219009</v>
      </c>
      <c r="G186" s="59" t="s">
        <v>362</v>
      </c>
      <c r="H186" s="43">
        <f>H184-K186</f>
        <v>100651.94656488563</v>
      </c>
      <c r="I186" s="43">
        <v>4120</v>
      </c>
      <c r="J186" s="43">
        <v>4150</v>
      </c>
      <c r="K186" s="43">
        <f t="shared" si="18"/>
        <v>5279.8982188295167</v>
      </c>
      <c r="L186" s="44"/>
      <c r="M186" s="92"/>
      <c r="N186" s="35"/>
      <c r="O186" s="29">
        <v>46076</v>
      </c>
      <c r="P186" s="28">
        <f t="shared" si="17"/>
        <v>46440</v>
      </c>
    </row>
    <row r="187" spans="2:16" ht="20.149999999999999" customHeight="1" x14ac:dyDescent="0.2">
      <c r="B187" s="34">
        <v>46078</v>
      </c>
      <c r="C187" s="35" t="s">
        <v>607</v>
      </c>
      <c r="D187" s="35" t="s">
        <v>604</v>
      </c>
      <c r="E187" s="59" t="s">
        <v>22</v>
      </c>
      <c r="F187" s="59">
        <v>20260219010</v>
      </c>
      <c r="G187" s="59" t="s">
        <v>606</v>
      </c>
      <c r="H187" s="43">
        <f>H186-K187</f>
        <v>95243.821882951786</v>
      </c>
      <c r="I187" s="43">
        <v>4240</v>
      </c>
      <c r="J187" s="43">
        <v>4250</v>
      </c>
      <c r="K187" s="43">
        <f>J187/0.786+1</f>
        <v>5408.1246819338421</v>
      </c>
      <c r="L187" s="44"/>
      <c r="M187" s="92"/>
      <c r="N187" s="35"/>
      <c r="O187" s="29">
        <v>46076</v>
      </c>
      <c r="P187" s="28">
        <f t="shared" si="17"/>
        <v>46440</v>
      </c>
    </row>
    <row r="188" spans="2:16" ht="20.149999999999999" customHeight="1" x14ac:dyDescent="0.2">
      <c r="B188" s="45">
        <v>46079</v>
      </c>
      <c r="C188" s="46" t="s">
        <v>665</v>
      </c>
      <c r="D188" s="46" t="s">
        <v>613</v>
      </c>
      <c r="E188" s="47" t="s">
        <v>25</v>
      </c>
      <c r="F188" s="47">
        <v>20260219004</v>
      </c>
      <c r="G188" s="47" t="s">
        <v>564</v>
      </c>
      <c r="H188" s="48">
        <f>H185-K188</f>
        <v>208143.24427480935</v>
      </c>
      <c r="I188" s="48">
        <v>4270</v>
      </c>
      <c r="J188" s="48">
        <v>4240</v>
      </c>
      <c r="K188" s="48">
        <f>J188/0.786+1</f>
        <v>5395.4020356234096</v>
      </c>
      <c r="L188" s="49"/>
      <c r="M188" s="84"/>
      <c r="N188" s="46"/>
      <c r="O188" s="29">
        <v>46077</v>
      </c>
      <c r="P188" s="28">
        <f t="shared" si="16"/>
        <v>46441</v>
      </c>
    </row>
    <row r="189" spans="2:16" ht="20.149999999999999" customHeight="1" x14ac:dyDescent="0.25">
      <c r="B189" s="34">
        <v>46079</v>
      </c>
      <c r="C189" s="35" t="s">
        <v>615</v>
      </c>
      <c r="D189" s="35" t="s">
        <v>612</v>
      </c>
      <c r="E189" s="59" t="s">
        <v>22</v>
      </c>
      <c r="F189" s="59">
        <v>20260219011</v>
      </c>
      <c r="G189" s="59" t="s">
        <v>493</v>
      </c>
      <c r="H189" s="43">
        <f>H187-K189</f>
        <v>94008.725190839832</v>
      </c>
      <c r="I189" s="43">
        <v>4150</v>
      </c>
      <c r="J189" s="43">
        <v>970</v>
      </c>
      <c r="K189" s="43">
        <f>J189/0.786+1</f>
        <v>1235.0966921119593</v>
      </c>
      <c r="L189" s="60" t="s">
        <v>642</v>
      </c>
      <c r="M189" s="92"/>
      <c r="N189" s="35"/>
      <c r="O189" s="29">
        <v>46076</v>
      </c>
      <c r="P189" s="28">
        <f t="shared" ref="P189:P195" si="19">DATE(YEAR(O189)+1,MONTH(O189),DAY(O189))-1</f>
        <v>46440</v>
      </c>
    </row>
    <row r="190" spans="2:16" ht="20.149999999999999" customHeight="1" x14ac:dyDescent="0.2">
      <c r="B190" s="34">
        <v>46079</v>
      </c>
      <c r="C190" s="35" t="s">
        <v>663</v>
      </c>
      <c r="D190" s="35" t="s">
        <v>626</v>
      </c>
      <c r="E190" s="59" t="s">
        <v>22</v>
      </c>
      <c r="F190" s="59">
        <v>20260219012</v>
      </c>
      <c r="G190" s="59" t="s">
        <v>493</v>
      </c>
      <c r="H190" s="43">
        <f>H189-K190</f>
        <v>88627.045801526852</v>
      </c>
      <c r="I190" s="43">
        <v>4240</v>
      </c>
      <c r="J190" s="43">
        <v>4230</v>
      </c>
      <c r="K190" s="43">
        <f t="shared" ref="K190:K194" si="20">J190/0.786</f>
        <v>5381.679389312977</v>
      </c>
      <c r="L190" s="44"/>
      <c r="M190" s="92"/>
      <c r="N190" s="35"/>
      <c r="O190" s="29">
        <v>46077</v>
      </c>
      <c r="P190" s="28">
        <f t="shared" si="19"/>
        <v>46441</v>
      </c>
    </row>
    <row r="191" spans="2:16" ht="20.149999999999999" customHeight="1" x14ac:dyDescent="0.2">
      <c r="B191" s="34">
        <v>46079</v>
      </c>
      <c r="C191" s="35" t="s">
        <v>664</v>
      </c>
      <c r="D191" s="35" t="s">
        <v>80</v>
      </c>
      <c r="E191" s="59" t="s">
        <v>22</v>
      </c>
      <c r="F191" s="59">
        <v>20260219015</v>
      </c>
      <c r="G191" s="59" t="s">
        <v>362</v>
      </c>
      <c r="H191" s="43">
        <f>H190-K191</f>
        <v>83283.534351145179</v>
      </c>
      <c r="I191" s="43">
        <v>4270</v>
      </c>
      <c r="J191" s="43">
        <v>4200</v>
      </c>
      <c r="K191" s="43">
        <f>J191/0.786</f>
        <v>5343.5114503816794</v>
      </c>
      <c r="L191" s="44"/>
      <c r="M191" s="92"/>
      <c r="N191" s="35"/>
      <c r="O191" s="29">
        <v>46077</v>
      </c>
      <c r="P191" s="28">
        <f>DATE(YEAR(O191)+1,MONTH(O191),DAY(O191))-1</f>
        <v>46441</v>
      </c>
    </row>
    <row r="192" spans="2:16" ht="20.149999999999999" customHeight="1" x14ac:dyDescent="0.2">
      <c r="B192" s="45">
        <v>46080</v>
      </c>
      <c r="C192" s="46" t="s">
        <v>622</v>
      </c>
      <c r="D192" s="46" t="s">
        <v>619</v>
      </c>
      <c r="E192" s="47" t="s">
        <v>25</v>
      </c>
      <c r="F192" s="47">
        <v>20260219006</v>
      </c>
      <c r="G192" s="47" t="s">
        <v>620</v>
      </c>
      <c r="H192" s="48">
        <f>H188-K192</f>
        <v>202747.84223918593</v>
      </c>
      <c r="I192" s="48">
        <v>4210</v>
      </c>
      <c r="J192" s="48">
        <v>4240</v>
      </c>
      <c r="K192" s="48">
        <f>J192/0.786+1</f>
        <v>5395.4020356234096</v>
      </c>
      <c r="L192" s="49"/>
      <c r="M192" s="84"/>
      <c r="N192" s="46"/>
      <c r="O192" s="29">
        <v>46078</v>
      </c>
      <c r="P192" s="28">
        <f t="shared" si="19"/>
        <v>46442</v>
      </c>
    </row>
    <row r="193" spans="2:16" ht="20.149999999999999" customHeight="1" x14ac:dyDescent="0.2">
      <c r="B193" s="45">
        <v>46080</v>
      </c>
      <c r="C193" s="46" t="s">
        <v>628</v>
      </c>
      <c r="D193" s="46" t="s">
        <v>627</v>
      </c>
      <c r="E193" s="47" t="s">
        <v>25</v>
      </c>
      <c r="F193" s="47">
        <v>20260219005</v>
      </c>
      <c r="G193" s="47" t="s">
        <v>629</v>
      </c>
      <c r="H193" s="48">
        <f>H192-K193</f>
        <v>197288.82697201037</v>
      </c>
      <c r="I193" s="48">
        <v>4360</v>
      </c>
      <c r="J193" s="48">
        <v>4290</v>
      </c>
      <c r="K193" s="48">
        <f>J193/0.786+1</f>
        <v>5459.0152671755723</v>
      </c>
      <c r="L193" s="49"/>
      <c r="M193" s="84"/>
      <c r="N193" s="46"/>
      <c r="O193" s="29">
        <v>46078</v>
      </c>
      <c r="P193" s="28">
        <f>DATE(YEAR(O193)+1,MONTH(O193),DAY(O193))-1</f>
        <v>46442</v>
      </c>
    </row>
    <row r="194" spans="2:16" ht="20.149999999999999" customHeight="1" x14ac:dyDescent="0.2">
      <c r="B194" s="34">
        <v>46080</v>
      </c>
      <c r="C194" s="35" t="s">
        <v>624</v>
      </c>
      <c r="D194" s="35" t="s">
        <v>617</v>
      </c>
      <c r="E194" s="59" t="s">
        <v>22</v>
      </c>
      <c r="F194" s="59">
        <v>20260219013</v>
      </c>
      <c r="G194" s="59" t="s">
        <v>362</v>
      </c>
      <c r="H194" s="43">
        <f>H191-K194</f>
        <v>77901.854961832199</v>
      </c>
      <c r="I194" s="43">
        <v>4230</v>
      </c>
      <c r="J194" s="43">
        <v>4230</v>
      </c>
      <c r="K194" s="43">
        <f t="shared" si="20"/>
        <v>5381.679389312977</v>
      </c>
      <c r="L194" s="44"/>
      <c r="M194" s="92"/>
      <c r="N194" s="35"/>
      <c r="O194" s="29">
        <v>46078</v>
      </c>
      <c r="P194" s="28">
        <f t="shared" si="19"/>
        <v>46442</v>
      </c>
    </row>
    <row r="195" spans="2:16" ht="20.149999999999999" customHeight="1" x14ac:dyDescent="0.2">
      <c r="B195" s="34">
        <v>46080</v>
      </c>
      <c r="C195" s="35" t="s">
        <v>625</v>
      </c>
      <c r="D195" s="35" t="s">
        <v>618</v>
      </c>
      <c r="E195" s="59" t="s">
        <v>22</v>
      </c>
      <c r="F195" s="59">
        <v>20260219014</v>
      </c>
      <c r="G195" s="59" t="s">
        <v>362</v>
      </c>
      <c r="H195" s="43">
        <f>H194-K195</f>
        <v>72366.503816794037</v>
      </c>
      <c r="I195" s="43">
        <v>4310</v>
      </c>
      <c r="J195" s="43">
        <v>4350</v>
      </c>
      <c r="K195" s="43">
        <f>J195/0.786+1</f>
        <v>5535.3511450381675</v>
      </c>
      <c r="L195" s="44"/>
      <c r="M195" s="92"/>
      <c r="N195" s="35"/>
      <c r="O195" s="29">
        <v>46078</v>
      </c>
      <c r="P195" s="28">
        <f t="shared" si="19"/>
        <v>46442</v>
      </c>
    </row>
    <row r="196" spans="2:16" ht="20.149999999999999" customHeight="1" x14ac:dyDescent="0.2">
      <c r="B196" s="45">
        <v>46081</v>
      </c>
      <c r="C196" s="46" t="s">
        <v>633</v>
      </c>
      <c r="D196" s="46" t="s">
        <v>631</v>
      </c>
      <c r="E196" s="47" t="s">
        <v>25</v>
      </c>
      <c r="F196" s="47">
        <v>20260219007</v>
      </c>
      <c r="G196" s="47" t="s">
        <v>26</v>
      </c>
      <c r="H196" s="48">
        <f>H193-K196</f>
        <v>191716.3078880409</v>
      </c>
      <c r="I196" s="48">
        <v>4300</v>
      </c>
      <c r="J196" s="48">
        <v>4380</v>
      </c>
      <c r="K196" s="48">
        <f t="shared" si="15"/>
        <v>5572.5190839694651</v>
      </c>
      <c r="L196" s="49"/>
      <c r="M196" s="84"/>
      <c r="N196" s="46"/>
      <c r="O196" s="29">
        <v>46079</v>
      </c>
      <c r="P196" s="28">
        <f t="shared" si="16"/>
        <v>46443</v>
      </c>
    </row>
    <row r="197" spans="2:16" ht="20.149999999999999" customHeight="1" x14ac:dyDescent="0.2">
      <c r="B197" s="45">
        <v>46081</v>
      </c>
      <c r="C197" s="46" t="s">
        <v>635</v>
      </c>
      <c r="D197" s="46" t="s">
        <v>632</v>
      </c>
      <c r="E197" s="47" t="s">
        <v>25</v>
      </c>
      <c r="F197" s="47">
        <v>20260225014</v>
      </c>
      <c r="G197" s="47" t="s">
        <v>634</v>
      </c>
      <c r="H197" s="48">
        <f>H196-K197</f>
        <v>186397.24173028007</v>
      </c>
      <c r="I197" s="48">
        <v>4270</v>
      </c>
      <c r="J197" s="48">
        <v>4180</v>
      </c>
      <c r="K197" s="48">
        <f>J197/0.786+1</f>
        <v>5319.0661577608143</v>
      </c>
      <c r="L197" s="49"/>
      <c r="M197" s="84"/>
      <c r="N197" s="46"/>
      <c r="O197" s="29">
        <v>46079</v>
      </c>
      <c r="P197" s="28">
        <f>DATE(YEAR(O197)+1,MONTH(O197),DAY(O197))-1</f>
        <v>46443</v>
      </c>
    </row>
    <row r="198" spans="2:16" ht="20.149999999999999" customHeight="1" x14ac:dyDescent="0.2">
      <c r="B198" s="62">
        <v>46081</v>
      </c>
      <c r="C198" s="61" t="s">
        <v>637</v>
      </c>
      <c r="D198" s="61" t="s">
        <v>630</v>
      </c>
      <c r="E198" s="63" t="s">
        <v>641</v>
      </c>
      <c r="F198" s="63" t="s">
        <v>2181</v>
      </c>
      <c r="G198" s="61" t="s">
        <v>647</v>
      </c>
      <c r="H198" s="64">
        <f>H152-K198</f>
        <v>48350.078880407127</v>
      </c>
      <c r="I198" s="64">
        <v>4310</v>
      </c>
      <c r="J198" s="64">
        <v>4330</v>
      </c>
      <c r="K198" s="64">
        <f t="shared" si="15"/>
        <v>5508.9058524173024</v>
      </c>
      <c r="L198" s="65"/>
      <c r="M198" s="93"/>
      <c r="N198" s="61"/>
      <c r="O198" s="29">
        <v>46079</v>
      </c>
      <c r="P198" s="28">
        <f t="shared" si="16"/>
        <v>46443</v>
      </c>
    </row>
    <row r="199" spans="2:16" ht="20.149999999999999" customHeight="1" x14ac:dyDescent="0.2">
      <c r="B199" s="34">
        <v>46081</v>
      </c>
      <c r="C199" s="35" t="s">
        <v>638</v>
      </c>
      <c r="D199" s="35" t="s">
        <v>636</v>
      </c>
      <c r="E199" s="59" t="s">
        <v>22</v>
      </c>
      <c r="F199" s="59">
        <v>20260227001</v>
      </c>
      <c r="G199" s="59" t="s">
        <v>362</v>
      </c>
      <c r="H199" s="43">
        <f>H195-K199</f>
        <v>67009.269720101918</v>
      </c>
      <c r="I199" s="43">
        <v>4230</v>
      </c>
      <c r="J199" s="43">
        <v>4210</v>
      </c>
      <c r="K199" s="43">
        <f>J199/0.786+1</f>
        <v>5357.234096692112</v>
      </c>
      <c r="L199" s="44"/>
      <c r="M199" s="92"/>
      <c r="N199" s="35"/>
      <c r="O199" s="29">
        <v>46080</v>
      </c>
      <c r="P199" s="28">
        <f t="shared" si="16"/>
        <v>46444</v>
      </c>
    </row>
    <row r="200" spans="2:16" ht="20.149999999999999" customHeight="1" x14ac:dyDescent="0.2">
      <c r="B200" s="45">
        <v>46082</v>
      </c>
      <c r="C200" s="46" t="s">
        <v>651</v>
      </c>
      <c r="D200" s="46" t="s">
        <v>639</v>
      </c>
      <c r="E200" s="47" t="s">
        <v>25</v>
      </c>
      <c r="F200" s="47" t="s">
        <v>2182</v>
      </c>
      <c r="G200" s="47" t="s">
        <v>26</v>
      </c>
      <c r="H200" s="48">
        <f>H197-K200</f>
        <v>180861.8905852419</v>
      </c>
      <c r="I200" s="48">
        <v>4300</v>
      </c>
      <c r="J200" s="48">
        <v>4350</v>
      </c>
      <c r="K200" s="48">
        <f>J200/0.786+1</f>
        <v>5535.3511450381675</v>
      </c>
      <c r="L200" s="49"/>
      <c r="M200" s="84"/>
      <c r="N200" s="46"/>
      <c r="O200" s="29">
        <v>46080</v>
      </c>
      <c r="P200" s="28">
        <f t="shared" ref="P200:P220" si="21">DATE(YEAR(O200)+1,MONTH(O200),DAY(O200))-1</f>
        <v>46444</v>
      </c>
    </row>
    <row r="201" spans="2:16" ht="20.149999999999999" customHeight="1" x14ac:dyDescent="0.2">
      <c r="B201" s="45">
        <v>46082</v>
      </c>
      <c r="C201" s="46" t="s">
        <v>652</v>
      </c>
      <c r="D201" s="46" t="s">
        <v>648</v>
      </c>
      <c r="E201" s="47" t="s">
        <v>25</v>
      </c>
      <c r="F201" s="47" t="s">
        <v>2183</v>
      </c>
      <c r="G201" s="47" t="s">
        <v>33</v>
      </c>
      <c r="H201" s="48">
        <f>H200-K201</f>
        <v>175213.03562340984</v>
      </c>
      <c r="I201" s="48">
        <v>4390</v>
      </c>
      <c r="J201" s="48">
        <v>4440</v>
      </c>
      <c r="K201" s="48">
        <f>J201/0.786</f>
        <v>5648.8549618320612</v>
      </c>
      <c r="L201" s="49"/>
      <c r="M201" s="84"/>
      <c r="N201" s="46"/>
      <c r="O201" s="29">
        <v>46081</v>
      </c>
      <c r="P201" s="28">
        <f>DATE(YEAR(O201)+1,MONTH(O201),DAY(O201))-1</f>
        <v>46445</v>
      </c>
    </row>
    <row r="202" spans="2:16" ht="20.149999999999999" customHeight="1" x14ac:dyDescent="0.2">
      <c r="B202" s="34">
        <v>46082</v>
      </c>
      <c r="C202" s="35" t="s">
        <v>650</v>
      </c>
      <c r="D202" s="35" t="s">
        <v>640</v>
      </c>
      <c r="E202" s="59" t="s">
        <v>22</v>
      </c>
      <c r="F202" s="59">
        <v>20260225015</v>
      </c>
      <c r="G202" s="59" t="s">
        <v>371</v>
      </c>
      <c r="H202" s="43">
        <f>H199-K202</f>
        <v>61627.590330788938</v>
      </c>
      <c r="I202" s="43">
        <v>4330</v>
      </c>
      <c r="J202" s="43">
        <v>4230</v>
      </c>
      <c r="K202" s="43">
        <f t="shared" ref="K202:K215" si="22">J202/0.786</f>
        <v>5381.679389312977</v>
      </c>
      <c r="L202" s="44"/>
      <c r="M202" s="92"/>
      <c r="N202" s="35"/>
      <c r="O202" s="29">
        <v>46080</v>
      </c>
      <c r="P202" s="28">
        <f t="shared" si="21"/>
        <v>46444</v>
      </c>
    </row>
    <row r="203" spans="2:16" ht="20.149999999999999" customHeight="1" x14ac:dyDescent="0.2">
      <c r="B203" s="34">
        <v>46082</v>
      </c>
      <c r="C203" s="35" t="s">
        <v>653</v>
      </c>
      <c r="D203" s="35" t="s">
        <v>649</v>
      </c>
      <c r="E203" s="59" t="s">
        <v>22</v>
      </c>
      <c r="F203" s="59">
        <v>20260225016</v>
      </c>
      <c r="G203" s="59" t="s">
        <v>362</v>
      </c>
      <c r="H203" s="43">
        <f>H202-K203</f>
        <v>56359.414758269857</v>
      </c>
      <c r="I203" s="43">
        <v>4160</v>
      </c>
      <c r="J203" s="43">
        <v>4140</v>
      </c>
      <c r="K203" s="43">
        <f>J203/0.786+1</f>
        <v>5268.1755725190842</v>
      </c>
      <c r="L203" s="44"/>
      <c r="M203" s="92"/>
      <c r="N203" s="35"/>
      <c r="O203" s="29">
        <v>46081</v>
      </c>
      <c r="P203" s="28">
        <f>DATE(YEAR(O203)+1,MONTH(O203),DAY(O203))-1</f>
        <v>46445</v>
      </c>
    </row>
    <row r="204" spans="2:16" ht="20.149999999999999" customHeight="1" x14ac:dyDescent="0.25">
      <c r="B204" s="45">
        <v>46083</v>
      </c>
      <c r="C204" s="46" t="s">
        <v>659</v>
      </c>
      <c r="D204" s="46" t="s">
        <v>654</v>
      </c>
      <c r="E204" s="47" t="s">
        <v>25</v>
      </c>
      <c r="F204" s="47" t="s">
        <v>2184</v>
      </c>
      <c r="G204" s="47" t="s">
        <v>656</v>
      </c>
      <c r="H204" s="48">
        <f>H201-K204</f>
        <v>174041.55216285004</v>
      </c>
      <c r="I204" s="48">
        <v>4320</v>
      </c>
      <c r="J204" s="48">
        <v>920</v>
      </c>
      <c r="K204" s="48">
        <f>J204/0.786+1</f>
        <v>1171.4834605597964</v>
      </c>
      <c r="L204" s="67" t="s">
        <v>788</v>
      </c>
      <c r="M204" s="94"/>
      <c r="N204" s="46"/>
      <c r="O204" s="29">
        <v>46081</v>
      </c>
      <c r="P204" s="28">
        <f t="shared" si="21"/>
        <v>46445</v>
      </c>
    </row>
    <row r="205" spans="2:16" ht="20.149999999999999" customHeight="1" x14ac:dyDescent="0.2">
      <c r="B205" s="34">
        <v>46083</v>
      </c>
      <c r="C205" s="35" t="s">
        <v>658</v>
      </c>
      <c r="D205" s="35" t="s">
        <v>655</v>
      </c>
      <c r="E205" s="59" t="s">
        <v>22</v>
      </c>
      <c r="F205" s="59">
        <v>20260225017</v>
      </c>
      <c r="G205" s="59" t="s">
        <v>362</v>
      </c>
      <c r="H205" s="43">
        <f>H203-K205</f>
        <v>50977.735368956877</v>
      </c>
      <c r="I205" s="43">
        <v>4160</v>
      </c>
      <c r="J205" s="43">
        <v>4230</v>
      </c>
      <c r="K205" s="43">
        <f t="shared" si="22"/>
        <v>5381.679389312977</v>
      </c>
      <c r="L205" s="44"/>
      <c r="M205" s="92"/>
      <c r="N205" s="35"/>
      <c r="O205" s="29">
        <v>46081</v>
      </c>
      <c r="P205" s="28">
        <f t="shared" si="21"/>
        <v>46445</v>
      </c>
    </row>
    <row r="206" spans="2:16" ht="20.149999999999999" customHeight="1" x14ac:dyDescent="0.2">
      <c r="B206" s="34">
        <v>46083</v>
      </c>
      <c r="C206" s="35" t="s">
        <v>661</v>
      </c>
      <c r="D206" s="35" t="s">
        <v>660</v>
      </c>
      <c r="E206" s="59" t="s">
        <v>22</v>
      </c>
      <c r="F206" s="59">
        <v>20260225018</v>
      </c>
      <c r="G206" s="59" t="s">
        <v>362</v>
      </c>
      <c r="H206" s="43">
        <f>H205-K206</f>
        <v>45608.778625954335</v>
      </c>
      <c r="I206" s="43">
        <v>4170</v>
      </c>
      <c r="J206" s="43">
        <v>4220</v>
      </c>
      <c r="K206" s="43">
        <f>J206/0.786</f>
        <v>5368.9567430025445</v>
      </c>
      <c r="L206" s="44"/>
      <c r="M206" s="92"/>
      <c r="N206" s="35"/>
      <c r="O206" s="29">
        <v>46082</v>
      </c>
      <c r="P206" s="28">
        <f>DATE(YEAR(O206)+1,MONTH(O206),DAY(O206))-1</f>
        <v>46446</v>
      </c>
    </row>
    <row r="207" spans="2:16" ht="20.149999999999999" customHeight="1" x14ac:dyDescent="0.2">
      <c r="B207" s="62">
        <v>46084</v>
      </c>
      <c r="C207" s="61" t="s">
        <v>673</v>
      </c>
      <c r="D207" s="61" t="s">
        <v>666</v>
      </c>
      <c r="E207" s="63" t="s">
        <v>516</v>
      </c>
      <c r="F207" s="63">
        <v>20260303001</v>
      </c>
      <c r="G207" s="61" t="s">
        <v>549</v>
      </c>
      <c r="H207" s="64">
        <f>H198-K207</f>
        <v>43210.129770992367</v>
      </c>
      <c r="I207" s="64">
        <v>4060</v>
      </c>
      <c r="J207" s="64">
        <v>4040</v>
      </c>
      <c r="K207" s="64">
        <f t="shared" si="15"/>
        <v>5139.9491094147579</v>
      </c>
      <c r="L207" s="65"/>
      <c r="M207" s="93"/>
      <c r="N207" s="61"/>
      <c r="O207" s="29">
        <v>46082</v>
      </c>
      <c r="P207" s="28">
        <f t="shared" si="16"/>
        <v>46446</v>
      </c>
    </row>
    <row r="208" spans="2:16" ht="20.149999999999999" customHeight="1" x14ac:dyDescent="0.2">
      <c r="B208" s="45">
        <v>46084</v>
      </c>
      <c r="C208" s="46" t="s">
        <v>674</v>
      </c>
      <c r="D208" s="46" t="s">
        <v>671</v>
      </c>
      <c r="E208" s="47" t="s">
        <v>25</v>
      </c>
      <c r="F208" s="47">
        <v>20260225008</v>
      </c>
      <c r="G208" s="47" t="s">
        <v>94</v>
      </c>
      <c r="H208" s="48">
        <f>H204-K208</f>
        <v>168659.87277353706</v>
      </c>
      <c r="I208" s="48">
        <v>4270</v>
      </c>
      <c r="J208" s="48">
        <v>4230</v>
      </c>
      <c r="K208" s="48">
        <f>J208/0.786</f>
        <v>5381.679389312977</v>
      </c>
      <c r="L208" s="49"/>
      <c r="M208" s="84"/>
      <c r="N208" s="46"/>
      <c r="O208" s="29">
        <v>46083</v>
      </c>
      <c r="P208" s="28">
        <f>DATE(YEAR(O208)+1,MONTH(O208),DAY(O208))-1</f>
        <v>46447</v>
      </c>
    </row>
    <row r="209" spans="2:16" ht="20.149999999999999" customHeight="1" x14ac:dyDescent="0.2">
      <c r="B209" s="34">
        <v>46084</v>
      </c>
      <c r="C209" s="35" t="s">
        <v>668</v>
      </c>
      <c r="D209" s="35" t="s">
        <v>667</v>
      </c>
      <c r="E209" s="59" t="s">
        <v>22</v>
      </c>
      <c r="F209" s="59">
        <v>20260225019</v>
      </c>
      <c r="G209" s="59" t="s">
        <v>669</v>
      </c>
      <c r="H209" s="43">
        <f>H206-K209</f>
        <v>40060.704834605735</v>
      </c>
      <c r="I209" s="43">
        <v>4350</v>
      </c>
      <c r="J209" s="43">
        <v>4360</v>
      </c>
      <c r="K209" s="43">
        <f>J209/0.786+1</f>
        <v>5548.0737913486</v>
      </c>
      <c r="L209" s="44"/>
      <c r="M209" s="92"/>
      <c r="N209" s="35"/>
      <c r="O209" s="29">
        <v>46082</v>
      </c>
      <c r="P209" s="28">
        <f t="shared" si="21"/>
        <v>46446</v>
      </c>
    </row>
    <row r="210" spans="2:16" ht="20.149999999999999" customHeight="1" x14ac:dyDescent="0.2">
      <c r="B210" s="45">
        <v>46085</v>
      </c>
      <c r="C210" s="46" t="s">
        <v>680</v>
      </c>
      <c r="D210" s="46" t="s">
        <v>676</v>
      </c>
      <c r="E210" s="47" t="s">
        <v>675</v>
      </c>
      <c r="F210" s="47" t="s">
        <v>2185</v>
      </c>
      <c r="G210" s="47" t="s">
        <v>123</v>
      </c>
      <c r="H210" s="48">
        <f>H208-K210</f>
        <v>163213.58015267193</v>
      </c>
      <c r="I210" s="48">
        <v>4290</v>
      </c>
      <c r="J210" s="48">
        <v>4280</v>
      </c>
      <c r="K210" s="48">
        <f>J210/0.786+1</f>
        <v>5446.2926208651397</v>
      </c>
      <c r="L210" s="49"/>
      <c r="M210" s="84"/>
      <c r="N210" s="46"/>
      <c r="O210" s="29">
        <v>46083</v>
      </c>
      <c r="P210" s="28">
        <f>DATE(YEAR(O210)+1,MONTH(O210),DAY(O210))-1</f>
        <v>46447</v>
      </c>
    </row>
    <row r="211" spans="2:16" ht="20.149999999999999" customHeight="1" x14ac:dyDescent="0.2">
      <c r="B211" s="45">
        <v>46085</v>
      </c>
      <c r="C211" s="46" t="s">
        <v>687</v>
      </c>
      <c r="D211" s="46" t="s">
        <v>686</v>
      </c>
      <c r="E211" s="47" t="s">
        <v>25</v>
      </c>
      <c r="F211" s="47" t="s">
        <v>2186</v>
      </c>
      <c r="G211" s="47" t="s">
        <v>688</v>
      </c>
      <c r="H211" s="48">
        <f>H210-K211</f>
        <v>157678.22900763375</v>
      </c>
      <c r="I211" s="48">
        <v>4350</v>
      </c>
      <c r="J211" s="48">
        <v>4350</v>
      </c>
      <c r="K211" s="48">
        <f>J211/0.786+1</f>
        <v>5535.3511450381675</v>
      </c>
      <c r="L211" s="49"/>
      <c r="M211" s="84"/>
      <c r="N211" s="46"/>
      <c r="O211" s="29">
        <v>46083</v>
      </c>
      <c r="P211" s="28">
        <f>DATE(YEAR(O211)+1,MONTH(O211),DAY(O211))-1</f>
        <v>46447</v>
      </c>
    </row>
    <row r="212" spans="2:16" ht="20.149999999999999" customHeight="1" x14ac:dyDescent="0.2">
      <c r="B212" s="34">
        <v>46085</v>
      </c>
      <c r="C212" s="35" t="s">
        <v>681</v>
      </c>
      <c r="D212" s="35" t="s">
        <v>677</v>
      </c>
      <c r="E212" s="59" t="s">
        <v>22</v>
      </c>
      <c r="F212" s="59">
        <v>20260225021</v>
      </c>
      <c r="G212" s="59" t="s">
        <v>362</v>
      </c>
      <c r="H212" s="43">
        <f>H209-K212</f>
        <v>34512.631043257134</v>
      </c>
      <c r="I212" s="43">
        <v>4360</v>
      </c>
      <c r="J212" s="43">
        <v>4360</v>
      </c>
      <c r="K212" s="43">
        <f>J212/0.786+1</f>
        <v>5548.0737913486</v>
      </c>
      <c r="L212" s="44"/>
      <c r="M212" s="92"/>
      <c r="N212" s="35"/>
      <c r="O212" s="29">
        <v>46083</v>
      </c>
      <c r="P212" s="28">
        <f t="shared" si="21"/>
        <v>46447</v>
      </c>
    </row>
    <row r="213" spans="2:16" ht="20.149999999999999" customHeight="1" x14ac:dyDescent="0.2">
      <c r="B213" s="34">
        <v>46085</v>
      </c>
      <c r="C213" s="35" t="s">
        <v>689</v>
      </c>
      <c r="D213" s="35" t="s">
        <v>683</v>
      </c>
      <c r="E213" s="59" t="s">
        <v>22</v>
      </c>
      <c r="F213" s="59">
        <v>20260225022</v>
      </c>
      <c r="G213" s="59" t="s">
        <v>362</v>
      </c>
      <c r="H213" s="43">
        <f>H212-K213</f>
        <v>29080.061068702427</v>
      </c>
      <c r="I213" s="43">
        <v>4200</v>
      </c>
      <c r="J213" s="43">
        <v>4270</v>
      </c>
      <c r="K213" s="43">
        <f>J213/0.786</f>
        <v>5432.5699745547072</v>
      </c>
      <c r="L213" s="44"/>
      <c r="M213" s="92"/>
      <c r="N213" s="35"/>
      <c r="O213" s="29">
        <v>46084</v>
      </c>
      <c r="P213" s="28">
        <f>DATE(YEAR(O213)+1,MONTH(O213),DAY(O213))-1</f>
        <v>46448</v>
      </c>
    </row>
    <row r="214" spans="2:16" ht="20.149999999999999" customHeight="1" x14ac:dyDescent="0.2">
      <c r="B214" s="45">
        <v>46086</v>
      </c>
      <c r="C214" s="46" t="s">
        <v>684</v>
      </c>
      <c r="D214" s="46" t="s">
        <v>679</v>
      </c>
      <c r="E214" s="47" t="s">
        <v>25</v>
      </c>
      <c r="F214" s="47">
        <v>20260225009</v>
      </c>
      <c r="G214" s="47" t="s">
        <v>685</v>
      </c>
      <c r="H214" s="48">
        <f>H211-K214</f>
        <v>152219.21374045819</v>
      </c>
      <c r="I214" s="48">
        <v>4260</v>
      </c>
      <c r="J214" s="48">
        <v>4290</v>
      </c>
      <c r="K214" s="48">
        <f>J214/0.786+1</f>
        <v>5459.0152671755723</v>
      </c>
      <c r="L214" s="49"/>
      <c r="M214" s="84"/>
      <c r="N214" s="46"/>
      <c r="O214" s="29">
        <v>46084</v>
      </c>
      <c r="P214" s="28">
        <f>DATE(YEAR(O214)+1,MONTH(O214),DAY(O214))-1</f>
        <v>46448</v>
      </c>
    </row>
    <row r="215" spans="2:16" ht="20.149999999999999" customHeight="1" x14ac:dyDescent="0.2">
      <c r="B215" s="45">
        <v>46086</v>
      </c>
      <c r="C215" s="46" t="s">
        <v>699</v>
      </c>
      <c r="D215" s="46" t="s">
        <v>698</v>
      </c>
      <c r="E215" s="47" t="s">
        <v>25</v>
      </c>
      <c r="F215" s="47">
        <v>20260225010</v>
      </c>
      <c r="G215" s="47" t="s">
        <v>123</v>
      </c>
      <c r="H215" s="48">
        <f>H214-K215</f>
        <v>146748.47582697219</v>
      </c>
      <c r="I215" s="48">
        <v>4310</v>
      </c>
      <c r="J215" s="48">
        <v>4300</v>
      </c>
      <c r="K215" s="48">
        <f t="shared" si="22"/>
        <v>5470.7379134860048</v>
      </c>
      <c r="L215" s="49"/>
      <c r="M215" s="84"/>
      <c r="N215" s="46"/>
      <c r="O215" s="29">
        <v>46085</v>
      </c>
      <c r="P215" s="28">
        <f t="shared" si="21"/>
        <v>46449</v>
      </c>
    </row>
    <row r="216" spans="2:16" ht="20.149999999999999" customHeight="1" x14ac:dyDescent="0.2">
      <c r="B216" s="34">
        <v>46086</v>
      </c>
      <c r="C216" s="35" t="s">
        <v>692</v>
      </c>
      <c r="D216" s="35" t="s">
        <v>690</v>
      </c>
      <c r="E216" s="59" t="s">
        <v>22</v>
      </c>
      <c r="F216" s="59">
        <v>20260225020</v>
      </c>
      <c r="G216" s="59" t="s">
        <v>371</v>
      </c>
      <c r="H216" s="43">
        <f>H213-K216</f>
        <v>23698.381679389451</v>
      </c>
      <c r="I216" s="43">
        <v>4270</v>
      </c>
      <c r="J216" s="43">
        <v>4230</v>
      </c>
      <c r="K216" s="43">
        <f>J216/0.786</f>
        <v>5381.679389312977</v>
      </c>
      <c r="L216" s="44"/>
      <c r="M216" s="92"/>
      <c r="N216" s="35"/>
      <c r="O216" s="29">
        <v>46084</v>
      </c>
      <c r="P216" s="28">
        <f>DATE(YEAR(O216)+1,MONTH(O216),DAY(O216))-1</f>
        <v>46448</v>
      </c>
    </row>
    <row r="217" spans="2:16" ht="20.149999999999999" customHeight="1" x14ac:dyDescent="0.2">
      <c r="B217" s="34">
        <v>46086</v>
      </c>
      <c r="C217" s="35" t="s">
        <v>693</v>
      </c>
      <c r="D217" s="35" t="s">
        <v>691</v>
      </c>
      <c r="E217" s="59" t="s">
        <v>22</v>
      </c>
      <c r="F217" s="59">
        <v>20260225023</v>
      </c>
      <c r="G217" s="59" t="s">
        <v>371</v>
      </c>
      <c r="H217" s="43">
        <f>H216-K217</f>
        <v>18213.921119593015</v>
      </c>
      <c r="I217" s="43">
        <v>4320</v>
      </c>
      <c r="J217" s="43">
        <v>4310</v>
      </c>
      <c r="K217" s="43">
        <f>J217/0.786+1</f>
        <v>5484.4605597964373</v>
      </c>
      <c r="L217" s="44"/>
      <c r="M217" s="92"/>
      <c r="N217" s="35"/>
      <c r="O217" s="29">
        <v>46084</v>
      </c>
      <c r="P217" s="28">
        <f t="shared" si="21"/>
        <v>46448</v>
      </c>
    </row>
    <row r="218" spans="2:16" ht="20.149999999999999" customHeight="1" x14ac:dyDescent="0.2">
      <c r="B218" s="45">
        <v>46087</v>
      </c>
      <c r="C218" s="46" t="s">
        <v>704</v>
      </c>
      <c r="D218" s="46" t="s">
        <v>700</v>
      </c>
      <c r="E218" s="47" t="s">
        <v>25</v>
      </c>
      <c r="F218" s="47">
        <v>20260225012</v>
      </c>
      <c r="G218" s="47" t="s">
        <v>123</v>
      </c>
      <c r="H218" s="48">
        <f>H215-K218</f>
        <v>141289.46055979663</v>
      </c>
      <c r="I218" s="48">
        <v>4380</v>
      </c>
      <c r="J218" s="48">
        <v>4290</v>
      </c>
      <c r="K218" s="48">
        <f>J218/0.786+1</f>
        <v>5459.0152671755723</v>
      </c>
      <c r="L218" s="49"/>
      <c r="M218" s="84"/>
      <c r="N218" s="46"/>
      <c r="O218" s="29">
        <v>46085</v>
      </c>
      <c r="P218" s="28">
        <f>DATE(YEAR(O218)+1,MONTH(O218),DAY(O218))-1</f>
        <v>46449</v>
      </c>
    </row>
    <row r="219" spans="2:16" ht="20.149999999999999" customHeight="1" x14ac:dyDescent="0.2">
      <c r="B219" s="45">
        <v>46087</v>
      </c>
      <c r="C219" s="46" t="s">
        <v>708</v>
      </c>
      <c r="D219" s="46" t="s">
        <v>707</v>
      </c>
      <c r="E219" s="47" t="s">
        <v>25</v>
      </c>
      <c r="F219" s="47">
        <v>20260225013</v>
      </c>
      <c r="G219" s="47" t="s">
        <v>69</v>
      </c>
      <c r="H219" s="48">
        <f>H218-K219</f>
        <v>135856.89058524193</v>
      </c>
      <c r="I219" s="48">
        <v>4280</v>
      </c>
      <c r="J219" s="48">
        <v>4270</v>
      </c>
      <c r="K219" s="48">
        <f>J219/0.786</f>
        <v>5432.5699745547072</v>
      </c>
      <c r="L219" s="49"/>
      <c r="M219" s="84"/>
      <c r="N219" s="46"/>
      <c r="O219" s="29">
        <v>46086</v>
      </c>
      <c r="P219" s="28">
        <f>DATE(YEAR(O219)+1,MONTH(O219),DAY(O219))-1</f>
        <v>46450</v>
      </c>
    </row>
    <row r="220" spans="2:16" ht="20.149999999999999" customHeight="1" x14ac:dyDescent="0.2">
      <c r="B220" s="34">
        <v>46087</v>
      </c>
      <c r="C220" s="35" t="s">
        <v>702</v>
      </c>
      <c r="D220" s="35" t="s">
        <v>701</v>
      </c>
      <c r="E220" s="59" t="s">
        <v>22</v>
      </c>
      <c r="F220" s="59">
        <v>20260225024</v>
      </c>
      <c r="G220" s="59" t="s">
        <v>703</v>
      </c>
      <c r="H220" s="43">
        <f>H217-K220</f>
        <v>12945.74554707393</v>
      </c>
      <c r="I220" s="43">
        <v>4260</v>
      </c>
      <c r="J220" s="43">
        <v>4140</v>
      </c>
      <c r="K220" s="43">
        <f>J220/0.786+1</f>
        <v>5268.1755725190842</v>
      </c>
      <c r="L220" s="44"/>
      <c r="M220" s="92"/>
      <c r="N220" s="35"/>
      <c r="O220" s="29">
        <v>46085</v>
      </c>
      <c r="P220" s="28">
        <f t="shared" si="21"/>
        <v>46449</v>
      </c>
    </row>
    <row r="221" spans="2:16" ht="20.149999999999999" customHeight="1" x14ac:dyDescent="0.2">
      <c r="B221" s="34">
        <v>46087</v>
      </c>
      <c r="C221" s="35" t="s">
        <v>706</v>
      </c>
      <c r="D221" s="35" t="s">
        <v>705</v>
      </c>
      <c r="E221" s="59" t="s">
        <v>22</v>
      </c>
      <c r="F221" s="59">
        <v>20260225025</v>
      </c>
      <c r="G221" s="59" t="s">
        <v>387</v>
      </c>
      <c r="H221" s="43">
        <f>H220-K221</f>
        <v>7564.0661577609526</v>
      </c>
      <c r="I221" s="43">
        <v>4210</v>
      </c>
      <c r="J221" s="43">
        <v>4230</v>
      </c>
      <c r="K221" s="43">
        <f>J221/0.786</f>
        <v>5381.679389312977</v>
      </c>
      <c r="L221" s="44"/>
      <c r="M221" s="92"/>
      <c r="N221" s="35"/>
      <c r="O221" s="29">
        <v>46086</v>
      </c>
      <c r="P221" s="28">
        <f>DATE(YEAR(O221)+1,MONTH(O221),DAY(O221))-1</f>
        <v>46450</v>
      </c>
    </row>
    <row r="222" spans="2:16" ht="20.149999999999999" customHeight="1" x14ac:dyDescent="0.2">
      <c r="B222" s="45">
        <v>46088</v>
      </c>
      <c r="C222" s="46" t="s">
        <v>712</v>
      </c>
      <c r="D222" s="46" t="s">
        <v>713</v>
      </c>
      <c r="E222" s="47" t="s">
        <v>25</v>
      </c>
      <c r="F222" s="47" t="s">
        <v>2187</v>
      </c>
      <c r="G222" s="47" t="s">
        <v>718</v>
      </c>
      <c r="H222" s="48">
        <f>H219-K222</f>
        <v>130359.70737913506</v>
      </c>
      <c r="I222" s="48">
        <v>4330</v>
      </c>
      <c r="J222" s="48">
        <v>4320</v>
      </c>
      <c r="K222" s="48">
        <f>J222/0.786+1</f>
        <v>5497.1832061068699</v>
      </c>
      <c r="L222" s="49"/>
      <c r="M222" s="84"/>
      <c r="N222" s="46"/>
      <c r="O222" s="29">
        <v>46086</v>
      </c>
      <c r="P222" s="28">
        <f>DATE(YEAR(O222)+1,MONTH(O222),DAY(O222))-1</f>
        <v>46450</v>
      </c>
    </row>
    <row r="223" spans="2:16" ht="20.149999999999999" customHeight="1" x14ac:dyDescent="0.2">
      <c r="B223" s="34">
        <v>46088</v>
      </c>
      <c r="C223" s="35" t="s">
        <v>711</v>
      </c>
      <c r="D223" s="35" t="s">
        <v>709</v>
      </c>
      <c r="E223" s="59" t="s">
        <v>22</v>
      </c>
      <c r="F223" s="59">
        <v>20260225026</v>
      </c>
      <c r="G223" s="59" t="s">
        <v>371</v>
      </c>
      <c r="H223" s="43">
        <f>H221-K223</f>
        <v>2144.2188295166779</v>
      </c>
      <c r="I223" s="43">
        <v>4290</v>
      </c>
      <c r="J223" s="43">
        <v>4260</v>
      </c>
      <c r="K223" s="43">
        <f t="shared" si="15"/>
        <v>5419.8473282442746</v>
      </c>
      <c r="L223" s="44"/>
      <c r="M223" s="92"/>
      <c r="N223" s="35"/>
      <c r="O223" s="29">
        <v>46086</v>
      </c>
      <c r="P223" s="28">
        <f t="shared" si="16"/>
        <v>46450</v>
      </c>
    </row>
    <row r="224" spans="2:16" ht="20.149999999999999" customHeight="1" x14ac:dyDescent="0.2">
      <c r="B224" s="25">
        <v>46088</v>
      </c>
      <c r="C224" s="26" t="s">
        <v>717</v>
      </c>
      <c r="D224" s="26" t="s">
        <v>710</v>
      </c>
      <c r="E224" s="26" t="s">
        <v>694</v>
      </c>
      <c r="F224" s="26">
        <v>20260305015</v>
      </c>
      <c r="G224" s="26" t="s">
        <v>719</v>
      </c>
      <c r="H224" s="38">
        <f>285359-K224</f>
        <v>282093.87531806616</v>
      </c>
      <c r="I224" s="38">
        <v>4290</v>
      </c>
      <c r="J224" s="38">
        <v>4250</v>
      </c>
      <c r="K224" s="38">
        <f>J224/0.786-K225+1</f>
        <v>3265.1246819338421</v>
      </c>
      <c r="L224" s="37">
        <v>5408</v>
      </c>
      <c r="M224" s="85"/>
      <c r="N224" s="26"/>
      <c r="O224" s="29">
        <v>46087</v>
      </c>
      <c r="P224" s="28">
        <f>DATE(YEAR(O224)+1,MONTH(O224),DAY(O224))-1</f>
        <v>46451</v>
      </c>
    </row>
    <row r="225" spans="2:16" ht="20.149999999999999" customHeight="1" x14ac:dyDescent="0.2">
      <c r="B225" s="44"/>
      <c r="C225" s="44" t="s">
        <v>717</v>
      </c>
      <c r="D225" s="44" t="s">
        <v>68</v>
      </c>
      <c r="E225" s="44" t="s">
        <v>22</v>
      </c>
      <c r="F225" s="44" t="s">
        <v>2188</v>
      </c>
      <c r="G225" s="44" t="s">
        <v>362</v>
      </c>
      <c r="H225" s="44"/>
      <c r="I225" s="44"/>
      <c r="J225" s="44"/>
      <c r="K225" s="43">
        <v>2143</v>
      </c>
      <c r="L225" s="44"/>
      <c r="M225" s="92"/>
      <c r="N225" s="44"/>
      <c r="O225" s="29">
        <v>46087</v>
      </c>
      <c r="P225" s="28">
        <f>DATE(YEAR(O225)+1,MONTH(O225),DAY(O225))-1</f>
        <v>46451</v>
      </c>
    </row>
    <row r="226" spans="2:16" ht="20.149999999999999" customHeight="1" x14ac:dyDescent="0.2">
      <c r="B226" s="45">
        <v>46089</v>
      </c>
      <c r="C226" s="46" t="s">
        <v>726</v>
      </c>
      <c r="D226" s="46" t="s">
        <v>720</v>
      </c>
      <c r="E226" s="47" t="s">
        <v>25</v>
      </c>
      <c r="F226" s="47" t="s">
        <v>2189</v>
      </c>
      <c r="G226" s="47" t="s">
        <v>724</v>
      </c>
      <c r="H226" s="48">
        <f>H222-K226</f>
        <v>124978.02798982208</v>
      </c>
      <c r="I226" s="48">
        <v>4210</v>
      </c>
      <c r="J226" s="48">
        <v>4230</v>
      </c>
      <c r="K226" s="48">
        <f t="shared" si="15"/>
        <v>5381.679389312977</v>
      </c>
      <c r="L226" s="49"/>
      <c r="M226" s="84"/>
      <c r="N226" s="46"/>
      <c r="O226" s="29">
        <v>46087</v>
      </c>
      <c r="P226" s="28">
        <f t="shared" si="16"/>
        <v>46451</v>
      </c>
    </row>
    <row r="227" spans="2:16" ht="20.149999999999999" customHeight="1" x14ac:dyDescent="0.2">
      <c r="B227" s="45">
        <v>46089</v>
      </c>
      <c r="C227" s="46" t="s">
        <v>729</v>
      </c>
      <c r="D227" s="46" t="s">
        <v>721</v>
      </c>
      <c r="E227" s="47" t="s">
        <v>25</v>
      </c>
      <c r="F227" s="47" t="s">
        <v>2190</v>
      </c>
      <c r="G227" s="47" t="s">
        <v>728</v>
      </c>
      <c r="H227" s="48">
        <f>H226-K227</f>
        <v>119418.23155216304</v>
      </c>
      <c r="I227" s="48">
        <v>4420</v>
      </c>
      <c r="J227" s="48">
        <v>4370</v>
      </c>
      <c r="K227" s="48">
        <f>J227/0.786</f>
        <v>5559.7964376590326</v>
      </c>
      <c r="L227" s="49"/>
      <c r="M227" s="84"/>
      <c r="N227" s="46"/>
      <c r="O227" s="29">
        <v>46088</v>
      </c>
      <c r="P227" s="28">
        <f>DATE(YEAR(O227)+1,MONTH(O227),DAY(O227))-1</f>
        <v>46452</v>
      </c>
    </row>
    <row r="228" spans="2:16" ht="20.149999999999999" customHeight="1" x14ac:dyDescent="0.2">
      <c r="B228" s="25">
        <v>46089</v>
      </c>
      <c r="C228" s="26" t="s">
        <v>727</v>
      </c>
      <c r="D228" s="26" t="s">
        <v>722</v>
      </c>
      <c r="E228" s="26" t="s">
        <v>694</v>
      </c>
      <c r="F228" s="26">
        <v>20260305016</v>
      </c>
      <c r="G228" s="26" t="s">
        <v>725</v>
      </c>
      <c r="H228" s="38">
        <f>H224-K228</f>
        <v>276724.91857506364</v>
      </c>
      <c r="I228" s="38">
        <v>4160</v>
      </c>
      <c r="J228" s="38">
        <v>4220</v>
      </c>
      <c r="K228" s="38">
        <f>J228/0.786</f>
        <v>5368.9567430025445</v>
      </c>
      <c r="L228" s="37"/>
      <c r="M228" s="85"/>
      <c r="N228" s="26"/>
      <c r="O228" s="29">
        <v>46087</v>
      </c>
      <c r="P228" s="28">
        <f>DATE(YEAR(O228)+1,MONTH(O228),DAY(O228))-1</f>
        <v>46451</v>
      </c>
    </row>
    <row r="229" spans="2:16" ht="20.149999999999999" customHeight="1" x14ac:dyDescent="0.2">
      <c r="B229" s="25">
        <v>46089</v>
      </c>
      <c r="C229" s="26" t="s">
        <v>730</v>
      </c>
      <c r="D229" s="26" t="s">
        <v>723</v>
      </c>
      <c r="E229" s="26" t="s">
        <v>694</v>
      </c>
      <c r="F229" s="26">
        <v>20260305017</v>
      </c>
      <c r="G229" s="26" t="s">
        <v>731</v>
      </c>
      <c r="H229" s="38">
        <f>H228-K229</f>
        <v>271254.18066157761</v>
      </c>
      <c r="I229" s="38">
        <v>4350</v>
      </c>
      <c r="J229" s="38">
        <v>4300</v>
      </c>
      <c r="K229" s="38">
        <f>J229/0.786</f>
        <v>5470.7379134860048</v>
      </c>
      <c r="L229" s="37"/>
      <c r="M229" s="85"/>
      <c r="N229" s="26"/>
      <c r="O229" s="29">
        <v>46088</v>
      </c>
      <c r="P229" s="28">
        <f>DATE(YEAR(O229)+1,MONTH(O229),DAY(O229))-1</f>
        <v>46452</v>
      </c>
    </row>
    <row r="230" spans="2:16" ht="20.149999999999999" customHeight="1" x14ac:dyDescent="0.2">
      <c r="B230" s="45">
        <v>46090</v>
      </c>
      <c r="C230" s="46" t="s">
        <v>740</v>
      </c>
      <c r="D230" s="46" t="s">
        <v>734</v>
      </c>
      <c r="E230" s="47" t="s">
        <v>25</v>
      </c>
      <c r="F230" s="47" t="s">
        <v>2191</v>
      </c>
      <c r="G230" s="47" t="s">
        <v>739</v>
      </c>
      <c r="H230" s="48">
        <f>H227-K230</f>
        <v>113831.98982188314</v>
      </c>
      <c r="I230" s="48">
        <v>4420</v>
      </c>
      <c r="J230" s="48">
        <v>4390</v>
      </c>
      <c r="K230" s="48">
        <f>J230/0.786+1</f>
        <v>5586.2417302798976</v>
      </c>
      <c r="L230" s="49"/>
      <c r="M230" s="84"/>
      <c r="N230" s="46"/>
      <c r="O230" s="29">
        <v>46088</v>
      </c>
      <c r="P230" s="28">
        <f t="shared" si="16"/>
        <v>46452</v>
      </c>
    </row>
    <row r="231" spans="2:16" ht="20.149999999999999" customHeight="1" x14ac:dyDescent="0.2">
      <c r="B231" s="25">
        <v>46090</v>
      </c>
      <c r="C231" s="26" t="s">
        <v>738</v>
      </c>
      <c r="D231" s="26" t="s">
        <v>733</v>
      </c>
      <c r="E231" s="26" t="s">
        <v>694</v>
      </c>
      <c r="F231" s="26">
        <v>20260305018</v>
      </c>
      <c r="G231" s="26" t="s">
        <v>737</v>
      </c>
      <c r="H231" s="38">
        <f>H229-K231</f>
        <v>265718.82951653947</v>
      </c>
      <c r="I231" s="38">
        <v>4300</v>
      </c>
      <c r="J231" s="38">
        <v>4350</v>
      </c>
      <c r="K231" s="38">
        <f>J231/0.786+1</f>
        <v>5535.3511450381675</v>
      </c>
      <c r="L231" s="37"/>
      <c r="M231" s="85"/>
      <c r="N231" s="26"/>
      <c r="O231" s="29">
        <v>46088</v>
      </c>
      <c r="P231" s="28">
        <f>DATE(YEAR(O231)+1,MONTH(O231),DAY(O231))-1</f>
        <v>46452</v>
      </c>
    </row>
    <row r="232" spans="2:16" ht="20.149999999999999" customHeight="1" x14ac:dyDescent="0.2">
      <c r="B232" s="45">
        <v>46091</v>
      </c>
      <c r="C232" s="46" t="s">
        <v>745</v>
      </c>
      <c r="D232" s="46" t="s">
        <v>741</v>
      </c>
      <c r="E232" s="47" t="s">
        <v>25</v>
      </c>
      <c r="F232" s="47" t="s">
        <v>2192</v>
      </c>
      <c r="G232" s="47" t="s">
        <v>753</v>
      </c>
      <c r="H232" s="48">
        <f>H230-K232</f>
        <v>108334.80661577627</v>
      </c>
      <c r="I232" s="48">
        <v>4450</v>
      </c>
      <c r="J232" s="48">
        <v>4320</v>
      </c>
      <c r="K232" s="48">
        <f>J232/0.786+1</f>
        <v>5497.1832061068699</v>
      </c>
      <c r="L232" s="49"/>
      <c r="M232" s="84"/>
      <c r="N232" s="46"/>
      <c r="O232" s="29">
        <v>46089</v>
      </c>
      <c r="P232" s="28">
        <f t="shared" si="16"/>
        <v>46453</v>
      </c>
    </row>
    <row r="233" spans="2:16" ht="20.149999999999999" customHeight="1" x14ac:dyDescent="0.2">
      <c r="B233" s="25">
        <v>46091</v>
      </c>
      <c r="C233" s="26" t="s">
        <v>746</v>
      </c>
      <c r="D233" s="26" t="s">
        <v>744</v>
      </c>
      <c r="E233" s="26" t="s">
        <v>694</v>
      </c>
      <c r="F233" s="26">
        <v>20260305019</v>
      </c>
      <c r="G233" s="26" t="s">
        <v>754</v>
      </c>
      <c r="H233" s="38">
        <f>H231-K233</f>
        <v>260438.93129770996</v>
      </c>
      <c r="I233" s="38">
        <v>4170</v>
      </c>
      <c r="J233" s="38">
        <v>4150</v>
      </c>
      <c r="K233" s="38">
        <f>J233/0.786</f>
        <v>5279.8982188295167</v>
      </c>
      <c r="L233" s="37"/>
      <c r="M233" s="85"/>
      <c r="N233" s="26"/>
      <c r="O233" s="29">
        <v>46089</v>
      </c>
      <c r="P233" s="28">
        <f>DATE(YEAR(O233)+1,MONTH(O233),DAY(O233))-1</f>
        <v>46453</v>
      </c>
    </row>
    <row r="234" spans="2:16" ht="20.149999999999999" customHeight="1" x14ac:dyDescent="0.2">
      <c r="B234" s="45">
        <v>46091</v>
      </c>
      <c r="C234" s="46" t="s">
        <v>756</v>
      </c>
      <c r="D234" s="46" t="s">
        <v>747</v>
      </c>
      <c r="E234" s="47" t="s">
        <v>25</v>
      </c>
      <c r="F234" s="47">
        <v>20260305009</v>
      </c>
      <c r="G234" s="47" t="s">
        <v>755</v>
      </c>
      <c r="H234" s="48">
        <f>H232-K234</f>
        <v>102991.29516539459</v>
      </c>
      <c r="I234" s="48">
        <v>4190</v>
      </c>
      <c r="J234" s="48">
        <v>4200</v>
      </c>
      <c r="K234" s="48">
        <f t="shared" si="15"/>
        <v>5343.5114503816794</v>
      </c>
      <c r="L234" s="49"/>
      <c r="M234" s="84"/>
      <c r="N234" s="46"/>
      <c r="O234" s="29">
        <v>46089</v>
      </c>
      <c r="P234" s="28">
        <f t="shared" si="16"/>
        <v>46453</v>
      </c>
    </row>
    <row r="235" spans="2:16" ht="20.149999999999999" customHeight="1" x14ac:dyDescent="0.2">
      <c r="B235" s="45">
        <v>46092</v>
      </c>
      <c r="C235" s="46" t="s">
        <v>751</v>
      </c>
      <c r="D235" s="46" t="s">
        <v>748</v>
      </c>
      <c r="E235" s="47" t="s">
        <v>25</v>
      </c>
      <c r="F235" s="47">
        <v>20260305010</v>
      </c>
      <c r="G235" s="47" t="s">
        <v>757</v>
      </c>
      <c r="H235" s="48">
        <f>H234-K235</f>
        <v>97698.674300254643</v>
      </c>
      <c r="I235" s="48">
        <v>4310</v>
      </c>
      <c r="J235" s="48">
        <v>4160</v>
      </c>
      <c r="K235" s="48">
        <f t="shared" si="15"/>
        <v>5292.6208651399493</v>
      </c>
      <c r="L235" s="49"/>
      <c r="M235" s="84"/>
      <c r="N235" s="46"/>
      <c r="O235" s="29">
        <v>46090</v>
      </c>
      <c r="P235" s="28">
        <f t="shared" si="16"/>
        <v>46454</v>
      </c>
    </row>
    <row r="236" spans="2:16" ht="20.149999999999999" customHeight="1" x14ac:dyDescent="0.2">
      <c r="B236" s="25">
        <v>46092</v>
      </c>
      <c r="C236" s="26" t="s">
        <v>760</v>
      </c>
      <c r="D236" s="26" t="s">
        <v>749</v>
      </c>
      <c r="E236" s="26" t="s">
        <v>694</v>
      </c>
      <c r="F236" s="26">
        <v>20260305020</v>
      </c>
      <c r="G236" s="26" t="s">
        <v>758</v>
      </c>
      <c r="H236" s="38">
        <f>H233-K236</f>
        <v>254992.63867684483</v>
      </c>
      <c r="I236" s="38">
        <v>4470</v>
      </c>
      <c r="J236" s="38">
        <v>4280</v>
      </c>
      <c r="K236" s="38">
        <f>J236/0.786+1</f>
        <v>5446.2926208651397</v>
      </c>
      <c r="L236" s="37"/>
      <c r="M236" s="85"/>
      <c r="N236" s="26"/>
      <c r="O236" s="29">
        <v>46090</v>
      </c>
      <c r="P236" s="28">
        <f>DATE(YEAR(O236)+1,MONTH(O236),DAY(O236))-1</f>
        <v>46454</v>
      </c>
    </row>
    <row r="237" spans="2:16" ht="20.149999999999999" customHeight="1" x14ac:dyDescent="0.2">
      <c r="B237" s="25">
        <v>46092</v>
      </c>
      <c r="C237" s="26" t="s">
        <v>761</v>
      </c>
      <c r="D237" s="26" t="s">
        <v>750</v>
      </c>
      <c r="E237" s="26" t="s">
        <v>694</v>
      </c>
      <c r="F237" s="26">
        <v>20260305021</v>
      </c>
      <c r="G237" s="26" t="s">
        <v>695</v>
      </c>
      <c r="H237" s="38">
        <f>H236-K237</f>
        <v>249471.01017811708</v>
      </c>
      <c r="I237" s="38">
        <v>4350</v>
      </c>
      <c r="J237" s="38">
        <v>4340</v>
      </c>
      <c r="K237" s="38">
        <f>J237/0.786</f>
        <v>5521.628498727735</v>
      </c>
      <c r="L237" s="37"/>
      <c r="M237" s="85"/>
      <c r="N237" s="26"/>
      <c r="O237" s="29">
        <v>46090</v>
      </c>
      <c r="P237" s="28">
        <f>DATE(YEAR(O237)+1,MONTH(O237),DAY(O237))-1</f>
        <v>46454</v>
      </c>
    </row>
    <row r="238" spans="2:16" ht="20.149999999999999" customHeight="1" x14ac:dyDescent="0.2">
      <c r="B238" s="45">
        <v>46093</v>
      </c>
      <c r="C238" s="46" t="s">
        <v>768</v>
      </c>
      <c r="D238" s="46" t="s">
        <v>762</v>
      </c>
      <c r="E238" s="47" t="s">
        <v>25</v>
      </c>
      <c r="F238" s="47">
        <v>20260305011</v>
      </c>
      <c r="G238" s="47" t="s">
        <v>764</v>
      </c>
      <c r="H238" s="48">
        <f>H235-K238</f>
        <v>92037.096692112144</v>
      </c>
      <c r="I238" s="48">
        <v>4340</v>
      </c>
      <c r="J238" s="48">
        <v>4450</v>
      </c>
      <c r="K238" s="48">
        <f t="shared" si="15"/>
        <v>5661.5776081424938</v>
      </c>
      <c r="L238" s="49"/>
      <c r="M238" s="84"/>
      <c r="N238" s="46"/>
      <c r="O238" s="29">
        <v>46091</v>
      </c>
      <c r="P238" s="28">
        <f t="shared" si="16"/>
        <v>46455</v>
      </c>
    </row>
    <row r="239" spans="2:16" ht="20.149999999999999" customHeight="1" x14ac:dyDescent="0.2">
      <c r="B239" s="45">
        <v>46093</v>
      </c>
      <c r="C239" s="46" t="s">
        <v>765</v>
      </c>
      <c r="D239" s="46" t="s">
        <v>763</v>
      </c>
      <c r="E239" s="47" t="s">
        <v>25</v>
      </c>
      <c r="F239" s="47">
        <v>20260305012</v>
      </c>
      <c r="G239" s="47" t="s">
        <v>33</v>
      </c>
      <c r="H239" s="48">
        <f>H238-K239</f>
        <v>86388.241730280075</v>
      </c>
      <c r="I239" s="48">
        <v>4360</v>
      </c>
      <c r="J239" s="48">
        <v>4440</v>
      </c>
      <c r="K239" s="48">
        <f t="shared" ref="K239:K244" si="23">J239/0.786</f>
        <v>5648.8549618320612</v>
      </c>
      <c r="L239" s="49"/>
      <c r="M239" s="84"/>
      <c r="N239" s="46"/>
      <c r="O239" s="29">
        <v>46091</v>
      </c>
      <c r="P239" s="28">
        <f t="shared" ref="P239:P244" si="24">DATE(YEAR(O239)+1,MONTH(O239),DAY(O239))-1</f>
        <v>46455</v>
      </c>
    </row>
    <row r="240" spans="2:16" ht="20.149999999999999" customHeight="1" x14ac:dyDescent="0.2">
      <c r="B240" s="45">
        <v>46094</v>
      </c>
      <c r="C240" s="46" t="s">
        <v>774</v>
      </c>
      <c r="D240" s="46" t="s">
        <v>771</v>
      </c>
      <c r="E240" s="47" t="s">
        <v>25</v>
      </c>
      <c r="F240" s="47">
        <v>20260305013</v>
      </c>
      <c r="G240" s="47" t="s">
        <v>33</v>
      </c>
      <c r="H240" s="48">
        <f>H239-K240</f>
        <v>81006.562340967095</v>
      </c>
      <c r="I240" s="48">
        <v>4240</v>
      </c>
      <c r="J240" s="48">
        <v>4230</v>
      </c>
      <c r="K240" s="48">
        <f t="shared" si="23"/>
        <v>5381.679389312977</v>
      </c>
      <c r="L240" s="49"/>
      <c r="M240" s="84"/>
      <c r="N240" s="46"/>
      <c r="O240" s="29">
        <v>46092</v>
      </c>
      <c r="P240" s="28">
        <f t="shared" si="24"/>
        <v>46456</v>
      </c>
    </row>
    <row r="241" spans="2:16" ht="20.149999999999999" customHeight="1" x14ac:dyDescent="0.2">
      <c r="B241" s="25">
        <v>46094</v>
      </c>
      <c r="C241" s="26" t="s">
        <v>770</v>
      </c>
      <c r="D241" s="26" t="s">
        <v>769</v>
      </c>
      <c r="E241" s="26" t="s">
        <v>694</v>
      </c>
      <c r="F241" s="26">
        <v>20260305022</v>
      </c>
      <c r="G241" s="26" t="s">
        <v>695</v>
      </c>
      <c r="H241" s="38">
        <f>H237-K241</f>
        <v>244164.66666666669</v>
      </c>
      <c r="I241" s="38">
        <v>4280</v>
      </c>
      <c r="J241" s="38">
        <v>4170</v>
      </c>
      <c r="K241" s="38">
        <f>J241/0.786+1</f>
        <v>5306.3435114503818</v>
      </c>
      <c r="L241" s="37"/>
      <c r="M241" s="85"/>
      <c r="N241" s="26"/>
      <c r="O241" s="29">
        <v>46092</v>
      </c>
      <c r="P241" s="28">
        <f t="shared" si="24"/>
        <v>46456</v>
      </c>
    </row>
    <row r="242" spans="2:16" ht="20.149999999999999" customHeight="1" x14ac:dyDescent="0.2">
      <c r="B242" s="25">
        <v>46094</v>
      </c>
      <c r="C242" s="26" t="s">
        <v>775</v>
      </c>
      <c r="D242" s="26" t="s">
        <v>772</v>
      </c>
      <c r="E242" s="26" t="s">
        <v>694</v>
      </c>
      <c r="F242" s="26">
        <v>20260305023</v>
      </c>
      <c r="G242" s="26" t="s">
        <v>773</v>
      </c>
      <c r="H242" s="38">
        <f>H241-K242</f>
        <v>238795.70992366414</v>
      </c>
      <c r="I242" s="38">
        <v>4270</v>
      </c>
      <c r="J242" s="38">
        <v>4220</v>
      </c>
      <c r="K242" s="38">
        <f t="shared" si="23"/>
        <v>5368.9567430025445</v>
      </c>
      <c r="L242" s="37"/>
      <c r="M242" s="85"/>
      <c r="N242" s="26"/>
      <c r="O242" s="29">
        <v>46092</v>
      </c>
      <c r="P242" s="28">
        <f t="shared" si="24"/>
        <v>46456</v>
      </c>
    </row>
    <row r="243" spans="2:16" ht="20.149999999999999" customHeight="1" x14ac:dyDescent="0.2">
      <c r="B243" s="45">
        <v>46095</v>
      </c>
      <c r="C243" s="46" t="s">
        <v>783</v>
      </c>
      <c r="D243" s="46" t="s">
        <v>781</v>
      </c>
      <c r="E243" s="47" t="s">
        <v>25</v>
      </c>
      <c r="F243" s="47">
        <v>20260313005</v>
      </c>
      <c r="G243" s="47" t="s">
        <v>784</v>
      </c>
      <c r="H243" s="48">
        <f>H240-K243</f>
        <v>75598.437659033254</v>
      </c>
      <c r="I243" s="48">
        <v>4210</v>
      </c>
      <c r="J243" s="48">
        <v>4250</v>
      </c>
      <c r="K243" s="48">
        <f>J243/0.786+1</f>
        <v>5408.1246819338421</v>
      </c>
      <c r="L243" s="49"/>
      <c r="M243" s="84"/>
      <c r="N243" s="46"/>
      <c r="O243" s="29">
        <v>46092</v>
      </c>
      <c r="P243" s="28">
        <f t="shared" si="24"/>
        <v>46456</v>
      </c>
    </row>
    <row r="244" spans="2:16" ht="20.149999999999999" customHeight="1" x14ac:dyDescent="0.2">
      <c r="B244" s="45">
        <v>46095</v>
      </c>
      <c r="C244" s="46" t="s">
        <v>785</v>
      </c>
      <c r="D244" s="46" t="s">
        <v>782</v>
      </c>
      <c r="E244" s="47" t="s">
        <v>25</v>
      </c>
      <c r="F244" s="47">
        <v>20260313006</v>
      </c>
      <c r="G244" s="47" t="s">
        <v>26</v>
      </c>
      <c r="H244" s="48">
        <f>H243-K244</f>
        <v>69898.692111959463</v>
      </c>
      <c r="I244" s="48">
        <v>4470</v>
      </c>
      <c r="J244" s="48">
        <v>4480</v>
      </c>
      <c r="K244" s="48">
        <f t="shared" si="23"/>
        <v>5699.7455470737914</v>
      </c>
      <c r="L244" s="49"/>
      <c r="M244" s="84"/>
      <c r="N244" s="46"/>
      <c r="O244" s="29">
        <v>46093</v>
      </c>
      <c r="P244" s="28">
        <f t="shared" si="24"/>
        <v>46457</v>
      </c>
    </row>
    <row r="245" spans="2:16" ht="20.149999999999999" customHeight="1" x14ac:dyDescent="0.2">
      <c r="B245" s="25">
        <v>46095</v>
      </c>
      <c r="C245" s="26" t="s">
        <v>778</v>
      </c>
      <c r="D245" s="26" t="s">
        <v>776</v>
      </c>
      <c r="E245" s="26" t="s">
        <v>694</v>
      </c>
      <c r="F245" s="26">
        <v>20260305024</v>
      </c>
      <c r="G245" s="26" t="s">
        <v>779</v>
      </c>
      <c r="H245" s="38">
        <f>H242-K245</f>
        <v>233426.75318066159</v>
      </c>
      <c r="I245" s="38">
        <v>4290</v>
      </c>
      <c r="J245" s="38">
        <v>4220</v>
      </c>
      <c r="K245" s="38">
        <f t="shared" ref="K245:K275" si="25">J245/0.786</f>
        <v>5368.9567430025445</v>
      </c>
      <c r="L245" s="37"/>
      <c r="M245" s="85"/>
      <c r="N245" s="26"/>
      <c r="O245" s="29">
        <v>46093</v>
      </c>
      <c r="P245" s="28">
        <f t="shared" ref="P245:P301" si="26">DATE(YEAR(O245)+1,MONTH(O245),DAY(O245))-1</f>
        <v>46457</v>
      </c>
    </row>
    <row r="246" spans="2:16" ht="20.149999999999999" customHeight="1" x14ac:dyDescent="0.2">
      <c r="B246" s="25">
        <v>46095</v>
      </c>
      <c r="C246" s="26" t="s">
        <v>780</v>
      </c>
      <c r="D246" s="26" t="s">
        <v>777</v>
      </c>
      <c r="E246" s="26" t="s">
        <v>22</v>
      </c>
      <c r="F246" s="26">
        <v>20260313002</v>
      </c>
      <c r="G246" s="26" t="s">
        <v>695</v>
      </c>
      <c r="H246" s="38">
        <f>H245-K246</f>
        <v>227891.40203562341</v>
      </c>
      <c r="I246" s="38">
        <v>4380</v>
      </c>
      <c r="J246" s="38">
        <v>4350</v>
      </c>
      <c r="K246" s="38">
        <f>J246/0.786+1</f>
        <v>5535.3511450381675</v>
      </c>
      <c r="L246" s="37"/>
      <c r="M246" s="85"/>
      <c r="N246" s="26"/>
      <c r="O246" s="29">
        <v>46093</v>
      </c>
      <c r="P246" s="28">
        <f t="shared" si="26"/>
        <v>46457</v>
      </c>
    </row>
    <row r="247" spans="2:16" ht="20.149999999999999" customHeight="1" x14ac:dyDescent="0.2">
      <c r="B247" s="45">
        <v>46096</v>
      </c>
      <c r="C247" s="46" t="s">
        <v>796</v>
      </c>
      <c r="D247" s="46" t="s">
        <v>794</v>
      </c>
      <c r="E247" s="47" t="s">
        <v>25</v>
      </c>
      <c r="F247" s="47" t="s">
        <v>2193</v>
      </c>
      <c r="G247" s="47" t="s">
        <v>797</v>
      </c>
      <c r="H247" s="48">
        <f>H244-K247</f>
        <v>64338.895674300431</v>
      </c>
      <c r="I247" s="48">
        <v>4370</v>
      </c>
      <c r="J247" s="48">
        <v>4370</v>
      </c>
      <c r="K247" s="48">
        <f>J247/0.786</f>
        <v>5559.7964376590326</v>
      </c>
      <c r="L247" s="49"/>
      <c r="M247" s="84"/>
      <c r="N247" s="46"/>
      <c r="O247" s="29">
        <v>46094</v>
      </c>
      <c r="P247" s="28">
        <f>DATE(YEAR(O247)+1,MONTH(O247),DAY(O247))-1</f>
        <v>46458</v>
      </c>
    </row>
    <row r="248" spans="2:16" ht="20.149999999999999" customHeight="1" x14ac:dyDescent="0.2">
      <c r="B248" s="25">
        <v>46096</v>
      </c>
      <c r="C248" s="26" t="s">
        <v>791</v>
      </c>
      <c r="D248" s="26" t="s">
        <v>789</v>
      </c>
      <c r="E248" s="26" t="s">
        <v>22</v>
      </c>
      <c r="F248" s="26" t="s">
        <v>2194</v>
      </c>
      <c r="G248" s="26" t="s">
        <v>792</v>
      </c>
      <c r="H248" s="38">
        <f>H246-K248</f>
        <v>222560.61323155215</v>
      </c>
      <c r="I248" s="38">
        <v>4210</v>
      </c>
      <c r="J248" s="38">
        <v>4190</v>
      </c>
      <c r="K248" s="38">
        <f t="shared" si="25"/>
        <v>5330.7888040712469</v>
      </c>
      <c r="L248" s="37"/>
      <c r="M248" s="85"/>
      <c r="N248" s="26"/>
      <c r="O248" s="29">
        <v>46094</v>
      </c>
      <c r="P248" s="28">
        <f t="shared" si="26"/>
        <v>46458</v>
      </c>
    </row>
    <row r="249" spans="2:16" ht="20.149999999999999" customHeight="1" x14ac:dyDescent="0.2">
      <c r="B249" s="25">
        <v>46096</v>
      </c>
      <c r="C249" s="26" t="s">
        <v>793</v>
      </c>
      <c r="D249" s="26" t="s">
        <v>790</v>
      </c>
      <c r="E249" s="26" t="s">
        <v>22</v>
      </c>
      <c r="F249" s="26" t="s">
        <v>2195</v>
      </c>
      <c r="G249" s="26" t="s">
        <v>695</v>
      </c>
      <c r="H249" s="38">
        <f>H248-K249</f>
        <v>217051.70737913484</v>
      </c>
      <c r="I249" s="38">
        <v>4370</v>
      </c>
      <c r="J249" s="38">
        <v>4330</v>
      </c>
      <c r="K249" s="38">
        <f t="shared" si="25"/>
        <v>5508.9058524173024</v>
      </c>
      <c r="L249" s="37"/>
      <c r="M249" s="85"/>
      <c r="N249" s="26"/>
      <c r="O249" s="29">
        <v>46094</v>
      </c>
      <c r="P249" s="28">
        <f t="shared" si="26"/>
        <v>46458</v>
      </c>
    </row>
    <row r="250" spans="2:16" ht="20.149999999999999" customHeight="1" x14ac:dyDescent="0.2">
      <c r="B250" s="25">
        <v>46141</v>
      </c>
      <c r="C250" s="26" t="s">
        <v>812</v>
      </c>
      <c r="D250" s="26" t="s">
        <v>811</v>
      </c>
      <c r="E250" s="26" t="s">
        <v>810</v>
      </c>
      <c r="F250" s="26">
        <v>20260427020</v>
      </c>
      <c r="G250" s="26" t="s">
        <v>813</v>
      </c>
      <c r="H250" s="38">
        <f>H249-K250</f>
        <v>211351.96183206106</v>
      </c>
      <c r="I250" s="38">
        <v>5010</v>
      </c>
      <c r="J250" s="38">
        <v>4480</v>
      </c>
      <c r="K250" s="38">
        <f t="shared" si="25"/>
        <v>5699.7455470737914</v>
      </c>
      <c r="L250" s="37"/>
      <c r="M250" s="85"/>
      <c r="N250" s="26"/>
      <c r="O250" s="29">
        <v>46140</v>
      </c>
      <c r="P250" s="28">
        <f t="shared" si="26"/>
        <v>46504</v>
      </c>
    </row>
    <row r="251" spans="2:16" ht="20.149999999999999" customHeight="1" x14ac:dyDescent="0.2">
      <c r="B251" s="25">
        <v>46144</v>
      </c>
      <c r="C251" s="26" t="s">
        <v>818</v>
      </c>
      <c r="D251" s="26" t="s">
        <v>817</v>
      </c>
      <c r="E251" s="26" t="s">
        <v>810</v>
      </c>
      <c r="F251" s="26" t="s">
        <v>2196</v>
      </c>
      <c r="G251" s="26" t="s">
        <v>819</v>
      </c>
      <c r="H251" s="38">
        <f>H250-K251</f>
        <v>205803.88804071245</v>
      </c>
      <c r="I251" s="38">
        <v>4420</v>
      </c>
      <c r="J251" s="38">
        <v>4360</v>
      </c>
      <c r="K251" s="38">
        <f>J251/0.786+1</f>
        <v>5548.0737913486</v>
      </c>
      <c r="L251" s="37"/>
      <c r="M251" s="85"/>
      <c r="N251" s="26"/>
      <c r="O251" s="29">
        <v>46143</v>
      </c>
      <c r="P251" s="28">
        <f t="shared" si="26"/>
        <v>46507</v>
      </c>
    </row>
    <row r="252" spans="2:16" ht="20.149999999999999" customHeight="1" x14ac:dyDescent="0.2">
      <c r="B252" s="25">
        <v>46145</v>
      </c>
      <c r="C252" s="26" t="s">
        <v>821</v>
      </c>
      <c r="D252" s="26" t="s">
        <v>820</v>
      </c>
      <c r="E252" s="26" t="s">
        <v>810</v>
      </c>
      <c r="F252" s="26" t="s">
        <v>2197</v>
      </c>
      <c r="G252" s="26" t="s">
        <v>695</v>
      </c>
      <c r="H252" s="38">
        <f>H251-K252</f>
        <v>200231.36895674298</v>
      </c>
      <c r="I252" s="38">
        <v>4480</v>
      </c>
      <c r="J252" s="38">
        <v>4380</v>
      </c>
      <c r="K252" s="38">
        <f t="shared" si="25"/>
        <v>5572.5190839694651</v>
      </c>
      <c r="L252" s="37"/>
      <c r="M252" s="85"/>
      <c r="N252" s="26"/>
      <c r="O252" s="29">
        <v>46143</v>
      </c>
      <c r="P252" s="28">
        <f t="shared" si="26"/>
        <v>46507</v>
      </c>
    </row>
    <row r="253" spans="2:16" ht="20.149999999999999" customHeight="1" x14ac:dyDescent="0.2">
      <c r="B253" s="45">
        <v>46147</v>
      </c>
      <c r="C253" s="46" t="s">
        <v>825</v>
      </c>
      <c r="D253" s="46" t="s">
        <v>823</v>
      </c>
      <c r="E253" s="46" t="s">
        <v>822</v>
      </c>
      <c r="F253" s="46">
        <v>20260504004</v>
      </c>
      <c r="G253" s="47" t="s">
        <v>718</v>
      </c>
      <c r="H253" s="48">
        <f>H247-K253</f>
        <v>58829.989821883129</v>
      </c>
      <c r="I253" s="48">
        <v>4450</v>
      </c>
      <c r="J253" s="48">
        <v>4330</v>
      </c>
      <c r="K253" s="48">
        <f t="shared" si="25"/>
        <v>5508.9058524173024</v>
      </c>
      <c r="L253" s="49"/>
      <c r="M253" s="84"/>
      <c r="N253" s="46"/>
      <c r="O253" s="29">
        <v>46145</v>
      </c>
      <c r="P253" s="28">
        <f t="shared" si="26"/>
        <v>46509</v>
      </c>
    </row>
    <row r="254" spans="2:16" ht="20.149999999999999" customHeight="1" x14ac:dyDescent="0.2">
      <c r="B254" s="45">
        <v>46147</v>
      </c>
      <c r="C254" s="46" t="s">
        <v>826</v>
      </c>
      <c r="D254" s="46" t="s">
        <v>824</v>
      </c>
      <c r="E254" s="46" t="s">
        <v>822</v>
      </c>
      <c r="F254" s="46">
        <v>20260504005</v>
      </c>
      <c r="G254" s="47" t="s">
        <v>94</v>
      </c>
      <c r="H254" s="48">
        <f t="shared" ref="H254:H259" si="27">H253-K254</f>
        <v>53281.916030534529</v>
      </c>
      <c r="I254" s="48">
        <v>4430</v>
      </c>
      <c r="J254" s="48">
        <v>4360</v>
      </c>
      <c r="K254" s="48">
        <f>J254/0.786+1</f>
        <v>5548.0737913486</v>
      </c>
      <c r="L254" s="49"/>
      <c r="M254" s="84"/>
      <c r="N254" s="46"/>
      <c r="O254" s="29">
        <v>46145</v>
      </c>
      <c r="P254" s="28">
        <f t="shared" si="26"/>
        <v>46509</v>
      </c>
    </row>
    <row r="255" spans="2:16" ht="20.149999999999999" customHeight="1" x14ac:dyDescent="0.2">
      <c r="B255" s="45">
        <v>46148</v>
      </c>
      <c r="C255" s="46" t="s">
        <v>831</v>
      </c>
      <c r="D255" s="46" t="s">
        <v>830</v>
      </c>
      <c r="E255" s="46" t="s">
        <v>822</v>
      </c>
      <c r="F255" s="46" t="s">
        <v>2198</v>
      </c>
      <c r="G255" s="47" t="s">
        <v>33</v>
      </c>
      <c r="H255" s="48">
        <f t="shared" si="27"/>
        <v>47695.674300254628</v>
      </c>
      <c r="I255" s="48">
        <v>4390</v>
      </c>
      <c r="J255" s="48">
        <v>4390</v>
      </c>
      <c r="K255" s="48">
        <f>J255/0.786+1</f>
        <v>5586.2417302798976</v>
      </c>
      <c r="L255" s="49"/>
      <c r="M255" s="84"/>
      <c r="N255" s="46"/>
      <c r="O255" s="29">
        <v>46146</v>
      </c>
      <c r="P255" s="28">
        <f t="shared" si="26"/>
        <v>46510</v>
      </c>
    </row>
    <row r="256" spans="2:16" ht="20.149999999999999" customHeight="1" x14ac:dyDescent="0.2">
      <c r="B256" s="45">
        <v>46149</v>
      </c>
      <c r="C256" s="46" t="s">
        <v>834</v>
      </c>
      <c r="D256" s="46" t="s">
        <v>832</v>
      </c>
      <c r="E256" s="46" t="s">
        <v>822</v>
      </c>
      <c r="F256" s="46" t="s">
        <v>2199</v>
      </c>
      <c r="G256" s="47" t="s">
        <v>33</v>
      </c>
      <c r="H256" s="48">
        <f t="shared" si="27"/>
        <v>42058.541984732998</v>
      </c>
      <c r="I256" s="48">
        <v>4450</v>
      </c>
      <c r="J256" s="48">
        <v>4430</v>
      </c>
      <c r="K256" s="48">
        <f>J256/0.786+1</f>
        <v>5637.1323155216287</v>
      </c>
      <c r="L256" s="49"/>
      <c r="M256" s="84"/>
      <c r="N256" s="46"/>
      <c r="O256" s="29">
        <v>46146</v>
      </c>
      <c r="P256" s="28">
        <f t="shared" si="26"/>
        <v>46510</v>
      </c>
    </row>
    <row r="257" spans="2:16" ht="20.149999999999999" customHeight="1" x14ac:dyDescent="0.2">
      <c r="B257" s="45">
        <v>46149</v>
      </c>
      <c r="C257" s="46" t="s">
        <v>835</v>
      </c>
      <c r="D257" s="46" t="s">
        <v>833</v>
      </c>
      <c r="E257" s="46" t="s">
        <v>822</v>
      </c>
      <c r="F257" s="46" t="s">
        <v>2200</v>
      </c>
      <c r="G257" s="47" t="s">
        <v>33</v>
      </c>
      <c r="H257" s="48">
        <f t="shared" si="27"/>
        <v>36574.081424936558</v>
      </c>
      <c r="I257" s="48">
        <v>4290</v>
      </c>
      <c r="J257" s="48">
        <v>4310</v>
      </c>
      <c r="K257" s="48">
        <f>J257/0.786+1</f>
        <v>5484.4605597964373</v>
      </c>
      <c r="L257" s="49"/>
      <c r="M257" s="84"/>
      <c r="N257" s="46"/>
      <c r="O257" s="29">
        <v>46147</v>
      </c>
      <c r="P257" s="28">
        <f t="shared" si="26"/>
        <v>46511</v>
      </c>
    </row>
    <row r="258" spans="2:16" ht="20.149999999999999" customHeight="1" x14ac:dyDescent="0.2">
      <c r="B258" s="45">
        <v>46150</v>
      </c>
      <c r="C258" s="46" t="s">
        <v>839</v>
      </c>
      <c r="D258" s="46" t="s">
        <v>837</v>
      </c>
      <c r="E258" s="46" t="s">
        <v>822</v>
      </c>
      <c r="F258" s="46" t="s">
        <v>2201</v>
      </c>
      <c r="G258" s="47" t="s">
        <v>26</v>
      </c>
      <c r="H258" s="48">
        <f t="shared" si="27"/>
        <v>31014.284987277526</v>
      </c>
      <c r="I258" s="48">
        <v>4370</v>
      </c>
      <c r="J258" s="48">
        <v>4370</v>
      </c>
      <c r="K258" s="48">
        <f t="shared" si="25"/>
        <v>5559.7964376590326</v>
      </c>
      <c r="L258" s="49"/>
      <c r="M258" s="84"/>
      <c r="N258" s="46"/>
      <c r="O258" s="29">
        <v>46147</v>
      </c>
      <c r="P258" s="28">
        <f t="shared" si="26"/>
        <v>46511</v>
      </c>
    </row>
    <row r="259" spans="2:16" ht="20.149999999999999" customHeight="1" x14ac:dyDescent="0.2">
      <c r="B259" s="45">
        <v>46150</v>
      </c>
      <c r="C259" s="46" t="s">
        <v>840</v>
      </c>
      <c r="D259" s="46" t="s">
        <v>838</v>
      </c>
      <c r="E259" s="46" t="s">
        <v>822</v>
      </c>
      <c r="F259" s="46" t="s">
        <v>2202</v>
      </c>
      <c r="G259" s="47" t="s">
        <v>26</v>
      </c>
      <c r="H259" s="48">
        <f t="shared" si="27"/>
        <v>25492.65648854979</v>
      </c>
      <c r="I259" s="48">
        <v>4450</v>
      </c>
      <c r="J259" s="48">
        <v>4340</v>
      </c>
      <c r="K259" s="48">
        <f t="shared" si="25"/>
        <v>5521.628498727735</v>
      </c>
      <c r="L259" s="49"/>
      <c r="M259" s="84"/>
      <c r="N259" s="46"/>
      <c r="O259" s="29">
        <v>46147</v>
      </c>
      <c r="P259" s="28">
        <f t="shared" si="26"/>
        <v>46511</v>
      </c>
    </row>
    <row r="260" spans="2:16" ht="20.149999999999999" customHeight="1" x14ac:dyDescent="0.2">
      <c r="B260" s="25">
        <v>46150</v>
      </c>
      <c r="C260" s="26" t="s">
        <v>843</v>
      </c>
      <c r="D260" s="26" t="s">
        <v>841</v>
      </c>
      <c r="E260" s="26" t="s">
        <v>22</v>
      </c>
      <c r="F260" s="26">
        <v>20260507009</v>
      </c>
      <c r="G260" s="26" t="s">
        <v>695</v>
      </c>
      <c r="H260" s="38">
        <f>H252-K260</f>
        <v>194633.40458015265</v>
      </c>
      <c r="I260" s="38">
        <v>4360</v>
      </c>
      <c r="J260" s="38">
        <v>4400</v>
      </c>
      <c r="K260" s="38">
        <f>J260/0.786</f>
        <v>5597.9643765903302</v>
      </c>
      <c r="L260" s="37"/>
      <c r="M260" s="85"/>
      <c r="N260" s="26"/>
      <c r="O260" s="29">
        <v>46148</v>
      </c>
      <c r="P260" s="28">
        <f>DATE(YEAR(O260)+1,MONTH(O260),DAY(O260))-1</f>
        <v>46512</v>
      </c>
    </row>
    <row r="261" spans="2:16" ht="20.149999999999999" customHeight="1" x14ac:dyDescent="0.2">
      <c r="B261" s="25">
        <v>46150</v>
      </c>
      <c r="C261" s="26" t="s">
        <v>844</v>
      </c>
      <c r="D261" s="26" t="s">
        <v>842</v>
      </c>
      <c r="E261" s="26" t="s">
        <v>22</v>
      </c>
      <c r="F261" s="26">
        <v>20260507010</v>
      </c>
      <c r="G261" s="26" t="s">
        <v>695</v>
      </c>
      <c r="H261" s="38">
        <f>H260-K261</f>
        <v>189124.49872773534</v>
      </c>
      <c r="I261" s="38">
        <v>4260</v>
      </c>
      <c r="J261" s="38">
        <v>4330</v>
      </c>
      <c r="K261" s="38">
        <f>J261/0.786</f>
        <v>5508.9058524173024</v>
      </c>
      <c r="L261" s="37"/>
      <c r="M261" s="85"/>
      <c r="N261" s="26"/>
      <c r="O261" s="29">
        <v>46148</v>
      </c>
      <c r="P261" s="28">
        <f>DATE(YEAR(O261)+1,MONTH(O261),DAY(O261))-1</f>
        <v>46512</v>
      </c>
    </row>
    <row r="262" spans="2:16" ht="20.149999999999999" customHeight="1" x14ac:dyDescent="0.2">
      <c r="B262" s="45">
        <v>46151</v>
      </c>
      <c r="C262" s="46" t="s">
        <v>848</v>
      </c>
      <c r="D262" s="46" t="s">
        <v>845</v>
      </c>
      <c r="E262" s="46" t="s">
        <v>822</v>
      </c>
      <c r="F262" s="46" t="s">
        <v>2203</v>
      </c>
      <c r="G262" s="47" t="s">
        <v>26</v>
      </c>
      <c r="H262" s="48">
        <f>H259-K262</f>
        <v>20149.14503816811</v>
      </c>
      <c r="I262" s="48">
        <v>4150</v>
      </c>
      <c r="J262" s="48">
        <v>4200</v>
      </c>
      <c r="K262" s="48">
        <f t="shared" si="25"/>
        <v>5343.5114503816794</v>
      </c>
      <c r="L262" s="49"/>
      <c r="M262" s="84"/>
      <c r="N262" s="46"/>
      <c r="O262" s="29">
        <v>46149</v>
      </c>
      <c r="P262" s="28">
        <f t="shared" si="26"/>
        <v>46513</v>
      </c>
    </row>
    <row r="263" spans="2:16" ht="20.149999999999999" customHeight="1" x14ac:dyDescent="0.2">
      <c r="B263" s="25">
        <v>46151</v>
      </c>
      <c r="C263" s="26" t="s">
        <v>849</v>
      </c>
      <c r="D263" s="26" t="s">
        <v>846</v>
      </c>
      <c r="E263" s="26" t="s">
        <v>22</v>
      </c>
      <c r="F263" s="26">
        <v>20260507011</v>
      </c>
      <c r="G263" s="26" t="s">
        <v>695</v>
      </c>
      <c r="H263" s="38">
        <f>H261-K263</f>
        <v>183665.48346055977</v>
      </c>
      <c r="I263" s="38">
        <v>4360</v>
      </c>
      <c r="J263" s="38">
        <v>4290</v>
      </c>
      <c r="K263" s="38">
        <f>J263/0.786+1</f>
        <v>5459.0152671755723</v>
      </c>
      <c r="L263" s="37"/>
      <c r="M263" s="85"/>
      <c r="N263" s="26"/>
      <c r="O263" s="29">
        <v>46148</v>
      </c>
      <c r="P263" s="28">
        <f>DATE(YEAR(O263)+1,MONTH(O263),DAY(O263))-1</f>
        <v>46512</v>
      </c>
    </row>
    <row r="264" spans="2:16" ht="20.149999999999999" customHeight="1" x14ac:dyDescent="0.2">
      <c r="B264" s="25">
        <v>46151</v>
      </c>
      <c r="C264" s="26" t="s">
        <v>850</v>
      </c>
      <c r="D264" s="26" t="s">
        <v>847</v>
      </c>
      <c r="E264" s="26" t="s">
        <v>22</v>
      </c>
      <c r="F264" s="26">
        <v>20260507012</v>
      </c>
      <c r="G264" s="26" t="s">
        <v>695</v>
      </c>
      <c r="H264" s="38">
        <f>H263-K264</f>
        <v>178283.80407124679</v>
      </c>
      <c r="I264" s="38">
        <v>4320</v>
      </c>
      <c r="J264" s="38">
        <v>4230</v>
      </c>
      <c r="K264" s="38">
        <f>J264/0.786</f>
        <v>5381.679389312977</v>
      </c>
      <c r="L264" s="37"/>
      <c r="M264" s="85"/>
      <c r="N264" s="26"/>
      <c r="O264" s="29">
        <v>46149</v>
      </c>
      <c r="P264" s="28">
        <f>DATE(YEAR(O264)+1,MONTH(O264),DAY(O264))-1</f>
        <v>46513</v>
      </c>
    </row>
    <row r="265" spans="2:16" ht="20.149999999999999" customHeight="1" x14ac:dyDescent="0.2">
      <c r="B265" s="45">
        <v>46152</v>
      </c>
      <c r="C265" s="46" t="s">
        <v>855</v>
      </c>
      <c r="D265" s="46" t="s">
        <v>851</v>
      </c>
      <c r="E265" s="46" t="s">
        <v>822</v>
      </c>
      <c r="F265" s="46" t="s">
        <v>2204</v>
      </c>
      <c r="G265" s="47" t="s">
        <v>856</v>
      </c>
      <c r="H265" s="48">
        <f>H262-K265</f>
        <v>14741.020356234269</v>
      </c>
      <c r="I265" s="48">
        <v>4250</v>
      </c>
      <c r="J265" s="48">
        <v>4250</v>
      </c>
      <c r="K265" s="48">
        <f>J265/0.786+1</f>
        <v>5408.1246819338421</v>
      </c>
      <c r="L265" s="49"/>
      <c r="M265" s="84"/>
      <c r="N265" s="46"/>
      <c r="O265" s="29">
        <v>46150</v>
      </c>
      <c r="P265" s="28">
        <f t="shared" si="26"/>
        <v>46514</v>
      </c>
    </row>
    <row r="266" spans="2:16" ht="20.149999999999999" customHeight="1" x14ac:dyDescent="0.2">
      <c r="B266" s="45">
        <v>46152</v>
      </c>
      <c r="C266" s="46" t="s">
        <v>858</v>
      </c>
      <c r="D266" s="46" t="s">
        <v>852</v>
      </c>
      <c r="E266" s="46" t="s">
        <v>822</v>
      </c>
      <c r="F266" s="46" t="s">
        <v>2205</v>
      </c>
      <c r="G266" s="47" t="s">
        <v>33</v>
      </c>
      <c r="H266" s="48">
        <f>3361-K266</f>
        <v>0</v>
      </c>
      <c r="I266" s="48">
        <v>4300</v>
      </c>
      <c r="J266" s="48">
        <v>4350</v>
      </c>
      <c r="K266" s="48">
        <v>3361</v>
      </c>
      <c r="L266" s="49"/>
      <c r="M266" s="84"/>
      <c r="N266" s="46"/>
      <c r="O266" s="29">
        <v>46150</v>
      </c>
      <c r="P266" s="28">
        <f>DATE(YEAR(O266)+1,MONTH(O266),DAY(O266))-1</f>
        <v>46514</v>
      </c>
    </row>
    <row r="267" spans="2:16" ht="20.149999999999999" customHeight="1" x14ac:dyDescent="0.2">
      <c r="B267" s="34"/>
      <c r="C267" s="35"/>
      <c r="D267" s="35"/>
      <c r="E267" s="35"/>
      <c r="F267" s="35"/>
      <c r="G267" s="59" t="s">
        <v>888</v>
      </c>
      <c r="H267" s="43">
        <f>770000-K267</f>
        <v>767826</v>
      </c>
      <c r="I267" s="43"/>
      <c r="J267" s="43"/>
      <c r="K267" s="43">
        <v>2174</v>
      </c>
      <c r="L267" s="44"/>
      <c r="M267" s="92"/>
      <c r="N267" s="35"/>
    </row>
    <row r="268" spans="2:16" ht="20.149999999999999" customHeight="1" x14ac:dyDescent="0.2">
      <c r="B268" s="25">
        <v>46152</v>
      </c>
      <c r="C268" s="26" t="s">
        <v>859</v>
      </c>
      <c r="D268" s="26" t="s">
        <v>62</v>
      </c>
      <c r="E268" s="26" t="s">
        <v>22</v>
      </c>
      <c r="F268" s="26">
        <v>20260507013</v>
      </c>
      <c r="G268" s="26" t="s">
        <v>857</v>
      </c>
      <c r="H268" s="38">
        <f>H264-K268</f>
        <v>172813.0661577608</v>
      </c>
      <c r="I268" s="38">
        <v>4270</v>
      </c>
      <c r="J268" s="38">
        <v>4300</v>
      </c>
      <c r="K268" s="38">
        <f>J268/0.786</f>
        <v>5470.7379134860048</v>
      </c>
      <c r="L268" s="37"/>
      <c r="M268" s="85"/>
      <c r="N268" s="26"/>
      <c r="O268" s="29">
        <v>46149</v>
      </c>
      <c r="P268" s="28">
        <f>DATE(YEAR(O268)+1,MONTH(O268),DAY(O268))-1</f>
        <v>46513</v>
      </c>
    </row>
    <row r="269" spans="2:16" ht="20.149999999999999" customHeight="1" x14ac:dyDescent="0.2">
      <c r="B269" s="25">
        <v>46152</v>
      </c>
      <c r="C269" s="26" t="s">
        <v>860</v>
      </c>
      <c r="D269" s="26" t="s">
        <v>853</v>
      </c>
      <c r="E269" s="26" t="s">
        <v>22</v>
      </c>
      <c r="F269" s="26">
        <v>20260507014</v>
      </c>
      <c r="G269" s="26" t="s">
        <v>854</v>
      </c>
      <c r="H269" s="38">
        <f>H268-K269</f>
        <v>167354.05089058523</v>
      </c>
      <c r="I269" s="38">
        <v>4350</v>
      </c>
      <c r="J269" s="38">
        <v>4290</v>
      </c>
      <c r="K269" s="38">
        <f>J269/0.786+1</f>
        <v>5459.0152671755723</v>
      </c>
      <c r="L269" s="37"/>
      <c r="M269" s="85"/>
      <c r="N269" s="26"/>
      <c r="O269" s="29">
        <v>46150</v>
      </c>
      <c r="P269" s="28">
        <f>DATE(YEAR(O269)+1,MONTH(O269),DAY(O269))-1</f>
        <v>46514</v>
      </c>
    </row>
    <row r="270" spans="2:16" ht="20.149999999999999" customHeight="1" x14ac:dyDescent="0.2">
      <c r="B270" s="34">
        <v>46153</v>
      </c>
      <c r="C270" s="35" t="s">
        <v>864</v>
      </c>
      <c r="D270" s="35" t="s">
        <v>861</v>
      </c>
      <c r="E270" s="35" t="s">
        <v>822</v>
      </c>
      <c r="F270" s="35" t="s">
        <v>2206</v>
      </c>
      <c r="G270" s="59" t="s">
        <v>836</v>
      </c>
      <c r="H270" s="43">
        <f>H267-K270</f>
        <v>762328.81679389311</v>
      </c>
      <c r="I270" s="43">
        <v>4370</v>
      </c>
      <c r="J270" s="43">
        <v>4320</v>
      </c>
      <c r="K270" s="43">
        <f>J270/0.786+1</f>
        <v>5497.1832061068699</v>
      </c>
      <c r="L270" s="44"/>
      <c r="M270" s="92"/>
      <c r="N270" s="35"/>
      <c r="O270" s="29">
        <v>46151</v>
      </c>
      <c r="P270" s="28">
        <f t="shared" si="26"/>
        <v>46515</v>
      </c>
    </row>
    <row r="271" spans="2:16" ht="20.149999999999999" customHeight="1" x14ac:dyDescent="0.2">
      <c r="B271" s="25">
        <v>46153</v>
      </c>
      <c r="C271" s="26" t="s">
        <v>868</v>
      </c>
      <c r="D271" s="26" t="s">
        <v>862</v>
      </c>
      <c r="E271" s="26" t="s">
        <v>22</v>
      </c>
      <c r="F271" s="26">
        <v>20260507015</v>
      </c>
      <c r="G271" s="26" t="s">
        <v>866</v>
      </c>
      <c r="H271" s="38">
        <f>H269-K271</f>
        <v>161666.02798982189</v>
      </c>
      <c r="I271" s="38">
        <v>4360</v>
      </c>
      <c r="J271" s="38">
        <v>4470</v>
      </c>
      <c r="K271" s="38">
        <f>J271/0.786+1</f>
        <v>5688.0229007633588</v>
      </c>
      <c r="L271" s="37"/>
      <c r="M271" s="85"/>
      <c r="N271" s="26"/>
      <c r="O271" s="29">
        <v>46150</v>
      </c>
      <c r="P271" s="28">
        <f>DATE(YEAR(O271)+1,MONTH(O271),DAY(O271))-1</f>
        <v>46514</v>
      </c>
    </row>
    <row r="272" spans="2:16" ht="20.149999999999999" customHeight="1" x14ac:dyDescent="0.2">
      <c r="B272" s="25">
        <v>46153</v>
      </c>
      <c r="C272" s="26" t="s">
        <v>865</v>
      </c>
      <c r="D272" s="26" t="s">
        <v>863</v>
      </c>
      <c r="E272" s="26" t="s">
        <v>22</v>
      </c>
      <c r="F272" s="26">
        <v>20260507016</v>
      </c>
      <c r="G272" s="26" t="s">
        <v>867</v>
      </c>
      <c r="H272" s="38">
        <f>H271-K272</f>
        <v>156233.45801526718</v>
      </c>
      <c r="I272" s="38">
        <v>4200</v>
      </c>
      <c r="J272" s="38">
        <v>4270</v>
      </c>
      <c r="K272" s="38">
        <f>J272/0.786</f>
        <v>5432.5699745547072</v>
      </c>
      <c r="L272" s="37"/>
      <c r="M272" s="85"/>
      <c r="N272" s="26"/>
      <c r="O272" s="29">
        <v>46151</v>
      </c>
      <c r="P272" s="28">
        <f>DATE(YEAR(O272)+1,MONTH(O272),DAY(O272))-1</f>
        <v>46515</v>
      </c>
    </row>
    <row r="273" spans="2:16" ht="20.149999999999999" customHeight="1" x14ac:dyDescent="0.2">
      <c r="B273" s="34">
        <v>46154</v>
      </c>
      <c r="C273" s="35" t="s">
        <v>873</v>
      </c>
      <c r="D273" s="35" t="s">
        <v>869</v>
      </c>
      <c r="E273" s="35" t="s">
        <v>822</v>
      </c>
      <c r="F273" s="35" t="s">
        <v>2207</v>
      </c>
      <c r="G273" s="59" t="s">
        <v>836</v>
      </c>
      <c r="H273" s="43">
        <f>H270-K273</f>
        <v>756844.35623409669</v>
      </c>
      <c r="I273" s="43">
        <v>4380</v>
      </c>
      <c r="J273" s="43">
        <v>4310</v>
      </c>
      <c r="K273" s="43">
        <f>J273/0.786+1</f>
        <v>5484.4605597964373</v>
      </c>
      <c r="L273" s="44"/>
      <c r="M273" s="92"/>
      <c r="N273" s="35"/>
      <c r="O273" s="29">
        <v>46151</v>
      </c>
      <c r="P273" s="28">
        <f>DATE(YEAR(O273)+1,MONTH(O273),DAY(O273))-1</f>
        <v>46515</v>
      </c>
    </row>
    <row r="274" spans="2:16" ht="20.149999999999999" customHeight="1" x14ac:dyDescent="0.2">
      <c r="B274" s="34">
        <v>46154</v>
      </c>
      <c r="C274" s="35" t="s">
        <v>875</v>
      </c>
      <c r="D274" s="35" t="s">
        <v>870</v>
      </c>
      <c r="E274" s="35" t="s">
        <v>25</v>
      </c>
      <c r="F274" s="35">
        <v>20260511017</v>
      </c>
      <c r="G274" s="59" t="s">
        <v>874</v>
      </c>
      <c r="H274" s="43">
        <f>H273-K274</f>
        <v>751525.29007633589</v>
      </c>
      <c r="I274" s="43">
        <v>4190</v>
      </c>
      <c r="J274" s="43">
        <v>4180</v>
      </c>
      <c r="K274" s="43">
        <f>J274/0.786+1</f>
        <v>5319.0661577608143</v>
      </c>
      <c r="L274" s="44"/>
      <c r="M274" s="92"/>
      <c r="N274" s="35"/>
      <c r="O274" s="29">
        <v>46152</v>
      </c>
      <c r="P274" s="28">
        <f>DATE(YEAR(O274)+1,MONTH(O274),DAY(O274))-1</f>
        <v>46516</v>
      </c>
    </row>
    <row r="275" spans="2:16" ht="20.149999999999999" customHeight="1" x14ac:dyDescent="0.2">
      <c r="B275" s="25">
        <v>46154</v>
      </c>
      <c r="C275" s="26" t="s">
        <v>877</v>
      </c>
      <c r="D275" s="26" t="s">
        <v>871</v>
      </c>
      <c r="E275" s="26" t="s">
        <v>22</v>
      </c>
      <c r="F275" s="26">
        <v>20260507017</v>
      </c>
      <c r="G275" s="26" t="s">
        <v>876</v>
      </c>
      <c r="H275" s="38">
        <f>H272-K275</f>
        <v>150762.72010178119</v>
      </c>
      <c r="I275" s="38">
        <v>4270</v>
      </c>
      <c r="J275" s="38">
        <v>4300</v>
      </c>
      <c r="K275" s="38">
        <f t="shared" si="25"/>
        <v>5470.7379134860048</v>
      </c>
      <c r="L275" s="37"/>
      <c r="M275" s="85"/>
      <c r="N275" s="26"/>
      <c r="O275" s="29">
        <v>46152</v>
      </c>
      <c r="P275" s="28">
        <f t="shared" si="26"/>
        <v>46516</v>
      </c>
    </row>
    <row r="276" spans="2:16" ht="20.149999999999999" customHeight="1" x14ac:dyDescent="0.2">
      <c r="B276" s="25">
        <v>46154</v>
      </c>
      <c r="C276" s="26" t="s">
        <v>878</v>
      </c>
      <c r="D276" s="26" t="s">
        <v>872</v>
      </c>
      <c r="E276" s="26" t="s">
        <v>22</v>
      </c>
      <c r="F276" s="26">
        <v>20260511002</v>
      </c>
      <c r="G276" s="26" t="s">
        <v>695</v>
      </c>
      <c r="H276" s="38">
        <f>H275-K276</f>
        <v>145253.81424936387</v>
      </c>
      <c r="I276" s="38">
        <v>4330</v>
      </c>
      <c r="J276" s="38">
        <v>4330</v>
      </c>
      <c r="K276" s="38">
        <f t="shared" ref="K276" si="28">J276/0.786</f>
        <v>5508.9058524173024</v>
      </c>
      <c r="L276" s="37"/>
      <c r="M276" s="85"/>
      <c r="N276" s="26"/>
      <c r="O276" s="29">
        <v>46152</v>
      </c>
      <c r="P276" s="28">
        <f t="shared" si="26"/>
        <v>46516</v>
      </c>
    </row>
    <row r="277" spans="2:16" ht="20.149999999999999" customHeight="1" x14ac:dyDescent="0.2">
      <c r="B277" s="34">
        <v>46155</v>
      </c>
      <c r="C277" s="35" t="s">
        <v>885</v>
      </c>
      <c r="D277" s="35" t="s">
        <v>880</v>
      </c>
      <c r="E277" s="35" t="s">
        <v>25</v>
      </c>
      <c r="F277" s="35">
        <v>20260511018</v>
      </c>
      <c r="G277" s="59" t="s">
        <v>884</v>
      </c>
      <c r="H277" s="43">
        <f>H274-K277</f>
        <v>746003.6615776082</v>
      </c>
      <c r="I277" s="43">
        <v>4340</v>
      </c>
      <c r="J277" s="43">
        <v>4340</v>
      </c>
      <c r="K277" s="43">
        <f>J277/0.786</f>
        <v>5521.628498727735</v>
      </c>
      <c r="L277" s="44"/>
      <c r="M277" s="92"/>
      <c r="N277" s="35"/>
      <c r="O277" s="29">
        <v>46153</v>
      </c>
      <c r="P277" s="28">
        <f t="shared" si="26"/>
        <v>46517</v>
      </c>
    </row>
    <row r="278" spans="2:16" ht="20.149999999999999" customHeight="1" x14ac:dyDescent="0.2">
      <c r="B278" s="34">
        <v>46155</v>
      </c>
      <c r="C278" s="35" t="s">
        <v>890</v>
      </c>
      <c r="D278" s="35" t="s">
        <v>71</v>
      </c>
      <c r="E278" s="35" t="s">
        <v>25</v>
      </c>
      <c r="F278" s="35">
        <v>20260511019</v>
      </c>
      <c r="G278" s="59" t="s">
        <v>836</v>
      </c>
      <c r="H278" s="43">
        <f>H277-K278</f>
        <v>740621.98218829522</v>
      </c>
      <c r="I278" s="43">
        <v>4310</v>
      </c>
      <c r="J278" s="43">
        <v>4230</v>
      </c>
      <c r="K278" s="43">
        <f>J278/0.786</f>
        <v>5381.679389312977</v>
      </c>
      <c r="L278" s="44"/>
      <c r="M278" s="92"/>
      <c r="N278" s="35"/>
      <c r="O278" s="29">
        <v>46154</v>
      </c>
      <c r="P278" s="28">
        <f t="shared" si="26"/>
        <v>46518</v>
      </c>
    </row>
    <row r="279" spans="2:16" ht="20.149999999999999" customHeight="1" x14ac:dyDescent="0.2">
      <c r="B279" s="25">
        <v>46155</v>
      </c>
      <c r="C279" s="26" t="s">
        <v>879</v>
      </c>
      <c r="D279" s="26" t="s">
        <v>881</v>
      </c>
      <c r="E279" s="26" t="s">
        <v>22</v>
      </c>
      <c r="F279" s="26" t="s">
        <v>2208</v>
      </c>
      <c r="G279" s="26" t="s">
        <v>886</v>
      </c>
      <c r="H279" s="38">
        <f>H276-K279</f>
        <v>139681.2951653944</v>
      </c>
      <c r="I279" s="38">
        <v>4370</v>
      </c>
      <c r="J279" s="38">
        <v>4380</v>
      </c>
      <c r="K279" s="38">
        <f t="shared" ref="K279:K301" si="29">J279/0.786</f>
        <v>5572.5190839694651</v>
      </c>
      <c r="L279" s="37"/>
      <c r="M279" s="85"/>
      <c r="N279" s="26"/>
      <c r="O279" s="29">
        <v>46152</v>
      </c>
      <c r="P279" s="28">
        <f t="shared" si="26"/>
        <v>46516</v>
      </c>
    </row>
    <row r="280" spans="2:16" ht="20.149999999999999" customHeight="1" x14ac:dyDescent="0.2">
      <c r="B280" s="25">
        <v>46155</v>
      </c>
      <c r="C280" s="26" t="s">
        <v>889</v>
      </c>
      <c r="D280" s="26" t="s">
        <v>882</v>
      </c>
      <c r="E280" s="26" t="s">
        <v>22</v>
      </c>
      <c r="F280" s="26" t="s">
        <v>2209</v>
      </c>
      <c r="G280" s="26" t="s">
        <v>695</v>
      </c>
      <c r="H280" s="38">
        <f>H279-K280</f>
        <v>134121.49872773536</v>
      </c>
      <c r="I280" s="38">
        <v>4430</v>
      </c>
      <c r="J280" s="38">
        <v>4370</v>
      </c>
      <c r="K280" s="38">
        <f t="shared" si="29"/>
        <v>5559.7964376590326</v>
      </c>
      <c r="L280" s="37"/>
      <c r="M280" s="85"/>
      <c r="N280" s="26"/>
      <c r="O280" s="29">
        <v>46154</v>
      </c>
      <c r="P280" s="28">
        <f t="shared" si="26"/>
        <v>46518</v>
      </c>
    </row>
    <row r="281" spans="2:16" ht="20.149999999999999" customHeight="1" x14ac:dyDescent="0.2">
      <c r="B281" s="34">
        <v>46156</v>
      </c>
      <c r="C281" s="35" t="s">
        <v>895</v>
      </c>
      <c r="D281" s="35" t="s">
        <v>891</v>
      </c>
      <c r="E281" s="35" t="s">
        <v>25</v>
      </c>
      <c r="F281" s="35">
        <v>20260511020</v>
      </c>
      <c r="G281" s="59" t="s">
        <v>836</v>
      </c>
      <c r="H281" s="43">
        <f>H278-K281</f>
        <v>735113.07633587788</v>
      </c>
      <c r="I281" s="43">
        <v>4300</v>
      </c>
      <c r="J281" s="43">
        <v>4330</v>
      </c>
      <c r="K281" s="43">
        <f>J281/0.786</f>
        <v>5508.9058524173024</v>
      </c>
      <c r="L281" s="44"/>
      <c r="M281" s="92"/>
      <c r="N281" s="35"/>
      <c r="O281" s="29">
        <v>46154</v>
      </c>
      <c r="P281" s="28">
        <f t="shared" si="26"/>
        <v>46518</v>
      </c>
    </row>
    <row r="282" spans="2:16" ht="20.149999999999999" customHeight="1" x14ac:dyDescent="0.2">
      <c r="B282" s="25">
        <v>46156</v>
      </c>
      <c r="C282" s="26" t="s">
        <v>896</v>
      </c>
      <c r="D282" s="26" t="s">
        <v>892</v>
      </c>
      <c r="E282" s="26" t="s">
        <v>22</v>
      </c>
      <c r="F282" s="26">
        <v>20260511005</v>
      </c>
      <c r="G282" s="26" t="s">
        <v>695</v>
      </c>
      <c r="H282" s="38">
        <f>H280-K282</f>
        <v>128675.20610687023</v>
      </c>
      <c r="I282" s="38">
        <v>4280</v>
      </c>
      <c r="J282" s="38">
        <v>4280</v>
      </c>
      <c r="K282" s="38">
        <f>J282/0.786+1</f>
        <v>5446.2926208651397</v>
      </c>
      <c r="L282" s="37"/>
      <c r="M282" s="85"/>
      <c r="N282" s="26"/>
      <c r="O282" s="29">
        <v>46155</v>
      </c>
      <c r="P282" s="28">
        <f t="shared" si="26"/>
        <v>46519</v>
      </c>
    </row>
    <row r="283" spans="2:16" ht="20.149999999999999" customHeight="1" x14ac:dyDescent="0.2">
      <c r="B283" s="25">
        <v>46156</v>
      </c>
      <c r="C283" s="26" t="s">
        <v>897</v>
      </c>
      <c r="D283" s="26" t="s">
        <v>893</v>
      </c>
      <c r="E283" s="26" t="s">
        <v>22</v>
      </c>
      <c r="F283" s="26" t="s">
        <v>2210</v>
      </c>
      <c r="G283" s="26" t="s">
        <v>695</v>
      </c>
      <c r="H283" s="38">
        <f>H282-K283</f>
        <v>123356.13994910942</v>
      </c>
      <c r="I283" s="38">
        <v>4260</v>
      </c>
      <c r="J283" s="38">
        <v>4180</v>
      </c>
      <c r="K283" s="38">
        <f>J283/0.786+1</f>
        <v>5319.0661577608143</v>
      </c>
      <c r="L283" s="37"/>
      <c r="M283" s="85"/>
      <c r="N283" s="26"/>
      <c r="O283" s="29">
        <v>46155</v>
      </c>
      <c r="P283" s="28">
        <f t="shared" si="26"/>
        <v>46519</v>
      </c>
    </row>
    <row r="284" spans="2:16" ht="20.149999999999999" customHeight="1" x14ac:dyDescent="0.2">
      <c r="B284" s="34">
        <v>46157</v>
      </c>
      <c r="C284" s="35" t="s">
        <v>903</v>
      </c>
      <c r="D284" s="35" t="s">
        <v>899</v>
      </c>
      <c r="E284" s="35" t="s">
        <v>25</v>
      </c>
      <c r="F284" s="35">
        <v>20260511021</v>
      </c>
      <c r="G284" s="59" t="s">
        <v>836</v>
      </c>
      <c r="H284" s="43">
        <f>H281-K284</f>
        <v>729794.01017811708</v>
      </c>
      <c r="I284" s="43">
        <v>4220</v>
      </c>
      <c r="J284" s="43">
        <v>4180</v>
      </c>
      <c r="K284" s="43">
        <f>J284/0.786+1</f>
        <v>5319.0661577608143</v>
      </c>
      <c r="L284" s="44"/>
      <c r="M284" s="92"/>
      <c r="N284" s="35"/>
      <c r="O284" s="29">
        <v>46156</v>
      </c>
      <c r="P284" s="28">
        <f t="shared" si="26"/>
        <v>46520</v>
      </c>
    </row>
    <row r="285" spans="2:16" ht="20.149999999999999" customHeight="1" x14ac:dyDescent="0.2">
      <c r="B285" s="34">
        <v>46157</v>
      </c>
      <c r="C285" s="35" t="s">
        <v>906</v>
      </c>
      <c r="D285" s="35" t="s">
        <v>900</v>
      </c>
      <c r="E285" s="35" t="s">
        <v>25</v>
      </c>
      <c r="F285" s="35">
        <v>20260511022</v>
      </c>
      <c r="G285" s="59" t="s">
        <v>908</v>
      </c>
      <c r="H285" s="43">
        <f>H284-K285</f>
        <v>724272.38167938939</v>
      </c>
      <c r="I285" s="43">
        <v>4410</v>
      </c>
      <c r="J285" s="43">
        <v>4340</v>
      </c>
      <c r="K285" s="43">
        <f>J285/0.786</f>
        <v>5521.628498727735</v>
      </c>
      <c r="L285" s="44"/>
      <c r="M285" s="92"/>
      <c r="N285" s="35"/>
      <c r="O285" s="29">
        <v>46156</v>
      </c>
      <c r="P285" s="28">
        <f t="shared" si="26"/>
        <v>46520</v>
      </c>
    </row>
    <row r="286" spans="2:16" ht="20.149999999999999" customHeight="1" x14ac:dyDescent="0.2">
      <c r="B286" s="25">
        <v>46157</v>
      </c>
      <c r="C286" s="26" t="s">
        <v>904</v>
      </c>
      <c r="D286" s="26" t="s">
        <v>901</v>
      </c>
      <c r="E286" s="26" t="s">
        <v>22</v>
      </c>
      <c r="F286" s="26" t="s">
        <v>2211</v>
      </c>
      <c r="G286" s="26" t="s">
        <v>695</v>
      </c>
      <c r="H286" s="38">
        <f>H283-K286</f>
        <v>117808.06615776083</v>
      </c>
      <c r="I286" s="38">
        <v>4390</v>
      </c>
      <c r="J286" s="38">
        <v>4360</v>
      </c>
      <c r="K286" s="38">
        <f>J286/0.786+1</f>
        <v>5548.0737913486</v>
      </c>
      <c r="L286" s="37"/>
      <c r="M286" s="85"/>
      <c r="N286" s="26"/>
      <c r="O286" s="29">
        <v>46155</v>
      </c>
      <c r="P286" s="28">
        <f t="shared" si="26"/>
        <v>46519</v>
      </c>
    </row>
    <row r="287" spans="2:16" ht="20.149999999999999" customHeight="1" x14ac:dyDescent="0.2">
      <c r="B287" s="25">
        <v>46157</v>
      </c>
      <c r="C287" s="26" t="s">
        <v>905</v>
      </c>
      <c r="D287" s="26" t="s">
        <v>902</v>
      </c>
      <c r="E287" s="26" t="s">
        <v>22</v>
      </c>
      <c r="F287" s="26" t="s">
        <v>2212</v>
      </c>
      <c r="G287" s="26" t="s">
        <v>907</v>
      </c>
      <c r="H287" s="38">
        <f>H286-K287</f>
        <v>112450.83206106871</v>
      </c>
      <c r="I287" s="38">
        <v>4270</v>
      </c>
      <c r="J287" s="38">
        <v>4210</v>
      </c>
      <c r="K287" s="38">
        <f>J287/0.786+1</f>
        <v>5357.234096692112</v>
      </c>
      <c r="L287" s="37"/>
      <c r="M287" s="85"/>
      <c r="N287" s="26"/>
      <c r="O287" s="29">
        <v>46156</v>
      </c>
      <c r="P287" s="28">
        <f t="shared" si="26"/>
        <v>46520</v>
      </c>
    </row>
    <row r="288" spans="2:16" ht="20.149999999999999" customHeight="1" x14ac:dyDescent="0.2">
      <c r="B288" s="34">
        <v>46158</v>
      </c>
      <c r="C288" s="35" t="s">
        <v>917</v>
      </c>
      <c r="D288" s="35" t="s">
        <v>910</v>
      </c>
      <c r="E288" s="35" t="s">
        <v>25</v>
      </c>
      <c r="F288" s="35">
        <v>20260511023</v>
      </c>
      <c r="G288" s="59" t="s">
        <v>836</v>
      </c>
      <c r="H288" s="43">
        <f>H285-K288</f>
        <v>718839.81170483469</v>
      </c>
      <c r="I288" s="43">
        <v>4260</v>
      </c>
      <c r="J288" s="43">
        <v>4270</v>
      </c>
      <c r="K288" s="43">
        <f>J288/0.786</f>
        <v>5432.5699745547072</v>
      </c>
      <c r="L288" s="44"/>
      <c r="M288" s="92"/>
      <c r="N288" s="35"/>
      <c r="O288" s="29">
        <v>46157</v>
      </c>
      <c r="P288" s="28">
        <f t="shared" si="26"/>
        <v>46521</v>
      </c>
    </row>
    <row r="289" spans="2:16" ht="20.149999999999999" customHeight="1" x14ac:dyDescent="0.2">
      <c r="B289" s="25">
        <v>46158</v>
      </c>
      <c r="C289" s="26" t="s">
        <v>914</v>
      </c>
      <c r="D289" s="26" t="s">
        <v>911</v>
      </c>
      <c r="E289" s="26" t="s">
        <v>22</v>
      </c>
      <c r="F289" s="26" t="s">
        <v>2213</v>
      </c>
      <c r="G289" s="26" t="s">
        <v>916</v>
      </c>
      <c r="H289" s="38">
        <f>H287-K289</f>
        <v>107220.82442748093</v>
      </c>
      <c r="I289" s="38">
        <v>4210</v>
      </c>
      <c r="J289" s="38">
        <v>4110</v>
      </c>
      <c r="K289" s="38">
        <f>J289/0.786+1</f>
        <v>5230.0076335877857</v>
      </c>
      <c r="L289" s="37"/>
      <c r="M289" s="85"/>
      <c r="N289" s="26"/>
      <c r="O289" s="29">
        <v>46157</v>
      </c>
      <c r="P289" s="28">
        <f t="shared" si="26"/>
        <v>46521</v>
      </c>
    </row>
    <row r="290" spans="2:16" ht="20.149999999999999" customHeight="1" x14ac:dyDescent="0.2">
      <c r="B290" s="25">
        <v>46158</v>
      </c>
      <c r="C290" s="26" t="s">
        <v>915</v>
      </c>
      <c r="D290" s="26" t="s">
        <v>912</v>
      </c>
      <c r="E290" s="26" t="s">
        <v>22</v>
      </c>
      <c r="F290" s="26" t="s">
        <v>2214</v>
      </c>
      <c r="G290" s="26" t="s">
        <v>919</v>
      </c>
      <c r="H290" s="38">
        <f>H289-K290</f>
        <v>101825.42239185752</v>
      </c>
      <c r="I290" s="38">
        <v>4170</v>
      </c>
      <c r="J290" s="38">
        <v>4240</v>
      </c>
      <c r="K290" s="38">
        <f>J290/0.786+1</f>
        <v>5395.4020356234096</v>
      </c>
      <c r="L290" s="37"/>
      <c r="M290" s="85"/>
      <c r="N290" s="26"/>
      <c r="O290" s="29">
        <v>46157</v>
      </c>
      <c r="P290" s="28">
        <f t="shared" si="26"/>
        <v>46521</v>
      </c>
    </row>
    <row r="291" spans="2:16" ht="20.149999999999999" customHeight="1" x14ac:dyDescent="0.2">
      <c r="B291" s="34">
        <v>46159</v>
      </c>
      <c r="C291" s="35" t="s">
        <v>926</v>
      </c>
      <c r="D291" s="35" t="s">
        <v>918</v>
      </c>
      <c r="E291" s="35" t="s">
        <v>25</v>
      </c>
      <c r="F291" s="35">
        <v>20260511024</v>
      </c>
      <c r="G291" s="59" t="s">
        <v>920</v>
      </c>
      <c r="H291" s="43">
        <f>H288-K291</f>
        <v>713318.183206107</v>
      </c>
      <c r="I291" s="43">
        <v>4360</v>
      </c>
      <c r="J291" s="43">
        <v>4340</v>
      </c>
      <c r="K291" s="43">
        <f>J291/0.786</f>
        <v>5521.628498727735</v>
      </c>
      <c r="L291" s="44"/>
      <c r="M291" s="92"/>
      <c r="N291" s="35"/>
      <c r="O291" s="29">
        <v>46157</v>
      </c>
      <c r="P291" s="28">
        <f t="shared" si="26"/>
        <v>46521</v>
      </c>
    </row>
    <row r="292" spans="2:16" ht="20.149999999999999" customHeight="1" x14ac:dyDescent="0.2">
      <c r="B292" s="34">
        <v>46159</v>
      </c>
      <c r="C292" s="35" t="s">
        <v>928</v>
      </c>
      <c r="D292" s="35" t="s">
        <v>924</v>
      </c>
      <c r="E292" s="35" t="s">
        <v>25</v>
      </c>
      <c r="F292" s="35">
        <v>20260511025</v>
      </c>
      <c r="G292" s="59" t="s">
        <v>836</v>
      </c>
      <c r="H292" s="43">
        <f>H291-K292</f>
        <v>707859.16793893138</v>
      </c>
      <c r="I292" s="43">
        <v>4210</v>
      </c>
      <c r="J292" s="43">
        <v>4290</v>
      </c>
      <c r="K292" s="43">
        <f>J292/0.786+1</f>
        <v>5459.0152671755723</v>
      </c>
      <c r="L292" s="44"/>
      <c r="M292" s="92"/>
      <c r="N292" s="35"/>
      <c r="O292" s="29">
        <v>46158</v>
      </c>
      <c r="P292" s="28">
        <f t="shared" si="26"/>
        <v>46522</v>
      </c>
    </row>
    <row r="293" spans="2:16" ht="20.149999999999999" customHeight="1" x14ac:dyDescent="0.2">
      <c r="B293" s="25">
        <v>46159</v>
      </c>
      <c r="C293" s="26" t="s">
        <v>925</v>
      </c>
      <c r="D293" s="26" t="s">
        <v>921</v>
      </c>
      <c r="E293" s="26" t="s">
        <v>22</v>
      </c>
      <c r="F293" s="26">
        <v>20260511011</v>
      </c>
      <c r="G293" s="26" t="s">
        <v>695</v>
      </c>
      <c r="H293" s="38">
        <f>H290-K293</f>
        <v>96252.903307888046</v>
      </c>
      <c r="I293" s="38">
        <v>4450</v>
      </c>
      <c r="J293" s="38">
        <v>4380</v>
      </c>
      <c r="K293" s="38">
        <f t="shared" si="29"/>
        <v>5572.5190839694651</v>
      </c>
      <c r="L293" s="37"/>
      <c r="M293" s="85"/>
      <c r="N293" s="26"/>
      <c r="O293" s="29">
        <v>46157</v>
      </c>
      <c r="P293" s="28">
        <f t="shared" si="26"/>
        <v>46521</v>
      </c>
    </row>
    <row r="294" spans="2:16" ht="20.149999999999999" customHeight="1" x14ac:dyDescent="0.25">
      <c r="B294" s="25">
        <v>46159</v>
      </c>
      <c r="C294" s="26" t="s">
        <v>929</v>
      </c>
      <c r="D294" s="26" t="s">
        <v>923</v>
      </c>
      <c r="E294" s="26" t="s">
        <v>22</v>
      </c>
      <c r="F294" s="26">
        <v>20260511012</v>
      </c>
      <c r="G294" s="26" t="s">
        <v>930</v>
      </c>
      <c r="H294" s="38">
        <f>H293-K294</f>
        <v>90768.442748091606</v>
      </c>
      <c r="I294" s="38">
        <v>4310</v>
      </c>
      <c r="J294" s="38">
        <v>4310</v>
      </c>
      <c r="K294" s="38">
        <f>J294/0.786+1</f>
        <v>5484.4605597964373</v>
      </c>
      <c r="L294" s="55" t="s">
        <v>962</v>
      </c>
      <c r="M294" s="85"/>
      <c r="N294" s="26"/>
      <c r="O294" s="29">
        <v>46158</v>
      </c>
      <c r="P294" s="28">
        <f t="shared" si="26"/>
        <v>46522</v>
      </c>
    </row>
    <row r="295" spans="2:16" ht="20.149999999999999" customHeight="1" x14ac:dyDescent="0.2">
      <c r="B295" s="34">
        <v>46160</v>
      </c>
      <c r="C295" s="35" t="s">
        <v>933</v>
      </c>
      <c r="D295" s="35" t="s">
        <v>932</v>
      </c>
      <c r="E295" s="35" t="s">
        <v>25</v>
      </c>
      <c r="F295" s="35">
        <v>20260511026</v>
      </c>
      <c r="G295" s="59" t="s">
        <v>836</v>
      </c>
      <c r="H295" s="43">
        <f>H292-K295</f>
        <v>702286.64885496197</v>
      </c>
      <c r="I295" s="43">
        <v>4340</v>
      </c>
      <c r="J295" s="43">
        <v>4380</v>
      </c>
      <c r="K295" s="43">
        <f>J295/0.786</f>
        <v>5572.5190839694651</v>
      </c>
      <c r="L295" s="44"/>
      <c r="M295" s="92"/>
      <c r="N295" s="35"/>
      <c r="O295" s="29">
        <v>46158</v>
      </c>
      <c r="P295" s="28">
        <f t="shared" si="26"/>
        <v>46522</v>
      </c>
    </row>
    <row r="296" spans="2:16" ht="20.149999999999999" customHeight="1" x14ac:dyDescent="0.2">
      <c r="B296" s="34">
        <v>46160</v>
      </c>
      <c r="C296" s="35" t="s">
        <v>940</v>
      </c>
      <c r="D296" s="35" t="s">
        <v>935</v>
      </c>
      <c r="E296" s="35" t="s">
        <v>25</v>
      </c>
      <c r="F296" s="35">
        <v>20260511027</v>
      </c>
      <c r="G296" s="59" t="s">
        <v>939</v>
      </c>
      <c r="H296" s="43">
        <f>H295-K296</f>
        <v>696840.35623409681</v>
      </c>
      <c r="I296" s="43">
        <v>4290</v>
      </c>
      <c r="J296" s="43">
        <v>4280</v>
      </c>
      <c r="K296" s="43">
        <f>J296/0.786+1</f>
        <v>5446.2926208651397</v>
      </c>
      <c r="L296" s="44"/>
      <c r="M296" s="92"/>
      <c r="N296" s="35"/>
      <c r="O296" s="29">
        <v>46159</v>
      </c>
      <c r="P296" s="28">
        <f t="shared" si="26"/>
        <v>46523</v>
      </c>
    </row>
    <row r="297" spans="2:16" ht="20.149999999999999" customHeight="1" x14ac:dyDescent="0.2">
      <c r="B297" s="25">
        <v>46160</v>
      </c>
      <c r="C297" s="26" t="s">
        <v>936</v>
      </c>
      <c r="D297" s="26" t="s">
        <v>931</v>
      </c>
      <c r="E297" s="26" t="s">
        <v>22</v>
      </c>
      <c r="F297" s="26">
        <v>20260511013</v>
      </c>
      <c r="G297" s="26" t="s">
        <v>695</v>
      </c>
      <c r="H297" s="38">
        <f>H294-K297</f>
        <v>85360.318066157764</v>
      </c>
      <c r="I297" s="38">
        <v>4290</v>
      </c>
      <c r="J297" s="38">
        <v>4250</v>
      </c>
      <c r="K297" s="38">
        <f>J297/0.786+1</f>
        <v>5408.1246819338421</v>
      </c>
      <c r="L297" s="37"/>
      <c r="M297" s="85"/>
      <c r="N297" s="26"/>
      <c r="O297" s="29">
        <v>46158</v>
      </c>
      <c r="P297" s="28">
        <f t="shared" si="26"/>
        <v>46522</v>
      </c>
    </row>
    <row r="298" spans="2:16" ht="20.149999999999999" customHeight="1" x14ac:dyDescent="0.2">
      <c r="B298" s="25">
        <v>46160</v>
      </c>
      <c r="C298" s="26" t="s">
        <v>937</v>
      </c>
      <c r="D298" s="26" t="s">
        <v>934</v>
      </c>
      <c r="E298" s="26" t="s">
        <v>22</v>
      </c>
      <c r="F298" s="26">
        <v>20260511014</v>
      </c>
      <c r="G298" s="26" t="s">
        <v>938</v>
      </c>
      <c r="H298" s="38">
        <f>H297-K298</f>
        <v>80016.806615776091</v>
      </c>
      <c r="I298" s="38">
        <v>4260</v>
      </c>
      <c r="J298" s="38">
        <v>4200</v>
      </c>
      <c r="K298" s="38">
        <f t="shared" si="29"/>
        <v>5343.5114503816794</v>
      </c>
      <c r="L298" s="37"/>
      <c r="M298" s="85"/>
      <c r="N298" s="26"/>
      <c r="O298" s="29">
        <v>46159</v>
      </c>
      <c r="P298" s="28">
        <f t="shared" si="26"/>
        <v>46523</v>
      </c>
    </row>
    <row r="299" spans="2:16" ht="20.149999999999999" customHeight="1" x14ac:dyDescent="0.2">
      <c r="B299" s="25">
        <v>46160</v>
      </c>
      <c r="C299" s="26" t="s">
        <v>945</v>
      </c>
      <c r="D299" s="26" t="s">
        <v>943</v>
      </c>
      <c r="E299" s="26" t="s">
        <v>22</v>
      </c>
      <c r="F299" s="26">
        <v>20260511015</v>
      </c>
      <c r="G299" s="26" t="s">
        <v>944</v>
      </c>
      <c r="H299" s="38">
        <f>H298-K299</f>
        <v>74608.68193384225</v>
      </c>
      <c r="I299" s="38">
        <v>4290</v>
      </c>
      <c r="J299" s="38">
        <v>4250</v>
      </c>
      <c r="K299" s="38">
        <f>J299/0.786+1</f>
        <v>5408.1246819338421</v>
      </c>
      <c r="L299" s="37"/>
      <c r="M299" s="85"/>
      <c r="N299" s="26"/>
      <c r="O299" s="29">
        <v>46159</v>
      </c>
      <c r="P299" s="28">
        <f>DATE(YEAR(O299)+1,MONTH(O299),DAY(O299))-1</f>
        <v>46523</v>
      </c>
    </row>
    <row r="300" spans="2:16" ht="20.149999999999999" customHeight="1" x14ac:dyDescent="0.2">
      <c r="B300" s="34">
        <v>46161</v>
      </c>
      <c r="C300" s="35" t="s">
        <v>952</v>
      </c>
      <c r="D300" s="35" t="s">
        <v>951</v>
      </c>
      <c r="E300" s="35" t="s">
        <v>25</v>
      </c>
      <c r="F300" s="35">
        <v>20260511028</v>
      </c>
      <c r="G300" s="59" t="s">
        <v>874</v>
      </c>
      <c r="H300" s="43">
        <f>H296-K300</f>
        <v>691521.29007633601</v>
      </c>
      <c r="I300" s="43">
        <v>4170</v>
      </c>
      <c r="J300" s="43">
        <v>4180</v>
      </c>
      <c r="K300" s="43">
        <f>J300/0.786+1</f>
        <v>5319.0661577608143</v>
      </c>
      <c r="L300" s="44"/>
      <c r="M300" s="92"/>
      <c r="N300" s="35"/>
      <c r="O300" s="29">
        <v>46160</v>
      </c>
      <c r="P300" s="28">
        <f t="shared" si="26"/>
        <v>46524</v>
      </c>
    </row>
    <row r="301" spans="2:16" ht="20.149999999999999" customHeight="1" x14ac:dyDescent="0.2">
      <c r="B301" s="25">
        <v>46161</v>
      </c>
      <c r="C301" s="26" t="s">
        <v>947</v>
      </c>
      <c r="D301" s="26" t="s">
        <v>946</v>
      </c>
      <c r="E301" s="26" t="s">
        <v>22</v>
      </c>
      <c r="F301" s="26">
        <v>20260511016</v>
      </c>
      <c r="G301" s="26" t="s">
        <v>944</v>
      </c>
      <c r="H301" s="38">
        <f>H299-K301</f>
        <v>69188.834605597978</v>
      </c>
      <c r="I301" s="38">
        <v>4250</v>
      </c>
      <c r="J301" s="38">
        <v>4260</v>
      </c>
      <c r="K301" s="38">
        <f t="shared" si="29"/>
        <v>5419.8473282442746</v>
      </c>
      <c r="L301" s="37"/>
      <c r="M301" s="85"/>
      <c r="N301" s="26"/>
      <c r="O301" s="29">
        <v>46159</v>
      </c>
      <c r="P301" s="28">
        <f t="shared" si="26"/>
        <v>46523</v>
      </c>
    </row>
    <row r="302" spans="2:16" ht="20.149999999999999" customHeight="1" x14ac:dyDescent="0.2">
      <c r="B302" s="25">
        <v>46161</v>
      </c>
      <c r="C302" s="26" t="s">
        <v>955</v>
      </c>
      <c r="D302" s="26" t="s">
        <v>38</v>
      </c>
      <c r="E302" s="26" t="s">
        <v>22</v>
      </c>
      <c r="F302" s="26" t="s">
        <v>2215</v>
      </c>
      <c r="G302" s="26" t="s">
        <v>737</v>
      </c>
      <c r="H302" s="38">
        <f>H301-K302</f>
        <v>63920.659033078897</v>
      </c>
      <c r="I302" s="38">
        <v>4150</v>
      </c>
      <c r="J302" s="38">
        <v>4140</v>
      </c>
      <c r="K302" s="38">
        <f>J302/0.786+1</f>
        <v>5268.1755725190842</v>
      </c>
      <c r="L302" s="37"/>
      <c r="M302" s="85"/>
      <c r="N302" s="26"/>
      <c r="O302" s="29">
        <v>46160</v>
      </c>
      <c r="P302" s="28">
        <f t="shared" ref="P302:P328" si="30">DATE(YEAR(O302)+1,MONTH(O302),DAY(O302))-1</f>
        <v>46524</v>
      </c>
    </row>
    <row r="303" spans="2:16" ht="20.149999999999999" customHeight="1" x14ac:dyDescent="0.2">
      <c r="B303" s="34">
        <v>46162</v>
      </c>
      <c r="C303" s="35" t="s">
        <v>958</v>
      </c>
      <c r="D303" s="35" t="s">
        <v>957</v>
      </c>
      <c r="E303" s="35" t="s">
        <v>25</v>
      </c>
      <c r="F303" s="35">
        <v>20260511029</v>
      </c>
      <c r="G303" s="59" t="s">
        <v>874</v>
      </c>
      <c r="H303" s="43">
        <f>H300-K303</f>
        <v>686101.44274809177</v>
      </c>
      <c r="I303" s="43">
        <v>4240</v>
      </c>
      <c r="J303" s="43">
        <v>4260</v>
      </c>
      <c r="K303" s="43">
        <f>J303/0.786</f>
        <v>5419.8473282442746</v>
      </c>
      <c r="L303" s="44"/>
      <c r="M303" s="92"/>
      <c r="N303" s="35"/>
      <c r="O303" s="29">
        <v>46160</v>
      </c>
      <c r="P303" s="28">
        <f>DATE(YEAR(O303)+1,MONTH(O303),DAY(O303))-1</f>
        <v>46524</v>
      </c>
    </row>
    <row r="304" spans="2:16" ht="20.149999999999999" customHeight="1" x14ac:dyDescent="0.2">
      <c r="B304" s="34">
        <v>46162</v>
      </c>
      <c r="C304" s="35" t="s">
        <v>963</v>
      </c>
      <c r="D304" s="35" t="s">
        <v>959</v>
      </c>
      <c r="E304" s="35" t="s">
        <v>25</v>
      </c>
      <c r="F304" s="35">
        <v>20260518012</v>
      </c>
      <c r="G304" s="59" t="s">
        <v>836</v>
      </c>
      <c r="H304" s="43">
        <f>H303-K304</f>
        <v>680553.36895674316</v>
      </c>
      <c r="I304" s="43">
        <v>4400</v>
      </c>
      <c r="J304" s="43">
        <v>4360</v>
      </c>
      <c r="K304" s="43">
        <f>J304/0.786+1</f>
        <v>5548.0737913486</v>
      </c>
      <c r="L304" s="44"/>
      <c r="M304" s="92"/>
      <c r="N304" s="35"/>
      <c r="O304" s="29">
        <v>46161</v>
      </c>
      <c r="P304" s="28">
        <f>DATE(YEAR(O304)+1,MONTH(O304),DAY(O304))-1</f>
        <v>46525</v>
      </c>
    </row>
    <row r="305" spans="2:16" ht="20.149999999999999" customHeight="1" x14ac:dyDescent="0.2">
      <c r="B305" s="25">
        <v>46162</v>
      </c>
      <c r="C305" s="26" t="s">
        <v>961</v>
      </c>
      <c r="D305" s="26" t="s">
        <v>956</v>
      </c>
      <c r="E305" s="26" t="s">
        <v>22</v>
      </c>
      <c r="F305" s="26" t="s">
        <v>2216</v>
      </c>
      <c r="G305" s="26" t="s">
        <v>695</v>
      </c>
      <c r="H305" s="38">
        <f>H302-K305</f>
        <v>58640.760814249377</v>
      </c>
      <c r="I305" s="38">
        <v>4160</v>
      </c>
      <c r="J305" s="38">
        <v>4150</v>
      </c>
      <c r="K305" s="38">
        <f>J305/0.786</f>
        <v>5279.8982188295167</v>
      </c>
      <c r="L305" s="37"/>
      <c r="M305" s="85"/>
      <c r="N305" s="26"/>
      <c r="O305" s="29">
        <v>46160</v>
      </c>
      <c r="P305" s="28">
        <f t="shared" si="30"/>
        <v>46524</v>
      </c>
    </row>
    <row r="306" spans="2:16" ht="20.149999999999999" customHeight="1" x14ac:dyDescent="0.2">
      <c r="B306" s="25">
        <v>46162</v>
      </c>
      <c r="C306" s="26" t="s">
        <v>965</v>
      </c>
      <c r="D306" s="26" t="s">
        <v>960</v>
      </c>
      <c r="E306" s="26" t="s">
        <v>22</v>
      </c>
      <c r="F306" s="26" t="s">
        <v>2217</v>
      </c>
      <c r="G306" s="26" t="s">
        <v>695</v>
      </c>
      <c r="H306" s="38">
        <f>H305-K306</f>
        <v>53259.081424936398</v>
      </c>
      <c r="I306" s="38">
        <v>4270</v>
      </c>
      <c r="J306" s="38">
        <v>4230</v>
      </c>
      <c r="K306" s="38">
        <f t="shared" ref="K306:K328" si="31">J306/0.786</f>
        <v>5381.679389312977</v>
      </c>
      <c r="L306" s="37"/>
      <c r="M306" s="85"/>
      <c r="N306" s="26"/>
      <c r="O306" s="29">
        <v>46161</v>
      </c>
      <c r="P306" s="28">
        <f t="shared" si="30"/>
        <v>46525</v>
      </c>
    </row>
    <row r="307" spans="2:16" ht="20.149999999999999" customHeight="1" x14ac:dyDescent="0.2">
      <c r="B307" s="34">
        <v>46163</v>
      </c>
      <c r="C307" s="35" t="s">
        <v>968</v>
      </c>
      <c r="D307" s="35" t="s">
        <v>966</v>
      </c>
      <c r="E307" s="35" t="s">
        <v>25</v>
      </c>
      <c r="F307" s="35">
        <v>20260518013</v>
      </c>
      <c r="G307" s="59" t="s">
        <v>836</v>
      </c>
      <c r="H307" s="43">
        <f>H304-K307</f>
        <v>675247.02544529282</v>
      </c>
      <c r="I307" s="43">
        <v>4150</v>
      </c>
      <c r="J307" s="43">
        <v>4170</v>
      </c>
      <c r="K307" s="43">
        <f>J307/0.786+1</f>
        <v>5306.3435114503818</v>
      </c>
      <c r="L307" s="44"/>
      <c r="M307" s="92"/>
      <c r="N307" s="35"/>
      <c r="O307" s="29">
        <v>46161</v>
      </c>
      <c r="P307" s="28">
        <f>DATE(YEAR(O307)+1,MONTH(O307),DAY(O307))-1</f>
        <v>46525</v>
      </c>
    </row>
    <row r="308" spans="2:16" ht="20.149999999999999" customHeight="1" x14ac:dyDescent="0.2">
      <c r="B308" s="34">
        <v>46163</v>
      </c>
      <c r="C308" s="35" t="s">
        <v>974</v>
      </c>
      <c r="D308" s="35" t="s">
        <v>970</v>
      </c>
      <c r="E308" s="35" t="s">
        <v>25</v>
      </c>
      <c r="F308" s="35">
        <v>20260518014</v>
      </c>
      <c r="G308" s="59" t="s">
        <v>836</v>
      </c>
      <c r="H308" s="43">
        <f>H307-K308</f>
        <v>669749.84223918593</v>
      </c>
      <c r="I308" s="43">
        <v>4340</v>
      </c>
      <c r="J308" s="43">
        <v>4320</v>
      </c>
      <c r="K308" s="43">
        <f>J308/0.786+1</f>
        <v>5497.1832061068699</v>
      </c>
      <c r="L308" s="44"/>
      <c r="M308" s="92"/>
      <c r="N308" s="35"/>
      <c r="O308" s="29">
        <v>46162</v>
      </c>
      <c r="P308" s="28">
        <f>DATE(YEAR(O308)+1,MONTH(O308),DAY(O308))-1</f>
        <v>46526</v>
      </c>
    </row>
    <row r="309" spans="2:16" ht="20.149999999999999" customHeight="1" x14ac:dyDescent="0.2">
      <c r="B309" s="25">
        <v>46163</v>
      </c>
      <c r="C309" s="26" t="s">
        <v>969</v>
      </c>
      <c r="D309" s="26" t="s">
        <v>967</v>
      </c>
      <c r="E309" s="26" t="s">
        <v>22</v>
      </c>
      <c r="F309" s="26" t="s">
        <v>2218</v>
      </c>
      <c r="G309" s="26" t="s">
        <v>695</v>
      </c>
      <c r="H309" s="38">
        <f>H306-K309</f>
        <v>47788.343511450395</v>
      </c>
      <c r="I309" s="38">
        <v>4400</v>
      </c>
      <c r="J309" s="38">
        <v>4300</v>
      </c>
      <c r="K309" s="38">
        <f t="shared" si="31"/>
        <v>5470.7379134860048</v>
      </c>
      <c r="L309" s="37"/>
      <c r="M309" s="85"/>
      <c r="N309" s="26"/>
      <c r="O309" s="29">
        <v>46161</v>
      </c>
      <c r="P309" s="28">
        <f t="shared" si="30"/>
        <v>46525</v>
      </c>
    </row>
    <row r="310" spans="2:16" ht="20.149999999999999" customHeight="1" x14ac:dyDescent="0.2">
      <c r="B310" s="25">
        <v>46163</v>
      </c>
      <c r="C310" s="26" t="s">
        <v>973</v>
      </c>
      <c r="D310" s="26" t="s">
        <v>971</v>
      </c>
      <c r="E310" s="26" t="s">
        <v>22</v>
      </c>
      <c r="F310" s="26" t="s">
        <v>2219</v>
      </c>
      <c r="G310" s="26" t="s">
        <v>695</v>
      </c>
      <c r="H310" s="38">
        <f>H309-K310</f>
        <v>42419.386768447854</v>
      </c>
      <c r="I310" s="38">
        <v>4250</v>
      </c>
      <c r="J310" s="38">
        <v>4220</v>
      </c>
      <c r="K310" s="38">
        <f t="shared" si="31"/>
        <v>5368.9567430025445</v>
      </c>
      <c r="L310" s="37"/>
      <c r="M310" s="85"/>
      <c r="N310" s="26"/>
      <c r="O310" s="29">
        <v>46162</v>
      </c>
      <c r="P310" s="28">
        <f t="shared" si="30"/>
        <v>46526</v>
      </c>
    </row>
    <row r="311" spans="2:16" ht="20.149999999999999" customHeight="1" x14ac:dyDescent="0.2">
      <c r="B311" s="34">
        <v>46164</v>
      </c>
      <c r="C311" s="35" t="s">
        <v>983</v>
      </c>
      <c r="D311" s="35" t="s">
        <v>981</v>
      </c>
      <c r="E311" s="35" t="s">
        <v>25</v>
      </c>
      <c r="F311" s="35">
        <v>20260518015</v>
      </c>
      <c r="G311" s="59" t="s">
        <v>884</v>
      </c>
      <c r="H311" s="43">
        <f>H308-K311</f>
        <v>664430.77608142514</v>
      </c>
      <c r="I311" s="43">
        <v>4200</v>
      </c>
      <c r="J311" s="43">
        <v>4180</v>
      </c>
      <c r="K311" s="43">
        <f>J311/0.786+1</f>
        <v>5319.0661577608143</v>
      </c>
      <c r="L311" s="44"/>
      <c r="M311" s="92"/>
      <c r="N311" s="35"/>
      <c r="O311" s="29">
        <v>46162</v>
      </c>
      <c r="P311" s="28">
        <f>DATE(YEAR(O311)+1,MONTH(O311),DAY(O311))-1</f>
        <v>46526</v>
      </c>
    </row>
    <row r="312" spans="2:16" ht="20.149999999999999" customHeight="1" x14ac:dyDescent="0.2">
      <c r="B312" s="25">
        <v>46164</v>
      </c>
      <c r="C312" s="26" t="s">
        <v>980</v>
      </c>
      <c r="D312" s="26" t="s">
        <v>979</v>
      </c>
      <c r="E312" s="26" t="s">
        <v>22</v>
      </c>
      <c r="F312" s="26" t="s">
        <v>2220</v>
      </c>
      <c r="G312" s="26" t="s">
        <v>695</v>
      </c>
      <c r="H312" s="38">
        <f>H310-K312</f>
        <v>37011.262086514012</v>
      </c>
      <c r="I312" s="38">
        <v>4240</v>
      </c>
      <c r="J312" s="38">
        <v>4250</v>
      </c>
      <c r="K312" s="38">
        <f>J312/0.786+1</f>
        <v>5408.1246819338421</v>
      </c>
      <c r="L312" s="37"/>
      <c r="M312" s="85"/>
      <c r="N312" s="26"/>
      <c r="O312" s="29">
        <v>46162</v>
      </c>
      <c r="P312" s="28">
        <f t="shared" si="30"/>
        <v>46526</v>
      </c>
    </row>
    <row r="313" spans="2:16" ht="20.149999999999999" customHeight="1" x14ac:dyDescent="0.2">
      <c r="B313" s="25">
        <v>46164</v>
      </c>
      <c r="C313" s="26" t="s">
        <v>984</v>
      </c>
      <c r="D313" s="26" t="s">
        <v>982</v>
      </c>
      <c r="E313" s="26" t="s">
        <v>22</v>
      </c>
      <c r="F313" s="26">
        <v>20260518007</v>
      </c>
      <c r="G313" s="26" t="s">
        <v>695</v>
      </c>
      <c r="H313" s="38">
        <f>H312-K313</f>
        <v>31526.801526717576</v>
      </c>
      <c r="I313" s="38">
        <v>4350</v>
      </c>
      <c r="J313" s="38">
        <v>4310</v>
      </c>
      <c r="K313" s="38">
        <f>J313/0.786+1</f>
        <v>5484.4605597964373</v>
      </c>
      <c r="L313" s="37"/>
      <c r="M313" s="85"/>
      <c r="N313" s="26"/>
      <c r="O313" s="29">
        <v>46163</v>
      </c>
      <c r="P313" s="28">
        <f t="shared" si="30"/>
        <v>46527</v>
      </c>
    </row>
    <row r="314" spans="2:16" ht="20.149999999999999" customHeight="1" x14ac:dyDescent="0.2">
      <c r="B314" s="34">
        <v>46165</v>
      </c>
      <c r="C314" s="35" t="s">
        <v>987</v>
      </c>
      <c r="D314" s="35" t="s">
        <v>985</v>
      </c>
      <c r="E314" s="35" t="s">
        <v>25</v>
      </c>
      <c r="F314" s="35">
        <v>20260518016</v>
      </c>
      <c r="G314" s="59" t="s">
        <v>988</v>
      </c>
      <c r="H314" s="43">
        <f>H311-K314</f>
        <v>659162.60050890606</v>
      </c>
      <c r="I314" s="43">
        <v>4160</v>
      </c>
      <c r="J314" s="43">
        <v>4140</v>
      </c>
      <c r="K314" s="43">
        <f>J314/0.786+1</f>
        <v>5268.1755725190842</v>
      </c>
      <c r="L314" s="44"/>
      <c r="M314" s="92"/>
      <c r="N314" s="35"/>
      <c r="O314" s="29">
        <v>46163</v>
      </c>
      <c r="P314" s="28">
        <f>DATE(YEAR(O314)+1,MONTH(O314),DAY(O314))-1</f>
        <v>46527</v>
      </c>
    </row>
    <row r="315" spans="2:16" ht="20.149999999999999" customHeight="1" x14ac:dyDescent="0.2">
      <c r="B315" s="34">
        <v>46165</v>
      </c>
      <c r="C315" s="35" t="s">
        <v>999</v>
      </c>
      <c r="D315" s="35" t="s">
        <v>998</v>
      </c>
      <c r="E315" s="35" t="s">
        <v>25</v>
      </c>
      <c r="F315" s="35">
        <v>20260518018</v>
      </c>
      <c r="G315" s="59" t="s">
        <v>997</v>
      </c>
      <c r="H315" s="43">
        <f>H314-K315</f>
        <v>653780.92111959308</v>
      </c>
      <c r="I315" s="43">
        <v>4160</v>
      </c>
      <c r="J315" s="43">
        <v>4230</v>
      </c>
      <c r="K315" s="43">
        <f>J315/0.786</f>
        <v>5381.679389312977</v>
      </c>
      <c r="L315" s="44"/>
      <c r="M315" s="92"/>
      <c r="N315" s="35"/>
      <c r="O315" s="29">
        <v>46164</v>
      </c>
      <c r="P315" s="28">
        <f>DATE(YEAR(O315)+1,MONTH(O315),DAY(O315))-1</f>
        <v>46528</v>
      </c>
    </row>
    <row r="316" spans="2:16" ht="20.149999999999999" customHeight="1" x14ac:dyDescent="0.2">
      <c r="B316" s="25">
        <v>46165</v>
      </c>
      <c r="C316" s="26" t="s">
        <v>991</v>
      </c>
      <c r="D316" s="26" t="s">
        <v>986</v>
      </c>
      <c r="E316" s="26" t="s">
        <v>22</v>
      </c>
      <c r="F316" s="26">
        <v>20260518008</v>
      </c>
      <c r="G316" s="26" t="s">
        <v>779</v>
      </c>
      <c r="H316" s="38">
        <f>H313-K316</f>
        <v>26056.06361323157</v>
      </c>
      <c r="I316" s="38">
        <v>4320</v>
      </c>
      <c r="J316" s="38">
        <v>4300</v>
      </c>
      <c r="K316" s="38">
        <f t="shared" si="31"/>
        <v>5470.7379134860048</v>
      </c>
      <c r="L316" s="37"/>
      <c r="M316" s="85"/>
      <c r="N316" s="26"/>
      <c r="O316" s="29">
        <v>46163</v>
      </c>
      <c r="P316" s="28">
        <f t="shared" si="30"/>
        <v>46527</v>
      </c>
    </row>
    <row r="317" spans="2:16" ht="20.149999999999999" customHeight="1" x14ac:dyDescent="0.2">
      <c r="B317" s="25">
        <v>46165</v>
      </c>
      <c r="C317" s="26" t="s">
        <v>992</v>
      </c>
      <c r="D317" s="26" t="s">
        <v>990</v>
      </c>
      <c r="E317" s="26" t="s">
        <v>22</v>
      </c>
      <c r="F317" s="26">
        <v>20260518009</v>
      </c>
      <c r="G317" s="26" t="s">
        <v>719</v>
      </c>
      <c r="H317" s="38">
        <f>H316-K317</f>
        <v>20623.493638676864</v>
      </c>
      <c r="I317" s="38">
        <v>4210</v>
      </c>
      <c r="J317" s="38">
        <v>4270</v>
      </c>
      <c r="K317" s="38">
        <f t="shared" si="31"/>
        <v>5432.5699745547072</v>
      </c>
      <c r="L317" s="37"/>
      <c r="M317" s="85"/>
      <c r="N317" s="26"/>
      <c r="O317" s="29">
        <v>46164</v>
      </c>
      <c r="P317" s="28">
        <f t="shared" si="30"/>
        <v>46528</v>
      </c>
    </row>
    <row r="318" spans="2:16" ht="20.149999999999999" customHeight="1" x14ac:dyDescent="0.2">
      <c r="B318" s="34">
        <v>46166</v>
      </c>
      <c r="C318" s="35" t="s">
        <v>996</v>
      </c>
      <c r="D318" s="35" t="s">
        <v>1001</v>
      </c>
      <c r="E318" s="35" t="s">
        <v>25</v>
      </c>
      <c r="F318" s="35">
        <v>20260518019</v>
      </c>
      <c r="G318" s="59" t="s">
        <v>836</v>
      </c>
      <c r="H318" s="43">
        <f>H315-K318</f>
        <v>648423.68702290102</v>
      </c>
      <c r="I318" s="43">
        <v>4130</v>
      </c>
      <c r="J318" s="43">
        <v>4210</v>
      </c>
      <c r="K318" s="43">
        <f>J318/0.786+1</f>
        <v>5357.234096692112</v>
      </c>
      <c r="L318" s="44"/>
      <c r="M318" s="92"/>
      <c r="N318" s="35"/>
      <c r="O318" s="29">
        <v>46164</v>
      </c>
      <c r="P318" s="28">
        <f>DATE(YEAR(O318)+1,MONTH(O318),DAY(O318))-1</f>
        <v>46528</v>
      </c>
    </row>
    <row r="319" spans="2:16" ht="20.149999999999999" customHeight="1" x14ac:dyDescent="0.2">
      <c r="B319" s="25">
        <v>46166</v>
      </c>
      <c r="C319" s="26" t="s">
        <v>1000</v>
      </c>
      <c r="D319" s="26" t="s">
        <v>995</v>
      </c>
      <c r="E319" s="26" t="s">
        <v>22</v>
      </c>
      <c r="F319" s="26">
        <v>20260518010</v>
      </c>
      <c r="G319" s="26" t="s">
        <v>695</v>
      </c>
      <c r="H319" s="38">
        <f>H317-K319</f>
        <v>15063.697201017832</v>
      </c>
      <c r="I319" s="38">
        <v>4370</v>
      </c>
      <c r="J319" s="38">
        <v>4370</v>
      </c>
      <c r="K319" s="38">
        <f t="shared" si="31"/>
        <v>5559.7964376590326</v>
      </c>
      <c r="L319" s="37"/>
      <c r="M319" s="85"/>
      <c r="N319" s="26"/>
      <c r="O319" s="29">
        <v>46164</v>
      </c>
      <c r="P319" s="28">
        <f t="shared" si="30"/>
        <v>46528</v>
      </c>
    </row>
    <row r="320" spans="2:16" ht="20.149999999999999" customHeight="1" x14ac:dyDescent="0.2">
      <c r="B320" s="25">
        <v>46166</v>
      </c>
      <c r="C320" s="26" t="s">
        <v>1003</v>
      </c>
      <c r="D320" s="26" t="s">
        <v>1002</v>
      </c>
      <c r="E320" s="26" t="s">
        <v>22</v>
      </c>
      <c r="F320" s="26">
        <v>20260518011</v>
      </c>
      <c r="G320" s="26" t="s">
        <v>695</v>
      </c>
      <c r="H320" s="38">
        <f>H319-K320</f>
        <v>9744.6310432570172</v>
      </c>
      <c r="I320" s="38">
        <v>5160</v>
      </c>
      <c r="J320" s="38">
        <v>4180</v>
      </c>
      <c r="K320" s="38">
        <f>J320/0.786+1</f>
        <v>5319.0661577608143</v>
      </c>
      <c r="L320" s="37"/>
      <c r="M320" s="85"/>
      <c r="N320" s="26"/>
      <c r="O320" s="29">
        <v>46165</v>
      </c>
      <c r="P320" s="28">
        <f t="shared" si="30"/>
        <v>46529</v>
      </c>
    </row>
    <row r="321" spans="2:16" ht="20.149999999999999" customHeight="1" x14ac:dyDescent="0.2">
      <c r="B321" s="34">
        <v>46167</v>
      </c>
      <c r="C321" s="35" t="s">
        <v>1008</v>
      </c>
      <c r="D321" s="35" t="s">
        <v>1004</v>
      </c>
      <c r="E321" s="35" t="s">
        <v>25</v>
      </c>
      <c r="F321" s="35">
        <v>20260518017</v>
      </c>
      <c r="G321" s="59" t="s">
        <v>836</v>
      </c>
      <c r="H321" s="43">
        <f>H318-K321</f>
        <v>642735.66412213771</v>
      </c>
      <c r="I321" s="43">
        <v>4270</v>
      </c>
      <c r="J321" s="43">
        <v>4470</v>
      </c>
      <c r="K321" s="43">
        <f>J321/0.786+1</f>
        <v>5688.0229007633588</v>
      </c>
      <c r="L321" s="44"/>
      <c r="M321" s="92"/>
      <c r="N321" s="35"/>
      <c r="O321" s="29">
        <v>46165</v>
      </c>
      <c r="P321" s="28">
        <f>DATE(YEAR(O321)+1,MONTH(O321),DAY(O321))-1</f>
        <v>46529</v>
      </c>
    </row>
    <row r="322" spans="2:16" ht="20.149999999999999" customHeight="1" x14ac:dyDescent="0.2">
      <c r="B322" s="34">
        <v>46167</v>
      </c>
      <c r="C322" s="35" t="s">
        <v>1012</v>
      </c>
      <c r="D322" s="35" t="s">
        <v>1009</v>
      </c>
      <c r="E322" s="35" t="s">
        <v>25</v>
      </c>
      <c r="F322" s="35">
        <v>20260518020</v>
      </c>
      <c r="G322" s="59" t="s">
        <v>836</v>
      </c>
      <c r="H322" s="43">
        <f>H321-K322</f>
        <v>637264.92620865174</v>
      </c>
      <c r="I322" s="43">
        <v>4440</v>
      </c>
      <c r="J322" s="43">
        <v>4300</v>
      </c>
      <c r="K322" s="43">
        <f>J322/0.786</f>
        <v>5470.7379134860048</v>
      </c>
      <c r="L322" s="44"/>
      <c r="M322" s="92"/>
      <c r="N322" s="35"/>
      <c r="O322" s="29">
        <v>46166</v>
      </c>
      <c r="P322" s="28">
        <f>DATE(YEAR(O322)+1,MONTH(O322),DAY(O322))-1</f>
        <v>46530</v>
      </c>
    </row>
    <row r="323" spans="2:16" ht="20.149999999999999" customHeight="1" x14ac:dyDescent="0.2">
      <c r="B323" s="25">
        <v>46167</v>
      </c>
      <c r="C323" s="26" t="s">
        <v>1013</v>
      </c>
      <c r="D323" s="26" t="s">
        <v>1010</v>
      </c>
      <c r="E323" s="26" t="s">
        <v>22</v>
      </c>
      <c r="F323" s="26">
        <v>20260521029</v>
      </c>
      <c r="G323" s="26" t="s">
        <v>695</v>
      </c>
      <c r="H323" s="38">
        <f>H320-K323</f>
        <v>4223.0025445292822</v>
      </c>
      <c r="I323" s="38">
        <v>4260</v>
      </c>
      <c r="J323" s="38">
        <v>4340</v>
      </c>
      <c r="K323" s="38">
        <f t="shared" si="31"/>
        <v>5521.628498727735</v>
      </c>
      <c r="L323" s="37"/>
      <c r="M323" s="85"/>
      <c r="N323" s="26"/>
      <c r="O323" s="29">
        <v>46166</v>
      </c>
      <c r="P323" s="28">
        <f t="shared" si="30"/>
        <v>46530</v>
      </c>
    </row>
    <row r="324" spans="2:16" ht="20.149999999999999" customHeight="1" x14ac:dyDescent="0.2">
      <c r="B324" s="25">
        <v>46167</v>
      </c>
      <c r="C324" s="26" t="s">
        <v>1042</v>
      </c>
      <c r="D324" s="26" t="s">
        <v>1011</v>
      </c>
      <c r="E324" s="26" t="s">
        <v>22</v>
      </c>
      <c r="F324" s="26" t="s">
        <v>2221</v>
      </c>
      <c r="G324" s="26" t="s">
        <v>695</v>
      </c>
      <c r="H324" s="38">
        <f>4220-K324</f>
        <v>0.15267175572535052</v>
      </c>
      <c r="I324" s="38">
        <v>4310</v>
      </c>
      <c r="J324" s="38">
        <v>4260</v>
      </c>
      <c r="K324" s="38">
        <f>J324/0.786-1200</f>
        <v>4219.8473282442746</v>
      </c>
      <c r="L324" s="37"/>
      <c r="M324" s="85"/>
      <c r="N324" s="26"/>
      <c r="O324" s="29">
        <v>46166</v>
      </c>
      <c r="P324" s="28">
        <f t="shared" si="30"/>
        <v>46530</v>
      </c>
    </row>
    <row r="325" spans="2:16" ht="20.149999999999999" customHeight="1" x14ac:dyDescent="0.2">
      <c r="B325" s="30"/>
      <c r="C325" s="31"/>
      <c r="D325" s="31"/>
      <c r="E325" s="31" t="s">
        <v>22</v>
      </c>
      <c r="F325" s="31">
        <v>20260521030</v>
      </c>
      <c r="G325" s="31" t="s">
        <v>950</v>
      </c>
      <c r="H325" s="41">
        <f>325225-K325</f>
        <v>324025</v>
      </c>
      <c r="I325" s="41"/>
      <c r="J325" s="41"/>
      <c r="K325" s="41">
        <v>1200</v>
      </c>
      <c r="L325" s="42"/>
      <c r="M325" s="89"/>
      <c r="N325" s="31"/>
      <c r="P325" s="28">
        <f t="shared" si="30"/>
        <v>365</v>
      </c>
    </row>
    <row r="326" spans="2:16" ht="20.149999999999999" customHeight="1" x14ac:dyDescent="0.2">
      <c r="B326" s="34">
        <v>46168</v>
      </c>
      <c r="C326" s="35" t="s">
        <v>1020</v>
      </c>
      <c r="D326" s="35" t="s">
        <v>1015</v>
      </c>
      <c r="E326" s="35" t="s">
        <v>25</v>
      </c>
      <c r="F326" s="35">
        <v>20260518021</v>
      </c>
      <c r="G326" s="59" t="s">
        <v>836</v>
      </c>
      <c r="H326" s="43">
        <f>H322-K326</f>
        <v>631336.17302799015</v>
      </c>
      <c r="I326" s="43">
        <v>4560</v>
      </c>
      <c r="J326" s="43">
        <v>4660</v>
      </c>
      <c r="K326" s="43">
        <f>J326/0.786</f>
        <v>5928.7531806615771</v>
      </c>
      <c r="L326" s="44"/>
      <c r="M326" s="92"/>
      <c r="N326" s="35"/>
      <c r="O326" s="29">
        <v>46166</v>
      </c>
      <c r="P326" s="28">
        <f>DATE(YEAR(O326)+1,MONTH(O326),DAY(O326))-1</f>
        <v>46530</v>
      </c>
    </row>
    <row r="327" spans="2:16" ht="20.149999999999999" customHeight="1" x14ac:dyDescent="0.2">
      <c r="B327" s="30">
        <v>46168</v>
      </c>
      <c r="C327" s="31" t="s">
        <v>1018</v>
      </c>
      <c r="D327" s="31" t="s">
        <v>1016</v>
      </c>
      <c r="E327" s="31" t="s">
        <v>22</v>
      </c>
      <c r="F327" s="31">
        <v>20260521031</v>
      </c>
      <c r="G327" s="31" t="s">
        <v>1019</v>
      </c>
      <c r="H327" s="41">
        <f>H325-K327</f>
        <v>318476.92620865139</v>
      </c>
      <c r="I327" s="41">
        <v>4220</v>
      </c>
      <c r="J327" s="41">
        <v>4360</v>
      </c>
      <c r="K327" s="41">
        <f>J327/0.786+1</f>
        <v>5548.0737913486</v>
      </c>
      <c r="L327" s="42"/>
      <c r="M327" s="89"/>
      <c r="N327" s="31"/>
      <c r="O327" s="29">
        <v>46166</v>
      </c>
      <c r="P327" s="28">
        <f t="shared" si="30"/>
        <v>46530</v>
      </c>
    </row>
    <row r="328" spans="2:16" ht="20.149999999999999" customHeight="1" x14ac:dyDescent="0.2">
      <c r="B328" s="30">
        <v>46168</v>
      </c>
      <c r="C328" s="31" t="s">
        <v>1021</v>
      </c>
      <c r="D328" s="31" t="s">
        <v>1017</v>
      </c>
      <c r="E328" s="31" t="s">
        <v>22</v>
      </c>
      <c r="F328" s="31">
        <v>20260521032</v>
      </c>
      <c r="G328" s="31" t="s">
        <v>950</v>
      </c>
      <c r="H328" s="41">
        <f>H327-K328</f>
        <v>313197.02798982186</v>
      </c>
      <c r="I328" s="41">
        <v>4190</v>
      </c>
      <c r="J328" s="41">
        <v>4150</v>
      </c>
      <c r="K328" s="41">
        <f t="shared" si="31"/>
        <v>5279.8982188295167</v>
      </c>
      <c r="L328" s="42"/>
      <c r="M328" s="89"/>
      <c r="N328" s="31"/>
      <c r="O328" s="29">
        <v>46167</v>
      </c>
      <c r="P328" s="28">
        <f t="shared" si="30"/>
        <v>46531</v>
      </c>
    </row>
    <row r="329" spans="2:16" ht="20.149999999999999" customHeight="1" x14ac:dyDescent="0.2">
      <c r="B329" s="34">
        <v>46169</v>
      </c>
      <c r="C329" s="35" t="s">
        <v>1029</v>
      </c>
      <c r="D329" s="35" t="s">
        <v>1024</v>
      </c>
      <c r="E329" s="35" t="s">
        <v>25</v>
      </c>
      <c r="F329" s="35">
        <v>20260518022</v>
      </c>
      <c r="G329" s="59" t="s">
        <v>836</v>
      </c>
      <c r="H329" s="43">
        <f>H326-K329</f>
        <v>625903.60305343545</v>
      </c>
      <c r="I329" s="43">
        <v>4310</v>
      </c>
      <c r="J329" s="43">
        <v>4270</v>
      </c>
      <c r="K329" s="43">
        <f t="shared" ref="K329:K334" si="32">J329/0.786</f>
        <v>5432.5699745547072</v>
      </c>
      <c r="L329" s="44"/>
      <c r="M329" s="92"/>
      <c r="N329" s="35"/>
      <c r="O329" s="29">
        <v>46167</v>
      </c>
      <c r="P329" s="28">
        <f>DATE(YEAR(O329)+1,MONTH(O329),DAY(O329))-1</f>
        <v>46531</v>
      </c>
    </row>
    <row r="330" spans="2:16" ht="20.149999999999999" customHeight="1" x14ac:dyDescent="0.2">
      <c r="B330" s="34">
        <v>46169</v>
      </c>
      <c r="C330" s="35" t="s">
        <v>1039</v>
      </c>
      <c r="D330" s="35" t="s">
        <v>1025</v>
      </c>
      <c r="E330" s="35" t="s">
        <v>25</v>
      </c>
      <c r="F330" s="35">
        <v>20260525006</v>
      </c>
      <c r="G330" s="59" t="s">
        <v>1038</v>
      </c>
      <c r="H330" s="43">
        <f>H329-K330</f>
        <v>620432.86513994948</v>
      </c>
      <c r="I330" s="43">
        <v>4330</v>
      </c>
      <c r="J330" s="43">
        <v>4300</v>
      </c>
      <c r="K330" s="43">
        <f t="shared" si="32"/>
        <v>5470.7379134860048</v>
      </c>
      <c r="L330" s="44"/>
      <c r="M330" s="92"/>
      <c r="N330" s="35"/>
      <c r="O330" s="29">
        <v>46168</v>
      </c>
      <c r="P330" s="28">
        <f t="shared" ref="P330:P393" si="33">DATE(YEAR(O330)+1,MONTH(O330),DAY(O330))-1</f>
        <v>46532</v>
      </c>
    </row>
    <row r="331" spans="2:16" ht="20.149999999999999" customHeight="1" x14ac:dyDescent="0.2">
      <c r="B331" s="30">
        <v>46169</v>
      </c>
      <c r="C331" s="31" t="s">
        <v>1032</v>
      </c>
      <c r="D331" s="31" t="s">
        <v>1026</v>
      </c>
      <c r="E331" s="31" t="s">
        <v>22</v>
      </c>
      <c r="F331" s="31">
        <v>20260525015</v>
      </c>
      <c r="G331" s="31" t="s">
        <v>1030</v>
      </c>
      <c r="H331" s="41">
        <f>H328-K331</f>
        <v>307788.90330788802</v>
      </c>
      <c r="I331" s="41">
        <v>4190</v>
      </c>
      <c r="J331" s="41">
        <v>4250</v>
      </c>
      <c r="K331" s="41">
        <f>J331/0.786+1</f>
        <v>5408.1246819338421</v>
      </c>
      <c r="L331" s="42"/>
      <c r="M331" s="89"/>
      <c r="N331" s="31"/>
      <c r="O331" s="29">
        <v>46167</v>
      </c>
      <c r="P331" s="28">
        <f t="shared" si="33"/>
        <v>46531</v>
      </c>
    </row>
    <row r="332" spans="2:16" ht="20.149999999999999" customHeight="1" x14ac:dyDescent="0.2">
      <c r="B332" s="30">
        <v>46169</v>
      </c>
      <c r="C332" s="31" t="s">
        <v>1028</v>
      </c>
      <c r="D332" s="31" t="s">
        <v>1027</v>
      </c>
      <c r="E332" s="31" t="s">
        <v>22</v>
      </c>
      <c r="F332" s="31">
        <v>20260525016</v>
      </c>
      <c r="G332" s="31" t="s">
        <v>1031</v>
      </c>
      <c r="H332" s="41">
        <f>H331-K332</f>
        <v>302229.10687022901</v>
      </c>
      <c r="I332" s="41">
        <v>4390</v>
      </c>
      <c r="J332" s="41">
        <v>4370</v>
      </c>
      <c r="K332" s="41">
        <f t="shared" si="32"/>
        <v>5559.7964376590326</v>
      </c>
      <c r="L332" s="42"/>
      <c r="M332" s="89"/>
      <c r="N332" s="31"/>
      <c r="O332" s="29">
        <v>46167</v>
      </c>
      <c r="P332" s="28">
        <f t="shared" si="33"/>
        <v>46531</v>
      </c>
    </row>
    <row r="333" spans="2:16" ht="20.149999999999999" customHeight="1" x14ac:dyDescent="0.2">
      <c r="B333" s="69">
        <v>46170</v>
      </c>
      <c r="C333" s="70" t="s">
        <v>1041</v>
      </c>
      <c r="D333" s="70" t="s">
        <v>1033</v>
      </c>
      <c r="E333" s="70" t="s">
        <v>1034</v>
      </c>
      <c r="F333" s="70">
        <v>20260527001</v>
      </c>
      <c r="G333" s="74" t="s">
        <v>1076</v>
      </c>
      <c r="H333" s="71">
        <f>18000-K333</f>
        <v>12960.832061068702</v>
      </c>
      <c r="I333" s="71">
        <v>3960</v>
      </c>
      <c r="J333" s="71">
        <v>3960</v>
      </c>
      <c r="K333" s="71">
        <f>J333/0.786+1</f>
        <v>5039.1679389312976</v>
      </c>
      <c r="L333" s="73" t="s">
        <v>2363</v>
      </c>
      <c r="M333" s="95"/>
      <c r="N333" s="70"/>
      <c r="O333" s="29">
        <v>46168</v>
      </c>
      <c r="P333" s="28">
        <f t="shared" si="33"/>
        <v>46532</v>
      </c>
    </row>
    <row r="334" spans="2:16" ht="20.149999999999999" customHeight="1" x14ac:dyDescent="0.2">
      <c r="B334" s="69">
        <v>46170</v>
      </c>
      <c r="C334" s="70" t="s">
        <v>1049</v>
      </c>
      <c r="D334" s="70" t="s">
        <v>1047</v>
      </c>
      <c r="E334" s="70" t="s">
        <v>1034</v>
      </c>
      <c r="F334" s="70">
        <v>20260527002</v>
      </c>
      <c r="G334" s="74" t="s">
        <v>1076</v>
      </c>
      <c r="H334" s="71">
        <f>H333-K334</f>
        <v>7617.320610687023</v>
      </c>
      <c r="I334" s="71">
        <v>4160</v>
      </c>
      <c r="J334" s="71">
        <v>4200</v>
      </c>
      <c r="K334" s="71">
        <f t="shared" si="32"/>
        <v>5343.5114503816794</v>
      </c>
      <c r="L334" s="73" t="s">
        <v>1063</v>
      </c>
      <c r="M334" s="95"/>
      <c r="N334" s="70"/>
      <c r="O334" s="29">
        <v>46168</v>
      </c>
      <c r="P334" s="28">
        <f>DATE(YEAR(O334)+1,MONTH(O334),DAY(O334))-1</f>
        <v>46532</v>
      </c>
    </row>
    <row r="335" spans="2:16" ht="20.149999999999999" customHeight="1" x14ac:dyDescent="0.2">
      <c r="B335" s="34">
        <v>46170</v>
      </c>
      <c r="C335" s="35" t="s">
        <v>1050</v>
      </c>
      <c r="D335" s="35" t="s">
        <v>1046</v>
      </c>
      <c r="E335" s="35" t="s">
        <v>25</v>
      </c>
      <c r="F335" s="35">
        <v>20260525007</v>
      </c>
      <c r="G335" s="59" t="s">
        <v>1048</v>
      </c>
      <c r="H335" s="43">
        <f>H330-K335</f>
        <v>615063.90839694696</v>
      </c>
      <c r="I335" s="43">
        <v>4160</v>
      </c>
      <c r="J335" s="43">
        <v>4220</v>
      </c>
      <c r="K335" s="43">
        <f t="shared" ref="K335:K393" si="34">J335/0.786</f>
        <v>5368.9567430025445</v>
      </c>
      <c r="L335" s="44"/>
      <c r="M335" s="92"/>
      <c r="N335" s="35"/>
      <c r="O335" s="29">
        <v>46169</v>
      </c>
      <c r="P335" s="28">
        <f t="shared" si="33"/>
        <v>46533</v>
      </c>
    </row>
    <row r="336" spans="2:16" ht="20.149999999999999" customHeight="1" x14ac:dyDescent="0.2">
      <c r="B336" s="30">
        <v>46170</v>
      </c>
      <c r="C336" s="31" t="s">
        <v>1040</v>
      </c>
      <c r="D336" s="31" t="s">
        <v>1035</v>
      </c>
      <c r="E336" s="31" t="s">
        <v>22</v>
      </c>
      <c r="F336" s="31">
        <v>20260525017</v>
      </c>
      <c r="G336" s="31" t="s">
        <v>1045</v>
      </c>
      <c r="H336" s="41">
        <f>H332-K336</f>
        <v>296770.09160305344</v>
      </c>
      <c r="I336" s="41">
        <v>4350</v>
      </c>
      <c r="J336" s="41">
        <v>4290</v>
      </c>
      <c r="K336" s="41">
        <f>J336/0.786+1</f>
        <v>5459.0152671755723</v>
      </c>
      <c r="L336" s="42"/>
      <c r="M336" s="89"/>
      <c r="N336" s="31"/>
      <c r="O336" s="29">
        <v>46168</v>
      </c>
      <c r="P336" s="28">
        <f t="shared" si="33"/>
        <v>46532</v>
      </c>
    </row>
    <row r="337" spans="2:16" ht="20.149999999999999" customHeight="1" x14ac:dyDescent="0.2">
      <c r="B337" s="30">
        <v>46170</v>
      </c>
      <c r="C337" s="31" t="s">
        <v>1061</v>
      </c>
      <c r="D337" s="31" t="s">
        <v>1036</v>
      </c>
      <c r="E337" s="31" t="s">
        <v>22</v>
      </c>
      <c r="F337" s="31">
        <v>20260525018</v>
      </c>
      <c r="G337" s="31" t="s">
        <v>950</v>
      </c>
      <c r="H337" s="41">
        <f>H336-K337</f>
        <v>291299.35368956742</v>
      </c>
      <c r="I337" s="41">
        <v>4310</v>
      </c>
      <c r="J337" s="41">
        <v>4300</v>
      </c>
      <c r="K337" s="41">
        <f>J337/0.786</f>
        <v>5470.7379134860048</v>
      </c>
      <c r="L337" s="42"/>
      <c r="M337" s="89"/>
      <c r="N337" s="31"/>
      <c r="O337" s="29">
        <v>46169</v>
      </c>
      <c r="P337" s="28">
        <f t="shared" si="33"/>
        <v>46533</v>
      </c>
    </row>
    <row r="338" spans="2:16" ht="20.149999999999999" customHeight="1" x14ac:dyDescent="0.2">
      <c r="B338" s="69">
        <v>46171</v>
      </c>
      <c r="C338" s="70" t="s">
        <v>1067</v>
      </c>
      <c r="D338" s="70" t="s">
        <v>1052</v>
      </c>
      <c r="E338" s="70" t="s">
        <v>1034</v>
      </c>
      <c r="F338" s="70">
        <v>20260528002</v>
      </c>
      <c r="G338" s="74" t="s">
        <v>1076</v>
      </c>
      <c r="H338" s="71">
        <f>H334-K338</f>
        <v>2132.8600508905856</v>
      </c>
      <c r="I338" s="71">
        <v>4280</v>
      </c>
      <c r="J338" s="71">
        <v>4310</v>
      </c>
      <c r="K338" s="71">
        <f>J338/0.786+1</f>
        <v>5484.4605597964373</v>
      </c>
      <c r="L338" s="73" t="s">
        <v>1063</v>
      </c>
      <c r="M338" s="95"/>
      <c r="N338" s="70"/>
      <c r="O338" s="29">
        <v>46170</v>
      </c>
      <c r="P338" s="28">
        <f>DATE(YEAR(O338)+1,MONTH(O338),DAY(O338))-1</f>
        <v>46534</v>
      </c>
    </row>
    <row r="339" spans="2:16" ht="20.149999999999999" customHeight="1" x14ac:dyDescent="0.2">
      <c r="B339" s="69">
        <v>46171</v>
      </c>
      <c r="C339" s="70" t="s">
        <v>1071</v>
      </c>
      <c r="D339" s="70" t="s">
        <v>1053</v>
      </c>
      <c r="E339" s="70" t="s">
        <v>1034</v>
      </c>
      <c r="F339" s="70" t="s">
        <v>2222</v>
      </c>
      <c r="G339" s="70" t="s">
        <v>1066</v>
      </c>
      <c r="H339" s="71">
        <f>60000-K339</f>
        <v>55547.073791348601</v>
      </c>
      <c r="I339" s="71">
        <v>4280</v>
      </c>
      <c r="J339" s="71">
        <v>3500</v>
      </c>
      <c r="K339" s="71">
        <f>J339/0.786</f>
        <v>4452.9262086513991</v>
      </c>
      <c r="L339" s="72"/>
      <c r="M339" s="96"/>
      <c r="N339" s="70"/>
      <c r="O339" s="29">
        <v>46170</v>
      </c>
      <c r="P339" s="28">
        <f>DATE(YEAR(O339)+1,MONTH(O339),DAY(O339))-1</f>
        <v>46534</v>
      </c>
    </row>
    <row r="340" spans="2:16" ht="20.149999999999999" customHeight="1" x14ac:dyDescent="0.2">
      <c r="B340" s="34">
        <v>46171</v>
      </c>
      <c r="C340" s="35" t="s">
        <v>1065</v>
      </c>
      <c r="D340" s="35" t="s">
        <v>1054</v>
      </c>
      <c r="E340" s="35" t="s">
        <v>25</v>
      </c>
      <c r="F340" s="35">
        <v>20260525008</v>
      </c>
      <c r="G340" s="59" t="s">
        <v>836</v>
      </c>
      <c r="H340" s="43">
        <f>H335-K340</f>
        <v>609644.06106870272</v>
      </c>
      <c r="I340" s="43">
        <v>4300</v>
      </c>
      <c r="J340" s="43">
        <v>4260</v>
      </c>
      <c r="K340" s="43">
        <f>J340/0.786</f>
        <v>5419.8473282442746</v>
      </c>
      <c r="L340" s="44"/>
      <c r="M340" s="92"/>
      <c r="N340" s="35"/>
      <c r="O340" s="29">
        <v>46169</v>
      </c>
      <c r="P340" s="28">
        <f>DATE(YEAR(O340)+1,MONTH(O340),DAY(O340))-1</f>
        <v>46533</v>
      </c>
    </row>
    <row r="341" spans="2:16" ht="20.149999999999999" customHeight="1" x14ac:dyDescent="0.2">
      <c r="B341" s="34">
        <v>46171</v>
      </c>
      <c r="C341" s="35" t="s">
        <v>1058</v>
      </c>
      <c r="D341" s="35" t="s">
        <v>1055</v>
      </c>
      <c r="E341" s="35" t="s">
        <v>25</v>
      </c>
      <c r="F341" s="35">
        <v>20260525009</v>
      </c>
      <c r="G341" s="59" t="s">
        <v>1062</v>
      </c>
      <c r="H341" s="43">
        <f>H340-K341</f>
        <v>604351.44020356273</v>
      </c>
      <c r="I341" s="43">
        <v>4200</v>
      </c>
      <c r="J341" s="43">
        <v>4160</v>
      </c>
      <c r="K341" s="43">
        <f t="shared" si="34"/>
        <v>5292.6208651399493</v>
      </c>
      <c r="L341" s="44"/>
      <c r="M341" s="92"/>
      <c r="N341" s="35"/>
      <c r="O341" s="29">
        <v>46169</v>
      </c>
      <c r="P341" s="28">
        <f t="shared" si="33"/>
        <v>46533</v>
      </c>
    </row>
    <row r="342" spans="2:16" ht="20.149999999999999" customHeight="1" x14ac:dyDescent="0.2">
      <c r="B342" s="30">
        <v>46171</v>
      </c>
      <c r="C342" s="31" t="s">
        <v>1064</v>
      </c>
      <c r="D342" s="31" t="s">
        <v>1056</v>
      </c>
      <c r="E342" s="31" t="s">
        <v>22</v>
      </c>
      <c r="F342" s="31">
        <v>20260525019</v>
      </c>
      <c r="G342" s="31" t="s">
        <v>950</v>
      </c>
      <c r="H342" s="41">
        <f>H337-K342</f>
        <v>285891.22900763358</v>
      </c>
      <c r="I342" s="41">
        <v>4270</v>
      </c>
      <c r="J342" s="41">
        <v>4250</v>
      </c>
      <c r="K342" s="41">
        <f>J342/0.786+1</f>
        <v>5408.1246819338421</v>
      </c>
      <c r="L342" s="42"/>
      <c r="M342" s="89"/>
      <c r="N342" s="31"/>
      <c r="O342" s="29">
        <v>46169</v>
      </c>
      <c r="P342" s="28">
        <f t="shared" si="33"/>
        <v>46533</v>
      </c>
    </row>
    <row r="343" spans="2:16" ht="20.149999999999999" customHeight="1" x14ac:dyDescent="0.2">
      <c r="B343" s="30">
        <v>46171</v>
      </c>
      <c r="C343" s="31" t="s">
        <v>1059</v>
      </c>
      <c r="D343" s="31" t="s">
        <v>1057</v>
      </c>
      <c r="E343" s="31" t="s">
        <v>22</v>
      </c>
      <c r="F343" s="31">
        <v>20260525020</v>
      </c>
      <c r="G343" s="31" t="s">
        <v>950</v>
      </c>
      <c r="H343" s="41">
        <f>H342-K343</f>
        <v>280751.27989821881</v>
      </c>
      <c r="I343" s="41">
        <v>3960</v>
      </c>
      <c r="J343" s="41">
        <v>4040</v>
      </c>
      <c r="K343" s="41">
        <f t="shared" si="34"/>
        <v>5139.9491094147579</v>
      </c>
      <c r="L343" s="42"/>
      <c r="M343" s="89"/>
      <c r="N343" s="31"/>
      <c r="O343" s="29">
        <v>46169</v>
      </c>
      <c r="P343" s="28">
        <f t="shared" si="33"/>
        <v>46533</v>
      </c>
    </row>
    <row r="344" spans="2:16" ht="20.149999999999999" customHeight="1" x14ac:dyDescent="0.2">
      <c r="B344" s="69">
        <v>46172</v>
      </c>
      <c r="C344" s="70" t="s">
        <v>1079</v>
      </c>
      <c r="D344" s="70" t="s">
        <v>1077</v>
      </c>
      <c r="E344" s="70" t="s">
        <v>1034</v>
      </c>
      <c r="F344" s="70" t="s">
        <v>2223</v>
      </c>
      <c r="G344" s="70" t="s">
        <v>1066</v>
      </c>
      <c r="H344" s="71">
        <f>H339-K344</f>
        <v>50203.562340966921</v>
      </c>
      <c r="I344" s="71">
        <v>4200</v>
      </c>
      <c r="J344" s="71">
        <v>4200</v>
      </c>
      <c r="K344" s="71">
        <f>J344/0.786</f>
        <v>5343.5114503816794</v>
      </c>
      <c r="L344" s="72"/>
      <c r="M344" s="96"/>
      <c r="N344" s="70"/>
      <c r="O344" s="29">
        <v>46171</v>
      </c>
      <c r="P344" s="28">
        <f t="shared" si="33"/>
        <v>46535</v>
      </c>
    </row>
    <row r="345" spans="2:16" ht="20.149999999999999" customHeight="1" x14ac:dyDescent="0.2">
      <c r="B345" s="69">
        <v>46172</v>
      </c>
      <c r="C345" s="70" t="s">
        <v>1086</v>
      </c>
      <c r="D345" s="70" t="s">
        <v>1078</v>
      </c>
      <c r="E345" s="70" t="s">
        <v>1034</v>
      </c>
      <c r="F345" s="70" t="s">
        <v>2224</v>
      </c>
      <c r="G345" s="70" t="s">
        <v>1087</v>
      </c>
      <c r="H345" s="71">
        <f>H344-K345</f>
        <v>44668.21119592875</v>
      </c>
      <c r="I345" s="71">
        <v>4320</v>
      </c>
      <c r="J345" s="71">
        <v>4350</v>
      </c>
      <c r="K345" s="71">
        <f>J345/0.786+1</f>
        <v>5535.3511450381675</v>
      </c>
      <c r="L345" s="72"/>
      <c r="M345" s="96"/>
      <c r="N345" s="70"/>
      <c r="O345" s="29">
        <v>46172</v>
      </c>
      <c r="P345" s="28">
        <f t="shared" si="33"/>
        <v>46536</v>
      </c>
    </row>
    <row r="346" spans="2:16" ht="20.149999999999999" customHeight="1" x14ac:dyDescent="0.2">
      <c r="B346" s="34">
        <v>46172</v>
      </c>
      <c r="C346" s="35" t="s">
        <v>1073</v>
      </c>
      <c r="D346" s="35" t="s">
        <v>1068</v>
      </c>
      <c r="E346" s="35" t="s">
        <v>25</v>
      </c>
      <c r="F346" s="35">
        <v>20260525010</v>
      </c>
      <c r="G346" s="59" t="s">
        <v>836</v>
      </c>
      <c r="H346" s="43">
        <f>H341-K346</f>
        <v>599032.37404580193</v>
      </c>
      <c r="I346" s="43">
        <v>4220</v>
      </c>
      <c r="J346" s="43">
        <v>4180</v>
      </c>
      <c r="K346" s="43">
        <f>J346/0.786+1</f>
        <v>5319.0661577608143</v>
      </c>
      <c r="L346" s="44"/>
      <c r="M346" s="92"/>
      <c r="N346" s="35"/>
      <c r="O346" s="29">
        <v>46170</v>
      </c>
      <c r="P346" s="28">
        <f t="shared" si="33"/>
        <v>46534</v>
      </c>
    </row>
    <row r="347" spans="2:16" ht="20.149999999999999" customHeight="1" x14ac:dyDescent="0.2">
      <c r="B347" s="30">
        <v>46172</v>
      </c>
      <c r="C347" s="31" t="s">
        <v>1074</v>
      </c>
      <c r="D347" s="31" t="s">
        <v>1069</v>
      </c>
      <c r="E347" s="31" t="s">
        <v>22</v>
      </c>
      <c r="F347" s="31">
        <v>20260525021</v>
      </c>
      <c r="G347" s="31" t="s">
        <v>1072</v>
      </c>
      <c r="H347" s="41">
        <f>H343-K347</f>
        <v>275432.21374045801</v>
      </c>
      <c r="I347" s="41">
        <v>4350</v>
      </c>
      <c r="J347" s="41">
        <v>4180</v>
      </c>
      <c r="K347" s="41">
        <f>J347/0.786+1</f>
        <v>5319.0661577608143</v>
      </c>
      <c r="L347" s="42"/>
      <c r="M347" s="89"/>
      <c r="N347" s="31"/>
      <c r="O347" s="29">
        <v>46170</v>
      </c>
      <c r="P347" s="28">
        <f t="shared" si="33"/>
        <v>46534</v>
      </c>
    </row>
    <row r="348" spans="2:16" ht="20.149999999999999" customHeight="1" x14ac:dyDescent="0.2">
      <c r="B348" s="30">
        <v>46172</v>
      </c>
      <c r="C348" s="31" t="s">
        <v>1075</v>
      </c>
      <c r="D348" s="31" t="s">
        <v>1070</v>
      </c>
      <c r="E348" s="31" t="s">
        <v>22</v>
      </c>
      <c r="F348" s="31">
        <v>20260525022</v>
      </c>
      <c r="G348" s="31" t="s">
        <v>1083</v>
      </c>
      <c r="H348" s="41">
        <f>H347-K348</f>
        <v>269999.64376590331</v>
      </c>
      <c r="I348" s="41">
        <v>4320</v>
      </c>
      <c r="J348" s="41">
        <v>4270</v>
      </c>
      <c r="K348" s="41">
        <f>J348/0.786</f>
        <v>5432.5699745547072</v>
      </c>
      <c r="L348" s="42"/>
      <c r="M348" s="89"/>
      <c r="N348" s="31"/>
      <c r="O348" s="29">
        <v>46171</v>
      </c>
      <c r="P348" s="28">
        <f t="shared" si="33"/>
        <v>46535</v>
      </c>
    </row>
    <row r="349" spans="2:16" ht="20.149999999999999" customHeight="1" x14ac:dyDescent="0.2">
      <c r="B349" s="69">
        <v>46173</v>
      </c>
      <c r="C349" s="70" t="s">
        <v>1094</v>
      </c>
      <c r="D349" s="70" t="s">
        <v>1089</v>
      </c>
      <c r="E349" s="70" t="s">
        <v>1034</v>
      </c>
      <c r="F349" s="70" t="s">
        <v>2225</v>
      </c>
      <c r="G349" s="70" t="s">
        <v>1066</v>
      </c>
      <c r="H349" s="71">
        <f>H345-K349</f>
        <v>39159.305343511449</v>
      </c>
      <c r="I349" s="71">
        <v>4330</v>
      </c>
      <c r="J349" s="71">
        <v>4330</v>
      </c>
      <c r="K349" s="71">
        <f>J349/0.786</f>
        <v>5508.9058524173024</v>
      </c>
      <c r="L349" s="72"/>
      <c r="M349" s="96"/>
      <c r="N349" s="70"/>
      <c r="O349" s="29">
        <v>46172</v>
      </c>
      <c r="P349" s="28">
        <f t="shared" si="33"/>
        <v>46536</v>
      </c>
    </row>
    <row r="350" spans="2:16" ht="20.149999999999999" customHeight="1" x14ac:dyDescent="0.2">
      <c r="B350" s="34">
        <v>46173</v>
      </c>
      <c r="C350" s="35" t="s">
        <v>1091</v>
      </c>
      <c r="D350" s="35" t="s">
        <v>1080</v>
      </c>
      <c r="E350" s="35" t="s">
        <v>25</v>
      </c>
      <c r="F350" s="35">
        <v>20260525011</v>
      </c>
      <c r="G350" s="59" t="s">
        <v>1082</v>
      </c>
      <c r="H350" s="43">
        <f>H346-K350</f>
        <v>593547.91348600551</v>
      </c>
      <c r="I350" s="43">
        <v>4270</v>
      </c>
      <c r="J350" s="43">
        <v>4310</v>
      </c>
      <c r="K350" s="43">
        <f>J350/0.786+1</f>
        <v>5484.4605597964373</v>
      </c>
      <c r="L350" s="44"/>
      <c r="M350" s="92"/>
      <c r="N350" s="35"/>
      <c r="O350" s="29">
        <v>46171</v>
      </c>
      <c r="P350" s="28">
        <f t="shared" si="33"/>
        <v>46535</v>
      </c>
    </row>
    <row r="351" spans="2:16" ht="20.149999999999999" customHeight="1" x14ac:dyDescent="0.2">
      <c r="B351" s="34">
        <v>46173</v>
      </c>
      <c r="C351" s="35" t="s">
        <v>1092</v>
      </c>
      <c r="D351" s="35" t="s">
        <v>1088</v>
      </c>
      <c r="E351" s="35" t="s">
        <v>25</v>
      </c>
      <c r="F351" s="35">
        <v>20260525012</v>
      </c>
      <c r="G351" s="59" t="s">
        <v>1095</v>
      </c>
      <c r="H351" s="43">
        <f>H350-K351</f>
        <v>588039.00763358816</v>
      </c>
      <c r="I351" s="43">
        <v>4330</v>
      </c>
      <c r="J351" s="43">
        <v>4330</v>
      </c>
      <c r="K351" s="43">
        <f t="shared" si="34"/>
        <v>5508.9058524173024</v>
      </c>
      <c r="L351" s="44"/>
      <c r="M351" s="92"/>
      <c r="N351" s="35"/>
      <c r="O351" s="29">
        <v>46172</v>
      </c>
      <c r="P351" s="28">
        <f t="shared" si="33"/>
        <v>46536</v>
      </c>
    </row>
    <row r="352" spans="2:16" ht="20.149999999999999" customHeight="1" x14ac:dyDescent="0.2">
      <c r="B352" s="30">
        <v>46173</v>
      </c>
      <c r="C352" s="31" t="s">
        <v>1090</v>
      </c>
      <c r="D352" s="31" t="s">
        <v>1081</v>
      </c>
      <c r="E352" s="31" t="s">
        <v>22</v>
      </c>
      <c r="F352" s="31">
        <v>20260525023</v>
      </c>
      <c r="G352" s="31" t="s">
        <v>950</v>
      </c>
      <c r="H352" s="41">
        <f>H348-K352</f>
        <v>264719.74554707378</v>
      </c>
      <c r="I352" s="41">
        <v>4130</v>
      </c>
      <c r="J352" s="41">
        <v>4150</v>
      </c>
      <c r="K352" s="41">
        <f>J352/0.786</f>
        <v>5279.8982188295167</v>
      </c>
      <c r="L352" s="42"/>
      <c r="M352" s="89"/>
      <c r="N352" s="31"/>
      <c r="O352" s="29">
        <v>46171</v>
      </c>
      <c r="P352" s="28">
        <f t="shared" si="33"/>
        <v>46535</v>
      </c>
    </row>
    <row r="353" spans="2:16" ht="20.149999999999999" customHeight="1" x14ac:dyDescent="0.2">
      <c r="B353" s="30">
        <v>46173</v>
      </c>
      <c r="C353" s="31" t="s">
        <v>1096</v>
      </c>
      <c r="D353" s="31" t="s">
        <v>1084</v>
      </c>
      <c r="E353" s="31" t="s">
        <v>22</v>
      </c>
      <c r="F353" s="31">
        <v>20260525024</v>
      </c>
      <c r="G353" s="31" t="s">
        <v>950</v>
      </c>
      <c r="H353" s="41">
        <f>H352-K353</f>
        <v>259338.0661577608</v>
      </c>
      <c r="I353" s="41">
        <v>4310</v>
      </c>
      <c r="J353" s="41">
        <v>4230</v>
      </c>
      <c r="K353" s="41">
        <f>J353/0.786</f>
        <v>5381.679389312977</v>
      </c>
      <c r="L353" s="42"/>
      <c r="M353" s="89"/>
      <c r="N353" s="31"/>
      <c r="O353" s="29">
        <v>46171</v>
      </c>
      <c r="P353" s="28">
        <f t="shared" si="33"/>
        <v>46535</v>
      </c>
    </row>
    <row r="354" spans="2:16" ht="20.149999999999999" customHeight="1" x14ac:dyDescent="0.2">
      <c r="B354" s="69">
        <v>46174</v>
      </c>
      <c r="C354" s="70" t="s">
        <v>1103</v>
      </c>
      <c r="D354" s="70" t="s">
        <v>1100</v>
      </c>
      <c r="E354" s="70" t="s">
        <v>1034</v>
      </c>
      <c r="F354" s="70" t="s">
        <v>2226</v>
      </c>
      <c r="G354" s="70" t="s">
        <v>1066</v>
      </c>
      <c r="H354" s="71">
        <f>H349-K354</f>
        <v>33700.290076335878</v>
      </c>
      <c r="I354" s="71">
        <v>4300</v>
      </c>
      <c r="J354" s="71">
        <v>4290</v>
      </c>
      <c r="K354" s="71">
        <f>J354/0.786+1</f>
        <v>5459.0152671755723</v>
      </c>
      <c r="L354" s="72"/>
      <c r="M354" s="96"/>
      <c r="N354" s="70"/>
      <c r="O354" s="29">
        <v>46173</v>
      </c>
      <c r="P354" s="28">
        <f t="shared" si="33"/>
        <v>46537</v>
      </c>
    </row>
    <row r="355" spans="2:16" ht="20.149999999999999" customHeight="1" x14ac:dyDescent="0.2">
      <c r="B355" s="69">
        <v>46174</v>
      </c>
      <c r="C355" s="70" t="s">
        <v>1104</v>
      </c>
      <c r="D355" s="70" t="s">
        <v>1102</v>
      </c>
      <c r="E355" s="70" t="s">
        <v>1034</v>
      </c>
      <c r="F355" s="70" t="s">
        <v>2227</v>
      </c>
      <c r="G355" s="70" t="s">
        <v>1066</v>
      </c>
      <c r="H355" s="71">
        <f>H354-K355</f>
        <v>31052.979643765902</v>
      </c>
      <c r="I355" s="71">
        <v>4330</v>
      </c>
      <c r="J355" s="71">
        <v>2080</v>
      </c>
      <c r="K355" s="71">
        <f>J355/0.786+1</f>
        <v>2647.3104325699746</v>
      </c>
      <c r="L355" s="72"/>
      <c r="M355" s="96"/>
      <c r="N355" s="70"/>
      <c r="O355" s="29">
        <v>46173</v>
      </c>
      <c r="P355" s="28">
        <f t="shared" si="33"/>
        <v>46537</v>
      </c>
    </row>
    <row r="356" spans="2:16" ht="20.149999999999999" customHeight="1" x14ac:dyDescent="0.2">
      <c r="B356" s="62">
        <v>46174</v>
      </c>
      <c r="C356" s="61" t="s">
        <v>1105</v>
      </c>
      <c r="D356" s="61" t="s">
        <v>1099</v>
      </c>
      <c r="E356" s="61" t="s">
        <v>516</v>
      </c>
      <c r="F356" s="61" t="s">
        <v>2228</v>
      </c>
      <c r="G356" s="61" t="s">
        <v>549</v>
      </c>
      <c r="H356" s="64">
        <f>H207-K356</f>
        <v>37650.333333333336</v>
      </c>
      <c r="I356" s="64">
        <v>4370</v>
      </c>
      <c r="J356" s="64">
        <v>4370</v>
      </c>
      <c r="K356" s="64">
        <f t="shared" si="34"/>
        <v>5559.7964376590326</v>
      </c>
      <c r="L356" s="65"/>
      <c r="M356" s="93"/>
      <c r="N356" s="61"/>
      <c r="O356" s="29">
        <v>46172</v>
      </c>
      <c r="P356" s="28">
        <f t="shared" si="33"/>
        <v>46536</v>
      </c>
    </row>
    <row r="357" spans="2:16" ht="20.149999999999999" customHeight="1" x14ac:dyDescent="0.2">
      <c r="B357" s="30">
        <v>46174</v>
      </c>
      <c r="C357" s="31" t="s">
        <v>1106</v>
      </c>
      <c r="D357" s="31" t="s">
        <v>1098</v>
      </c>
      <c r="E357" s="31" t="s">
        <v>22</v>
      </c>
      <c r="F357" s="31">
        <v>20260525025</v>
      </c>
      <c r="G357" s="31" t="s">
        <v>950</v>
      </c>
      <c r="H357" s="41">
        <f>H353-K357</f>
        <v>253867.3282442748</v>
      </c>
      <c r="I357" s="41">
        <v>4210</v>
      </c>
      <c r="J357" s="41">
        <v>4300</v>
      </c>
      <c r="K357" s="41">
        <f t="shared" ref="K357:K362" si="35">J357/0.786</f>
        <v>5470.7379134860048</v>
      </c>
      <c r="L357" s="42"/>
      <c r="M357" s="89"/>
      <c r="N357" s="31"/>
      <c r="O357" s="29">
        <v>46172</v>
      </c>
      <c r="P357" s="28">
        <f t="shared" si="33"/>
        <v>46536</v>
      </c>
    </row>
    <row r="358" spans="2:16" ht="20.149999999999999" customHeight="1" x14ac:dyDescent="0.2">
      <c r="B358" s="30">
        <v>46174</v>
      </c>
      <c r="C358" s="31" t="s">
        <v>1109</v>
      </c>
      <c r="D358" s="31" t="s">
        <v>1101</v>
      </c>
      <c r="E358" s="31" t="s">
        <v>22</v>
      </c>
      <c r="F358" s="31">
        <v>20260525026</v>
      </c>
      <c r="G358" s="31" t="s">
        <v>950</v>
      </c>
      <c r="H358" s="41">
        <f>H357-K358</f>
        <v>248358.42239185749</v>
      </c>
      <c r="I358" s="41">
        <v>4420</v>
      </c>
      <c r="J358" s="41">
        <v>4330</v>
      </c>
      <c r="K358" s="41">
        <f t="shared" si="35"/>
        <v>5508.9058524173024</v>
      </c>
      <c r="L358" s="42"/>
      <c r="M358" s="89"/>
      <c r="N358" s="31"/>
      <c r="O358" s="29">
        <v>46173</v>
      </c>
      <c r="P358" s="28">
        <f t="shared" si="33"/>
        <v>46537</v>
      </c>
    </row>
    <row r="359" spans="2:16" ht="20.149999999999999" customHeight="1" x14ac:dyDescent="0.2">
      <c r="B359" s="69">
        <v>46175</v>
      </c>
      <c r="C359" s="70" t="s">
        <v>1122</v>
      </c>
      <c r="D359" s="70" t="s">
        <v>1121</v>
      </c>
      <c r="E359" s="70" t="s">
        <v>1034</v>
      </c>
      <c r="F359" s="70" t="s">
        <v>2229</v>
      </c>
      <c r="G359" s="70" t="s">
        <v>1066</v>
      </c>
      <c r="H359" s="71">
        <f>H355-K359</f>
        <v>25606.687022900762</v>
      </c>
      <c r="I359" s="71">
        <v>4270</v>
      </c>
      <c r="J359" s="71">
        <v>4280</v>
      </c>
      <c r="K359" s="71">
        <f>J359/0.786+1</f>
        <v>5446.2926208651397</v>
      </c>
      <c r="L359" s="72"/>
      <c r="M359" s="96"/>
      <c r="N359" s="70"/>
      <c r="O359" s="29">
        <v>46174</v>
      </c>
      <c r="P359" s="28">
        <f t="shared" si="33"/>
        <v>46538</v>
      </c>
    </row>
    <row r="360" spans="2:16" ht="20.149999999999999" customHeight="1" x14ac:dyDescent="0.2">
      <c r="B360" s="69">
        <v>46175</v>
      </c>
      <c r="C360" s="70" t="s">
        <v>1133</v>
      </c>
      <c r="D360" s="70" t="s">
        <v>1123</v>
      </c>
      <c r="E360" s="70" t="s">
        <v>1034</v>
      </c>
      <c r="F360" s="70" t="s">
        <v>2230</v>
      </c>
      <c r="G360" s="70" t="s">
        <v>1066</v>
      </c>
      <c r="H360" s="71">
        <f>H359-K360</f>
        <v>19957.832061068701</v>
      </c>
      <c r="I360" s="71">
        <v>4440</v>
      </c>
      <c r="J360" s="71">
        <v>4440</v>
      </c>
      <c r="K360" s="71">
        <f>J360/0.786</f>
        <v>5648.8549618320612</v>
      </c>
      <c r="L360" s="72"/>
      <c r="M360" s="96"/>
      <c r="N360" s="70"/>
      <c r="O360" s="29">
        <v>46175</v>
      </c>
      <c r="P360" s="28">
        <f t="shared" si="33"/>
        <v>46539</v>
      </c>
    </row>
    <row r="361" spans="2:16" ht="20.149999999999999" customHeight="1" x14ac:dyDescent="0.2">
      <c r="B361" s="34">
        <v>46175</v>
      </c>
      <c r="C361" s="35" t="s">
        <v>1119</v>
      </c>
      <c r="D361" s="35" t="s">
        <v>1113</v>
      </c>
      <c r="E361" s="35" t="s">
        <v>25</v>
      </c>
      <c r="F361" s="35">
        <v>20260525013</v>
      </c>
      <c r="G361" s="59" t="s">
        <v>836</v>
      </c>
      <c r="H361" s="43">
        <f>H351-K361</f>
        <v>582517.37913486047</v>
      </c>
      <c r="I361" s="43">
        <v>4320</v>
      </c>
      <c r="J361" s="43">
        <v>4340</v>
      </c>
      <c r="K361" s="43">
        <f t="shared" si="35"/>
        <v>5521.628498727735</v>
      </c>
      <c r="L361" s="44"/>
      <c r="M361" s="92"/>
      <c r="N361" s="35"/>
      <c r="O361" s="29">
        <v>46173</v>
      </c>
      <c r="P361" s="28">
        <f t="shared" si="33"/>
        <v>46537</v>
      </c>
    </row>
    <row r="362" spans="2:16" ht="20.149999999999999" customHeight="1" x14ac:dyDescent="0.2">
      <c r="B362" s="34">
        <v>46175</v>
      </c>
      <c r="C362" s="35" t="s">
        <v>1128</v>
      </c>
      <c r="D362" s="35" t="s">
        <v>1126</v>
      </c>
      <c r="E362" s="35" t="s">
        <v>25</v>
      </c>
      <c r="F362" s="35" t="s">
        <v>2231</v>
      </c>
      <c r="G362" s="59" t="s">
        <v>836</v>
      </c>
      <c r="H362" s="43">
        <f>H361-K362</f>
        <v>577148.42239185795</v>
      </c>
      <c r="I362" s="43">
        <v>4150</v>
      </c>
      <c r="J362" s="43">
        <v>4220</v>
      </c>
      <c r="K362" s="43">
        <f t="shared" si="35"/>
        <v>5368.9567430025445</v>
      </c>
      <c r="L362" s="44"/>
      <c r="M362" s="92"/>
      <c r="N362" s="35"/>
      <c r="O362" s="29">
        <v>46174</v>
      </c>
      <c r="P362" s="28">
        <f>DATE(YEAR(O362)+1,MONTH(O362),DAY(O362))-1</f>
        <v>46538</v>
      </c>
    </row>
    <row r="363" spans="2:16" ht="20.149999999999999" customHeight="1" x14ac:dyDescent="0.2">
      <c r="B363" s="62">
        <v>46175</v>
      </c>
      <c r="C363" s="61" t="s">
        <v>1120</v>
      </c>
      <c r="D363" s="61" t="s">
        <v>1115</v>
      </c>
      <c r="E363" s="61" t="s">
        <v>516</v>
      </c>
      <c r="F363" s="61" t="s">
        <v>2232</v>
      </c>
      <c r="G363" s="61" t="s">
        <v>549</v>
      </c>
      <c r="H363" s="64">
        <f>H356-K363</f>
        <v>32013.201017811705</v>
      </c>
      <c r="I363" s="64">
        <v>4420</v>
      </c>
      <c r="J363" s="64">
        <v>4430</v>
      </c>
      <c r="K363" s="64">
        <f>J363/0.786+1</f>
        <v>5637.1323155216287</v>
      </c>
      <c r="L363" s="65"/>
      <c r="M363" s="93"/>
      <c r="N363" s="61"/>
      <c r="O363" s="29">
        <v>46174</v>
      </c>
      <c r="P363" s="28">
        <f t="shared" si="33"/>
        <v>46538</v>
      </c>
    </row>
    <row r="364" spans="2:16" ht="20.149999999999999" customHeight="1" x14ac:dyDescent="0.2">
      <c r="B364" s="30">
        <v>46175</v>
      </c>
      <c r="C364" s="31" t="s">
        <v>1117</v>
      </c>
      <c r="D364" s="31" t="s">
        <v>1112</v>
      </c>
      <c r="E364" s="31" t="s">
        <v>22</v>
      </c>
      <c r="F364" s="31">
        <v>20260525027</v>
      </c>
      <c r="G364" s="31" t="s">
        <v>950</v>
      </c>
      <c r="H364" s="41">
        <f>H358-K364</f>
        <v>243078.52417302798</v>
      </c>
      <c r="I364" s="41">
        <v>4210</v>
      </c>
      <c r="J364" s="41">
        <v>4150</v>
      </c>
      <c r="K364" s="41">
        <f t="shared" si="34"/>
        <v>5279.8982188295167</v>
      </c>
      <c r="L364" s="42"/>
      <c r="M364" s="89"/>
      <c r="N364" s="31"/>
      <c r="O364" s="29">
        <v>46173</v>
      </c>
      <c r="P364" s="28">
        <f t="shared" si="33"/>
        <v>46537</v>
      </c>
    </row>
    <row r="365" spans="2:16" ht="20.149999999999999" customHeight="1" x14ac:dyDescent="0.2">
      <c r="B365" s="30">
        <v>46175</v>
      </c>
      <c r="C365" s="31" t="s">
        <v>1118</v>
      </c>
      <c r="D365" s="31" t="s">
        <v>1116</v>
      </c>
      <c r="E365" s="31" t="s">
        <v>22</v>
      </c>
      <c r="F365" s="31">
        <v>20260525028</v>
      </c>
      <c r="G365" s="31" t="s">
        <v>950</v>
      </c>
      <c r="H365" s="41">
        <f>H364-K365</f>
        <v>237785.90330788805</v>
      </c>
      <c r="I365" s="41">
        <v>4160</v>
      </c>
      <c r="J365" s="41">
        <v>4160</v>
      </c>
      <c r="K365" s="41">
        <f t="shared" si="34"/>
        <v>5292.6208651399493</v>
      </c>
      <c r="L365" s="42"/>
      <c r="M365" s="89"/>
      <c r="N365" s="31"/>
      <c r="O365" s="29">
        <v>46174</v>
      </c>
      <c r="P365" s="28">
        <f t="shared" si="33"/>
        <v>46538</v>
      </c>
    </row>
    <row r="366" spans="2:16" ht="20.149999999999999" customHeight="1" x14ac:dyDescent="0.2">
      <c r="B366" s="34">
        <v>46176</v>
      </c>
      <c r="C366" s="35" t="s">
        <v>1127</v>
      </c>
      <c r="D366" s="35" t="s">
        <v>1125</v>
      </c>
      <c r="E366" s="35" t="s">
        <v>25</v>
      </c>
      <c r="F366" s="35" t="s">
        <v>2233</v>
      </c>
      <c r="G366" s="59" t="s">
        <v>836</v>
      </c>
      <c r="H366" s="43">
        <f>H362-K366</f>
        <v>571689.40712468233</v>
      </c>
      <c r="I366" s="43">
        <v>4210</v>
      </c>
      <c r="J366" s="43">
        <v>4290</v>
      </c>
      <c r="K366" s="43">
        <f>J366/0.786+1</f>
        <v>5459.0152671755723</v>
      </c>
      <c r="L366" s="44"/>
      <c r="M366" s="92"/>
      <c r="N366" s="35"/>
      <c r="O366" s="29">
        <v>46174</v>
      </c>
      <c r="P366" s="28">
        <f t="shared" si="33"/>
        <v>46538</v>
      </c>
    </row>
    <row r="367" spans="2:16" ht="20.149999999999999" customHeight="1" x14ac:dyDescent="0.2">
      <c r="B367" s="34">
        <v>46176</v>
      </c>
      <c r="C367" s="35" t="s">
        <v>1144</v>
      </c>
      <c r="D367" s="35" t="s">
        <v>1134</v>
      </c>
      <c r="E367" s="35" t="s">
        <v>25</v>
      </c>
      <c r="F367" s="35">
        <v>20260602008</v>
      </c>
      <c r="G367" s="59" t="s">
        <v>1135</v>
      </c>
      <c r="H367" s="43">
        <f>H366-K367</f>
        <v>566141.33333333372</v>
      </c>
      <c r="I367" s="43">
        <v>4290</v>
      </c>
      <c r="J367" s="43">
        <v>4360</v>
      </c>
      <c r="K367" s="43">
        <f>J367/0.786+1</f>
        <v>5548.0737913486</v>
      </c>
      <c r="L367" s="44"/>
      <c r="M367" s="92"/>
      <c r="N367" s="35"/>
      <c r="O367" s="29">
        <v>46175</v>
      </c>
      <c r="P367" s="28">
        <f t="shared" si="33"/>
        <v>46539</v>
      </c>
    </row>
    <row r="368" spans="2:16" ht="20.149999999999999" customHeight="1" x14ac:dyDescent="0.2">
      <c r="B368" s="30">
        <v>46176</v>
      </c>
      <c r="C368" s="31" t="s">
        <v>1130</v>
      </c>
      <c r="D368" s="31" t="s">
        <v>1129</v>
      </c>
      <c r="E368" s="31" t="s">
        <v>22</v>
      </c>
      <c r="F368" s="31">
        <v>20260601018</v>
      </c>
      <c r="G368" s="31" t="s">
        <v>950</v>
      </c>
      <c r="H368" s="41">
        <f>H365-K368</f>
        <v>232442.39185750636</v>
      </c>
      <c r="I368" s="41">
        <v>4200</v>
      </c>
      <c r="J368" s="41">
        <v>4200</v>
      </c>
      <c r="K368" s="41">
        <f>J368/0.786</f>
        <v>5343.5114503816794</v>
      </c>
      <c r="L368" s="42"/>
      <c r="M368" s="89"/>
      <c r="N368" s="31"/>
      <c r="O368" s="29">
        <v>46174</v>
      </c>
      <c r="P368" s="28">
        <f t="shared" si="33"/>
        <v>46538</v>
      </c>
    </row>
    <row r="369" spans="2:16" ht="20.149999999999999" customHeight="1" x14ac:dyDescent="0.2">
      <c r="B369" s="30">
        <v>46176</v>
      </c>
      <c r="C369" s="31" t="s">
        <v>1132</v>
      </c>
      <c r="D369" s="31" t="s">
        <v>1131</v>
      </c>
      <c r="E369" s="31" t="s">
        <v>22</v>
      </c>
      <c r="F369" s="31">
        <v>20260601019</v>
      </c>
      <c r="G369" s="31" t="s">
        <v>950</v>
      </c>
      <c r="H369" s="41">
        <f>H368-K369</f>
        <v>227009.82188295166</v>
      </c>
      <c r="I369" s="41">
        <v>4300</v>
      </c>
      <c r="J369" s="41">
        <v>4270</v>
      </c>
      <c r="K369" s="41">
        <f>J369/0.786</f>
        <v>5432.5699745547072</v>
      </c>
      <c r="L369" s="42"/>
      <c r="M369" s="89"/>
      <c r="N369" s="31"/>
      <c r="O369" s="29">
        <v>46175</v>
      </c>
      <c r="P369" s="28">
        <f>DATE(YEAR(O369)+1,MONTH(O369),DAY(O369))-1</f>
        <v>46539</v>
      </c>
    </row>
    <row r="370" spans="2:16" ht="20.149999999999999" customHeight="1" x14ac:dyDescent="0.2">
      <c r="B370" s="34">
        <v>46177</v>
      </c>
      <c r="C370" s="35" t="s">
        <v>1146</v>
      </c>
      <c r="D370" s="35" t="s">
        <v>1136</v>
      </c>
      <c r="E370" s="35" t="s">
        <v>25</v>
      </c>
      <c r="F370" s="35" t="s">
        <v>2234</v>
      </c>
      <c r="G370" s="59" t="s">
        <v>836</v>
      </c>
      <c r="H370" s="43">
        <f>H367-K370</f>
        <v>560797.821882952</v>
      </c>
      <c r="I370" s="43">
        <v>4210</v>
      </c>
      <c r="J370" s="43">
        <v>4200</v>
      </c>
      <c r="K370" s="43">
        <f t="shared" si="34"/>
        <v>5343.5114503816794</v>
      </c>
      <c r="L370" s="44"/>
      <c r="M370" s="92"/>
      <c r="N370" s="35"/>
      <c r="O370" s="29">
        <v>46175</v>
      </c>
      <c r="P370" s="28">
        <f t="shared" si="33"/>
        <v>46539</v>
      </c>
    </row>
    <row r="371" spans="2:16" ht="20.149999999999999" customHeight="1" x14ac:dyDescent="0.2">
      <c r="B371" s="34">
        <v>46177</v>
      </c>
      <c r="C371" s="35" t="s">
        <v>1145</v>
      </c>
      <c r="D371" s="35" t="s">
        <v>1141</v>
      </c>
      <c r="E371" s="35" t="s">
        <v>25</v>
      </c>
      <c r="F371" s="35" t="s">
        <v>2235</v>
      </c>
      <c r="G371" s="59" t="s">
        <v>836</v>
      </c>
      <c r="H371" s="43">
        <f>H370-K371</f>
        <v>555416.14249363902</v>
      </c>
      <c r="I371" s="43">
        <v>4230</v>
      </c>
      <c r="J371" s="43">
        <v>4230</v>
      </c>
      <c r="K371" s="43">
        <f>J371/0.786</f>
        <v>5381.679389312977</v>
      </c>
      <c r="L371" s="44"/>
      <c r="M371" s="92"/>
      <c r="N371" s="35"/>
      <c r="O371" s="29">
        <v>46176</v>
      </c>
      <c r="P371" s="28">
        <f>DATE(YEAR(O371)+1,MONTH(O371),DAY(O371))-1</f>
        <v>46540</v>
      </c>
    </row>
    <row r="372" spans="2:16" ht="20.149999999999999" customHeight="1" x14ac:dyDescent="0.2">
      <c r="B372" s="30">
        <v>46177</v>
      </c>
      <c r="C372" s="31" t="s">
        <v>1138</v>
      </c>
      <c r="D372" s="31" t="s">
        <v>1137</v>
      </c>
      <c r="E372" s="31" t="s">
        <v>22</v>
      </c>
      <c r="F372" s="31">
        <v>20260601020</v>
      </c>
      <c r="G372" s="31" t="s">
        <v>950</v>
      </c>
      <c r="H372" s="41">
        <f>H369-K372</f>
        <v>221525.36132315523</v>
      </c>
      <c r="I372" s="41">
        <v>4350</v>
      </c>
      <c r="J372" s="41">
        <v>4310</v>
      </c>
      <c r="K372" s="41">
        <f t="shared" ref="K372:K379" si="36">J372/0.786+1</f>
        <v>5484.4605597964373</v>
      </c>
      <c r="L372" s="42"/>
      <c r="M372" s="89"/>
      <c r="N372" s="31"/>
      <c r="O372" s="29">
        <v>46175</v>
      </c>
      <c r="P372" s="28">
        <f>DATE(YEAR(O372)+1,MONTH(O372),DAY(O372))-1</f>
        <v>46539</v>
      </c>
    </row>
    <row r="373" spans="2:16" ht="20.149999999999999" customHeight="1" x14ac:dyDescent="0.2">
      <c r="B373" s="30">
        <v>46177</v>
      </c>
      <c r="C373" s="31" t="s">
        <v>1143</v>
      </c>
      <c r="D373" s="31" t="s">
        <v>1142</v>
      </c>
      <c r="E373" s="31" t="s">
        <v>22</v>
      </c>
      <c r="F373" s="31">
        <v>20260601021</v>
      </c>
      <c r="G373" s="31" t="s">
        <v>950</v>
      </c>
      <c r="H373" s="41">
        <f>H372-K373</f>
        <v>216257.18575063616</v>
      </c>
      <c r="I373" s="41">
        <v>4200</v>
      </c>
      <c r="J373" s="41">
        <v>4140</v>
      </c>
      <c r="K373" s="41">
        <f t="shared" si="36"/>
        <v>5268.1755725190842</v>
      </c>
      <c r="L373" s="42"/>
      <c r="M373" s="89"/>
      <c r="N373" s="31"/>
      <c r="O373" s="29">
        <v>46176</v>
      </c>
      <c r="P373" s="28">
        <f>DATE(YEAR(O373)+1,MONTH(O373),DAY(O373))-1</f>
        <v>46540</v>
      </c>
    </row>
    <row r="374" spans="2:16" ht="20.149999999999999" customHeight="1" x14ac:dyDescent="0.2">
      <c r="B374" s="34">
        <v>46178</v>
      </c>
      <c r="C374" s="35" t="s">
        <v>1149</v>
      </c>
      <c r="D374" s="35" t="s">
        <v>1147</v>
      </c>
      <c r="E374" s="35" t="s">
        <v>25</v>
      </c>
      <c r="F374" s="35" t="s">
        <v>2236</v>
      </c>
      <c r="G374" s="59" t="s">
        <v>836</v>
      </c>
      <c r="H374" s="43">
        <f>H371-K374</f>
        <v>549957.1272264634</v>
      </c>
      <c r="I374" s="43">
        <v>4240</v>
      </c>
      <c r="J374" s="43">
        <v>4290</v>
      </c>
      <c r="K374" s="43">
        <f t="shared" si="36"/>
        <v>5459.0152671755723</v>
      </c>
      <c r="L374" s="44"/>
      <c r="M374" s="92"/>
      <c r="N374" s="35"/>
      <c r="O374" s="29">
        <v>46176</v>
      </c>
      <c r="P374" s="28">
        <f t="shared" si="33"/>
        <v>46540</v>
      </c>
    </row>
    <row r="375" spans="2:16" ht="20.149999999999999" customHeight="1" x14ac:dyDescent="0.2">
      <c r="B375" s="30">
        <v>46178</v>
      </c>
      <c r="C375" s="31" t="s">
        <v>1151</v>
      </c>
      <c r="D375" s="31" t="s">
        <v>1148</v>
      </c>
      <c r="E375" s="31" t="s">
        <v>22</v>
      </c>
      <c r="F375" s="31">
        <v>20260601022</v>
      </c>
      <c r="G375" s="31" t="s">
        <v>1150</v>
      </c>
      <c r="H375" s="41">
        <f>H373-K375</f>
        <v>211027.17811704837</v>
      </c>
      <c r="I375" s="41">
        <v>4070</v>
      </c>
      <c r="J375" s="41">
        <v>4110</v>
      </c>
      <c r="K375" s="41">
        <f t="shared" si="36"/>
        <v>5230.0076335877857</v>
      </c>
      <c r="L375" s="42"/>
      <c r="M375" s="89"/>
      <c r="N375" s="31"/>
      <c r="O375" s="29">
        <v>46176</v>
      </c>
      <c r="P375" s="28">
        <f>DATE(YEAR(O375)+1,MONTH(O375),DAY(O375))-1</f>
        <v>46540</v>
      </c>
    </row>
    <row r="376" spans="2:16" ht="20.149999999999999" customHeight="1" x14ac:dyDescent="0.2">
      <c r="B376" s="30">
        <v>46178</v>
      </c>
      <c r="C376" s="31" t="s">
        <v>1154</v>
      </c>
      <c r="D376" s="31" t="s">
        <v>1153</v>
      </c>
      <c r="E376" s="31" t="s">
        <v>22</v>
      </c>
      <c r="F376" s="31">
        <v>20260601023</v>
      </c>
      <c r="G376" s="31" t="s">
        <v>950</v>
      </c>
      <c r="H376" s="41">
        <f>H375-K376</f>
        <v>205797.17048346059</v>
      </c>
      <c r="I376" s="41">
        <v>4150</v>
      </c>
      <c r="J376" s="41">
        <v>4110</v>
      </c>
      <c r="K376" s="41">
        <f t="shared" si="36"/>
        <v>5230.0076335877857</v>
      </c>
      <c r="L376" s="42"/>
      <c r="M376" s="89"/>
      <c r="N376" s="31"/>
      <c r="O376" s="29">
        <v>46177</v>
      </c>
      <c r="P376" s="28">
        <f>DATE(YEAR(O376)+1,MONTH(O376),DAY(O376))-1</f>
        <v>46541</v>
      </c>
    </row>
    <row r="377" spans="2:16" ht="20.149999999999999" customHeight="1" x14ac:dyDescent="0.2">
      <c r="B377" s="34">
        <v>46179</v>
      </c>
      <c r="C377" s="35" t="s">
        <v>1159</v>
      </c>
      <c r="D377" s="35" t="s">
        <v>1157</v>
      </c>
      <c r="E377" s="35" t="s">
        <v>25</v>
      </c>
      <c r="F377" s="35">
        <v>20260601012</v>
      </c>
      <c r="G377" s="59" t="s">
        <v>836</v>
      </c>
      <c r="H377" s="43">
        <f>H374-K377</f>
        <v>544421.77608142525</v>
      </c>
      <c r="I377" s="43">
        <v>4350</v>
      </c>
      <c r="J377" s="43">
        <v>4350</v>
      </c>
      <c r="K377" s="43">
        <f t="shared" si="36"/>
        <v>5535.3511450381675</v>
      </c>
      <c r="L377" s="44"/>
      <c r="M377" s="92"/>
      <c r="N377" s="35"/>
      <c r="O377" s="29">
        <v>46177</v>
      </c>
      <c r="P377" s="28">
        <f t="shared" si="33"/>
        <v>46541</v>
      </c>
    </row>
    <row r="378" spans="2:16" ht="20.149999999999999" customHeight="1" x14ac:dyDescent="0.2">
      <c r="B378" s="34">
        <v>46179</v>
      </c>
      <c r="C378" s="35" t="s">
        <v>1162</v>
      </c>
      <c r="D378" s="35" t="s">
        <v>1158</v>
      </c>
      <c r="E378" s="35" t="s">
        <v>25</v>
      </c>
      <c r="F378" s="35">
        <v>20260601013</v>
      </c>
      <c r="G378" s="59" t="s">
        <v>836</v>
      </c>
      <c r="H378" s="43">
        <f>H377-K378</f>
        <v>539013.65139949135</v>
      </c>
      <c r="I378" s="43">
        <v>4180</v>
      </c>
      <c r="J378" s="43">
        <v>4250</v>
      </c>
      <c r="K378" s="43">
        <f t="shared" si="36"/>
        <v>5408.1246819338421</v>
      </c>
      <c r="L378" s="44"/>
      <c r="M378" s="92"/>
      <c r="N378" s="35"/>
      <c r="O378" s="29">
        <v>46177</v>
      </c>
      <c r="P378" s="28">
        <f>DATE(YEAR(O378)+1,MONTH(O378),DAY(O378))-1</f>
        <v>46541</v>
      </c>
    </row>
    <row r="379" spans="2:16" ht="20.149999999999999" customHeight="1" x14ac:dyDescent="0.2">
      <c r="B379" s="30">
        <v>46179</v>
      </c>
      <c r="C379" s="31" t="s">
        <v>1163</v>
      </c>
      <c r="D379" s="31" t="s">
        <v>1160</v>
      </c>
      <c r="E379" s="31" t="s">
        <v>22</v>
      </c>
      <c r="F379" s="31">
        <v>20260601024</v>
      </c>
      <c r="G379" s="31" t="s">
        <v>950</v>
      </c>
      <c r="H379" s="41">
        <f>H376-K379</f>
        <v>200172.7608142494</v>
      </c>
      <c r="I379" s="41">
        <v>4490</v>
      </c>
      <c r="J379" s="41">
        <v>4420</v>
      </c>
      <c r="K379" s="41">
        <f t="shared" si="36"/>
        <v>5624.4096692111953</v>
      </c>
      <c r="L379" s="42"/>
      <c r="M379" s="89"/>
      <c r="N379" s="31"/>
      <c r="O379" s="29">
        <v>46177</v>
      </c>
      <c r="P379" s="28">
        <f>DATE(YEAR(O379)+1,MONTH(O379),DAY(O379))-1</f>
        <v>46541</v>
      </c>
    </row>
    <row r="380" spans="2:16" ht="20.149999999999999" customHeight="1" x14ac:dyDescent="0.2">
      <c r="B380" s="30">
        <v>46179</v>
      </c>
      <c r="C380" s="31" t="s">
        <v>1164</v>
      </c>
      <c r="D380" s="31" t="s">
        <v>1161</v>
      </c>
      <c r="E380" s="31" t="s">
        <v>22</v>
      </c>
      <c r="F380" s="31">
        <v>20260601025</v>
      </c>
      <c r="G380" s="31" t="s">
        <v>950</v>
      </c>
      <c r="H380" s="41">
        <f>H379-K380</f>
        <v>194803.80407124685</v>
      </c>
      <c r="I380" s="41">
        <v>4230</v>
      </c>
      <c r="J380" s="41">
        <v>4220</v>
      </c>
      <c r="K380" s="41">
        <f>J380/0.786</f>
        <v>5368.9567430025445</v>
      </c>
      <c r="L380" s="42"/>
      <c r="M380" s="89"/>
      <c r="N380" s="31"/>
      <c r="O380" s="29">
        <v>46177</v>
      </c>
      <c r="P380" s="28">
        <f>DATE(YEAR(O380)+1,MONTH(O380),DAY(O380))-1</f>
        <v>46541</v>
      </c>
    </row>
    <row r="381" spans="2:16" ht="20.149999999999999" customHeight="1" x14ac:dyDescent="0.2">
      <c r="B381" s="34">
        <v>46180</v>
      </c>
      <c r="C381" s="35" t="s">
        <v>1171</v>
      </c>
      <c r="D381" s="35" t="s">
        <v>1167</v>
      </c>
      <c r="E381" s="35" t="s">
        <v>25</v>
      </c>
      <c r="F381" s="35">
        <v>20260601014</v>
      </c>
      <c r="G381" s="59" t="s">
        <v>1170</v>
      </c>
      <c r="H381" s="43">
        <f>H378-K381</f>
        <v>533618.24936386792</v>
      </c>
      <c r="I381" s="43">
        <v>4240</v>
      </c>
      <c r="J381" s="43">
        <v>4240</v>
      </c>
      <c r="K381" s="43">
        <f>J381/0.786+1</f>
        <v>5395.4020356234096</v>
      </c>
      <c r="L381" s="44"/>
      <c r="M381" s="92"/>
      <c r="N381" s="35"/>
      <c r="O381" s="29">
        <v>46178</v>
      </c>
      <c r="P381" s="28">
        <f t="shared" si="33"/>
        <v>46542</v>
      </c>
    </row>
    <row r="382" spans="2:16" ht="20" customHeight="1" x14ac:dyDescent="0.2">
      <c r="B382" s="30">
        <v>46180</v>
      </c>
      <c r="C382" s="31" t="s">
        <v>1173</v>
      </c>
      <c r="D382" s="31" t="s">
        <v>1168</v>
      </c>
      <c r="E382" s="31" t="s">
        <v>22</v>
      </c>
      <c r="F382" s="31">
        <v>20260601026</v>
      </c>
      <c r="G382" s="31" t="s">
        <v>1172</v>
      </c>
      <c r="H382" s="41">
        <f>H380-K382</f>
        <v>189562.07379134864</v>
      </c>
      <c r="I382" s="41">
        <v>4200</v>
      </c>
      <c r="J382" s="41">
        <v>4120</v>
      </c>
      <c r="K382" s="41">
        <f t="shared" ref="K382:K386" si="37">J382/0.786</f>
        <v>5241.7302798982182</v>
      </c>
      <c r="L382" s="42"/>
      <c r="M382" s="89"/>
      <c r="N382" s="31"/>
      <c r="O382" s="29">
        <v>46178</v>
      </c>
      <c r="P382" s="28">
        <f t="shared" ref="P382:P391" si="38">DATE(YEAR(O382)+1,MONTH(O382),DAY(O382))-1</f>
        <v>46542</v>
      </c>
    </row>
    <row r="383" spans="2:16" ht="20.149999999999999" customHeight="1" x14ac:dyDescent="0.2">
      <c r="B383" s="30">
        <v>46180</v>
      </c>
      <c r="C383" s="31" t="s">
        <v>1174</v>
      </c>
      <c r="D383" s="31" t="s">
        <v>1169</v>
      </c>
      <c r="E383" s="31" t="s">
        <v>22</v>
      </c>
      <c r="F383" s="31">
        <v>20260601027</v>
      </c>
      <c r="G383" s="31" t="s">
        <v>950</v>
      </c>
      <c r="H383" s="41">
        <f>H382-K383</f>
        <v>184142.22646310437</v>
      </c>
      <c r="I383" s="41">
        <v>4190</v>
      </c>
      <c r="J383" s="41">
        <v>4260</v>
      </c>
      <c r="K383" s="41">
        <f t="shared" si="37"/>
        <v>5419.8473282442746</v>
      </c>
      <c r="L383" s="42"/>
      <c r="M383" s="89"/>
      <c r="N383" s="31"/>
      <c r="O383" s="29">
        <v>46178</v>
      </c>
      <c r="P383" s="28">
        <f t="shared" si="38"/>
        <v>46542</v>
      </c>
    </row>
    <row r="384" spans="2:16" ht="20.149999999999999" customHeight="1" x14ac:dyDescent="0.2">
      <c r="B384" s="34">
        <v>46181</v>
      </c>
      <c r="C384" s="35" t="s">
        <v>1184</v>
      </c>
      <c r="D384" s="35" t="s">
        <v>1176</v>
      </c>
      <c r="E384" s="35" t="s">
        <v>25</v>
      </c>
      <c r="F384" s="35">
        <v>20260601015</v>
      </c>
      <c r="G384" s="59" t="s">
        <v>836</v>
      </c>
      <c r="H384" s="43">
        <f>H381-K384</f>
        <v>528198.40203562367</v>
      </c>
      <c r="I384" s="43">
        <v>4280</v>
      </c>
      <c r="J384" s="43">
        <v>4260</v>
      </c>
      <c r="K384" s="43">
        <f>J384/0.786</f>
        <v>5419.8473282442746</v>
      </c>
      <c r="L384" s="44"/>
      <c r="M384" s="92"/>
      <c r="N384" s="35"/>
      <c r="O384" s="29">
        <v>46179</v>
      </c>
      <c r="P384" s="28">
        <f>DATE(YEAR(O384)+1,MONTH(O384),DAY(O384))-1</f>
        <v>46543</v>
      </c>
    </row>
    <row r="385" spans="1:340" ht="20.149999999999999" customHeight="1" x14ac:dyDescent="0.2">
      <c r="B385" s="34">
        <v>46181</v>
      </c>
      <c r="C385" s="35" t="s">
        <v>1186</v>
      </c>
      <c r="D385" s="35" t="s">
        <v>1177</v>
      </c>
      <c r="E385" s="35" t="s">
        <v>25</v>
      </c>
      <c r="F385" s="35">
        <v>20260601016</v>
      </c>
      <c r="G385" s="59" t="s">
        <v>1182</v>
      </c>
      <c r="H385" s="43">
        <f>H384-K385</f>
        <v>522930.2264631046</v>
      </c>
      <c r="I385" s="43">
        <v>4130</v>
      </c>
      <c r="J385" s="43">
        <v>4140</v>
      </c>
      <c r="K385" s="43">
        <f>J385/0.786+1</f>
        <v>5268.1755725190842</v>
      </c>
      <c r="L385" s="44"/>
      <c r="M385" s="92"/>
      <c r="N385" s="35"/>
      <c r="O385" s="29">
        <v>46179</v>
      </c>
      <c r="P385" s="28">
        <f t="shared" si="38"/>
        <v>46543</v>
      </c>
    </row>
    <row r="386" spans="1:340" ht="20.149999999999999" customHeight="1" x14ac:dyDescent="0.2">
      <c r="B386" s="30">
        <v>46181</v>
      </c>
      <c r="C386" s="31" t="s">
        <v>1181</v>
      </c>
      <c r="D386" s="31" t="s">
        <v>1178</v>
      </c>
      <c r="E386" s="31" t="s">
        <v>22</v>
      </c>
      <c r="F386" s="31">
        <v>20260601028</v>
      </c>
      <c r="G386" s="31" t="s">
        <v>950</v>
      </c>
      <c r="H386" s="41">
        <f>H383-K386</f>
        <v>178671.48854961837</v>
      </c>
      <c r="I386" s="41">
        <v>4280</v>
      </c>
      <c r="J386" s="41">
        <v>4300</v>
      </c>
      <c r="K386" s="41">
        <f t="shared" si="37"/>
        <v>5470.7379134860048</v>
      </c>
      <c r="L386" s="42"/>
      <c r="M386" s="89"/>
      <c r="N386" s="31"/>
      <c r="O386" s="29">
        <v>46179</v>
      </c>
      <c r="P386" s="28">
        <f t="shared" si="38"/>
        <v>46543</v>
      </c>
    </row>
    <row r="387" spans="1:340" ht="20.149999999999999" customHeight="1" x14ac:dyDescent="0.2">
      <c r="B387" s="30">
        <v>46181</v>
      </c>
      <c r="C387" s="31" t="s">
        <v>1185</v>
      </c>
      <c r="D387" s="31" t="s">
        <v>1179</v>
      </c>
      <c r="E387" s="31" t="s">
        <v>22</v>
      </c>
      <c r="F387" s="31">
        <v>20260601029</v>
      </c>
      <c r="G387" s="31" t="s">
        <v>950</v>
      </c>
      <c r="H387" s="41">
        <f>H386-K387</f>
        <v>173314.25445292625</v>
      </c>
      <c r="I387" s="41">
        <v>4230</v>
      </c>
      <c r="J387" s="41">
        <v>4210</v>
      </c>
      <c r="K387" s="41">
        <f>J387/0.786+1</f>
        <v>5357.234096692112</v>
      </c>
      <c r="L387" s="42"/>
      <c r="M387" s="89"/>
      <c r="N387" s="31"/>
      <c r="O387" s="29">
        <v>46180</v>
      </c>
      <c r="P387" s="28">
        <f t="shared" si="38"/>
        <v>46544</v>
      </c>
    </row>
    <row r="388" spans="1:340" s="78" customFormat="1" ht="20.149999999999999" customHeight="1" x14ac:dyDescent="0.25">
      <c r="A388" s="75"/>
      <c r="B388" s="69">
        <v>46182</v>
      </c>
      <c r="C388" s="70" t="s">
        <v>1191</v>
      </c>
      <c r="D388" s="70" t="s">
        <v>1165</v>
      </c>
      <c r="E388" s="70" t="s">
        <v>1034</v>
      </c>
      <c r="F388" s="70">
        <v>20260605010</v>
      </c>
      <c r="G388" s="70" t="s">
        <v>1066</v>
      </c>
      <c r="H388" s="71">
        <f>H360-K388</f>
        <v>14448.926208651399</v>
      </c>
      <c r="I388" s="71">
        <v>4290</v>
      </c>
      <c r="J388" s="71">
        <v>4330</v>
      </c>
      <c r="K388" s="71">
        <f>J388/0.786</f>
        <v>5508.9058524173024</v>
      </c>
      <c r="L388" s="77"/>
      <c r="M388" s="97"/>
      <c r="N388" s="76"/>
      <c r="O388" s="29">
        <v>46180</v>
      </c>
      <c r="P388" s="28">
        <f t="shared" si="38"/>
        <v>46544</v>
      </c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  <c r="AG388" s="79"/>
      <c r="AH388" s="79"/>
      <c r="AI388" s="79"/>
      <c r="AJ388" s="79"/>
      <c r="AK388" s="79"/>
      <c r="AL388" s="79"/>
      <c r="AM388" s="79"/>
      <c r="AN388" s="79"/>
      <c r="AO388" s="79"/>
      <c r="AP388" s="79"/>
      <c r="AQ388" s="79"/>
      <c r="AR388" s="79"/>
      <c r="AS388" s="79"/>
      <c r="AT388" s="79"/>
      <c r="AU388" s="79"/>
      <c r="AV388" s="79"/>
      <c r="AW388" s="79"/>
      <c r="AX388" s="79"/>
      <c r="AY388" s="79"/>
      <c r="AZ388" s="79"/>
      <c r="BA388" s="79"/>
      <c r="BB388" s="79"/>
      <c r="BC388" s="79"/>
      <c r="BD388" s="79"/>
      <c r="BE388" s="79"/>
      <c r="BF388" s="79"/>
      <c r="BG388" s="79"/>
      <c r="BH388" s="79"/>
      <c r="BI388" s="79"/>
      <c r="BJ388" s="79"/>
      <c r="BK388" s="79"/>
      <c r="BL388" s="79"/>
      <c r="BM388" s="79"/>
      <c r="BN388" s="79"/>
      <c r="BO388" s="79"/>
      <c r="BP388" s="79"/>
      <c r="BQ388" s="79"/>
      <c r="BR388" s="79"/>
      <c r="BS388" s="79"/>
      <c r="BT388" s="79"/>
      <c r="BU388" s="79"/>
      <c r="BV388" s="79"/>
      <c r="BW388" s="79"/>
      <c r="BX388" s="79"/>
      <c r="BY388" s="79"/>
      <c r="BZ388" s="79"/>
      <c r="CA388" s="79"/>
      <c r="CB388" s="79"/>
      <c r="CC388" s="79"/>
      <c r="CD388" s="79"/>
      <c r="CE388" s="79"/>
      <c r="CF388" s="79"/>
      <c r="CG388" s="79"/>
      <c r="CH388" s="79"/>
      <c r="CI388" s="79"/>
      <c r="CJ388" s="79"/>
      <c r="CK388" s="79"/>
      <c r="CL388" s="79"/>
      <c r="CM388" s="79"/>
      <c r="CN388" s="79"/>
      <c r="CO388" s="79"/>
      <c r="CP388" s="79"/>
      <c r="CQ388" s="79"/>
      <c r="CR388" s="79"/>
      <c r="CS388" s="79"/>
      <c r="CT388" s="79"/>
      <c r="CU388" s="79"/>
      <c r="CV388" s="79"/>
      <c r="CW388" s="79"/>
      <c r="CX388" s="79"/>
      <c r="CY388" s="79"/>
      <c r="CZ388" s="79"/>
      <c r="DA388" s="79"/>
      <c r="DB388" s="79"/>
      <c r="DC388" s="79"/>
      <c r="DD388" s="79"/>
      <c r="DE388" s="79"/>
      <c r="DF388" s="79"/>
      <c r="DG388" s="79"/>
      <c r="DH388" s="79"/>
      <c r="DI388" s="79"/>
      <c r="DJ388" s="79"/>
      <c r="DK388" s="79"/>
      <c r="DL388" s="79"/>
      <c r="DM388" s="79"/>
      <c r="DN388" s="79"/>
      <c r="DO388" s="79"/>
      <c r="DP388" s="79"/>
      <c r="DQ388" s="79"/>
      <c r="DR388" s="79"/>
      <c r="DS388" s="79"/>
      <c r="DT388" s="79"/>
      <c r="DU388" s="79"/>
      <c r="DV388" s="79"/>
      <c r="DW388" s="79"/>
      <c r="DX388" s="79"/>
      <c r="DY388" s="79"/>
      <c r="DZ388" s="79"/>
      <c r="EA388" s="79"/>
      <c r="EB388" s="79"/>
      <c r="EC388" s="79"/>
      <c r="ED388" s="79"/>
      <c r="EE388" s="79"/>
      <c r="EF388" s="79"/>
      <c r="EG388" s="79"/>
      <c r="EH388" s="79"/>
      <c r="EI388" s="79"/>
      <c r="EJ388" s="79"/>
      <c r="EK388" s="79"/>
      <c r="EL388" s="79"/>
      <c r="EM388" s="79"/>
      <c r="EN388" s="79"/>
      <c r="EO388" s="79"/>
      <c r="EP388" s="79"/>
      <c r="EQ388" s="79"/>
      <c r="ER388" s="79"/>
      <c r="ES388" s="79"/>
      <c r="ET388" s="79"/>
      <c r="EU388" s="79"/>
      <c r="EV388" s="79"/>
      <c r="EW388" s="79"/>
      <c r="EX388" s="79"/>
      <c r="EY388" s="79"/>
      <c r="EZ388" s="79"/>
      <c r="FA388" s="79"/>
      <c r="FB388" s="79"/>
      <c r="FC388" s="79"/>
      <c r="FD388" s="79"/>
      <c r="FE388" s="79"/>
      <c r="FF388" s="79"/>
      <c r="FG388" s="79"/>
      <c r="FH388" s="79"/>
      <c r="FI388" s="79"/>
      <c r="FJ388" s="79"/>
      <c r="FK388" s="79"/>
      <c r="FL388" s="79"/>
      <c r="FM388" s="79"/>
      <c r="FN388" s="79"/>
      <c r="FO388" s="79"/>
      <c r="FP388" s="79"/>
      <c r="FQ388" s="79"/>
      <c r="FR388" s="79"/>
      <c r="FS388" s="79"/>
      <c r="FT388" s="79"/>
      <c r="FU388" s="79"/>
      <c r="FV388" s="79"/>
      <c r="FW388" s="79"/>
      <c r="FX388" s="79"/>
      <c r="FY388" s="79"/>
      <c r="FZ388" s="79"/>
      <c r="GA388" s="79"/>
      <c r="GB388" s="79"/>
      <c r="GC388" s="79"/>
      <c r="GD388" s="79"/>
      <c r="GE388" s="79"/>
      <c r="GF388" s="79"/>
      <c r="GG388" s="79"/>
      <c r="GH388" s="79"/>
      <c r="GI388" s="79"/>
      <c r="GJ388" s="79"/>
      <c r="GK388" s="79"/>
      <c r="GL388" s="79"/>
      <c r="GM388" s="79"/>
      <c r="GN388" s="79"/>
      <c r="GO388" s="79"/>
      <c r="GP388" s="79"/>
      <c r="GQ388" s="79"/>
      <c r="GR388" s="79"/>
      <c r="GS388" s="79"/>
      <c r="GT388" s="79"/>
      <c r="GU388" s="79"/>
      <c r="GV388" s="79"/>
      <c r="GW388" s="79"/>
      <c r="GX388" s="79"/>
      <c r="GY388" s="79"/>
      <c r="GZ388" s="79"/>
      <c r="HA388" s="79"/>
      <c r="HB388" s="79"/>
      <c r="HC388" s="79"/>
      <c r="HD388" s="79"/>
      <c r="HE388" s="79"/>
      <c r="HF388" s="79"/>
      <c r="HG388" s="79"/>
      <c r="HH388" s="79"/>
      <c r="HI388" s="79"/>
      <c r="HJ388" s="79"/>
      <c r="HK388" s="79"/>
      <c r="HL388" s="79"/>
      <c r="HM388" s="79"/>
      <c r="HN388" s="79"/>
      <c r="HO388" s="79"/>
      <c r="HP388" s="79"/>
      <c r="HQ388" s="79"/>
      <c r="HR388" s="79"/>
      <c r="HS388" s="79"/>
      <c r="HT388" s="79"/>
      <c r="HU388" s="79"/>
      <c r="HV388" s="79"/>
      <c r="HW388" s="79"/>
      <c r="HX388" s="79"/>
      <c r="HY388" s="79"/>
      <c r="HZ388" s="79"/>
      <c r="IA388" s="79"/>
      <c r="IB388" s="79"/>
      <c r="IC388" s="79"/>
      <c r="ID388" s="79"/>
      <c r="IE388" s="79"/>
      <c r="IF388" s="79"/>
      <c r="IG388" s="79"/>
      <c r="IH388" s="79"/>
      <c r="II388" s="79"/>
      <c r="IJ388" s="79"/>
      <c r="IK388" s="79"/>
      <c r="IL388" s="79"/>
      <c r="IM388" s="79"/>
      <c r="IN388" s="79"/>
      <c r="IO388" s="79"/>
      <c r="IP388" s="79"/>
      <c r="IQ388" s="79"/>
      <c r="IR388" s="79"/>
      <c r="IS388" s="79"/>
      <c r="IT388" s="79"/>
      <c r="IU388" s="79"/>
      <c r="IV388" s="79"/>
      <c r="IW388" s="79"/>
      <c r="IX388" s="79"/>
      <c r="IY388" s="79"/>
      <c r="IZ388" s="79"/>
      <c r="JA388" s="79"/>
      <c r="JB388" s="79"/>
      <c r="JC388" s="79"/>
      <c r="JD388" s="79"/>
      <c r="JE388" s="79"/>
      <c r="JF388" s="79"/>
      <c r="JG388" s="79"/>
      <c r="JH388" s="79"/>
      <c r="JI388" s="79"/>
      <c r="JJ388" s="79"/>
      <c r="JK388" s="79"/>
      <c r="JL388" s="79"/>
      <c r="JM388" s="79"/>
      <c r="JN388" s="79"/>
      <c r="JO388" s="79"/>
      <c r="JP388" s="79"/>
      <c r="JQ388" s="79"/>
      <c r="JR388" s="79"/>
      <c r="JS388" s="79"/>
      <c r="JT388" s="79"/>
      <c r="JU388" s="79"/>
      <c r="JV388" s="79"/>
      <c r="JW388" s="79"/>
      <c r="JX388" s="79"/>
      <c r="JY388" s="79"/>
      <c r="JZ388" s="79"/>
      <c r="KA388" s="79"/>
      <c r="KB388" s="79"/>
      <c r="KC388" s="79"/>
      <c r="KD388" s="79"/>
      <c r="KE388" s="79"/>
      <c r="KF388" s="79"/>
      <c r="KG388" s="79"/>
      <c r="KH388" s="79"/>
      <c r="KI388" s="79"/>
      <c r="KJ388" s="79"/>
      <c r="KK388" s="79"/>
      <c r="KL388" s="79"/>
      <c r="KM388" s="79"/>
      <c r="KN388" s="79"/>
      <c r="KO388" s="79"/>
      <c r="KP388" s="79"/>
      <c r="KQ388" s="79"/>
      <c r="KR388" s="79"/>
      <c r="KS388" s="79"/>
      <c r="KT388" s="79"/>
      <c r="KU388" s="79"/>
      <c r="KV388" s="79"/>
      <c r="KW388" s="79"/>
      <c r="KX388" s="79"/>
      <c r="KY388" s="79"/>
      <c r="KZ388" s="79"/>
      <c r="LA388" s="79"/>
      <c r="LB388" s="79"/>
      <c r="LC388" s="79"/>
      <c r="LD388" s="79"/>
      <c r="LE388" s="79"/>
      <c r="LF388" s="79"/>
      <c r="LG388" s="79"/>
      <c r="LH388" s="79"/>
      <c r="LI388" s="79"/>
      <c r="LJ388" s="79"/>
      <c r="LK388" s="79"/>
      <c r="LL388" s="79"/>
      <c r="LM388" s="79"/>
      <c r="LN388" s="79"/>
      <c r="LO388" s="79"/>
      <c r="LP388" s="79"/>
      <c r="LQ388" s="79"/>
      <c r="LR388" s="79"/>
      <c r="LS388" s="79"/>
      <c r="LT388" s="79"/>
      <c r="LU388" s="79"/>
      <c r="LV388" s="79"/>
      <c r="LW388" s="79"/>
      <c r="LX388" s="79"/>
      <c r="LY388" s="79"/>
      <c r="LZ388" s="79"/>
      <c r="MA388" s="79"/>
      <c r="MB388" s="79"/>
    </row>
    <row r="389" spans="1:340" ht="20.149999999999999" customHeight="1" x14ac:dyDescent="0.2">
      <c r="B389" s="69">
        <v>46182</v>
      </c>
      <c r="C389" s="70" t="s">
        <v>1197</v>
      </c>
      <c r="D389" s="70" t="s">
        <v>1196</v>
      </c>
      <c r="E389" s="70" t="s">
        <v>1034</v>
      </c>
      <c r="F389" s="70" t="s">
        <v>2237</v>
      </c>
      <c r="G389" s="70" t="s">
        <v>1201</v>
      </c>
      <c r="H389" s="71">
        <f>H388-K389</f>
        <v>10274.898218829516</v>
      </c>
      <c r="I389" s="71">
        <v>4270</v>
      </c>
      <c r="J389" s="71">
        <v>3280</v>
      </c>
      <c r="K389" s="71">
        <f>J389/0.786+1</f>
        <v>4174.0279898218823</v>
      </c>
      <c r="L389" s="72"/>
      <c r="M389" s="96"/>
      <c r="N389" s="70"/>
      <c r="O389" s="29">
        <v>46181</v>
      </c>
      <c r="P389" s="28">
        <f>DATE(YEAR(O389)+1,MONTH(O389),DAY(O389))-1</f>
        <v>46545</v>
      </c>
    </row>
    <row r="390" spans="1:340" ht="20.149999999999999" customHeight="1" x14ac:dyDescent="0.2">
      <c r="B390" s="34">
        <v>46182</v>
      </c>
      <c r="C390" s="35" t="s">
        <v>1194</v>
      </c>
      <c r="D390" s="35" t="s">
        <v>1188</v>
      </c>
      <c r="E390" s="35" t="s">
        <v>25</v>
      </c>
      <c r="F390" s="35">
        <v>20260601017</v>
      </c>
      <c r="G390" s="59" t="s">
        <v>836</v>
      </c>
      <c r="H390" s="43">
        <f>H385-K390</f>
        <v>517471.21119592903</v>
      </c>
      <c r="I390" s="43">
        <v>4400</v>
      </c>
      <c r="J390" s="43">
        <v>4290</v>
      </c>
      <c r="K390" s="43">
        <f>J390/0.786+1</f>
        <v>5459.0152671755723</v>
      </c>
      <c r="L390" s="44"/>
      <c r="M390" s="92"/>
      <c r="N390" s="35"/>
      <c r="O390" s="29">
        <v>46180</v>
      </c>
      <c r="P390" s="28">
        <f t="shared" si="38"/>
        <v>46544</v>
      </c>
    </row>
    <row r="391" spans="1:340" ht="20.149999999999999" customHeight="1" x14ac:dyDescent="0.2">
      <c r="B391" s="34">
        <v>46182</v>
      </c>
      <c r="C391" s="35" t="s">
        <v>1200</v>
      </c>
      <c r="D391" s="35" t="s">
        <v>1192</v>
      </c>
      <c r="E391" s="35" t="s">
        <v>25</v>
      </c>
      <c r="F391" s="35" t="s">
        <v>2238</v>
      </c>
      <c r="G391" s="59" t="s">
        <v>888</v>
      </c>
      <c r="H391" s="43">
        <f>H390-K391</f>
        <v>512012.19592875347</v>
      </c>
      <c r="I391" s="43">
        <v>4320</v>
      </c>
      <c r="J391" s="43">
        <v>4290</v>
      </c>
      <c r="K391" s="43">
        <f>J391/0.786+1</f>
        <v>5459.0152671755723</v>
      </c>
      <c r="L391" s="44"/>
      <c r="M391" s="92"/>
      <c r="N391" s="35"/>
      <c r="O391" s="29">
        <v>46181</v>
      </c>
      <c r="P391" s="28">
        <f t="shared" si="38"/>
        <v>46545</v>
      </c>
    </row>
    <row r="392" spans="1:340" ht="20.149999999999999" customHeight="1" x14ac:dyDescent="0.2">
      <c r="B392" s="30">
        <v>46182</v>
      </c>
      <c r="C392" s="31" t="s">
        <v>1190</v>
      </c>
      <c r="D392" s="31" t="s">
        <v>1189</v>
      </c>
      <c r="E392" s="31" t="s">
        <v>22</v>
      </c>
      <c r="F392" s="31">
        <v>20260601030</v>
      </c>
      <c r="G392" s="31" t="s">
        <v>950</v>
      </c>
      <c r="H392" s="41">
        <f>H387-K392</f>
        <v>167867.96183206112</v>
      </c>
      <c r="I392" s="41">
        <v>4300</v>
      </c>
      <c r="J392" s="41">
        <v>4280</v>
      </c>
      <c r="K392" s="41">
        <f>J392/0.786+1</f>
        <v>5446.2926208651397</v>
      </c>
      <c r="L392" s="42"/>
      <c r="M392" s="89"/>
      <c r="N392" s="31"/>
      <c r="O392" s="29">
        <v>46180</v>
      </c>
      <c r="P392" s="28">
        <f t="shared" si="33"/>
        <v>46544</v>
      </c>
    </row>
    <row r="393" spans="1:340" ht="20.149999999999999" customHeight="1" x14ac:dyDescent="0.2">
      <c r="B393" s="30">
        <v>46182</v>
      </c>
      <c r="C393" s="31" t="s">
        <v>1195</v>
      </c>
      <c r="D393" s="31" t="s">
        <v>1193</v>
      </c>
      <c r="E393" s="31" t="s">
        <v>22</v>
      </c>
      <c r="F393" s="31">
        <v>20260601031</v>
      </c>
      <c r="G393" s="31" t="s">
        <v>950</v>
      </c>
      <c r="H393" s="41">
        <f>H392-K393</f>
        <v>162524.45038167943</v>
      </c>
      <c r="I393" s="41">
        <v>4290</v>
      </c>
      <c r="J393" s="41">
        <v>4200</v>
      </c>
      <c r="K393" s="41">
        <f t="shared" si="34"/>
        <v>5343.5114503816794</v>
      </c>
      <c r="L393" s="42"/>
      <c r="M393" s="89"/>
      <c r="N393" s="31"/>
      <c r="O393" s="29">
        <v>46181</v>
      </c>
      <c r="P393" s="28">
        <f t="shared" si="33"/>
        <v>46545</v>
      </c>
    </row>
    <row r="394" spans="1:340" ht="20.149999999999999" customHeight="1" x14ac:dyDescent="0.2">
      <c r="B394" s="34">
        <v>46183</v>
      </c>
      <c r="C394" s="35" t="s">
        <v>1206</v>
      </c>
      <c r="D394" s="35" t="s">
        <v>1203</v>
      </c>
      <c r="E394" s="35" t="s">
        <v>25</v>
      </c>
      <c r="F394" s="35" t="s">
        <v>2239</v>
      </c>
      <c r="G394" s="59" t="s">
        <v>1209</v>
      </c>
      <c r="H394" s="43">
        <f>H391-K394</f>
        <v>506541.45801526745</v>
      </c>
      <c r="I394" s="43">
        <v>4300</v>
      </c>
      <c r="J394" s="43">
        <v>4300</v>
      </c>
      <c r="K394" s="43">
        <f t="shared" ref="K394:K419" si="39">J394/0.786</f>
        <v>5470.7379134860048</v>
      </c>
      <c r="L394" s="44"/>
      <c r="M394" s="92"/>
      <c r="N394" s="35"/>
      <c r="O394" s="29">
        <v>46181</v>
      </c>
      <c r="P394" s="28">
        <f t="shared" ref="P394:P419" si="40">DATE(YEAR(O394)+1,MONTH(O394),DAY(O394))-1</f>
        <v>46545</v>
      </c>
    </row>
    <row r="395" spans="1:340" ht="20.149999999999999" customHeight="1" x14ac:dyDescent="0.2">
      <c r="B395" s="30">
        <v>46183</v>
      </c>
      <c r="C395" s="31" t="s">
        <v>1207</v>
      </c>
      <c r="D395" s="31" t="s">
        <v>1204</v>
      </c>
      <c r="E395" s="31" t="s">
        <v>22</v>
      </c>
      <c r="F395" s="31">
        <v>20260608013</v>
      </c>
      <c r="G395" s="31" t="s">
        <v>1208</v>
      </c>
      <c r="H395" s="41">
        <f>H393-K395</f>
        <v>157053.71246819344</v>
      </c>
      <c r="I395" s="41">
        <v>4240</v>
      </c>
      <c r="J395" s="41">
        <v>4300</v>
      </c>
      <c r="K395" s="41">
        <f>J395/0.786</f>
        <v>5470.7379134860048</v>
      </c>
      <c r="L395" s="42"/>
      <c r="M395" s="89"/>
      <c r="N395" s="31"/>
      <c r="O395" s="29">
        <v>46181</v>
      </c>
      <c r="P395" s="28">
        <f>DATE(YEAR(O395)+1,MONTH(O395),DAY(O395))-1</f>
        <v>46545</v>
      </c>
    </row>
    <row r="396" spans="1:340" ht="20.149999999999999" customHeight="1" x14ac:dyDescent="0.2">
      <c r="B396" s="30">
        <v>46183</v>
      </c>
      <c r="C396" s="31" t="s">
        <v>1210</v>
      </c>
      <c r="D396" s="31" t="s">
        <v>1205</v>
      </c>
      <c r="E396" s="31" t="s">
        <v>22</v>
      </c>
      <c r="F396" s="31">
        <v>20260608014</v>
      </c>
      <c r="G396" s="31" t="s">
        <v>950</v>
      </c>
      <c r="H396" s="41">
        <f>H395-K396</f>
        <v>151505.63867684483</v>
      </c>
      <c r="I396" s="41">
        <v>4360</v>
      </c>
      <c r="J396" s="41">
        <v>4360</v>
      </c>
      <c r="K396" s="41">
        <f>J396/0.786+1</f>
        <v>5548.0737913486</v>
      </c>
      <c r="L396" s="42"/>
      <c r="M396" s="89"/>
      <c r="N396" s="31"/>
      <c r="O396" s="29">
        <v>46181</v>
      </c>
      <c r="P396" s="28">
        <f>DATE(YEAR(O396)+1,MONTH(O396),DAY(O396))-1</f>
        <v>46545</v>
      </c>
    </row>
    <row r="397" spans="1:340" ht="20.149999999999999" customHeight="1" x14ac:dyDescent="0.2">
      <c r="B397" s="34">
        <v>46184</v>
      </c>
      <c r="C397" s="35" t="s">
        <v>1219</v>
      </c>
      <c r="D397" s="35" t="s">
        <v>1213</v>
      </c>
      <c r="E397" s="35" t="s">
        <v>25</v>
      </c>
      <c r="F397" s="35" t="s">
        <v>2240</v>
      </c>
      <c r="G397" s="59" t="s">
        <v>1048</v>
      </c>
      <c r="H397" s="43">
        <f>H394-K397</f>
        <v>501032.55216285016</v>
      </c>
      <c r="I397" s="43">
        <v>4300</v>
      </c>
      <c r="J397" s="43">
        <v>4330</v>
      </c>
      <c r="K397" s="43">
        <f t="shared" si="39"/>
        <v>5508.9058524173024</v>
      </c>
      <c r="L397" s="44"/>
      <c r="M397" s="92"/>
      <c r="N397" s="35"/>
      <c r="O397" s="29">
        <v>46182</v>
      </c>
      <c r="P397" s="28">
        <f t="shared" si="40"/>
        <v>46546</v>
      </c>
    </row>
    <row r="398" spans="1:340" ht="20.149999999999999" customHeight="1" x14ac:dyDescent="0.2">
      <c r="B398" s="34">
        <v>46184</v>
      </c>
      <c r="C398" s="35" t="s">
        <v>1217</v>
      </c>
      <c r="D398" s="35" t="s">
        <v>1214</v>
      </c>
      <c r="E398" s="35" t="s">
        <v>25</v>
      </c>
      <c r="F398" s="35" t="s">
        <v>2241</v>
      </c>
      <c r="G398" s="59" t="s">
        <v>836</v>
      </c>
      <c r="H398" s="43">
        <f>H397-K398</f>
        <v>495739.93129771022</v>
      </c>
      <c r="I398" s="43">
        <v>4200</v>
      </c>
      <c r="J398" s="43">
        <v>4160</v>
      </c>
      <c r="K398" s="43">
        <f t="shared" si="39"/>
        <v>5292.6208651399493</v>
      </c>
      <c r="L398" s="44"/>
      <c r="M398" s="92"/>
      <c r="N398" s="35"/>
      <c r="O398" s="29">
        <v>46182</v>
      </c>
      <c r="P398" s="28">
        <f t="shared" si="40"/>
        <v>46546</v>
      </c>
    </row>
    <row r="399" spans="1:340" ht="20.149999999999999" customHeight="1" x14ac:dyDescent="0.2">
      <c r="B399" s="30">
        <v>46184</v>
      </c>
      <c r="C399" s="31" t="s">
        <v>1220</v>
      </c>
      <c r="D399" s="31" t="s">
        <v>1215</v>
      </c>
      <c r="E399" s="31" t="s">
        <v>22</v>
      </c>
      <c r="F399" s="31">
        <v>20260608015</v>
      </c>
      <c r="G399" s="31" t="s">
        <v>1218</v>
      </c>
      <c r="H399" s="41">
        <f>H396-K399</f>
        <v>146059.34605597969</v>
      </c>
      <c r="I399" s="41">
        <v>4260</v>
      </c>
      <c r="J399" s="41">
        <v>4280</v>
      </c>
      <c r="K399" s="41">
        <f>J399/0.786+1</f>
        <v>5446.2926208651397</v>
      </c>
      <c r="L399" s="42"/>
      <c r="M399" s="89"/>
      <c r="N399" s="31"/>
      <c r="O399" s="29">
        <v>46182</v>
      </c>
      <c r="P399" s="28">
        <f>DATE(YEAR(O399)+1,MONTH(O399),DAY(O399))-1</f>
        <v>46546</v>
      </c>
    </row>
    <row r="400" spans="1:340" ht="20.149999999999999" customHeight="1" x14ac:dyDescent="0.2">
      <c r="B400" s="30">
        <v>46184</v>
      </c>
      <c r="C400" s="31" t="s">
        <v>1221</v>
      </c>
      <c r="D400" s="31" t="s">
        <v>1216</v>
      </c>
      <c r="E400" s="31" t="s">
        <v>22</v>
      </c>
      <c r="F400" s="31">
        <v>20260608016</v>
      </c>
      <c r="G400" s="31" t="s">
        <v>1172</v>
      </c>
      <c r="H400" s="41">
        <f>H399-K400</f>
        <v>140626.77608142499</v>
      </c>
      <c r="I400" s="41">
        <v>4390</v>
      </c>
      <c r="J400" s="41">
        <v>4270</v>
      </c>
      <c r="K400" s="41">
        <f>J400/0.786</f>
        <v>5432.5699745547072</v>
      </c>
      <c r="L400" s="42"/>
      <c r="M400" s="89"/>
      <c r="N400" s="31"/>
      <c r="O400" s="29">
        <v>46182</v>
      </c>
      <c r="P400" s="28">
        <f>DATE(YEAR(O400)+1,MONTH(O400),DAY(O400))-1</f>
        <v>46546</v>
      </c>
    </row>
    <row r="401" spans="2:16" ht="20.149999999999999" customHeight="1" x14ac:dyDescent="0.2">
      <c r="B401" s="34">
        <v>46185</v>
      </c>
      <c r="C401" s="35" t="s">
        <v>1222</v>
      </c>
      <c r="D401" s="35" t="s">
        <v>1223</v>
      </c>
      <c r="E401" s="35" t="s">
        <v>25</v>
      </c>
      <c r="F401" s="35" t="s">
        <v>2242</v>
      </c>
      <c r="G401" s="59" t="s">
        <v>1231</v>
      </c>
      <c r="H401" s="43">
        <f>H398-K401</f>
        <v>490396.41984732857</v>
      </c>
      <c r="I401" s="43">
        <v>4240</v>
      </c>
      <c r="J401" s="43">
        <v>4200</v>
      </c>
      <c r="K401" s="43">
        <f t="shared" si="39"/>
        <v>5343.5114503816794</v>
      </c>
      <c r="L401" s="44"/>
      <c r="M401" s="92"/>
      <c r="N401" s="35"/>
      <c r="O401" s="29">
        <v>46183</v>
      </c>
      <c r="P401" s="28">
        <f t="shared" si="40"/>
        <v>46547</v>
      </c>
    </row>
    <row r="402" spans="2:16" ht="20.149999999999999" customHeight="1" x14ac:dyDescent="0.2">
      <c r="B402" s="34">
        <v>46185</v>
      </c>
      <c r="C402" s="35" t="s">
        <v>1232</v>
      </c>
      <c r="D402" s="35" t="s">
        <v>1224</v>
      </c>
      <c r="E402" s="35" t="s">
        <v>25</v>
      </c>
      <c r="F402" s="35">
        <v>20260608006</v>
      </c>
      <c r="G402" s="59" t="s">
        <v>1231</v>
      </c>
      <c r="H402" s="43">
        <f>H401-K402</f>
        <v>485103.79898218863</v>
      </c>
      <c r="I402" s="43">
        <v>4130</v>
      </c>
      <c r="J402" s="43">
        <v>4160</v>
      </c>
      <c r="K402" s="43">
        <f t="shared" si="39"/>
        <v>5292.6208651399493</v>
      </c>
      <c r="L402" s="44"/>
      <c r="M402" s="92"/>
      <c r="N402" s="35"/>
      <c r="O402" s="29">
        <v>46183</v>
      </c>
      <c r="P402" s="28">
        <f t="shared" si="40"/>
        <v>46547</v>
      </c>
    </row>
    <row r="403" spans="2:16" ht="20.149999999999999" customHeight="1" x14ac:dyDescent="0.2">
      <c r="B403" s="30">
        <v>46185</v>
      </c>
      <c r="C403" s="31" t="s">
        <v>1225</v>
      </c>
      <c r="D403" s="31" t="s">
        <v>1228</v>
      </c>
      <c r="E403" s="31" t="s">
        <v>22</v>
      </c>
      <c r="F403" s="31">
        <v>20260608017</v>
      </c>
      <c r="G403" s="31" t="s">
        <v>950</v>
      </c>
      <c r="H403" s="41">
        <f>H400-K403</f>
        <v>135129.59287531814</v>
      </c>
      <c r="I403" s="41">
        <v>4300</v>
      </c>
      <c r="J403" s="41">
        <v>4320</v>
      </c>
      <c r="K403" s="41">
        <f>J403/0.786+1</f>
        <v>5497.1832061068699</v>
      </c>
      <c r="L403" s="42"/>
      <c r="M403" s="89"/>
      <c r="N403" s="31"/>
      <c r="O403" s="29">
        <v>46183</v>
      </c>
      <c r="P403" s="28">
        <f>DATE(YEAR(O403)+1,MONTH(O403),DAY(O403))-1</f>
        <v>46547</v>
      </c>
    </row>
    <row r="404" spans="2:16" ht="20.149999999999999" customHeight="1" x14ac:dyDescent="0.2">
      <c r="B404" s="30">
        <v>46185</v>
      </c>
      <c r="C404" s="31" t="s">
        <v>1233</v>
      </c>
      <c r="D404" s="31" t="s">
        <v>1229</v>
      </c>
      <c r="E404" s="31" t="s">
        <v>22</v>
      </c>
      <c r="F404" s="31">
        <v>20260608018</v>
      </c>
      <c r="G404" s="31" t="s">
        <v>950</v>
      </c>
      <c r="H404" s="41">
        <f>H403-K404</f>
        <v>129836.97201017819</v>
      </c>
      <c r="I404" s="41">
        <v>4190</v>
      </c>
      <c r="J404" s="41">
        <v>4160</v>
      </c>
      <c r="K404" s="41">
        <f>J404/0.786</f>
        <v>5292.6208651399493</v>
      </c>
      <c r="L404" s="42"/>
      <c r="M404" s="89"/>
      <c r="N404" s="31"/>
      <c r="O404" s="29">
        <v>46184</v>
      </c>
      <c r="P404" s="28">
        <f>DATE(YEAR(O404)+1,MONTH(O404),DAY(O404))-1</f>
        <v>46548</v>
      </c>
    </row>
    <row r="405" spans="2:16" ht="20.149999999999999" customHeight="1" x14ac:dyDescent="0.2">
      <c r="B405" s="34">
        <v>46186</v>
      </c>
      <c r="C405" s="35" t="s">
        <v>1238</v>
      </c>
      <c r="D405" s="35" t="s">
        <v>1234</v>
      </c>
      <c r="E405" s="35" t="s">
        <v>25</v>
      </c>
      <c r="F405" s="35" t="s">
        <v>2243</v>
      </c>
      <c r="G405" s="59" t="s">
        <v>1237</v>
      </c>
      <c r="H405" s="43">
        <f>H402-K405</f>
        <v>479657.50636132347</v>
      </c>
      <c r="I405" s="43">
        <v>4290</v>
      </c>
      <c r="J405" s="43">
        <v>4280</v>
      </c>
      <c r="K405" s="43">
        <f>J405/0.786+1</f>
        <v>5446.2926208651397</v>
      </c>
      <c r="L405" s="44"/>
      <c r="M405" s="92"/>
      <c r="N405" s="35"/>
      <c r="O405" s="29">
        <v>46184</v>
      </c>
      <c r="P405" s="28">
        <f t="shared" si="40"/>
        <v>46548</v>
      </c>
    </row>
    <row r="406" spans="2:16" ht="20.149999999999999" customHeight="1" x14ac:dyDescent="0.2">
      <c r="B406" s="30">
        <v>46186</v>
      </c>
      <c r="C406" s="31" t="s">
        <v>1239</v>
      </c>
      <c r="D406" s="31" t="s">
        <v>1235</v>
      </c>
      <c r="E406" s="31" t="s">
        <v>22</v>
      </c>
      <c r="F406" s="31">
        <v>20260608019</v>
      </c>
      <c r="G406" s="31" t="s">
        <v>950</v>
      </c>
      <c r="H406" s="41">
        <f>H404-K406</f>
        <v>124315.34351145045</v>
      </c>
      <c r="I406" s="41">
        <v>4380</v>
      </c>
      <c r="J406" s="41">
        <v>4340</v>
      </c>
      <c r="K406" s="41">
        <f>J406/0.786</f>
        <v>5521.628498727735</v>
      </c>
      <c r="L406" s="42"/>
      <c r="M406" s="89"/>
      <c r="N406" s="31"/>
      <c r="O406" s="29">
        <v>46184</v>
      </c>
      <c r="P406" s="28">
        <f>DATE(YEAR(O406)+1,MONTH(O406),DAY(O406))-1</f>
        <v>46548</v>
      </c>
    </row>
    <row r="407" spans="2:16" ht="20.149999999999999" customHeight="1" x14ac:dyDescent="0.2">
      <c r="B407" s="30">
        <v>46186</v>
      </c>
      <c r="C407" s="31" t="s">
        <v>1242</v>
      </c>
      <c r="D407" s="31" t="s">
        <v>1236</v>
      </c>
      <c r="E407" s="31" t="s">
        <v>22</v>
      </c>
      <c r="F407" s="31">
        <v>20260608020</v>
      </c>
      <c r="G407" s="31" t="s">
        <v>950</v>
      </c>
      <c r="H407" s="41">
        <f>H406-K407</f>
        <v>118856.32824427488</v>
      </c>
      <c r="I407" s="41">
        <v>4280</v>
      </c>
      <c r="J407" s="41">
        <v>4290</v>
      </c>
      <c r="K407" s="41">
        <f>J407/0.786+1</f>
        <v>5459.0152671755723</v>
      </c>
      <c r="L407" s="42"/>
      <c r="M407" s="89"/>
      <c r="N407" s="31"/>
      <c r="O407" s="29">
        <v>46185</v>
      </c>
      <c r="P407" s="28">
        <f>DATE(YEAR(O407)+1,MONTH(O407),DAY(O407))-1</f>
        <v>46549</v>
      </c>
    </row>
    <row r="408" spans="2:16" ht="20.149999999999999" customHeight="1" x14ac:dyDescent="0.2">
      <c r="B408" s="34">
        <v>46187</v>
      </c>
      <c r="C408" s="35" t="s">
        <v>1246</v>
      </c>
      <c r="D408" s="35" t="s">
        <v>1240</v>
      </c>
      <c r="E408" s="35" t="s">
        <v>25</v>
      </c>
      <c r="F408" s="35">
        <v>20260608008</v>
      </c>
      <c r="G408" s="59" t="s">
        <v>1243</v>
      </c>
      <c r="H408" s="43">
        <f>H405-K408</f>
        <v>474326.71755725221</v>
      </c>
      <c r="I408" s="43">
        <v>4230</v>
      </c>
      <c r="J408" s="43">
        <v>4190</v>
      </c>
      <c r="K408" s="43">
        <f t="shared" si="39"/>
        <v>5330.7888040712469</v>
      </c>
      <c r="L408" s="44"/>
      <c r="M408" s="92"/>
      <c r="N408" s="35"/>
      <c r="O408" s="29">
        <v>46185</v>
      </c>
      <c r="P408" s="28">
        <f t="shared" si="40"/>
        <v>46549</v>
      </c>
    </row>
    <row r="409" spans="2:16" ht="20.149999999999999" customHeight="1" x14ac:dyDescent="0.2">
      <c r="B409" s="34">
        <v>46187</v>
      </c>
      <c r="C409" s="35" t="s">
        <v>1256</v>
      </c>
      <c r="D409" s="35" t="s">
        <v>1251</v>
      </c>
      <c r="E409" s="35" t="s">
        <v>25</v>
      </c>
      <c r="F409" s="35">
        <v>20260608009</v>
      </c>
      <c r="G409" s="59" t="s">
        <v>836</v>
      </c>
      <c r="H409" s="43">
        <f>H408-K409</f>
        <v>468880.42493638705</v>
      </c>
      <c r="I409" s="43">
        <v>4280</v>
      </c>
      <c r="J409" s="43">
        <v>4280</v>
      </c>
      <c r="K409" s="43">
        <f>J409/0.786+1</f>
        <v>5446.2926208651397</v>
      </c>
      <c r="L409" s="44"/>
      <c r="M409" s="92"/>
      <c r="N409" s="35"/>
      <c r="O409" s="29">
        <v>46186</v>
      </c>
      <c r="P409" s="28">
        <f t="shared" si="40"/>
        <v>46550</v>
      </c>
    </row>
    <row r="410" spans="2:16" ht="20.149999999999999" customHeight="1" x14ac:dyDescent="0.2">
      <c r="B410" s="30">
        <v>46187</v>
      </c>
      <c r="C410" s="31" t="s">
        <v>1247</v>
      </c>
      <c r="D410" s="31" t="s">
        <v>1241</v>
      </c>
      <c r="E410" s="31" t="s">
        <v>22</v>
      </c>
      <c r="F410" s="31">
        <v>20260608021</v>
      </c>
      <c r="G410" s="31" t="s">
        <v>1244</v>
      </c>
      <c r="H410" s="41">
        <f>H407-K410</f>
        <v>113588.15267175579</v>
      </c>
      <c r="I410" s="41">
        <v>4150</v>
      </c>
      <c r="J410" s="41">
        <v>4140</v>
      </c>
      <c r="K410" s="41">
        <f>J410/0.786+1</f>
        <v>5268.1755725190842</v>
      </c>
      <c r="L410" s="42"/>
      <c r="M410" s="89"/>
      <c r="N410" s="31"/>
      <c r="O410" s="29">
        <v>46185</v>
      </c>
      <c r="P410" s="28">
        <f>DATE(YEAR(O410)+1,MONTH(O410),DAY(O410))-1</f>
        <v>46549</v>
      </c>
    </row>
    <row r="411" spans="2:16" ht="20.149999999999999" customHeight="1" x14ac:dyDescent="0.2">
      <c r="B411" s="30">
        <v>46187</v>
      </c>
      <c r="C411" s="31" t="s">
        <v>1254</v>
      </c>
      <c r="D411" s="31" t="s">
        <v>1252</v>
      </c>
      <c r="E411" s="31" t="s">
        <v>22</v>
      </c>
      <c r="F411" s="31">
        <v>20260608022</v>
      </c>
      <c r="G411" s="31" t="s">
        <v>950</v>
      </c>
      <c r="H411" s="41">
        <f>H410-K411</f>
        <v>108103.69211195935</v>
      </c>
      <c r="I411" s="41">
        <v>4300</v>
      </c>
      <c r="J411" s="41">
        <v>4310</v>
      </c>
      <c r="K411" s="41">
        <f>J411/0.786+1</f>
        <v>5484.4605597964373</v>
      </c>
      <c r="L411" s="42"/>
      <c r="M411" s="89"/>
      <c r="N411" s="31"/>
      <c r="O411" s="29">
        <v>46186</v>
      </c>
      <c r="P411" s="28">
        <f>DATE(YEAR(O411)+1,MONTH(O411),DAY(O411))-1</f>
        <v>46550</v>
      </c>
    </row>
    <row r="412" spans="2:16" ht="20.149999999999999" customHeight="1" x14ac:dyDescent="0.25">
      <c r="B412" s="69">
        <v>46188</v>
      </c>
      <c r="C412" s="70" t="s">
        <v>1273</v>
      </c>
      <c r="D412" s="70" t="s">
        <v>1264</v>
      </c>
      <c r="E412" s="70" t="s">
        <v>1034</v>
      </c>
      <c r="F412" s="70" t="s">
        <v>2244</v>
      </c>
      <c r="G412" s="70" t="s">
        <v>1269</v>
      </c>
      <c r="H412" s="71">
        <f>H389-K412</f>
        <v>4804.160305343511</v>
      </c>
      <c r="I412" s="71">
        <v>4290</v>
      </c>
      <c r="J412" s="71">
        <v>4300</v>
      </c>
      <c r="K412" s="71">
        <f>J412/0.786</f>
        <v>5470.7379134860048</v>
      </c>
      <c r="L412" s="80"/>
      <c r="M412" s="95"/>
      <c r="N412" s="70"/>
      <c r="O412" s="29">
        <v>46187</v>
      </c>
      <c r="P412" s="28">
        <f>DATE(YEAR(O412)+1,MONTH(O412),DAY(O412))-1</f>
        <v>46551</v>
      </c>
    </row>
    <row r="413" spans="2:16" ht="20.149999999999999" customHeight="1" x14ac:dyDescent="0.2">
      <c r="B413" s="34">
        <v>46188</v>
      </c>
      <c r="C413" s="35" t="s">
        <v>1260</v>
      </c>
      <c r="D413" s="35" t="s">
        <v>1253</v>
      </c>
      <c r="E413" s="35" t="s">
        <v>25</v>
      </c>
      <c r="F413" s="35">
        <v>20260608010</v>
      </c>
      <c r="G413" s="59" t="s">
        <v>1255</v>
      </c>
      <c r="H413" s="43">
        <f>H409-K413</f>
        <v>463345.0737913489</v>
      </c>
      <c r="I413" s="43">
        <v>4410</v>
      </c>
      <c r="J413" s="43">
        <v>4350</v>
      </c>
      <c r="K413" s="43">
        <f>J413/0.786+1</f>
        <v>5535.3511450381675</v>
      </c>
      <c r="L413" s="44"/>
      <c r="M413" s="92"/>
      <c r="N413" s="35"/>
      <c r="O413" s="29">
        <v>46186</v>
      </c>
      <c r="P413" s="28">
        <f t="shared" si="40"/>
        <v>46550</v>
      </c>
    </row>
    <row r="414" spans="2:16" ht="20.149999999999999" customHeight="1" x14ac:dyDescent="0.2">
      <c r="B414" s="34">
        <v>46188</v>
      </c>
      <c r="C414" s="35" t="s">
        <v>1272</v>
      </c>
      <c r="D414" s="35" t="s">
        <v>1265</v>
      </c>
      <c r="E414" s="35" t="s">
        <v>25</v>
      </c>
      <c r="F414" s="35">
        <v>20260608011</v>
      </c>
      <c r="G414" s="59" t="s">
        <v>1270</v>
      </c>
      <c r="H414" s="43">
        <f>H413-K414</f>
        <v>457836.16793893161</v>
      </c>
      <c r="I414" s="43">
        <v>4330</v>
      </c>
      <c r="J414" s="43">
        <v>4330</v>
      </c>
      <c r="K414" s="43">
        <f>J414/0.786</f>
        <v>5508.9058524173024</v>
      </c>
      <c r="L414" s="44"/>
      <c r="M414" s="92"/>
      <c r="N414" s="35"/>
      <c r="O414" s="29">
        <v>46187</v>
      </c>
      <c r="P414" s="28">
        <f>DATE(YEAR(O414)+1,MONTH(O414),DAY(O414))-1</f>
        <v>46551</v>
      </c>
    </row>
    <row r="415" spans="2:16" ht="20.149999999999999" customHeight="1" x14ac:dyDescent="0.2">
      <c r="B415" s="30">
        <v>46188</v>
      </c>
      <c r="C415" s="31" t="s">
        <v>1263</v>
      </c>
      <c r="D415" s="31" t="s">
        <v>1257</v>
      </c>
      <c r="E415" s="31" t="s">
        <v>22</v>
      </c>
      <c r="F415" s="31">
        <v>20260608023</v>
      </c>
      <c r="G415" s="31" t="s">
        <v>950</v>
      </c>
      <c r="H415" s="41">
        <f>H411-K415</f>
        <v>102683.84478371507</v>
      </c>
      <c r="I415" s="41">
        <v>4280</v>
      </c>
      <c r="J415" s="41">
        <v>4260</v>
      </c>
      <c r="K415" s="41">
        <f>J415/0.786</f>
        <v>5419.8473282442746</v>
      </c>
      <c r="L415" s="42"/>
      <c r="M415" s="89"/>
      <c r="N415" s="31"/>
      <c r="O415" s="29">
        <v>46187</v>
      </c>
      <c r="P415" s="28">
        <f>DATE(YEAR(O415)+1,MONTH(O415),DAY(O415))-1</f>
        <v>46551</v>
      </c>
    </row>
    <row r="416" spans="2:16" ht="20.149999999999999" customHeight="1" x14ac:dyDescent="0.2">
      <c r="B416" s="30">
        <v>46188</v>
      </c>
      <c r="C416" s="31" t="s">
        <v>1262</v>
      </c>
      <c r="D416" s="31" t="s">
        <v>1258</v>
      </c>
      <c r="E416" s="31" t="s">
        <v>22</v>
      </c>
      <c r="F416" s="31">
        <v>20260608024</v>
      </c>
      <c r="G416" s="31" t="s">
        <v>950</v>
      </c>
      <c r="H416" s="41">
        <f>H415-K416</f>
        <v>97263.997455470802</v>
      </c>
      <c r="I416" s="41">
        <v>4280</v>
      </c>
      <c r="J416" s="41">
        <v>4260</v>
      </c>
      <c r="K416" s="41">
        <f>J416/0.786</f>
        <v>5419.8473282442746</v>
      </c>
      <c r="L416" s="42"/>
      <c r="M416" s="89"/>
      <c r="N416" s="31"/>
      <c r="O416" s="29">
        <v>46187</v>
      </c>
      <c r="P416" s="28">
        <f>DATE(YEAR(O416)+1,MONTH(O416),DAY(O416))-1</f>
        <v>46551</v>
      </c>
    </row>
    <row r="417" spans="2:16" ht="20.149999999999999" customHeight="1" x14ac:dyDescent="0.2">
      <c r="B417" s="34">
        <v>46189</v>
      </c>
      <c r="C417" s="35" t="s">
        <v>1274</v>
      </c>
      <c r="D417" s="35" t="s">
        <v>1266</v>
      </c>
      <c r="E417" s="35" t="s">
        <v>25</v>
      </c>
      <c r="F417" s="35">
        <v>20260608012</v>
      </c>
      <c r="G417" s="59" t="s">
        <v>836</v>
      </c>
      <c r="H417" s="43">
        <f>H414-K417</f>
        <v>452351.70737913519</v>
      </c>
      <c r="I417" s="43">
        <v>4320</v>
      </c>
      <c r="J417" s="43">
        <v>4310</v>
      </c>
      <c r="K417" s="43">
        <f>J417/0.786+1</f>
        <v>5484.4605597964373</v>
      </c>
      <c r="L417" s="44"/>
      <c r="M417" s="92"/>
      <c r="N417" s="35"/>
      <c r="O417" s="29">
        <v>46188</v>
      </c>
      <c r="P417" s="28">
        <f t="shared" si="40"/>
        <v>46552</v>
      </c>
    </row>
    <row r="418" spans="2:16" ht="20.149999999999999" customHeight="1" x14ac:dyDescent="0.2">
      <c r="B418" s="30">
        <v>46189</v>
      </c>
      <c r="C418" s="31" t="s">
        <v>1275</v>
      </c>
      <c r="D418" s="31" t="s">
        <v>1267</v>
      </c>
      <c r="E418" s="31" t="s">
        <v>22</v>
      </c>
      <c r="F418" s="31">
        <v>20260608025</v>
      </c>
      <c r="G418" s="31" t="s">
        <v>1019</v>
      </c>
      <c r="H418" s="41">
        <f>H416-K418</f>
        <v>91868.595419847392</v>
      </c>
      <c r="I418" s="41">
        <v>4320</v>
      </c>
      <c r="J418" s="41">
        <v>4240</v>
      </c>
      <c r="K418" s="41">
        <f>J418/0.786+1</f>
        <v>5395.4020356234096</v>
      </c>
      <c r="L418" s="42"/>
      <c r="M418" s="89"/>
      <c r="N418" s="31"/>
      <c r="O418" s="29">
        <v>46187</v>
      </c>
      <c r="P418" s="28">
        <f t="shared" si="40"/>
        <v>46551</v>
      </c>
    </row>
    <row r="419" spans="2:16" ht="20.149999999999999" customHeight="1" x14ac:dyDescent="0.2">
      <c r="B419" s="30">
        <v>46189</v>
      </c>
      <c r="C419" s="31" t="s">
        <v>1271</v>
      </c>
      <c r="D419" s="31" t="s">
        <v>1268</v>
      </c>
      <c r="E419" s="31" t="s">
        <v>22</v>
      </c>
      <c r="F419" s="31">
        <v>20260608026</v>
      </c>
      <c r="G419" s="31" t="s">
        <v>950</v>
      </c>
      <c r="H419" s="41">
        <f>H418-K419</f>
        <v>86537.80661577615</v>
      </c>
      <c r="I419" s="41">
        <v>4200</v>
      </c>
      <c r="J419" s="41">
        <v>4190</v>
      </c>
      <c r="K419" s="41">
        <f t="shared" si="39"/>
        <v>5330.7888040712469</v>
      </c>
      <c r="L419" s="42"/>
      <c r="M419" s="89"/>
      <c r="N419" s="31"/>
      <c r="O419" s="29">
        <v>46188</v>
      </c>
      <c r="P419" s="28">
        <f t="shared" si="40"/>
        <v>46552</v>
      </c>
    </row>
    <row r="420" spans="2:16" ht="20.149999999999999" customHeight="1" x14ac:dyDescent="0.2">
      <c r="B420" s="34">
        <v>46190</v>
      </c>
      <c r="C420" s="35" t="s">
        <v>1278</v>
      </c>
      <c r="D420" s="35" t="s">
        <v>1277</v>
      </c>
      <c r="E420" s="35" t="s">
        <v>25</v>
      </c>
      <c r="F420" s="35" t="s">
        <v>2245</v>
      </c>
      <c r="G420" s="59" t="s">
        <v>836</v>
      </c>
      <c r="H420" s="43">
        <f>H417-K417</f>
        <v>446867.24681933876</v>
      </c>
      <c r="I420" s="43">
        <v>4240</v>
      </c>
      <c r="J420" s="43">
        <v>4210</v>
      </c>
      <c r="K420" s="43">
        <f>J420/0.786+1</f>
        <v>5357.234096692112</v>
      </c>
      <c r="L420" s="44"/>
      <c r="M420" s="92"/>
      <c r="N420" s="35"/>
      <c r="O420" s="29">
        <v>46188</v>
      </c>
      <c r="P420" s="28">
        <f t="shared" ref="P420" si="41">DATE(YEAR(O420)+1,MONTH(O420),DAY(O420))-1</f>
        <v>46552</v>
      </c>
    </row>
    <row r="421" spans="2:16" ht="20.149999999999999" customHeight="1" x14ac:dyDescent="0.2">
      <c r="B421" s="34">
        <v>46190</v>
      </c>
      <c r="C421" s="35" t="s">
        <v>1287</v>
      </c>
      <c r="D421" s="35" t="s">
        <v>1282</v>
      </c>
      <c r="E421" s="35" t="s">
        <v>25</v>
      </c>
      <c r="F421" s="35">
        <v>20260615007</v>
      </c>
      <c r="G421" s="59" t="s">
        <v>1289</v>
      </c>
      <c r="H421" s="43">
        <f>H420-K421</f>
        <v>441358.34096692147</v>
      </c>
      <c r="I421" s="43">
        <v>4350</v>
      </c>
      <c r="J421" s="43">
        <v>4330</v>
      </c>
      <c r="K421" s="43">
        <f t="shared" ref="K421" si="42">J421/0.786</f>
        <v>5508.9058524173024</v>
      </c>
      <c r="L421" s="44"/>
      <c r="M421" s="92"/>
      <c r="N421" s="35"/>
      <c r="O421" s="29">
        <v>46189</v>
      </c>
      <c r="P421" s="28">
        <f t="shared" ref="P421:P449" si="43">DATE(YEAR(O421)+1,MONTH(O421),DAY(O421))-1</f>
        <v>46553</v>
      </c>
    </row>
    <row r="422" spans="2:16" ht="20.149999999999999" customHeight="1" x14ac:dyDescent="0.2">
      <c r="B422" s="30">
        <v>46190</v>
      </c>
      <c r="C422" s="31" t="s">
        <v>1284</v>
      </c>
      <c r="D422" s="31" t="s">
        <v>1280</v>
      </c>
      <c r="E422" s="31" t="s">
        <v>22</v>
      </c>
      <c r="F422" s="31">
        <v>20260615019</v>
      </c>
      <c r="G422" s="31" t="s">
        <v>1045</v>
      </c>
      <c r="H422" s="41">
        <f>H419-K422</f>
        <v>81040.623409669279</v>
      </c>
      <c r="I422" s="41">
        <v>4370</v>
      </c>
      <c r="J422" s="41">
        <v>4320</v>
      </c>
      <c r="K422" s="41">
        <f>J422/0.786+1</f>
        <v>5497.1832061068699</v>
      </c>
      <c r="L422" s="42"/>
      <c r="M422" s="89"/>
      <c r="N422" s="31"/>
      <c r="O422" s="29">
        <v>46189</v>
      </c>
      <c r="P422" s="28">
        <f t="shared" si="43"/>
        <v>46553</v>
      </c>
    </row>
    <row r="423" spans="2:16" ht="20.149999999999999" customHeight="1" x14ac:dyDescent="0.2">
      <c r="B423" s="30">
        <v>46190</v>
      </c>
      <c r="C423" s="31" t="s">
        <v>1283</v>
      </c>
      <c r="D423" s="31" t="s">
        <v>1281</v>
      </c>
      <c r="E423" s="31" t="s">
        <v>22</v>
      </c>
      <c r="F423" s="31">
        <v>20260615020</v>
      </c>
      <c r="G423" s="31" t="s">
        <v>1045</v>
      </c>
      <c r="H423" s="41">
        <f>H422-K423</f>
        <v>75608.053435114576</v>
      </c>
      <c r="I423" s="41">
        <v>4290</v>
      </c>
      <c r="J423" s="41">
        <v>4270</v>
      </c>
      <c r="K423" s="41">
        <f t="shared" ref="K423:K426" si="44">J423/0.786</f>
        <v>5432.5699745547072</v>
      </c>
      <c r="L423" s="42"/>
      <c r="M423" s="89"/>
      <c r="N423" s="31"/>
      <c r="O423" s="29">
        <v>46189</v>
      </c>
      <c r="P423" s="28">
        <f t="shared" si="43"/>
        <v>46553</v>
      </c>
    </row>
    <row r="424" spans="2:16" ht="20.149999999999999" customHeight="1" x14ac:dyDescent="0.2">
      <c r="B424" s="69">
        <v>46191</v>
      </c>
      <c r="C424" s="70" t="s">
        <v>1307</v>
      </c>
      <c r="D424" s="70" t="s">
        <v>1292</v>
      </c>
      <c r="E424" s="70" t="s">
        <v>1034</v>
      </c>
      <c r="F424" s="70" t="s">
        <v>2246</v>
      </c>
      <c r="G424" s="70" t="s">
        <v>1066</v>
      </c>
      <c r="H424" s="71">
        <f>H412-K424</f>
        <v>0.16030534351102688</v>
      </c>
      <c r="I424" s="71">
        <v>4290</v>
      </c>
      <c r="J424" s="71">
        <v>3980</v>
      </c>
      <c r="K424" s="71">
        <v>4804</v>
      </c>
      <c r="L424" s="72"/>
      <c r="M424" s="96"/>
      <c r="N424" s="70"/>
      <c r="O424" s="29">
        <v>46185</v>
      </c>
      <c r="P424" s="28">
        <f>DATE(YEAR(O424)+1,MONTH(O424),DAY(O424))-1</f>
        <v>46549</v>
      </c>
    </row>
    <row r="425" spans="2:16" ht="20.149999999999999" customHeight="1" x14ac:dyDescent="0.2">
      <c r="B425" s="25"/>
      <c r="C425" s="26"/>
      <c r="D425" s="26"/>
      <c r="E425" s="26" t="s">
        <v>1034</v>
      </c>
      <c r="F425" s="26" t="s">
        <v>2247</v>
      </c>
      <c r="G425" s="26" t="s">
        <v>1198</v>
      </c>
      <c r="H425" s="38">
        <f>150000-K425</f>
        <v>149740</v>
      </c>
      <c r="I425" s="38"/>
      <c r="J425" s="38"/>
      <c r="K425" s="38">
        <v>260</v>
      </c>
      <c r="L425" s="37"/>
      <c r="M425" s="85"/>
      <c r="N425" s="26"/>
    </row>
    <row r="426" spans="2:16" ht="20.149999999999999" customHeight="1" x14ac:dyDescent="0.2">
      <c r="B426" s="34">
        <v>46191</v>
      </c>
      <c r="C426" s="35" t="s">
        <v>1291</v>
      </c>
      <c r="D426" s="35" t="s">
        <v>1285</v>
      </c>
      <c r="E426" s="35" t="s">
        <v>25</v>
      </c>
      <c r="F426" s="35">
        <v>20260615008</v>
      </c>
      <c r="G426" s="59" t="s">
        <v>1290</v>
      </c>
      <c r="H426" s="43">
        <f>H421-K426</f>
        <v>435938.49363867717</v>
      </c>
      <c r="I426" s="43">
        <v>4250</v>
      </c>
      <c r="J426" s="43">
        <v>4260</v>
      </c>
      <c r="K426" s="43">
        <f t="shared" si="44"/>
        <v>5419.8473282442746</v>
      </c>
      <c r="L426" s="44"/>
      <c r="M426" s="92"/>
      <c r="N426" s="35"/>
      <c r="O426" s="29">
        <v>46189</v>
      </c>
      <c r="P426" s="28">
        <f t="shared" si="43"/>
        <v>46553</v>
      </c>
    </row>
    <row r="427" spans="2:16" ht="20.149999999999999" customHeight="1" x14ac:dyDescent="0.2">
      <c r="B427" s="30">
        <v>46191</v>
      </c>
      <c r="C427" s="31" t="s">
        <v>1288</v>
      </c>
      <c r="D427" s="31" t="s">
        <v>1286</v>
      </c>
      <c r="E427" s="31" t="s">
        <v>22</v>
      </c>
      <c r="F427" s="31">
        <v>20260615021</v>
      </c>
      <c r="G427" s="31" t="s">
        <v>950</v>
      </c>
      <c r="H427" s="41">
        <f>H423-K427</f>
        <v>70010.089058524245</v>
      </c>
      <c r="I427" s="41">
        <v>4430</v>
      </c>
      <c r="J427" s="41">
        <v>4400</v>
      </c>
      <c r="K427" s="41">
        <f t="shared" ref="K427:K431" si="45">J427/0.786</f>
        <v>5597.9643765903302</v>
      </c>
      <c r="L427" s="42"/>
      <c r="M427" s="89"/>
      <c r="N427" s="31"/>
      <c r="O427" s="29">
        <v>46189</v>
      </c>
      <c r="P427" s="28">
        <f t="shared" si="43"/>
        <v>46553</v>
      </c>
    </row>
    <row r="428" spans="2:16" ht="20.149999999999999" customHeight="1" x14ac:dyDescent="0.2">
      <c r="B428" s="25">
        <v>46192</v>
      </c>
      <c r="C428" s="26" t="s">
        <v>1300</v>
      </c>
      <c r="D428" s="26" t="s">
        <v>1294</v>
      </c>
      <c r="E428" s="26" t="s">
        <v>1034</v>
      </c>
      <c r="F428" s="26">
        <v>20260608029</v>
      </c>
      <c r="G428" s="26" t="s">
        <v>1198</v>
      </c>
      <c r="H428" s="38">
        <f>H425-K428</f>
        <v>144536.43765903308</v>
      </c>
      <c r="I428" s="38">
        <v>4260</v>
      </c>
      <c r="J428" s="38">
        <v>4090</v>
      </c>
      <c r="K428" s="38">
        <f>J428/0.786</f>
        <v>5203.5623409669206</v>
      </c>
      <c r="L428" s="37"/>
      <c r="M428" s="85"/>
      <c r="N428" s="26"/>
      <c r="P428" s="28">
        <f>DATE(YEAR(O428)+1,MONTH(O428),DAY(O428))-1</f>
        <v>365</v>
      </c>
    </row>
    <row r="429" spans="2:16" ht="20.149999999999999" customHeight="1" x14ac:dyDescent="0.2">
      <c r="B429" s="34">
        <v>46192</v>
      </c>
      <c r="C429" s="35" t="s">
        <v>1301</v>
      </c>
      <c r="D429" s="35" t="s">
        <v>1295</v>
      </c>
      <c r="E429" s="35" t="s">
        <v>25</v>
      </c>
      <c r="F429" s="35">
        <v>20260615009</v>
      </c>
      <c r="G429" s="59" t="s">
        <v>836</v>
      </c>
      <c r="H429" s="43">
        <f>H426-K429</f>
        <v>430365.9745547077</v>
      </c>
      <c r="I429" s="43">
        <v>4350</v>
      </c>
      <c r="J429" s="43">
        <v>4380</v>
      </c>
      <c r="K429" s="43">
        <f t="shared" si="45"/>
        <v>5572.5190839694651</v>
      </c>
      <c r="L429" s="44"/>
      <c r="M429" s="92"/>
      <c r="N429" s="35"/>
      <c r="O429" s="29">
        <v>46190</v>
      </c>
      <c r="P429" s="28">
        <f t="shared" ref="P429" si="46">DATE(YEAR(O429)+1,MONTH(O429),DAY(O429))-1</f>
        <v>46554</v>
      </c>
    </row>
    <row r="430" spans="2:16" ht="20.149999999999999" customHeight="1" x14ac:dyDescent="0.2">
      <c r="B430" s="34">
        <v>46192</v>
      </c>
      <c r="C430" s="35" t="s">
        <v>1304</v>
      </c>
      <c r="D430" s="35" t="s">
        <v>1296</v>
      </c>
      <c r="E430" s="35" t="s">
        <v>25</v>
      </c>
      <c r="F430" s="35">
        <v>20260615010</v>
      </c>
      <c r="G430" s="59" t="s">
        <v>1308</v>
      </c>
      <c r="H430" s="43">
        <f>H429-K430</f>
        <v>424793.45547073823</v>
      </c>
      <c r="I430" s="43">
        <v>4350</v>
      </c>
      <c r="J430" s="43">
        <v>4380</v>
      </c>
      <c r="K430" s="43">
        <f t="shared" ref="K430" si="47">J430/0.786</f>
        <v>5572.5190839694651</v>
      </c>
      <c r="L430" s="44"/>
      <c r="M430" s="92"/>
      <c r="N430" s="35"/>
      <c r="P430" s="28">
        <f t="shared" ref="P430" si="48">DATE(YEAR(O430)+1,MONTH(O430),DAY(O430))-1</f>
        <v>365</v>
      </c>
    </row>
    <row r="431" spans="2:16" ht="20.149999999999999" customHeight="1" x14ac:dyDescent="0.2">
      <c r="B431" s="30">
        <v>46192</v>
      </c>
      <c r="C431" s="31" t="s">
        <v>1302</v>
      </c>
      <c r="D431" s="31" t="s">
        <v>1297</v>
      </c>
      <c r="E431" s="31" t="s">
        <v>22</v>
      </c>
      <c r="F431" s="31">
        <v>20260615022</v>
      </c>
      <c r="G431" s="31" t="s">
        <v>1303</v>
      </c>
      <c r="H431" s="41">
        <f>H427-K431</f>
        <v>64628.409669211265</v>
      </c>
      <c r="I431" s="41">
        <v>4270</v>
      </c>
      <c r="J431" s="41">
        <v>4230</v>
      </c>
      <c r="K431" s="41">
        <f t="shared" si="45"/>
        <v>5381.679389312977</v>
      </c>
      <c r="L431" s="42"/>
      <c r="M431" s="89"/>
      <c r="N431" s="31"/>
      <c r="O431" s="29">
        <v>46190</v>
      </c>
      <c r="P431" s="28">
        <f t="shared" si="43"/>
        <v>46554</v>
      </c>
    </row>
    <row r="432" spans="2:16" ht="20.149999999999999" customHeight="1" x14ac:dyDescent="0.2">
      <c r="B432" s="30">
        <v>46192</v>
      </c>
      <c r="C432" s="31" t="s">
        <v>1305</v>
      </c>
      <c r="D432" s="31" t="s">
        <v>1298</v>
      </c>
      <c r="E432" s="31" t="s">
        <v>22</v>
      </c>
      <c r="F432" s="31">
        <v>20260615023</v>
      </c>
      <c r="G432" s="31" t="s">
        <v>1311</v>
      </c>
      <c r="H432" s="41">
        <f>H431-K432</f>
        <v>59080.335877862664</v>
      </c>
      <c r="I432" s="41">
        <v>4320</v>
      </c>
      <c r="J432" s="41">
        <v>4360</v>
      </c>
      <c r="K432" s="41">
        <f>J432/0.786+1</f>
        <v>5548.0737913486</v>
      </c>
      <c r="L432" s="42"/>
      <c r="M432" s="89"/>
      <c r="N432" s="31"/>
      <c r="O432" s="29">
        <v>46190</v>
      </c>
      <c r="P432" s="28">
        <f t="shared" ref="P432" si="49">DATE(YEAR(O432)+1,MONTH(O432),DAY(O432))-1</f>
        <v>46554</v>
      </c>
    </row>
    <row r="433" spans="2:16" ht="20.149999999999999" customHeight="1" x14ac:dyDescent="0.2">
      <c r="B433" s="34">
        <v>46193</v>
      </c>
      <c r="C433" s="35" t="s">
        <v>1318</v>
      </c>
      <c r="D433" s="35" t="s">
        <v>1313</v>
      </c>
      <c r="E433" s="35" t="s">
        <v>25</v>
      </c>
      <c r="F433" s="35">
        <v>20260615011</v>
      </c>
      <c r="G433" s="59" t="s">
        <v>1314</v>
      </c>
      <c r="H433" s="43">
        <f>H430-K433</f>
        <v>419411.77608142525</v>
      </c>
      <c r="I433" s="43">
        <v>4230</v>
      </c>
      <c r="J433" s="43">
        <v>4230</v>
      </c>
      <c r="K433" s="43">
        <f t="shared" ref="K433:K434" si="50">J433/0.786</f>
        <v>5381.679389312977</v>
      </c>
      <c r="L433" s="44"/>
      <c r="M433" s="92"/>
      <c r="N433" s="35"/>
      <c r="O433" s="29">
        <v>46191</v>
      </c>
      <c r="P433" s="28">
        <f t="shared" si="43"/>
        <v>46555</v>
      </c>
    </row>
    <row r="434" spans="2:16" ht="20.149999999999999" customHeight="1" x14ac:dyDescent="0.2">
      <c r="B434" s="30">
        <v>46193</v>
      </c>
      <c r="C434" s="31" t="s">
        <v>1312</v>
      </c>
      <c r="D434" s="31" t="s">
        <v>1309</v>
      </c>
      <c r="E434" s="31" t="s">
        <v>22</v>
      </c>
      <c r="F434" s="31">
        <v>20260615025</v>
      </c>
      <c r="G434" s="31" t="s">
        <v>950</v>
      </c>
      <c r="H434" s="41">
        <f>H432-K434</f>
        <v>53469.648854961903</v>
      </c>
      <c r="I434" s="41">
        <v>4390</v>
      </c>
      <c r="J434" s="41">
        <v>4410</v>
      </c>
      <c r="K434" s="41">
        <f t="shared" si="50"/>
        <v>5610.6870229007627</v>
      </c>
      <c r="L434" s="42"/>
      <c r="M434" s="89"/>
      <c r="N434" s="31"/>
      <c r="O434" s="29">
        <v>46191</v>
      </c>
      <c r="P434" s="28">
        <f t="shared" si="43"/>
        <v>46555</v>
      </c>
    </row>
    <row r="435" spans="2:16" ht="20.149999999999999" customHeight="1" x14ac:dyDescent="0.2">
      <c r="B435" s="30">
        <v>46193</v>
      </c>
      <c r="C435" s="31" t="s">
        <v>1317</v>
      </c>
      <c r="D435" s="31" t="s">
        <v>1310</v>
      </c>
      <c r="E435" s="31" t="s">
        <v>22</v>
      </c>
      <c r="F435" s="31">
        <v>20260615026</v>
      </c>
      <c r="G435" s="31" t="s">
        <v>1311</v>
      </c>
      <c r="H435" s="41">
        <f>H434-K435</f>
        <v>47934.297709923732</v>
      </c>
      <c r="I435" s="41">
        <v>4450</v>
      </c>
      <c r="J435" s="41">
        <v>4350</v>
      </c>
      <c r="K435" s="41">
        <f>J435/0.786+1</f>
        <v>5535.3511450381675</v>
      </c>
      <c r="L435" s="42"/>
      <c r="M435" s="89"/>
      <c r="N435" s="31"/>
      <c r="O435" s="29">
        <v>46191</v>
      </c>
      <c r="P435" s="28">
        <f t="shared" si="43"/>
        <v>46555</v>
      </c>
    </row>
    <row r="436" spans="2:16" ht="20.149999999999999" customHeight="1" x14ac:dyDescent="0.2">
      <c r="B436" s="34">
        <v>46194</v>
      </c>
      <c r="C436" s="35" t="s">
        <v>1327</v>
      </c>
      <c r="D436" s="35" t="s">
        <v>1322</v>
      </c>
      <c r="E436" s="35" t="s">
        <v>25</v>
      </c>
      <c r="F436" s="35">
        <v>20260615012</v>
      </c>
      <c r="G436" s="59" t="s">
        <v>836</v>
      </c>
      <c r="H436" s="43">
        <f>H433-K436</f>
        <v>413965.48346056009</v>
      </c>
      <c r="I436" s="43">
        <v>4340</v>
      </c>
      <c r="J436" s="43">
        <v>4280</v>
      </c>
      <c r="K436" s="43">
        <f>J436/0.786+1</f>
        <v>5446.2926208651397</v>
      </c>
      <c r="L436" s="44"/>
      <c r="M436" s="92"/>
      <c r="N436" s="35"/>
      <c r="O436" s="29">
        <v>46192</v>
      </c>
      <c r="P436" s="28">
        <f>DATE(YEAR(O436)+1,MONTH(O436),DAY(O436))-1</f>
        <v>46556</v>
      </c>
    </row>
    <row r="437" spans="2:16" ht="20.149999999999999" customHeight="1" x14ac:dyDescent="0.2">
      <c r="B437" s="34">
        <v>46194</v>
      </c>
      <c r="C437" s="35" t="s">
        <v>1330</v>
      </c>
      <c r="D437" s="35" t="s">
        <v>1325</v>
      </c>
      <c r="E437" s="35" t="s">
        <v>25</v>
      </c>
      <c r="F437" s="35">
        <v>20260615013</v>
      </c>
      <c r="G437" s="59" t="s">
        <v>836</v>
      </c>
      <c r="H437" s="43">
        <f>H436-K437</f>
        <v>408532.91348600539</v>
      </c>
      <c r="I437" s="43">
        <v>4290</v>
      </c>
      <c r="J437" s="43">
        <v>4270</v>
      </c>
      <c r="K437" s="43">
        <f>J437/0.786</f>
        <v>5432.5699745547072</v>
      </c>
      <c r="L437" s="44"/>
      <c r="M437" s="92"/>
      <c r="N437" s="35"/>
      <c r="O437" s="29">
        <v>46193</v>
      </c>
      <c r="P437" s="28">
        <f t="shared" si="43"/>
        <v>46557</v>
      </c>
    </row>
    <row r="438" spans="2:16" ht="20.149999999999999" customHeight="1" x14ac:dyDescent="0.2">
      <c r="B438" s="30">
        <v>46194</v>
      </c>
      <c r="C438" s="31" t="s">
        <v>1328</v>
      </c>
      <c r="D438" s="31" t="s">
        <v>1319</v>
      </c>
      <c r="E438" s="31" t="s">
        <v>22</v>
      </c>
      <c r="F438" s="31">
        <v>20260615027</v>
      </c>
      <c r="G438" s="31" t="s">
        <v>950</v>
      </c>
      <c r="H438" s="41">
        <f>H435-K438</f>
        <v>42565.340966921191</v>
      </c>
      <c r="I438" s="41">
        <v>4180</v>
      </c>
      <c r="J438" s="41">
        <v>4220</v>
      </c>
      <c r="K438" s="41">
        <f t="shared" ref="K438" si="51">J438/0.786</f>
        <v>5368.9567430025445</v>
      </c>
      <c r="L438" s="42"/>
      <c r="M438" s="89"/>
      <c r="N438" s="31"/>
      <c r="O438" s="29">
        <v>46192</v>
      </c>
      <c r="P438" s="28">
        <f t="shared" si="43"/>
        <v>46556</v>
      </c>
    </row>
    <row r="439" spans="2:16" ht="20.149999999999999" customHeight="1" x14ac:dyDescent="0.2">
      <c r="B439" s="30">
        <v>46194</v>
      </c>
      <c r="C439" s="31" t="s">
        <v>1323</v>
      </c>
      <c r="D439" s="31" t="s">
        <v>1320</v>
      </c>
      <c r="E439" s="31" t="s">
        <v>22</v>
      </c>
      <c r="F439" s="31">
        <v>20260615028</v>
      </c>
      <c r="G439" s="31" t="s">
        <v>1321</v>
      </c>
      <c r="H439" s="41">
        <f>H438-K439</f>
        <v>37056.435114503889</v>
      </c>
      <c r="I439" s="41">
        <v>4350</v>
      </c>
      <c r="J439" s="41">
        <v>4330</v>
      </c>
      <c r="K439" s="41">
        <f t="shared" ref="K439:K445" si="52">J439/0.786</f>
        <v>5508.9058524173024</v>
      </c>
      <c r="L439" s="42"/>
      <c r="M439" s="89"/>
      <c r="N439" s="31"/>
      <c r="O439" s="29">
        <v>46192</v>
      </c>
      <c r="P439" s="28">
        <f t="shared" si="43"/>
        <v>46556</v>
      </c>
    </row>
    <row r="440" spans="2:16" ht="20.149999999999999" customHeight="1" x14ac:dyDescent="0.2">
      <c r="B440" s="34">
        <v>46195</v>
      </c>
      <c r="C440" s="35" t="s">
        <v>1336</v>
      </c>
      <c r="D440" s="35" t="s">
        <v>1334</v>
      </c>
      <c r="E440" s="35" t="s">
        <v>25</v>
      </c>
      <c r="F440" s="35">
        <v>20260615014</v>
      </c>
      <c r="G440" s="59" t="s">
        <v>1335</v>
      </c>
      <c r="H440" s="43">
        <f>H437-K440</f>
        <v>403137.51145038201</v>
      </c>
      <c r="I440" s="43">
        <v>4270</v>
      </c>
      <c r="J440" s="43">
        <v>4240</v>
      </c>
      <c r="K440" s="43">
        <f>J440/0.786+1</f>
        <v>5395.4020356234096</v>
      </c>
      <c r="L440" s="44"/>
      <c r="M440" s="92"/>
      <c r="N440" s="35"/>
      <c r="O440" s="29">
        <v>46193</v>
      </c>
      <c r="P440" s="28">
        <f t="shared" si="43"/>
        <v>46557</v>
      </c>
    </row>
    <row r="441" spans="2:16" ht="20.149999999999999" customHeight="1" x14ac:dyDescent="0.2">
      <c r="B441" s="30">
        <v>46195</v>
      </c>
      <c r="C441" s="31" t="s">
        <v>1337</v>
      </c>
      <c r="D441" s="31" t="s">
        <v>1331</v>
      </c>
      <c r="E441" s="31" t="s">
        <v>22</v>
      </c>
      <c r="F441" s="31">
        <v>20260615029</v>
      </c>
      <c r="G441" s="31" t="s">
        <v>1333</v>
      </c>
      <c r="H441" s="41">
        <f>H439-K441</f>
        <v>31826.427480916103</v>
      </c>
      <c r="I441" s="41">
        <v>4130</v>
      </c>
      <c r="J441" s="41">
        <v>4110</v>
      </c>
      <c r="K441" s="41">
        <f>J441/0.786+1</f>
        <v>5230.0076335877857</v>
      </c>
      <c r="L441" s="42"/>
      <c r="M441" s="89"/>
      <c r="N441" s="31"/>
      <c r="O441" s="29">
        <v>46193</v>
      </c>
      <c r="P441" s="28">
        <f t="shared" si="43"/>
        <v>46557</v>
      </c>
    </row>
    <row r="442" spans="2:16" ht="20.149999999999999" customHeight="1" x14ac:dyDescent="0.2">
      <c r="B442" s="30">
        <v>46195</v>
      </c>
      <c r="C442" s="31" t="s">
        <v>1338</v>
      </c>
      <c r="D442" s="31" t="s">
        <v>1332</v>
      </c>
      <c r="E442" s="31" t="s">
        <v>22</v>
      </c>
      <c r="F442" s="31">
        <v>20260615030</v>
      </c>
      <c r="G442" s="31" t="s">
        <v>950</v>
      </c>
      <c r="H442" s="41">
        <f>H441-K442</f>
        <v>26380.134860050963</v>
      </c>
      <c r="I442" s="41">
        <v>4300</v>
      </c>
      <c r="J442" s="41">
        <v>4280</v>
      </c>
      <c r="K442" s="41">
        <f>J442/0.786+1</f>
        <v>5446.2926208651397</v>
      </c>
      <c r="L442" s="42"/>
      <c r="M442" s="89"/>
      <c r="N442" s="31"/>
      <c r="O442" s="29">
        <v>46193</v>
      </c>
      <c r="P442" s="28">
        <f t="shared" si="43"/>
        <v>46557</v>
      </c>
    </row>
    <row r="443" spans="2:16" ht="20.149999999999999" customHeight="1" x14ac:dyDescent="0.2">
      <c r="B443" s="34">
        <v>46196</v>
      </c>
      <c r="C443" s="35" t="s">
        <v>1348</v>
      </c>
      <c r="D443" s="35" t="s">
        <v>1339</v>
      </c>
      <c r="E443" s="35" t="s">
        <v>25</v>
      </c>
      <c r="F443" s="35" t="s">
        <v>2248</v>
      </c>
      <c r="G443" s="59" t="s">
        <v>1394</v>
      </c>
      <c r="H443" s="43">
        <f>H440-K443</f>
        <v>397640.32824427512</v>
      </c>
      <c r="I443" s="43">
        <v>4370</v>
      </c>
      <c r="J443" s="43">
        <v>4320</v>
      </c>
      <c r="K443" s="43">
        <f>J443/0.786+1</f>
        <v>5497.1832061068699</v>
      </c>
      <c r="L443" s="44"/>
      <c r="M443" s="92"/>
      <c r="N443" s="35"/>
      <c r="O443" s="29">
        <v>46194</v>
      </c>
      <c r="P443" s="28">
        <f>DATE(YEAR(O443)+1,MONTH(O443),DAY(O443))-1</f>
        <v>46558</v>
      </c>
    </row>
    <row r="444" spans="2:16" ht="20.149999999999999" customHeight="1" x14ac:dyDescent="0.2">
      <c r="B444" s="34">
        <v>46196</v>
      </c>
      <c r="C444" s="35" t="s">
        <v>1355</v>
      </c>
      <c r="D444" s="35" t="s">
        <v>1340</v>
      </c>
      <c r="E444" s="35" t="s">
        <v>25</v>
      </c>
      <c r="F444" s="35">
        <v>20260615016</v>
      </c>
      <c r="G444" s="59" t="s">
        <v>836</v>
      </c>
      <c r="H444" s="43">
        <f>H443-K444</f>
        <v>392372.15267175605</v>
      </c>
      <c r="I444" s="43">
        <v>4140</v>
      </c>
      <c r="J444" s="43">
        <v>4140</v>
      </c>
      <c r="K444" s="43">
        <f>J444/0.786+1</f>
        <v>5268.1755725190842</v>
      </c>
      <c r="L444" s="44"/>
      <c r="M444" s="92"/>
      <c r="N444" s="35"/>
      <c r="O444" s="29">
        <v>46195</v>
      </c>
      <c r="P444" s="28">
        <f t="shared" si="43"/>
        <v>46559</v>
      </c>
    </row>
    <row r="445" spans="2:16" ht="20.149999999999999" customHeight="1" x14ac:dyDescent="0.2">
      <c r="B445" s="30">
        <v>46196</v>
      </c>
      <c r="C445" s="31" t="s">
        <v>1345</v>
      </c>
      <c r="D445" s="31" t="s">
        <v>1344</v>
      </c>
      <c r="E445" s="31" t="s">
        <v>22</v>
      </c>
      <c r="F445" s="31">
        <v>20260615031</v>
      </c>
      <c r="G445" s="31" t="s">
        <v>950</v>
      </c>
      <c r="H445" s="41">
        <f>H442-K445</f>
        <v>21049.346055979717</v>
      </c>
      <c r="I445" s="41">
        <v>4220</v>
      </c>
      <c r="J445" s="41">
        <v>4190</v>
      </c>
      <c r="K445" s="41">
        <f t="shared" si="52"/>
        <v>5330.7888040712469</v>
      </c>
      <c r="L445" s="42"/>
      <c r="M445" s="89"/>
      <c r="N445" s="31"/>
      <c r="O445" s="29">
        <v>46194</v>
      </c>
      <c r="P445" s="28">
        <f t="shared" si="43"/>
        <v>46558</v>
      </c>
    </row>
    <row r="446" spans="2:16" ht="20.149999999999999" customHeight="1" x14ac:dyDescent="0.2">
      <c r="B446" s="30">
        <v>46196</v>
      </c>
      <c r="C446" s="31" t="s">
        <v>1343</v>
      </c>
      <c r="D446" s="31" t="s">
        <v>1341</v>
      </c>
      <c r="E446" s="31" t="s">
        <v>22</v>
      </c>
      <c r="F446" s="31">
        <v>20260615032</v>
      </c>
      <c r="G446" s="31" t="s">
        <v>950</v>
      </c>
      <c r="H446" s="41">
        <f>H445-K446</f>
        <v>15552.162849872846</v>
      </c>
      <c r="I446" s="41">
        <v>4420</v>
      </c>
      <c r="J446" s="41">
        <v>4320</v>
      </c>
      <c r="K446" s="41">
        <f>J446/0.786+1</f>
        <v>5497.1832061068699</v>
      </c>
      <c r="L446" s="42"/>
      <c r="M446" s="89"/>
      <c r="N446" s="31"/>
      <c r="O446" s="29">
        <v>46194</v>
      </c>
      <c r="P446" s="28">
        <f t="shared" si="43"/>
        <v>46558</v>
      </c>
    </row>
    <row r="447" spans="2:16" ht="20.149999999999999" customHeight="1" x14ac:dyDescent="0.2">
      <c r="B447" s="34">
        <v>46197</v>
      </c>
      <c r="C447" s="35" t="s">
        <v>1360</v>
      </c>
      <c r="D447" s="35" t="s">
        <v>1350</v>
      </c>
      <c r="E447" s="35" t="s">
        <v>25</v>
      </c>
      <c r="F447" s="35">
        <v>20260615017</v>
      </c>
      <c r="G447" s="59" t="s">
        <v>1357</v>
      </c>
      <c r="H447" s="43">
        <f>H444-K447</f>
        <v>386874.96946564916</v>
      </c>
      <c r="I447" s="43">
        <v>4360</v>
      </c>
      <c r="J447" s="43">
        <v>4320</v>
      </c>
      <c r="K447" s="43">
        <f>J447/0.786+1</f>
        <v>5497.1832061068699</v>
      </c>
      <c r="L447" s="44"/>
      <c r="M447" s="92"/>
      <c r="N447" s="35"/>
      <c r="O447" s="29">
        <v>46195</v>
      </c>
      <c r="P447" s="28">
        <f>DATE(YEAR(O447)+1,MONTH(O447),DAY(O447))-1</f>
        <v>46559</v>
      </c>
    </row>
    <row r="448" spans="2:16" ht="20.149999999999999" customHeight="1" x14ac:dyDescent="0.2">
      <c r="B448" s="30">
        <v>46197</v>
      </c>
      <c r="C448" s="31" t="s">
        <v>1354</v>
      </c>
      <c r="D448" s="31" t="s">
        <v>1351</v>
      </c>
      <c r="E448" s="31" t="s">
        <v>22</v>
      </c>
      <c r="F448" s="31">
        <v>20260615033</v>
      </c>
      <c r="G448" s="31" t="s">
        <v>950</v>
      </c>
      <c r="H448" s="41">
        <f>H446-K448</f>
        <v>10004.089058524245</v>
      </c>
      <c r="I448" s="41">
        <v>4360</v>
      </c>
      <c r="J448" s="41">
        <v>4360</v>
      </c>
      <c r="K448" s="41">
        <f>J448/0.786+1</f>
        <v>5548.0737913486</v>
      </c>
      <c r="L448" s="42"/>
      <c r="M448" s="89"/>
      <c r="N448" s="31"/>
      <c r="O448" s="29">
        <v>46195</v>
      </c>
      <c r="P448" s="28">
        <f t="shared" si="43"/>
        <v>46559</v>
      </c>
    </row>
    <row r="449" spans="2:16" ht="20.149999999999999" customHeight="1" x14ac:dyDescent="0.2">
      <c r="B449" s="30">
        <v>46197</v>
      </c>
      <c r="C449" s="31" t="s">
        <v>1358</v>
      </c>
      <c r="D449" s="31" t="s">
        <v>1352</v>
      </c>
      <c r="E449" s="31" t="s">
        <v>22</v>
      </c>
      <c r="F449" s="31">
        <v>20260615034</v>
      </c>
      <c r="G449" s="31" t="s">
        <v>1369</v>
      </c>
      <c r="H449" s="41">
        <f>H448-K449</f>
        <v>4646.8549618321331</v>
      </c>
      <c r="I449" s="41">
        <v>4230</v>
      </c>
      <c r="J449" s="41">
        <v>4210</v>
      </c>
      <c r="K449" s="41">
        <f>J449/0.786+1</f>
        <v>5357.234096692112</v>
      </c>
      <c r="L449" s="42"/>
      <c r="M449" s="89"/>
      <c r="N449" s="31"/>
      <c r="O449" s="29">
        <v>46196</v>
      </c>
      <c r="P449" s="28">
        <f t="shared" si="43"/>
        <v>46560</v>
      </c>
    </row>
    <row r="450" spans="2:16" ht="20.149999999999999" customHeight="1" x14ac:dyDescent="0.25">
      <c r="B450" s="25">
        <v>46197</v>
      </c>
      <c r="C450" s="26" t="s">
        <v>1362</v>
      </c>
      <c r="D450" s="26" t="s">
        <v>1361</v>
      </c>
      <c r="E450" s="26" t="s">
        <v>1034</v>
      </c>
      <c r="F450" s="26" t="s">
        <v>2249</v>
      </c>
      <c r="G450" s="26" t="s">
        <v>1198</v>
      </c>
      <c r="H450" s="38">
        <f>H428-K450</f>
        <v>139815.33587786258</v>
      </c>
      <c r="I450" s="38">
        <v>3950</v>
      </c>
      <c r="J450" s="38">
        <v>3710</v>
      </c>
      <c r="K450" s="38">
        <f>J450/0.786+1</f>
        <v>4721.1017811704833</v>
      </c>
      <c r="L450" s="55"/>
      <c r="M450" s="85"/>
      <c r="N450" s="26"/>
      <c r="O450" s="29">
        <v>46193</v>
      </c>
      <c r="P450" s="28">
        <f>DATE(YEAR(O450)+1,MONTH(O450),DAY(O450))-1</f>
        <v>46557</v>
      </c>
    </row>
    <row r="451" spans="2:16" ht="20.149999999999999" customHeight="1" x14ac:dyDescent="0.2">
      <c r="B451" s="34">
        <v>46198</v>
      </c>
      <c r="C451" s="35" t="s">
        <v>1367</v>
      </c>
      <c r="D451" s="35" t="s">
        <v>1363</v>
      </c>
      <c r="E451" s="35" t="s">
        <v>25</v>
      </c>
      <c r="F451" s="35" t="s">
        <v>2250</v>
      </c>
      <c r="G451" s="59" t="s">
        <v>1370</v>
      </c>
      <c r="H451" s="43">
        <f>H447-K451</f>
        <v>381582.34860050923</v>
      </c>
      <c r="I451" s="43">
        <v>4210</v>
      </c>
      <c r="J451" s="43">
        <v>4160</v>
      </c>
      <c r="K451" s="43">
        <f>J451/0.786</f>
        <v>5292.6208651399493</v>
      </c>
      <c r="L451" s="44"/>
      <c r="M451" s="92"/>
      <c r="N451" s="35"/>
      <c r="O451" s="29">
        <v>46196</v>
      </c>
      <c r="P451" s="28">
        <f t="shared" ref="P451:P497" si="53">DATE(YEAR(O451)+1,MONTH(O451),DAY(O451))-1</f>
        <v>46560</v>
      </c>
    </row>
    <row r="452" spans="2:16" ht="20.149999999999999" customHeight="1" x14ac:dyDescent="0.2">
      <c r="B452" s="34">
        <v>46198</v>
      </c>
      <c r="C452" s="35" t="s">
        <v>1371</v>
      </c>
      <c r="D452" s="35" t="s">
        <v>1364</v>
      </c>
      <c r="E452" s="35" t="s">
        <v>25</v>
      </c>
      <c r="F452" s="35" t="s">
        <v>2251</v>
      </c>
      <c r="G452" s="59" t="s">
        <v>836</v>
      </c>
      <c r="H452" s="43">
        <f>H451-K452</f>
        <v>376111.6106870232</v>
      </c>
      <c r="I452" s="43">
        <v>4310</v>
      </c>
      <c r="J452" s="43">
        <v>4300</v>
      </c>
      <c r="K452" s="43">
        <f>J452/0.786</f>
        <v>5470.7379134860048</v>
      </c>
      <c r="L452" s="44"/>
      <c r="M452" s="92"/>
      <c r="N452" s="35"/>
      <c r="O452" s="29">
        <v>46196</v>
      </c>
      <c r="P452" s="28">
        <f t="shared" si="53"/>
        <v>46560</v>
      </c>
    </row>
    <row r="453" spans="2:16" ht="20.149999999999999" customHeight="1" x14ac:dyDescent="0.2">
      <c r="B453" s="30">
        <v>46198</v>
      </c>
      <c r="C453" s="31" t="s">
        <v>1372</v>
      </c>
      <c r="D453" s="31" t="s">
        <v>1365</v>
      </c>
      <c r="E453" s="31" t="s">
        <v>22</v>
      </c>
      <c r="F453" s="31">
        <v>20260615035</v>
      </c>
      <c r="G453" s="31" t="s">
        <v>950</v>
      </c>
      <c r="H453" s="41">
        <f>H449-K453</f>
        <v>2.8549618321330854</v>
      </c>
      <c r="I453" s="41">
        <v>4270</v>
      </c>
      <c r="J453" s="41">
        <v>4230</v>
      </c>
      <c r="K453" s="41">
        <v>4644</v>
      </c>
      <c r="L453" s="42"/>
      <c r="M453" s="89"/>
      <c r="N453" s="31"/>
      <c r="O453" s="29">
        <v>46196</v>
      </c>
      <c r="P453" s="28">
        <f t="shared" si="53"/>
        <v>46560</v>
      </c>
    </row>
    <row r="454" spans="2:16" ht="20.149999999999999" customHeight="1" x14ac:dyDescent="0.2">
      <c r="B454" s="62"/>
      <c r="C454" s="61"/>
      <c r="D454" s="61" t="s">
        <v>45</v>
      </c>
      <c r="E454" s="61" t="s">
        <v>22</v>
      </c>
      <c r="F454" s="61" t="s">
        <v>2252</v>
      </c>
      <c r="G454" s="61" t="s">
        <v>1382</v>
      </c>
      <c r="H454" s="64">
        <f>900000-K454</f>
        <v>899262</v>
      </c>
      <c r="I454" s="64"/>
      <c r="J454" s="64"/>
      <c r="K454" s="64">
        <f>5382-4644</f>
        <v>738</v>
      </c>
      <c r="L454" s="65"/>
      <c r="M454" s="93"/>
      <c r="N454" s="61"/>
    </row>
    <row r="455" spans="2:16" ht="20.149999999999999" customHeight="1" x14ac:dyDescent="0.2">
      <c r="B455" s="62">
        <v>46198</v>
      </c>
      <c r="C455" s="61" t="s">
        <v>1368</v>
      </c>
      <c r="D455" s="61" t="s">
        <v>1366</v>
      </c>
      <c r="E455" s="61" t="s">
        <v>22</v>
      </c>
      <c r="F455" s="61">
        <v>20260622017</v>
      </c>
      <c r="G455" s="61" t="s">
        <v>1349</v>
      </c>
      <c r="H455" s="64">
        <f>H454-K455</f>
        <v>893866.59796437656</v>
      </c>
      <c r="I455" s="64">
        <v>4260</v>
      </c>
      <c r="J455" s="64">
        <v>4240</v>
      </c>
      <c r="K455" s="64">
        <f>J455/0.786+1</f>
        <v>5395.4020356234096</v>
      </c>
      <c r="L455" s="65"/>
      <c r="M455" s="93"/>
      <c r="N455" s="61"/>
      <c r="O455" s="29">
        <v>46196</v>
      </c>
      <c r="P455" s="28">
        <f t="shared" si="53"/>
        <v>46560</v>
      </c>
    </row>
    <row r="456" spans="2:16" ht="20.149999999999999" customHeight="1" x14ac:dyDescent="0.2">
      <c r="B456" s="34">
        <v>46199</v>
      </c>
      <c r="C456" s="35" t="s">
        <v>1380</v>
      </c>
      <c r="D456" s="35" t="s">
        <v>1376</v>
      </c>
      <c r="E456" s="35" t="s">
        <v>25</v>
      </c>
      <c r="F456" s="35" t="s">
        <v>2253</v>
      </c>
      <c r="G456" s="59" t="s">
        <v>836</v>
      </c>
      <c r="H456" s="43">
        <f>H452-K456</f>
        <v>370665.31806615804</v>
      </c>
      <c r="I456" s="43">
        <v>4350</v>
      </c>
      <c r="J456" s="43">
        <v>4280</v>
      </c>
      <c r="K456" s="43">
        <f>J456/0.786+1</f>
        <v>5446.2926208651397</v>
      </c>
      <c r="L456" s="44"/>
      <c r="M456" s="92"/>
      <c r="N456" s="35"/>
      <c r="O456" s="29">
        <v>46197</v>
      </c>
      <c r="P456" s="28">
        <f t="shared" si="53"/>
        <v>46561</v>
      </c>
    </row>
    <row r="457" spans="2:16" ht="20.149999999999999" customHeight="1" x14ac:dyDescent="0.2">
      <c r="B457" s="34">
        <v>46199</v>
      </c>
      <c r="C457" s="35" t="s">
        <v>1381</v>
      </c>
      <c r="D457" s="35" t="s">
        <v>1377</v>
      </c>
      <c r="E457" s="35" t="s">
        <v>25</v>
      </c>
      <c r="F457" s="35">
        <v>20260622010</v>
      </c>
      <c r="G457" s="59" t="s">
        <v>836</v>
      </c>
      <c r="H457" s="43">
        <f>H456-K457</f>
        <v>365143.68956743029</v>
      </c>
      <c r="I457" s="43">
        <v>4370</v>
      </c>
      <c r="J457" s="43">
        <v>4340</v>
      </c>
      <c r="K457" s="43">
        <f>J457/0.786</f>
        <v>5521.628498727735</v>
      </c>
      <c r="L457" s="44"/>
      <c r="M457" s="92"/>
      <c r="N457" s="35"/>
      <c r="O457" s="29">
        <v>46197</v>
      </c>
      <c r="P457" s="28">
        <f t="shared" si="53"/>
        <v>46561</v>
      </c>
    </row>
    <row r="458" spans="2:16" ht="20.149999999999999" customHeight="1" x14ac:dyDescent="0.2">
      <c r="B458" s="62">
        <v>46199</v>
      </c>
      <c r="C458" s="61" t="s">
        <v>1384</v>
      </c>
      <c r="D458" s="61" t="s">
        <v>1378</v>
      </c>
      <c r="E458" s="61" t="s">
        <v>22</v>
      </c>
      <c r="F458" s="61">
        <v>20260622018</v>
      </c>
      <c r="G458" s="61" t="s">
        <v>1349</v>
      </c>
      <c r="H458" s="64">
        <f>H455-K458</f>
        <v>888484.91857506358</v>
      </c>
      <c r="I458" s="64">
        <v>4260</v>
      </c>
      <c r="J458" s="64">
        <v>4230</v>
      </c>
      <c r="K458" s="64">
        <f t="shared" ref="K458" si="54">J458/0.786</f>
        <v>5381.679389312977</v>
      </c>
      <c r="L458" s="65"/>
      <c r="M458" s="93"/>
      <c r="N458" s="61"/>
      <c r="O458" s="29">
        <v>46197</v>
      </c>
      <c r="P458" s="28">
        <f t="shared" si="53"/>
        <v>46561</v>
      </c>
    </row>
    <row r="459" spans="2:16" ht="20.149999999999999" customHeight="1" x14ac:dyDescent="0.2">
      <c r="B459" s="62">
        <v>46199</v>
      </c>
      <c r="C459" s="61" t="s">
        <v>1383</v>
      </c>
      <c r="D459" s="61" t="s">
        <v>1379</v>
      </c>
      <c r="E459" s="61" t="s">
        <v>22</v>
      </c>
      <c r="F459" s="61">
        <v>20260622019</v>
      </c>
      <c r="G459" s="61" t="s">
        <v>1382</v>
      </c>
      <c r="H459" s="64">
        <f>H458-K459</f>
        <v>882976.01272264624</v>
      </c>
      <c r="I459" s="64">
        <v>4390</v>
      </c>
      <c r="J459" s="64">
        <v>4330</v>
      </c>
      <c r="K459" s="64">
        <f>J459/0.786</f>
        <v>5508.9058524173024</v>
      </c>
      <c r="L459" s="65"/>
      <c r="M459" s="93"/>
      <c r="N459" s="61"/>
      <c r="O459" s="29">
        <v>46197</v>
      </c>
      <c r="P459" s="28">
        <f t="shared" si="53"/>
        <v>46561</v>
      </c>
    </row>
    <row r="460" spans="2:16" ht="20.149999999999999" customHeight="1" x14ac:dyDescent="0.2">
      <c r="B460" s="34">
        <v>46200</v>
      </c>
      <c r="C460" s="35" t="s">
        <v>1389</v>
      </c>
      <c r="D460" s="35" t="s">
        <v>1386</v>
      </c>
      <c r="E460" s="35" t="s">
        <v>25</v>
      </c>
      <c r="F460" s="35">
        <v>20260622011</v>
      </c>
      <c r="G460" s="59" t="s">
        <v>836</v>
      </c>
      <c r="H460" s="43">
        <f>H457-K460</f>
        <v>359684.67430025473</v>
      </c>
      <c r="I460" s="43">
        <v>4290</v>
      </c>
      <c r="J460" s="43">
        <v>4290</v>
      </c>
      <c r="K460" s="43">
        <f>J460/0.786+1</f>
        <v>5459.0152671755723</v>
      </c>
      <c r="L460" s="44"/>
      <c r="M460" s="92"/>
      <c r="N460" s="35"/>
      <c r="O460" s="29">
        <v>46198</v>
      </c>
      <c r="P460" s="28">
        <f t="shared" si="53"/>
        <v>46562</v>
      </c>
    </row>
    <row r="461" spans="2:16" ht="20.149999999999999" customHeight="1" x14ac:dyDescent="0.2">
      <c r="B461" s="62">
        <v>46200</v>
      </c>
      <c r="C461" s="61" t="s">
        <v>1390</v>
      </c>
      <c r="D461" s="61" t="s">
        <v>1387</v>
      </c>
      <c r="E461" s="61" t="s">
        <v>22</v>
      </c>
      <c r="F461" s="61">
        <v>20260622020</v>
      </c>
      <c r="G461" s="61" t="s">
        <v>1349</v>
      </c>
      <c r="H461" s="64">
        <f>H459-K461</f>
        <v>877607.05597964372</v>
      </c>
      <c r="I461" s="64">
        <v>4190</v>
      </c>
      <c r="J461" s="64">
        <v>4220</v>
      </c>
      <c r="K461" s="64">
        <f t="shared" ref="K461" si="55">J461/0.786</f>
        <v>5368.9567430025445</v>
      </c>
      <c r="L461" s="65"/>
      <c r="M461" s="93"/>
      <c r="N461" s="61"/>
      <c r="O461" s="29">
        <v>46198</v>
      </c>
      <c r="P461" s="28">
        <f t="shared" si="53"/>
        <v>46562</v>
      </c>
    </row>
    <row r="462" spans="2:16" ht="20.149999999999999" customHeight="1" x14ac:dyDescent="0.2">
      <c r="B462" s="62">
        <v>46200</v>
      </c>
      <c r="C462" s="61" t="s">
        <v>1391</v>
      </c>
      <c r="D462" s="61" t="s">
        <v>1388</v>
      </c>
      <c r="E462" s="61" t="s">
        <v>22</v>
      </c>
      <c r="F462" s="61">
        <v>20260622021</v>
      </c>
      <c r="G462" s="61" t="s">
        <v>1392</v>
      </c>
      <c r="H462" s="64">
        <f>H461-K462</f>
        <v>872020.81424936384</v>
      </c>
      <c r="I462" s="64">
        <v>4360</v>
      </c>
      <c r="J462" s="64">
        <v>4390</v>
      </c>
      <c r="K462" s="64">
        <f>J462/0.786+1</f>
        <v>5586.2417302798976</v>
      </c>
      <c r="L462" s="65"/>
      <c r="M462" s="93"/>
      <c r="N462" s="61"/>
      <c r="O462" s="29">
        <v>46198</v>
      </c>
      <c r="P462" s="28">
        <f t="shared" si="53"/>
        <v>46562</v>
      </c>
    </row>
    <row r="463" spans="2:16" ht="20.149999999999999" customHeight="1" x14ac:dyDescent="0.2">
      <c r="B463" s="34">
        <v>46200</v>
      </c>
      <c r="C463" s="35" t="s">
        <v>1396</v>
      </c>
      <c r="D463" s="35" t="s">
        <v>1395</v>
      </c>
      <c r="E463" s="35" t="s">
        <v>25</v>
      </c>
      <c r="F463" s="35">
        <v>20260622012</v>
      </c>
      <c r="G463" s="59" t="s">
        <v>1397</v>
      </c>
      <c r="H463" s="43">
        <f>H460-K463</f>
        <v>354200.2137404583</v>
      </c>
      <c r="I463" s="43">
        <v>4360</v>
      </c>
      <c r="J463" s="43">
        <v>4310</v>
      </c>
      <c r="K463" s="43">
        <f>J463/0.786+1</f>
        <v>5484.4605597964373</v>
      </c>
      <c r="L463" s="44"/>
      <c r="M463" s="92"/>
      <c r="N463" s="35"/>
      <c r="O463" s="29">
        <v>46198</v>
      </c>
      <c r="P463" s="28">
        <f t="shared" si="53"/>
        <v>46562</v>
      </c>
    </row>
    <row r="464" spans="2:16" ht="20.149999999999999" customHeight="1" x14ac:dyDescent="0.2">
      <c r="B464" s="34">
        <v>46201</v>
      </c>
      <c r="C464" s="35" t="s">
        <v>1404</v>
      </c>
      <c r="D464" s="35" t="s">
        <v>1403</v>
      </c>
      <c r="E464" s="35" t="s">
        <v>25</v>
      </c>
      <c r="F464" s="35">
        <v>20260622013</v>
      </c>
      <c r="G464" s="59" t="s">
        <v>836</v>
      </c>
      <c r="H464" s="43">
        <f>H463-K464</f>
        <v>348944.76081424963</v>
      </c>
      <c r="I464" s="43">
        <v>4160</v>
      </c>
      <c r="J464" s="43">
        <v>4130</v>
      </c>
      <c r="K464" s="43">
        <f>J464/0.786+1</f>
        <v>5255.4529262086508</v>
      </c>
      <c r="L464" s="44"/>
      <c r="M464" s="92"/>
      <c r="N464" s="35"/>
      <c r="O464" s="29">
        <v>46199</v>
      </c>
      <c r="P464" s="28">
        <f t="shared" si="53"/>
        <v>46563</v>
      </c>
    </row>
    <row r="465" spans="2:16" ht="20.149999999999999" customHeight="1" x14ac:dyDescent="0.2">
      <c r="B465" s="62">
        <v>46201</v>
      </c>
      <c r="C465" s="61" t="s">
        <v>1400</v>
      </c>
      <c r="D465" s="61" t="s">
        <v>1398</v>
      </c>
      <c r="E465" s="61" t="s">
        <v>22</v>
      </c>
      <c r="F465" s="61">
        <v>20260622022</v>
      </c>
      <c r="G465" s="61" t="s">
        <v>1401</v>
      </c>
      <c r="H465" s="64">
        <f>H462-K465</f>
        <v>866499.18575063616</v>
      </c>
      <c r="I465" s="64">
        <v>4330</v>
      </c>
      <c r="J465" s="64">
        <v>4340</v>
      </c>
      <c r="K465" s="64">
        <f>J465/0.786</f>
        <v>5521.628498727735</v>
      </c>
      <c r="L465" s="65"/>
      <c r="M465" s="93"/>
      <c r="N465" s="61"/>
      <c r="O465" s="29">
        <v>46199</v>
      </c>
      <c r="P465" s="28">
        <f t="shared" si="53"/>
        <v>46563</v>
      </c>
    </row>
    <row r="466" spans="2:16" ht="20.149999999999999" customHeight="1" x14ac:dyDescent="0.2">
      <c r="B466" s="62">
        <v>46201</v>
      </c>
      <c r="C466" s="61" t="s">
        <v>1402</v>
      </c>
      <c r="D466" s="61" t="s">
        <v>1399</v>
      </c>
      <c r="E466" s="61" t="s">
        <v>22</v>
      </c>
      <c r="F466" s="61">
        <v>20260622023</v>
      </c>
      <c r="G466" s="61" t="s">
        <v>1349</v>
      </c>
      <c r="H466" s="64">
        <f>H465-K466</f>
        <v>861130.22900763364</v>
      </c>
      <c r="I466" s="64">
        <v>4200</v>
      </c>
      <c r="J466" s="64">
        <v>4220</v>
      </c>
      <c r="K466" s="64">
        <f>J466/0.786</f>
        <v>5368.9567430025445</v>
      </c>
      <c r="L466" s="65"/>
      <c r="M466" s="93"/>
      <c r="N466" s="61"/>
      <c r="O466" s="29">
        <v>46199</v>
      </c>
      <c r="P466" s="28">
        <f t="shared" si="53"/>
        <v>46563</v>
      </c>
    </row>
    <row r="467" spans="2:16" ht="20.149999999999999" customHeight="1" x14ac:dyDescent="0.2">
      <c r="B467" s="34">
        <v>46202</v>
      </c>
      <c r="C467" s="35" t="s">
        <v>1414</v>
      </c>
      <c r="D467" s="35" t="s">
        <v>1411</v>
      </c>
      <c r="E467" s="35" t="s">
        <v>25</v>
      </c>
      <c r="F467" s="35" t="s">
        <v>2254</v>
      </c>
      <c r="G467" s="59" t="s">
        <v>836</v>
      </c>
      <c r="H467" s="43">
        <f>H464-K467</f>
        <v>343485.74554707407</v>
      </c>
      <c r="I467" s="43">
        <v>4360</v>
      </c>
      <c r="J467" s="43">
        <v>4290</v>
      </c>
      <c r="K467" s="43">
        <f>J467/0.786+1</f>
        <v>5459.0152671755723</v>
      </c>
      <c r="L467" s="44"/>
      <c r="M467" s="92"/>
      <c r="N467" s="35"/>
      <c r="O467" s="29">
        <v>46200</v>
      </c>
      <c r="P467" s="28">
        <f t="shared" si="53"/>
        <v>46564</v>
      </c>
    </row>
    <row r="468" spans="2:16" ht="20.149999999999999" customHeight="1" x14ac:dyDescent="0.2">
      <c r="B468" s="34">
        <v>46202</v>
      </c>
      <c r="C468" s="35" t="s">
        <v>1415</v>
      </c>
      <c r="D468" s="35" t="s">
        <v>1412</v>
      </c>
      <c r="E468" s="35" t="s">
        <v>25</v>
      </c>
      <c r="F468" s="35">
        <v>20260622015</v>
      </c>
      <c r="G468" s="59" t="s">
        <v>1413</v>
      </c>
      <c r="H468" s="43">
        <f>H467-K468</f>
        <v>337913.2264631046</v>
      </c>
      <c r="I468" s="43">
        <v>4390</v>
      </c>
      <c r="J468" s="43">
        <v>4380</v>
      </c>
      <c r="K468" s="43">
        <f>J468/0.786</f>
        <v>5572.5190839694651</v>
      </c>
      <c r="L468" s="44"/>
      <c r="M468" s="92"/>
      <c r="N468" s="35"/>
      <c r="O468" s="29">
        <v>46201</v>
      </c>
      <c r="P468" s="28">
        <f>DATE(YEAR(O468)+1,MONTH(O468),DAY(O468))-1</f>
        <v>46565</v>
      </c>
    </row>
    <row r="469" spans="2:16" ht="20.149999999999999" customHeight="1" x14ac:dyDescent="0.2">
      <c r="B469" s="62">
        <v>46202</v>
      </c>
      <c r="C469" s="61" t="s">
        <v>1416</v>
      </c>
      <c r="D469" s="61" t="s">
        <v>1408</v>
      </c>
      <c r="E469" s="61" t="s">
        <v>22</v>
      </c>
      <c r="F469" s="61">
        <v>20260622024</v>
      </c>
      <c r="G469" s="61" t="s">
        <v>1410</v>
      </c>
      <c r="H469" s="64">
        <f>H466-K469</f>
        <v>855772.99491094158</v>
      </c>
      <c r="I469" s="64">
        <v>4270</v>
      </c>
      <c r="J469" s="64">
        <v>4210</v>
      </c>
      <c r="K469" s="64">
        <f>J469/0.786+1</f>
        <v>5357.234096692112</v>
      </c>
      <c r="L469" s="65"/>
      <c r="M469" s="93"/>
      <c r="N469" s="61"/>
      <c r="O469" s="29">
        <v>46200</v>
      </c>
      <c r="P469" s="28">
        <f t="shared" si="53"/>
        <v>46564</v>
      </c>
    </row>
    <row r="470" spans="2:16" ht="20.149999999999999" customHeight="1" x14ac:dyDescent="0.2">
      <c r="B470" s="62">
        <v>46202</v>
      </c>
      <c r="C470" s="61" t="s">
        <v>1417</v>
      </c>
      <c r="D470" s="61" t="s">
        <v>1409</v>
      </c>
      <c r="E470" s="61" t="s">
        <v>22</v>
      </c>
      <c r="F470" s="61">
        <v>20260622025</v>
      </c>
      <c r="G470" s="61" t="s">
        <v>1349</v>
      </c>
      <c r="H470" s="64">
        <f>H469-K470</f>
        <v>850453.92875318078</v>
      </c>
      <c r="I470" s="64">
        <v>4260</v>
      </c>
      <c r="J470" s="64">
        <v>4180</v>
      </c>
      <c r="K470" s="64">
        <f>J470/0.786+1</f>
        <v>5319.0661577608143</v>
      </c>
      <c r="L470" s="65"/>
      <c r="M470" s="93"/>
      <c r="N470" s="61"/>
      <c r="O470" s="29">
        <v>46200</v>
      </c>
      <c r="P470" s="28">
        <f t="shared" si="53"/>
        <v>46564</v>
      </c>
    </row>
    <row r="471" spans="2:16" ht="20.149999999999999" customHeight="1" x14ac:dyDescent="0.2">
      <c r="B471" s="53">
        <v>46203</v>
      </c>
      <c r="C471" s="26" t="s">
        <v>1428</v>
      </c>
      <c r="D471" s="26" t="s">
        <v>1424</v>
      </c>
      <c r="E471" s="26" t="s">
        <v>1034</v>
      </c>
      <c r="F471" s="26" t="s">
        <v>2255</v>
      </c>
      <c r="G471" s="26" t="s">
        <v>1198</v>
      </c>
      <c r="H471" s="38">
        <f>H450-K471</f>
        <v>134242.81679389311</v>
      </c>
      <c r="I471" s="38">
        <v>4420</v>
      </c>
      <c r="J471" s="38">
        <v>4380</v>
      </c>
      <c r="K471" s="38">
        <f>J471/0.786</f>
        <v>5572.5190839694651</v>
      </c>
      <c r="L471" s="37"/>
      <c r="M471" s="85"/>
      <c r="N471" s="26"/>
      <c r="O471" s="29">
        <v>46201</v>
      </c>
      <c r="P471" s="28">
        <f>DATE(YEAR(O471)+1,MONTH(O471),DAY(O471))-1</f>
        <v>46565</v>
      </c>
    </row>
    <row r="472" spans="2:16" ht="20.149999999999999" customHeight="1" x14ac:dyDescent="0.2">
      <c r="B472" s="34">
        <v>46203</v>
      </c>
      <c r="C472" s="35" t="s">
        <v>1423</v>
      </c>
      <c r="D472" s="35" t="s">
        <v>1422</v>
      </c>
      <c r="E472" s="35" t="s">
        <v>25</v>
      </c>
      <c r="F472" s="35">
        <v>20260622016</v>
      </c>
      <c r="G472" s="59" t="s">
        <v>836</v>
      </c>
      <c r="H472" s="43">
        <f>H468-K472</f>
        <v>332353.43002544559</v>
      </c>
      <c r="I472" s="43">
        <v>4370</v>
      </c>
      <c r="J472" s="43">
        <v>4370</v>
      </c>
      <c r="K472" s="43">
        <f t="shared" ref="K472" si="56">J472/0.786</f>
        <v>5559.7964376590326</v>
      </c>
      <c r="L472" s="44"/>
      <c r="M472" s="92"/>
      <c r="N472" s="35"/>
      <c r="O472" s="29">
        <v>46201</v>
      </c>
      <c r="P472" s="28">
        <f t="shared" si="53"/>
        <v>46565</v>
      </c>
    </row>
    <row r="473" spans="2:16" ht="20.149999999999999" customHeight="1" x14ac:dyDescent="0.2">
      <c r="B473" s="62">
        <v>46203</v>
      </c>
      <c r="C473" s="61" t="s">
        <v>1420</v>
      </c>
      <c r="D473" s="61" t="s">
        <v>1418</v>
      </c>
      <c r="E473" s="61" t="s">
        <v>22</v>
      </c>
      <c r="F473" s="61">
        <v>20260622026</v>
      </c>
      <c r="G473" s="61" t="s">
        <v>1349</v>
      </c>
      <c r="H473" s="64">
        <f>H470-K473</f>
        <v>844881.40966921137</v>
      </c>
      <c r="I473" s="64">
        <v>4410</v>
      </c>
      <c r="J473" s="64">
        <v>4380</v>
      </c>
      <c r="K473" s="64">
        <f t="shared" ref="K473:K501" si="57">J473/0.786</f>
        <v>5572.5190839694651</v>
      </c>
      <c r="L473" s="65"/>
      <c r="M473" s="93"/>
      <c r="N473" s="61"/>
      <c r="O473" s="29">
        <v>46201</v>
      </c>
      <c r="P473" s="28">
        <f t="shared" si="53"/>
        <v>46565</v>
      </c>
    </row>
    <row r="474" spans="2:16" ht="20.149999999999999" customHeight="1" x14ac:dyDescent="0.2">
      <c r="B474" s="62">
        <v>46203</v>
      </c>
      <c r="C474" s="61" t="s">
        <v>1421</v>
      </c>
      <c r="D474" s="61" t="s">
        <v>1419</v>
      </c>
      <c r="E474" s="61" t="s">
        <v>22</v>
      </c>
      <c r="F474" s="61">
        <v>20260622027</v>
      </c>
      <c r="G474" s="61" t="s">
        <v>1349</v>
      </c>
      <c r="H474" s="64">
        <f>H473-K474</f>
        <v>839384.22646310448</v>
      </c>
      <c r="I474" s="64">
        <v>4290</v>
      </c>
      <c r="J474" s="64">
        <v>4320</v>
      </c>
      <c r="K474" s="64">
        <f>J474/0.786+1</f>
        <v>5497.1832061068699</v>
      </c>
      <c r="L474" s="65"/>
      <c r="M474" s="93"/>
      <c r="N474" s="61"/>
      <c r="O474" s="29">
        <v>46201</v>
      </c>
      <c r="P474" s="28">
        <f t="shared" si="53"/>
        <v>46565</v>
      </c>
    </row>
    <row r="475" spans="2:16" ht="20.149999999999999" customHeight="1" x14ac:dyDescent="0.2">
      <c r="B475" s="25">
        <v>46204</v>
      </c>
      <c r="C475" s="26" t="s">
        <v>1437</v>
      </c>
      <c r="D475" s="26" t="s">
        <v>177</v>
      </c>
      <c r="E475" s="26" t="s">
        <v>1034</v>
      </c>
      <c r="F475" s="26">
        <v>20260629038</v>
      </c>
      <c r="G475" s="26" t="s">
        <v>1198</v>
      </c>
      <c r="H475" s="38">
        <f>H471-K475</f>
        <v>130590.41730279897</v>
      </c>
      <c r="I475" s="38">
        <v>4180</v>
      </c>
      <c r="J475" s="38">
        <v>2870</v>
      </c>
      <c r="K475" s="38">
        <f>J475/0.786+1</f>
        <v>3652.3994910941474</v>
      </c>
      <c r="L475" s="37"/>
      <c r="M475" s="85"/>
      <c r="N475" s="26"/>
      <c r="O475" s="29">
        <v>46203</v>
      </c>
      <c r="P475" s="28">
        <f>DATE(YEAR(O475)+1,MONTH(O475),DAY(O475))-1</f>
        <v>46567</v>
      </c>
    </row>
    <row r="476" spans="2:16" ht="20.149999999999999" customHeight="1" x14ac:dyDescent="0.2">
      <c r="B476" s="34">
        <v>46204</v>
      </c>
      <c r="C476" s="35" t="s">
        <v>1431</v>
      </c>
      <c r="D476" s="35" t="s">
        <v>1429</v>
      </c>
      <c r="E476" s="35" t="s">
        <v>25</v>
      </c>
      <c r="F476" s="35" t="s">
        <v>2256</v>
      </c>
      <c r="G476" s="59" t="s">
        <v>836</v>
      </c>
      <c r="H476" s="43">
        <f>H472-K476</f>
        <v>326894.41475827002</v>
      </c>
      <c r="I476" s="43">
        <v>4310</v>
      </c>
      <c r="J476" s="43">
        <v>4290</v>
      </c>
      <c r="K476" s="43">
        <f>J476/0.786+1</f>
        <v>5459.0152671755723</v>
      </c>
      <c r="L476" s="44"/>
      <c r="M476" s="92"/>
      <c r="N476" s="35"/>
      <c r="O476" s="29">
        <v>46202</v>
      </c>
      <c r="P476" s="28">
        <f t="shared" si="53"/>
        <v>46566</v>
      </c>
    </row>
    <row r="477" spans="2:16" ht="20.149999999999999" customHeight="1" x14ac:dyDescent="0.2">
      <c r="B477" s="34">
        <v>46204</v>
      </c>
      <c r="C477" s="35" t="s">
        <v>1438</v>
      </c>
      <c r="D477" s="35" t="s">
        <v>1436</v>
      </c>
      <c r="E477" s="35" t="s">
        <v>25</v>
      </c>
      <c r="F477" s="35" t="s">
        <v>2257</v>
      </c>
      <c r="G477" s="59" t="s">
        <v>884</v>
      </c>
      <c r="H477" s="43">
        <f>H476-K477</f>
        <v>321409.9541984736</v>
      </c>
      <c r="I477" s="43">
        <v>4310</v>
      </c>
      <c r="J477" s="43">
        <v>4310</v>
      </c>
      <c r="K477" s="43">
        <f>J477/0.786+1</f>
        <v>5484.4605597964373</v>
      </c>
      <c r="L477" s="44"/>
      <c r="M477" s="92"/>
      <c r="N477" s="35"/>
      <c r="O477" s="29">
        <v>46203</v>
      </c>
      <c r="P477" s="28">
        <f t="shared" si="53"/>
        <v>46567</v>
      </c>
    </row>
    <row r="478" spans="2:16" ht="20.149999999999999" customHeight="1" x14ac:dyDescent="0.2">
      <c r="B478" s="62">
        <v>46204</v>
      </c>
      <c r="C478" s="61" t="s">
        <v>1432</v>
      </c>
      <c r="D478" s="61" t="s">
        <v>1430</v>
      </c>
      <c r="E478" s="61" t="s">
        <v>22</v>
      </c>
      <c r="F478" s="61">
        <v>20260629020</v>
      </c>
      <c r="G478" s="61" t="s">
        <v>1349</v>
      </c>
      <c r="H478" s="64">
        <f>H474-K478</f>
        <v>834077.88295165414</v>
      </c>
      <c r="I478" s="64">
        <v>4200</v>
      </c>
      <c r="J478" s="64">
        <v>4170</v>
      </c>
      <c r="K478" s="64">
        <f>J478/0.786+1</f>
        <v>5306.3435114503818</v>
      </c>
      <c r="L478" s="65"/>
      <c r="M478" s="93"/>
      <c r="N478" s="61"/>
      <c r="O478" s="29">
        <v>46202</v>
      </c>
      <c r="P478" s="28">
        <f>DATE(YEAR(O478)+1,MONTH(O478),DAY(O478))-1</f>
        <v>46566</v>
      </c>
    </row>
    <row r="479" spans="2:16" ht="20.149999999999999" customHeight="1" x14ac:dyDescent="0.2">
      <c r="B479" s="34">
        <v>46205</v>
      </c>
      <c r="C479" s="35" t="s">
        <v>1441</v>
      </c>
      <c r="D479" s="35" t="s">
        <v>1439</v>
      </c>
      <c r="E479" s="35" t="s">
        <v>25</v>
      </c>
      <c r="F479" s="35">
        <v>20260629005</v>
      </c>
      <c r="G479" s="59" t="s">
        <v>884</v>
      </c>
      <c r="H479" s="43">
        <f>H477-K479</f>
        <v>316079.16539440234</v>
      </c>
      <c r="I479" s="43">
        <v>4250</v>
      </c>
      <c r="J479" s="43">
        <v>4190</v>
      </c>
      <c r="K479" s="43">
        <f t="shared" si="57"/>
        <v>5330.7888040712469</v>
      </c>
      <c r="L479" s="44"/>
      <c r="M479" s="92"/>
      <c r="N479" s="35"/>
      <c r="O479" s="29">
        <v>46203</v>
      </c>
      <c r="P479" s="28">
        <f t="shared" si="53"/>
        <v>46567</v>
      </c>
    </row>
    <row r="480" spans="2:16" ht="20.149999999999999" customHeight="1" x14ac:dyDescent="0.2">
      <c r="B480" s="62">
        <v>46205</v>
      </c>
      <c r="C480" s="61" t="s">
        <v>1445</v>
      </c>
      <c r="D480" s="61" t="s">
        <v>1440</v>
      </c>
      <c r="E480" s="61" t="s">
        <v>22</v>
      </c>
      <c r="F480" s="61">
        <v>20260629021</v>
      </c>
      <c r="G480" s="61" t="s">
        <v>1349</v>
      </c>
      <c r="H480" s="64">
        <f>H478-K480</f>
        <v>828785.26208651415</v>
      </c>
      <c r="I480" s="64">
        <v>4170</v>
      </c>
      <c r="J480" s="64">
        <v>4160</v>
      </c>
      <c r="K480" s="64">
        <f>J480/0.786</f>
        <v>5292.6208651399493</v>
      </c>
      <c r="L480" s="65"/>
      <c r="M480" s="93"/>
      <c r="N480" s="61"/>
      <c r="O480" s="29">
        <v>46203</v>
      </c>
      <c r="P480" s="28">
        <f>DATE(YEAR(O480)+1,MONTH(O480),DAY(O480))-1</f>
        <v>46567</v>
      </c>
    </row>
    <row r="481" spans="2:16" ht="20.149999999999999" customHeight="1" x14ac:dyDescent="0.2">
      <c r="B481" s="62">
        <v>46205</v>
      </c>
      <c r="C481" s="61" t="s">
        <v>1446</v>
      </c>
      <c r="D481" s="61" t="s">
        <v>1443</v>
      </c>
      <c r="E481" s="61" t="s">
        <v>22</v>
      </c>
      <c r="F481" s="61">
        <v>20260629022</v>
      </c>
      <c r="G481" s="61" t="s">
        <v>1349</v>
      </c>
      <c r="H481" s="64">
        <f>H480-K481</f>
        <v>823352.69211195945</v>
      </c>
      <c r="I481" s="64">
        <v>4250</v>
      </c>
      <c r="J481" s="64">
        <v>4270</v>
      </c>
      <c r="K481" s="64">
        <f>J481/0.786</f>
        <v>5432.5699745547072</v>
      </c>
      <c r="L481" s="65"/>
      <c r="M481" s="93"/>
      <c r="N481" s="61"/>
      <c r="O481" s="29">
        <v>46204</v>
      </c>
      <c r="P481" s="28">
        <f>DATE(YEAR(O481)+1,MONTH(O481),DAY(O481))-1</f>
        <v>46568</v>
      </c>
    </row>
    <row r="482" spans="2:16" ht="20.149999999999999" customHeight="1" x14ac:dyDescent="0.2">
      <c r="B482" s="25">
        <v>46205</v>
      </c>
      <c r="C482" s="26" t="s">
        <v>1448</v>
      </c>
      <c r="D482" s="26" t="s">
        <v>1447</v>
      </c>
      <c r="E482" s="26" t="s">
        <v>1034</v>
      </c>
      <c r="F482" s="26" t="s">
        <v>2258</v>
      </c>
      <c r="G482" s="26" t="s">
        <v>1198</v>
      </c>
      <c r="H482" s="38">
        <f>H475-K482</f>
        <v>125373.13231552162</v>
      </c>
      <c r="I482" s="38">
        <v>4120</v>
      </c>
      <c r="J482" s="38">
        <v>4100</v>
      </c>
      <c r="K482" s="38">
        <f>J482/0.786+1</f>
        <v>5217.2849872773531</v>
      </c>
      <c r="L482" s="37"/>
      <c r="M482" s="85"/>
      <c r="N482" s="26"/>
      <c r="O482" s="29">
        <v>46204</v>
      </c>
      <c r="P482" s="28">
        <f>DATE(YEAR(O482)+1,MONTH(O482),DAY(O482))-1</f>
        <v>46568</v>
      </c>
    </row>
    <row r="483" spans="2:16" ht="20.149999999999999" customHeight="1" x14ac:dyDescent="0.2">
      <c r="B483" s="34">
        <v>46206</v>
      </c>
      <c r="C483" s="35" t="s">
        <v>1451</v>
      </c>
      <c r="D483" s="35" t="s">
        <v>1449</v>
      </c>
      <c r="E483" s="35" t="s">
        <v>25</v>
      </c>
      <c r="F483" s="35">
        <v>20260629006</v>
      </c>
      <c r="G483" s="59" t="s">
        <v>836</v>
      </c>
      <c r="H483" s="43">
        <f>H479-K483</f>
        <v>310849.15776081453</v>
      </c>
      <c r="I483" s="43">
        <v>4090</v>
      </c>
      <c r="J483" s="43">
        <v>4110</v>
      </c>
      <c r="K483" s="43">
        <f>J483/0.786+1</f>
        <v>5230.0076335877857</v>
      </c>
      <c r="L483" s="44"/>
      <c r="M483" s="92"/>
      <c r="N483" s="35"/>
      <c r="O483" s="29">
        <v>46204</v>
      </c>
      <c r="P483" s="28">
        <f t="shared" si="53"/>
        <v>46568</v>
      </c>
    </row>
    <row r="484" spans="2:16" ht="20.149999999999999" customHeight="1" x14ac:dyDescent="0.2">
      <c r="B484" s="34">
        <v>46206</v>
      </c>
      <c r="C484" s="35" t="s">
        <v>1455</v>
      </c>
      <c r="D484" s="35" t="s">
        <v>1453</v>
      </c>
      <c r="E484" s="35" t="s">
        <v>25</v>
      </c>
      <c r="F484" s="35">
        <v>20260629007</v>
      </c>
      <c r="G484" s="59" t="s">
        <v>1466</v>
      </c>
      <c r="H484" s="43">
        <f>H483-K484</f>
        <v>305327.52926208678</v>
      </c>
      <c r="I484" s="43">
        <v>4310</v>
      </c>
      <c r="J484" s="43">
        <v>4340</v>
      </c>
      <c r="K484" s="43">
        <f t="shared" si="57"/>
        <v>5521.628498727735</v>
      </c>
      <c r="L484" s="44"/>
      <c r="M484" s="92"/>
      <c r="N484" s="35"/>
      <c r="O484" s="29">
        <v>46205</v>
      </c>
      <c r="P484" s="28">
        <f t="shared" si="53"/>
        <v>46569</v>
      </c>
    </row>
    <row r="485" spans="2:16" ht="20.149999999999999" customHeight="1" x14ac:dyDescent="0.2">
      <c r="B485" s="62">
        <v>46206</v>
      </c>
      <c r="C485" s="61" t="s">
        <v>1452</v>
      </c>
      <c r="D485" s="61" t="s">
        <v>1450</v>
      </c>
      <c r="E485" s="61" t="s">
        <v>22</v>
      </c>
      <c r="F485" s="61">
        <v>20260629023</v>
      </c>
      <c r="G485" s="61" t="s">
        <v>1349</v>
      </c>
      <c r="H485" s="64">
        <f>H481-K485</f>
        <v>817932.84478371521</v>
      </c>
      <c r="I485" s="64">
        <v>4220</v>
      </c>
      <c r="J485" s="64">
        <v>4260</v>
      </c>
      <c r="K485" s="64">
        <f>J485/0.786</f>
        <v>5419.8473282442746</v>
      </c>
      <c r="L485" s="65"/>
      <c r="M485" s="93"/>
      <c r="N485" s="61"/>
      <c r="O485" s="29">
        <v>46204</v>
      </c>
      <c r="P485" s="28">
        <f>DATE(YEAR(O485)+1,MONTH(O485),DAY(O485))-1</f>
        <v>46568</v>
      </c>
    </row>
    <row r="486" spans="2:16" ht="20.149999999999999" customHeight="1" x14ac:dyDescent="0.2">
      <c r="B486" s="62">
        <v>46206</v>
      </c>
      <c r="C486" s="61" t="s">
        <v>1464</v>
      </c>
      <c r="D486" s="61" t="s">
        <v>1454</v>
      </c>
      <c r="E486" s="61" t="s">
        <v>22</v>
      </c>
      <c r="F486" s="61">
        <v>20260629024</v>
      </c>
      <c r="G486" s="61" t="s">
        <v>1349</v>
      </c>
      <c r="H486" s="64">
        <f>H485-K486</f>
        <v>812575.61068702315</v>
      </c>
      <c r="I486" s="64">
        <v>4330</v>
      </c>
      <c r="J486" s="64">
        <v>4210</v>
      </c>
      <c r="K486" s="64">
        <f>J486/0.786+1</f>
        <v>5357.234096692112</v>
      </c>
      <c r="L486" s="65"/>
      <c r="M486" s="93"/>
      <c r="N486" s="61"/>
      <c r="O486" s="29">
        <v>46205</v>
      </c>
      <c r="P486" s="28">
        <f>DATE(YEAR(O486)+1,MONTH(O486),DAY(O486))-1</f>
        <v>46569</v>
      </c>
    </row>
    <row r="487" spans="2:16" ht="20.149999999999999" customHeight="1" x14ac:dyDescent="0.2">
      <c r="B487" s="25">
        <v>46206</v>
      </c>
      <c r="C487" s="26" t="s">
        <v>1458</v>
      </c>
      <c r="D487" s="26" t="s">
        <v>1456</v>
      </c>
      <c r="E487" s="26" t="s">
        <v>1034</v>
      </c>
      <c r="F487" s="26" t="s">
        <v>2259</v>
      </c>
      <c r="G487" s="26" t="s">
        <v>1457</v>
      </c>
      <c r="H487" s="38">
        <f>H482-K487</f>
        <v>121797.06870229007</v>
      </c>
      <c r="I487" s="38">
        <v>4230</v>
      </c>
      <c r="J487" s="38">
        <v>2810</v>
      </c>
      <c r="K487" s="38">
        <f>J487/0.786+1</f>
        <v>3576.0636132315522</v>
      </c>
      <c r="L487" s="37"/>
      <c r="M487" s="85"/>
      <c r="N487" s="26"/>
      <c r="O487" s="29">
        <v>46205</v>
      </c>
      <c r="P487" s="28">
        <f>DATE(YEAR(O487)+1,MONTH(O487),DAY(O487))-1</f>
        <v>46569</v>
      </c>
    </row>
    <row r="488" spans="2:16" ht="20.149999999999999" customHeight="1" x14ac:dyDescent="0.2">
      <c r="B488" s="34">
        <v>46207</v>
      </c>
      <c r="C488" s="35" t="s">
        <v>1467</v>
      </c>
      <c r="D488" s="35" t="s">
        <v>1459</v>
      </c>
      <c r="E488" s="35" t="s">
        <v>25</v>
      </c>
      <c r="F488" s="35">
        <v>20260629008</v>
      </c>
      <c r="G488" s="59" t="s">
        <v>836</v>
      </c>
      <c r="H488" s="43">
        <f>H484-K488</f>
        <v>299958.57251908426</v>
      </c>
      <c r="I488" s="43">
        <v>4180</v>
      </c>
      <c r="J488" s="43">
        <v>4220</v>
      </c>
      <c r="K488" s="43">
        <f t="shared" si="57"/>
        <v>5368.9567430025445</v>
      </c>
      <c r="L488" s="44"/>
      <c r="M488" s="92"/>
      <c r="N488" s="35"/>
      <c r="O488" s="29">
        <v>46206</v>
      </c>
      <c r="P488" s="28">
        <f t="shared" si="53"/>
        <v>46570</v>
      </c>
    </row>
    <row r="489" spans="2:16" ht="20.149999999999999" customHeight="1" x14ac:dyDescent="0.2">
      <c r="B489" s="62">
        <v>46207</v>
      </c>
      <c r="C489" s="61" t="s">
        <v>1463</v>
      </c>
      <c r="D489" s="61" t="s">
        <v>1460</v>
      </c>
      <c r="E489" s="61" t="s">
        <v>22</v>
      </c>
      <c r="F489" s="61">
        <v>20260629025</v>
      </c>
      <c r="G489" s="61" t="s">
        <v>1349</v>
      </c>
      <c r="H489" s="64">
        <f>H486-K489</f>
        <v>807232.09923664143</v>
      </c>
      <c r="I489" s="64">
        <v>4230</v>
      </c>
      <c r="J489" s="64">
        <v>4200</v>
      </c>
      <c r="K489" s="64">
        <f>J489/0.786</f>
        <v>5343.5114503816794</v>
      </c>
      <c r="L489" s="65"/>
      <c r="M489" s="93"/>
      <c r="N489" s="61"/>
      <c r="O489" s="29">
        <v>46205</v>
      </c>
      <c r="P489" s="28">
        <f>DATE(YEAR(O489)+1,MONTH(O489),DAY(O489))-1</f>
        <v>46569</v>
      </c>
    </row>
    <row r="490" spans="2:16" ht="20.149999999999999" customHeight="1" x14ac:dyDescent="0.2">
      <c r="B490" s="62">
        <v>46207</v>
      </c>
      <c r="C490" s="61" t="s">
        <v>1473</v>
      </c>
      <c r="D490" s="61" t="s">
        <v>1461</v>
      </c>
      <c r="E490" s="61" t="s">
        <v>22</v>
      </c>
      <c r="F490" s="61">
        <v>20260629026</v>
      </c>
      <c r="G490" s="61" t="s">
        <v>1474</v>
      </c>
      <c r="H490" s="64">
        <f>H489-K490</f>
        <v>801785.80661577627</v>
      </c>
      <c r="I490" s="64">
        <v>4320</v>
      </c>
      <c r="J490" s="64">
        <v>4280</v>
      </c>
      <c r="K490" s="64">
        <f>J490/0.786+1</f>
        <v>5446.2926208651397</v>
      </c>
      <c r="L490" s="65"/>
      <c r="M490" s="93"/>
      <c r="N490" s="61"/>
      <c r="O490" s="29">
        <v>46206</v>
      </c>
      <c r="P490" s="28">
        <f>DATE(YEAR(O490)+1,MONTH(O490),DAY(O490))-1</f>
        <v>46570</v>
      </c>
    </row>
    <row r="491" spans="2:16" ht="20.149999999999999" customHeight="1" x14ac:dyDescent="0.2">
      <c r="B491" s="34">
        <v>46208</v>
      </c>
      <c r="C491" s="35" t="s">
        <v>1477</v>
      </c>
      <c r="D491" s="35" t="s">
        <v>1469</v>
      </c>
      <c r="E491" s="35" t="s">
        <v>25</v>
      </c>
      <c r="F491" s="35">
        <v>20260629009</v>
      </c>
      <c r="G491" s="59" t="s">
        <v>1475</v>
      </c>
      <c r="H491" s="43">
        <f>H488-K491</f>
        <v>294615.06106870261</v>
      </c>
      <c r="I491" s="43">
        <v>4180</v>
      </c>
      <c r="J491" s="43">
        <v>4200</v>
      </c>
      <c r="K491" s="43">
        <f>J491/0.786</f>
        <v>5343.5114503816794</v>
      </c>
      <c r="L491" s="44"/>
      <c r="M491" s="92"/>
      <c r="N491" s="35"/>
      <c r="O491" s="29">
        <v>46206</v>
      </c>
      <c r="P491" s="28">
        <f>DATE(YEAR(O491)+1,MONTH(O491),DAY(O491))-1</f>
        <v>46570</v>
      </c>
    </row>
    <row r="492" spans="2:16" ht="20.149999999999999" customHeight="1" x14ac:dyDescent="0.2">
      <c r="B492" s="34">
        <v>46208</v>
      </c>
      <c r="C492" s="35" t="s">
        <v>1485</v>
      </c>
      <c r="D492" s="35" t="s">
        <v>1470</v>
      </c>
      <c r="E492" s="35" t="s">
        <v>25</v>
      </c>
      <c r="F492" s="35">
        <v>20260629010</v>
      </c>
      <c r="G492" s="59" t="s">
        <v>1486</v>
      </c>
      <c r="H492" s="43">
        <f>H491-K492</f>
        <v>289219.65903307922</v>
      </c>
      <c r="I492" s="43">
        <v>4260</v>
      </c>
      <c r="J492" s="43">
        <v>4240</v>
      </c>
      <c r="K492" s="43">
        <f>J492/0.786+1</f>
        <v>5395.4020356234096</v>
      </c>
      <c r="L492" s="44"/>
      <c r="M492" s="92"/>
      <c r="N492" s="35"/>
      <c r="O492" s="29">
        <v>46207</v>
      </c>
      <c r="P492" s="28">
        <f t="shared" si="53"/>
        <v>46571</v>
      </c>
    </row>
    <row r="493" spans="2:16" ht="20.149999999999999" customHeight="1" x14ac:dyDescent="0.2">
      <c r="B493" s="62">
        <v>46208</v>
      </c>
      <c r="C493" s="61" t="s">
        <v>1478</v>
      </c>
      <c r="D493" s="61" t="s">
        <v>1471</v>
      </c>
      <c r="E493" s="61" t="s">
        <v>22</v>
      </c>
      <c r="F493" s="61">
        <v>20260629027</v>
      </c>
      <c r="G493" s="61" t="s">
        <v>1479</v>
      </c>
      <c r="H493" s="64">
        <f>H490-K493</f>
        <v>796365.95928753202</v>
      </c>
      <c r="I493" s="64">
        <v>4260</v>
      </c>
      <c r="J493" s="64">
        <v>4260</v>
      </c>
      <c r="K493" s="64">
        <f>J493/0.786</f>
        <v>5419.8473282442746</v>
      </c>
      <c r="L493" s="65"/>
      <c r="M493" s="93"/>
      <c r="N493" s="61"/>
      <c r="O493" s="29">
        <v>46207</v>
      </c>
      <c r="P493" s="28">
        <f>DATE(YEAR(O493)+1,MONTH(O493),DAY(O493))-1</f>
        <v>46571</v>
      </c>
    </row>
    <row r="494" spans="2:16" ht="20.149999999999999" customHeight="1" x14ac:dyDescent="0.2">
      <c r="B494" s="62">
        <v>46208</v>
      </c>
      <c r="C494" s="61" t="s">
        <v>1484</v>
      </c>
      <c r="D494" s="61" t="s">
        <v>1472</v>
      </c>
      <c r="E494" s="61" t="s">
        <v>22</v>
      </c>
      <c r="F494" s="61">
        <v>20260629028</v>
      </c>
      <c r="G494" s="61" t="s">
        <v>1487</v>
      </c>
      <c r="H494" s="64">
        <f>H493-K494</f>
        <v>790868.77608142514</v>
      </c>
      <c r="I494" s="64">
        <v>4310</v>
      </c>
      <c r="J494" s="64">
        <v>4320</v>
      </c>
      <c r="K494" s="64">
        <f>J494/0.786+1</f>
        <v>5497.1832061068699</v>
      </c>
      <c r="L494" s="65"/>
      <c r="M494" s="93"/>
      <c r="N494" s="61"/>
      <c r="O494" s="29">
        <v>46207</v>
      </c>
      <c r="P494" s="28">
        <f>DATE(YEAR(O494)+1,MONTH(O494),DAY(O494))-1</f>
        <v>46571</v>
      </c>
    </row>
    <row r="495" spans="2:16" ht="20.149999999999999" customHeight="1" x14ac:dyDescent="0.2">
      <c r="B495" s="25">
        <v>46209</v>
      </c>
      <c r="C495" s="26" t="s">
        <v>1496</v>
      </c>
      <c r="D495" s="26" t="s">
        <v>1492</v>
      </c>
      <c r="E495" s="26" t="s">
        <v>1034</v>
      </c>
      <c r="F495" s="26" t="s">
        <v>2260</v>
      </c>
      <c r="G495" s="26" t="s">
        <v>1493</v>
      </c>
      <c r="H495" s="38">
        <f>H487-K495</f>
        <v>116504.44783715012</v>
      </c>
      <c r="I495" s="38">
        <v>4230</v>
      </c>
      <c r="J495" s="38">
        <v>4160</v>
      </c>
      <c r="K495" s="38">
        <f>J495/0.786</f>
        <v>5292.6208651399493</v>
      </c>
      <c r="L495" s="37"/>
      <c r="M495" s="85"/>
      <c r="N495" s="26"/>
      <c r="O495" s="29">
        <v>46206</v>
      </c>
      <c r="P495" s="28">
        <f>DATE(YEAR(O495)+1,MONTH(O495),DAY(O495))-1</f>
        <v>46570</v>
      </c>
    </row>
    <row r="496" spans="2:16" ht="20.149999999999999" customHeight="1" x14ac:dyDescent="0.2">
      <c r="B496" s="34">
        <v>46209</v>
      </c>
      <c r="C496" s="35" t="s">
        <v>1489</v>
      </c>
      <c r="D496" s="35" t="s">
        <v>1480</v>
      </c>
      <c r="E496" s="35" t="s">
        <v>25</v>
      </c>
      <c r="F496" s="35">
        <v>20260629011</v>
      </c>
      <c r="G496" s="59" t="s">
        <v>836</v>
      </c>
      <c r="H496" s="43">
        <f>H492-K496</f>
        <v>283927.03816793929</v>
      </c>
      <c r="I496" s="43">
        <v>4290</v>
      </c>
      <c r="J496" s="43">
        <v>4160</v>
      </c>
      <c r="K496" s="43">
        <f>J496/0.786</f>
        <v>5292.6208651399493</v>
      </c>
      <c r="L496" s="44"/>
      <c r="M496" s="92"/>
      <c r="N496" s="35"/>
      <c r="O496" s="29">
        <v>46207</v>
      </c>
      <c r="P496" s="28">
        <f>DATE(YEAR(O496)+1,MONTH(O496),DAY(O496))-1</f>
        <v>46571</v>
      </c>
    </row>
    <row r="497" spans="2:16" ht="20.149999999999999" customHeight="1" x14ac:dyDescent="0.2">
      <c r="B497" s="34">
        <v>46209</v>
      </c>
      <c r="C497" s="35" t="s">
        <v>1501</v>
      </c>
      <c r="D497" s="35" t="s">
        <v>1494</v>
      </c>
      <c r="E497" s="35" t="s">
        <v>25</v>
      </c>
      <c r="F497" s="35">
        <v>20260629012</v>
      </c>
      <c r="G497" s="59" t="s">
        <v>836</v>
      </c>
      <c r="H497" s="43">
        <f>H496-K497</f>
        <v>278494.46819338459</v>
      </c>
      <c r="I497" s="43">
        <v>4250</v>
      </c>
      <c r="J497" s="43">
        <v>4270</v>
      </c>
      <c r="K497" s="43">
        <f t="shared" si="57"/>
        <v>5432.5699745547072</v>
      </c>
      <c r="L497" s="44"/>
      <c r="M497" s="92"/>
      <c r="N497" s="35"/>
      <c r="O497" s="29">
        <v>46208</v>
      </c>
      <c r="P497" s="28">
        <f t="shared" si="53"/>
        <v>46572</v>
      </c>
    </row>
    <row r="498" spans="2:16" ht="20.149999999999999" customHeight="1" x14ac:dyDescent="0.2">
      <c r="B498" s="62">
        <v>46209</v>
      </c>
      <c r="C498" s="61" t="s">
        <v>1490</v>
      </c>
      <c r="D498" s="61" t="s">
        <v>1481</v>
      </c>
      <c r="E498" s="61" t="s">
        <v>22</v>
      </c>
      <c r="F498" s="61">
        <v>20260629029</v>
      </c>
      <c r="G498" s="61" t="s">
        <v>1491</v>
      </c>
      <c r="H498" s="64">
        <f>H494-K498</f>
        <v>785537.98727735388</v>
      </c>
      <c r="I498" s="64">
        <v>4180</v>
      </c>
      <c r="J498" s="64">
        <v>4190</v>
      </c>
      <c r="K498" s="64">
        <f>J498/0.786</f>
        <v>5330.7888040712469</v>
      </c>
      <c r="L498" s="65"/>
      <c r="M498" s="93"/>
      <c r="N498" s="61"/>
      <c r="O498" s="29">
        <v>46208</v>
      </c>
      <c r="P498" s="28">
        <f>DATE(YEAR(O498)+1,MONTH(O498),DAY(O498))-1</f>
        <v>46572</v>
      </c>
    </row>
    <row r="499" spans="2:16" ht="20.149999999999999" customHeight="1" x14ac:dyDescent="0.2">
      <c r="B499" s="62">
        <v>46209</v>
      </c>
      <c r="C499" s="61" t="s">
        <v>1502</v>
      </c>
      <c r="D499" s="61" t="s">
        <v>1495</v>
      </c>
      <c r="E499" s="61" t="s">
        <v>22</v>
      </c>
      <c r="F499" s="61">
        <v>20260629030</v>
      </c>
      <c r="G499" s="61" t="s">
        <v>1503</v>
      </c>
      <c r="H499" s="64">
        <f>H498-K499</f>
        <v>780040.804071247</v>
      </c>
      <c r="I499" s="64">
        <v>4340</v>
      </c>
      <c r="J499" s="64">
        <v>4320</v>
      </c>
      <c r="K499" s="64">
        <f>J499/0.786+1</f>
        <v>5497.1832061068699</v>
      </c>
      <c r="L499" s="65"/>
      <c r="M499" s="93"/>
      <c r="N499" s="61"/>
      <c r="O499" s="29">
        <v>46208</v>
      </c>
      <c r="P499" s="28">
        <f>DATE(YEAR(O499)+1,MONTH(O499),DAY(O499))-1</f>
        <v>46572</v>
      </c>
    </row>
    <row r="500" spans="2:16" ht="20.149999999999999" customHeight="1" x14ac:dyDescent="0.2">
      <c r="B500" s="25">
        <v>46210</v>
      </c>
      <c r="C500" s="26" t="s">
        <v>1520</v>
      </c>
      <c r="D500" s="26" t="s">
        <v>1515</v>
      </c>
      <c r="E500" s="26" t="s">
        <v>1034</v>
      </c>
      <c r="F500" s="26" t="s">
        <v>2261</v>
      </c>
      <c r="G500" s="26" t="s">
        <v>1519</v>
      </c>
      <c r="H500" s="38">
        <f>H504-K500</f>
        <v>105702.92111959287</v>
      </c>
      <c r="I500" s="38">
        <v>4300</v>
      </c>
      <c r="J500" s="38">
        <v>4270</v>
      </c>
      <c r="K500" s="38">
        <f>J500/0.786</f>
        <v>5432.5699745547072</v>
      </c>
      <c r="L500" s="37"/>
      <c r="M500" s="85"/>
      <c r="N500" s="26"/>
      <c r="O500" s="29">
        <v>46209</v>
      </c>
      <c r="P500" s="28">
        <f>DATE(YEAR(O500)+1,MONTH(O500),DAY(O500))-1</f>
        <v>46573</v>
      </c>
    </row>
    <row r="501" spans="2:16" ht="20.149999999999999" customHeight="1" x14ac:dyDescent="0.2">
      <c r="B501" s="34">
        <v>46210</v>
      </c>
      <c r="C501" s="35" t="s">
        <v>1509</v>
      </c>
      <c r="D501" s="35" t="s">
        <v>1507</v>
      </c>
      <c r="E501" s="35" t="s">
        <v>25</v>
      </c>
      <c r="F501" s="35">
        <v>20260629013</v>
      </c>
      <c r="G501" s="59" t="s">
        <v>1512</v>
      </c>
      <c r="H501" s="43">
        <f>H497-K501</f>
        <v>273163.67938931333</v>
      </c>
      <c r="I501" s="43">
        <v>4180</v>
      </c>
      <c r="J501" s="43">
        <v>4190</v>
      </c>
      <c r="K501" s="43">
        <f t="shared" si="57"/>
        <v>5330.7888040712469</v>
      </c>
      <c r="L501" s="44"/>
      <c r="M501" s="92"/>
      <c r="N501" s="35"/>
      <c r="O501" s="29">
        <v>46209</v>
      </c>
      <c r="P501" s="28">
        <f t="shared" ref="P501:P564" si="58">DATE(YEAR(O501)+1,MONTH(O501),DAY(O501))-1</f>
        <v>46573</v>
      </c>
    </row>
    <row r="502" spans="2:16" ht="20.149999999999999" customHeight="1" x14ac:dyDescent="0.25">
      <c r="B502" s="62">
        <v>46210</v>
      </c>
      <c r="C502" s="61" t="s">
        <v>1500</v>
      </c>
      <c r="D502" s="61" t="s">
        <v>1497</v>
      </c>
      <c r="E502" s="61" t="s">
        <v>22</v>
      </c>
      <c r="F502" s="61">
        <v>20260629031</v>
      </c>
      <c r="G502" s="61" t="s">
        <v>1504</v>
      </c>
      <c r="H502" s="64">
        <f>H499-K502</f>
        <v>774543.62086514011</v>
      </c>
      <c r="I502" s="64">
        <v>4300</v>
      </c>
      <c r="J502" s="64">
        <v>4320</v>
      </c>
      <c r="K502" s="64">
        <f>J502/0.786+1</f>
        <v>5497.1832061068699</v>
      </c>
      <c r="L502" s="82" t="s">
        <v>1551</v>
      </c>
      <c r="M502" s="93"/>
      <c r="N502" s="61"/>
      <c r="O502" s="29">
        <v>46208</v>
      </c>
      <c r="P502" s="28">
        <f t="shared" si="58"/>
        <v>46572</v>
      </c>
    </row>
    <row r="503" spans="2:16" ht="20.149999999999999" customHeight="1" x14ac:dyDescent="0.2">
      <c r="B503" s="62">
        <v>46210</v>
      </c>
      <c r="C503" s="61" t="s">
        <v>1505</v>
      </c>
      <c r="D503" s="61" t="s">
        <v>1498</v>
      </c>
      <c r="E503" s="61" t="s">
        <v>22</v>
      </c>
      <c r="F503" s="61">
        <v>20260629032</v>
      </c>
      <c r="G503" s="61" t="s">
        <v>1513</v>
      </c>
      <c r="H503" s="64">
        <f>H502-K503</f>
        <v>769237.27735368977</v>
      </c>
      <c r="I503" s="64">
        <v>4190</v>
      </c>
      <c r="J503" s="64">
        <v>4170</v>
      </c>
      <c r="K503" s="64">
        <f>J503/0.786+1</f>
        <v>5306.3435114503818</v>
      </c>
      <c r="L503" s="65"/>
      <c r="M503" s="93"/>
      <c r="N503" s="61"/>
      <c r="O503" s="29">
        <v>46209</v>
      </c>
      <c r="P503" s="28">
        <f t="shared" si="58"/>
        <v>46573</v>
      </c>
    </row>
    <row r="504" spans="2:16" ht="20.149999999999999" customHeight="1" x14ac:dyDescent="0.2">
      <c r="B504" s="25">
        <v>46211</v>
      </c>
      <c r="C504" s="26" t="s">
        <v>1508</v>
      </c>
      <c r="D504" s="26" t="s">
        <v>1506</v>
      </c>
      <c r="E504" s="26" t="s">
        <v>1034</v>
      </c>
      <c r="F504" s="26" t="s">
        <v>2262</v>
      </c>
      <c r="G504" s="26" t="s">
        <v>1511</v>
      </c>
      <c r="H504" s="38">
        <f>H495-K504</f>
        <v>111135.49109414757</v>
      </c>
      <c r="I504" s="38">
        <v>4210</v>
      </c>
      <c r="J504" s="38">
        <v>4220</v>
      </c>
      <c r="K504" s="38">
        <f>J504/0.786</f>
        <v>5368.9567430025445</v>
      </c>
      <c r="L504" s="37"/>
      <c r="M504" s="85"/>
      <c r="N504" s="26"/>
      <c r="O504" s="29">
        <v>46208</v>
      </c>
      <c r="P504" s="28">
        <f>DATE(YEAR(O504)+1,MONTH(O504),DAY(O504))-1</f>
        <v>46572</v>
      </c>
    </row>
    <row r="505" spans="2:16" ht="20.149999999999999" customHeight="1" x14ac:dyDescent="0.2">
      <c r="B505" s="34">
        <v>46211</v>
      </c>
      <c r="C505" s="35" t="s">
        <v>1522</v>
      </c>
      <c r="D505" s="35" t="s">
        <v>1516</v>
      </c>
      <c r="E505" s="35" t="s">
        <v>25</v>
      </c>
      <c r="F505" s="35">
        <v>20260629014</v>
      </c>
      <c r="G505" s="59" t="s">
        <v>836</v>
      </c>
      <c r="H505" s="43">
        <f>H501-K505</f>
        <v>267615.60559796472</v>
      </c>
      <c r="I505" s="43">
        <v>4380</v>
      </c>
      <c r="J505" s="43">
        <v>4360</v>
      </c>
      <c r="K505" s="43">
        <f>J505/0.786+1</f>
        <v>5548.0737913486</v>
      </c>
      <c r="L505" s="44"/>
      <c r="M505" s="92"/>
      <c r="N505" s="35"/>
      <c r="O505" s="29">
        <v>46209</v>
      </c>
      <c r="P505" s="28">
        <f t="shared" si="58"/>
        <v>46573</v>
      </c>
    </row>
    <row r="506" spans="2:16" ht="20.149999999999999" customHeight="1" x14ac:dyDescent="0.2">
      <c r="B506" s="34">
        <v>46211</v>
      </c>
      <c r="C506" s="35" t="s">
        <v>1532</v>
      </c>
      <c r="D506" s="35" t="s">
        <v>1517</v>
      </c>
      <c r="E506" s="35" t="s">
        <v>25</v>
      </c>
      <c r="F506" s="35">
        <v>20260706010</v>
      </c>
      <c r="G506" s="59" t="s">
        <v>1533</v>
      </c>
      <c r="H506" s="43">
        <f>H505-K506</f>
        <v>262296.53944020392</v>
      </c>
      <c r="I506" s="43">
        <v>4210</v>
      </c>
      <c r="J506" s="43">
        <v>4180</v>
      </c>
      <c r="K506" s="43">
        <f>J506/0.786+1</f>
        <v>5319.0661577608143</v>
      </c>
      <c r="L506" s="44"/>
      <c r="M506" s="92"/>
      <c r="N506" s="35"/>
      <c r="O506" s="29">
        <v>46210</v>
      </c>
      <c r="P506" s="28">
        <f t="shared" si="58"/>
        <v>46574</v>
      </c>
    </row>
    <row r="507" spans="2:16" ht="20.149999999999999" customHeight="1" x14ac:dyDescent="0.2">
      <c r="B507" s="45">
        <v>46211</v>
      </c>
      <c r="C507" s="46" t="s">
        <v>1525</v>
      </c>
      <c r="D507" s="46" t="s">
        <v>1524</v>
      </c>
      <c r="E507" s="81" t="s">
        <v>1536</v>
      </c>
      <c r="F507" s="81">
        <v>20260706021</v>
      </c>
      <c r="G507" s="46" t="s">
        <v>549</v>
      </c>
      <c r="H507" s="48">
        <f>H363-K507</f>
        <v>26669.689567430025</v>
      </c>
      <c r="I507" s="48">
        <v>4220</v>
      </c>
      <c r="J507" s="48">
        <v>4200</v>
      </c>
      <c r="K507" s="48">
        <f t="shared" ref="K507" si="59">J507/0.786</f>
        <v>5343.5114503816794</v>
      </c>
      <c r="L507" s="49"/>
      <c r="M507" s="84"/>
      <c r="N507" s="46"/>
      <c r="O507" s="29">
        <v>46210</v>
      </c>
      <c r="P507" s="28">
        <f t="shared" si="58"/>
        <v>46574</v>
      </c>
    </row>
    <row r="508" spans="2:16" ht="20.149999999999999" customHeight="1" x14ac:dyDescent="0.2">
      <c r="B508" s="25">
        <v>46212</v>
      </c>
      <c r="C508" s="26" t="s">
        <v>1531</v>
      </c>
      <c r="D508" s="26" t="s">
        <v>1526</v>
      </c>
      <c r="E508" s="26" t="s">
        <v>1034</v>
      </c>
      <c r="F508" s="26">
        <v>20260703005</v>
      </c>
      <c r="G508" s="26" t="s">
        <v>1534</v>
      </c>
      <c r="H508" s="38">
        <f>H500-K508</f>
        <v>100333.96437659032</v>
      </c>
      <c r="I508" s="38">
        <v>4270</v>
      </c>
      <c r="J508" s="38">
        <v>4220</v>
      </c>
      <c r="K508" s="38">
        <f>J508/0.786</f>
        <v>5368.9567430025445</v>
      </c>
      <c r="L508" s="37"/>
      <c r="M508" s="85"/>
      <c r="N508" s="26"/>
      <c r="O508" s="29">
        <v>46210</v>
      </c>
      <c r="P508" s="28">
        <f>DATE(YEAR(O508)+1,MONTH(O508),DAY(O508))-1</f>
        <v>46574</v>
      </c>
    </row>
    <row r="509" spans="2:16" ht="20.149999999999999" customHeight="1" x14ac:dyDescent="0.2">
      <c r="B509" s="34">
        <v>46212</v>
      </c>
      <c r="C509" s="35" t="s">
        <v>1537</v>
      </c>
      <c r="D509" s="35" t="s">
        <v>1527</v>
      </c>
      <c r="E509" s="35" t="s">
        <v>25</v>
      </c>
      <c r="F509" s="35">
        <v>20260706011</v>
      </c>
      <c r="G509" s="59" t="s">
        <v>836</v>
      </c>
      <c r="H509" s="43">
        <f>H506-K509</f>
        <v>256812.0788804075</v>
      </c>
      <c r="I509" s="43">
        <v>4250</v>
      </c>
      <c r="J509" s="43">
        <v>4310</v>
      </c>
      <c r="K509" s="43">
        <f>J509/0.786+1</f>
        <v>5484.4605597964373</v>
      </c>
      <c r="L509" s="44"/>
      <c r="M509" s="92"/>
      <c r="N509" s="35"/>
      <c r="O509" s="29">
        <v>46211</v>
      </c>
      <c r="P509" s="28">
        <f t="shared" si="58"/>
        <v>46575</v>
      </c>
    </row>
    <row r="510" spans="2:16" ht="20.149999999999999" customHeight="1" x14ac:dyDescent="0.2">
      <c r="B510" s="62">
        <v>46212</v>
      </c>
      <c r="C510" s="61" t="s">
        <v>1530</v>
      </c>
      <c r="D510" s="61" t="s">
        <v>1528</v>
      </c>
      <c r="E510" s="61" t="s">
        <v>22</v>
      </c>
      <c r="F510" s="61">
        <v>20260706022</v>
      </c>
      <c r="G510" s="61" t="s">
        <v>1535</v>
      </c>
      <c r="H510" s="64">
        <f>H503-K510</f>
        <v>763930.93384223944</v>
      </c>
      <c r="I510" s="64">
        <v>4210</v>
      </c>
      <c r="J510" s="64">
        <v>4170</v>
      </c>
      <c r="K510" s="64">
        <f>J510/0.786+1</f>
        <v>5306.3435114503818</v>
      </c>
      <c r="L510" s="65"/>
      <c r="M510" s="93"/>
      <c r="N510" s="61"/>
      <c r="O510" s="29">
        <v>46210</v>
      </c>
      <c r="P510" s="28">
        <f>DATE(YEAR(O510)+1,MONTH(O510),DAY(O510))-1</f>
        <v>46574</v>
      </c>
    </row>
    <row r="511" spans="2:16" ht="20.149999999999999" customHeight="1" x14ac:dyDescent="0.2">
      <c r="B511" s="62">
        <v>46212</v>
      </c>
      <c r="C511" s="61" t="s">
        <v>1538</v>
      </c>
      <c r="D511" s="61" t="s">
        <v>1529</v>
      </c>
      <c r="E511" s="61" t="s">
        <v>22</v>
      </c>
      <c r="F511" s="61">
        <v>20260706023</v>
      </c>
      <c r="G511" s="61" t="s">
        <v>1349</v>
      </c>
      <c r="H511" s="64">
        <f>H510-K511</f>
        <v>758587.42239185772</v>
      </c>
      <c r="I511" s="64">
        <v>4170</v>
      </c>
      <c r="J511" s="64">
        <v>4200</v>
      </c>
      <c r="K511" s="64">
        <f t="shared" ref="K511" si="60">J511/0.786</f>
        <v>5343.5114503816794</v>
      </c>
      <c r="L511" s="65"/>
      <c r="M511" s="93"/>
      <c r="N511" s="61"/>
      <c r="O511" s="29">
        <v>46211</v>
      </c>
      <c r="P511" s="28">
        <f t="shared" si="58"/>
        <v>46575</v>
      </c>
    </row>
    <row r="512" spans="2:16" ht="20.149999999999999" customHeight="1" x14ac:dyDescent="0.2">
      <c r="B512" s="62">
        <v>46212</v>
      </c>
      <c r="C512" s="61" t="s">
        <v>1545</v>
      </c>
      <c r="D512" s="61" t="s">
        <v>1539</v>
      </c>
      <c r="E512" s="61" t="s">
        <v>22</v>
      </c>
      <c r="F512" s="61">
        <v>20260706024</v>
      </c>
      <c r="G512" s="61" t="s">
        <v>1349</v>
      </c>
      <c r="H512" s="64">
        <f>H511-K512</f>
        <v>753141.12977099256</v>
      </c>
      <c r="I512" s="64">
        <v>4240</v>
      </c>
      <c r="J512" s="64">
        <v>4280</v>
      </c>
      <c r="K512" s="64">
        <f>J512/0.786+1</f>
        <v>5446.2926208651397</v>
      </c>
      <c r="L512" s="65"/>
      <c r="M512" s="93"/>
      <c r="N512" s="61"/>
      <c r="O512" s="29">
        <v>46211</v>
      </c>
      <c r="P512" s="28">
        <f>DATE(YEAR(O512)+1,MONTH(O512),DAY(O512))-1</f>
        <v>46575</v>
      </c>
    </row>
    <row r="513" spans="2:16" ht="20.149999999999999" customHeight="1" x14ac:dyDescent="0.2">
      <c r="B513" s="34">
        <v>46213</v>
      </c>
      <c r="C513" s="35" t="s">
        <v>1549</v>
      </c>
      <c r="D513" s="35" t="s">
        <v>1540</v>
      </c>
      <c r="E513" s="35" t="s">
        <v>25</v>
      </c>
      <c r="F513" s="35">
        <v>20260706012</v>
      </c>
      <c r="G513" s="59" t="s">
        <v>836</v>
      </c>
      <c r="H513" s="43">
        <f>H509-K513</f>
        <v>251314.89567430064</v>
      </c>
      <c r="I513" s="43">
        <v>4350</v>
      </c>
      <c r="J513" s="43">
        <v>4320</v>
      </c>
      <c r="K513" s="43">
        <f>J513/0.786+1</f>
        <v>5497.1832061068699</v>
      </c>
      <c r="L513" s="44"/>
      <c r="M513" s="92"/>
      <c r="N513" s="35"/>
      <c r="O513" s="29">
        <v>46211</v>
      </c>
      <c r="P513" s="28">
        <f>DATE(YEAR(O513)+1,MONTH(O513),DAY(O513))-1</f>
        <v>46575</v>
      </c>
    </row>
    <row r="514" spans="2:16" ht="20.149999999999999" customHeight="1" x14ac:dyDescent="0.2">
      <c r="B514" s="34">
        <v>46213</v>
      </c>
      <c r="C514" s="35" t="s">
        <v>1552</v>
      </c>
      <c r="D514" s="35" t="s">
        <v>1541</v>
      </c>
      <c r="E514" s="35" t="s">
        <v>25</v>
      </c>
      <c r="F514" s="35">
        <v>20260706013</v>
      </c>
      <c r="G514" s="59" t="s">
        <v>1553</v>
      </c>
      <c r="H514" s="43">
        <f>H513-K514</f>
        <v>245933.21628498766</v>
      </c>
      <c r="I514" s="43">
        <v>4270</v>
      </c>
      <c r="J514" s="43">
        <v>4230</v>
      </c>
      <c r="K514" s="43">
        <f t="shared" ref="K514:K515" si="61">J514/0.786</f>
        <v>5381.679389312977</v>
      </c>
      <c r="L514" s="44"/>
      <c r="M514" s="92"/>
      <c r="N514" s="35"/>
      <c r="O514" s="29">
        <v>46212</v>
      </c>
      <c r="P514" s="28">
        <f t="shared" si="58"/>
        <v>46576</v>
      </c>
    </row>
    <row r="515" spans="2:16" ht="20.149999999999999" customHeight="1" x14ac:dyDescent="0.2">
      <c r="B515" s="62">
        <v>46213</v>
      </c>
      <c r="C515" s="61" t="s">
        <v>1548</v>
      </c>
      <c r="D515" s="61" t="s">
        <v>1542</v>
      </c>
      <c r="E515" s="61" t="s">
        <v>22</v>
      </c>
      <c r="F515" s="61">
        <v>20260706025</v>
      </c>
      <c r="G515" s="61" t="s">
        <v>1547</v>
      </c>
      <c r="H515" s="64">
        <f>H512-K515</f>
        <v>747810.3409669213</v>
      </c>
      <c r="I515" s="64">
        <v>4290</v>
      </c>
      <c r="J515" s="64">
        <v>4190</v>
      </c>
      <c r="K515" s="64">
        <f t="shared" si="61"/>
        <v>5330.7888040712469</v>
      </c>
      <c r="L515" s="65"/>
      <c r="M515" s="93"/>
      <c r="N515" s="61"/>
      <c r="O515" s="29">
        <v>46211</v>
      </c>
      <c r="P515" s="28">
        <f t="shared" si="58"/>
        <v>46575</v>
      </c>
    </row>
    <row r="516" spans="2:16" ht="20.149999999999999" customHeight="1" x14ac:dyDescent="0.2">
      <c r="B516" s="62">
        <v>46213</v>
      </c>
      <c r="C516" s="61" t="s">
        <v>1550</v>
      </c>
      <c r="D516" s="61" t="s">
        <v>1543</v>
      </c>
      <c r="E516" s="61" t="s">
        <v>22</v>
      </c>
      <c r="F516" s="61">
        <v>20260706026</v>
      </c>
      <c r="G516" s="61" t="s">
        <v>1554</v>
      </c>
      <c r="H516" s="64">
        <f>H515-K516</f>
        <v>742530.44274809177</v>
      </c>
      <c r="I516" s="64">
        <v>4310</v>
      </c>
      <c r="J516" s="64">
        <v>4150</v>
      </c>
      <c r="K516" s="64">
        <f>J516/0.786</f>
        <v>5279.8982188295167</v>
      </c>
      <c r="L516" s="65"/>
      <c r="M516" s="93"/>
      <c r="N516" s="61"/>
      <c r="O516" s="29">
        <v>46212</v>
      </c>
      <c r="P516" s="28">
        <f>DATE(YEAR(O516)+1,MONTH(O516),DAY(O516))-1</f>
        <v>46576</v>
      </c>
    </row>
    <row r="517" spans="2:16" ht="20.149999999999999" customHeight="1" x14ac:dyDescent="0.2">
      <c r="B517" s="34">
        <v>46214</v>
      </c>
      <c r="C517" s="35" t="s">
        <v>1559</v>
      </c>
      <c r="D517" s="35" t="s">
        <v>1556</v>
      </c>
      <c r="E517" s="35" t="s">
        <v>25</v>
      </c>
      <c r="F517" s="35">
        <v>20260706014</v>
      </c>
      <c r="G517" s="59" t="s">
        <v>1563</v>
      </c>
      <c r="H517" s="43">
        <f>H514-K517</f>
        <v>240486.92366412253</v>
      </c>
      <c r="I517" s="43">
        <v>4260</v>
      </c>
      <c r="J517" s="43">
        <v>4280</v>
      </c>
      <c r="K517" s="43">
        <f>J517/0.786+1</f>
        <v>5446.2926208651397</v>
      </c>
      <c r="L517" s="44"/>
      <c r="M517" s="92"/>
      <c r="N517" s="35"/>
      <c r="O517" s="29">
        <v>46212</v>
      </c>
      <c r="P517" s="28">
        <f t="shared" si="58"/>
        <v>46576</v>
      </c>
    </row>
    <row r="518" spans="2:16" ht="20.149999999999999" customHeight="1" x14ac:dyDescent="0.2">
      <c r="B518" s="62">
        <v>46214</v>
      </c>
      <c r="C518" s="61" t="s">
        <v>1560</v>
      </c>
      <c r="D518" s="61" t="s">
        <v>1557</v>
      </c>
      <c r="E518" s="61" t="s">
        <v>22</v>
      </c>
      <c r="F518" s="61">
        <v>20260706027</v>
      </c>
      <c r="G518" s="61" t="s">
        <v>1562</v>
      </c>
      <c r="H518" s="64">
        <f>H516-K518</f>
        <v>737274.98982188315</v>
      </c>
      <c r="I518" s="64">
        <v>4140</v>
      </c>
      <c r="J518" s="64">
        <v>4130</v>
      </c>
      <c r="K518" s="64">
        <f>J518/0.786+1</f>
        <v>5255.4529262086508</v>
      </c>
      <c r="L518" s="65"/>
      <c r="M518" s="93"/>
      <c r="N518" s="61"/>
      <c r="O518" s="29">
        <v>46212</v>
      </c>
      <c r="P518" s="28">
        <f t="shared" si="58"/>
        <v>46576</v>
      </c>
    </row>
    <row r="519" spans="2:16" ht="20.149999999999999" customHeight="1" x14ac:dyDescent="0.2">
      <c r="B519" s="62">
        <v>46214</v>
      </c>
      <c r="C519" s="61" t="s">
        <v>1565</v>
      </c>
      <c r="D519" s="61" t="s">
        <v>1558</v>
      </c>
      <c r="E519" s="61" t="s">
        <v>22</v>
      </c>
      <c r="F519" s="61">
        <v>20260706028</v>
      </c>
      <c r="G519" s="61" t="s">
        <v>1566</v>
      </c>
      <c r="H519" s="64">
        <f>H518-K519</f>
        <v>731804.25190839719</v>
      </c>
      <c r="I519" s="64">
        <v>4250</v>
      </c>
      <c r="J519" s="64">
        <v>4300</v>
      </c>
      <c r="K519" s="64">
        <f>J519/0.786</f>
        <v>5470.7379134860048</v>
      </c>
      <c r="L519" s="65"/>
      <c r="M519" s="93"/>
      <c r="N519" s="61"/>
      <c r="O519" s="29">
        <v>46213</v>
      </c>
      <c r="P519" s="28">
        <f>DATE(YEAR(O519)+1,MONTH(O519),DAY(O519))-1</f>
        <v>46577</v>
      </c>
    </row>
    <row r="520" spans="2:16" ht="20.149999999999999" customHeight="1" x14ac:dyDescent="0.2">
      <c r="B520" s="25">
        <v>46215</v>
      </c>
      <c r="C520" s="26" t="s">
        <v>1575</v>
      </c>
      <c r="D520" s="26" t="s">
        <v>1567</v>
      </c>
      <c r="E520" s="26" t="s">
        <v>1034</v>
      </c>
      <c r="F520" s="26" t="s">
        <v>2263</v>
      </c>
      <c r="G520" s="26" t="s">
        <v>1198</v>
      </c>
      <c r="H520" s="38">
        <f>H508-K520</f>
        <v>94925.839694656475</v>
      </c>
      <c r="I520" s="38">
        <v>4260</v>
      </c>
      <c r="J520" s="38">
        <v>4250</v>
      </c>
      <c r="K520" s="38">
        <f>J520/0.786+1</f>
        <v>5408.1246819338421</v>
      </c>
      <c r="L520" s="37"/>
      <c r="M520" s="85"/>
      <c r="N520" s="26"/>
      <c r="O520" s="29">
        <v>46212</v>
      </c>
      <c r="P520" s="28">
        <f>DATE(YEAR(O520)+1,MONTH(O520),DAY(O520))-1</f>
        <v>46576</v>
      </c>
    </row>
    <row r="521" spans="2:16" ht="20.149999999999999" customHeight="1" x14ac:dyDescent="0.2">
      <c r="B521" s="34">
        <v>46215</v>
      </c>
      <c r="C521" s="35" t="s">
        <v>1576</v>
      </c>
      <c r="D521" s="35" t="s">
        <v>1568</v>
      </c>
      <c r="E521" s="35" t="s">
        <v>25</v>
      </c>
      <c r="F521" s="35">
        <v>20260706015</v>
      </c>
      <c r="G521" s="59" t="s">
        <v>1570</v>
      </c>
      <c r="H521" s="43">
        <f>H517-K521</f>
        <v>235156.13486005127</v>
      </c>
      <c r="I521" s="43">
        <v>4200</v>
      </c>
      <c r="J521" s="43">
        <v>4190</v>
      </c>
      <c r="K521" s="43">
        <f>J521/0.786</f>
        <v>5330.7888040712469</v>
      </c>
      <c r="L521" s="44"/>
      <c r="M521" s="92"/>
      <c r="N521" s="35"/>
      <c r="O521" s="29">
        <v>46213</v>
      </c>
      <c r="P521" s="28">
        <f>DATE(YEAR(O521)+1,MONTH(O521),DAY(O521))-1</f>
        <v>46577</v>
      </c>
    </row>
    <row r="522" spans="2:16" ht="20.149999999999999" customHeight="1" x14ac:dyDescent="0.2">
      <c r="B522" s="34">
        <v>46215</v>
      </c>
      <c r="C522" s="35" t="s">
        <v>1577</v>
      </c>
      <c r="D522" s="35" t="s">
        <v>1571</v>
      </c>
      <c r="E522" s="35" t="s">
        <v>25</v>
      </c>
      <c r="F522" s="35">
        <v>20260706016</v>
      </c>
      <c r="G522" s="59" t="s">
        <v>874</v>
      </c>
      <c r="H522" s="43">
        <f>H521-K522</f>
        <v>229709.84223918614</v>
      </c>
      <c r="I522" s="43">
        <v>4330</v>
      </c>
      <c r="J522" s="43">
        <v>4280</v>
      </c>
      <c r="K522" s="43">
        <f>J522/0.786+1</f>
        <v>5446.2926208651397</v>
      </c>
      <c r="L522" s="44"/>
      <c r="M522" s="92"/>
      <c r="N522" s="35"/>
      <c r="O522" s="29">
        <v>46214</v>
      </c>
      <c r="P522" s="28">
        <f t="shared" si="58"/>
        <v>46578</v>
      </c>
    </row>
    <row r="523" spans="2:16" ht="20.149999999999999" customHeight="1" x14ac:dyDescent="0.2">
      <c r="B523" s="62">
        <v>46215</v>
      </c>
      <c r="C523" s="61" t="s">
        <v>1578</v>
      </c>
      <c r="D523" s="61" t="s">
        <v>1569</v>
      </c>
      <c r="E523" s="61" t="s">
        <v>22</v>
      </c>
      <c r="F523" s="61">
        <v>20260706029</v>
      </c>
      <c r="G523" s="61" t="s">
        <v>1382</v>
      </c>
      <c r="H523" s="64">
        <f>H519-K523</f>
        <v>726256.17811704858</v>
      </c>
      <c r="I523" s="64">
        <v>4340</v>
      </c>
      <c r="J523" s="64">
        <v>4360</v>
      </c>
      <c r="K523" s="64">
        <f>J523/0.786+1</f>
        <v>5548.0737913486</v>
      </c>
      <c r="L523" s="65"/>
      <c r="M523" s="93"/>
      <c r="N523" s="61"/>
      <c r="O523" s="29">
        <v>46213</v>
      </c>
      <c r="P523" s="28">
        <f t="shared" si="58"/>
        <v>46577</v>
      </c>
    </row>
    <row r="524" spans="2:16" ht="20.149999999999999" customHeight="1" x14ac:dyDescent="0.2">
      <c r="B524" s="62">
        <v>46215</v>
      </c>
      <c r="C524" s="61" t="s">
        <v>1580</v>
      </c>
      <c r="D524" s="61" t="s">
        <v>1572</v>
      </c>
      <c r="E524" s="61" t="s">
        <v>22</v>
      </c>
      <c r="F524" s="61">
        <v>20260706030</v>
      </c>
      <c r="G524" s="61" t="s">
        <v>1349</v>
      </c>
      <c r="H524" s="64">
        <f>H523-K524</f>
        <v>720912.66666666686</v>
      </c>
      <c r="I524" s="64">
        <v>4150</v>
      </c>
      <c r="J524" s="64">
        <v>4200</v>
      </c>
      <c r="K524" s="64">
        <f>J524/0.786</f>
        <v>5343.5114503816794</v>
      </c>
      <c r="L524" s="65"/>
      <c r="M524" s="93"/>
      <c r="N524" s="61"/>
      <c r="O524" s="29">
        <v>46214</v>
      </c>
      <c r="P524" s="28">
        <f>DATE(YEAR(O524)+1,MONTH(O524),DAY(O524))-1</f>
        <v>46578</v>
      </c>
    </row>
    <row r="525" spans="2:16" ht="20.149999999999999" customHeight="1" x14ac:dyDescent="0.2">
      <c r="B525" s="34">
        <v>46216</v>
      </c>
      <c r="C525" s="35" t="s">
        <v>1585</v>
      </c>
      <c r="D525" s="35" t="s">
        <v>1581</v>
      </c>
      <c r="E525" s="35" t="s">
        <v>25</v>
      </c>
      <c r="F525" s="35">
        <v>20260706017</v>
      </c>
      <c r="G525" s="59" t="s">
        <v>874</v>
      </c>
      <c r="H525" s="43">
        <f>H522-K525</f>
        <v>224137.32315521667</v>
      </c>
      <c r="I525" s="43">
        <v>4500</v>
      </c>
      <c r="J525" s="43">
        <v>4380</v>
      </c>
      <c r="K525" s="43">
        <f t="shared" ref="K525:K530" si="62">J525/0.786</f>
        <v>5572.5190839694651</v>
      </c>
      <c r="L525" s="44"/>
      <c r="M525" s="92"/>
      <c r="N525" s="35"/>
      <c r="O525" s="29">
        <v>46214</v>
      </c>
      <c r="P525" s="28">
        <f t="shared" si="58"/>
        <v>46578</v>
      </c>
    </row>
    <row r="526" spans="2:16" ht="20.149999999999999" customHeight="1" x14ac:dyDescent="0.2">
      <c r="B526" s="62">
        <v>46216</v>
      </c>
      <c r="C526" s="61" t="s">
        <v>1586</v>
      </c>
      <c r="D526" s="61" t="s">
        <v>1582</v>
      </c>
      <c r="E526" s="61" t="s">
        <v>22</v>
      </c>
      <c r="F526" s="61">
        <v>20260706031</v>
      </c>
      <c r="G526" s="61" t="s">
        <v>1583</v>
      </c>
      <c r="H526" s="64">
        <f>H524-K526</f>
        <v>715480.09669211216</v>
      </c>
      <c r="I526" s="64">
        <v>4270</v>
      </c>
      <c r="J526" s="64">
        <v>4270</v>
      </c>
      <c r="K526" s="64">
        <f t="shared" si="62"/>
        <v>5432.5699745547072</v>
      </c>
      <c r="L526" s="65"/>
      <c r="M526" s="93"/>
      <c r="N526" s="61"/>
      <c r="O526" s="29">
        <v>46214</v>
      </c>
      <c r="P526" s="28">
        <f t="shared" si="58"/>
        <v>46578</v>
      </c>
    </row>
    <row r="527" spans="2:16" ht="20.149999999999999" customHeight="1" x14ac:dyDescent="0.2">
      <c r="B527" s="62">
        <v>46216</v>
      </c>
      <c r="C527" s="61" t="s">
        <v>1587</v>
      </c>
      <c r="D527" s="61" t="s">
        <v>1584</v>
      </c>
      <c r="E527" s="61" t="s">
        <v>22</v>
      </c>
      <c r="F527" s="61">
        <v>20260706032</v>
      </c>
      <c r="G527" s="61" t="s">
        <v>1588</v>
      </c>
      <c r="H527" s="64">
        <f>H526-K527</f>
        <v>710200.19847328262</v>
      </c>
      <c r="I527" s="64">
        <v>4190</v>
      </c>
      <c r="J527" s="64">
        <v>4150</v>
      </c>
      <c r="K527" s="64">
        <f>J527/0.786</f>
        <v>5279.8982188295167</v>
      </c>
      <c r="L527" s="65"/>
      <c r="M527" s="93"/>
      <c r="N527" s="61"/>
      <c r="O527" s="29">
        <v>46215</v>
      </c>
      <c r="P527" s="28">
        <f>DATE(YEAR(O527)+1,MONTH(O527),DAY(O527))-1</f>
        <v>46579</v>
      </c>
    </row>
    <row r="528" spans="2:16" ht="20.149999999999999" customHeight="1" x14ac:dyDescent="0.2">
      <c r="B528" s="25">
        <v>46217</v>
      </c>
      <c r="C528" s="26" t="s">
        <v>1598</v>
      </c>
      <c r="D528" s="26" t="s">
        <v>1589</v>
      </c>
      <c r="E528" s="26" t="s">
        <v>1034</v>
      </c>
      <c r="F528" s="26">
        <v>20260709004</v>
      </c>
      <c r="G528" s="26" t="s">
        <v>1198</v>
      </c>
      <c r="H528" s="38">
        <f>H520-K528</f>
        <v>89645.941475826956</v>
      </c>
      <c r="I528" s="38">
        <v>4190</v>
      </c>
      <c r="J528" s="38">
        <v>4150</v>
      </c>
      <c r="K528" s="38">
        <f>J528/0.786</f>
        <v>5279.8982188295167</v>
      </c>
      <c r="L528" s="37"/>
      <c r="M528" s="85"/>
      <c r="N528" s="26"/>
      <c r="O528" s="29">
        <v>46213</v>
      </c>
      <c r="P528" s="28">
        <f>DATE(YEAR(O528)+1,MONTH(O528),DAY(O528))-1</f>
        <v>46577</v>
      </c>
    </row>
    <row r="529" spans="2:16" ht="20.149999999999999" customHeight="1" x14ac:dyDescent="0.2">
      <c r="B529" s="34">
        <v>46217</v>
      </c>
      <c r="C529" s="35" t="s">
        <v>1599</v>
      </c>
      <c r="D529" s="35" t="s">
        <v>1593</v>
      </c>
      <c r="E529" s="35" t="s">
        <v>25</v>
      </c>
      <c r="F529" s="35">
        <v>20260706018</v>
      </c>
      <c r="G529" s="59" t="s">
        <v>836</v>
      </c>
      <c r="H529" s="43">
        <f>H525-K529</f>
        <v>218755.64376590369</v>
      </c>
      <c r="I529" s="43">
        <v>4260</v>
      </c>
      <c r="J529" s="43">
        <v>4230</v>
      </c>
      <c r="K529" s="43">
        <f>J529/0.786</f>
        <v>5381.679389312977</v>
      </c>
      <c r="L529" s="44"/>
      <c r="M529" s="92"/>
      <c r="N529" s="35"/>
      <c r="O529" s="29">
        <v>46215</v>
      </c>
      <c r="P529" s="28">
        <f>DATE(YEAR(O529)+1,MONTH(O529),DAY(O529))-1</f>
        <v>46579</v>
      </c>
    </row>
    <row r="530" spans="2:16" ht="20.149999999999999" customHeight="1" x14ac:dyDescent="0.2">
      <c r="B530" s="34">
        <v>46217</v>
      </c>
      <c r="C530" s="35" t="s">
        <v>1594</v>
      </c>
      <c r="D530" s="35" t="s">
        <v>1592</v>
      </c>
      <c r="E530" s="35" t="s">
        <v>25</v>
      </c>
      <c r="F530" s="35">
        <v>20260706019</v>
      </c>
      <c r="G530" s="59" t="s">
        <v>836</v>
      </c>
      <c r="H530" s="43">
        <f>H529-K530</f>
        <v>213424.85496183243</v>
      </c>
      <c r="I530" s="43">
        <v>4190</v>
      </c>
      <c r="J530" s="43">
        <v>4190</v>
      </c>
      <c r="K530" s="43">
        <f t="shared" si="62"/>
        <v>5330.7888040712469</v>
      </c>
      <c r="L530" s="44"/>
      <c r="M530" s="92"/>
      <c r="N530" s="35"/>
      <c r="O530" s="29">
        <v>46215</v>
      </c>
      <c r="P530" s="28">
        <f t="shared" si="58"/>
        <v>46579</v>
      </c>
    </row>
    <row r="531" spans="2:16" ht="20.149999999999999" customHeight="1" x14ac:dyDescent="0.2">
      <c r="B531" s="62">
        <v>46217</v>
      </c>
      <c r="C531" s="61" t="s">
        <v>1591</v>
      </c>
      <c r="D531" s="61" t="s">
        <v>1590</v>
      </c>
      <c r="E531" s="61" t="s">
        <v>22</v>
      </c>
      <c r="F531" s="61">
        <v>20260706033</v>
      </c>
      <c r="G531" s="61" t="s">
        <v>1349</v>
      </c>
      <c r="H531" s="64">
        <f>H527-K531</f>
        <v>704729.46055979666</v>
      </c>
      <c r="I531" s="64">
        <v>4300</v>
      </c>
      <c r="J531" s="64">
        <v>4300</v>
      </c>
      <c r="K531" s="64">
        <f t="shared" ref="K531:K532" si="63">J531/0.786</f>
        <v>5470.7379134860048</v>
      </c>
      <c r="L531" s="65"/>
      <c r="M531" s="93"/>
      <c r="N531" s="61"/>
      <c r="O531" s="29">
        <v>46215</v>
      </c>
      <c r="P531" s="28">
        <f t="shared" si="58"/>
        <v>46579</v>
      </c>
    </row>
    <row r="532" spans="2:16" ht="20.149999999999999" customHeight="1" x14ac:dyDescent="0.25">
      <c r="B532" s="62">
        <v>46217</v>
      </c>
      <c r="C532" s="61" t="s">
        <v>1601</v>
      </c>
      <c r="D532" s="61" t="s">
        <v>1600</v>
      </c>
      <c r="E532" s="61" t="s">
        <v>22</v>
      </c>
      <c r="F532" s="61">
        <v>20260706034</v>
      </c>
      <c r="G532" s="61" t="s">
        <v>1349</v>
      </c>
      <c r="H532" s="64">
        <f>H531-K532</f>
        <v>699258.72264631069</v>
      </c>
      <c r="I532" s="64">
        <v>4290</v>
      </c>
      <c r="J532" s="64">
        <v>4300</v>
      </c>
      <c r="K532" s="64">
        <f t="shared" si="63"/>
        <v>5470.7379134860048</v>
      </c>
      <c r="L532" s="82"/>
      <c r="M532" s="93"/>
      <c r="N532" s="61"/>
      <c r="O532" s="29">
        <v>46216</v>
      </c>
      <c r="P532" s="28">
        <f t="shared" si="58"/>
        <v>46580</v>
      </c>
    </row>
    <row r="533" spans="2:16" ht="20.149999999999999" customHeight="1" x14ac:dyDescent="0.2">
      <c r="B533" s="34">
        <v>46218</v>
      </c>
      <c r="C533" s="35" t="s">
        <v>1603</v>
      </c>
      <c r="D533" s="35" t="s">
        <v>1602</v>
      </c>
      <c r="E533" s="35" t="s">
        <v>25</v>
      </c>
      <c r="F533" s="35">
        <v>20260706020</v>
      </c>
      <c r="G533" s="59" t="s">
        <v>1604</v>
      </c>
      <c r="H533" s="43">
        <f>H530-K533</f>
        <v>207940.39440203601</v>
      </c>
      <c r="I533" s="43">
        <v>4310</v>
      </c>
      <c r="J533" s="43">
        <v>4310</v>
      </c>
      <c r="K533" s="43">
        <f>J533/0.786+1</f>
        <v>5484.4605597964373</v>
      </c>
      <c r="L533" s="44"/>
      <c r="M533" s="92"/>
      <c r="N533" s="35"/>
      <c r="O533" s="29">
        <v>46216</v>
      </c>
      <c r="P533" s="28">
        <f>DATE(YEAR(O533)+1,MONTH(O533),DAY(O533))-1</f>
        <v>46580</v>
      </c>
    </row>
    <row r="534" spans="2:16" ht="20.149999999999999" customHeight="1" x14ac:dyDescent="0.25">
      <c r="B534" s="34">
        <v>46218</v>
      </c>
      <c r="C534" s="35" t="s">
        <v>1614</v>
      </c>
      <c r="D534" s="35" t="s">
        <v>1610</v>
      </c>
      <c r="E534" s="35" t="s">
        <v>25</v>
      </c>
      <c r="F534" s="35" t="s">
        <v>2264</v>
      </c>
      <c r="G534" s="59" t="s">
        <v>888</v>
      </c>
      <c r="H534" s="43">
        <f>H533-K534</f>
        <v>202558.71501272303</v>
      </c>
      <c r="I534" s="43">
        <v>4230</v>
      </c>
      <c r="J534" s="43">
        <v>4230</v>
      </c>
      <c r="K534" s="43">
        <f>J534/0.786</f>
        <v>5381.679389312977</v>
      </c>
      <c r="L534" s="60" t="s">
        <v>1677</v>
      </c>
      <c r="M534" s="92"/>
      <c r="N534" s="35"/>
      <c r="O534" s="29">
        <v>46217</v>
      </c>
      <c r="P534" s="28">
        <f>DATE(YEAR(O534)+1,MONTH(O534),DAY(O534))-1</f>
        <v>46581</v>
      </c>
    </row>
    <row r="535" spans="2:16" ht="20.149999999999999" customHeight="1" x14ac:dyDescent="0.2">
      <c r="B535" s="62">
        <v>46218</v>
      </c>
      <c r="C535" s="61" t="s">
        <v>1612</v>
      </c>
      <c r="D535" s="61" t="s">
        <v>1608</v>
      </c>
      <c r="E535" s="61" t="s">
        <v>22</v>
      </c>
      <c r="F535" s="61">
        <v>20260714012</v>
      </c>
      <c r="G535" s="61" t="s">
        <v>1613</v>
      </c>
      <c r="H535" s="64">
        <f>H532-K535</f>
        <v>693952.37913486036</v>
      </c>
      <c r="I535" s="64">
        <v>4210</v>
      </c>
      <c r="J535" s="64">
        <v>4170</v>
      </c>
      <c r="K535" s="64">
        <f>J535/0.786+1</f>
        <v>5306.3435114503818</v>
      </c>
      <c r="L535" s="65"/>
      <c r="M535" s="93"/>
      <c r="N535" s="61"/>
      <c r="O535" s="29">
        <v>46217</v>
      </c>
      <c r="P535" s="28">
        <f>DATE(YEAR(O535)+1,MONTH(O535),DAY(O535))-1</f>
        <v>46581</v>
      </c>
    </row>
    <row r="536" spans="2:16" ht="20.149999999999999" customHeight="1" x14ac:dyDescent="0.25">
      <c r="B536" s="62">
        <v>46218</v>
      </c>
      <c r="C536" s="61" t="s">
        <v>1611</v>
      </c>
      <c r="D536" s="61" t="s">
        <v>1609</v>
      </c>
      <c r="E536" s="61" t="s">
        <v>22</v>
      </c>
      <c r="F536" s="61">
        <v>20260714013</v>
      </c>
      <c r="G536" s="61" t="s">
        <v>1349</v>
      </c>
      <c r="H536" s="64">
        <f>H535-K536</f>
        <v>688532.53180661611</v>
      </c>
      <c r="I536" s="64">
        <v>4370</v>
      </c>
      <c r="J536" s="64">
        <v>4260</v>
      </c>
      <c r="K536" s="64">
        <f>J536/0.786</f>
        <v>5419.8473282442746</v>
      </c>
      <c r="L536" s="82" t="s">
        <v>1676</v>
      </c>
      <c r="M536" s="93"/>
      <c r="N536" s="61"/>
      <c r="O536" s="29">
        <v>46217</v>
      </c>
      <c r="P536" s="28">
        <f>DATE(YEAR(O536)+1,MONTH(O536),DAY(O536))-1</f>
        <v>46581</v>
      </c>
    </row>
    <row r="537" spans="2:16" ht="20.149999999999999" customHeight="1" x14ac:dyDescent="0.25">
      <c r="B537" s="34">
        <v>46219</v>
      </c>
      <c r="C537" s="35" t="s">
        <v>1620</v>
      </c>
      <c r="D537" s="35" t="s">
        <v>1617</v>
      </c>
      <c r="E537" s="35" t="s">
        <v>25</v>
      </c>
      <c r="F537" s="35" t="s">
        <v>2265</v>
      </c>
      <c r="G537" s="59" t="s">
        <v>836</v>
      </c>
      <c r="H537" s="43">
        <f>H534-K537</f>
        <v>197112.42239185789</v>
      </c>
      <c r="I537" s="43">
        <v>4290</v>
      </c>
      <c r="J537" s="43">
        <v>4280</v>
      </c>
      <c r="K537" s="43">
        <f>J537/0.786+1</f>
        <v>5446.2926208651397</v>
      </c>
      <c r="L537" s="60" t="s">
        <v>1677</v>
      </c>
      <c r="M537" s="92"/>
      <c r="N537" s="35"/>
      <c r="O537" s="29">
        <v>46218</v>
      </c>
      <c r="P537" s="28">
        <f t="shared" si="58"/>
        <v>46582</v>
      </c>
    </row>
    <row r="538" spans="2:16" ht="20.149999999999999" customHeight="1" x14ac:dyDescent="0.25">
      <c r="B538" s="62">
        <v>46219</v>
      </c>
      <c r="C538" s="61" t="s">
        <v>1616</v>
      </c>
      <c r="D538" s="61" t="s">
        <v>1615</v>
      </c>
      <c r="E538" s="61" t="s">
        <v>22</v>
      </c>
      <c r="F538" s="61">
        <v>20260714014</v>
      </c>
      <c r="G538" s="61" t="s">
        <v>1392</v>
      </c>
      <c r="H538" s="64">
        <f>H536-K538</f>
        <v>682984.4580152675</v>
      </c>
      <c r="I538" s="64">
        <v>4400</v>
      </c>
      <c r="J538" s="64">
        <v>4360</v>
      </c>
      <c r="K538" s="64">
        <f>J538/0.786+1</f>
        <v>5548.0737913486</v>
      </c>
      <c r="L538" s="82" t="s">
        <v>1676</v>
      </c>
      <c r="M538" s="93"/>
      <c r="N538" s="61"/>
      <c r="O538" s="29">
        <v>46217</v>
      </c>
      <c r="P538" s="28">
        <f>DATE(YEAR(O538)+1,MONTH(O538),DAY(O538))-1</f>
        <v>46581</v>
      </c>
    </row>
    <row r="539" spans="2:16" ht="20.149999999999999" customHeight="1" x14ac:dyDescent="0.2">
      <c r="B539" s="62">
        <v>46219</v>
      </c>
      <c r="C539" s="61" t="s">
        <v>1621</v>
      </c>
      <c r="D539" s="61" t="s">
        <v>1618</v>
      </c>
      <c r="E539" s="61" t="s">
        <v>22</v>
      </c>
      <c r="F539" s="61">
        <v>20260714015</v>
      </c>
      <c r="G539" s="61" t="s">
        <v>1349</v>
      </c>
      <c r="H539" s="64">
        <f>H538-K539</f>
        <v>677653.66921119625</v>
      </c>
      <c r="I539" s="64">
        <v>4220</v>
      </c>
      <c r="J539" s="64">
        <v>4190</v>
      </c>
      <c r="K539" s="64">
        <f>J539/0.786</f>
        <v>5330.7888040712469</v>
      </c>
      <c r="L539" s="65"/>
      <c r="M539" s="93"/>
      <c r="N539" s="61"/>
      <c r="O539" s="29">
        <v>46218</v>
      </c>
      <c r="P539" s="28">
        <f>DATE(YEAR(O539)+1,MONTH(O539),DAY(O539))-1</f>
        <v>46582</v>
      </c>
    </row>
    <row r="540" spans="2:16" ht="20.149999999999999" customHeight="1" x14ac:dyDescent="0.2">
      <c r="B540" s="25">
        <v>46220</v>
      </c>
      <c r="C540" s="26" t="s">
        <v>1629</v>
      </c>
      <c r="D540" s="26" t="s">
        <v>1628</v>
      </c>
      <c r="E540" s="26" t="s">
        <v>1034</v>
      </c>
      <c r="F540" s="26">
        <v>20260709005</v>
      </c>
      <c r="G540" s="26" t="s">
        <v>1457</v>
      </c>
      <c r="H540" s="38">
        <f>H528-K540</f>
        <v>84288.707379134838</v>
      </c>
      <c r="I540" s="38">
        <v>4230</v>
      </c>
      <c r="J540" s="38">
        <v>4210</v>
      </c>
      <c r="K540" s="38">
        <f>J540/0.786+1</f>
        <v>5357.234096692112</v>
      </c>
      <c r="L540" s="37"/>
      <c r="M540" s="85"/>
      <c r="N540" s="26"/>
      <c r="O540" s="29">
        <v>46216</v>
      </c>
      <c r="P540" s="28">
        <f>DATE(YEAR(O540)+1,MONTH(O540),DAY(O540))-1</f>
        <v>46580</v>
      </c>
    </row>
    <row r="541" spans="2:16" ht="20.149999999999999" customHeight="1" x14ac:dyDescent="0.2">
      <c r="B541" s="34">
        <v>46220</v>
      </c>
      <c r="C541" s="35" t="s">
        <v>1626</v>
      </c>
      <c r="D541" s="35" t="s">
        <v>1624</v>
      </c>
      <c r="E541" s="35" t="s">
        <v>25</v>
      </c>
      <c r="F541" s="35">
        <v>20260714003</v>
      </c>
      <c r="G541" s="59" t="s">
        <v>836</v>
      </c>
      <c r="H541" s="43">
        <f>H537-K541</f>
        <v>191717.02035623448</v>
      </c>
      <c r="I541" s="43">
        <v>4240</v>
      </c>
      <c r="J541" s="43">
        <v>4240</v>
      </c>
      <c r="K541" s="43">
        <f>J541/0.786+1</f>
        <v>5395.4020356234096</v>
      </c>
      <c r="L541" s="44"/>
      <c r="M541" s="92"/>
      <c r="N541" s="35"/>
      <c r="O541" s="29">
        <v>46218</v>
      </c>
      <c r="P541" s="28">
        <f t="shared" si="58"/>
        <v>46582</v>
      </c>
    </row>
    <row r="542" spans="2:16" ht="20.149999999999999" customHeight="1" x14ac:dyDescent="0.2">
      <c r="B542" s="34">
        <v>46220</v>
      </c>
      <c r="C542" s="35" t="s">
        <v>1633</v>
      </c>
      <c r="D542" s="35" t="s">
        <v>1632</v>
      </c>
      <c r="E542" s="35" t="s">
        <v>25</v>
      </c>
      <c r="F542" s="35">
        <v>20260714004</v>
      </c>
      <c r="G542" s="59" t="s">
        <v>1636</v>
      </c>
      <c r="H542" s="43">
        <f>H541-K542</f>
        <v>186195.39185750674</v>
      </c>
      <c r="I542" s="43">
        <v>4340</v>
      </c>
      <c r="J542" s="43">
        <v>4340</v>
      </c>
      <c r="K542" s="43">
        <f t="shared" ref="K542:K558" si="64">J542/0.786</f>
        <v>5521.628498727735</v>
      </c>
      <c r="L542" s="44"/>
      <c r="M542" s="92"/>
      <c r="N542" s="35"/>
      <c r="O542" s="29">
        <v>46219</v>
      </c>
      <c r="P542" s="28">
        <f t="shared" si="58"/>
        <v>46583</v>
      </c>
    </row>
    <row r="543" spans="2:16" ht="20.149999999999999" customHeight="1" x14ac:dyDescent="0.2">
      <c r="B543" s="62">
        <v>46220</v>
      </c>
      <c r="C543" s="61" t="s">
        <v>1627</v>
      </c>
      <c r="D543" s="61" t="s">
        <v>1625</v>
      </c>
      <c r="E543" s="61" t="s">
        <v>22</v>
      </c>
      <c r="F543" s="61">
        <v>20260714016</v>
      </c>
      <c r="G543" s="61" t="s">
        <v>1349</v>
      </c>
      <c r="H543" s="64">
        <f>H539-K543</f>
        <v>672118.3180661581</v>
      </c>
      <c r="I543" s="64">
        <v>4320</v>
      </c>
      <c r="J543" s="64">
        <v>4350</v>
      </c>
      <c r="K543" s="64">
        <f>J543/0.786+1</f>
        <v>5535.3511450381675</v>
      </c>
      <c r="L543" s="65"/>
      <c r="M543" s="93"/>
      <c r="N543" s="61"/>
      <c r="O543" s="29">
        <v>46218</v>
      </c>
      <c r="P543" s="28">
        <f>DATE(YEAR(O543)+1,MONTH(O543),DAY(O543))-1</f>
        <v>46582</v>
      </c>
    </row>
    <row r="544" spans="2:16" ht="20.149999999999999" customHeight="1" x14ac:dyDescent="0.2">
      <c r="B544" s="62">
        <v>46220</v>
      </c>
      <c r="C544" s="61" t="s">
        <v>1634</v>
      </c>
      <c r="D544" s="61" t="s">
        <v>1631</v>
      </c>
      <c r="E544" s="61" t="s">
        <v>22</v>
      </c>
      <c r="F544" s="61">
        <v>20260714017</v>
      </c>
      <c r="G544" s="61" t="s">
        <v>1474</v>
      </c>
      <c r="H544" s="64">
        <f>H543-K544</f>
        <v>666736.63867684512</v>
      </c>
      <c r="I544" s="64">
        <v>4230</v>
      </c>
      <c r="J544" s="64">
        <v>4230</v>
      </c>
      <c r="K544" s="64">
        <f>J544/0.786</f>
        <v>5381.679389312977</v>
      </c>
      <c r="L544" s="65"/>
      <c r="M544" s="93"/>
      <c r="N544" s="61"/>
      <c r="O544" s="29">
        <v>46219</v>
      </c>
      <c r="P544" s="28">
        <f>DATE(YEAR(O544)+1,MONTH(O544),DAY(O544))-1</f>
        <v>46583</v>
      </c>
    </row>
    <row r="545" spans="2:17" ht="20.149999999999999" customHeight="1" x14ac:dyDescent="0.2">
      <c r="B545" s="34">
        <v>46221</v>
      </c>
      <c r="C545" s="35" t="s">
        <v>1642</v>
      </c>
      <c r="D545" s="35" t="s">
        <v>1641</v>
      </c>
      <c r="E545" s="35" t="s">
        <v>25</v>
      </c>
      <c r="F545" s="35">
        <v>20260714005</v>
      </c>
      <c r="G545" s="59" t="s">
        <v>836</v>
      </c>
      <c r="H545" s="43">
        <f>H542-K545</f>
        <v>180851.88040712505</v>
      </c>
      <c r="I545" s="43">
        <v>4350</v>
      </c>
      <c r="J545" s="43">
        <v>4200</v>
      </c>
      <c r="K545" s="43">
        <f t="shared" si="64"/>
        <v>5343.5114503816794</v>
      </c>
      <c r="L545" s="44"/>
      <c r="M545" s="92"/>
      <c r="N545" s="35"/>
      <c r="O545" s="29">
        <v>46219</v>
      </c>
      <c r="P545" s="28">
        <f t="shared" si="58"/>
        <v>46583</v>
      </c>
    </row>
    <row r="546" spans="2:17" ht="20.149999999999999" customHeight="1" x14ac:dyDescent="0.2">
      <c r="B546" s="34">
        <v>46221</v>
      </c>
      <c r="C546" s="35" t="s">
        <v>1649</v>
      </c>
      <c r="D546" s="35" t="s">
        <v>1643</v>
      </c>
      <c r="E546" s="35" t="s">
        <v>25</v>
      </c>
      <c r="F546" s="35">
        <v>20260714006</v>
      </c>
      <c r="G546" s="59" t="s">
        <v>1650</v>
      </c>
      <c r="H546" s="43">
        <f>H545-K546</f>
        <v>175354.69720101819</v>
      </c>
      <c r="I546" s="43">
        <v>4290</v>
      </c>
      <c r="J546" s="43">
        <v>4320</v>
      </c>
      <c r="K546" s="43">
        <f>J546/0.786+1</f>
        <v>5497.1832061068699</v>
      </c>
      <c r="L546" s="44"/>
      <c r="M546" s="92"/>
      <c r="N546" s="35"/>
      <c r="O546" s="29">
        <v>46220</v>
      </c>
      <c r="P546" s="28">
        <f t="shared" si="58"/>
        <v>46584</v>
      </c>
    </row>
    <row r="547" spans="2:17" ht="20.149999999999999" customHeight="1" x14ac:dyDescent="0.2">
      <c r="B547" s="62">
        <v>46221</v>
      </c>
      <c r="C547" s="61" t="s">
        <v>1639</v>
      </c>
      <c r="D547" s="61" t="s">
        <v>1637</v>
      </c>
      <c r="E547" s="61" t="s">
        <v>22</v>
      </c>
      <c r="F547" s="61">
        <v>20260714018</v>
      </c>
      <c r="G547" s="61" t="s">
        <v>1349</v>
      </c>
      <c r="H547" s="64">
        <f>H544-K547</f>
        <v>661138.67430025479</v>
      </c>
      <c r="I547" s="64">
        <v>4350</v>
      </c>
      <c r="J547" s="64">
        <v>4400</v>
      </c>
      <c r="K547" s="64">
        <f>J547/0.786</f>
        <v>5597.9643765903302</v>
      </c>
      <c r="L547" s="65"/>
      <c r="M547" s="93"/>
      <c r="N547" s="61"/>
      <c r="O547" s="29">
        <v>46219</v>
      </c>
      <c r="P547" s="28">
        <f>DATE(YEAR(O547)+1,MONTH(O547),DAY(O547))-1</f>
        <v>46583</v>
      </c>
    </row>
    <row r="548" spans="2:17" ht="20.149999999999999" customHeight="1" x14ac:dyDescent="0.2">
      <c r="B548" s="62">
        <v>46221</v>
      </c>
      <c r="C548" s="61" t="s">
        <v>1640</v>
      </c>
      <c r="D548" s="61" t="s">
        <v>1638</v>
      </c>
      <c r="E548" s="61" t="s">
        <v>22</v>
      </c>
      <c r="F548" s="61">
        <v>20260714019</v>
      </c>
      <c r="G548" s="61" t="s">
        <v>1349</v>
      </c>
      <c r="H548" s="64">
        <f>H547-K548</f>
        <v>655756.99491094181</v>
      </c>
      <c r="I548" s="64">
        <v>4250</v>
      </c>
      <c r="J548" s="64">
        <v>4230</v>
      </c>
      <c r="K548" s="64">
        <f>J548/0.786</f>
        <v>5381.679389312977</v>
      </c>
      <c r="L548" s="65"/>
      <c r="M548" s="93"/>
      <c r="N548" s="61"/>
      <c r="O548" s="29">
        <v>46219</v>
      </c>
      <c r="P548" s="28">
        <f>DATE(YEAR(O548)+1,MONTH(O548),DAY(O548))-1</f>
        <v>46583</v>
      </c>
    </row>
    <row r="549" spans="2:17" ht="20.149999999999999" customHeight="1" x14ac:dyDescent="0.2">
      <c r="B549" s="34">
        <v>46222</v>
      </c>
      <c r="C549" s="35" t="s">
        <v>1652</v>
      </c>
      <c r="D549" s="35" t="s">
        <v>1644</v>
      </c>
      <c r="E549" s="35" t="s">
        <v>25</v>
      </c>
      <c r="F549" s="35">
        <v>20260714007</v>
      </c>
      <c r="G549" s="59" t="s">
        <v>836</v>
      </c>
      <c r="H549" s="43">
        <f>H546-K549</f>
        <v>169973.01781170521</v>
      </c>
      <c r="I549" s="43">
        <v>4270</v>
      </c>
      <c r="J549" s="43">
        <v>4230</v>
      </c>
      <c r="K549" s="43">
        <f t="shared" si="64"/>
        <v>5381.679389312977</v>
      </c>
      <c r="L549" s="44"/>
      <c r="M549" s="92"/>
      <c r="N549" s="35"/>
      <c r="O549" s="29">
        <v>46220</v>
      </c>
      <c r="P549" s="28">
        <f t="shared" si="58"/>
        <v>46584</v>
      </c>
    </row>
    <row r="550" spans="2:17" ht="20.149999999999999" customHeight="1" x14ac:dyDescent="0.2">
      <c r="B550" s="62">
        <v>46222</v>
      </c>
      <c r="C550" s="61" t="s">
        <v>1648</v>
      </c>
      <c r="D550" s="61" t="s">
        <v>1645</v>
      </c>
      <c r="E550" s="61" t="s">
        <v>22</v>
      </c>
      <c r="F550" s="61">
        <v>20260714020</v>
      </c>
      <c r="G550" s="61" t="s">
        <v>1349</v>
      </c>
      <c r="H550" s="64">
        <f>H548-K550</f>
        <v>650337.14758269757</v>
      </c>
      <c r="I550" s="64">
        <v>4280</v>
      </c>
      <c r="J550" s="64">
        <v>4260</v>
      </c>
      <c r="K550" s="64">
        <f>J550/0.786</f>
        <v>5419.8473282442746</v>
      </c>
      <c r="L550" s="65"/>
      <c r="M550" s="93"/>
      <c r="N550" s="61"/>
      <c r="O550" s="29">
        <v>46220</v>
      </c>
      <c r="P550" s="28">
        <f>DATE(YEAR(O550)+1,MONTH(O550),DAY(O550))-1</f>
        <v>46584</v>
      </c>
    </row>
    <row r="551" spans="2:17" ht="20.149999999999999" customHeight="1" x14ac:dyDescent="0.2">
      <c r="B551" s="62">
        <v>46222</v>
      </c>
      <c r="C551" s="61" t="s">
        <v>1654</v>
      </c>
      <c r="D551" s="61" t="s">
        <v>1646</v>
      </c>
      <c r="E551" s="61" t="s">
        <v>22</v>
      </c>
      <c r="F551" s="61">
        <v>20260714021</v>
      </c>
      <c r="G551" s="61" t="s">
        <v>1655</v>
      </c>
      <c r="H551" s="64">
        <f>H550-K551</f>
        <v>644917.30025445332</v>
      </c>
      <c r="I551" s="64">
        <v>4300</v>
      </c>
      <c r="J551" s="64">
        <v>4260</v>
      </c>
      <c r="K551" s="64">
        <f>J551/0.786</f>
        <v>5419.8473282442746</v>
      </c>
      <c r="L551" s="65"/>
      <c r="M551" s="93"/>
      <c r="N551" s="61"/>
      <c r="O551" s="29">
        <v>46221</v>
      </c>
      <c r="P551" s="28">
        <f>DATE(YEAR(O551)+1,MONTH(O551),DAY(O551))-1</f>
        <v>46585</v>
      </c>
      <c r="Q551" s="13" t="s">
        <v>1623</v>
      </c>
    </row>
    <row r="552" spans="2:17" ht="20.149999999999999" customHeight="1" x14ac:dyDescent="0.2">
      <c r="B552" s="34">
        <v>46223</v>
      </c>
      <c r="C552" s="35" t="s">
        <v>1663</v>
      </c>
      <c r="D552" s="35" t="s">
        <v>1656</v>
      </c>
      <c r="E552" s="35" t="s">
        <v>25</v>
      </c>
      <c r="F552" s="35">
        <v>20260714008</v>
      </c>
      <c r="G552" s="59" t="s">
        <v>836</v>
      </c>
      <c r="H552" s="43">
        <f>H549-K552</f>
        <v>164488.55725190879</v>
      </c>
      <c r="I552" s="43">
        <v>4300</v>
      </c>
      <c r="J552" s="43">
        <v>4310</v>
      </c>
      <c r="K552" s="43">
        <f>J552/0.786+1</f>
        <v>5484.4605597964373</v>
      </c>
      <c r="L552" s="44"/>
      <c r="M552" s="92"/>
      <c r="N552" s="35"/>
      <c r="O552" s="29">
        <v>46221</v>
      </c>
      <c r="P552" s="28">
        <f t="shared" si="58"/>
        <v>46585</v>
      </c>
    </row>
    <row r="553" spans="2:17" ht="20.149999999999999" customHeight="1" x14ac:dyDescent="0.2">
      <c r="B553" s="34">
        <v>46223</v>
      </c>
      <c r="C553" s="35" t="s">
        <v>1664</v>
      </c>
      <c r="D553" s="35" t="s">
        <v>1659</v>
      </c>
      <c r="E553" s="35" t="s">
        <v>25</v>
      </c>
      <c r="F553" s="35">
        <v>20260714009</v>
      </c>
      <c r="G553" s="59" t="s">
        <v>1671</v>
      </c>
      <c r="H553" s="43">
        <f>H552-K553</f>
        <v>159145.0458015271</v>
      </c>
      <c r="I553" s="43">
        <v>4230</v>
      </c>
      <c r="J553" s="43">
        <v>4200</v>
      </c>
      <c r="K553" s="43">
        <f t="shared" si="64"/>
        <v>5343.5114503816794</v>
      </c>
      <c r="L553" s="44"/>
      <c r="M553" s="92"/>
      <c r="N553" s="35"/>
      <c r="O553" s="29">
        <v>46222</v>
      </c>
      <c r="P553" s="28">
        <f t="shared" si="58"/>
        <v>46586</v>
      </c>
    </row>
    <row r="554" spans="2:17" ht="20.149999999999999" customHeight="1" x14ac:dyDescent="0.2">
      <c r="B554" s="62">
        <v>46223</v>
      </c>
      <c r="C554" s="61" t="s">
        <v>1665</v>
      </c>
      <c r="D554" s="61" t="s">
        <v>1657</v>
      </c>
      <c r="E554" s="61" t="s">
        <v>22</v>
      </c>
      <c r="F554" s="61">
        <v>20260714022</v>
      </c>
      <c r="G554" s="61" t="s">
        <v>1349</v>
      </c>
      <c r="H554" s="64">
        <f>H551-K554</f>
        <v>639586.51145038207</v>
      </c>
      <c r="I554" s="64">
        <v>4150</v>
      </c>
      <c r="J554" s="64">
        <v>4190</v>
      </c>
      <c r="K554" s="64">
        <f>J554/0.786</f>
        <v>5330.7888040712469</v>
      </c>
      <c r="L554" s="65"/>
      <c r="M554" s="93"/>
      <c r="N554" s="61"/>
      <c r="O554" s="29">
        <v>46221</v>
      </c>
      <c r="P554" s="28">
        <f>DATE(YEAR(O554)+1,MONTH(O554),DAY(O554))-1</f>
        <v>46585</v>
      </c>
    </row>
    <row r="555" spans="2:17" ht="20.149999999999999" customHeight="1" x14ac:dyDescent="0.2">
      <c r="B555" s="62">
        <v>46223</v>
      </c>
      <c r="C555" s="61" t="s">
        <v>1666</v>
      </c>
      <c r="D555" s="61" t="s">
        <v>1660</v>
      </c>
      <c r="E555" s="61" t="s">
        <v>22</v>
      </c>
      <c r="F555" s="61">
        <v>20260714023</v>
      </c>
      <c r="G555" s="61" t="s">
        <v>1382</v>
      </c>
      <c r="H555" s="64">
        <f>H554-K555</f>
        <v>634115.7735368961</v>
      </c>
      <c r="I555" s="64">
        <v>4450</v>
      </c>
      <c r="J555" s="64">
        <v>4300</v>
      </c>
      <c r="K555" s="64">
        <f>J555/0.786</f>
        <v>5470.7379134860048</v>
      </c>
      <c r="L555" s="65"/>
      <c r="M555" s="93"/>
      <c r="N555" s="61"/>
      <c r="O555" s="29">
        <v>46222</v>
      </c>
      <c r="P555" s="28">
        <f>DATE(YEAR(O555)+1,MONTH(O555),DAY(O555))-1</f>
        <v>46586</v>
      </c>
    </row>
    <row r="556" spans="2:17" ht="20.149999999999999" customHeight="1" x14ac:dyDescent="0.2">
      <c r="B556" s="34">
        <v>46224</v>
      </c>
      <c r="C556" s="35" t="s">
        <v>1675</v>
      </c>
      <c r="D556" s="35" t="s">
        <v>1667</v>
      </c>
      <c r="E556" s="35" t="s">
        <v>25</v>
      </c>
      <c r="F556" s="35" t="s">
        <v>2266</v>
      </c>
      <c r="G556" s="59" t="s">
        <v>836</v>
      </c>
      <c r="H556" s="43">
        <f>H553-K556</f>
        <v>153838.7022900767</v>
      </c>
      <c r="I556" s="43">
        <v>4220</v>
      </c>
      <c r="J556" s="43">
        <v>4170</v>
      </c>
      <c r="K556" s="43">
        <f>J556/0.786+1</f>
        <v>5306.3435114503818</v>
      </c>
      <c r="L556" s="44"/>
      <c r="M556" s="92"/>
      <c r="N556" s="35"/>
      <c r="O556" s="29">
        <v>46222</v>
      </c>
      <c r="P556" s="28">
        <f t="shared" si="58"/>
        <v>46586</v>
      </c>
    </row>
    <row r="557" spans="2:17" ht="20.149999999999999" customHeight="1" x14ac:dyDescent="0.2">
      <c r="B557" s="62">
        <v>46224</v>
      </c>
      <c r="C557" s="61" t="s">
        <v>1672</v>
      </c>
      <c r="D557" s="61" t="s">
        <v>1668</v>
      </c>
      <c r="E557" s="61" t="s">
        <v>22</v>
      </c>
      <c r="F557" s="61">
        <v>20260714024</v>
      </c>
      <c r="G557" s="61" t="s">
        <v>1382</v>
      </c>
      <c r="H557" s="64">
        <f>H555-K557</f>
        <v>628720.37150127266</v>
      </c>
      <c r="I557" s="64">
        <v>4290</v>
      </c>
      <c r="J557" s="64">
        <v>4240</v>
      </c>
      <c r="K557" s="64">
        <f>J557/0.786+1</f>
        <v>5395.4020356234096</v>
      </c>
      <c r="L557" s="65"/>
      <c r="M557" s="93"/>
      <c r="N557" s="61"/>
      <c r="O557" s="29">
        <v>46221</v>
      </c>
      <c r="P557" s="28">
        <f t="shared" si="58"/>
        <v>46585</v>
      </c>
    </row>
    <row r="558" spans="2:17" ht="20.149999999999999" customHeight="1" x14ac:dyDescent="0.2">
      <c r="B558" s="62">
        <v>46224</v>
      </c>
      <c r="C558" s="61" t="s">
        <v>1673</v>
      </c>
      <c r="D558" s="61" t="s">
        <v>1669</v>
      </c>
      <c r="E558" s="61" t="s">
        <v>22</v>
      </c>
      <c r="F558" s="61">
        <v>20260714025</v>
      </c>
      <c r="G558" s="61" t="s">
        <v>1382</v>
      </c>
      <c r="H558" s="64">
        <f>H557-K558</f>
        <v>623249.63358778669</v>
      </c>
      <c r="I558" s="64">
        <v>4330</v>
      </c>
      <c r="J558" s="64">
        <v>4300</v>
      </c>
      <c r="K558" s="64">
        <f t="shared" si="64"/>
        <v>5470.7379134860048</v>
      </c>
      <c r="L558" s="65"/>
      <c r="M558" s="93"/>
      <c r="N558" s="61"/>
      <c r="O558" s="29">
        <v>46222</v>
      </c>
      <c r="P558" s="28">
        <f t="shared" si="58"/>
        <v>46586</v>
      </c>
    </row>
    <row r="559" spans="2:17" ht="20.149999999999999" customHeight="1" x14ac:dyDescent="0.2">
      <c r="B559" s="62">
        <v>46224</v>
      </c>
      <c r="C559" s="61" t="s">
        <v>1679</v>
      </c>
      <c r="D559" s="61" t="s">
        <v>1678</v>
      </c>
      <c r="E559" s="61" t="s">
        <v>22</v>
      </c>
      <c r="F559" s="61">
        <v>20260720018</v>
      </c>
      <c r="G559" s="61" t="s">
        <v>1685</v>
      </c>
      <c r="H559" s="64">
        <f>H558-K559</f>
        <v>617803.34096692153</v>
      </c>
      <c r="I559" s="64">
        <v>4290</v>
      </c>
      <c r="J559" s="64">
        <v>4280</v>
      </c>
      <c r="K559" s="64">
        <f>J559/0.786+1</f>
        <v>5446.2926208651397</v>
      </c>
      <c r="L559" s="65"/>
      <c r="M559" s="93"/>
      <c r="N559" s="61"/>
      <c r="O559" s="29">
        <v>46222</v>
      </c>
      <c r="P559" s="28">
        <f>DATE(YEAR(O559)+1,MONTH(O559),DAY(O559))-1</f>
        <v>46586</v>
      </c>
    </row>
    <row r="560" spans="2:17" ht="20.149999999999999" customHeight="1" x14ac:dyDescent="0.2">
      <c r="B560" s="34">
        <v>46225</v>
      </c>
      <c r="C560" s="35" t="s">
        <v>1688</v>
      </c>
      <c r="D560" s="35" t="s">
        <v>1680</v>
      </c>
      <c r="E560" s="35" t="s">
        <v>25</v>
      </c>
      <c r="F560" s="35">
        <v>20260714011</v>
      </c>
      <c r="G560" s="59" t="s">
        <v>1686</v>
      </c>
      <c r="H560" s="43">
        <f>H556-K560</f>
        <v>148532.35877862631</v>
      </c>
      <c r="I560" s="43">
        <v>4190</v>
      </c>
      <c r="J560" s="43">
        <v>4170</v>
      </c>
      <c r="K560" s="43">
        <f>J560/0.786+1</f>
        <v>5306.3435114503818</v>
      </c>
      <c r="L560" s="44"/>
      <c r="M560" s="92"/>
      <c r="N560" s="35"/>
      <c r="O560" s="29">
        <v>46223</v>
      </c>
      <c r="P560" s="28">
        <f t="shared" si="58"/>
        <v>46587</v>
      </c>
    </row>
    <row r="561" spans="2:16" ht="20.149999999999999" customHeight="1" x14ac:dyDescent="0.2">
      <c r="B561" s="34">
        <v>46225</v>
      </c>
      <c r="C561" s="35" t="s">
        <v>1689</v>
      </c>
      <c r="D561" s="35" t="s">
        <v>1681</v>
      </c>
      <c r="E561" s="35" t="s">
        <v>25</v>
      </c>
      <c r="F561" s="35">
        <v>20260720007</v>
      </c>
      <c r="G561" s="59" t="s">
        <v>836</v>
      </c>
      <c r="H561" s="43">
        <f>H556-K561</f>
        <v>148379.68702290114</v>
      </c>
      <c r="I561" s="43">
        <v>4300</v>
      </c>
      <c r="J561" s="43">
        <v>4290</v>
      </c>
      <c r="K561" s="43">
        <f>J561/0.786+1</f>
        <v>5459.0152671755723</v>
      </c>
      <c r="L561" s="44"/>
      <c r="M561" s="92"/>
      <c r="N561" s="35"/>
      <c r="O561" s="29">
        <v>46223</v>
      </c>
      <c r="P561" s="28">
        <f t="shared" si="58"/>
        <v>46587</v>
      </c>
    </row>
    <row r="562" spans="2:16" ht="20.149999999999999" customHeight="1" x14ac:dyDescent="0.2">
      <c r="B562" s="62">
        <v>46225</v>
      </c>
      <c r="C562" s="61" t="s">
        <v>1690</v>
      </c>
      <c r="D562" s="61" t="s">
        <v>1682</v>
      </c>
      <c r="E562" s="61" t="s">
        <v>22</v>
      </c>
      <c r="F562" s="61">
        <v>20260720019</v>
      </c>
      <c r="G562" s="61" t="s">
        <v>1687</v>
      </c>
      <c r="H562" s="64">
        <f>H559-K562</f>
        <v>612294.43511450419</v>
      </c>
      <c r="I562" s="64">
        <v>4310</v>
      </c>
      <c r="J562" s="64">
        <v>4330</v>
      </c>
      <c r="K562" s="64">
        <f t="shared" ref="K562:K564" si="65">J562/0.786</f>
        <v>5508.9058524173024</v>
      </c>
      <c r="L562" s="65"/>
      <c r="M562" s="93"/>
      <c r="N562" s="61"/>
      <c r="O562" s="29">
        <v>46223</v>
      </c>
      <c r="P562" s="28">
        <f t="shared" si="58"/>
        <v>46587</v>
      </c>
    </row>
    <row r="563" spans="2:16" ht="20.149999999999999" customHeight="1" x14ac:dyDescent="0.2">
      <c r="B563" s="62">
        <v>46225</v>
      </c>
      <c r="C563" s="61" t="s">
        <v>1684</v>
      </c>
      <c r="D563" s="61" t="s">
        <v>1683</v>
      </c>
      <c r="E563" s="61" t="s">
        <v>22</v>
      </c>
      <c r="F563" s="61">
        <v>20260720020</v>
      </c>
      <c r="G563" s="61" t="s">
        <v>1349</v>
      </c>
      <c r="H563" s="64">
        <f>H562-K563</f>
        <v>606759.08396946604</v>
      </c>
      <c r="I563" s="64">
        <v>4390</v>
      </c>
      <c r="J563" s="64">
        <v>4350</v>
      </c>
      <c r="K563" s="64">
        <f>J563/0.786+1</f>
        <v>5535.3511450381675</v>
      </c>
      <c r="L563" s="65"/>
      <c r="M563" s="93"/>
      <c r="N563" s="61"/>
      <c r="O563" s="29">
        <v>46223</v>
      </c>
      <c r="P563" s="28">
        <f>DATE(YEAR(O563)+1,MONTH(O563),DAY(O563))-1</f>
        <v>46587</v>
      </c>
    </row>
    <row r="564" spans="2:16" ht="20.149999999999999" customHeight="1" x14ac:dyDescent="0.2">
      <c r="B564" s="34">
        <v>46226</v>
      </c>
      <c r="C564" s="35" t="s">
        <v>1694</v>
      </c>
      <c r="D564" s="35" t="s">
        <v>1692</v>
      </c>
      <c r="E564" s="35" t="s">
        <v>25</v>
      </c>
      <c r="F564" s="35" t="s">
        <v>2267</v>
      </c>
      <c r="G564" s="59" t="s">
        <v>836</v>
      </c>
      <c r="H564" s="43">
        <f>H561-K564</f>
        <v>142807.16793893167</v>
      </c>
      <c r="I564" s="43">
        <v>4430</v>
      </c>
      <c r="J564" s="43">
        <v>4380</v>
      </c>
      <c r="K564" s="43">
        <f t="shared" si="65"/>
        <v>5572.5190839694651</v>
      </c>
      <c r="L564" s="44"/>
      <c r="M564" s="92"/>
      <c r="N564" s="35"/>
      <c r="O564" s="29">
        <v>46224</v>
      </c>
      <c r="P564" s="28">
        <f t="shared" si="58"/>
        <v>46588</v>
      </c>
    </row>
    <row r="565" spans="2:16" ht="20.149999999999999" customHeight="1" x14ac:dyDescent="0.2">
      <c r="B565" s="34">
        <v>46226</v>
      </c>
      <c r="C565" s="35" t="s">
        <v>1702</v>
      </c>
      <c r="D565" s="35" t="s">
        <v>1701</v>
      </c>
      <c r="E565" s="35" t="s">
        <v>25</v>
      </c>
      <c r="F565" s="35">
        <v>20260720009</v>
      </c>
      <c r="G565" s="59" t="s">
        <v>836</v>
      </c>
      <c r="H565" s="43">
        <f>H564-K565</f>
        <v>137322.70737913524</v>
      </c>
      <c r="I565" s="43">
        <v>4380</v>
      </c>
      <c r="J565" s="43">
        <v>4310</v>
      </c>
      <c r="K565" s="43">
        <f>J565/0.786+1</f>
        <v>5484.4605597964373</v>
      </c>
      <c r="L565" s="44"/>
      <c r="M565" s="92"/>
      <c r="N565" s="35"/>
      <c r="O565" s="29">
        <v>46224</v>
      </c>
      <c r="P565" s="28">
        <f t="shared" ref="P565:P628" si="66">DATE(YEAR(O565)+1,MONTH(O565),DAY(O565))-1</f>
        <v>46588</v>
      </c>
    </row>
    <row r="566" spans="2:16" ht="20.149999999999999" customHeight="1" x14ac:dyDescent="0.2">
      <c r="B566" s="62">
        <v>46226</v>
      </c>
      <c r="C566" s="61" t="s">
        <v>1698</v>
      </c>
      <c r="D566" s="61" t="s">
        <v>1693</v>
      </c>
      <c r="E566" s="61" t="s">
        <v>22</v>
      </c>
      <c r="F566" s="61">
        <v>20260720021</v>
      </c>
      <c r="G566" s="61" t="s">
        <v>1696</v>
      </c>
      <c r="H566" s="64">
        <f>H563-K566</f>
        <v>601312.79134860088</v>
      </c>
      <c r="I566" s="64">
        <v>4290</v>
      </c>
      <c r="J566" s="64">
        <v>4280</v>
      </c>
      <c r="K566" s="64">
        <f>J566/0.786+1</f>
        <v>5446.2926208651397</v>
      </c>
      <c r="L566" s="65"/>
      <c r="M566" s="93"/>
      <c r="N566" s="61"/>
      <c r="O566" s="29">
        <v>46224</v>
      </c>
      <c r="P566" s="28">
        <f t="shared" si="66"/>
        <v>46588</v>
      </c>
    </row>
    <row r="567" spans="2:16" ht="20.149999999999999" customHeight="1" x14ac:dyDescent="0.2">
      <c r="B567" s="25">
        <v>46227</v>
      </c>
      <c r="C567" s="26" t="s">
        <v>1699</v>
      </c>
      <c r="D567" s="26" t="s">
        <v>1700</v>
      </c>
      <c r="E567" s="26" t="s">
        <v>1034</v>
      </c>
      <c r="F567" s="26">
        <v>20260709006</v>
      </c>
      <c r="G567" s="26" t="s">
        <v>1703</v>
      </c>
      <c r="H567" s="38">
        <f>H540-K567</f>
        <v>78842.414758269704</v>
      </c>
      <c r="I567" s="38">
        <v>4360</v>
      </c>
      <c r="J567" s="38">
        <v>4280</v>
      </c>
      <c r="K567" s="38">
        <f>J567/0.786+1</f>
        <v>5446.2926208651397</v>
      </c>
      <c r="L567" s="37"/>
      <c r="M567" s="85"/>
      <c r="N567" s="26"/>
      <c r="O567" s="29">
        <v>46225</v>
      </c>
      <c r="P567" s="28">
        <f>DATE(YEAR(O567)+1,MONTH(O567),DAY(O567))-1</f>
        <v>46589</v>
      </c>
    </row>
    <row r="568" spans="2:16" ht="20.149999999999999" customHeight="1" x14ac:dyDescent="0.2">
      <c r="B568" s="34">
        <v>46227</v>
      </c>
      <c r="C568" s="35" t="s">
        <v>1708</v>
      </c>
      <c r="D568" s="35" t="s">
        <v>1704</v>
      </c>
      <c r="E568" s="35" t="s">
        <v>25</v>
      </c>
      <c r="F568" s="35">
        <v>20260720010</v>
      </c>
      <c r="G568" s="59" t="s">
        <v>1712</v>
      </c>
      <c r="H568" s="43">
        <f>H565-K568</f>
        <v>131953.7506361327</v>
      </c>
      <c r="I568" s="43">
        <v>4260</v>
      </c>
      <c r="J568" s="43">
        <v>4220</v>
      </c>
      <c r="K568" s="43">
        <f t="shared" ref="K568:K582" si="67">J568/0.786</f>
        <v>5368.9567430025445</v>
      </c>
      <c r="L568" s="44"/>
      <c r="M568" s="92"/>
      <c r="N568" s="35"/>
      <c r="O568" s="29">
        <v>46225</v>
      </c>
      <c r="P568" s="28">
        <f t="shared" si="66"/>
        <v>46589</v>
      </c>
    </row>
    <row r="569" spans="2:16" ht="20.149999999999999" customHeight="1" x14ac:dyDescent="0.2">
      <c r="B569" s="62">
        <v>46227</v>
      </c>
      <c r="C569" s="61" t="s">
        <v>1710</v>
      </c>
      <c r="D569" s="61" t="s">
        <v>1705</v>
      </c>
      <c r="E569" s="61" t="s">
        <v>22</v>
      </c>
      <c r="F569" s="61">
        <v>20260720022</v>
      </c>
      <c r="G569" s="61" t="s">
        <v>1349</v>
      </c>
      <c r="H569" s="64">
        <f>H566-K569</f>
        <v>595955.55725190882</v>
      </c>
      <c r="I569" s="64">
        <v>4260</v>
      </c>
      <c r="J569" s="64">
        <v>4210</v>
      </c>
      <c r="K569" s="64">
        <f>J569/0.786+1</f>
        <v>5357.234096692112</v>
      </c>
      <c r="L569" s="65"/>
      <c r="M569" s="93"/>
      <c r="N569" s="61"/>
      <c r="O569" s="29">
        <v>46225</v>
      </c>
      <c r="P569" s="28">
        <f>DATE(YEAR(O569)+1,MONTH(O569),DAY(O569))-1</f>
        <v>46589</v>
      </c>
    </row>
    <row r="570" spans="2:16" ht="20.149999999999999" customHeight="1" x14ac:dyDescent="0.2">
      <c r="B570" s="62">
        <v>46227</v>
      </c>
      <c r="C570" s="61" t="s">
        <v>1709</v>
      </c>
      <c r="D570" s="61" t="s">
        <v>1706</v>
      </c>
      <c r="E570" s="61" t="s">
        <v>22</v>
      </c>
      <c r="F570" s="61">
        <v>20260720023</v>
      </c>
      <c r="G570" s="61" t="s">
        <v>1349</v>
      </c>
      <c r="H570" s="64">
        <f>H569-K570</f>
        <v>590446.65139949147</v>
      </c>
      <c r="I570" s="64">
        <v>4420</v>
      </c>
      <c r="J570" s="64">
        <v>4330</v>
      </c>
      <c r="K570" s="64">
        <f>J570/0.786</f>
        <v>5508.9058524173024</v>
      </c>
      <c r="L570" s="65"/>
      <c r="M570" s="93"/>
      <c r="N570" s="61"/>
      <c r="O570" s="29">
        <v>46225</v>
      </c>
      <c r="P570" s="28">
        <f t="shared" si="66"/>
        <v>46589</v>
      </c>
    </row>
    <row r="571" spans="2:16" ht="20.149999999999999" customHeight="1" x14ac:dyDescent="0.2">
      <c r="B571" s="34">
        <v>46228</v>
      </c>
      <c r="C571" s="35" t="s">
        <v>1721</v>
      </c>
      <c r="D571" s="35" t="s">
        <v>1715</v>
      </c>
      <c r="E571" s="35" t="s">
        <v>25</v>
      </c>
      <c r="F571" s="35">
        <v>20260720011</v>
      </c>
      <c r="G571" s="59" t="s">
        <v>836</v>
      </c>
      <c r="H571" s="43">
        <f>H568-K571</f>
        <v>126367.5089058528</v>
      </c>
      <c r="I571" s="43">
        <v>4370</v>
      </c>
      <c r="J571" s="43">
        <v>4390</v>
      </c>
      <c r="K571" s="43">
        <f>J571/0.786+1</f>
        <v>5586.2417302798976</v>
      </c>
      <c r="L571" s="44"/>
      <c r="M571" s="92"/>
      <c r="N571" s="35"/>
      <c r="O571" s="29">
        <v>46226</v>
      </c>
      <c r="P571" s="28">
        <f t="shared" si="66"/>
        <v>46590</v>
      </c>
    </row>
    <row r="572" spans="2:16" ht="20.149999999999999" customHeight="1" x14ac:dyDescent="0.2">
      <c r="B572" s="34">
        <v>46228</v>
      </c>
      <c r="C572" s="35" t="s">
        <v>1719</v>
      </c>
      <c r="D572" s="35" t="s">
        <v>1716</v>
      </c>
      <c r="E572" s="35" t="s">
        <v>25</v>
      </c>
      <c r="F572" s="35">
        <v>20260720012</v>
      </c>
      <c r="G572" s="59" t="s">
        <v>836</v>
      </c>
      <c r="H572" s="43">
        <f>H571-K572</f>
        <v>120896.77099236679</v>
      </c>
      <c r="I572" s="43">
        <v>4250</v>
      </c>
      <c r="J572" s="43">
        <v>4300</v>
      </c>
      <c r="K572" s="43">
        <f t="shared" si="67"/>
        <v>5470.7379134860048</v>
      </c>
      <c r="L572" s="44"/>
      <c r="M572" s="92"/>
      <c r="N572" s="35"/>
      <c r="O572" s="29">
        <v>46226</v>
      </c>
      <c r="P572" s="28">
        <f t="shared" si="66"/>
        <v>46590</v>
      </c>
    </row>
    <row r="573" spans="2:16" ht="20.149999999999999" customHeight="1" x14ac:dyDescent="0.2">
      <c r="B573" s="62">
        <v>46228</v>
      </c>
      <c r="C573" s="61" t="s">
        <v>1720</v>
      </c>
      <c r="D573" s="61" t="s">
        <v>1717</v>
      </c>
      <c r="E573" s="61" t="s">
        <v>22</v>
      </c>
      <c r="F573" s="61">
        <v>20260720024</v>
      </c>
      <c r="G573" s="61" t="s">
        <v>1722</v>
      </c>
      <c r="H573" s="64">
        <f>H570-K573</f>
        <v>585178.4758269724</v>
      </c>
      <c r="I573" s="64">
        <v>4190</v>
      </c>
      <c r="J573" s="64">
        <v>4140</v>
      </c>
      <c r="K573" s="64">
        <f>J573/0.786+1</f>
        <v>5268.1755725190842</v>
      </c>
      <c r="L573" s="65"/>
      <c r="M573" s="93"/>
      <c r="N573" s="61"/>
      <c r="O573" s="29">
        <v>46226</v>
      </c>
      <c r="P573" s="28">
        <f>DATE(YEAR(O573)+1,MONTH(O573),DAY(O573))-1</f>
        <v>46590</v>
      </c>
    </row>
    <row r="574" spans="2:16" ht="20.149999999999999" customHeight="1" x14ac:dyDescent="0.2">
      <c r="B574" s="62">
        <v>46228</v>
      </c>
      <c r="C574" s="61" t="s">
        <v>1724</v>
      </c>
      <c r="D574" s="61" t="s">
        <v>1718</v>
      </c>
      <c r="E574" s="61" t="s">
        <v>22</v>
      </c>
      <c r="F574" s="61">
        <v>20260720025</v>
      </c>
      <c r="G574" s="61" t="s">
        <v>1723</v>
      </c>
      <c r="H574" s="64">
        <f>H573-K574</f>
        <v>579847.68702290114</v>
      </c>
      <c r="I574" s="64">
        <v>4240</v>
      </c>
      <c r="J574" s="64">
        <v>4190</v>
      </c>
      <c r="K574" s="64">
        <f>J574/0.786</f>
        <v>5330.7888040712469</v>
      </c>
      <c r="L574" s="65"/>
      <c r="M574" s="93"/>
      <c r="N574" s="61"/>
      <c r="O574" s="29">
        <v>46226</v>
      </c>
      <c r="P574" s="28">
        <f t="shared" si="66"/>
        <v>46590</v>
      </c>
    </row>
    <row r="575" spans="2:16" ht="20.149999999999999" customHeight="1" x14ac:dyDescent="0.2">
      <c r="B575" s="34">
        <v>46229</v>
      </c>
      <c r="C575" s="35" t="s">
        <v>1730</v>
      </c>
      <c r="D575" s="35" t="s">
        <v>1728</v>
      </c>
      <c r="E575" s="35" t="s">
        <v>25</v>
      </c>
      <c r="F575" s="35">
        <v>20260720013</v>
      </c>
      <c r="G575" s="59" t="s">
        <v>1731</v>
      </c>
      <c r="H575" s="43">
        <f>H572-K575</f>
        <v>115412.31043257035</v>
      </c>
      <c r="I575" s="43">
        <v>4370</v>
      </c>
      <c r="J575" s="43">
        <v>4310</v>
      </c>
      <c r="K575" s="43">
        <f>J575/0.786+1</f>
        <v>5484.4605597964373</v>
      </c>
      <c r="L575" s="44"/>
      <c r="M575" s="92"/>
      <c r="N575" s="35"/>
      <c r="O575" s="29">
        <v>46227</v>
      </c>
      <c r="P575" s="28">
        <f t="shared" si="66"/>
        <v>46591</v>
      </c>
    </row>
    <row r="576" spans="2:16" ht="20.149999999999999" customHeight="1" x14ac:dyDescent="0.2">
      <c r="B576" s="62">
        <v>46229</v>
      </c>
      <c r="C576" s="61" t="s">
        <v>1734</v>
      </c>
      <c r="D576" s="61" t="s">
        <v>1725</v>
      </c>
      <c r="E576" s="61" t="s">
        <v>22</v>
      </c>
      <c r="F576" s="61">
        <v>20260720026</v>
      </c>
      <c r="G576" s="61" t="s">
        <v>1349</v>
      </c>
      <c r="H576" s="64">
        <f>H574-K576</f>
        <v>574350.50381679425</v>
      </c>
      <c r="I576" s="64">
        <v>4410</v>
      </c>
      <c r="J576" s="64">
        <v>4320</v>
      </c>
      <c r="K576" s="64">
        <f>J576/0.786+1</f>
        <v>5497.1832061068699</v>
      </c>
      <c r="L576" s="65"/>
      <c r="M576" s="93"/>
      <c r="N576" s="61"/>
      <c r="O576" s="29">
        <v>46227</v>
      </c>
      <c r="P576" s="28">
        <f>DATE(YEAR(O576)+1,MONTH(O576),DAY(O576))-1</f>
        <v>46591</v>
      </c>
    </row>
    <row r="577" spans="2:16" ht="20.149999999999999" customHeight="1" x14ac:dyDescent="0.2">
      <c r="B577" s="62">
        <v>46229</v>
      </c>
      <c r="C577" s="61" t="s">
        <v>1727</v>
      </c>
      <c r="D577" s="61" t="s">
        <v>1726</v>
      </c>
      <c r="E577" s="61" t="s">
        <v>22</v>
      </c>
      <c r="F577" s="61">
        <v>20260720027</v>
      </c>
      <c r="G577" s="61" t="s">
        <v>1349</v>
      </c>
      <c r="H577" s="64">
        <f>H576-K577</f>
        <v>568904.21119592909</v>
      </c>
      <c r="I577" s="64">
        <v>4350</v>
      </c>
      <c r="J577" s="64">
        <v>4280</v>
      </c>
      <c r="K577" s="64">
        <f>J577/0.786+1</f>
        <v>5446.2926208651397</v>
      </c>
      <c r="L577" s="65"/>
      <c r="M577" s="93"/>
      <c r="N577" s="61"/>
      <c r="O577" s="29">
        <v>46227</v>
      </c>
      <c r="P577" s="28">
        <f t="shared" si="66"/>
        <v>46591</v>
      </c>
    </row>
    <row r="578" spans="2:16" ht="20.149999999999999" customHeight="1" x14ac:dyDescent="0.2">
      <c r="B578" s="34">
        <v>46230</v>
      </c>
      <c r="C578" s="35" t="s">
        <v>1742</v>
      </c>
      <c r="D578" s="35" t="s">
        <v>1737</v>
      </c>
      <c r="E578" s="35" t="s">
        <v>25</v>
      </c>
      <c r="F578" s="35">
        <v>20260720014</v>
      </c>
      <c r="G578" s="59" t="s">
        <v>1209</v>
      </c>
      <c r="H578" s="43">
        <f>H575-K578</f>
        <v>109992.46310432607</v>
      </c>
      <c r="I578" s="43">
        <v>4340</v>
      </c>
      <c r="J578" s="43">
        <v>4260</v>
      </c>
      <c r="K578" s="43">
        <f t="shared" si="67"/>
        <v>5419.8473282442746</v>
      </c>
      <c r="L578" s="44"/>
      <c r="M578" s="92"/>
      <c r="N578" s="35"/>
      <c r="O578" s="29">
        <v>46228</v>
      </c>
      <c r="P578" s="28">
        <f t="shared" si="66"/>
        <v>46592</v>
      </c>
    </row>
    <row r="579" spans="2:16" ht="20.149999999999999" customHeight="1" x14ac:dyDescent="0.2">
      <c r="B579" s="34">
        <v>46230</v>
      </c>
      <c r="C579" s="35" t="s">
        <v>1743</v>
      </c>
      <c r="D579" s="35" t="s">
        <v>1738</v>
      </c>
      <c r="E579" s="35" t="s">
        <v>25</v>
      </c>
      <c r="F579" s="35">
        <v>20260720015</v>
      </c>
      <c r="G579" s="59" t="s">
        <v>836</v>
      </c>
      <c r="H579" s="43">
        <f>H578-K579</f>
        <v>104546.17048346094</v>
      </c>
      <c r="I579" s="43">
        <v>4250</v>
      </c>
      <c r="J579" s="43">
        <v>4280</v>
      </c>
      <c r="K579" s="43">
        <f>J579/0.786+1</f>
        <v>5446.2926208651397</v>
      </c>
      <c r="L579" s="44"/>
      <c r="M579" s="92"/>
      <c r="N579" s="35"/>
      <c r="O579" s="29">
        <v>46229</v>
      </c>
      <c r="P579" s="28">
        <f t="shared" si="66"/>
        <v>46593</v>
      </c>
    </row>
    <row r="580" spans="2:16" ht="20.149999999999999" customHeight="1" x14ac:dyDescent="0.2">
      <c r="B580" s="62">
        <v>46230</v>
      </c>
      <c r="C580" s="61" t="s">
        <v>1744</v>
      </c>
      <c r="D580" s="61" t="s">
        <v>1735</v>
      </c>
      <c r="E580" s="61" t="s">
        <v>22</v>
      </c>
      <c r="F580" s="61">
        <v>20260720028</v>
      </c>
      <c r="G580" s="61" t="s">
        <v>1382</v>
      </c>
      <c r="H580" s="64">
        <f>H577-K580</f>
        <v>563471.64122137439</v>
      </c>
      <c r="I580" s="64">
        <v>4220</v>
      </c>
      <c r="J580" s="64">
        <v>4270</v>
      </c>
      <c r="K580" s="64">
        <f>J580/0.786</f>
        <v>5432.5699745547072</v>
      </c>
      <c r="L580" s="65"/>
      <c r="M580" s="93"/>
      <c r="N580" s="61"/>
      <c r="O580" s="29">
        <v>46227</v>
      </c>
      <c r="P580" s="28">
        <f>DATE(YEAR(O580)+1,MONTH(O580),DAY(O580))-1</f>
        <v>46591</v>
      </c>
    </row>
    <row r="581" spans="2:16" ht="20.149999999999999" customHeight="1" x14ac:dyDescent="0.2">
      <c r="B581" s="62">
        <v>46230</v>
      </c>
      <c r="C581" s="61" t="s">
        <v>1745</v>
      </c>
      <c r="D581" s="61" t="s">
        <v>1736</v>
      </c>
      <c r="E581" s="61" t="s">
        <v>22</v>
      </c>
      <c r="F581" s="61">
        <v>20260720029</v>
      </c>
      <c r="G581" s="61" t="s">
        <v>1740</v>
      </c>
      <c r="H581" s="64">
        <f>H580-K581</f>
        <v>557923.56743002578</v>
      </c>
      <c r="I581" s="64">
        <v>4380</v>
      </c>
      <c r="J581" s="64">
        <v>4360</v>
      </c>
      <c r="K581" s="64">
        <f>J581/0.786+1</f>
        <v>5548.0737913486</v>
      </c>
      <c r="L581" s="65"/>
      <c r="M581" s="93"/>
      <c r="N581" s="61"/>
      <c r="O581" s="29">
        <v>46228</v>
      </c>
      <c r="P581" s="28">
        <f t="shared" si="66"/>
        <v>46592</v>
      </c>
    </row>
    <row r="582" spans="2:16" ht="20.149999999999999" customHeight="1" x14ac:dyDescent="0.2">
      <c r="B582" s="34">
        <v>46231</v>
      </c>
      <c r="C582" s="35" t="s">
        <v>1750</v>
      </c>
      <c r="D582" s="35" t="s">
        <v>1749</v>
      </c>
      <c r="E582" s="35" t="s">
        <v>25</v>
      </c>
      <c r="F582" s="35" t="s">
        <v>2268</v>
      </c>
      <c r="G582" s="59" t="s">
        <v>836</v>
      </c>
      <c r="H582" s="43">
        <f>H579-K582</f>
        <v>99024.541984733209</v>
      </c>
      <c r="I582" s="43">
        <v>4340</v>
      </c>
      <c r="J582" s="43">
        <v>4340</v>
      </c>
      <c r="K582" s="43">
        <f t="shared" si="67"/>
        <v>5521.628498727735</v>
      </c>
      <c r="L582" s="44"/>
      <c r="M582" s="92"/>
      <c r="N582" s="35"/>
      <c r="O582" s="29">
        <v>46229</v>
      </c>
      <c r="P582" s="28">
        <f t="shared" si="66"/>
        <v>46593</v>
      </c>
    </row>
    <row r="583" spans="2:16" ht="20.149999999999999" customHeight="1" x14ac:dyDescent="0.2">
      <c r="B583" s="62">
        <v>46231</v>
      </c>
      <c r="C583" s="61" t="s">
        <v>1752</v>
      </c>
      <c r="D583" s="61" t="s">
        <v>1746</v>
      </c>
      <c r="E583" s="61" t="s">
        <v>22</v>
      </c>
      <c r="F583" s="61">
        <v>20260720030</v>
      </c>
      <c r="G583" s="61" t="s">
        <v>1349</v>
      </c>
      <c r="H583" s="64">
        <f>H581-K583</f>
        <v>552554.61068702326</v>
      </c>
      <c r="I583" s="64">
        <v>4210</v>
      </c>
      <c r="J583" s="64">
        <v>4220</v>
      </c>
      <c r="K583" s="64">
        <f t="shared" ref="K583" si="68">J583/0.786</f>
        <v>5368.9567430025445</v>
      </c>
      <c r="L583" s="65"/>
      <c r="M583" s="93"/>
      <c r="N583" s="61"/>
      <c r="O583" s="29">
        <v>46228</v>
      </c>
      <c r="P583" s="28">
        <f>DATE(YEAR(O583)+1,MONTH(O583),DAY(O583))-1</f>
        <v>46592</v>
      </c>
    </row>
    <row r="584" spans="2:16" ht="20.149999999999999" customHeight="1" x14ac:dyDescent="0.2">
      <c r="B584" s="62">
        <v>46231</v>
      </c>
      <c r="C584" s="61" t="s">
        <v>1748</v>
      </c>
      <c r="D584" s="61" t="s">
        <v>1747</v>
      </c>
      <c r="E584" s="61" t="s">
        <v>22</v>
      </c>
      <c r="F584" s="61">
        <v>20260720031</v>
      </c>
      <c r="G584" s="61" t="s">
        <v>1349</v>
      </c>
      <c r="H584" s="64">
        <f>H583-K584</f>
        <v>547134.76335877902</v>
      </c>
      <c r="I584" s="64">
        <v>4270</v>
      </c>
      <c r="J584" s="64">
        <v>4260</v>
      </c>
      <c r="K584" s="64">
        <f t="shared" ref="K584" si="69">J584/0.786</f>
        <v>5419.8473282442746</v>
      </c>
      <c r="L584" s="65"/>
      <c r="M584" s="93"/>
      <c r="N584" s="61"/>
      <c r="O584" s="29">
        <v>46229</v>
      </c>
      <c r="P584" s="28">
        <f t="shared" si="66"/>
        <v>46593</v>
      </c>
    </row>
    <row r="585" spans="2:16" ht="20.149999999999999" customHeight="1" x14ac:dyDescent="0.2">
      <c r="B585" s="25">
        <v>46232</v>
      </c>
      <c r="C585" s="26" t="s">
        <v>1766</v>
      </c>
      <c r="D585" s="52" t="s">
        <v>1764</v>
      </c>
      <c r="E585" s="26" t="s">
        <v>1034</v>
      </c>
      <c r="F585" s="26" t="s">
        <v>2269</v>
      </c>
      <c r="G585" s="26" t="s">
        <v>1703</v>
      </c>
      <c r="H585" s="38">
        <f>H567-K585</f>
        <v>73371.676844783695</v>
      </c>
      <c r="I585" s="38">
        <v>4280</v>
      </c>
      <c r="J585" s="38">
        <v>4300</v>
      </c>
      <c r="K585" s="38">
        <f>J585/0.786</f>
        <v>5470.7379134860048</v>
      </c>
      <c r="L585" s="37"/>
      <c r="M585" s="85"/>
      <c r="N585" s="26"/>
      <c r="O585" s="29">
        <v>46230</v>
      </c>
      <c r="P585" s="28">
        <f>DATE(YEAR(O585)+1,MONTH(O585),DAY(O585))-1</f>
        <v>46594</v>
      </c>
    </row>
    <row r="586" spans="2:16" ht="20.149999999999999" customHeight="1" x14ac:dyDescent="0.2">
      <c r="B586" s="34">
        <v>46232</v>
      </c>
      <c r="C586" s="35" t="s">
        <v>1762</v>
      </c>
      <c r="D586" s="35" t="s">
        <v>1759</v>
      </c>
      <c r="E586" s="35" t="s">
        <v>25</v>
      </c>
      <c r="F586" s="35">
        <v>20260720017</v>
      </c>
      <c r="G586" s="59" t="s">
        <v>836</v>
      </c>
      <c r="H586" s="43">
        <f>H582-K586</f>
        <v>93693.753180661966</v>
      </c>
      <c r="I586" s="43">
        <v>4180</v>
      </c>
      <c r="J586" s="43">
        <v>4190</v>
      </c>
      <c r="K586" s="43">
        <f>J586/0.786</f>
        <v>5330.7888040712469</v>
      </c>
      <c r="L586" s="44"/>
      <c r="M586" s="92"/>
      <c r="N586" s="35"/>
      <c r="O586" s="29">
        <v>46230</v>
      </c>
      <c r="P586" s="28">
        <f>DATE(YEAR(O586)+1,MONTH(O586),DAY(O586))-1</f>
        <v>46594</v>
      </c>
    </row>
    <row r="587" spans="2:16" ht="20.149999999999999" customHeight="1" x14ac:dyDescent="0.2">
      <c r="B587" s="34">
        <v>46232</v>
      </c>
      <c r="C587" s="35" t="s">
        <v>1765</v>
      </c>
      <c r="D587" s="35" t="s">
        <v>1763</v>
      </c>
      <c r="E587" s="35" t="s">
        <v>25</v>
      </c>
      <c r="F587" s="35" t="s">
        <v>2270</v>
      </c>
      <c r="G587" s="59" t="s">
        <v>836</v>
      </c>
      <c r="H587" s="43">
        <f>H582-K587</f>
        <v>93438.300254453308</v>
      </c>
      <c r="I587" s="43">
        <v>4430</v>
      </c>
      <c r="J587" s="43">
        <v>4390</v>
      </c>
      <c r="K587" s="43">
        <f>J587/0.786+1</f>
        <v>5586.2417302798976</v>
      </c>
      <c r="L587" s="44"/>
      <c r="M587" s="92"/>
      <c r="N587" s="35"/>
      <c r="O587" s="29">
        <v>46231</v>
      </c>
      <c r="P587" s="28">
        <f>DATE(YEAR(O587)+1,MONTH(O587),DAY(O587))-1</f>
        <v>46595</v>
      </c>
    </row>
    <row r="588" spans="2:16" ht="20.149999999999999" customHeight="1" x14ac:dyDescent="0.2">
      <c r="B588" s="62">
        <v>46232</v>
      </c>
      <c r="C588" s="61" t="s">
        <v>1756</v>
      </c>
      <c r="D588" s="61" t="s">
        <v>1754</v>
      </c>
      <c r="E588" s="61" t="s">
        <v>22</v>
      </c>
      <c r="F588" s="61">
        <v>20260728005</v>
      </c>
      <c r="G588" s="61" t="s">
        <v>1757</v>
      </c>
      <c r="H588" s="64">
        <f>H584-K588</f>
        <v>541574.96692111995</v>
      </c>
      <c r="I588" s="64">
        <v>4400</v>
      </c>
      <c r="J588" s="64">
        <v>4370</v>
      </c>
      <c r="K588" s="64">
        <f>J588/0.786</f>
        <v>5559.7964376590326</v>
      </c>
      <c r="L588" s="65"/>
      <c r="M588" s="93"/>
      <c r="N588" s="61"/>
      <c r="O588" s="29">
        <v>46230</v>
      </c>
      <c r="P588" s="28">
        <f>DATE(YEAR(O588)+1,MONTH(O588),DAY(O588))-1</f>
        <v>46594</v>
      </c>
    </row>
    <row r="589" spans="2:16" ht="20.149999999999999" customHeight="1" x14ac:dyDescent="0.2">
      <c r="B589" s="62">
        <v>46232</v>
      </c>
      <c r="C589" s="61" t="s">
        <v>1758</v>
      </c>
      <c r="D589" s="61" t="s">
        <v>1755</v>
      </c>
      <c r="E589" s="61" t="s">
        <v>22</v>
      </c>
      <c r="F589" s="61">
        <v>20260728006</v>
      </c>
      <c r="G589" s="61" t="s">
        <v>1349</v>
      </c>
      <c r="H589" s="64">
        <f>H588-K589</f>
        <v>536115.95165394433</v>
      </c>
      <c r="I589" s="64">
        <v>4250</v>
      </c>
      <c r="J589" s="64">
        <v>4290</v>
      </c>
      <c r="K589" s="64">
        <f>J589/0.786+1</f>
        <v>5459.0152671755723</v>
      </c>
      <c r="L589" s="65"/>
      <c r="M589" s="93"/>
      <c r="N589" s="61"/>
      <c r="O589" s="29">
        <v>46230</v>
      </c>
      <c r="P589" s="28">
        <f>DATE(YEAR(O589)+1,MONTH(O589),DAY(O589))-1</f>
        <v>46594</v>
      </c>
    </row>
    <row r="590" spans="2:16" ht="20.149999999999999" customHeight="1" x14ac:dyDescent="0.2">
      <c r="B590" s="34">
        <v>46233</v>
      </c>
      <c r="C590" s="35" t="s">
        <v>1773</v>
      </c>
      <c r="D590" s="35" t="s">
        <v>1769</v>
      </c>
      <c r="E590" s="35" t="s">
        <v>25</v>
      </c>
      <c r="F590" s="35" t="s">
        <v>2271</v>
      </c>
      <c r="G590" s="59" t="s">
        <v>1771</v>
      </c>
      <c r="H590" s="43">
        <f>H587-K590</f>
        <v>87992.007633588175</v>
      </c>
      <c r="I590" s="43">
        <v>4270</v>
      </c>
      <c r="J590" s="43">
        <v>4280</v>
      </c>
      <c r="K590" s="43">
        <f>J590/0.786+1</f>
        <v>5446.2926208651397</v>
      </c>
      <c r="L590" s="44"/>
      <c r="M590" s="92"/>
      <c r="N590" s="35"/>
      <c r="O590" s="29">
        <v>46231</v>
      </c>
      <c r="P590" s="28">
        <f t="shared" si="66"/>
        <v>46595</v>
      </c>
    </row>
    <row r="591" spans="2:16" ht="20.149999999999999" customHeight="1" x14ac:dyDescent="0.2">
      <c r="B591" s="34">
        <v>46233</v>
      </c>
      <c r="C591" s="35" t="s">
        <v>1777</v>
      </c>
      <c r="D591" s="35" t="s">
        <v>1776</v>
      </c>
      <c r="E591" s="35" t="s">
        <v>25</v>
      </c>
      <c r="F591" s="35" t="s">
        <v>2272</v>
      </c>
      <c r="G591" s="59" t="s">
        <v>836</v>
      </c>
      <c r="H591" s="43">
        <f>H590-K591</f>
        <v>82419.488549618705</v>
      </c>
      <c r="I591" s="43">
        <v>4450</v>
      </c>
      <c r="J591" s="43">
        <v>4380</v>
      </c>
      <c r="K591" s="43">
        <f t="shared" ref="K591:K637" si="70">J591/0.786</f>
        <v>5572.5190839694651</v>
      </c>
      <c r="L591" s="44"/>
      <c r="M591" s="92"/>
      <c r="N591" s="35"/>
      <c r="O591" s="29">
        <v>46232</v>
      </c>
      <c r="P591" s="28">
        <f t="shared" si="66"/>
        <v>46596</v>
      </c>
    </row>
    <row r="592" spans="2:16" ht="20.149999999999999" customHeight="1" x14ac:dyDescent="0.2">
      <c r="B592" s="62">
        <v>46233</v>
      </c>
      <c r="C592" s="61" t="s">
        <v>1774</v>
      </c>
      <c r="D592" s="61" t="s">
        <v>1767</v>
      </c>
      <c r="E592" s="61" t="s">
        <v>22</v>
      </c>
      <c r="F592" s="61">
        <v>20260728007</v>
      </c>
      <c r="G592" s="61" t="s">
        <v>1349</v>
      </c>
      <c r="H592" s="64">
        <f>H589-K592</f>
        <v>530669.65903307917</v>
      </c>
      <c r="I592" s="64">
        <v>4270</v>
      </c>
      <c r="J592" s="64">
        <v>4280</v>
      </c>
      <c r="K592" s="64">
        <f>J592/0.786+1</f>
        <v>5446.2926208651397</v>
      </c>
      <c r="L592" s="65"/>
      <c r="M592" s="93"/>
      <c r="N592" s="61"/>
      <c r="O592" s="29">
        <v>46231</v>
      </c>
      <c r="P592" s="28">
        <f>DATE(YEAR(O592)+1,MONTH(O592),DAY(O592))-1</f>
        <v>46595</v>
      </c>
    </row>
    <row r="593" spans="2:16" ht="20.149999999999999" customHeight="1" x14ac:dyDescent="0.2">
      <c r="B593" s="62">
        <v>46233</v>
      </c>
      <c r="C593" s="61" t="s">
        <v>1775</v>
      </c>
      <c r="D593" s="61" t="s">
        <v>1768</v>
      </c>
      <c r="E593" s="61" t="s">
        <v>22</v>
      </c>
      <c r="F593" s="61">
        <v>20260728008</v>
      </c>
      <c r="G593" s="61" t="s">
        <v>1349</v>
      </c>
      <c r="H593" s="64">
        <f>H592-K593</f>
        <v>525109.8625954201</v>
      </c>
      <c r="I593" s="64">
        <v>4390</v>
      </c>
      <c r="J593" s="64">
        <v>4370</v>
      </c>
      <c r="K593" s="64">
        <f>J593/0.786</f>
        <v>5559.7964376590326</v>
      </c>
      <c r="L593" s="65"/>
      <c r="M593" s="93"/>
      <c r="N593" s="61"/>
      <c r="O593" s="29">
        <v>46231</v>
      </c>
      <c r="P593" s="28">
        <f>DATE(YEAR(O593)+1,MONTH(O593),DAY(O593))-1</f>
        <v>46595</v>
      </c>
    </row>
    <row r="594" spans="2:16" ht="20.149999999999999" customHeight="1" x14ac:dyDescent="0.2">
      <c r="B594" s="34">
        <v>46234</v>
      </c>
      <c r="C594" s="35" t="s">
        <v>1781</v>
      </c>
      <c r="D594" s="35" t="s">
        <v>1780</v>
      </c>
      <c r="E594" s="35" t="s">
        <v>25</v>
      </c>
      <c r="F594" s="35" t="s">
        <v>2273</v>
      </c>
      <c r="G594" s="59" t="s">
        <v>836</v>
      </c>
      <c r="H594" s="43">
        <f>H591-K594</f>
        <v>77037.809160305726</v>
      </c>
      <c r="I594" s="43">
        <v>4210</v>
      </c>
      <c r="J594" s="43">
        <v>4230</v>
      </c>
      <c r="K594" s="43">
        <f t="shared" si="70"/>
        <v>5381.679389312977</v>
      </c>
      <c r="L594" s="44"/>
      <c r="M594" s="92"/>
      <c r="N594" s="35"/>
      <c r="O594" s="29">
        <v>46232</v>
      </c>
      <c r="P594" s="28">
        <f t="shared" si="66"/>
        <v>46596</v>
      </c>
    </row>
    <row r="595" spans="2:16" ht="20.149999999999999" customHeight="1" x14ac:dyDescent="0.2">
      <c r="B595" s="62">
        <v>46234</v>
      </c>
      <c r="C595" s="61" t="s">
        <v>1783</v>
      </c>
      <c r="D595" s="61" t="s">
        <v>1778</v>
      </c>
      <c r="E595" s="61" t="s">
        <v>22</v>
      </c>
      <c r="F595" s="61">
        <v>20260728009</v>
      </c>
      <c r="G595" s="61" t="s">
        <v>1349</v>
      </c>
      <c r="H595" s="64">
        <f>H593-K595</f>
        <v>519550.06615776109</v>
      </c>
      <c r="I595" s="64">
        <v>4330</v>
      </c>
      <c r="J595" s="64">
        <v>4370</v>
      </c>
      <c r="K595" s="64">
        <f t="shared" si="70"/>
        <v>5559.7964376590326</v>
      </c>
      <c r="L595" s="65"/>
      <c r="M595" s="93"/>
      <c r="N595" s="61"/>
      <c r="O595" s="29">
        <v>46232</v>
      </c>
      <c r="P595" s="28">
        <f t="shared" si="66"/>
        <v>46596</v>
      </c>
    </row>
    <row r="596" spans="2:16" ht="20.149999999999999" customHeight="1" x14ac:dyDescent="0.2">
      <c r="B596" s="62">
        <v>46234</v>
      </c>
      <c r="C596" s="61" t="s">
        <v>1782</v>
      </c>
      <c r="D596" s="61" t="s">
        <v>1779</v>
      </c>
      <c r="E596" s="61" t="s">
        <v>22</v>
      </c>
      <c r="F596" s="61">
        <v>20260728010</v>
      </c>
      <c r="G596" s="61" t="s">
        <v>1349</v>
      </c>
      <c r="H596" s="64">
        <f>H595-K596</f>
        <v>514052.8829516542</v>
      </c>
      <c r="I596" s="64">
        <v>4380</v>
      </c>
      <c r="J596" s="64">
        <v>4320</v>
      </c>
      <c r="K596" s="64">
        <f>J596/0.786+1</f>
        <v>5497.1832061068699</v>
      </c>
      <c r="L596" s="65"/>
      <c r="M596" s="93"/>
      <c r="N596" s="61"/>
      <c r="O596" s="29">
        <v>46232</v>
      </c>
      <c r="P596" s="28">
        <f t="shared" si="66"/>
        <v>46596</v>
      </c>
    </row>
    <row r="597" spans="2:16" ht="20.149999999999999" customHeight="1" x14ac:dyDescent="0.2">
      <c r="B597" s="34">
        <v>46235</v>
      </c>
      <c r="C597" s="35" t="s">
        <v>1791</v>
      </c>
      <c r="D597" s="35" t="s">
        <v>1787</v>
      </c>
      <c r="E597" s="35" t="s">
        <v>25</v>
      </c>
      <c r="F597" s="35">
        <v>20260730001</v>
      </c>
      <c r="G597" s="59" t="s">
        <v>836</v>
      </c>
      <c r="H597" s="43">
        <f>H594-K597</f>
        <v>71656.129770992746</v>
      </c>
      <c r="I597" s="43">
        <v>4260</v>
      </c>
      <c r="J597" s="43">
        <v>4230</v>
      </c>
      <c r="K597" s="43">
        <f t="shared" si="70"/>
        <v>5381.679389312977</v>
      </c>
      <c r="L597" s="44"/>
      <c r="M597" s="92"/>
      <c r="N597" s="35"/>
      <c r="O597" s="29">
        <v>46232</v>
      </c>
      <c r="P597" s="28">
        <f t="shared" si="66"/>
        <v>46596</v>
      </c>
    </row>
    <row r="598" spans="2:16" ht="20.149999999999999" customHeight="1" x14ac:dyDescent="0.2">
      <c r="B598" s="34">
        <v>46235</v>
      </c>
      <c r="C598" s="35" t="s">
        <v>1792</v>
      </c>
      <c r="D598" s="35" t="s">
        <v>1788</v>
      </c>
      <c r="E598" s="35" t="s">
        <v>25</v>
      </c>
      <c r="F598" s="35">
        <v>20260730002</v>
      </c>
      <c r="G598" s="59" t="s">
        <v>836</v>
      </c>
      <c r="H598" s="43">
        <f>H597-K598</f>
        <v>66045.442748091984</v>
      </c>
      <c r="I598" s="43">
        <v>4380</v>
      </c>
      <c r="J598" s="43">
        <v>4410</v>
      </c>
      <c r="K598" s="43">
        <f t="shared" si="70"/>
        <v>5610.6870229007627</v>
      </c>
      <c r="L598" s="44"/>
      <c r="M598" s="92"/>
      <c r="N598" s="35"/>
      <c r="O598" s="29">
        <v>46233</v>
      </c>
      <c r="P598" s="28">
        <f t="shared" si="66"/>
        <v>46597</v>
      </c>
    </row>
    <row r="599" spans="2:16" ht="20.149999999999999" customHeight="1" x14ac:dyDescent="0.2">
      <c r="B599" s="62">
        <v>46235</v>
      </c>
      <c r="C599" s="61" t="s">
        <v>1790</v>
      </c>
      <c r="D599" s="61" t="s">
        <v>1784</v>
      </c>
      <c r="E599" s="61" t="s">
        <v>22</v>
      </c>
      <c r="F599" s="61">
        <v>20260730008</v>
      </c>
      <c r="G599" s="61" t="s">
        <v>1349</v>
      </c>
      <c r="H599" s="64">
        <f>H596-K599</f>
        <v>508733.81679389341</v>
      </c>
      <c r="I599" s="64">
        <v>4150</v>
      </c>
      <c r="J599" s="64">
        <v>4180</v>
      </c>
      <c r="K599" s="64">
        <f>J599/0.786+1</f>
        <v>5319.0661577608143</v>
      </c>
      <c r="L599" s="65"/>
      <c r="M599" s="93"/>
      <c r="N599" s="61"/>
      <c r="O599" s="29">
        <v>46233</v>
      </c>
      <c r="P599" s="28">
        <f>DATE(YEAR(O599)+1,MONTH(O599),DAY(O599))-1</f>
        <v>46597</v>
      </c>
    </row>
    <row r="600" spans="2:16" ht="20.149999999999999" customHeight="1" x14ac:dyDescent="0.2">
      <c r="B600" s="62">
        <v>46235</v>
      </c>
      <c r="C600" s="61" t="s">
        <v>1786</v>
      </c>
      <c r="D600" s="61" t="s">
        <v>1785</v>
      </c>
      <c r="E600" s="61" t="s">
        <v>22</v>
      </c>
      <c r="F600" s="61">
        <v>20260730009</v>
      </c>
      <c r="G600" s="61" t="s">
        <v>1349</v>
      </c>
      <c r="H600" s="64">
        <f>H599-K600</f>
        <v>503161.29770992394</v>
      </c>
      <c r="I600" s="64">
        <v>4400</v>
      </c>
      <c r="J600" s="64">
        <v>4380</v>
      </c>
      <c r="K600" s="64">
        <f>J600/0.786</f>
        <v>5572.5190839694651</v>
      </c>
      <c r="L600" s="65"/>
      <c r="M600" s="93"/>
      <c r="N600" s="61"/>
      <c r="O600" s="29">
        <v>46233</v>
      </c>
      <c r="P600" s="28">
        <f>DATE(YEAR(O600)+1,MONTH(O600),DAY(O600))-1</f>
        <v>46597</v>
      </c>
    </row>
    <row r="601" spans="2:16" ht="20.149999999999999" customHeight="1" x14ac:dyDescent="0.2">
      <c r="B601" s="34">
        <v>46236</v>
      </c>
      <c r="C601" s="35" t="s">
        <v>1800</v>
      </c>
      <c r="D601" s="35" t="s">
        <v>1794</v>
      </c>
      <c r="E601" s="35" t="s">
        <v>25</v>
      </c>
      <c r="F601" s="35" t="s">
        <v>2274</v>
      </c>
      <c r="G601" s="59" t="s">
        <v>874</v>
      </c>
      <c r="H601" s="43">
        <f>H598-K601</f>
        <v>60536.536895674682</v>
      </c>
      <c r="I601" s="43">
        <v>4320</v>
      </c>
      <c r="J601" s="43">
        <v>4330</v>
      </c>
      <c r="K601" s="43">
        <f t="shared" si="70"/>
        <v>5508.9058524173024</v>
      </c>
      <c r="L601" s="44"/>
      <c r="M601" s="92"/>
      <c r="N601" s="35"/>
      <c r="O601" s="29">
        <v>46233</v>
      </c>
      <c r="P601" s="28">
        <f t="shared" si="66"/>
        <v>46597</v>
      </c>
    </row>
    <row r="602" spans="2:16" ht="20.149999999999999" customHeight="1" x14ac:dyDescent="0.2">
      <c r="B602" s="62">
        <v>46236</v>
      </c>
      <c r="C602" s="61" t="s">
        <v>1797</v>
      </c>
      <c r="D602" s="61" t="s">
        <v>1795</v>
      </c>
      <c r="E602" s="61" t="s">
        <v>22</v>
      </c>
      <c r="F602" s="61">
        <v>20260730010</v>
      </c>
      <c r="G602" s="61" t="s">
        <v>1798</v>
      </c>
      <c r="H602" s="64">
        <f>H600-K602</f>
        <v>497625.94656488579</v>
      </c>
      <c r="I602" s="64">
        <v>4300</v>
      </c>
      <c r="J602" s="64">
        <v>4350</v>
      </c>
      <c r="K602" s="64">
        <f>J602/0.786+1</f>
        <v>5535.3511450381675</v>
      </c>
      <c r="L602" s="65"/>
      <c r="M602" s="93"/>
      <c r="N602" s="61"/>
      <c r="O602" s="29">
        <v>46234</v>
      </c>
      <c r="P602" s="28">
        <f>DATE(YEAR(O602)+1,MONTH(O602),DAY(O602))-1</f>
        <v>46598</v>
      </c>
    </row>
    <row r="603" spans="2:16" ht="20.149999999999999" customHeight="1" x14ac:dyDescent="0.2">
      <c r="B603" s="62">
        <v>46236</v>
      </c>
      <c r="C603" s="61" t="s">
        <v>1801</v>
      </c>
      <c r="D603" s="61" t="s">
        <v>1796</v>
      </c>
      <c r="E603" s="61" t="s">
        <v>22</v>
      </c>
      <c r="F603" s="61">
        <v>20260730011</v>
      </c>
      <c r="G603" s="61" t="s">
        <v>1799</v>
      </c>
      <c r="H603" s="64">
        <f>H602-K603</f>
        <v>492206.09923664149</v>
      </c>
      <c r="I603" s="64">
        <v>4220</v>
      </c>
      <c r="J603" s="64">
        <v>4260</v>
      </c>
      <c r="K603" s="64">
        <f>J603/0.786</f>
        <v>5419.8473282442746</v>
      </c>
      <c r="L603" s="65"/>
      <c r="M603" s="93"/>
      <c r="N603" s="61"/>
      <c r="O603" s="29">
        <v>46234</v>
      </c>
      <c r="P603" s="28">
        <f>DATE(YEAR(O603)+1,MONTH(O603),DAY(O603))-1</f>
        <v>46598</v>
      </c>
    </row>
    <row r="604" spans="2:16" ht="20.149999999999999" customHeight="1" x14ac:dyDescent="0.2">
      <c r="B604" s="25">
        <v>46237</v>
      </c>
      <c r="C604" s="26" t="s">
        <v>1822</v>
      </c>
      <c r="D604" s="26" t="s">
        <v>1814</v>
      </c>
      <c r="E604" s="26" t="s">
        <v>1034</v>
      </c>
      <c r="F604" s="26">
        <v>20260720006</v>
      </c>
      <c r="G604" s="26" t="s">
        <v>1198</v>
      </c>
      <c r="H604" s="38">
        <f>H585-K604</f>
        <v>68561.516539440185</v>
      </c>
      <c r="I604" s="38">
        <v>4220</v>
      </c>
      <c r="J604" s="38">
        <v>3780</v>
      </c>
      <c r="K604" s="38">
        <f>J604/0.786+1</f>
        <v>4810.160305343511</v>
      </c>
      <c r="L604" s="37"/>
      <c r="M604" s="85"/>
      <c r="N604" s="26"/>
      <c r="O604" s="29">
        <v>46236</v>
      </c>
      <c r="P604" s="28">
        <f>DATE(YEAR(O604)+1,MONTH(O604),DAY(O604))-1</f>
        <v>46600</v>
      </c>
    </row>
    <row r="605" spans="2:16" ht="20.149999999999999" customHeight="1" x14ac:dyDescent="0.2">
      <c r="B605" s="34">
        <v>46237</v>
      </c>
      <c r="C605" s="35" t="s">
        <v>1812</v>
      </c>
      <c r="D605" s="35" t="s">
        <v>1805</v>
      </c>
      <c r="E605" s="35" t="s">
        <v>25</v>
      </c>
      <c r="F605" s="35" t="s">
        <v>2275</v>
      </c>
      <c r="G605" s="59" t="s">
        <v>836</v>
      </c>
      <c r="H605" s="43">
        <f>H601-K605</f>
        <v>55001.185750636512</v>
      </c>
      <c r="I605" s="43">
        <v>4340</v>
      </c>
      <c r="J605" s="43">
        <v>4350</v>
      </c>
      <c r="K605" s="43">
        <f>J605/0.786+1</f>
        <v>5535.3511450381675</v>
      </c>
      <c r="L605" s="44"/>
      <c r="M605" s="92"/>
      <c r="N605" s="35"/>
      <c r="O605" s="29">
        <v>46235</v>
      </c>
      <c r="P605" s="28">
        <f>DATE(YEAR(O605)+1,MONTH(O605),DAY(O605))-1</f>
        <v>46599</v>
      </c>
    </row>
    <row r="606" spans="2:16" ht="20.149999999999999" customHeight="1" x14ac:dyDescent="0.2">
      <c r="B606" s="34">
        <v>46237</v>
      </c>
      <c r="C606" s="35" t="s">
        <v>1806</v>
      </c>
      <c r="D606" s="35" t="s">
        <v>1807</v>
      </c>
      <c r="E606" s="35" t="s">
        <v>25</v>
      </c>
      <c r="F606" s="35" t="s">
        <v>2276</v>
      </c>
      <c r="G606" s="59" t="s">
        <v>1823</v>
      </c>
      <c r="H606" s="43">
        <f>H605-K606</f>
        <v>49504.002544529641</v>
      </c>
      <c r="I606" s="43">
        <v>4360</v>
      </c>
      <c r="J606" s="43">
        <v>4320</v>
      </c>
      <c r="K606" s="43">
        <f>J606/0.786+1</f>
        <v>5497.1832061068699</v>
      </c>
      <c r="L606" s="44"/>
      <c r="M606" s="92"/>
      <c r="N606" s="35"/>
      <c r="O606" s="29">
        <v>46235</v>
      </c>
      <c r="P606" s="28">
        <f t="shared" si="66"/>
        <v>46599</v>
      </c>
    </row>
    <row r="607" spans="2:16" ht="20.149999999999999" customHeight="1" x14ac:dyDescent="0.2">
      <c r="B607" s="62">
        <v>46237</v>
      </c>
      <c r="C607" s="61" t="s">
        <v>1808</v>
      </c>
      <c r="D607" s="61" t="s">
        <v>1802</v>
      </c>
      <c r="E607" s="61" t="s">
        <v>22</v>
      </c>
      <c r="F607" s="61">
        <v>20260730012</v>
      </c>
      <c r="G607" s="61" t="s">
        <v>1349</v>
      </c>
      <c r="H607" s="64">
        <f>H603-K607</f>
        <v>486773.52926208678</v>
      </c>
      <c r="I607" s="64">
        <v>4240</v>
      </c>
      <c r="J607" s="64">
        <v>4270</v>
      </c>
      <c r="K607" s="64">
        <f>J607/0.786</f>
        <v>5432.5699745547072</v>
      </c>
      <c r="L607" s="65"/>
      <c r="M607" s="93"/>
      <c r="N607" s="61"/>
      <c r="O607" s="29">
        <v>46234</v>
      </c>
      <c r="P607" s="28">
        <f>DATE(YEAR(O607)+1,MONTH(O607),DAY(O607))-1</f>
        <v>46598</v>
      </c>
    </row>
    <row r="608" spans="2:16" ht="20.149999999999999" customHeight="1" x14ac:dyDescent="0.2">
      <c r="B608" s="62">
        <v>46237</v>
      </c>
      <c r="C608" s="61" t="s">
        <v>1813</v>
      </c>
      <c r="D608" s="61" t="s">
        <v>1804</v>
      </c>
      <c r="E608" s="61" t="s">
        <v>22</v>
      </c>
      <c r="F608" s="61">
        <v>20260730013</v>
      </c>
      <c r="G608" s="61" t="s">
        <v>1809</v>
      </c>
      <c r="H608" s="64">
        <f>H607-K608</f>
        <v>481430.01781170513</v>
      </c>
      <c r="I608" s="64">
        <v>4230</v>
      </c>
      <c r="J608" s="64">
        <v>4200</v>
      </c>
      <c r="K608" s="64">
        <f>J608/0.786</f>
        <v>5343.5114503816794</v>
      </c>
      <c r="L608" s="65"/>
      <c r="M608" s="93"/>
      <c r="N608" s="61"/>
      <c r="O608" s="29">
        <v>46234</v>
      </c>
      <c r="P608" s="28">
        <f>DATE(YEAR(O608)+1,MONTH(O608),DAY(O608))-1</f>
        <v>46598</v>
      </c>
    </row>
    <row r="609" spans="2:16" ht="20.149999999999999" customHeight="1" x14ac:dyDescent="0.2">
      <c r="B609" s="34">
        <v>46238</v>
      </c>
      <c r="C609" s="35" t="s">
        <v>1824</v>
      </c>
      <c r="D609" s="35" t="s">
        <v>1815</v>
      </c>
      <c r="E609" s="35" t="s">
        <v>25</v>
      </c>
      <c r="F609" s="35" t="s">
        <v>2277</v>
      </c>
      <c r="G609" s="59" t="s">
        <v>836</v>
      </c>
      <c r="H609" s="43">
        <f>H606-K609</f>
        <v>43968.651399491471</v>
      </c>
      <c r="I609" s="43">
        <v>4370</v>
      </c>
      <c r="J609" s="43">
        <v>4350</v>
      </c>
      <c r="K609" s="43">
        <f>J609/0.786+1</f>
        <v>5535.3511450381675</v>
      </c>
      <c r="L609" s="44"/>
      <c r="M609" s="92"/>
      <c r="N609" s="35"/>
      <c r="O609" s="29">
        <v>46236</v>
      </c>
      <c r="P609" s="28">
        <f t="shared" si="66"/>
        <v>46600</v>
      </c>
    </row>
    <row r="610" spans="2:16" ht="20.149999999999999" customHeight="1" x14ac:dyDescent="0.2">
      <c r="B610" s="30">
        <v>46238</v>
      </c>
      <c r="C610" s="31" t="s">
        <v>1826</v>
      </c>
      <c r="D610" s="31" t="s">
        <v>1816</v>
      </c>
      <c r="E610" s="31" t="s">
        <v>25</v>
      </c>
      <c r="F610" s="31" t="s">
        <v>2278</v>
      </c>
      <c r="G610" s="83" t="s">
        <v>1829</v>
      </c>
      <c r="H610" s="41">
        <f>600000-K610</f>
        <v>594464.64885496185</v>
      </c>
      <c r="I610" s="41">
        <v>4280</v>
      </c>
      <c r="J610" s="41">
        <v>4350</v>
      </c>
      <c r="K610" s="41">
        <f>J610/0.786+1</f>
        <v>5535.3511450381675</v>
      </c>
      <c r="L610" s="42"/>
      <c r="M610" s="89"/>
      <c r="N610" s="31"/>
      <c r="O610" s="29">
        <v>46237</v>
      </c>
      <c r="P610" s="28">
        <f t="shared" si="66"/>
        <v>46601</v>
      </c>
    </row>
    <row r="611" spans="2:16" ht="20.149999999999999" customHeight="1" x14ac:dyDescent="0.2">
      <c r="B611" s="62">
        <v>46238</v>
      </c>
      <c r="C611" s="61" t="s">
        <v>1827</v>
      </c>
      <c r="D611" s="61" t="s">
        <v>1817</v>
      </c>
      <c r="E611" s="61" t="s">
        <v>22</v>
      </c>
      <c r="F611" s="61">
        <v>20260730014</v>
      </c>
      <c r="G611" s="61" t="s">
        <v>1349</v>
      </c>
      <c r="H611" s="64">
        <f>H608-K611</f>
        <v>475881.94402035652</v>
      </c>
      <c r="I611" s="64">
        <v>4420</v>
      </c>
      <c r="J611" s="64">
        <v>4360</v>
      </c>
      <c r="K611" s="64">
        <f>J611/0.786+1</f>
        <v>5548.0737913486</v>
      </c>
      <c r="L611" s="65"/>
      <c r="M611" s="93"/>
      <c r="N611" s="61"/>
      <c r="O611" s="29">
        <v>46236</v>
      </c>
      <c r="P611" s="28">
        <f t="shared" si="66"/>
        <v>46600</v>
      </c>
    </row>
    <row r="612" spans="2:16" ht="20.149999999999999" customHeight="1" x14ac:dyDescent="0.2">
      <c r="B612" s="62">
        <v>46238</v>
      </c>
      <c r="C612" s="61" t="s">
        <v>1820</v>
      </c>
      <c r="D612" s="61" t="s">
        <v>1818</v>
      </c>
      <c r="E612" s="61" t="s">
        <v>22</v>
      </c>
      <c r="F612" s="61">
        <v>20260730015</v>
      </c>
      <c r="G612" s="61" t="s">
        <v>1349</v>
      </c>
      <c r="H612" s="64">
        <f>H611-K612</f>
        <v>470538.43256997486</v>
      </c>
      <c r="I612" s="64">
        <v>4320</v>
      </c>
      <c r="J612" s="64">
        <v>4200</v>
      </c>
      <c r="K612" s="64">
        <f t="shared" si="70"/>
        <v>5343.5114503816794</v>
      </c>
      <c r="L612" s="65"/>
      <c r="M612" s="93"/>
      <c r="N612" s="61"/>
      <c r="O612" s="29">
        <v>46236</v>
      </c>
      <c r="P612" s="28">
        <f t="shared" si="66"/>
        <v>46600</v>
      </c>
    </row>
    <row r="613" spans="2:16" ht="20.149999999999999" customHeight="1" x14ac:dyDescent="0.2">
      <c r="B613" s="30">
        <v>46239</v>
      </c>
      <c r="C613" s="31" t="s">
        <v>1832</v>
      </c>
      <c r="D613" s="31" t="s">
        <v>86</v>
      </c>
      <c r="E613" s="31" t="s">
        <v>675</v>
      </c>
      <c r="F613" s="31">
        <v>20260804002</v>
      </c>
      <c r="G613" s="83" t="s">
        <v>1833</v>
      </c>
      <c r="H613" s="41">
        <f>H610-K613</f>
        <v>589298.25445292622</v>
      </c>
      <c r="I613" s="41">
        <v>4010</v>
      </c>
      <c r="J613" s="41">
        <v>4060</v>
      </c>
      <c r="K613" s="41">
        <f>J613/0.786+1</f>
        <v>5166.394402035623</v>
      </c>
      <c r="L613" s="42"/>
      <c r="M613" s="89"/>
      <c r="N613" s="31"/>
      <c r="O613" s="29">
        <v>46237</v>
      </c>
      <c r="P613" s="28">
        <f t="shared" si="66"/>
        <v>46601</v>
      </c>
    </row>
    <row r="614" spans="2:16" ht="20.149999999999999" customHeight="1" x14ac:dyDescent="0.2">
      <c r="B614" s="34">
        <v>46239</v>
      </c>
      <c r="C614" s="35" t="s">
        <v>1834</v>
      </c>
      <c r="D614" s="35" t="s">
        <v>100</v>
      </c>
      <c r="E614" s="35" t="s">
        <v>1831</v>
      </c>
      <c r="F614" s="35">
        <v>20260804013</v>
      </c>
      <c r="G614" s="35" t="s">
        <v>1830</v>
      </c>
      <c r="H614" s="43">
        <f>600000-K614</f>
        <v>594451.92620865139</v>
      </c>
      <c r="I614" s="43">
        <v>4340</v>
      </c>
      <c r="J614" s="43">
        <v>4360</v>
      </c>
      <c r="K614" s="43">
        <f>J614/0.786+1</f>
        <v>5548.0737913486</v>
      </c>
      <c r="L614" s="44"/>
      <c r="M614" s="92"/>
      <c r="N614" s="35"/>
      <c r="O614" s="29">
        <v>46237</v>
      </c>
      <c r="P614" s="28">
        <f t="shared" si="66"/>
        <v>46601</v>
      </c>
    </row>
    <row r="615" spans="2:16" ht="20.149999999999999" customHeight="1" x14ac:dyDescent="0.2">
      <c r="B615" s="34">
        <v>46239</v>
      </c>
      <c r="C615" s="35" t="s">
        <v>1835</v>
      </c>
      <c r="D615" s="35" t="s">
        <v>35</v>
      </c>
      <c r="E615" s="35" t="s">
        <v>1831</v>
      </c>
      <c r="F615" s="35">
        <v>20260804014</v>
      </c>
      <c r="G615" s="35" t="s">
        <v>1830</v>
      </c>
      <c r="H615" s="43">
        <f>H614-K615</f>
        <v>588916.57506361324</v>
      </c>
      <c r="I615" s="43">
        <v>4340</v>
      </c>
      <c r="J615" s="43">
        <v>4350</v>
      </c>
      <c r="K615" s="43">
        <f>J615/0.786+1</f>
        <v>5535.3511450381675</v>
      </c>
      <c r="L615" s="44"/>
      <c r="M615" s="92"/>
      <c r="N615" s="35"/>
      <c r="O615" s="29">
        <v>46237</v>
      </c>
      <c r="P615" s="28">
        <f t="shared" si="66"/>
        <v>46601</v>
      </c>
    </row>
    <row r="616" spans="2:16" ht="20.149999999999999" customHeight="1" x14ac:dyDescent="0.2">
      <c r="B616" s="30">
        <v>46240</v>
      </c>
      <c r="C616" s="31" t="s">
        <v>1841</v>
      </c>
      <c r="D616" s="31" t="s">
        <v>1836</v>
      </c>
      <c r="E616" s="31" t="s">
        <v>675</v>
      </c>
      <c r="F616" s="31" t="s">
        <v>2279</v>
      </c>
      <c r="G616" s="83" t="s">
        <v>1829</v>
      </c>
      <c r="H616" s="41">
        <f>H613-K616</f>
        <v>583813.7938931298</v>
      </c>
      <c r="I616" s="41">
        <v>4290</v>
      </c>
      <c r="J616" s="41">
        <v>4310</v>
      </c>
      <c r="K616" s="41">
        <f>J616/0.786+1</f>
        <v>5484.4605597964373</v>
      </c>
      <c r="L616" s="42"/>
      <c r="M616" s="89"/>
      <c r="N616" s="31"/>
      <c r="O616" s="29">
        <v>46238</v>
      </c>
      <c r="P616" s="28">
        <f t="shared" si="66"/>
        <v>46602</v>
      </c>
    </row>
    <row r="617" spans="2:16" ht="20.149999999999999" customHeight="1" x14ac:dyDescent="0.2">
      <c r="B617" s="30">
        <v>46240</v>
      </c>
      <c r="C617" s="31" t="s">
        <v>1845</v>
      </c>
      <c r="D617" s="31" t="s">
        <v>1837</v>
      </c>
      <c r="E617" s="31" t="s">
        <v>675</v>
      </c>
      <c r="F617" s="31" t="s">
        <v>2280</v>
      </c>
      <c r="G617" s="83" t="s">
        <v>1829</v>
      </c>
      <c r="H617" s="41">
        <f>H616-K617</f>
        <v>578432.11450381682</v>
      </c>
      <c r="I617" s="41">
        <v>4330</v>
      </c>
      <c r="J617" s="41">
        <v>4230</v>
      </c>
      <c r="K617" s="41">
        <f t="shared" si="70"/>
        <v>5381.679389312977</v>
      </c>
      <c r="L617" s="42"/>
      <c r="M617" s="89"/>
      <c r="N617" s="31"/>
      <c r="O617" s="29">
        <v>46238</v>
      </c>
      <c r="P617" s="28">
        <f t="shared" si="66"/>
        <v>46602</v>
      </c>
    </row>
    <row r="618" spans="2:16" ht="20.149999999999999" customHeight="1" x14ac:dyDescent="0.2">
      <c r="B618" s="34">
        <v>46240</v>
      </c>
      <c r="C618" s="35" t="s">
        <v>1846</v>
      </c>
      <c r="D618" s="35" t="s">
        <v>1838</v>
      </c>
      <c r="E618" s="35" t="s">
        <v>1831</v>
      </c>
      <c r="F618" s="35">
        <v>20260804015</v>
      </c>
      <c r="G618" s="35" t="s">
        <v>1843</v>
      </c>
      <c r="H618" s="43">
        <f>H615-K618</f>
        <v>583356.77862595418</v>
      </c>
      <c r="I618" s="43">
        <v>4370</v>
      </c>
      <c r="J618" s="43">
        <v>4370</v>
      </c>
      <c r="K618" s="43">
        <f t="shared" si="70"/>
        <v>5559.7964376590326</v>
      </c>
      <c r="L618" s="44"/>
      <c r="M618" s="92"/>
      <c r="N618" s="35"/>
      <c r="O618" s="29">
        <v>46238</v>
      </c>
      <c r="P618" s="28">
        <f t="shared" si="66"/>
        <v>46602</v>
      </c>
    </row>
    <row r="619" spans="2:16" ht="20.149999999999999" customHeight="1" x14ac:dyDescent="0.2">
      <c r="B619" s="34">
        <v>46240</v>
      </c>
      <c r="C619" s="35" t="s">
        <v>1847</v>
      </c>
      <c r="D619" s="35" t="s">
        <v>1839</v>
      </c>
      <c r="E619" s="35" t="s">
        <v>1831</v>
      </c>
      <c r="F619" s="35">
        <v>20260804016</v>
      </c>
      <c r="G619" s="35" t="s">
        <v>1844</v>
      </c>
      <c r="H619" s="43">
        <f>H618-K619</f>
        <v>577910.48600508901</v>
      </c>
      <c r="I619" s="43">
        <v>4270</v>
      </c>
      <c r="J619" s="43">
        <v>4280</v>
      </c>
      <c r="K619" s="43">
        <f>J619/0.786+1</f>
        <v>5446.2926208651397</v>
      </c>
      <c r="L619" s="44"/>
      <c r="M619" s="92"/>
      <c r="N619" s="35"/>
      <c r="O619" s="29">
        <v>46238</v>
      </c>
      <c r="P619" s="28">
        <f t="shared" si="66"/>
        <v>46602</v>
      </c>
    </row>
    <row r="620" spans="2:16" ht="20.149999999999999" customHeight="1" x14ac:dyDescent="0.2">
      <c r="B620" s="30">
        <v>46241</v>
      </c>
      <c r="C620" s="31" t="s">
        <v>1851</v>
      </c>
      <c r="D620" s="31" t="s">
        <v>1848</v>
      </c>
      <c r="E620" s="31" t="s">
        <v>675</v>
      </c>
      <c r="F620" s="31" t="s">
        <v>2281</v>
      </c>
      <c r="G620" s="83" t="s">
        <v>1854</v>
      </c>
      <c r="H620" s="41">
        <f>H617-K620</f>
        <v>572999.54452926212</v>
      </c>
      <c r="I620" s="41">
        <v>4270</v>
      </c>
      <c r="J620" s="41">
        <v>4270</v>
      </c>
      <c r="K620" s="41">
        <f t="shared" si="70"/>
        <v>5432.5699745547072</v>
      </c>
      <c r="L620" s="42"/>
      <c r="M620" s="89"/>
      <c r="N620" s="31"/>
      <c r="O620" s="29">
        <v>46239</v>
      </c>
      <c r="P620" s="28">
        <f t="shared" si="66"/>
        <v>46603</v>
      </c>
    </row>
    <row r="621" spans="2:16" ht="20.149999999999999" customHeight="1" x14ac:dyDescent="0.2">
      <c r="B621" s="34">
        <v>46241</v>
      </c>
      <c r="C621" s="35" t="s">
        <v>1852</v>
      </c>
      <c r="D621" s="35" t="s">
        <v>1849</v>
      </c>
      <c r="E621" s="35" t="s">
        <v>1831</v>
      </c>
      <c r="F621" s="35">
        <v>20260804017</v>
      </c>
      <c r="G621" s="35" t="s">
        <v>1830</v>
      </c>
      <c r="H621" s="43">
        <f>H619-K621</f>
        <v>572591.41984732822</v>
      </c>
      <c r="I621" s="43">
        <v>4240</v>
      </c>
      <c r="J621" s="43">
        <v>4180</v>
      </c>
      <c r="K621" s="43">
        <f>J621/0.786+1</f>
        <v>5319.0661577608143</v>
      </c>
      <c r="L621" s="44"/>
      <c r="M621" s="92"/>
      <c r="N621" s="35"/>
      <c r="O621" s="29">
        <v>46239</v>
      </c>
      <c r="P621" s="28">
        <f t="shared" si="66"/>
        <v>46603</v>
      </c>
    </row>
    <row r="622" spans="2:16" ht="20.149999999999999" customHeight="1" x14ac:dyDescent="0.2">
      <c r="B622" s="34">
        <v>46241</v>
      </c>
      <c r="C622" s="35" t="s">
        <v>1853</v>
      </c>
      <c r="D622" s="35" t="s">
        <v>1850</v>
      </c>
      <c r="E622" s="35" t="s">
        <v>1831</v>
      </c>
      <c r="F622" s="35">
        <v>20260804018</v>
      </c>
      <c r="G622" s="35" t="s">
        <v>1830</v>
      </c>
      <c r="H622" s="43">
        <f>H621-K622</f>
        <v>567082.51399491087</v>
      </c>
      <c r="I622" s="43">
        <v>4270</v>
      </c>
      <c r="J622" s="43">
        <v>4330</v>
      </c>
      <c r="K622" s="43">
        <f t="shared" si="70"/>
        <v>5508.9058524173024</v>
      </c>
      <c r="L622" s="44"/>
      <c r="M622" s="92"/>
      <c r="N622" s="35"/>
      <c r="O622" s="29">
        <v>46239</v>
      </c>
      <c r="P622" s="28">
        <f t="shared" si="66"/>
        <v>46603</v>
      </c>
    </row>
    <row r="623" spans="2:16" ht="20.149999999999999" customHeight="1" x14ac:dyDescent="0.2">
      <c r="B623" s="30">
        <v>46242</v>
      </c>
      <c r="C623" s="31" t="s">
        <v>1860</v>
      </c>
      <c r="D623" s="31" t="s">
        <v>1856</v>
      </c>
      <c r="E623" s="31" t="s">
        <v>675</v>
      </c>
      <c r="F623" s="31">
        <v>20260804006</v>
      </c>
      <c r="G623" s="83" t="s">
        <v>1863</v>
      </c>
      <c r="H623" s="41">
        <f>H620-K623</f>
        <v>567553.25190839695</v>
      </c>
      <c r="I623" s="41">
        <v>4230</v>
      </c>
      <c r="J623" s="41">
        <v>4280</v>
      </c>
      <c r="K623" s="41">
        <f>J623/0.786+1</f>
        <v>5446.2926208651397</v>
      </c>
      <c r="L623" s="42"/>
      <c r="M623" s="89"/>
      <c r="N623" s="31"/>
      <c r="O623" s="29">
        <v>46239</v>
      </c>
      <c r="P623" s="28">
        <f t="shared" si="66"/>
        <v>46603</v>
      </c>
    </row>
    <row r="624" spans="2:16" ht="20.149999999999999" customHeight="1" x14ac:dyDescent="0.2">
      <c r="B624" s="30">
        <v>46242</v>
      </c>
      <c r="C624" s="31" t="s">
        <v>1862</v>
      </c>
      <c r="D624" s="31" t="s">
        <v>1857</v>
      </c>
      <c r="E624" s="31" t="s">
        <v>675</v>
      </c>
      <c r="F624" s="31">
        <v>20260804007</v>
      </c>
      <c r="G624" s="83" t="s">
        <v>1829</v>
      </c>
      <c r="H624" s="41">
        <f>H623-K624</f>
        <v>562031.62340966926</v>
      </c>
      <c r="I624" s="41">
        <v>4370</v>
      </c>
      <c r="J624" s="41">
        <v>4340</v>
      </c>
      <c r="K624" s="41">
        <f t="shared" si="70"/>
        <v>5521.628498727735</v>
      </c>
      <c r="L624" s="42"/>
      <c r="M624" s="89"/>
      <c r="N624" s="31"/>
      <c r="O624" s="29">
        <v>46239</v>
      </c>
      <c r="P624" s="28">
        <f t="shared" si="66"/>
        <v>46603</v>
      </c>
    </row>
    <row r="625" spans="2:16" ht="20.149999999999999" customHeight="1" x14ac:dyDescent="0.2">
      <c r="B625" s="34">
        <v>46242</v>
      </c>
      <c r="C625" s="35" t="s">
        <v>1865</v>
      </c>
      <c r="D625" s="35" t="s">
        <v>1858</v>
      </c>
      <c r="E625" s="35" t="s">
        <v>1831</v>
      </c>
      <c r="F625" s="35">
        <v>20260804019</v>
      </c>
      <c r="G625" s="35" t="s">
        <v>1866</v>
      </c>
      <c r="H625" s="43">
        <f>H622-K625</f>
        <v>561471.82697201008</v>
      </c>
      <c r="I625" s="43">
        <v>4400</v>
      </c>
      <c r="J625" s="43">
        <v>4410</v>
      </c>
      <c r="K625" s="43">
        <f t="shared" si="70"/>
        <v>5610.6870229007627</v>
      </c>
      <c r="L625" s="44"/>
      <c r="M625" s="92"/>
      <c r="N625" s="35"/>
      <c r="O625" s="29">
        <v>46240</v>
      </c>
      <c r="P625" s="28">
        <f t="shared" si="66"/>
        <v>46604</v>
      </c>
    </row>
    <row r="626" spans="2:16" ht="20.149999999999999" customHeight="1" x14ac:dyDescent="0.2">
      <c r="B626" s="34">
        <v>46242</v>
      </c>
      <c r="C626" s="35" t="s">
        <v>1864</v>
      </c>
      <c r="D626" s="35" t="s">
        <v>1859</v>
      </c>
      <c r="E626" s="35" t="s">
        <v>1831</v>
      </c>
      <c r="F626" s="35">
        <v>20260804020</v>
      </c>
      <c r="G626" s="35" t="s">
        <v>1830</v>
      </c>
      <c r="H626" s="43">
        <f>H625-K626</f>
        <v>556090.1475826971</v>
      </c>
      <c r="I626" s="43">
        <v>4270</v>
      </c>
      <c r="J626" s="43">
        <v>4230</v>
      </c>
      <c r="K626" s="43">
        <f t="shared" si="70"/>
        <v>5381.679389312977</v>
      </c>
      <c r="L626" s="44"/>
      <c r="M626" s="92"/>
      <c r="N626" s="35"/>
      <c r="O626" s="29">
        <v>46240</v>
      </c>
      <c r="P626" s="28">
        <f t="shared" si="66"/>
        <v>46604</v>
      </c>
    </row>
    <row r="627" spans="2:16" ht="20.149999999999999" customHeight="1" x14ac:dyDescent="0.2">
      <c r="B627" s="62">
        <v>46243</v>
      </c>
      <c r="C627" s="61" t="s">
        <v>1877</v>
      </c>
      <c r="D627" s="61" t="s">
        <v>1873</v>
      </c>
      <c r="E627" s="61" t="s">
        <v>1034</v>
      </c>
      <c r="F627" s="61" t="s">
        <v>2282</v>
      </c>
      <c r="G627" s="61" t="s">
        <v>1828</v>
      </c>
      <c r="H627" s="64">
        <f>150000-K627</f>
        <v>144540.98473282444</v>
      </c>
      <c r="I627" s="64">
        <v>4320</v>
      </c>
      <c r="J627" s="64">
        <v>4290</v>
      </c>
      <c r="K627" s="64">
        <f>J627/0.786+1</f>
        <v>5459.0152671755723</v>
      </c>
      <c r="L627" s="65"/>
      <c r="M627" s="93"/>
      <c r="N627" s="61"/>
      <c r="O627" s="29">
        <v>46238</v>
      </c>
      <c r="P627" s="28">
        <f>DATE(YEAR(O627)+1,MONTH(O627),DAY(O627))-1</f>
        <v>46602</v>
      </c>
    </row>
    <row r="628" spans="2:16" ht="20.149999999999999" customHeight="1" x14ac:dyDescent="0.2">
      <c r="B628" s="30">
        <v>46243</v>
      </c>
      <c r="C628" s="31" t="s">
        <v>1874</v>
      </c>
      <c r="D628" s="31" t="s">
        <v>1871</v>
      </c>
      <c r="E628" s="31" t="s">
        <v>675</v>
      </c>
      <c r="F628" s="31">
        <v>20260804008</v>
      </c>
      <c r="G628" s="83" t="s">
        <v>1829</v>
      </c>
      <c r="H628" s="41">
        <f>H624-K628</f>
        <v>556496.27226463112</v>
      </c>
      <c r="I628" s="41">
        <v>4330</v>
      </c>
      <c r="J628" s="41">
        <v>4350</v>
      </c>
      <c r="K628" s="41">
        <f>J628/0.786+1</f>
        <v>5535.3511450381675</v>
      </c>
      <c r="L628" s="42"/>
      <c r="M628" s="89"/>
      <c r="N628" s="31"/>
      <c r="O628" s="29">
        <v>46241</v>
      </c>
      <c r="P628" s="28">
        <f t="shared" si="66"/>
        <v>46605</v>
      </c>
    </row>
    <row r="629" spans="2:16" ht="20.149999999999999" customHeight="1" x14ac:dyDescent="0.2">
      <c r="B629" s="34">
        <v>46243</v>
      </c>
      <c r="C629" s="35" t="s">
        <v>1875</v>
      </c>
      <c r="D629" s="35" t="s">
        <v>1867</v>
      </c>
      <c r="E629" s="35" t="s">
        <v>1831</v>
      </c>
      <c r="F629" s="35">
        <v>20260804021</v>
      </c>
      <c r="G629" s="35" t="s">
        <v>1870</v>
      </c>
      <c r="H629" s="43">
        <f>H626-K629</f>
        <v>550732.91348600504</v>
      </c>
      <c r="I629" s="43">
        <v>4200</v>
      </c>
      <c r="J629" s="43">
        <v>4210</v>
      </c>
      <c r="K629" s="43">
        <f>J629/0.786+1</f>
        <v>5357.234096692112</v>
      </c>
      <c r="L629" s="44"/>
      <c r="M629" s="92"/>
      <c r="N629" s="35"/>
      <c r="O629" s="29">
        <v>46241</v>
      </c>
      <c r="P629" s="28">
        <f t="shared" ref="P629:P637" si="71">DATE(YEAR(O629)+1,MONTH(O629),DAY(O629))-1</f>
        <v>46605</v>
      </c>
    </row>
    <row r="630" spans="2:16" ht="20.149999999999999" customHeight="1" x14ac:dyDescent="0.2">
      <c r="B630" s="34">
        <v>46243</v>
      </c>
      <c r="C630" s="35" t="s">
        <v>1876</v>
      </c>
      <c r="D630" s="35" t="s">
        <v>1868</v>
      </c>
      <c r="E630" s="35" t="s">
        <v>1831</v>
      </c>
      <c r="F630" s="35">
        <v>20260804022</v>
      </c>
      <c r="G630" s="35" t="s">
        <v>1830</v>
      </c>
      <c r="H630" s="43">
        <f>H629-K630</f>
        <v>545235.73027989815</v>
      </c>
      <c r="I630" s="43">
        <v>4300</v>
      </c>
      <c r="J630" s="43">
        <v>4320</v>
      </c>
      <c r="K630" s="43">
        <f>J630/0.786+1</f>
        <v>5497.1832061068699</v>
      </c>
      <c r="L630" s="44"/>
      <c r="M630" s="92"/>
      <c r="N630" s="35"/>
      <c r="O630" s="29">
        <v>46241</v>
      </c>
      <c r="P630" s="28">
        <f t="shared" si="71"/>
        <v>46605</v>
      </c>
    </row>
    <row r="631" spans="2:16" ht="20.149999999999999" customHeight="1" x14ac:dyDescent="0.2">
      <c r="B631" s="30">
        <v>46244</v>
      </c>
      <c r="C631" s="31" t="s">
        <v>1884</v>
      </c>
      <c r="D631" s="31" t="s">
        <v>1882</v>
      </c>
      <c r="E631" s="31" t="s">
        <v>675</v>
      </c>
      <c r="F631" s="31">
        <v>20260804009</v>
      </c>
      <c r="G631" s="83" t="s">
        <v>1885</v>
      </c>
      <c r="H631" s="41">
        <f>H628-K631</f>
        <v>550948.19847328251</v>
      </c>
      <c r="I631" s="41">
        <v>4380</v>
      </c>
      <c r="J631" s="41">
        <v>4360</v>
      </c>
      <c r="K631" s="41">
        <f>J631/0.786+1</f>
        <v>5548.0737913486</v>
      </c>
      <c r="L631" s="42"/>
      <c r="M631" s="89"/>
      <c r="N631" s="31"/>
      <c r="O631" s="29">
        <v>46241</v>
      </c>
      <c r="P631" s="28">
        <f>DATE(YEAR(O631)+1,MONTH(O631),DAY(O631))-1</f>
        <v>46605</v>
      </c>
    </row>
    <row r="632" spans="2:16" ht="20.149999999999999" customHeight="1" x14ac:dyDescent="0.2">
      <c r="B632" s="30">
        <v>46244</v>
      </c>
      <c r="C632" s="31" t="s">
        <v>1887</v>
      </c>
      <c r="D632" s="31" t="s">
        <v>1883</v>
      </c>
      <c r="E632" s="31" t="s">
        <v>675</v>
      </c>
      <c r="F632" s="31">
        <v>20260804010</v>
      </c>
      <c r="G632" s="83" t="s">
        <v>1829</v>
      </c>
      <c r="H632" s="41">
        <f>H631-K632</f>
        <v>545566.51908396953</v>
      </c>
      <c r="I632" s="41">
        <v>4230</v>
      </c>
      <c r="J632" s="41">
        <v>4230</v>
      </c>
      <c r="K632" s="41">
        <f t="shared" si="70"/>
        <v>5381.679389312977</v>
      </c>
      <c r="L632" s="42"/>
      <c r="M632" s="89"/>
      <c r="N632" s="31"/>
      <c r="O632" s="29">
        <v>46242</v>
      </c>
      <c r="P632" s="28">
        <f t="shared" si="71"/>
        <v>46606</v>
      </c>
    </row>
    <row r="633" spans="2:16" ht="20.149999999999999" customHeight="1" x14ac:dyDescent="0.2">
      <c r="B633" s="34">
        <v>46244</v>
      </c>
      <c r="C633" s="35" t="s">
        <v>1880</v>
      </c>
      <c r="D633" s="35" t="s">
        <v>1878</v>
      </c>
      <c r="E633" s="35" t="s">
        <v>1831</v>
      </c>
      <c r="F633" s="35">
        <v>20260804023</v>
      </c>
      <c r="G633" s="35" t="s">
        <v>1881</v>
      </c>
      <c r="H633" s="43">
        <f>H630-K633</f>
        <v>539892.21882951644</v>
      </c>
      <c r="I633" s="43">
        <v>4200</v>
      </c>
      <c r="J633" s="43">
        <v>4200</v>
      </c>
      <c r="K633" s="43">
        <f t="shared" si="70"/>
        <v>5343.5114503816794</v>
      </c>
      <c r="L633" s="44"/>
      <c r="M633" s="92"/>
      <c r="N633" s="35"/>
      <c r="O633" s="29">
        <v>46242</v>
      </c>
      <c r="P633" s="28">
        <f t="shared" si="71"/>
        <v>46606</v>
      </c>
    </row>
    <row r="634" spans="2:16" ht="20.149999999999999" customHeight="1" x14ac:dyDescent="0.2">
      <c r="B634" s="34">
        <v>46244</v>
      </c>
      <c r="C634" s="35" t="s">
        <v>1888</v>
      </c>
      <c r="D634" s="35" t="s">
        <v>1879</v>
      </c>
      <c r="E634" s="35" t="s">
        <v>1831</v>
      </c>
      <c r="F634" s="35">
        <v>20260804024</v>
      </c>
      <c r="G634" s="35" t="s">
        <v>1830</v>
      </c>
      <c r="H634" s="43">
        <f>H633-K634</f>
        <v>534510.53944020346</v>
      </c>
      <c r="I634" s="43">
        <v>4320</v>
      </c>
      <c r="J634" s="43">
        <v>4230</v>
      </c>
      <c r="K634" s="43">
        <f t="shared" si="70"/>
        <v>5381.679389312977</v>
      </c>
      <c r="L634" s="44"/>
      <c r="M634" s="92"/>
      <c r="N634" s="35"/>
      <c r="O634" s="29">
        <v>46242</v>
      </c>
      <c r="P634" s="28">
        <f t="shared" si="71"/>
        <v>46606</v>
      </c>
    </row>
    <row r="635" spans="2:16" ht="20.149999999999999" customHeight="1" x14ac:dyDescent="0.2">
      <c r="B635" s="30">
        <v>46245</v>
      </c>
      <c r="C635" s="31" t="s">
        <v>1891</v>
      </c>
      <c r="D635" s="31" t="s">
        <v>1889</v>
      </c>
      <c r="E635" s="31" t="s">
        <v>675</v>
      </c>
      <c r="F635" s="31">
        <v>20260804011</v>
      </c>
      <c r="G635" s="83" t="s">
        <v>1829</v>
      </c>
      <c r="H635" s="41">
        <f>H632-K635</f>
        <v>540120.22646310437</v>
      </c>
      <c r="I635" s="41">
        <v>4260</v>
      </c>
      <c r="J635" s="41">
        <v>4280</v>
      </c>
      <c r="K635" s="41">
        <f>J635/0.786+1</f>
        <v>5446.2926208651397</v>
      </c>
      <c r="L635" s="42"/>
      <c r="M635" s="89"/>
      <c r="N635" s="31"/>
      <c r="O635" s="29">
        <v>46243</v>
      </c>
      <c r="P635" s="28">
        <f t="shared" si="71"/>
        <v>46607</v>
      </c>
    </row>
    <row r="636" spans="2:16" ht="20.149999999999999" customHeight="1" x14ac:dyDescent="0.2">
      <c r="B636" s="34">
        <v>46245</v>
      </c>
      <c r="C636" s="35" t="s">
        <v>1897</v>
      </c>
      <c r="D636" s="35" t="s">
        <v>1890</v>
      </c>
      <c r="E636" s="35" t="s">
        <v>1831</v>
      </c>
      <c r="F636" s="35">
        <v>20260804025</v>
      </c>
      <c r="G636" s="35" t="s">
        <v>1870</v>
      </c>
      <c r="H636" s="43">
        <f>H634-K636</f>
        <v>528924.29770992359</v>
      </c>
      <c r="I636" s="43">
        <v>4400</v>
      </c>
      <c r="J636" s="43">
        <v>4390</v>
      </c>
      <c r="K636" s="43">
        <f>J636/0.786+1</f>
        <v>5586.2417302798976</v>
      </c>
      <c r="L636" s="44"/>
      <c r="M636" s="92"/>
      <c r="N636" s="35"/>
      <c r="O636" s="29">
        <v>46243</v>
      </c>
      <c r="P636" s="28">
        <f t="shared" si="71"/>
        <v>46607</v>
      </c>
    </row>
    <row r="637" spans="2:16" ht="20.149999999999999" customHeight="1" x14ac:dyDescent="0.2">
      <c r="B637" s="34">
        <v>46245</v>
      </c>
      <c r="C637" s="35" t="s">
        <v>1896</v>
      </c>
      <c r="D637" s="35" t="s">
        <v>1892</v>
      </c>
      <c r="E637" s="35" t="s">
        <v>1831</v>
      </c>
      <c r="F637" s="35">
        <v>20260804026</v>
      </c>
      <c r="G637" s="35" t="s">
        <v>1830</v>
      </c>
      <c r="H637" s="43">
        <f>H636-K637</f>
        <v>523504.45038167929</v>
      </c>
      <c r="I637" s="43">
        <v>4320</v>
      </c>
      <c r="J637" s="43">
        <v>4260</v>
      </c>
      <c r="K637" s="43">
        <f t="shared" si="70"/>
        <v>5419.8473282442746</v>
      </c>
      <c r="L637" s="44"/>
      <c r="M637" s="92"/>
      <c r="N637" s="35"/>
      <c r="O637" s="29">
        <v>46244</v>
      </c>
      <c r="P637" s="28">
        <f t="shared" si="71"/>
        <v>46608</v>
      </c>
    </row>
    <row r="638" spans="2:16" ht="20.149999999999999" customHeight="1" x14ac:dyDescent="0.2">
      <c r="B638" s="30">
        <v>46246</v>
      </c>
      <c r="C638" s="31" t="s">
        <v>1900</v>
      </c>
      <c r="D638" s="31" t="s">
        <v>1898</v>
      </c>
      <c r="E638" s="31" t="s">
        <v>675</v>
      </c>
      <c r="F638" s="31">
        <v>20260804012</v>
      </c>
      <c r="G638" s="83" t="s">
        <v>1829</v>
      </c>
      <c r="H638" s="41">
        <f>H635-K638</f>
        <v>534584.87531806622</v>
      </c>
      <c r="I638" s="41">
        <v>4320</v>
      </c>
      <c r="J638" s="41">
        <v>4350</v>
      </c>
      <c r="K638" s="41">
        <f>J638/0.786+1</f>
        <v>5535.3511450381675</v>
      </c>
      <c r="L638" s="42"/>
      <c r="M638" s="89"/>
      <c r="N638" s="31"/>
      <c r="O638" s="29">
        <v>46243</v>
      </c>
      <c r="P638" s="28">
        <f>DATE(YEAR(O638)+1,MONTH(O638),DAY(O638))-1</f>
        <v>46607</v>
      </c>
    </row>
    <row r="639" spans="2:16" ht="20.149999999999999" customHeight="1" x14ac:dyDescent="0.2">
      <c r="B639" s="30">
        <v>46246</v>
      </c>
      <c r="C639" s="31" t="s">
        <v>1901</v>
      </c>
      <c r="D639" s="31" t="s">
        <v>1899</v>
      </c>
      <c r="E639" s="31" t="s">
        <v>675</v>
      </c>
      <c r="F639" s="31">
        <v>20260811001</v>
      </c>
      <c r="G639" s="83" t="s">
        <v>1833</v>
      </c>
      <c r="H639" s="41">
        <f>H636-K639</f>
        <v>523593.50890585233</v>
      </c>
      <c r="I639" s="41">
        <v>4210</v>
      </c>
      <c r="J639" s="41">
        <v>4190</v>
      </c>
      <c r="K639" s="41">
        <f t="shared" ref="K639:K662" si="72">J639/0.786</f>
        <v>5330.7888040712469</v>
      </c>
      <c r="L639" s="42"/>
      <c r="M639" s="89"/>
      <c r="N639" s="31"/>
      <c r="O639" s="29">
        <v>46244</v>
      </c>
      <c r="P639" s="28">
        <f t="shared" ref="P639:P659" si="73">DATE(YEAR(O639)+1,MONTH(O639),DAY(O639))-1</f>
        <v>46608</v>
      </c>
    </row>
    <row r="640" spans="2:16" ht="20.149999999999999" customHeight="1" x14ac:dyDescent="0.2">
      <c r="B640" s="34">
        <v>46246</v>
      </c>
      <c r="C640" s="35" t="s">
        <v>1904</v>
      </c>
      <c r="D640" s="35" t="s">
        <v>1902</v>
      </c>
      <c r="E640" s="35" t="s">
        <v>22</v>
      </c>
      <c r="F640" s="35">
        <v>20260811011</v>
      </c>
      <c r="G640" s="35" t="s">
        <v>1905</v>
      </c>
      <c r="H640" s="43">
        <f>H637-K640</f>
        <v>517969.09923664114</v>
      </c>
      <c r="I640" s="43">
        <v>4360</v>
      </c>
      <c r="J640" s="43">
        <v>4350</v>
      </c>
      <c r="K640" s="43">
        <f>J640/0.786+1</f>
        <v>5535.3511450381675</v>
      </c>
      <c r="L640" s="44"/>
      <c r="M640" s="92"/>
      <c r="N640" s="35"/>
      <c r="O640" s="29">
        <v>46244</v>
      </c>
      <c r="P640" s="28">
        <f>DATE(YEAR(O640)+1,MONTH(O640),DAY(O640))-1</f>
        <v>46608</v>
      </c>
    </row>
    <row r="641" spans="2:16" ht="20.149999999999999" customHeight="1" x14ac:dyDescent="0.2">
      <c r="B641" s="34">
        <v>46246</v>
      </c>
      <c r="C641" s="35" t="s">
        <v>1906</v>
      </c>
      <c r="D641" s="35" t="s">
        <v>1903</v>
      </c>
      <c r="E641" s="35" t="s">
        <v>22</v>
      </c>
      <c r="F641" s="35">
        <v>20260811012</v>
      </c>
      <c r="G641" s="35" t="s">
        <v>1830</v>
      </c>
      <c r="H641" s="43">
        <f>H640-K641</f>
        <v>512587.41984732816</v>
      </c>
      <c r="I641" s="43">
        <v>4330</v>
      </c>
      <c r="J641" s="43">
        <v>4230</v>
      </c>
      <c r="K641" s="43">
        <f>J641/0.786</f>
        <v>5381.679389312977</v>
      </c>
      <c r="L641" s="44"/>
      <c r="M641" s="92"/>
      <c r="N641" s="35"/>
      <c r="O641" s="29">
        <v>46244</v>
      </c>
      <c r="P641" s="28">
        <f>DATE(YEAR(O641)+1,MONTH(O641),DAY(O641))-1</f>
        <v>46608</v>
      </c>
    </row>
    <row r="642" spans="2:16" ht="20.149999999999999" customHeight="1" x14ac:dyDescent="0.2">
      <c r="B642" s="30">
        <v>46247</v>
      </c>
      <c r="C642" s="31" t="s">
        <v>1910</v>
      </c>
      <c r="D642" s="31" t="s">
        <v>1909</v>
      </c>
      <c r="E642" s="31" t="s">
        <v>675</v>
      </c>
      <c r="F642" s="31">
        <v>20260811002</v>
      </c>
      <c r="G642" s="83" t="s">
        <v>1829</v>
      </c>
      <c r="H642" s="41">
        <f>H637-K642</f>
        <v>518084.60305343498</v>
      </c>
      <c r="I642" s="41">
        <v>4280</v>
      </c>
      <c r="J642" s="41">
        <v>4260</v>
      </c>
      <c r="K642" s="41">
        <f t="shared" si="72"/>
        <v>5419.8473282442746</v>
      </c>
      <c r="L642" s="42"/>
      <c r="M642" s="89"/>
      <c r="N642" s="31"/>
      <c r="O642" s="29">
        <v>46244</v>
      </c>
      <c r="P642" s="28">
        <f t="shared" si="73"/>
        <v>46608</v>
      </c>
    </row>
    <row r="643" spans="2:16" ht="20.149999999999999" customHeight="1" x14ac:dyDescent="0.2">
      <c r="B643" s="34">
        <v>46247</v>
      </c>
      <c r="C643" s="35" t="s">
        <v>1913</v>
      </c>
      <c r="D643" s="35" t="s">
        <v>1911</v>
      </c>
      <c r="E643" s="35" t="s">
        <v>22</v>
      </c>
      <c r="F643" s="35">
        <v>20260811013</v>
      </c>
      <c r="G643" s="35" t="s">
        <v>1830</v>
      </c>
      <c r="H643" s="43">
        <f>H641-K643</f>
        <v>507218.46310432564</v>
      </c>
      <c r="I643" s="43">
        <v>4230</v>
      </c>
      <c r="J643" s="43">
        <v>4220</v>
      </c>
      <c r="K643" s="43">
        <f>J643/0.786</f>
        <v>5368.9567430025445</v>
      </c>
      <c r="L643" s="44"/>
      <c r="M643" s="92"/>
      <c r="N643" s="35"/>
      <c r="O643" s="29">
        <v>46245</v>
      </c>
      <c r="P643" s="28">
        <f>DATE(YEAR(O643)+1,MONTH(O643),DAY(O643))-1</f>
        <v>46609</v>
      </c>
    </row>
    <row r="644" spans="2:16" ht="20.149999999999999" customHeight="1" x14ac:dyDescent="0.2">
      <c r="B644" s="34">
        <v>46247</v>
      </c>
      <c r="C644" s="35" t="s">
        <v>1914</v>
      </c>
      <c r="D644" s="35" t="s">
        <v>1912</v>
      </c>
      <c r="E644" s="35" t="s">
        <v>22</v>
      </c>
      <c r="F644" s="35">
        <v>20260811014</v>
      </c>
      <c r="G644" s="35" t="s">
        <v>1830</v>
      </c>
      <c r="H644" s="43">
        <f>H643-K644</f>
        <v>501721.27989821875</v>
      </c>
      <c r="I644" s="43">
        <v>4300</v>
      </c>
      <c r="J644" s="43">
        <v>4320</v>
      </c>
      <c r="K644" s="43">
        <f>J644/0.786+1</f>
        <v>5497.1832061068699</v>
      </c>
      <c r="L644" s="44"/>
      <c r="M644" s="92"/>
      <c r="N644" s="35"/>
      <c r="O644" s="29">
        <v>46245</v>
      </c>
      <c r="P644" s="28">
        <f>DATE(YEAR(O644)+1,MONTH(O644),DAY(O644))-1</f>
        <v>46609</v>
      </c>
    </row>
    <row r="645" spans="2:16" ht="20.149999999999999" customHeight="1" x14ac:dyDescent="0.2">
      <c r="B645" s="30">
        <v>46248</v>
      </c>
      <c r="C645" s="31" t="s">
        <v>1923</v>
      </c>
      <c r="D645" s="31" t="s">
        <v>1917</v>
      </c>
      <c r="E645" s="31" t="s">
        <v>675</v>
      </c>
      <c r="F645" s="31">
        <v>20260811003</v>
      </c>
      <c r="G645" s="83" t="s">
        <v>1833</v>
      </c>
      <c r="H645" s="41">
        <f>H638-K645</f>
        <v>529025.07888040715</v>
      </c>
      <c r="I645" s="41">
        <v>4370</v>
      </c>
      <c r="J645" s="41">
        <v>4370</v>
      </c>
      <c r="K645" s="41">
        <f>J645/0.786</f>
        <v>5559.7964376590326</v>
      </c>
      <c r="L645" s="42"/>
      <c r="M645" s="89"/>
      <c r="N645" s="31"/>
      <c r="O645" s="29">
        <v>46245</v>
      </c>
      <c r="P645" s="28">
        <f>DATE(YEAR(O645)+1,MONTH(O645),DAY(O645))-1</f>
        <v>46609</v>
      </c>
    </row>
    <row r="646" spans="2:16" ht="20.149999999999999" customHeight="1" x14ac:dyDescent="0.2">
      <c r="B646" s="30">
        <v>46248</v>
      </c>
      <c r="C646" s="31" t="s">
        <v>1921</v>
      </c>
      <c r="D646" s="31" t="s">
        <v>1918</v>
      </c>
      <c r="E646" s="31" t="s">
        <v>675</v>
      </c>
      <c r="F646" s="31">
        <v>20260811004</v>
      </c>
      <c r="G646" s="83" t="s">
        <v>1924</v>
      </c>
      <c r="H646" s="41">
        <f>H639-K646</f>
        <v>518134.49363867677</v>
      </c>
      <c r="I646" s="41">
        <v>4230</v>
      </c>
      <c r="J646" s="41">
        <v>4290</v>
      </c>
      <c r="K646" s="41">
        <f>J646/0.786+1</f>
        <v>5459.0152671755723</v>
      </c>
      <c r="L646" s="42"/>
      <c r="M646" s="89"/>
      <c r="N646" s="31"/>
      <c r="O646" s="29">
        <v>46245</v>
      </c>
      <c r="P646" s="28">
        <f t="shared" si="73"/>
        <v>46609</v>
      </c>
    </row>
    <row r="647" spans="2:16" ht="20.149999999999999" customHeight="1" x14ac:dyDescent="0.2">
      <c r="B647" s="34">
        <v>46248</v>
      </c>
      <c r="C647" s="35" t="s">
        <v>1926</v>
      </c>
      <c r="D647" s="35" t="s">
        <v>1919</v>
      </c>
      <c r="E647" s="35" t="s">
        <v>22</v>
      </c>
      <c r="F647" s="35">
        <v>20260811015</v>
      </c>
      <c r="G647" s="35" t="s">
        <v>1830</v>
      </c>
      <c r="H647" s="43">
        <f>H644-K647</f>
        <v>496453.10432569968</v>
      </c>
      <c r="I647" s="43">
        <v>4150</v>
      </c>
      <c r="J647" s="43">
        <v>4140</v>
      </c>
      <c r="K647" s="43">
        <f>J647/0.786+1</f>
        <v>5268.1755725190842</v>
      </c>
      <c r="L647" s="44"/>
      <c r="M647" s="92"/>
      <c r="N647" s="35"/>
      <c r="O647" s="29">
        <v>46246</v>
      </c>
      <c r="P647" s="28">
        <f>DATE(YEAR(O647)+1,MONTH(O647),DAY(O647))-1</f>
        <v>46610</v>
      </c>
    </row>
    <row r="648" spans="2:16" ht="20.149999999999999" customHeight="1" x14ac:dyDescent="0.2">
      <c r="B648" s="34">
        <v>46248</v>
      </c>
      <c r="C648" s="35" t="s">
        <v>1922</v>
      </c>
      <c r="D648" s="35" t="s">
        <v>1920</v>
      </c>
      <c r="E648" s="35" t="s">
        <v>22</v>
      </c>
      <c r="F648" s="35">
        <v>20260811016</v>
      </c>
      <c r="G648" s="35" t="s">
        <v>1925</v>
      </c>
      <c r="H648" s="43">
        <f>H647-K648</f>
        <v>490931.47582697193</v>
      </c>
      <c r="I648" s="43">
        <v>4360</v>
      </c>
      <c r="J648" s="43">
        <v>4340</v>
      </c>
      <c r="K648" s="43">
        <f>J648/0.786</f>
        <v>5521.628498727735</v>
      </c>
      <c r="L648" s="44"/>
      <c r="M648" s="92"/>
      <c r="N648" s="35"/>
      <c r="O648" s="29">
        <v>46246</v>
      </c>
      <c r="P648" s="28">
        <f>DATE(YEAR(O648)+1,MONTH(O648),DAY(O648))-1</f>
        <v>46610</v>
      </c>
    </row>
    <row r="649" spans="2:16" ht="20.149999999999999" customHeight="1" x14ac:dyDescent="0.2">
      <c r="B649" s="62">
        <v>46248</v>
      </c>
      <c r="C649" s="61" t="s">
        <v>1928</v>
      </c>
      <c r="D649" s="61" t="s">
        <v>1927</v>
      </c>
      <c r="E649" s="61" t="s">
        <v>1034</v>
      </c>
      <c r="F649" s="61">
        <v>20260811025</v>
      </c>
      <c r="G649" s="61" t="s">
        <v>1828</v>
      </c>
      <c r="H649" s="64">
        <f>H627-K649</f>
        <v>139108.41475826973</v>
      </c>
      <c r="I649" s="64">
        <v>4290</v>
      </c>
      <c r="J649" s="64">
        <v>4270</v>
      </c>
      <c r="K649" s="64">
        <f>J649/0.786</f>
        <v>5432.5699745547072</v>
      </c>
      <c r="L649" s="65"/>
      <c r="M649" s="93"/>
      <c r="N649" s="61"/>
      <c r="O649" s="29">
        <v>46246</v>
      </c>
      <c r="P649" s="28">
        <f>DATE(YEAR(O649)+1,MONTH(O649),DAY(O649))-1</f>
        <v>46610</v>
      </c>
    </row>
    <row r="650" spans="2:16" ht="20.149999999999999" customHeight="1" x14ac:dyDescent="0.2">
      <c r="B650" s="30">
        <v>46249</v>
      </c>
      <c r="C650" s="31" t="s">
        <v>1939</v>
      </c>
      <c r="D650" s="31" t="s">
        <v>1929</v>
      </c>
      <c r="E650" s="31" t="s">
        <v>675</v>
      </c>
      <c r="F650" s="31">
        <v>20260811005</v>
      </c>
      <c r="G650" s="83" t="s">
        <v>1935</v>
      </c>
      <c r="H650" s="41">
        <f>H642-K650</f>
        <v>512498.36132315511</v>
      </c>
      <c r="I650" s="41">
        <v>4400</v>
      </c>
      <c r="J650" s="41">
        <v>4390</v>
      </c>
      <c r="K650" s="41">
        <f>J650/0.786+1</f>
        <v>5586.2417302798976</v>
      </c>
      <c r="L650" s="42"/>
      <c r="M650" s="89"/>
      <c r="N650" s="31"/>
      <c r="O650" s="29">
        <v>46246</v>
      </c>
      <c r="P650" s="28">
        <f t="shared" si="73"/>
        <v>46610</v>
      </c>
    </row>
    <row r="651" spans="2:16" ht="20.149999999999999" customHeight="1" x14ac:dyDescent="0.2">
      <c r="B651" s="30">
        <v>46249</v>
      </c>
      <c r="C651" s="31" t="s">
        <v>1934</v>
      </c>
      <c r="D651" s="31" t="s">
        <v>1930</v>
      </c>
      <c r="E651" s="31" t="s">
        <v>675</v>
      </c>
      <c r="F651" s="31">
        <v>20260811006</v>
      </c>
      <c r="G651" s="83" t="s">
        <v>1924</v>
      </c>
      <c r="H651" s="41">
        <f>H645-K651</f>
        <v>523694.29007633589</v>
      </c>
      <c r="I651" s="41">
        <v>4300</v>
      </c>
      <c r="J651" s="41">
        <v>4190</v>
      </c>
      <c r="K651" s="41">
        <f t="shared" si="72"/>
        <v>5330.7888040712469</v>
      </c>
      <c r="L651" s="42"/>
      <c r="M651" s="89"/>
      <c r="N651" s="31"/>
      <c r="O651" s="29">
        <v>46247</v>
      </c>
      <c r="P651" s="28">
        <f t="shared" si="73"/>
        <v>46611</v>
      </c>
    </row>
    <row r="652" spans="2:16" ht="20.149999999999999" customHeight="1" x14ac:dyDescent="0.2">
      <c r="B652" s="34">
        <v>46249</v>
      </c>
      <c r="C652" s="35" t="s">
        <v>1940</v>
      </c>
      <c r="D652" s="35" t="s">
        <v>1931</v>
      </c>
      <c r="E652" s="35" t="s">
        <v>22</v>
      </c>
      <c r="F652" s="35">
        <v>20260811017</v>
      </c>
      <c r="G652" s="35" t="s">
        <v>1936</v>
      </c>
      <c r="H652" s="43">
        <f>H648-K652</f>
        <v>485460.73791348591</v>
      </c>
      <c r="I652" s="43">
        <v>4310</v>
      </c>
      <c r="J652" s="43">
        <v>4300</v>
      </c>
      <c r="K652" s="43">
        <f>J652/0.786</f>
        <v>5470.7379134860048</v>
      </c>
      <c r="L652" s="44"/>
      <c r="M652" s="92"/>
      <c r="N652" s="35"/>
      <c r="O652" s="29">
        <v>46247</v>
      </c>
      <c r="P652" s="28">
        <f>DATE(YEAR(O652)+1,MONTH(O652),DAY(O652))-1</f>
        <v>46611</v>
      </c>
    </row>
    <row r="653" spans="2:16" ht="20.149999999999999" customHeight="1" x14ac:dyDescent="0.2">
      <c r="B653" s="34">
        <v>46249</v>
      </c>
      <c r="C653" s="35" t="s">
        <v>1941</v>
      </c>
      <c r="D653" s="35" t="s">
        <v>1932</v>
      </c>
      <c r="E653" s="35" t="s">
        <v>22</v>
      </c>
      <c r="F653" s="35">
        <v>20260811018</v>
      </c>
      <c r="G653" s="35" t="s">
        <v>1937</v>
      </c>
      <c r="H653" s="43">
        <f>H652-K653</f>
        <v>480129.94910941465</v>
      </c>
      <c r="I653" s="43">
        <v>4170</v>
      </c>
      <c r="J653" s="43">
        <v>4190</v>
      </c>
      <c r="K653" s="43">
        <f>J653/0.786</f>
        <v>5330.7888040712469</v>
      </c>
      <c r="L653" s="44"/>
      <c r="M653" s="92"/>
      <c r="N653" s="35"/>
      <c r="O653" s="29">
        <v>46247</v>
      </c>
      <c r="P653" s="28">
        <f>DATE(YEAR(O653)+1,MONTH(O653),DAY(O653))-1</f>
        <v>46611</v>
      </c>
    </row>
    <row r="654" spans="2:16" ht="20.149999999999999" customHeight="1" x14ac:dyDescent="0.2">
      <c r="B654" s="62">
        <v>46250</v>
      </c>
      <c r="C654" s="61" t="s">
        <v>1952</v>
      </c>
      <c r="D654" s="61" t="s">
        <v>1942</v>
      </c>
      <c r="E654" s="61" t="s">
        <v>1034</v>
      </c>
      <c r="F654" s="61">
        <v>20260811026</v>
      </c>
      <c r="G654" s="61" t="s">
        <v>1828</v>
      </c>
      <c r="H654" s="64">
        <f>H649-K654</f>
        <v>135163.39440203563</v>
      </c>
      <c r="I654" s="64">
        <v>4360</v>
      </c>
      <c r="J654" s="64">
        <v>3100</v>
      </c>
      <c r="K654" s="64">
        <f>J654/0.786+1</f>
        <v>3945.0203562340967</v>
      </c>
      <c r="L654" s="65"/>
      <c r="M654" s="93"/>
      <c r="N654" s="61"/>
      <c r="O654" s="29">
        <v>46248</v>
      </c>
      <c r="P654" s="28">
        <f>DATE(YEAR(O654)+1,MONTH(O654),DAY(O654))-1</f>
        <v>46612</v>
      </c>
    </row>
    <row r="655" spans="2:16" ht="20.149999999999999" customHeight="1" x14ac:dyDescent="0.2">
      <c r="B655" s="30">
        <v>46250</v>
      </c>
      <c r="C655" s="31" t="s">
        <v>1948</v>
      </c>
      <c r="D655" s="31" t="s">
        <v>1943</v>
      </c>
      <c r="E655" s="31" t="s">
        <v>675</v>
      </c>
      <c r="F655" s="31">
        <v>20260811007</v>
      </c>
      <c r="G655" s="83" t="s">
        <v>1950</v>
      </c>
      <c r="H655" s="41">
        <f>H646-K655</f>
        <v>512790.98218829511</v>
      </c>
      <c r="I655" s="41">
        <v>4260</v>
      </c>
      <c r="J655" s="41">
        <v>4200</v>
      </c>
      <c r="K655" s="41">
        <f t="shared" si="72"/>
        <v>5343.5114503816794</v>
      </c>
      <c r="L655" s="42"/>
      <c r="M655" s="89"/>
      <c r="N655" s="31"/>
      <c r="O655" s="29">
        <v>46248</v>
      </c>
      <c r="P655" s="28">
        <f t="shared" si="73"/>
        <v>46612</v>
      </c>
    </row>
    <row r="656" spans="2:16" ht="20.149999999999999" customHeight="1" x14ac:dyDescent="0.2">
      <c r="B656" s="34">
        <v>46250</v>
      </c>
      <c r="C656" s="35" t="s">
        <v>1947</v>
      </c>
      <c r="D656" s="35" t="s">
        <v>1944</v>
      </c>
      <c r="E656" s="35" t="s">
        <v>22</v>
      </c>
      <c r="F656" s="35">
        <v>20260811019</v>
      </c>
      <c r="G656" s="35" t="s">
        <v>1951</v>
      </c>
      <c r="H656" s="43">
        <f>H653-K656</f>
        <v>474786.43765903299</v>
      </c>
      <c r="I656" s="43">
        <v>4210</v>
      </c>
      <c r="J656" s="43">
        <v>4200</v>
      </c>
      <c r="K656" s="43">
        <f>J656/0.786</f>
        <v>5343.5114503816794</v>
      </c>
      <c r="L656" s="44"/>
      <c r="M656" s="92"/>
      <c r="N656" s="35"/>
      <c r="O656" s="29">
        <v>46248</v>
      </c>
      <c r="P656" s="28">
        <f>DATE(YEAR(O656)+1,MONTH(O656),DAY(O656))-1</f>
        <v>46612</v>
      </c>
    </row>
    <row r="657" spans="2:16" ht="20.149999999999999" customHeight="1" x14ac:dyDescent="0.2">
      <c r="B657" s="34">
        <v>46250</v>
      </c>
      <c r="C657" s="35" t="s">
        <v>1953</v>
      </c>
      <c r="D657" s="35" t="s">
        <v>1945</v>
      </c>
      <c r="E657" s="35" t="s">
        <v>22</v>
      </c>
      <c r="F657" s="35">
        <v>20260811020</v>
      </c>
      <c r="G657" s="35" t="s">
        <v>1830</v>
      </c>
      <c r="H657" s="43">
        <f>H656-K657</f>
        <v>469200.19592875312</v>
      </c>
      <c r="I657" s="43">
        <v>4410</v>
      </c>
      <c r="J657" s="43">
        <v>4390</v>
      </c>
      <c r="K657" s="43">
        <f>J657/0.786+1</f>
        <v>5586.2417302798976</v>
      </c>
      <c r="L657" s="44"/>
      <c r="M657" s="92"/>
      <c r="N657" s="35"/>
      <c r="O657" s="29">
        <v>46248</v>
      </c>
      <c r="P657" s="28">
        <f>DATE(YEAR(O657)+1,MONTH(O657),DAY(O657))-1</f>
        <v>46612</v>
      </c>
    </row>
    <row r="658" spans="2:16" ht="20.149999999999999" customHeight="1" x14ac:dyDescent="0.2">
      <c r="B658" s="30">
        <v>46251</v>
      </c>
      <c r="C658" s="31" t="s">
        <v>1962</v>
      </c>
      <c r="D658" s="31" t="s">
        <v>1954</v>
      </c>
      <c r="E658" s="31" t="s">
        <v>675</v>
      </c>
      <c r="F658" s="31">
        <v>20260811008</v>
      </c>
      <c r="G658" s="83" t="s">
        <v>1959</v>
      </c>
      <c r="H658" s="41">
        <f>H650-K658</f>
        <v>507039.34605597955</v>
      </c>
      <c r="I658" s="41">
        <v>4220</v>
      </c>
      <c r="J658" s="41">
        <v>4290</v>
      </c>
      <c r="K658" s="41">
        <f>J658/0.786+1</f>
        <v>5459.0152671755723</v>
      </c>
      <c r="L658" s="42"/>
      <c r="M658" s="89"/>
      <c r="N658" s="31"/>
      <c r="O658" s="29">
        <v>46249</v>
      </c>
      <c r="P658" s="28">
        <f t="shared" si="73"/>
        <v>46613</v>
      </c>
    </row>
    <row r="659" spans="2:16" ht="20.149999999999999" customHeight="1" x14ac:dyDescent="0.2">
      <c r="B659" s="30">
        <v>46251</v>
      </c>
      <c r="C659" s="31" t="s">
        <v>1963</v>
      </c>
      <c r="D659" s="31" t="s">
        <v>1955</v>
      </c>
      <c r="E659" s="31" t="s">
        <v>675</v>
      </c>
      <c r="F659" s="31">
        <v>20260811009</v>
      </c>
      <c r="G659" s="83" t="s">
        <v>1829</v>
      </c>
      <c r="H659" s="41">
        <f>H651-K659</f>
        <v>518363.50127226464</v>
      </c>
      <c r="I659" s="41">
        <v>4220</v>
      </c>
      <c r="J659" s="41">
        <v>4190</v>
      </c>
      <c r="K659" s="41">
        <f t="shared" si="72"/>
        <v>5330.7888040712469</v>
      </c>
      <c r="L659" s="42"/>
      <c r="M659" s="89"/>
      <c r="N659" s="31"/>
      <c r="O659" s="29">
        <v>46249</v>
      </c>
      <c r="P659" s="28">
        <f t="shared" si="73"/>
        <v>46613</v>
      </c>
    </row>
    <row r="660" spans="2:16" ht="20.149999999999999" customHeight="1" x14ac:dyDescent="0.2">
      <c r="B660" s="34">
        <v>46251</v>
      </c>
      <c r="C660" s="35" t="s">
        <v>1958</v>
      </c>
      <c r="D660" s="35" t="s">
        <v>1956</v>
      </c>
      <c r="E660" s="35" t="s">
        <v>22</v>
      </c>
      <c r="F660" s="35">
        <v>20260811021</v>
      </c>
      <c r="G660" s="35" t="s">
        <v>1960</v>
      </c>
      <c r="H660" s="43">
        <f>H657-K660</f>
        <v>463767.62595419842</v>
      </c>
      <c r="I660" s="43">
        <v>4290</v>
      </c>
      <c r="J660" s="43">
        <v>4270</v>
      </c>
      <c r="K660" s="43">
        <f>J660/0.786</f>
        <v>5432.5699745547072</v>
      </c>
      <c r="L660" s="44"/>
      <c r="M660" s="92"/>
      <c r="N660" s="35"/>
      <c r="O660" s="29">
        <v>46249</v>
      </c>
      <c r="P660" s="28">
        <f>DATE(YEAR(O660)+1,MONTH(O660),DAY(O660))-1</f>
        <v>46613</v>
      </c>
    </row>
    <row r="661" spans="2:16" ht="20.149999999999999" customHeight="1" x14ac:dyDescent="0.2">
      <c r="B661" s="34">
        <v>46251</v>
      </c>
      <c r="C661" s="35" t="s">
        <v>1964</v>
      </c>
      <c r="D661" s="35" t="s">
        <v>1957</v>
      </c>
      <c r="E661" s="35" t="s">
        <v>22</v>
      </c>
      <c r="F661" s="35">
        <v>20260811022</v>
      </c>
      <c r="G661" s="35" t="s">
        <v>1961</v>
      </c>
      <c r="H661" s="43">
        <f>H660-K661</f>
        <v>458219.55216284981</v>
      </c>
      <c r="I661" s="43">
        <v>4360</v>
      </c>
      <c r="J661" s="43">
        <v>4360</v>
      </c>
      <c r="K661" s="43">
        <f>J661/0.786+1</f>
        <v>5548.0737913486</v>
      </c>
      <c r="L661" s="44"/>
      <c r="M661" s="92"/>
      <c r="N661" s="35"/>
      <c r="O661" s="29">
        <v>46249</v>
      </c>
      <c r="P661" s="28">
        <f>DATE(YEAR(O661)+1,MONTH(O661),DAY(O661))-1</f>
        <v>46613</v>
      </c>
    </row>
    <row r="662" spans="2:16" ht="20.149999999999999" customHeight="1" x14ac:dyDescent="0.2">
      <c r="B662" s="30">
        <v>46252</v>
      </c>
      <c r="C662" s="31" t="s">
        <v>1970</v>
      </c>
      <c r="D662" s="31" t="s">
        <v>1965</v>
      </c>
      <c r="E662" s="31" t="s">
        <v>675</v>
      </c>
      <c r="F662" s="31">
        <v>20260811010</v>
      </c>
      <c r="G662" s="83" t="s">
        <v>1829</v>
      </c>
      <c r="H662" s="41">
        <f>H655-K662</f>
        <v>507447.47073791345</v>
      </c>
      <c r="I662" s="41">
        <v>4240</v>
      </c>
      <c r="J662" s="41">
        <v>4200</v>
      </c>
      <c r="K662" s="41">
        <f t="shared" si="72"/>
        <v>5343.5114503816794</v>
      </c>
      <c r="L662" s="42"/>
      <c r="M662" s="89"/>
      <c r="N662" s="31"/>
      <c r="O662" s="29">
        <v>46250</v>
      </c>
      <c r="P662" s="28">
        <f>DATE(YEAR(O662)+1,MONTH(O662),DAY(O662))-1</f>
        <v>46614</v>
      </c>
    </row>
    <row r="663" spans="2:16" ht="20.149999999999999" customHeight="1" x14ac:dyDescent="0.2">
      <c r="B663" s="30">
        <v>46252</v>
      </c>
      <c r="C663" s="31" t="s">
        <v>1975</v>
      </c>
      <c r="D663" s="31" t="s">
        <v>1969</v>
      </c>
      <c r="E663" s="31" t="s">
        <v>675</v>
      </c>
      <c r="F663" s="31" t="s">
        <v>2283</v>
      </c>
      <c r="G663" s="83" t="s">
        <v>1829</v>
      </c>
      <c r="H663" s="41">
        <f>H662-K663</f>
        <v>502116.68193384219</v>
      </c>
      <c r="I663" s="41">
        <v>4200</v>
      </c>
      <c r="J663" s="41">
        <v>4190</v>
      </c>
      <c r="K663" s="41">
        <f t="shared" ref="K663" si="74">J663/0.786</f>
        <v>5330.7888040712469</v>
      </c>
      <c r="L663" s="42"/>
      <c r="M663" s="89"/>
      <c r="N663" s="31"/>
      <c r="O663" s="29">
        <v>46251</v>
      </c>
      <c r="P663" s="28">
        <f t="shared" ref="P663:P666" si="75">DATE(YEAR(O663)+1,MONTH(O663),DAY(O663))-1</f>
        <v>46615</v>
      </c>
    </row>
    <row r="664" spans="2:16" ht="20.149999999999999" customHeight="1" x14ac:dyDescent="0.2">
      <c r="B664" s="34">
        <v>46252</v>
      </c>
      <c r="C664" s="35" t="s">
        <v>1971</v>
      </c>
      <c r="D664" s="35" t="s">
        <v>1966</v>
      </c>
      <c r="E664" s="35" t="s">
        <v>22</v>
      </c>
      <c r="F664" s="35">
        <v>20260811023</v>
      </c>
      <c r="G664" s="35" t="s">
        <v>1973</v>
      </c>
      <c r="H664" s="43">
        <f>H661-K664</f>
        <v>452760.53689567425</v>
      </c>
      <c r="I664" s="43">
        <v>4300</v>
      </c>
      <c r="J664" s="43">
        <v>4290</v>
      </c>
      <c r="K664" s="43">
        <f>J664/0.786+1</f>
        <v>5459.0152671755723</v>
      </c>
      <c r="L664" s="44"/>
      <c r="M664" s="92"/>
      <c r="N664" s="35"/>
      <c r="O664" s="29">
        <v>46250</v>
      </c>
      <c r="P664" s="28">
        <f t="shared" si="75"/>
        <v>46614</v>
      </c>
    </row>
    <row r="665" spans="2:16" ht="20.149999999999999" customHeight="1" x14ac:dyDescent="0.2">
      <c r="B665" s="34">
        <v>46252</v>
      </c>
      <c r="C665" s="35" t="s">
        <v>1976</v>
      </c>
      <c r="D665" s="35" t="s">
        <v>1967</v>
      </c>
      <c r="E665" s="35" t="s">
        <v>22</v>
      </c>
      <c r="F665" s="35">
        <v>20260811024</v>
      </c>
      <c r="G665" s="35" t="s">
        <v>1974</v>
      </c>
      <c r="H665" s="43">
        <f>H664-K665</f>
        <v>447441.47073791345</v>
      </c>
      <c r="I665" s="43">
        <v>4300</v>
      </c>
      <c r="J665" s="43">
        <v>4180</v>
      </c>
      <c r="K665" s="43">
        <f>J665/0.786+1</f>
        <v>5319.0661577608143</v>
      </c>
      <c r="L665" s="44"/>
      <c r="M665" s="92"/>
      <c r="N665" s="35"/>
      <c r="O665" s="29">
        <v>46250</v>
      </c>
      <c r="P665" s="28">
        <f t="shared" si="75"/>
        <v>46614</v>
      </c>
    </row>
    <row r="666" spans="2:16" ht="20.149999999999999" customHeight="1" x14ac:dyDescent="0.2">
      <c r="B666" s="62">
        <v>46253</v>
      </c>
      <c r="C666" s="61" t="s">
        <v>1983</v>
      </c>
      <c r="D666" s="61" t="s">
        <v>1978</v>
      </c>
      <c r="E666" s="61" t="s">
        <v>1034</v>
      </c>
      <c r="F666" s="61">
        <v>20260815001</v>
      </c>
      <c r="G666" s="61" t="s">
        <v>1828</v>
      </c>
      <c r="H666" s="64">
        <f>H654-K666</f>
        <v>129933.38676844785</v>
      </c>
      <c r="I666" s="64">
        <v>4400</v>
      </c>
      <c r="J666" s="64">
        <v>4110</v>
      </c>
      <c r="K666" s="64">
        <f>J666/0.786+1</f>
        <v>5230.0076335877857</v>
      </c>
      <c r="L666" s="65"/>
      <c r="M666" s="93"/>
      <c r="N666" s="61"/>
      <c r="O666" s="29">
        <v>46250</v>
      </c>
      <c r="P666" s="28">
        <f t="shared" si="75"/>
        <v>46614</v>
      </c>
    </row>
    <row r="667" spans="2:16" ht="20.149999999999999" customHeight="1" x14ac:dyDescent="0.2">
      <c r="B667" s="30">
        <v>46253</v>
      </c>
      <c r="C667" s="31" t="s">
        <v>1984</v>
      </c>
      <c r="D667" s="31" t="s">
        <v>1979</v>
      </c>
      <c r="E667" s="31" t="s">
        <v>675</v>
      </c>
      <c r="F667" s="31" t="s">
        <v>2284</v>
      </c>
      <c r="G667" s="83" t="s">
        <v>1829</v>
      </c>
      <c r="H667" s="41">
        <f>H663-K667</f>
        <v>496632.22137404577</v>
      </c>
      <c r="I667" s="41">
        <v>4360</v>
      </c>
      <c r="J667" s="41">
        <v>4310</v>
      </c>
      <c r="K667" s="41">
        <f>J667/0.786+1</f>
        <v>5484.4605597964373</v>
      </c>
      <c r="L667" s="42"/>
      <c r="M667" s="89"/>
      <c r="N667" s="31"/>
      <c r="O667" s="29">
        <v>46251</v>
      </c>
      <c r="P667" s="28">
        <f>DATE(YEAR(O667)+1,MONTH(O667),DAY(O667))-1</f>
        <v>46615</v>
      </c>
    </row>
    <row r="668" spans="2:16" ht="20.149999999999999" customHeight="1" x14ac:dyDescent="0.2">
      <c r="B668" s="34">
        <v>46253</v>
      </c>
      <c r="C668" s="35" t="s">
        <v>1987</v>
      </c>
      <c r="D668" s="35" t="s">
        <v>1980</v>
      </c>
      <c r="E668" s="35" t="s">
        <v>22</v>
      </c>
      <c r="F668" s="35">
        <v>20260817018</v>
      </c>
      <c r="G668" s="35" t="s">
        <v>1830</v>
      </c>
      <c r="H668" s="43">
        <f>H665-K668</f>
        <v>442008.90076335875</v>
      </c>
      <c r="I668" s="43">
        <v>4260</v>
      </c>
      <c r="J668" s="43">
        <v>4270</v>
      </c>
      <c r="K668" s="43">
        <f>J668/0.786</f>
        <v>5432.5699745547072</v>
      </c>
      <c r="L668" s="44"/>
      <c r="M668" s="92"/>
      <c r="N668" s="35"/>
      <c r="O668" s="29">
        <v>46251</v>
      </c>
      <c r="P668" s="28">
        <f t="shared" ref="P668:P731" si="76">DATE(YEAR(O668)+1,MONTH(O668),DAY(O668))-1</f>
        <v>46615</v>
      </c>
    </row>
    <row r="669" spans="2:16" ht="20.149999999999999" customHeight="1" x14ac:dyDescent="0.2">
      <c r="B669" s="45">
        <v>46253</v>
      </c>
      <c r="C669" s="46" t="s">
        <v>1988</v>
      </c>
      <c r="D669" s="46" t="s">
        <v>1981</v>
      </c>
      <c r="E669" s="46" t="s">
        <v>641</v>
      </c>
      <c r="F669" s="46">
        <v>20260817019</v>
      </c>
      <c r="G669" s="46" t="s">
        <v>1994</v>
      </c>
      <c r="H669" s="48">
        <f>60000-K669</f>
        <v>54567.43002544529</v>
      </c>
      <c r="I669" s="48">
        <v>4290</v>
      </c>
      <c r="J669" s="48">
        <v>4270</v>
      </c>
      <c r="K669" s="48">
        <f t="shared" ref="K669" si="77">J669/0.786</f>
        <v>5432.5699745547072</v>
      </c>
      <c r="L669" s="49"/>
      <c r="M669" s="84"/>
      <c r="N669" s="46"/>
      <c r="O669" s="29">
        <v>46251</v>
      </c>
      <c r="P669" s="28">
        <f t="shared" si="76"/>
        <v>46615</v>
      </c>
    </row>
    <row r="670" spans="2:16" ht="20.149999999999999" customHeight="1" x14ac:dyDescent="0.2">
      <c r="B670" s="30">
        <v>46254</v>
      </c>
      <c r="C670" s="31" t="s">
        <v>1997</v>
      </c>
      <c r="D670" s="31" t="s">
        <v>1989</v>
      </c>
      <c r="E670" s="31" t="s">
        <v>675</v>
      </c>
      <c r="F670" s="31">
        <v>20260817007</v>
      </c>
      <c r="G670" s="83" t="s">
        <v>1999</v>
      </c>
      <c r="H670" s="41">
        <f>H667-K670</f>
        <v>491263.26463104325</v>
      </c>
      <c r="I670" s="41">
        <v>4170</v>
      </c>
      <c r="J670" s="41">
        <v>4220</v>
      </c>
      <c r="K670" s="41">
        <f t="shared" ref="K670:K686" si="78">J670/0.786</f>
        <v>5368.9567430025445</v>
      </c>
      <c r="L670" s="42"/>
      <c r="M670" s="89"/>
      <c r="N670" s="31"/>
      <c r="O670" s="29">
        <v>46252</v>
      </c>
      <c r="P670" s="28">
        <f t="shared" si="76"/>
        <v>46616</v>
      </c>
    </row>
    <row r="671" spans="2:16" ht="20.149999999999999" customHeight="1" x14ac:dyDescent="0.2">
      <c r="B671" s="30">
        <v>46254</v>
      </c>
      <c r="C671" s="31" t="s">
        <v>2003</v>
      </c>
      <c r="D671" s="31" t="s">
        <v>1990</v>
      </c>
      <c r="E671" s="31" t="s">
        <v>675</v>
      </c>
      <c r="F671" s="31">
        <v>20260817008</v>
      </c>
      <c r="G671" s="83" t="s">
        <v>1829</v>
      </c>
      <c r="H671" s="41">
        <f>H670-K671</f>
        <v>485855.13994910941</v>
      </c>
      <c r="I671" s="41">
        <v>4250</v>
      </c>
      <c r="J671" s="41">
        <v>4250</v>
      </c>
      <c r="K671" s="41">
        <f>J671/0.786+1</f>
        <v>5408.1246819338421</v>
      </c>
      <c r="L671" s="42"/>
      <c r="M671" s="89"/>
      <c r="N671" s="31"/>
      <c r="O671" s="29">
        <v>46253</v>
      </c>
      <c r="P671" s="28">
        <f t="shared" si="76"/>
        <v>46617</v>
      </c>
    </row>
    <row r="672" spans="2:16" ht="20.149999999999999" customHeight="1" x14ac:dyDescent="0.2">
      <c r="B672" s="34">
        <v>46254</v>
      </c>
      <c r="C672" s="35" t="s">
        <v>1995</v>
      </c>
      <c r="D672" s="35" t="s">
        <v>1991</v>
      </c>
      <c r="E672" s="35" t="s">
        <v>22</v>
      </c>
      <c r="F672" s="35">
        <v>20260817020</v>
      </c>
      <c r="G672" s="35" t="s">
        <v>2000</v>
      </c>
      <c r="H672" s="43">
        <f>H668-K672</f>
        <v>436422.65903307887</v>
      </c>
      <c r="I672" s="43">
        <v>4400</v>
      </c>
      <c r="J672" s="43">
        <v>4390</v>
      </c>
      <c r="K672" s="43">
        <f>J672/0.786+1</f>
        <v>5586.2417302798976</v>
      </c>
      <c r="L672" s="44"/>
      <c r="M672" s="92"/>
      <c r="N672" s="35"/>
      <c r="O672" s="29">
        <v>46252</v>
      </c>
      <c r="P672" s="28">
        <f t="shared" si="76"/>
        <v>46616</v>
      </c>
    </row>
    <row r="673" spans="2:16" ht="20.149999999999999" customHeight="1" x14ac:dyDescent="0.2">
      <c r="B673" s="34">
        <v>46254</v>
      </c>
      <c r="C673" s="35" t="s">
        <v>1996</v>
      </c>
      <c r="D673" s="35" t="s">
        <v>1992</v>
      </c>
      <c r="E673" s="35" t="s">
        <v>22</v>
      </c>
      <c r="F673" s="35">
        <v>20260817021</v>
      </c>
      <c r="G673" s="35" t="s">
        <v>2001</v>
      </c>
      <c r="H673" s="43">
        <f>H672-K673</f>
        <v>431065.42493638676</v>
      </c>
      <c r="I673" s="43">
        <v>4180</v>
      </c>
      <c r="J673" s="43">
        <v>4210</v>
      </c>
      <c r="K673" s="43">
        <f>J673/0.786+1</f>
        <v>5357.234096692112</v>
      </c>
      <c r="L673" s="44"/>
      <c r="M673" s="92"/>
      <c r="N673" s="35"/>
      <c r="O673" s="29">
        <v>46252</v>
      </c>
      <c r="P673" s="28">
        <f t="shared" si="76"/>
        <v>46616</v>
      </c>
    </row>
    <row r="674" spans="2:16" ht="20.149999999999999" customHeight="1" x14ac:dyDescent="0.2">
      <c r="B674" s="34">
        <v>46254</v>
      </c>
      <c r="C674" s="35" t="s">
        <v>2009</v>
      </c>
      <c r="D674" s="35" t="s">
        <v>2004</v>
      </c>
      <c r="E674" s="35" t="s">
        <v>22</v>
      </c>
      <c r="F674" s="35">
        <v>20260817022</v>
      </c>
      <c r="G674" s="35" t="s">
        <v>1830</v>
      </c>
      <c r="H674" s="43">
        <f>H673-K674</f>
        <v>425632.85496183205</v>
      </c>
      <c r="I674" s="43">
        <v>4280</v>
      </c>
      <c r="J674" s="43">
        <v>4270</v>
      </c>
      <c r="K674" s="43">
        <f>J674/0.786</f>
        <v>5432.5699745547072</v>
      </c>
      <c r="L674" s="44"/>
      <c r="M674" s="92"/>
      <c r="N674" s="35"/>
      <c r="O674" s="29">
        <v>46253</v>
      </c>
      <c r="P674" s="28">
        <f>DATE(YEAR(O674)+1,MONTH(O674),DAY(O674))-1</f>
        <v>46617</v>
      </c>
    </row>
    <row r="675" spans="2:16" ht="20.149999999999999" customHeight="1" x14ac:dyDescent="0.2">
      <c r="B675" s="30">
        <v>46255</v>
      </c>
      <c r="C675" s="31" t="s">
        <v>2010</v>
      </c>
      <c r="D675" s="31" t="s">
        <v>2005</v>
      </c>
      <c r="E675" s="31" t="s">
        <v>675</v>
      </c>
      <c r="F675" s="31">
        <v>20260817009</v>
      </c>
      <c r="G675" s="83" t="s">
        <v>2012</v>
      </c>
      <c r="H675" s="41">
        <f>H671-K675</f>
        <v>480319.78880407126</v>
      </c>
      <c r="I675" s="41">
        <v>4470</v>
      </c>
      <c r="J675" s="41">
        <v>4350</v>
      </c>
      <c r="K675" s="41">
        <f>J675/0.786+1</f>
        <v>5535.3511450381675</v>
      </c>
      <c r="L675" s="42"/>
      <c r="M675" s="89"/>
      <c r="N675" s="31"/>
      <c r="O675" s="29">
        <v>46253</v>
      </c>
      <c r="P675" s="28">
        <f t="shared" si="76"/>
        <v>46617</v>
      </c>
    </row>
    <row r="676" spans="2:16" ht="20.149999999999999" customHeight="1" x14ac:dyDescent="0.2">
      <c r="B676" s="30">
        <v>46255</v>
      </c>
      <c r="C676" s="31" t="s">
        <v>2013</v>
      </c>
      <c r="D676" s="31" t="s">
        <v>2006</v>
      </c>
      <c r="E676" s="31" t="s">
        <v>675</v>
      </c>
      <c r="F676" s="31">
        <v>20260817010</v>
      </c>
      <c r="G676" s="83" t="s">
        <v>1829</v>
      </c>
      <c r="H676" s="41">
        <f>H675-K676</f>
        <v>474822.60559796437</v>
      </c>
      <c r="I676" s="41">
        <v>4310</v>
      </c>
      <c r="J676" s="41">
        <v>4320</v>
      </c>
      <c r="K676" s="41">
        <f>J676/0.786+1</f>
        <v>5497.1832061068699</v>
      </c>
      <c r="L676" s="42"/>
      <c r="M676" s="89"/>
      <c r="N676" s="31"/>
      <c r="O676" s="29">
        <v>46253</v>
      </c>
      <c r="P676" s="28">
        <f t="shared" si="76"/>
        <v>46617</v>
      </c>
    </row>
    <row r="677" spans="2:16" ht="20.149999999999999" customHeight="1" x14ac:dyDescent="0.2">
      <c r="B677" s="34">
        <v>46255</v>
      </c>
      <c r="C677" s="35" t="s">
        <v>2011</v>
      </c>
      <c r="D677" s="35" t="s">
        <v>2007</v>
      </c>
      <c r="E677" s="35" t="s">
        <v>22</v>
      </c>
      <c r="F677" s="35">
        <v>20260817023</v>
      </c>
      <c r="G677" s="35" t="s">
        <v>1830</v>
      </c>
      <c r="H677" s="43">
        <f>H674-K677</f>
        <v>420313.78880407126</v>
      </c>
      <c r="I677" s="43">
        <v>4180</v>
      </c>
      <c r="J677" s="43">
        <v>4180</v>
      </c>
      <c r="K677" s="43">
        <f>J677/0.786+1</f>
        <v>5319.0661577608143</v>
      </c>
      <c r="L677" s="44"/>
      <c r="M677" s="92"/>
      <c r="N677" s="35"/>
      <c r="O677" s="29">
        <v>46253</v>
      </c>
      <c r="P677" s="28">
        <f t="shared" si="76"/>
        <v>46617</v>
      </c>
    </row>
    <row r="678" spans="2:16" ht="20.149999999999999" customHeight="1" x14ac:dyDescent="0.2">
      <c r="B678" s="34">
        <v>46255</v>
      </c>
      <c r="C678" s="35" t="s">
        <v>2014</v>
      </c>
      <c r="D678" s="35" t="s">
        <v>2008</v>
      </c>
      <c r="E678" s="35" t="s">
        <v>22</v>
      </c>
      <c r="F678" s="35">
        <v>20260817024</v>
      </c>
      <c r="G678" s="35" t="s">
        <v>2015</v>
      </c>
      <c r="H678" s="43">
        <f>H677-K678</f>
        <v>414816.60559796437</v>
      </c>
      <c r="I678" s="43">
        <v>4370</v>
      </c>
      <c r="J678" s="43">
        <v>4320</v>
      </c>
      <c r="K678" s="43">
        <f>J678/0.786+1</f>
        <v>5497.1832061068699</v>
      </c>
      <c r="L678" s="44"/>
      <c r="M678" s="92"/>
      <c r="N678" s="35"/>
      <c r="O678" s="29">
        <v>46254</v>
      </c>
      <c r="P678" s="28">
        <f t="shared" si="76"/>
        <v>46618</v>
      </c>
    </row>
    <row r="679" spans="2:16" ht="20.149999999999999" customHeight="1" x14ac:dyDescent="0.2">
      <c r="B679" s="30">
        <v>46256</v>
      </c>
      <c r="C679" s="31" t="s">
        <v>2019</v>
      </c>
      <c r="D679" s="31" t="s">
        <v>2016</v>
      </c>
      <c r="E679" s="31" t="s">
        <v>675</v>
      </c>
      <c r="F679" s="31">
        <v>20260817011</v>
      </c>
      <c r="G679" s="83" t="s">
        <v>1829</v>
      </c>
      <c r="H679" s="41">
        <f>H676-K679</f>
        <v>469453.64885496185</v>
      </c>
      <c r="I679" s="41">
        <v>4230</v>
      </c>
      <c r="J679" s="41">
        <v>4220</v>
      </c>
      <c r="K679" s="41">
        <f t="shared" si="78"/>
        <v>5368.9567430025445</v>
      </c>
      <c r="L679" s="42"/>
      <c r="M679" s="89"/>
      <c r="N679" s="31"/>
      <c r="O679" s="29">
        <v>46254</v>
      </c>
      <c r="P679" s="28">
        <f t="shared" si="76"/>
        <v>46618</v>
      </c>
    </row>
    <row r="680" spans="2:16" ht="20.149999999999999" customHeight="1" x14ac:dyDescent="0.2">
      <c r="B680" s="34">
        <v>46256</v>
      </c>
      <c r="C680" s="35" t="s">
        <v>2024</v>
      </c>
      <c r="D680" s="35" t="s">
        <v>2017</v>
      </c>
      <c r="E680" s="35" t="s">
        <v>22</v>
      </c>
      <c r="F680" s="35">
        <v>20260817025</v>
      </c>
      <c r="G680" s="35" t="s">
        <v>1830</v>
      </c>
      <c r="H680" s="43">
        <f>H678-K680</f>
        <v>409447.64885496185</v>
      </c>
      <c r="I680" s="43">
        <v>4210</v>
      </c>
      <c r="J680" s="43">
        <v>4220</v>
      </c>
      <c r="K680" s="43">
        <f>J680/0.786</f>
        <v>5368.9567430025445</v>
      </c>
      <c r="L680" s="44"/>
      <c r="M680" s="92"/>
      <c r="N680" s="35"/>
      <c r="O680" s="29">
        <v>46254</v>
      </c>
      <c r="P680" s="28">
        <f t="shared" si="76"/>
        <v>46618</v>
      </c>
    </row>
    <row r="681" spans="2:16" ht="20.149999999999999" customHeight="1" x14ac:dyDescent="0.2">
      <c r="B681" s="34">
        <v>46256</v>
      </c>
      <c r="C681" s="35" t="s">
        <v>2020</v>
      </c>
      <c r="D681" s="35" t="s">
        <v>2018</v>
      </c>
      <c r="E681" s="35" t="s">
        <v>22</v>
      </c>
      <c r="F681" s="35">
        <v>20260817031</v>
      </c>
      <c r="G681" s="35" t="s">
        <v>1830</v>
      </c>
      <c r="H681" s="43">
        <f>H695-K681</f>
        <v>377220.1857506361</v>
      </c>
      <c r="I681" s="43">
        <v>4060</v>
      </c>
      <c r="J681" s="43">
        <v>4040</v>
      </c>
      <c r="K681" s="43">
        <f>J681/0.786</f>
        <v>5139.9491094147579</v>
      </c>
      <c r="L681" s="44"/>
      <c r="M681" s="92"/>
      <c r="N681" s="35"/>
      <c r="O681" s="29">
        <v>46254</v>
      </c>
      <c r="P681" s="28">
        <f t="shared" si="76"/>
        <v>46618</v>
      </c>
    </row>
    <row r="682" spans="2:16" ht="20.149999999999999" customHeight="1" x14ac:dyDescent="0.2">
      <c r="B682" s="30">
        <v>46257</v>
      </c>
      <c r="C682" s="31" t="s">
        <v>2033</v>
      </c>
      <c r="D682" s="31" t="s">
        <v>2025</v>
      </c>
      <c r="E682" s="31" t="s">
        <v>675</v>
      </c>
      <c r="F682" s="31">
        <v>20260817012</v>
      </c>
      <c r="G682" s="83" t="s">
        <v>1829</v>
      </c>
      <c r="H682" s="41">
        <f>H679-K682</f>
        <v>463956.46564885497</v>
      </c>
      <c r="I682" s="41">
        <v>4350</v>
      </c>
      <c r="J682" s="41">
        <v>4320</v>
      </c>
      <c r="K682" s="41">
        <f>J682/0.786+1</f>
        <v>5497.1832061068699</v>
      </c>
      <c r="L682" s="42"/>
      <c r="M682" s="89"/>
      <c r="N682" s="31"/>
      <c r="O682" s="29">
        <v>46255</v>
      </c>
      <c r="P682" s="28">
        <f t="shared" si="76"/>
        <v>46619</v>
      </c>
    </row>
    <row r="683" spans="2:16" ht="20.149999999999999" customHeight="1" x14ac:dyDescent="0.2">
      <c r="B683" s="30">
        <v>46257</v>
      </c>
      <c r="C683" s="31" t="s">
        <v>2034</v>
      </c>
      <c r="D683" s="31" t="s">
        <v>2026</v>
      </c>
      <c r="E683" s="31" t="s">
        <v>675</v>
      </c>
      <c r="F683" s="31">
        <v>20260817013</v>
      </c>
      <c r="G683" s="83" t="s">
        <v>2029</v>
      </c>
      <c r="H683" s="41">
        <f>H682-K683</f>
        <v>458472.00508905854</v>
      </c>
      <c r="I683" s="41">
        <v>4290</v>
      </c>
      <c r="J683" s="41">
        <v>4310</v>
      </c>
      <c r="K683" s="41">
        <f>J683/0.786+1</f>
        <v>5484.4605597964373</v>
      </c>
      <c r="L683" s="42"/>
      <c r="M683" s="89"/>
      <c r="N683" s="31"/>
      <c r="O683" s="29">
        <v>46255</v>
      </c>
      <c r="P683" s="28">
        <f t="shared" si="76"/>
        <v>46619</v>
      </c>
    </row>
    <row r="684" spans="2:16" ht="20.149999999999999" customHeight="1" x14ac:dyDescent="0.2">
      <c r="B684" s="34">
        <v>46257</v>
      </c>
      <c r="C684" s="35" t="s">
        <v>2035</v>
      </c>
      <c r="D684" s="35" t="s">
        <v>2027</v>
      </c>
      <c r="E684" s="35" t="s">
        <v>22</v>
      </c>
      <c r="F684" s="35">
        <v>20260817026</v>
      </c>
      <c r="G684" s="35" t="s">
        <v>2030</v>
      </c>
      <c r="H684" s="43">
        <f>H680-K684</f>
        <v>404256.80916030536</v>
      </c>
      <c r="I684" s="43">
        <v>4140</v>
      </c>
      <c r="J684" s="43">
        <v>4080</v>
      </c>
      <c r="K684" s="43">
        <f>J684/0.786</f>
        <v>5190.8396946564881</v>
      </c>
      <c r="L684" s="44"/>
      <c r="M684" s="92"/>
      <c r="N684" s="35"/>
      <c r="O684" s="29">
        <v>46255</v>
      </c>
      <c r="P684" s="28">
        <f t="shared" si="76"/>
        <v>46619</v>
      </c>
    </row>
    <row r="685" spans="2:16" ht="20.149999999999999" customHeight="1" x14ac:dyDescent="0.2">
      <c r="B685" s="34">
        <v>46257</v>
      </c>
      <c r="C685" s="35" t="s">
        <v>2036</v>
      </c>
      <c r="D685" s="35" t="s">
        <v>2028</v>
      </c>
      <c r="E685" s="35" t="s">
        <v>22</v>
      </c>
      <c r="F685" s="35">
        <v>20260817027</v>
      </c>
      <c r="G685" s="35" t="s">
        <v>1830</v>
      </c>
      <c r="H685" s="43">
        <f>H684-K685</f>
        <v>398810.5165394402</v>
      </c>
      <c r="I685" s="43">
        <v>4310</v>
      </c>
      <c r="J685" s="43">
        <v>4280</v>
      </c>
      <c r="K685" s="43">
        <f>J685/0.786+1</f>
        <v>5446.2926208651397</v>
      </c>
      <c r="L685" s="44"/>
      <c r="M685" s="92"/>
      <c r="N685" s="35"/>
      <c r="O685" s="29">
        <v>46255</v>
      </c>
      <c r="P685" s="28">
        <f t="shared" si="76"/>
        <v>46619</v>
      </c>
    </row>
    <row r="686" spans="2:16" ht="20.149999999999999" customHeight="1" x14ac:dyDescent="0.2">
      <c r="B686" s="30">
        <v>46258</v>
      </c>
      <c r="C686" s="31" t="s">
        <v>2042</v>
      </c>
      <c r="D686" s="31" t="s">
        <v>2037</v>
      </c>
      <c r="E686" s="31" t="s">
        <v>675</v>
      </c>
      <c r="F686" s="31">
        <v>20260817014</v>
      </c>
      <c r="G686" s="83" t="s">
        <v>1829</v>
      </c>
      <c r="H686" s="41">
        <f>H683-K686</f>
        <v>453090.32569974556</v>
      </c>
      <c r="I686" s="41">
        <v>4320</v>
      </c>
      <c r="J686" s="41">
        <v>4230</v>
      </c>
      <c r="K686" s="41">
        <f t="shared" si="78"/>
        <v>5381.679389312977</v>
      </c>
      <c r="L686" s="42"/>
      <c r="M686" s="89"/>
      <c r="N686" s="31"/>
      <c r="O686" s="29">
        <v>46256</v>
      </c>
      <c r="P686" s="28">
        <f t="shared" si="76"/>
        <v>46620</v>
      </c>
    </row>
    <row r="687" spans="2:16" ht="20.3" customHeight="1" x14ac:dyDescent="0.2">
      <c r="B687" s="34">
        <v>46258</v>
      </c>
      <c r="C687" s="35" t="s">
        <v>2043</v>
      </c>
      <c r="D687" s="35" t="s">
        <v>2038</v>
      </c>
      <c r="E687" s="35" t="s">
        <v>22</v>
      </c>
      <c r="F687" s="35">
        <v>20260817028</v>
      </c>
      <c r="G687" s="35" t="s">
        <v>2044</v>
      </c>
      <c r="H687" s="43">
        <f>H685-K687</f>
        <v>393377.9465648855</v>
      </c>
      <c r="I687" s="43">
        <v>4260</v>
      </c>
      <c r="J687" s="43">
        <v>4270</v>
      </c>
      <c r="K687" s="43">
        <f>J687/0.786</f>
        <v>5432.5699745547072</v>
      </c>
      <c r="L687" s="44"/>
      <c r="M687" s="92"/>
      <c r="N687" s="35"/>
      <c r="O687" s="29">
        <v>46256</v>
      </c>
      <c r="P687" s="28">
        <f t="shared" si="76"/>
        <v>46620</v>
      </c>
    </row>
    <row r="688" spans="2:16" ht="20.149999999999999" customHeight="1" x14ac:dyDescent="0.2">
      <c r="B688" s="34">
        <v>46258</v>
      </c>
      <c r="C688" s="35" t="s">
        <v>2041</v>
      </c>
      <c r="D688" s="35" t="s">
        <v>2039</v>
      </c>
      <c r="E688" s="35" t="s">
        <v>22</v>
      </c>
      <c r="F688" s="35">
        <v>20260817029</v>
      </c>
      <c r="G688" s="35" t="s">
        <v>2045</v>
      </c>
      <c r="H688" s="43">
        <f>H687-K688</f>
        <v>387958.0992366412</v>
      </c>
      <c r="I688" s="43">
        <v>4210</v>
      </c>
      <c r="J688" s="43">
        <v>4260</v>
      </c>
      <c r="K688" s="43">
        <f>J688/0.786</f>
        <v>5419.8473282442746</v>
      </c>
      <c r="L688" s="44"/>
      <c r="M688" s="92"/>
      <c r="N688" s="35"/>
      <c r="O688" s="29">
        <v>46256</v>
      </c>
      <c r="P688" s="28">
        <f t="shared" si="76"/>
        <v>46620</v>
      </c>
    </row>
    <row r="689" spans="2:16" ht="20.149999999999999" customHeight="1" x14ac:dyDescent="0.2">
      <c r="B689" s="62">
        <v>46259</v>
      </c>
      <c r="C689" s="61" t="s">
        <v>2055</v>
      </c>
      <c r="D689" s="61" t="s">
        <v>2053</v>
      </c>
      <c r="E689" s="61" t="s">
        <v>1034</v>
      </c>
      <c r="F689" s="61">
        <v>20260815002</v>
      </c>
      <c r="G689" s="61" t="s">
        <v>2054</v>
      </c>
      <c r="H689" s="64">
        <f>H666-K689</f>
        <v>124589.87531806617</v>
      </c>
      <c r="I689" s="64">
        <v>4270</v>
      </c>
      <c r="J689" s="64">
        <v>4200</v>
      </c>
      <c r="K689" s="64">
        <f>J689/0.786</f>
        <v>5343.5114503816794</v>
      </c>
      <c r="L689" s="65"/>
      <c r="M689" s="93"/>
      <c r="N689" s="61"/>
      <c r="O689" s="29">
        <v>46257</v>
      </c>
      <c r="P689" s="28">
        <f>DATE(YEAR(O689)+1,MONTH(O689),DAY(O689))-1</f>
        <v>46621</v>
      </c>
    </row>
    <row r="690" spans="2:16" ht="20.149999999999999" customHeight="1" x14ac:dyDescent="0.2">
      <c r="B690" s="30">
        <v>46259</v>
      </c>
      <c r="C690" s="31" t="s">
        <v>2049</v>
      </c>
      <c r="D690" s="31" t="s">
        <v>2047</v>
      </c>
      <c r="E690" s="31" t="s">
        <v>675</v>
      </c>
      <c r="F690" s="31">
        <v>20260817015</v>
      </c>
      <c r="G690" s="83" t="s">
        <v>2052</v>
      </c>
      <c r="H690" s="41">
        <f>H686-K690</f>
        <v>447517.80661577609</v>
      </c>
      <c r="I690" s="41">
        <v>4360</v>
      </c>
      <c r="J690" s="41">
        <v>4380</v>
      </c>
      <c r="K690" s="41">
        <f t="shared" ref="K690:K691" si="79">J690/0.786</f>
        <v>5572.5190839694651</v>
      </c>
      <c r="L690" s="42"/>
      <c r="M690" s="89"/>
      <c r="N690" s="31"/>
      <c r="O690" s="29">
        <v>46257</v>
      </c>
      <c r="P690" s="28">
        <f t="shared" si="76"/>
        <v>46621</v>
      </c>
    </row>
    <row r="691" spans="2:16" ht="20.149999999999999" customHeight="1" x14ac:dyDescent="0.2">
      <c r="B691" s="30">
        <v>46259</v>
      </c>
      <c r="C691" s="31" t="s">
        <v>2059</v>
      </c>
      <c r="D691" s="31" t="s">
        <v>2058</v>
      </c>
      <c r="E691" s="31" t="s">
        <v>675</v>
      </c>
      <c r="F691" s="31">
        <v>20260817016</v>
      </c>
      <c r="G691" s="83" t="s">
        <v>1829</v>
      </c>
      <c r="H691" s="41">
        <f>H690-K691</f>
        <v>442187.01781170483</v>
      </c>
      <c r="I691" s="41">
        <v>4140</v>
      </c>
      <c r="J691" s="41">
        <v>4190</v>
      </c>
      <c r="K691" s="41">
        <f t="shared" si="79"/>
        <v>5330.7888040712469</v>
      </c>
      <c r="L691" s="42"/>
      <c r="M691" s="89"/>
      <c r="N691" s="31"/>
      <c r="O691" s="29">
        <v>46258</v>
      </c>
      <c r="P691" s="28">
        <f t="shared" si="76"/>
        <v>46622</v>
      </c>
    </row>
    <row r="692" spans="2:16" ht="20.149999999999999" customHeight="1" x14ac:dyDescent="0.2">
      <c r="B692" s="34">
        <v>46259</v>
      </c>
      <c r="C692" s="35" t="s">
        <v>2060</v>
      </c>
      <c r="D692" s="35" t="s">
        <v>2057</v>
      </c>
      <c r="E692" s="35" t="s">
        <v>22</v>
      </c>
      <c r="F692" s="35">
        <v>20260824011</v>
      </c>
      <c r="G692" s="35" t="s">
        <v>1830</v>
      </c>
      <c r="H692" s="43">
        <f>H695-K692</f>
        <v>376812.06106870226</v>
      </c>
      <c r="I692" s="43">
        <v>4300</v>
      </c>
      <c r="J692" s="43">
        <v>4360</v>
      </c>
      <c r="K692" s="43">
        <f>J692/0.786+1</f>
        <v>5548.0737913486</v>
      </c>
      <c r="L692" s="44"/>
      <c r="M692" s="92"/>
      <c r="N692" s="35"/>
      <c r="O692" s="29">
        <v>46258</v>
      </c>
      <c r="P692" s="28">
        <f>DATE(YEAR(O692)+1,MONTH(O692),DAY(O692))-1</f>
        <v>46622</v>
      </c>
    </row>
    <row r="693" spans="2:16" ht="20.149999999999999" customHeight="1" x14ac:dyDescent="0.2">
      <c r="B693" s="30">
        <v>46260</v>
      </c>
      <c r="C693" s="31" t="s">
        <v>2069</v>
      </c>
      <c r="D693" s="31" t="s">
        <v>2064</v>
      </c>
      <c r="E693" s="31" t="s">
        <v>25</v>
      </c>
      <c r="F693" s="31" t="s">
        <v>2285</v>
      </c>
      <c r="G693" s="83" t="s">
        <v>1829</v>
      </c>
      <c r="H693" s="41">
        <f>H691-K693</f>
        <v>436549.88549618318</v>
      </c>
      <c r="I693" s="41">
        <v>4380</v>
      </c>
      <c r="J693" s="41">
        <v>4430</v>
      </c>
      <c r="K693" s="41">
        <f>J693/0.786+1</f>
        <v>5637.1323155216287</v>
      </c>
      <c r="L693" s="42"/>
      <c r="M693" s="89"/>
      <c r="N693" s="31"/>
      <c r="O693" s="29">
        <v>46258</v>
      </c>
      <c r="P693" s="28">
        <f t="shared" si="76"/>
        <v>46622</v>
      </c>
    </row>
    <row r="694" spans="2:16" ht="20.149999999999999" customHeight="1" x14ac:dyDescent="0.2">
      <c r="B694" s="30">
        <v>46260</v>
      </c>
      <c r="C694" s="31" t="s">
        <v>2068</v>
      </c>
      <c r="D694" s="31" t="s">
        <v>2065</v>
      </c>
      <c r="E694" s="31" t="s">
        <v>25</v>
      </c>
      <c r="F694" s="31" t="s">
        <v>2286</v>
      </c>
      <c r="G694" s="83" t="s">
        <v>1829</v>
      </c>
      <c r="H694" s="41">
        <f>H693-K694</f>
        <v>430977.36641221371</v>
      </c>
      <c r="I694" s="41">
        <v>4400</v>
      </c>
      <c r="J694" s="41">
        <v>4380</v>
      </c>
      <c r="K694" s="41">
        <f>J694/0.786</f>
        <v>5572.5190839694651</v>
      </c>
      <c r="L694" s="42"/>
      <c r="M694" s="89"/>
      <c r="N694" s="31"/>
      <c r="O694" s="29">
        <v>46259</v>
      </c>
      <c r="P694" s="28">
        <f>DATE(YEAR(O694)+1,MONTH(O694),DAY(O694))-1</f>
        <v>46623</v>
      </c>
    </row>
    <row r="695" spans="2:16" ht="20.149999999999999" customHeight="1" x14ac:dyDescent="0.2">
      <c r="B695" s="34">
        <v>46260</v>
      </c>
      <c r="C695" s="35" t="s">
        <v>2050</v>
      </c>
      <c r="D695" s="35" t="s">
        <v>2048</v>
      </c>
      <c r="E695" s="35" t="s">
        <v>22</v>
      </c>
      <c r="F695" s="35">
        <v>20260817030</v>
      </c>
      <c r="G695" s="35" t="s">
        <v>2051</v>
      </c>
      <c r="H695" s="43">
        <f>H688-K695</f>
        <v>382360.13486005086</v>
      </c>
      <c r="I695" s="43">
        <v>4360</v>
      </c>
      <c r="J695" s="43">
        <v>4400</v>
      </c>
      <c r="K695" s="43">
        <f t="shared" ref="K695" si="80">J695/0.786</f>
        <v>5597.9643765903302</v>
      </c>
      <c r="L695" s="44"/>
      <c r="M695" s="92"/>
      <c r="N695" s="35"/>
      <c r="O695" s="29">
        <v>46257</v>
      </c>
      <c r="P695" s="28">
        <f>DATE(YEAR(O695)+1,MONTH(O695),DAY(O695))-1</f>
        <v>46621</v>
      </c>
    </row>
    <row r="696" spans="2:16" ht="20.149999999999999" customHeight="1" x14ac:dyDescent="0.2">
      <c r="B696" s="34">
        <v>46260</v>
      </c>
      <c r="C696" s="35" t="s">
        <v>2067</v>
      </c>
      <c r="D696" s="35" t="s">
        <v>2066</v>
      </c>
      <c r="E696" s="35" t="s">
        <v>22</v>
      </c>
      <c r="F696" s="35">
        <v>20260824012</v>
      </c>
      <c r="G696" s="35" t="s">
        <v>1830</v>
      </c>
      <c r="H696" s="43">
        <f>H692-K696</f>
        <v>371214.09669211193</v>
      </c>
      <c r="I696" s="43">
        <v>4540</v>
      </c>
      <c r="J696" s="43">
        <v>4400</v>
      </c>
      <c r="K696" s="43">
        <f>J696/0.786</f>
        <v>5597.9643765903302</v>
      </c>
      <c r="L696" s="44"/>
      <c r="M696" s="92"/>
      <c r="N696" s="35"/>
      <c r="O696" s="29">
        <v>46259</v>
      </c>
      <c r="P696" s="28">
        <f>DATE(YEAR(O696)+1,MONTH(O696),DAY(O696))-1</f>
        <v>46623</v>
      </c>
    </row>
    <row r="697" spans="2:16" ht="20.149999999999999" customHeight="1" x14ac:dyDescent="0.2">
      <c r="B697" s="30">
        <v>46261</v>
      </c>
      <c r="C697" s="31" t="s">
        <v>2076</v>
      </c>
      <c r="D697" s="31" t="s">
        <v>2074</v>
      </c>
      <c r="E697" s="31" t="s">
        <v>25</v>
      </c>
      <c r="F697" s="31" t="s">
        <v>2287</v>
      </c>
      <c r="G697" s="83" t="s">
        <v>1829</v>
      </c>
      <c r="H697" s="41">
        <f>H694-K697</f>
        <v>425391.12468193384</v>
      </c>
      <c r="I697" s="41">
        <v>4400</v>
      </c>
      <c r="J697" s="41">
        <v>4390</v>
      </c>
      <c r="K697" s="41">
        <f>J697/0.786+1</f>
        <v>5586.2417302798976</v>
      </c>
      <c r="L697" s="42"/>
      <c r="M697" s="89"/>
      <c r="N697" s="31"/>
      <c r="O697" s="29">
        <v>46260</v>
      </c>
      <c r="P697" s="28">
        <f t="shared" si="76"/>
        <v>46624</v>
      </c>
    </row>
    <row r="698" spans="2:16" ht="20" customHeight="1" x14ac:dyDescent="0.2">
      <c r="B698" s="34">
        <v>46261</v>
      </c>
      <c r="C698" s="35" t="s">
        <v>2075</v>
      </c>
      <c r="D698" s="35" t="s">
        <v>2073</v>
      </c>
      <c r="E698" s="35" t="s">
        <v>22</v>
      </c>
      <c r="F698" s="35">
        <v>20260824014</v>
      </c>
      <c r="G698" s="35" t="s">
        <v>1830</v>
      </c>
      <c r="H698" s="43">
        <f>H696-K698</f>
        <v>365576.96437659027</v>
      </c>
      <c r="I698" s="43">
        <v>4360</v>
      </c>
      <c r="J698" s="43">
        <v>4430</v>
      </c>
      <c r="K698" s="43">
        <f>J698/0.786+1</f>
        <v>5637.1323155216287</v>
      </c>
      <c r="L698" s="44"/>
      <c r="M698" s="92"/>
      <c r="N698" s="35"/>
      <c r="O698" s="29">
        <v>46259</v>
      </c>
      <c r="P698" s="28">
        <f>DATE(YEAR(O698)+1,MONTH(O698),DAY(O698))-1</f>
        <v>46623</v>
      </c>
    </row>
    <row r="699" spans="2:16" ht="20.149999999999999" customHeight="1" x14ac:dyDescent="0.2">
      <c r="B699" s="30">
        <v>46262</v>
      </c>
      <c r="C699" s="31" t="s">
        <v>2082</v>
      </c>
      <c r="D699" s="31" t="s">
        <v>2077</v>
      </c>
      <c r="E699" s="31" t="s">
        <v>25</v>
      </c>
      <c r="F699" s="31" t="s">
        <v>2288</v>
      </c>
      <c r="G699" s="83" t="s">
        <v>2079</v>
      </c>
      <c r="H699" s="41">
        <f>H697-K699</f>
        <v>419944.83206106868</v>
      </c>
      <c r="I699" s="41">
        <v>4340</v>
      </c>
      <c r="J699" s="41">
        <v>4280</v>
      </c>
      <c r="K699" s="41">
        <f>J699/0.786+1</f>
        <v>5446.2926208651397</v>
      </c>
      <c r="L699" s="42"/>
      <c r="M699" s="89"/>
      <c r="N699" s="31"/>
      <c r="O699" s="29">
        <v>46260</v>
      </c>
      <c r="P699" s="28">
        <f t="shared" si="76"/>
        <v>46624</v>
      </c>
    </row>
    <row r="700" spans="2:16" ht="20.149999999999999" customHeight="1" x14ac:dyDescent="0.2">
      <c r="B700" s="30">
        <v>46262</v>
      </c>
      <c r="C700" s="31" t="s">
        <v>2080</v>
      </c>
      <c r="D700" s="31" t="s">
        <v>2078</v>
      </c>
      <c r="E700" s="31" t="s">
        <v>25</v>
      </c>
      <c r="F700" s="31" t="s">
        <v>2289</v>
      </c>
      <c r="G700" s="83" t="s">
        <v>1829</v>
      </c>
      <c r="H700" s="41">
        <f>H699-K700</f>
        <v>414435.92620865139</v>
      </c>
      <c r="I700" s="41">
        <v>4290</v>
      </c>
      <c r="J700" s="41">
        <v>4330</v>
      </c>
      <c r="K700" s="41">
        <f t="shared" ref="K700:K713" si="81">J700/0.786</f>
        <v>5508.9058524173024</v>
      </c>
      <c r="L700" s="42"/>
      <c r="M700" s="89"/>
      <c r="N700" s="31"/>
      <c r="O700" s="29">
        <v>46260</v>
      </c>
      <c r="P700" s="28">
        <f t="shared" si="76"/>
        <v>46624</v>
      </c>
    </row>
    <row r="701" spans="2:16" ht="20.149999999999999" customHeight="1" x14ac:dyDescent="0.2">
      <c r="B701" s="34">
        <v>46262</v>
      </c>
      <c r="C701" s="35" t="s">
        <v>2083</v>
      </c>
      <c r="D701" s="35" t="str">
        <f>IF($C701="", "", MID($C701, 6, IF(MID($C701, LEN($C701)-1, 1)="J", 3, 4)))</f>
        <v>E308</v>
      </c>
      <c r="E701" s="35" t="s">
        <v>22</v>
      </c>
      <c r="F701" s="35">
        <v>20260824016</v>
      </c>
      <c r="G701" s="35" t="s">
        <v>1973</v>
      </c>
      <c r="H701" s="43">
        <f>H698-K701</f>
        <v>360257.89821882948</v>
      </c>
      <c r="I701" s="43">
        <v>4240</v>
      </c>
      <c r="J701" s="43">
        <v>4180</v>
      </c>
      <c r="K701" s="43">
        <f>J701/0.786+1</f>
        <v>5319.0661577608143</v>
      </c>
      <c r="L701" s="44"/>
      <c r="M701" s="92"/>
      <c r="N701" s="35"/>
      <c r="O701" s="29">
        <v>46260</v>
      </c>
      <c r="P701" s="28">
        <f>DATE(YEAR(O701)+1,MONTH(O701),DAY(O701))-1</f>
        <v>46624</v>
      </c>
    </row>
    <row r="702" spans="2:16" ht="20.149999999999999" customHeight="1" x14ac:dyDescent="0.2">
      <c r="B702" s="34">
        <v>46262</v>
      </c>
      <c r="C702" s="35" t="s">
        <v>2085</v>
      </c>
      <c r="D702" s="35" t="str">
        <f>IF($C702="", "", MID($C702, 6, IF(MID($C702, LEN($C702)-1, 1)="J", 3, 4)))</f>
        <v>E305</v>
      </c>
      <c r="E702" s="35" t="s">
        <v>22</v>
      </c>
      <c r="F702" s="35">
        <v>20260824017</v>
      </c>
      <c r="G702" s="35" t="s">
        <v>2081</v>
      </c>
      <c r="H702" s="43">
        <f>H701-K702</f>
        <v>354748.99236641219</v>
      </c>
      <c r="I702" s="43">
        <v>4340</v>
      </c>
      <c r="J702" s="43">
        <v>4330</v>
      </c>
      <c r="K702" s="43">
        <f>J702/0.786</f>
        <v>5508.9058524173024</v>
      </c>
      <c r="L702" s="44"/>
      <c r="M702" s="92"/>
      <c r="N702" s="35"/>
      <c r="O702" s="29">
        <v>46260</v>
      </c>
      <c r="P702" s="28">
        <f>DATE(YEAR(O702)+1,MONTH(O702),DAY(O702))-1</f>
        <v>46624</v>
      </c>
    </row>
    <row r="703" spans="2:16" ht="20.149999999999999" customHeight="1" x14ac:dyDescent="0.2">
      <c r="B703" s="30">
        <v>46263</v>
      </c>
      <c r="C703" s="31" t="s">
        <v>2088</v>
      </c>
      <c r="D703" s="31" t="str">
        <f t="shared" ref="D703:D743" si="82">IF($C703="", "", MID($C703, 6, IF(MID($C703, LEN($C703)-1, 1)="J", 3, 4)))</f>
        <v>E306</v>
      </c>
      <c r="E703" s="31" t="s">
        <v>25</v>
      </c>
      <c r="F703" s="31">
        <v>20260824006</v>
      </c>
      <c r="G703" s="83" t="s">
        <v>1829</v>
      </c>
      <c r="H703" s="41">
        <f>H700-K703</f>
        <v>409143.30534351146</v>
      </c>
      <c r="I703" s="41">
        <v>4190</v>
      </c>
      <c r="J703" s="41">
        <v>4160</v>
      </c>
      <c r="K703" s="41">
        <f t="shared" si="81"/>
        <v>5292.6208651399493</v>
      </c>
      <c r="L703" s="42"/>
      <c r="M703" s="89"/>
      <c r="N703" s="31"/>
      <c r="O703" s="29">
        <v>46261</v>
      </c>
      <c r="P703" s="28">
        <f t="shared" si="76"/>
        <v>46625</v>
      </c>
    </row>
    <row r="704" spans="2:16" ht="20.149999999999999" customHeight="1" x14ac:dyDescent="0.2">
      <c r="B704" s="34">
        <v>46263</v>
      </c>
      <c r="C704" s="35" t="s">
        <v>2090</v>
      </c>
      <c r="D704" s="35" t="str">
        <f t="shared" si="82"/>
        <v>E303</v>
      </c>
      <c r="E704" s="35" t="s">
        <v>22</v>
      </c>
      <c r="F704" s="35">
        <v>20260824018</v>
      </c>
      <c r="G704" s="35" t="s">
        <v>2089</v>
      </c>
      <c r="H704" s="43">
        <f>H702-K704</f>
        <v>349251.8091603053</v>
      </c>
      <c r="I704" s="43">
        <v>4310</v>
      </c>
      <c r="J704" s="43">
        <v>4320</v>
      </c>
      <c r="K704" s="43">
        <f>J704/0.786+1</f>
        <v>5497.1832061068699</v>
      </c>
      <c r="L704" s="44"/>
      <c r="M704" s="92"/>
      <c r="N704" s="35"/>
      <c r="O704" s="29">
        <v>46261</v>
      </c>
      <c r="P704" s="28">
        <f>DATE(YEAR(O704)+1,MONTH(O704),DAY(O704))-1</f>
        <v>46625</v>
      </c>
    </row>
    <row r="705" spans="2:16" ht="20.149999999999999" customHeight="1" x14ac:dyDescent="0.2">
      <c r="B705" s="34">
        <v>46263</v>
      </c>
      <c r="C705" s="35" t="s">
        <v>2092</v>
      </c>
      <c r="D705" s="35" t="str">
        <f t="shared" si="82"/>
        <v>E317</v>
      </c>
      <c r="E705" s="35" t="s">
        <v>22</v>
      </c>
      <c r="F705" s="35">
        <v>20260824019</v>
      </c>
      <c r="G705" s="35" t="s">
        <v>2091</v>
      </c>
      <c r="H705" s="43">
        <f>H704-K705</f>
        <v>343767.34860050888</v>
      </c>
      <c r="I705" s="43">
        <v>4300</v>
      </c>
      <c r="J705" s="43">
        <v>4310</v>
      </c>
      <c r="K705" s="43">
        <f>J705/0.786+1</f>
        <v>5484.4605597964373</v>
      </c>
      <c r="L705" s="44"/>
      <c r="M705" s="92"/>
      <c r="N705" s="35"/>
      <c r="O705" s="29">
        <v>46261</v>
      </c>
      <c r="P705" s="28">
        <f>DATE(YEAR(O705)+1,MONTH(O705),DAY(O705))-1</f>
        <v>46625</v>
      </c>
    </row>
    <row r="706" spans="2:16" ht="20.149999999999999" customHeight="1" x14ac:dyDescent="0.2">
      <c r="B706" s="34">
        <v>46263</v>
      </c>
      <c r="C706" s="35" t="s">
        <v>2094</v>
      </c>
      <c r="D706" s="35" t="str">
        <f>IF($C706="", "", MID($C706, 6, IF(MID($C706, LEN($C706)-1, 1)="J", 3, 4)))</f>
        <v>E319</v>
      </c>
      <c r="E706" s="35" t="s">
        <v>22</v>
      </c>
      <c r="F706" s="35">
        <v>20260824013</v>
      </c>
      <c r="G706" s="35" t="s">
        <v>1830</v>
      </c>
      <c r="H706" s="43">
        <f>H705-K706</f>
        <v>338359.22391857504</v>
      </c>
      <c r="I706" s="43">
        <v>4280</v>
      </c>
      <c r="J706" s="43">
        <v>4250</v>
      </c>
      <c r="K706" s="43">
        <f>J706/0.786+1</f>
        <v>5408.1246819338421</v>
      </c>
      <c r="L706" s="44"/>
      <c r="M706" s="92"/>
      <c r="N706" s="35"/>
      <c r="O706" s="29">
        <f>IF($C706="","",DATE(2000+LEFT($C706,2), HEX2DEC(MID($C706,3,1)), MID($C706,4,2)))</f>
        <v>46261</v>
      </c>
      <c r="P706" s="28">
        <f t="shared" ref="P706" si="83">DATE(YEAR(O706)+1,MONTH(O706),DAY(O706))-1</f>
        <v>46625</v>
      </c>
    </row>
    <row r="707" spans="2:16" ht="20.149999999999999" customHeight="1" x14ac:dyDescent="0.2">
      <c r="B707" s="62">
        <v>46264</v>
      </c>
      <c r="C707" s="61" t="s">
        <v>2095</v>
      </c>
      <c r="D707" s="61" t="str">
        <f t="shared" si="82"/>
        <v>E304</v>
      </c>
      <c r="E707" s="61" t="s">
        <v>1034</v>
      </c>
      <c r="F707" s="61">
        <v>20260818006</v>
      </c>
      <c r="G707" s="61" t="s">
        <v>1828</v>
      </c>
      <c r="H707" s="64">
        <f>H689-K707</f>
        <v>119309.97709923665</v>
      </c>
      <c r="I707" s="64">
        <v>4160</v>
      </c>
      <c r="J707" s="64">
        <v>4150</v>
      </c>
      <c r="K707" s="64">
        <f t="shared" ref="K707" si="84">J707/0.786</f>
        <v>5279.8982188295167</v>
      </c>
      <c r="L707" s="61"/>
      <c r="M707" s="93"/>
      <c r="N707" s="61"/>
      <c r="O707" s="29">
        <f t="shared" ref="O707:O744" si="85">IF($C707="","",DATE(2000+LEFT($C707,2), HEX2DEC(MID($C707,3,1)), MID($C707,4,2)))</f>
        <v>46259</v>
      </c>
      <c r="P707" s="28">
        <f>DATE(YEAR(O707)+1,MONTH(O707),DAY(O707))-1</f>
        <v>46623</v>
      </c>
    </row>
    <row r="708" spans="2:16" ht="20.149999999999999" customHeight="1" x14ac:dyDescent="0.2">
      <c r="B708" s="30">
        <v>46264</v>
      </c>
      <c r="C708" s="31" t="s">
        <v>2096</v>
      </c>
      <c r="D708" s="31" t="str">
        <f t="shared" si="82"/>
        <v>E309</v>
      </c>
      <c r="E708" s="31" t="s">
        <v>25</v>
      </c>
      <c r="F708" s="31">
        <v>20260824007</v>
      </c>
      <c r="G708" s="83" t="s">
        <v>1829</v>
      </c>
      <c r="H708" s="41">
        <f>H703-K708</f>
        <v>403684.29007633589</v>
      </c>
      <c r="I708" s="41">
        <v>4290</v>
      </c>
      <c r="J708" s="41">
        <v>4290</v>
      </c>
      <c r="K708" s="41">
        <f>J708/0.786+1</f>
        <v>5459.0152671755723</v>
      </c>
      <c r="L708" s="42"/>
      <c r="M708" s="89"/>
      <c r="N708" s="31"/>
      <c r="O708" s="29">
        <f t="shared" si="85"/>
        <v>46262</v>
      </c>
      <c r="P708" s="28">
        <f t="shared" si="76"/>
        <v>46626</v>
      </c>
    </row>
    <row r="709" spans="2:16" ht="20.149999999999999" customHeight="1" x14ac:dyDescent="0.2">
      <c r="B709" s="30">
        <v>46264</v>
      </c>
      <c r="C709" s="31" t="s">
        <v>2098</v>
      </c>
      <c r="D709" s="31" t="str">
        <f t="shared" si="82"/>
        <v>E307</v>
      </c>
      <c r="E709" s="31" t="s">
        <v>25</v>
      </c>
      <c r="F709" s="31">
        <v>20260824008</v>
      </c>
      <c r="G709" s="83" t="s">
        <v>1829</v>
      </c>
      <c r="H709" s="41">
        <f>H708-K709</f>
        <v>398365.2239185751</v>
      </c>
      <c r="I709" s="41">
        <v>4160</v>
      </c>
      <c r="J709" s="41">
        <v>4180</v>
      </c>
      <c r="K709" s="41">
        <f>J709/0.786+1</f>
        <v>5319.0661577608143</v>
      </c>
      <c r="L709" s="42"/>
      <c r="M709" s="89"/>
      <c r="N709" s="31"/>
      <c r="O709" s="29">
        <f t="shared" si="85"/>
        <v>46262</v>
      </c>
      <c r="P709" s="28">
        <f t="shared" si="76"/>
        <v>46626</v>
      </c>
    </row>
    <row r="710" spans="2:16" ht="20.149999999999999" customHeight="1" x14ac:dyDescent="0.2">
      <c r="B710" s="34">
        <v>46264</v>
      </c>
      <c r="C710" s="35" t="s">
        <v>2099</v>
      </c>
      <c r="D710" s="35" t="str">
        <f t="shared" si="82"/>
        <v>E308</v>
      </c>
      <c r="E710" s="35" t="s">
        <v>22</v>
      </c>
      <c r="F710" s="35">
        <v>20260824020</v>
      </c>
      <c r="G710" s="35" t="s">
        <v>1830</v>
      </c>
      <c r="H710" s="43">
        <f>H706-K710</f>
        <v>332837.59541984729</v>
      </c>
      <c r="I710" s="43">
        <v>4390</v>
      </c>
      <c r="J710" s="43">
        <v>4340</v>
      </c>
      <c r="K710" s="43">
        <f>J710/0.786</f>
        <v>5521.628498727735</v>
      </c>
      <c r="L710" s="44"/>
      <c r="M710" s="92"/>
      <c r="N710" s="35"/>
      <c r="O710" s="29">
        <f t="shared" si="85"/>
        <v>46262</v>
      </c>
      <c r="P710" s="28">
        <f>DATE(YEAR(O710)+1,MONTH(O710),DAY(O710))-1</f>
        <v>46626</v>
      </c>
    </row>
    <row r="711" spans="2:16" ht="20.149999999999999" customHeight="1" x14ac:dyDescent="0.2">
      <c r="B711" s="34">
        <v>46264</v>
      </c>
      <c r="C711" s="35" t="s">
        <v>2097</v>
      </c>
      <c r="D711" s="35" t="str">
        <f t="shared" si="82"/>
        <v>E318</v>
      </c>
      <c r="E711" s="35" t="s">
        <v>22</v>
      </c>
      <c r="F711" s="35">
        <v>20260824021</v>
      </c>
      <c r="G711" s="35" t="s">
        <v>1830</v>
      </c>
      <c r="H711" s="43">
        <f>H710-K711</f>
        <v>327405.02544529259</v>
      </c>
      <c r="I711" s="43">
        <v>4310</v>
      </c>
      <c r="J711" s="43">
        <v>4270</v>
      </c>
      <c r="K711" s="43">
        <f>J711/0.786</f>
        <v>5432.5699745547072</v>
      </c>
      <c r="L711" s="44"/>
      <c r="M711" s="92"/>
      <c r="N711" s="35"/>
      <c r="O711" s="29">
        <f t="shared" si="85"/>
        <v>46262</v>
      </c>
      <c r="P711" s="28">
        <f>DATE(YEAR(O711)+1,MONTH(O711),DAY(O711))-1</f>
        <v>46626</v>
      </c>
    </row>
    <row r="712" spans="2:16" ht="20.149999999999999" customHeight="1" x14ac:dyDescent="0.2">
      <c r="B712" s="30">
        <v>46265</v>
      </c>
      <c r="C712" s="31" t="s">
        <v>2103</v>
      </c>
      <c r="D712" s="31" t="str">
        <f t="shared" si="82"/>
        <v>E302</v>
      </c>
      <c r="E712" s="31" t="s">
        <v>25</v>
      </c>
      <c r="F712" s="31">
        <v>20260824009</v>
      </c>
      <c r="G712" s="83" t="s">
        <v>2101</v>
      </c>
      <c r="H712" s="41">
        <f>H709-K712</f>
        <v>393007.98982188298</v>
      </c>
      <c r="I712" s="41">
        <v>4190</v>
      </c>
      <c r="J712" s="41">
        <v>4210</v>
      </c>
      <c r="K712" s="41">
        <f>J712/0.786+1</f>
        <v>5357.234096692112</v>
      </c>
      <c r="L712" s="42"/>
      <c r="M712" s="89"/>
      <c r="N712" s="31"/>
      <c r="O712" s="29">
        <f t="shared" si="85"/>
        <v>46263</v>
      </c>
      <c r="P712" s="28">
        <f t="shared" si="76"/>
        <v>46627</v>
      </c>
    </row>
    <row r="713" spans="2:16" ht="20.149999999999999" customHeight="1" x14ac:dyDescent="0.2">
      <c r="B713" s="34">
        <v>46265</v>
      </c>
      <c r="C713" s="35" t="s">
        <v>2105</v>
      </c>
      <c r="D713" s="35" t="str">
        <f t="shared" si="82"/>
        <v>E303</v>
      </c>
      <c r="E713" s="35" t="s">
        <v>22</v>
      </c>
      <c r="F713" s="35">
        <v>20260824022</v>
      </c>
      <c r="G713" s="35" t="s">
        <v>1844</v>
      </c>
      <c r="H713" s="43">
        <f>H711-K713</f>
        <v>321896.1195928753</v>
      </c>
      <c r="I713" s="43">
        <v>4360</v>
      </c>
      <c r="J713" s="43">
        <v>4330</v>
      </c>
      <c r="K713" s="43">
        <f t="shared" si="81"/>
        <v>5508.9058524173024</v>
      </c>
      <c r="L713" s="44"/>
      <c r="M713" s="92"/>
      <c r="N713" s="35"/>
      <c r="O713" s="29">
        <f t="shared" si="85"/>
        <v>46263</v>
      </c>
      <c r="P713" s="28">
        <f t="shared" si="76"/>
        <v>46627</v>
      </c>
    </row>
    <row r="714" spans="2:16" ht="20.149999999999999" customHeight="1" x14ac:dyDescent="0.2">
      <c r="B714" s="34">
        <v>46265</v>
      </c>
      <c r="C714" s="35" t="s">
        <v>2104</v>
      </c>
      <c r="D714" s="35" t="str">
        <f t="shared" si="82"/>
        <v>E44</v>
      </c>
      <c r="E714" s="35" t="s">
        <v>22</v>
      </c>
      <c r="F714" s="35">
        <v>20260824023</v>
      </c>
      <c r="G714" s="35" t="s">
        <v>1844</v>
      </c>
      <c r="H714" s="43">
        <f>H713-K714</f>
        <v>316437.10432569974</v>
      </c>
      <c r="I714" s="43">
        <v>4340</v>
      </c>
      <c r="J714" s="43">
        <v>4290</v>
      </c>
      <c r="K714" s="43">
        <f>J714/0.786+1</f>
        <v>5459.0152671755723</v>
      </c>
      <c r="L714" s="44"/>
      <c r="M714" s="92"/>
      <c r="N714" s="35"/>
      <c r="O714" s="29">
        <f t="shared" si="85"/>
        <v>46263</v>
      </c>
      <c r="P714" s="28">
        <f t="shared" si="76"/>
        <v>46627</v>
      </c>
    </row>
    <row r="715" spans="2:16" ht="20.149999999999999" customHeight="1" x14ac:dyDescent="0.2">
      <c r="B715" s="30">
        <v>46266</v>
      </c>
      <c r="C715" s="31" t="s">
        <v>2109</v>
      </c>
      <c r="D715" s="31" t="str">
        <f t="shared" si="82"/>
        <v>E317</v>
      </c>
      <c r="E715" s="31" t="s">
        <v>25</v>
      </c>
      <c r="F715" s="31">
        <v>20260831003</v>
      </c>
      <c r="G715" s="83" t="s">
        <v>1863</v>
      </c>
      <c r="H715" s="41">
        <f>H712-K715</f>
        <v>387472.63867684483</v>
      </c>
      <c r="I715" s="41">
        <v>4320</v>
      </c>
      <c r="J715" s="41">
        <v>4350</v>
      </c>
      <c r="K715" s="41">
        <f>J715/0.786+1</f>
        <v>5535.3511450381675</v>
      </c>
      <c r="L715" s="42"/>
      <c r="M715" s="89"/>
      <c r="N715" s="31"/>
      <c r="O715" s="29">
        <f t="shared" si="85"/>
        <v>46264</v>
      </c>
      <c r="P715" s="28">
        <f t="shared" si="76"/>
        <v>46628</v>
      </c>
    </row>
    <row r="716" spans="2:16" ht="20.149999999999999" customHeight="1" x14ac:dyDescent="0.2">
      <c r="B716" s="30">
        <v>46266</v>
      </c>
      <c r="C716" s="31" t="s">
        <v>2111</v>
      </c>
      <c r="D716" s="31" t="str">
        <f t="shared" si="82"/>
        <v>E309</v>
      </c>
      <c r="E716" s="31" t="s">
        <v>25</v>
      </c>
      <c r="F716" s="31" t="s">
        <v>2290</v>
      </c>
      <c r="G716" s="83" t="s">
        <v>2113</v>
      </c>
      <c r="H716" s="41">
        <f>H715-K716</f>
        <v>381848.22900763364</v>
      </c>
      <c r="I716" s="41">
        <v>4350</v>
      </c>
      <c r="J716" s="41">
        <v>4420</v>
      </c>
      <c r="K716" s="41">
        <f>J716/0.786+1</f>
        <v>5624.4096692111953</v>
      </c>
      <c r="L716" s="42"/>
      <c r="M716" s="89"/>
      <c r="N716" s="31"/>
      <c r="O716" s="29">
        <f t="shared" si="85"/>
        <v>46265</v>
      </c>
      <c r="P716" s="28">
        <f t="shared" si="76"/>
        <v>46629</v>
      </c>
    </row>
    <row r="717" spans="2:16" ht="20.149999999999999" customHeight="1" x14ac:dyDescent="0.2">
      <c r="B717" s="34">
        <v>46266</v>
      </c>
      <c r="C717" s="35" t="s">
        <v>2108</v>
      </c>
      <c r="D717" s="35" t="str">
        <f>IF($C717="", "", MID($C717, 6, IF(MID($C717, LEN($C717)-1, 1)="J", 3, 4)))</f>
        <v>E306</v>
      </c>
      <c r="E717" s="35" t="s">
        <v>22</v>
      </c>
      <c r="F717" s="35">
        <v>20260831017</v>
      </c>
      <c r="G717" s="35" t="s">
        <v>2107</v>
      </c>
      <c r="H717" s="43">
        <f>H714-K717</f>
        <v>311168.92875318066</v>
      </c>
      <c r="I717" s="43">
        <v>4240</v>
      </c>
      <c r="J717" s="43">
        <v>4140</v>
      </c>
      <c r="K717" s="43">
        <f>J717/0.786+1</f>
        <v>5268.1755725190842</v>
      </c>
      <c r="L717" s="44"/>
      <c r="M717" s="92"/>
      <c r="N717" s="35"/>
      <c r="O717" s="29">
        <f t="shared" si="85"/>
        <v>46264</v>
      </c>
      <c r="P717" s="28">
        <f t="shared" si="76"/>
        <v>46628</v>
      </c>
    </row>
    <row r="718" spans="2:16" ht="20.149999999999999" customHeight="1" x14ac:dyDescent="0.2">
      <c r="B718" s="34">
        <v>46266</v>
      </c>
      <c r="C718" s="35" t="s">
        <v>2112</v>
      </c>
      <c r="D718" s="35" t="str">
        <f>IF($C718="", "", MID($C718, 6, IF(MID($C718, LEN($C718)-1, 1)="J", 3, 4)))</f>
        <v>E29</v>
      </c>
      <c r="E718" s="35" t="s">
        <v>22</v>
      </c>
      <c r="F718" s="35">
        <v>20260831018</v>
      </c>
      <c r="G718" s="35" t="s">
        <v>1830</v>
      </c>
      <c r="H718" s="43">
        <f>H717-K718</f>
        <v>305825.417302799</v>
      </c>
      <c r="I718" s="43">
        <v>4210</v>
      </c>
      <c r="J718" s="43">
        <v>4200</v>
      </c>
      <c r="K718" s="43">
        <f>J718/0.786</f>
        <v>5343.5114503816794</v>
      </c>
      <c r="L718" s="44"/>
      <c r="M718" s="92"/>
      <c r="N718" s="35"/>
      <c r="O718" s="29">
        <f t="shared" si="85"/>
        <v>46265</v>
      </c>
      <c r="P718" s="28">
        <f t="shared" si="76"/>
        <v>46629</v>
      </c>
    </row>
    <row r="719" spans="2:16" ht="20.149999999999999" customHeight="1" x14ac:dyDescent="0.2">
      <c r="B719" s="62">
        <v>46267</v>
      </c>
      <c r="C719" s="61" t="s">
        <v>2131</v>
      </c>
      <c r="D719" s="61" t="str">
        <f>IF($C719="", "", MID($C719, 6, IF(MID($C719, LEN($C719)-1, 1)="J", 3, 4)))</f>
        <v>E304</v>
      </c>
      <c r="E719" s="61" t="s">
        <v>1034</v>
      </c>
      <c r="F719" s="61">
        <v>20260831001</v>
      </c>
      <c r="G719" s="61" t="s">
        <v>2130</v>
      </c>
      <c r="H719" s="64">
        <f>H707-K719</f>
        <v>113774.62595419849</v>
      </c>
      <c r="I719" s="64">
        <v>4370</v>
      </c>
      <c r="J719" s="64">
        <v>4350</v>
      </c>
      <c r="K719" s="64">
        <f>J719/0.786+1</f>
        <v>5535.3511450381675</v>
      </c>
      <c r="L719" s="61"/>
      <c r="M719" s="93"/>
      <c r="N719" s="61"/>
      <c r="O719" s="29">
        <f>IF($C719="","",DATE(2000+LEFT($C719,2), HEX2DEC(MID($C719,3,1)), MID($C719,4,2)))</f>
        <v>46267</v>
      </c>
      <c r="P719" s="28">
        <f>DATE(YEAR(O719)+1,MONTH(O719),DAY(O719))-1</f>
        <v>46631</v>
      </c>
    </row>
    <row r="720" spans="2:16" ht="20.149999999999999" customHeight="1" x14ac:dyDescent="0.2">
      <c r="B720" s="30">
        <v>46267</v>
      </c>
      <c r="C720" s="31" t="s">
        <v>2116</v>
      </c>
      <c r="D720" s="31" t="str">
        <f t="shared" ref="D720:D721" si="86">IF($C720="", "", MID($C720, 6, IF(MID($C720, LEN($C720)-1, 1)="J", 3, 4)))</f>
        <v>E308</v>
      </c>
      <c r="E720" s="31" t="s">
        <v>25</v>
      </c>
      <c r="F720" s="31" t="s">
        <v>2291</v>
      </c>
      <c r="G720" s="83" t="s">
        <v>2117</v>
      </c>
      <c r="H720" s="41">
        <f>H716-K720</f>
        <v>376529.16284987284</v>
      </c>
      <c r="I720" s="41">
        <v>4240</v>
      </c>
      <c r="J720" s="41">
        <v>4180</v>
      </c>
      <c r="K720" s="41">
        <f>J720/0.786+1</f>
        <v>5319.0661577608143</v>
      </c>
      <c r="L720" s="42"/>
      <c r="M720" s="89"/>
      <c r="N720" s="31"/>
      <c r="O720" s="29">
        <f t="shared" si="85"/>
        <v>46265</v>
      </c>
      <c r="P720" s="28">
        <f t="shared" si="76"/>
        <v>46629</v>
      </c>
    </row>
    <row r="721" spans="2:16" ht="20.149999999999999" customHeight="1" x14ac:dyDescent="0.2">
      <c r="B721" s="30">
        <v>46267</v>
      </c>
      <c r="C721" s="31" t="s">
        <v>2119</v>
      </c>
      <c r="D721" s="31" t="str">
        <f t="shared" si="86"/>
        <v>E303</v>
      </c>
      <c r="E721" s="31" t="s">
        <v>25</v>
      </c>
      <c r="F721" s="31" t="s">
        <v>2335</v>
      </c>
      <c r="G721" s="83" t="s">
        <v>2124</v>
      </c>
      <c r="H721" s="41">
        <f>H720-K721</f>
        <v>371249.2646310433</v>
      </c>
      <c r="I721" s="41">
        <v>4220</v>
      </c>
      <c r="J721" s="41">
        <v>4150</v>
      </c>
      <c r="K721" s="41">
        <f t="shared" ref="K721:K744" si="87">J721/0.786</f>
        <v>5279.8982188295167</v>
      </c>
      <c r="L721" s="42"/>
      <c r="M721" s="89"/>
      <c r="N721" s="31"/>
      <c r="O721" s="29">
        <f t="shared" si="85"/>
        <v>46266</v>
      </c>
      <c r="P721" s="28">
        <f t="shared" si="76"/>
        <v>46630</v>
      </c>
    </row>
    <row r="722" spans="2:16" ht="20.149999999999999" customHeight="1" x14ac:dyDescent="0.2">
      <c r="B722" s="34">
        <v>46267</v>
      </c>
      <c r="C722" s="35" t="s">
        <v>2115</v>
      </c>
      <c r="D722" s="35" t="str">
        <f t="shared" ref="D722:D726" si="88">IF($C722="", "", MID($C722, 6, IF(MID($C722, LEN($C722)-1, 1)="J", 3, 4)))</f>
        <v>E307</v>
      </c>
      <c r="E722" s="35" t="s">
        <v>22</v>
      </c>
      <c r="F722" s="35">
        <v>20260831019</v>
      </c>
      <c r="G722" s="35" t="s">
        <v>2118</v>
      </c>
      <c r="H722" s="43">
        <f>H718-K722</f>
        <v>300328.23409669212</v>
      </c>
      <c r="I722" s="43">
        <v>4310</v>
      </c>
      <c r="J722" s="43">
        <v>4320</v>
      </c>
      <c r="K722" s="43">
        <f t="shared" ref="K722:K727" si="89">J722/0.786+1</f>
        <v>5497.1832061068699</v>
      </c>
      <c r="L722" s="44"/>
      <c r="M722" s="92"/>
      <c r="N722" s="35"/>
      <c r="O722" s="29">
        <f t="shared" si="85"/>
        <v>46265</v>
      </c>
      <c r="P722" s="28">
        <f t="shared" si="76"/>
        <v>46629</v>
      </c>
    </row>
    <row r="723" spans="2:16" ht="20.149999999999999" customHeight="1" x14ac:dyDescent="0.2">
      <c r="B723" s="34">
        <v>46267</v>
      </c>
      <c r="C723" s="35" t="s">
        <v>2123</v>
      </c>
      <c r="D723" s="35" t="str">
        <f t="shared" si="88"/>
        <v>E305</v>
      </c>
      <c r="E723" s="35" t="s">
        <v>22</v>
      </c>
      <c r="F723" s="35">
        <v>20260831020</v>
      </c>
      <c r="G723" s="35" t="s">
        <v>2125</v>
      </c>
      <c r="H723" s="43">
        <f>H722-K723</f>
        <v>294780.16030534351</v>
      </c>
      <c r="I723" s="43">
        <v>4330</v>
      </c>
      <c r="J723" s="43">
        <v>4360</v>
      </c>
      <c r="K723" s="43">
        <f t="shared" si="89"/>
        <v>5548.0737913486</v>
      </c>
      <c r="L723" s="44"/>
      <c r="M723" s="92"/>
      <c r="N723" s="35"/>
      <c r="O723" s="29">
        <f t="shared" si="85"/>
        <v>46266</v>
      </c>
      <c r="P723" s="28">
        <f t="shared" si="76"/>
        <v>46630</v>
      </c>
    </row>
    <row r="724" spans="2:16" ht="20.149999999999999" customHeight="1" x14ac:dyDescent="0.2">
      <c r="B724" s="30">
        <v>46268</v>
      </c>
      <c r="C724" s="31" t="s">
        <v>2127</v>
      </c>
      <c r="D724" s="31" t="str">
        <f t="shared" si="88"/>
        <v>E317</v>
      </c>
      <c r="E724" s="31" t="s">
        <v>25</v>
      </c>
      <c r="F724" s="31">
        <v>20260831007</v>
      </c>
      <c r="G724" s="83" t="s">
        <v>1829</v>
      </c>
      <c r="H724" s="41">
        <f>H721-K724</f>
        <v>365853.86259541992</v>
      </c>
      <c r="I724" s="41">
        <v>4270</v>
      </c>
      <c r="J724" s="41">
        <v>4240</v>
      </c>
      <c r="K724" s="41">
        <f t="shared" si="89"/>
        <v>5395.4020356234096</v>
      </c>
      <c r="L724" s="42"/>
      <c r="M724" s="89"/>
      <c r="N724" s="31"/>
      <c r="O724" s="29">
        <f t="shared" si="85"/>
        <v>46266</v>
      </c>
      <c r="P724" s="28">
        <f t="shared" si="76"/>
        <v>46630</v>
      </c>
    </row>
    <row r="725" spans="2:16" ht="20.149999999999999" customHeight="1" x14ac:dyDescent="0.2">
      <c r="B725" s="34">
        <v>46268</v>
      </c>
      <c r="C725" s="35" t="s">
        <v>2129</v>
      </c>
      <c r="D725" s="35" t="str">
        <f t="shared" si="88"/>
        <v>E44</v>
      </c>
      <c r="E725" s="35" t="s">
        <v>22</v>
      </c>
      <c r="F725" s="35">
        <v>20260831021</v>
      </c>
      <c r="G725" s="35" t="s">
        <v>1843</v>
      </c>
      <c r="H725" s="43">
        <f>H723-K725</f>
        <v>289282.97709923662</v>
      </c>
      <c r="I725" s="43">
        <v>4400</v>
      </c>
      <c r="J725" s="43">
        <v>4320</v>
      </c>
      <c r="K725" s="43">
        <f t="shared" si="89"/>
        <v>5497.1832061068699</v>
      </c>
      <c r="L725" s="44"/>
      <c r="M725" s="92"/>
      <c r="N725" s="35"/>
      <c r="O725" s="29">
        <f t="shared" si="85"/>
        <v>46266</v>
      </c>
      <c r="P725" s="28">
        <f t="shared" si="76"/>
        <v>46630</v>
      </c>
    </row>
    <row r="726" spans="2:16" ht="20.149999999999999" customHeight="1" x14ac:dyDescent="0.2">
      <c r="B726" s="34">
        <v>46268</v>
      </c>
      <c r="C726" s="35" t="s">
        <v>2132</v>
      </c>
      <c r="D726" s="35" t="str">
        <f t="shared" si="88"/>
        <v>E306</v>
      </c>
      <c r="E726" s="35" t="s">
        <v>22</v>
      </c>
      <c r="F726" s="35">
        <v>20260831022</v>
      </c>
      <c r="G726" s="35" t="s">
        <v>2133</v>
      </c>
      <c r="H726" s="43">
        <f>H725-K726</f>
        <v>283823.96183206106</v>
      </c>
      <c r="I726" s="43">
        <v>4250</v>
      </c>
      <c r="J726" s="43">
        <v>4290</v>
      </c>
      <c r="K726" s="43">
        <f t="shared" si="89"/>
        <v>5459.0152671755723</v>
      </c>
      <c r="L726" s="44"/>
      <c r="M726" s="92"/>
      <c r="N726" s="35"/>
      <c r="O726" s="29">
        <f t="shared" si="85"/>
        <v>46267</v>
      </c>
      <c r="P726" s="28">
        <f t="shared" si="76"/>
        <v>46631</v>
      </c>
    </row>
    <row r="727" spans="2:16" ht="20.149999999999999" customHeight="1" x14ac:dyDescent="0.2">
      <c r="B727" s="30">
        <v>46269</v>
      </c>
      <c r="C727" s="31" t="s">
        <v>2137</v>
      </c>
      <c r="D727" s="31" t="str">
        <f t="shared" ref="D727:D728" si="90">IF($C727="", "", MID($C727, 6, IF(MID($C727, LEN($C727)-1, 1)="J", 3, 4)))</f>
        <v>E319</v>
      </c>
      <c r="E727" s="31" t="s">
        <v>25</v>
      </c>
      <c r="F727" s="31">
        <v>20260831008</v>
      </c>
      <c r="G727" s="83" t="s">
        <v>1829</v>
      </c>
      <c r="H727" s="41">
        <f>H724-K727</f>
        <v>360305.78880407132</v>
      </c>
      <c r="I727" s="41">
        <v>4370</v>
      </c>
      <c r="J727" s="41">
        <v>4360</v>
      </c>
      <c r="K727" s="41">
        <f t="shared" si="89"/>
        <v>5548.0737913486</v>
      </c>
      <c r="L727" s="42"/>
      <c r="M727" s="89"/>
      <c r="N727" s="106">
        <v>4.1666666666666664E-2</v>
      </c>
      <c r="O727" s="29">
        <f t="shared" si="85"/>
        <v>46267</v>
      </c>
      <c r="P727" s="28">
        <f t="shared" si="76"/>
        <v>46631</v>
      </c>
    </row>
    <row r="728" spans="2:16" ht="20.149999999999999" customHeight="1" x14ac:dyDescent="0.2">
      <c r="B728" s="30">
        <v>46269</v>
      </c>
      <c r="C728" s="31" t="s">
        <v>2141</v>
      </c>
      <c r="D728" s="31" t="str">
        <f t="shared" si="90"/>
        <v>E308</v>
      </c>
      <c r="E728" s="31" t="s">
        <v>25</v>
      </c>
      <c r="F728" s="31">
        <v>20260831009</v>
      </c>
      <c r="G728" s="83" t="s">
        <v>2142</v>
      </c>
      <c r="H728" s="41">
        <f>H727-K728</f>
        <v>354745.99236641231</v>
      </c>
      <c r="I728" s="41">
        <v>4410</v>
      </c>
      <c r="J728" s="41">
        <v>4370</v>
      </c>
      <c r="K728" s="41">
        <f t="shared" si="87"/>
        <v>5559.7964376590326</v>
      </c>
      <c r="L728" s="42"/>
      <c r="M728" s="89"/>
      <c r="N728" s="98">
        <v>0.66666666666666663</v>
      </c>
      <c r="O728" s="29">
        <f t="shared" si="85"/>
        <v>46268</v>
      </c>
      <c r="P728" s="28">
        <f t="shared" si="76"/>
        <v>46632</v>
      </c>
    </row>
    <row r="729" spans="2:16" ht="20.149999999999999" customHeight="1" x14ac:dyDescent="0.2">
      <c r="B729" s="34">
        <v>46269</v>
      </c>
      <c r="C729" s="35" t="s">
        <v>2134</v>
      </c>
      <c r="D729" s="35" t="str">
        <f t="shared" ref="D729:D734" si="91">IF($C729="", "", MID($C729, 6, IF(MID($C729, LEN($C729)-1, 1)="J", 3, 4)))</f>
        <v>E29</v>
      </c>
      <c r="E729" s="35" t="s">
        <v>22</v>
      </c>
      <c r="F729" s="35">
        <v>20260831023</v>
      </c>
      <c r="G729" s="35" t="s">
        <v>2136</v>
      </c>
      <c r="H729" s="43">
        <f>H726-K729</f>
        <v>278415.83715012722</v>
      </c>
      <c r="I729" s="43">
        <v>4210</v>
      </c>
      <c r="J729" s="43">
        <v>4250</v>
      </c>
      <c r="K729" s="43">
        <f>J729/0.786+1</f>
        <v>5408.1246819338421</v>
      </c>
      <c r="L729" s="44"/>
      <c r="M729" s="92"/>
      <c r="N729" s="107">
        <v>0.25</v>
      </c>
      <c r="O729" s="29">
        <f t="shared" si="85"/>
        <v>46267</v>
      </c>
      <c r="P729" s="28">
        <f t="shared" si="76"/>
        <v>46631</v>
      </c>
    </row>
    <row r="730" spans="2:16" ht="20.149999999999999" customHeight="1" x14ac:dyDescent="0.2">
      <c r="B730" s="34">
        <v>46269</v>
      </c>
      <c r="C730" s="35" t="s">
        <v>2138</v>
      </c>
      <c r="D730" s="35" t="str">
        <f t="shared" si="91"/>
        <v>E309</v>
      </c>
      <c r="E730" s="35" t="s">
        <v>22</v>
      </c>
      <c r="F730" s="35">
        <v>20260831024</v>
      </c>
      <c r="G730" s="35" t="s">
        <v>1830</v>
      </c>
      <c r="H730" s="43">
        <f>H729-K730</f>
        <v>272894.20865139947</v>
      </c>
      <c r="I730" s="43">
        <v>4350</v>
      </c>
      <c r="J730" s="43">
        <v>4340</v>
      </c>
      <c r="K730" s="43">
        <f>J730/0.786</f>
        <v>5521.628498727735</v>
      </c>
      <c r="L730" s="44"/>
      <c r="M730" s="92"/>
      <c r="N730" s="99">
        <v>0.54166666666666663</v>
      </c>
      <c r="O730" s="29">
        <f t="shared" si="85"/>
        <v>46267</v>
      </c>
      <c r="P730" s="28">
        <f t="shared" si="76"/>
        <v>46631</v>
      </c>
    </row>
    <row r="731" spans="2:16" ht="20.149999999999999" customHeight="1" x14ac:dyDescent="0.2">
      <c r="B731" s="30">
        <v>46270</v>
      </c>
      <c r="C731" s="31" t="s">
        <v>2147</v>
      </c>
      <c r="D731" s="31" t="str">
        <f t="shared" si="91"/>
        <v>E302</v>
      </c>
      <c r="E731" s="31" t="s">
        <v>25</v>
      </c>
      <c r="F731" s="31">
        <v>20260831010</v>
      </c>
      <c r="G731" s="83" t="s">
        <v>1829</v>
      </c>
      <c r="H731" s="41">
        <f>H728-K731</f>
        <v>349415.20356234105</v>
      </c>
      <c r="I731" s="41">
        <v>4180</v>
      </c>
      <c r="J731" s="41">
        <v>4190</v>
      </c>
      <c r="K731" s="41">
        <f t="shared" si="87"/>
        <v>5330.7888040712469</v>
      </c>
      <c r="L731" s="42"/>
      <c r="M731" s="89"/>
      <c r="N731" s="106">
        <v>0.25</v>
      </c>
      <c r="O731" s="29">
        <f t="shared" si="85"/>
        <v>46268</v>
      </c>
      <c r="P731" s="28">
        <f t="shared" si="76"/>
        <v>46632</v>
      </c>
    </row>
    <row r="732" spans="2:16" ht="20.149999999999999" customHeight="1" x14ac:dyDescent="0.2">
      <c r="B732" s="30">
        <v>46270</v>
      </c>
      <c r="C732" s="31" t="s">
        <v>2148</v>
      </c>
      <c r="D732" s="31" t="str">
        <f t="shared" si="91"/>
        <v>E318</v>
      </c>
      <c r="E732" s="31" t="s">
        <v>2145</v>
      </c>
      <c r="F732" s="31">
        <v>20260831011</v>
      </c>
      <c r="G732" s="83" t="s">
        <v>2332</v>
      </c>
      <c r="H732" s="41">
        <f>H731-K732</f>
        <v>343893.5750636133</v>
      </c>
      <c r="I732" s="41">
        <v>4390</v>
      </c>
      <c r="J732" s="41">
        <v>4340</v>
      </c>
      <c r="K732" s="41">
        <f t="shared" si="87"/>
        <v>5521.628498727735</v>
      </c>
      <c r="L732" s="42"/>
      <c r="M732" s="89"/>
      <c r="N732" s="106">
        <v>0.875</v>
      </c>
      <c r="O732" s="29">
        <f>IF($C732="","",DATE(2000+LEFT($C732,2), HEX2DEC(MID($C732,3,1)), MID($C732,4,2)))</f>
        <v>46268</v>
      </c>
      <c r="P732" s="28">
        <f>DATE(YEAR(O732)+1,MONTH(O732),DAY(O732))-1</f>
        <v>46632</v>
      </c>
    </row>
    <row r="733" spans="2:16" ht="20.149999999999999" customHeight="1" x14ac:dyDescent="0.2">
      <c r="B733" s="34">
        <v>46270</v>
      </c>
      <c r="C733" s="35" t="s">
        <v>2334</v>
      </c>
      <c r="D733" s="35" t="str">
        <f t="shared" si="91"/>
        <v>E305</v>
      </c>
      <c r="E733" s="35" t="s">
        <v>22</v>
      </c>
      <c r="F733" s="35">
        <v>20260831025</v>
      </c>
      <c r="G733" s="35" t="s">
        <v>1830</v>
      </c>
      <c r="H733" s="43">
        <f>H730-K733</f>
        <v>267397.02544529259</v>
      </c>
      <c r="I733" s="43">
        <v>4290</v>
      </c>
      <c r="J733" s="43">
        <v>4320</v>
      </c>
      <c r="K733" s="43">
        <f>J733/0.786+1</f>
        <v>5497.1832061068699</v>
      </c>
      <c r="L733" s="44"/>
      <c r="M733" s="92"/>
      <c r="N733" s="107">
        <v>4.1666666666666664E-2</v>
      </c>
      <c r="O733" s="29">
        <f t="shared" si="85"/>
        <v>46268</v>
      </c>
      <c r="P733" s="28">
        <f t="shared" ref="P733:P744" si="92">DATE(YEAR(O733)+1,MONTH(O733),DAY(O733))-1</f>
        <v>46632</v>
      </c>
    </row>
    <row r="734" spans="2:16" ht="20.149999999999999" customHeight="1" x14ac:dyDescent="0.2">
      <c r="B734" s="34">
        <v>46270</v>
      </c>
      <c r="C734" s="35" t="s">
        <v>2146</v>
      </c>
      <c r="D734" s="35" t="str">
        <f t="shared" si="91"/>
        <v>E303</v>
      </c>
      <c r="E734" s="35" t="s">
        <v>22</v>
      </c>
      <c r="F734" s="35">
        <v>20260831026</v>
      </c>
      <c r="G734" s="35" t="s">
        <v>2333</v>
      </c>
      <c r="H734" s="43">
        <f>H733-K734</f>
        <v>261977.17811704832</v>
      </c>
      <c r="I734" s="43">
        <v>4240</v>
      </c>
      <c r="J734" s="43">
        <v>4260</v>
      </c>
      <c r="K734" s="43">
        <f>J734/0.786</f>
        <v>5419.8473282442746</v>
      </c>
      <c r="L734" s="44"/>
      <c r="M734" s="92"/>
      <c r="N734" s="107">
        <v>0.54166666666666663</v>
      </c>
      <c r="O734" s="29">
        <f t="shared" si="85"/>
        <v>46268</v>
      </c>
      <c r="P734" s="28">
        <f t="shared" si="92"/>
        <v>46632</v>
      </c>
    </row>
    <row r="735" spans="2:16" ht="20.149999999999999" customHeight="1" x14ac:dyDescent="0.2">
      <c r="B735" s="30">
        <v>46271</v>
      </c>
      <c r="C735" s="31" t="s">
        <v>2339</v>
      </c>
      <c r="D735" s="31" t="str">
        <f t="shared" ref="D735:D740" si="93">IF($C735="", "", MID($C735, 6, IF(MID($C735, LEN($C735)-1, 1)="J", 3, 4)))</f>
        <v>E306</v>
      </c>
      <c r="E735" s="31" t="s">
        <v>25</v>
      </c>
      <c r="F735" s="31">
        <v>20260831012</v>
      </c>
      <c r="G735" s="83" t="s">
        <v>1829</v>
      </c>
      <c r="H735" s="41">
        <f>H732-K735</f>
        <v>338384.66921119601</v>
      </c>
      <c r="I735" s="41">
        <v>4370</v>
      </c>
      <c r="J735" s="41">
        <v>4330</v>
      </c>
      <c r="K735" s="41">
        <f t="shared" si="87"/>
        <v>5508.9058524173024</v>
      </c>
      <c r="L735" s="42"/>
      <c r="M735" s="89"/>
      <c r="N735" s="106">
        <v>0.45833333333333331</v>
      </c>
      <c r="O735" s="29">
        <f t="shared" si="85"/>
        <v>46269</v>
      </c>
      <c r="P735" s="28">
        <f t="shared" si="92"/>
        <v>46633</v>
      </c>
    </row>
    <row r="736" spans="2:16" ht="20.149999999999999" customHeight="1" x14ac:dyDescent="0.2">
      <c r="B736" s="34">
        <v>46271</v>
      </c>
      <c r="C736" s="35" t="s">
        <v>2336</v>
      </c>
      <c r="D736" s="35" t="str">
        <f t="shared" si="93"/>
        <v>E317</v>
      </c>
      <c r="E736" s="35" t="s">
        <v>22</v>
      </c>
      <c r="F736" s="35">
        <v>20260831027</v>
      </c>
      <c r="G736" s="35" t="s">
        <v>2337</v>
      </c>
      <c r="H736" s="43">
        <f>H734-K736</f>
        <v>256557.33078880404</v>
      </c>
      <c r="I736" s="43">
        <v>4250</v>
      </c>
      <c r="J736" s="43">
        <v>4260</v>
      </c>
      <c r="K736" s="43">
        <f>J736/0.786</f>
        <v>5419.8473282442746</v>
      </c>
      <c r="L736" s="44"/>
      <c r="M736" s="92"/>
      <c r="N736" s="107">
        <v>4.1666666666666664E-2</v>
      </c>
      <c r="O736" s="29">
        <f t="shared" si="85"/>
        <v>46269</v>
      </c>
      <c r="P736" s="28">
        <f t="shared" si="92"/>
        <v>46633</v>
      </c>
    </row>
    <row r="737" spans="2:16" ht="20.149999999999999" customHeight="1" x14ac:dyDescent="0.2">
      <c r="B737" s="34">
        <v>46271</v>
      </c>
      <c r="C737" s="35" t="s">
        <v>2341</v>
      </c>
      <c r="D737" s="35" t="str">
        <f t="shared" si="93"/>
        <v>E319</v>
      </c>
      <c r="E737" s="35" t="s">
        <v>22</v>
      </c>
      <c r="F737" s="35">
        <v>20260831028</v>
      </c>
      <c r="G737" s="35" t="s">
        <v>2338</v>
      </c>
      <c r="H737" s="43">
        <f>H736-K737</f>
        <v>251213.81933842236</v>
      </c>
      <c r="I737" s="43">
        <v>4290</v>
      </c>
      <c r="J737" s="43">
        <v>4200</v>
      </c>
      <c r="K737" s="43">
        <f>J737/0.786</f>
        <v>5343.5114503816794</v>
      </c>
      <c r="L737" s="44"/>
      <c r="M737" s="92"/>
      <c r="N737" s="107">
        <v>0.54166666666666663</v>
      </c>
      <c r="O737" s="29">
        <f t="shared" si="85"/>
        <v>46269</v>
      </c>
      <c r="P737" s="28">
        <f t="shared" si="92"/>
        <v>46633</v>
      </c>
    </row>
    <row r="738" spans="2:16" ht="20.149999999999999" customHeight="1" x14ac:dyDescent="0.2">
      <c r="B738" s="62">
        <v>46271</v>
      </c>
      <c r="C738" s="61" t="s">
        <v>2347</v>
      </c>
      <c r="D738" s="61" t="str">
        <f>IF($C738="", "", MID($C738, 6, IF(MID($C738, LEN($C738)-1, 1)="J", 3, 4)))</f>
        <v>E307</v>
      </c>
      <c r="E738" s="61" t="s">
        <v>1034</v>
      </c>
      <c r="F738" s="61">
        <v>20260831002</v>
      </c>
      <c r="G738" s="61" t="s">
        <v>1828</v>
      </c>
      <c r="H738" s="64">
        <f>H719-K738</f>
        <v>108405.62595419849</v>
      </c>
      <c r="I738" s="64">
        <v>4180</v>
      </c>
      <c r="J738" s="64">
        <v>4220</v>
      </c>
      <c r="K738" s="64">
        <v>5369</v>
      </c>
      <c r="L738" s="61"/>
      <c r="M738" s="93"/>
      <c r="N738" s="109">
        <v>0.75</v>
      </c>
      <c r="O738" s="29">
        <f t="shared" si="85"/>
        <v>46270</v>
      </c>
      <c r="P738" s="28">
        <f t="shared" ref="P738" si="94">DATE(YEAR(O738)+1,MONTH(O738),DAY(O738))-1</f>
        <v>46634</v>
      </c>
    </row>
    <row r="739" spans="2:16" ht="20.149999999999999" customHeight="1" x14ac:dyDescent="0.2">
      <c r="B739" s="30">
        <v>46272</v>
      </c>
      <c r="C739" s="31" t="s">
        <v>2346</v>
      </c>
      <c r="D739" s="31" t="str">
        <f t="shared" si="93"/>
        <v>E29</v>
      </c>
      <c r="E739" s="31" t="s">
        <v>25</v>
      </c>
      <c r="F739" s="31">
        <v>20260831013</v>
      </c>
      <c r="G739" s="83" t="s">
        <v>2343</v>
      </c>
      <c r="H739" s="41">
        <f>H735-K739</f>
        <v>332824.872773537</v>
      </c>
      <c r="I739" s="41">
        <v>4320</v>
      </c>
      <c r="J739" s="41">
        <v>4370</v>
      </c>
      <c r="K739" s="41">
        <f t="shared" si="87"/>
        <v>5559.7964376590326</v>
      </c>
      <c r="L739" s="42"/>
      <c r="M739" s="89"/>
      <c r="N739" s="106">
        <v>8.3333333333333329E-2</v>
      </c>
      <c r="O739" s="29">
        <f t="shared" si="85"/>
        <v>46270</v>
      </c>
      <c r="P739" s="28">
        <f t="shared" si="92"/>
        <v>46634</v>
      </c>
    </row>
    <row r="740" spans="2:16" ht="20.149999999999999" customHeight="1" x14ac:dyDescent="0.2">
      <c r="B740" s="110">
        <v>46272</v>
      </c>
      <c r="C740" s="83" t="s">
        <v>2345</v>
      </c>
      <c r="D740" s="31" t="str">
        <f t="shared" si="93"/>
        <v>E305</v>
      </c>
      <c r="E740" s="31" t="s">
        <v>25</v>
      </c>
      <c r="F740" s="31">
        <v>20260831014</v>
      </c>
      <c r="G740" s="83" t="s">
        <v>1829</v>
      </c>
      <c r="H740" s="41">
        <f>H739-K740</f>
        <v>327327.68956743012</v>
      </c>
      <c r="I740" s="41">
        <v>4410</v>
      </c>
      <c r="J740" s="41">
        <v>4320</v>
      </c>
      <c r="K740" s="41">
        <f>J740/0.786+1</f>
        <v>5497.1832061068699</v>
      </c>
      <c r="L740" s="42"/>
      <c r="M740" s="89"/>
      <c r="N740" s="98">
        <v>0.79166666666666663</v>
      </c>
      <c r="O740" s="29">
        <f t="shared" si="85"/>
        <v>46271</v>
      </c>
      <c r="P740" s="28">
        <f t="shared" si="92"/>
        <v>46635</v>
      </c>
    </row>
    <row r="741" spans="2:16" ht="20.149999999999999" customHeight="1" x14ac:dyDescent="0.2">
      <c r="B741" s="34">
        <v>46272</v>
      </c>
      <c r="C741" s="35" t="s">
        <v>2348</v>
      </c>
      <c r="D741" s="35" t="str">
        <f>IF($C741="", "", MID($C741, 6, IF(MID($C741, LEN($C741)-1, 1)="J", 3, 4)))</f>
        <v>E309</v>
      </c>
      <c r="E741" s="35" t="s">
        <v>22</v>
      </c>
      <c r="F741" s="35">
        <v>20260831029</v>
      </c>
      <c r="G741" s="35" t="s">
        <v>2344</v>
      </c>
      <c r="H741" s="43">
        <f>H737-K741</f>
        <v>245716.6361323155</v>
      </c>
      <c r="I741" s="43">
        <v>4290</v>
      </c>
      <c r="J741" s="43">
        <v>4320</v>
      </c>
      <c r="K741" s="43">
        <f>J741/0.786+1</f>
        <v>5497.1832061068699</v>
      </c>
      <c r="L741" s="44"/>
      <c r="M741" s="92"/>
      <c r="N741" s="107">
        <v>0</v>
      </c>
      <c r="O741" s="29">
        <f t="shared" si="85"/>
        <v>46270</v>
      </c>
      <c r="P741" s="28">
        <f t="shared" si="92"/>
        <v>46634</v>
      </c>
    </row>
    <row r="742" spans="2:16" ht="20.149999999999999" customHeight="1" x14ac:dyDescent="0.2">
      <c r="B742" s="34">
        <v>46272</v>
      </c>
      <c r="C742" s="35" t="s">
        <v>2349</v>
      </c>
      <c r="D742" s="35" t="str">
        <f>IF($C742="", "", MID($C742, 6, IF(MID($C742, LEN($C742)-1, 1)="J", 3, 4)))</f>
        <v>E308</v>
      </c>
      <c r="E742" s="35" t="s">
        <v>22</v>
      </c>
      <c r="F742" s="35">
        <v>20260831030</v>
      </c>
      <c r="G742" s="35" t="s">
        <v>1830</v>
      </c>
      <c r="H742" s="43">
        <f>H741-K742</f>
        <v>240359.40203562338</v>
      </c>
      <c r="I742" s="43">
        <v>4250</v>
      </c>
      <c r="J742" s="43">
        <v>4210</v>
      </c>
      <c r="K742" s="43">
        <f>J742/0.786+1</f>
        <v>5357.234096692112</v>
      </c>
      <c r="L742" s="44"/>
      <c r="M742" s="92"/>
      <c r="N742" s="107">
        <v>0.45833333333333331</v>
      </c>
      <c r="O742" s="29">
        <f t="shared" si="85"/>
        <v>46270</v>
      </c>
      <c r="P742" s="28">
        <f t="shared" si="92"/>
        <v>46634</v>
      </c>
    </row>
    <row r="743" spans="2:16" ht="20.149999999999999" customHeight="1" x14ac:dyDescent="0.2">
      <c r="B743" s="34">
        <v>46272</v>
      </c>
      <c r="C743" s="35" t="s">
        <v>2351</v>
      </c>
      <c r="D743" s="35" t="str">
        <f t="shared" si="82"/>
        <v>E303</v>
      </c>
      <c r="E743" s="35" t="s">
        <v>22</v>
      </c>
      <c r="F743" s="35">
        <v>20260831031</v>
      </c>
      <c r="G743" s="35" t="s">
        <v>1830</v>
      </c>
      <c r="H743" s="43">
        <f>H742-K743</f>
        <v>234773.16030534348</v>
      </c>
      <c r="I743" s="43">
        <v>4400</v>
      </c>
      <c r="J743" s="43">
        <v>4390</v>
      </c>
      <c r="K743" s="43">
        <f>J743/0.786+1</f>
        <v>5586.2417302798976</v>
      </c>
      <c r="L743" s="44"/>
      <c r="M743" s="92"/>
      <c r="N743" s="107">
        <v>0.91666666666666663</v>
      </c>
      <c r="O743" s="29">
        <f t="shared" si="85"/>
        <v>46271</v>
      </c>
      <c r="P743" s="28">
        <f t="shared" ref="P743" si="95">DATE(YEAR(O743)+1,MONTH(O743),DAY(O743))-1</f>
        <v>46635</v>
      </c>
    </row>
    <row r="744" spans="2:16" ht="20.149999999999999" customHeight="1" x14ac:dyDescent="0.2">
      <c r="B744" s="30">
        <v>46273</v>
      </c>
      <c r="C744" s="31" t="s">
        <v>2352</v>
      </c>
      <c r="D744" s="31" t="str">
        <f t="shared" ref="D744:D752" si="96">IF($C744="", "", MID($C744, 6, IF(MID($C744, LEN($C744)-1, 1)="J", 3, 4)))</f>
        <v>E318</v>
      </c>
      <c r="E744" s="31" t="s">
        <v>25</v>
      </c>
      <c r="F744" s="31">
        <v>20260831015</v>
      </c>
      <c r="G744" s="83" t="s">
        <v>1829</v>
      </c>
      <c r="H744" s="41">
        <f>H740-K744</f>
        <v>321717.00254452933</v>
      </c>
      <c r="I744" s="41">
        <v>4430</v>
      </c>
      <c r="J744" s="41">
        <v>4410</v>
      </c>
      <c r="K744" s="41">
        <f t="shared" si="87"/>
        <v>5610.6870229007627</v>
      </c>
      <c r="L744" s="42"/>
      <c r="M744" s="89"/>
      <c r="N744" s="106">
        <v>0.125</v>
      </c>
      <c r="O744" s="29">
        <f t="shared" si="85"/>
        <v>46271</v>
      </c>
      <c r="P744" s="28">
        <f t="shared" si="92"/>
        <v>46635</v>
      </c>
    </row>
    <row r="745" spans="2:16" ht="20.149999999999999" customHeight="1" x14ac:dyDescent="0.2">
      <c r="B745" s="34">
        <v>46273</v>
      </c>
      <c r="C745" s="35" t="s">
        <v>2353</v>
      </c>
      <c r="D745" s="35" t="str">
        <f t="shared" si="96"/>
        <v>E302</v>
      </c>
      <c r="E745" s="35" t="s">
        <v>22</v>
      </c>
      <c r="F745" s="35">
        <v>20260831032</v>
      </c>
      <c r="G745" s="35" t="s">
        <v>1830</v>
      </c>
      <c r="H745" s="43">
        <f>H743-K745</f>
        <v>229377.75826972007</v>
      </c>
      <c r="I745" s="43">
        <v>4330</v>
      </c>
      <c r="J745" s="43">
        <v>4240</v>
      </c>
      <c r="K745" s="43">
        <f>J745/0.786+1</f>
        <v>5395.4020356234096</v>
      </c>
      <c r="L745" s="44"/>
      <c r="M745" s="92"/>
      <c r="N745" s="107">
        <v>0.83333333333333337</v>
      </c>
      <c r="O745" s="29">
        <f t="shared" ref="O745:O759" si="97">IF($C745="","",DATE(2000+LEFT($C745,2), HEX2DEC(MID($C745,3,1)), MID($C745,4,2)))</f>
        <v>46271</v>
      </c>
      <c r="P745" s="28">
        <f t="shared" ref="P745:P763" si="98">DATE(YEAR(O745)+1,MONTH(O745),DAY(O745))-1</f>
        <v>46635</v>
      </c>
    </row>
    <row r="746" spans="2:16" ht="20.149999999999999" customHeight="1" x14ac:dyDescent="0.2">
      <c r="B746" s="30">
        <v>46274</v>
      </c>
      <c r="C746" s="31" t="s">
        <v>2354</v>
      </c>
      <c r="D746" s="31" t="str">
        <f t="shared" si="96"/>
        <v>E317</v>
      </c>
      <c r="E746" s="31" t="s">
        <v>25</v>
      </c>
      <c r="F746" s="31" t="s">
        <v>2361</v>
      </c>
      <c r="G746" s="83" t="s">
        <v>1833</v>
      </c>
      <c r="H746" s="41">
        <f>H744-K746</f>
        <v>315890.03053435119</v>
      </c>
      <c r="I746" s="41">
        <v>4550</v>
      </c>
      <c r="J746" s="41">
        <v>4580</v>
      </c>
      <c r="K746" s="41">
        <f t="shared" ref="K746" si="99">J746/0.786</f>
        <v>5826.9720101781168</v>
      </c>
      <c r="L746" s="42"/>
      <c r="M746" s="89"/>
      <c r="N746" s="106">
        <v>0</v>
      </c>
      <c r="O746" s="29">
        <f t="shared" si="97"/>
        <v>46272</v>
      </c>
      <c r="P746" s="28">
        <f t="shared" si="98"/>
        <v>46636</v>
      </c>
    </row>
    <row r="747" spans="2:16" ht="20.149999999999999" customHeight="1" x14ac:dyDescent="0.2">
      <c r="B747" s="30">
        <v>46274</v>
      </c>
      <c r="C747" s="31" t="s">
        <v>2355</v>
      </c>
      <c r="D747" s="31" t="str">
        <f t="shared" si="96"/>
        <v>E306</v>
      </c>
      <c r="E747" s="31" t="s">
        <v>25</v>
      </c>
      <c r="F747" s="31" t="s">
        <v>2359</v>
      </c>
      <c r="G747" s="83" t="s">
        <v>2358</v>
      </c>
      <c r="H747" s="41">
        <f>H746-K747</f>
        <v>310559.24173027993</v>
      </c>
      <c r="I747" s="41">
        <v>4250</v>
      </c>
      <c r="J747" s="41">
        <v>4190</v>
      </c>
      <c r="K747" s="41">
        <f t="shared" ref="K747" si="100">J747/0.786</f>
        <v>5330.7888040712469</v>
      </c>
      <c r="L747" s="42"/>
      <c r="M747" s="89"/>
      <c r="N747" s="106">
        <v>0.625</v>
      </c>
      <c r="O747" s="29">
        <f t="shared" si="97"/>
        <v>46272</v>
      </c>
      <c r="P747" s="28">
        <f t="shared" si="98"/>
        <v>46636</v>
      </c>
    </row>
    <row r="748" spans="2:16" ht="20.149999999999999" customHeight="1" x14ac:dyDescent="0.2">
      <c r="B748" s="34">
        <v>46274</v>
      </c>
      <c r="C748" s="35" t="s">
        <v>2365</v>
      </c>
      <c r="D748" s="35" t="str">
        <f t="shared" si="96"/>
        <v>E319</v>
      </c>
      <c r="E748" s="35" t="s">
        <v>22</v>
      </c>
      <c r="F748" s="35">
        <v>20260907018</v>
      </c>
      <c r="G748" s="35" t="s">
        <v>2360</v>
      </c>
      <c r="H748" s="43">
        <f>H745-K748</f>
        <v>223893.29770992365</v>
      </c>
      <c r="I748" s="43">
        <v>4310</v>
      </c>
      <c r="J748" s="43">
        <v>4310</v>
      </c>
      <c r="K748" s="43">
        <f>J748/0.786+1</f>
        <v>5484.4605597964373</v>
      </c>
      <c r="L748" s="44"/>
      <c r="M748" s="92"/>
      <c r="N748" s="107">
        <v>0.25</v>
      </c>
      <c r="O748" s="29">
        <f t="shared" si="97"/>
        <v>46272</v>
      </c>
      <c r="P748" s="28">
        <f t="shared" si="98"/>
        <v>46636</v>
      </c>
    </row>
    <row r="749" spans="2:16" ht="20.149999999999999" customHeight="1" x14ac:dyDescent="0.2">
      <c r="B749" s="34">
        <v>46274</v>
      </c>
      <c r="C749" s="35" t="s">
        <v>2366</v>
      </c>
      <c r="D749" s="35" t="str">
        <f t="shared" si="96"/>
        <v>E44</v>
      </c>
      <c r="E749" s="35" t="s">
        <v>22</v>
      </c>
      <c r="F749" s="35">
        <v>20260907019</v>
      </c>
      <c r="G749" s="35" t="s">
        <v>1843</v>
      </c>
      <c r="H749" s="43">
        <f>H748-K749</f>
        <v>218562.50890585239</v>
      </c>
      <c r="I749" s="43">
        <v>4280</v>
      </c>
      <c r="J749" s="43">
        <v>4190</v>
      </c>
      <c r="K749" s="43">
        <f t="shared" ref="K749" si="101">J749/0.786</f>
        <v>5330.7888040712469</v>
      </c>
      <c r="L749" s="44"/>
      <c r="M749" s="92"/>
      <c r="N749" s="107">
        <v>0.66666666666666663</v>
      </c>
      <c r="O749" s="29">
        <f t="shared" si="97"/>
        <v>46272</v>
      </c>
      <c r="P749" s="28">
        <f t="shared" si="98"/>
        <v>46636</v>
      </c>
    </row>
    <row r="750" spans="2:16" ht="20.149999999999999" customHeight="1" x14ac:dyDescent="0.2">
      <c r="B750" s="62">
        <v>46274</v>
      </c>
      <c r="C750" s="61" t="s">
        <v>2378</v>
      </c>
      <c r="D750" s="61" t="str">
        <f t="shared" si="96"/>
        <v>E308</v>
      </c>
      <c r="E750" s="61" t="s">
        <v>1034</v>
      </c>
      <c r="F750" s="61" t="s">
        <v>2379</v>
      </c>
      <c r="G750" s="61" t="s">
        <v>2377</v>
      </c>
      <c r="H750" s="64">
        <f>H738-K750</f>
        <v>103036.66921119594</v>
      </c>
      <c r="I750" s="64">
        <v>4200</v>
      </c>
      <c r="J750" s="64">
        <v>4220</v>
      </c>
      <c r="K750" s="64">
        <f>J750/0.786</f>
        <v>5368.9567430025445</v>
      </c>
      <c r="L750" s="61"/>
      <c r="M750" s="93"/>
      <c r="N750" s="120">
        <v>0.625</v>
      </c>
      <c r="O750" s="29">
        <f t="shared" si="97"/>
        <v>46273</v>
      </c>
      <c r="P750" s="28">
        <f t="shared" si="98"/>
        <v>46637</v>
      </c>
    </row>
    <row r="751" spans="2:16" ht="20.149999999999999" customHeight="1" x14ac:dyDescent="0.2">
      <c r="B751" s="30">
        <v>46275</v>
      </c>
      <c r="C751" s="31" t="s">
        <v>2385</v>
      </c>
      <c r="D751" s="31" t="str">
        <f t="shared" si="96"/>
        <v>E309</v>
      </c>
      <c r="E751" s="31" t="s">
        <v>25</v>
      </c>
      <c r="F751" s="31">
        <v>20260907007</v>
      </c>
      <c r="G751" s="83" t="s">
        <v>2380</v>
      </c>
      <c r="H751" s="41">
        <f>H747-K751</f>
        <v>305177.56234096695</v>
      </c>
      <c r="I751" s="41">
        <v>4180</v>
      </c>
      <c r="J751" s="41">
        <v>4230</v>
      </c>
      <c r="K751" s="41">
        <f t="shared" ref="K751:K772" si="102">J751/0.786</f>
        <v>5381.679389312977</v>
      </c>
      <c r="L751" s="42"/>
      <c r="M751" s="89"/>
      <c r="N751" s="121">
        <v>0.29166666666666669</v>
      </c>
      <c r="O751" s="29">
        <f t="shared" si="97"/>
        <v>46272</v>
      </c>
      <c r="P751" s="28">
        <f t="shared" si="98"/>
        <v>46636</v>
      </c>
    </row>
    <row r="752" spans="2:16" ht="20.149999999999999" customHeight="1" x14ac:dyDescent="0.2">
      <c r="B752" s="30">
        <v>46275</v>
      </c>
      <c r="C752" s="31" t="s">
        <v>2376</v>
      </c>
      <c r="D752" s="31" t="str">
        <f t="shared" si="96"/>
        <v>E29</v>
      </c>
      <c r="E752" s="31" t="s">
        <v>25</v>
      </c>
      <c r="F752" s="31">
        <v>20260907008</v>
      </c>
      <c r="G752" s="83" t="s">
        <v>2381</v>
      </c>
      <c r="H752" s="41">
        <f>H751-K752</f>
        <v>299642.2111959288</v>
      </c>
      <c r="I752" s="41">
        <v>4310</v>
      </c>
      <c r="J752" s="41">
        <v>4350</v>
      </c>
      <c r="K752" s="41">
        <f>J752/0.786+1</f>
        <v>5535.3511450381675</v>
      </c>
      <c r="L752" s="42"/>
      <c r="M752" s="89"/>
      <c r="N752" s="121">
        <v>0.95833333333333337</v>
      </c>
      <c r="O752" s="29">
        <f t="shared" si="97"/>
        <v>46273</v>
      </c>
      <c r="P752" s="28">
        <f t="shared" si="98"/>
        <v>46637</v>
      </c>
    </row>
    <row r="753" spans="2:16" ht="20.149999999999999" customHeight="1" x14ac:dyDescent="0.2">
      <c r="B753" s="34">
        <v>46275</v>
      </c>
      <c r="C753" s="35" t="s">
        <v>2384</v>
      </c>
      <c r="D753" s="35" t="str">
        <f t="shared" ref="D753:D758" si="103">IF($C753="", "", MID($C753, 6, IF(MID($C753, LEN($C753)-1, 1)="J", 3, 4)))</f>
        <v>E305</v>
      </c>
      <c r="E753" s="35" t="s">
        <v>22</v>
      </c>
      <c r="F753" s="35">
        <v>20260907020</v>
      </c>
      <c r="G753" s="35" t="s">
        <v>1830</v>
      </c>
      <c r="H753" s="43">
        <f>H749-K753</f>
        <v>213014.43511450378</v>
      </c>
      <c r="I753" s="43">
        <v>4410</v>
      </c>
      <c r="J753" s="43">
        <v>4360</v>
      </c>
      <c r="K753" s="43">
        <f>J753/0.786+1</f>
        <v>5548.0737913486</v>
      </c>
      <c r="L753" s="44"/>
      <c r="M753" s="92"/>
      <c r="N753" s="122">
        <v>0.16666666666666666</v>
      </c>
      <c r="O753" s="29">
        <f t="shared" si="97"/>
        <v>46273</v>
      </c>
      <c r="P753" s="28">
        <f t="shared" si="98"/>
        <v>46637</v>
      </c>
    </row>
    <row r="754" spans="2:16" ht="20.149999999999999" customHeight="1" x14ac:dyDescent="0.2">
      <c r="B754" s="34">
        <v>46275</v>
      </c>
      <c r="C754" s="35" t="s">
        <v>2383</v>
      </c>
      <c r="D754" s="35" t="str">
        <f t="shared" si="103"/>
        <v>E303</v>
      </c>
      <c r="E754" s="35" t="s">
        <v>22</v>
      </c>
      <c r="F754" s="35">
        <v>20260907021</v>
      </c>
      <c r="G754" s="35" t="s">
        <v>2382</v>
      </c>
      <c r="H754" s="43">
        <f>H753-K754</f>
        <v>207619.03307888037</v>
      </c>
      <c r="I754" s="43">
        <v>4260</v>
      </c>
      <c r="J754" s="43">
        <v>4240</v>
      </c>
      <c r="K754" s="43">
        <f>J754/0.786+1</f>
        <v>5395.4020356234096</v>
      </c>
      <c r="L754" s="44"/>
      <c r="M754" s="92"/>
      <c r="N754" s="122">
        <v>0.66666666666666663</v>
      </c>
      <c r="O754" s="29">
        <f t="shared" si="97"/>
        <v>46273</v>
      </c>
      <c r="P754" s="28">
        <f t="shared" si="98"/>
        <v>46637</v>
      </c>
    </row>
    <row r="755" spans="2:16" ht="20.149999999999999" customHeight="1" x14ac:dyDescent="0.2">
      <c r="B755" s="30">
        <v>46276</v>
      </c>
      <c r="C755" s="83" t="s">
        <v>2387</v>
      </c>
      <c r="D755" s="31" t="str">
        <f t="shared" si="103"/>
        <v>E318</v>
      </c>
      <c r="E755" s="31" t="s">
        <v>25</v>
      </c>
      <c r="F755" s="31">
        <v>20260907009</v>
      </c>
      <c r="G755" s="83" t="s">
        <v>1829</v>
      </c>
      <c r="H755" s="41">
        <f>H752-K755</f>
        <v>294133.30534351151</v>
      </c>
      <c r="I755" s="41">
        <v>4350</v>
      </c>
      <c r="J755" s="41">
        <v>4330</v>
      </c>
      <c r="K755" s="41">
        <f t="shared" si="102"/>
        <v>5508.9058524173024</v>
      </c>
      <c r="L755" s="42"/>
      <c r="M755" s="89"/>
      <c r="N755" s="121">
        <v>0.54166666666666663</v>
      </c>
      <c r="O755" s="29">
        <f t="shared" si="97"/>
        <v>46274</v>
      </c>
      <c r="P755" s="28">
        <f t="shared" si="98"/>
        <v>46638</v>
      </c>
    </row>
    <row r="756" spans="2:16" ht="20.149999999999999" customHeight="1" x14ac:dyDescent="0.2">
      <c r="B756" s="34">
        <v>46276</v>
      </c>
      <c r="C756" s="35" t="s">
        <v>2388</v>
      </c>
      <c r="D756" s="35" t="str">
        <f t="shared" si="103"/>
        <v>E304</v>
      </c>
      <c r="E756" s="35" t="s">
        <v>22</v>
      </c>
      <c r="F756" s="35">
        <v>20260907022</v>
      </c>
      <c r="G756" s="35" t="s">
        <v>1843</v>
      </c>
      <c r="H756" s="43">
        <f>H754-K756</f>
        <v>202401.74809160302</v>
      </c>
      <c r="I756" s="43">
        <v>4220</v>
      </c>
      <c r="J756" s="43">
        <v>4100</v>
      </c>
      <c r="K756" s="43">
        <f>J756/0.786+1</f>
        <v>5217.2849872773531</v>
      </c>
      <c r="L756" s="44"/>
      <c r="M756" s="92"/>
      <c r="N756" s="122">
        <v>0.16666666666666666</v>
      </c>
      <c r="O756" s="29">
        <f t="shared" si="97"/>
        <v>46274</v>
      </c>
      <c r="P756" s="28">
        <f t="shared" si="98"/>
        <v>46638</v>
      </c>
    </row>
    <row r="757" spans="2:16" ht="20.149999999999999" customHeight="1" x14ac:dyDescent="0.2">
      <c r="B757" s="34">
        <v>46276</v>
      </c>
      <c r="C757" s="35" t="s">
        <v>2389</v>
      </c>
      <c r="D757" s="35" t="str">
        <f t="shared" si="103"/>
        <v>E317</v>
      </c>
      <c r="E757" s="35" t="s">
        <v>22</v>
      </c>
      <c r="F757" s="35">
        <v>20260907023</v>
      </c>
      <c r="G757" s="35" t="s">
        <v>1843</v>
      </c>
      <c r="H757" s="43">
        <f>H756-K757</f>
        <v>196942.73282442745</v>
      </c>
      <c r="I757" s="43">
        <v>4340</v>
      </c>
      <c r="J757" s="43">
        <v>4290</v>
      </c>
      <c r="K757" s="43">
        <f>J757/0.786+1</f>
        <v>5459.0152671755723</v>
      </c>
      <c r="L757" s="44"/>
      <c r="M757" s="92"/>
      <c r="N757" s="122">
        <v>0.66666666666666663</v>
      </c>
      <c r="O757" s="29">
        <f t="shared" si="97"/>
        <v>46274</v>
      </c>
      <c r="P757" s="28">
        <f t="shared" si="98"/>
        <v>46638</v>
      </c>
    </row>
    <row r="758" spans="2:16" ht="20.149999999999999" customHeight="1" x14ac:dyDescent="0.2">
      <c r="B758" s="30">
        <v>46277</v>
      </c>
      <c r="C758" s="31" t="s">
        <v>2393</v>
      </c>
      <c r="D758" s="31" t="str">
        <f t="shared" si="103"/>
        <v>E307</v>
      </c>
      <c r="E758" s="31" t="s">
        <v>25</v>
      </c>
      <c r="F758" s="31">
        <v>20260907010</v>
      </c>
      <c r="G758" s="83" t="s">
        <v>2391</v>
      </c>
      <c r="H758" s="41">
        <f>H755-K758</f>
        <v>288737.90330788813</v>
      </c>
      <c r="I758" s="41">
        <v>4180</v>
      </c>
      <c r="J758" s="41">
        <v>4240</v>
      </c>
      <c r="K758" s="41">
        <f>J758/0.786+1</f>
        <v>5395.4020356234096</v>
      </c>
      <c r="L758" s="42"/>
      <c r="M758" s="89"/>
      <c r="N758" s="121">
        <v>0.125</v>
      </c>
      <c r="O758" s="29">
        <f t="shared" si="97"/>
        <v>46274</v>
      </c>
      <c r="P758" s="28">
        <f t="shared" si="98"/>
        <v>46638</v>
      </c>
    </row>
    <row r="759" spans="2:16" ht="20.149999999999999" customHeight="1" x14ac:dyDescent="0.25">
      <c r="B759" s="34">
        <v>46277</v>
      </c>
      <c r="C759" s="35" t="s">
        <v>2392</v>
      </c>
      <c r="D759" s="35" t="str">
        <f t="shared" ref="D759" si="104">IF($C759="", "", MID($C759, 6, IF(MID($C759, LEN($C759)-1, 1)="J", 3, 4)))</f>
        <v>E308</v>
      </c>
      <c r="E759" s="35" t="s">
        <v>22</v>
      </c>
      <c r="F759" s="35">
        <v>20260907024</v>
      </c>
      <c r="G759" s="35" t="s">
        <v>1866</v>
      </c>
      <c r="H759" s="36">
        <f>H757-K759</f>
        <v>191394.65903307885</v>
      </c>
      <c r="I759" s="36">
        <v>4260</v>
      </c>
      <c r="J759" s="36">
        <v>4360</v>
      </c>
      <c r="K759" s="36">
        <f>J759/0.786+1</f>
        <v>5548.0737913486</v>
      </c>
      <c r="L759" s="128"/>
      <c r="M759" s="92"/>
      <c r="N759" s="127">
        <v>0.16666666666666666</v>
      </c>
      <c r="O759" s="29">
        <f t="shared" si="97"/>
        <v>46275</v>
      </c>
      <c r="P759" s="28">
        <f t="shared" si="98"/>
        <v>46639</v>
      </c>
    </row>
    <row r="760" spans="2:16" ht="20.149999999999999" customHeight="1" x14ac:dyDescent="0.2">
      <c r="B760" s="62">
        <v>46277</v>
      </c>
      <c r="C760" s="61" t="s">
        <v>2394</v>
      </c>
      <c r="D760" s="61" t="str">
        <f>IF($C760="", "", MID($C760, 6, IF(MID($C760, LEN($C760)-1, 1)="J", 3, 4)))</f>
        <v>E305</v>
      </c>
      <c r="E760" s="61" t="s">
        <v>1034</v>
      </c>
      <c r="F760" s="61" t="s">
        <v>2419</v>
      </c>
      <c r="G760" s="61" t="s">
        <v>2054</v>
      </c>
      <c r="H760" s="64">
        <f>H750-K760</f>
        <v>97654.989821882962</v>
      </c>
      <c r="I760" s="64">
        <v>4390</v>
      </c>
      <c r="J760" s="64">
        <v>4230</v>
      </c>
      <c r="K760" s="64">
        <f>J760/0.786</f>
        <v>5381.679389312977</v>
      </c>
      <c r="L760" s="61"/>
      <c r="M760" s="93"/>
      <c r="N760" s="120">
        <v>0.58333333333333337</v>
      </c>
      <c r="O760" s="29">
        <f t="shared" ref="O760:O775" si="105">IF($C760="","",DATE(2000+LEFT($C760,2), HEX2DEC(MID($C760,3,1)), MID($C760,4,2)))</f>
        <v>46275</v>
      </c>
      <c r="P760" s="28">
        <f t="shared" si="98"/>
        <v>46639</v>
      </c>
    </row>
    <row r="761" spans="2:16" ht="20.149999999999999" customHeight="1" x14ac:dyDescent="0.2">
      <c r="B761" s="34">
        <v>46278</v>
      </c>
      <c r="C761" s="35" t="s">
        <v>2398</v>
      </c>
      <c r="D761" s="35" t="str">
        <f t="shared" ref="D761:D763" si="106">IF($C761="", "", MID($C761, 6, IF(MID($C761, LEN($C761)-1, 1)="J", 3, 4)))</f>
        <v>E44</v>
      </c>
      <c r="E761" s="35" t="s">
        <v>22</v>
      </c>
      <c r="F761" s="35">
        <v>20260907026</v>
      </c>
      <c r="G761" s="35" t="s">
        <v>2396</v>
      </c>
      <c r="H761" s="43">
        <f>H759-K761</f>
        <v>185873.0305343511</v>
      </c>
      <c r="I761" s="43">
        <v>4350</v>
      </c>
      <c r="J761" s="43">
        <v>4340</v>
      </c>
      <c r="K761" s="36">
        <f>J761/0.786</f>
        <v>5521.628498727735</v>
      </c>
      <c r="L761" s="44"/>
      <c r="M761" s="92"/>
      <c r="N761" s="122">
        <v>0</v>
      </c>
      <c r="O761" s="29">
        <f t="shared" si="105"/>
        <v>46275</v>
      </c>
      <c r="P761" s="28">
        <f t="shared" si="98"/>
        <v>46639</v>
      </c>
    </row>
    <row r="762" spans="2:16" ht="20.149999999999999" customHeight="1" x14ac:dyDescent="0.2">
      <c r="B762" s="30">
        <v>46279</v>
      </c>
      <c r="C762" s="31" t="s">
        <v>2403</v>
      </c>
      <c r="D762" s="31" t="str">
        <f>IF($C762="", "", MID($C762, 6, IF(MID($C762, LEN($C762)-1, 1)="J", 3, 4)))</f>
        <v>E303</v>
      </c>
      <c r="E762" s="31" t="s">
        <v>25</v>
      </c>
      <c r="F762" s="31">
        <v>20260907012</v>
      </c>
      <c r="G762" s="83" t="s">
        <v>1829</v>
      </c>
      <c r="H762" s="41">
        <f>H758-K762</f>
        <v>283469.72773536906</v>
      </c>
      <c r="I762" s="41">
        <v>4160</v>
      </c>
      <c r="J762" s="41">
        <v>4140</v>
      </c>
      <c r="K762" s="41">
        <f t="shared" ref="K762:K767" si="107">J762/0.786+1</f>
        <v>5268.1755725190842</v>
      </c>
      <c r="L762" s="42"/>
      <c r="M762" s="89"/>
      <c r="N762" s="121">
        <v>0</v>
      </c>
      <c r="O762" s="29">
        <f>IF($C762="","",DATE(2000+LEFT($C762,2), HEX2DEC(MID($C762,3,1)), MID($C762,4,2)))</f>
        <v>46276</v>
      </c>
      <c r="P762" s="28">
        <f>DATE(YEAR(O762)+1,MONTH(O762),DAY(O762))-1</f>
        <v>46640</v>
      </c>
    </row>
    <row r="763" spans="2:16" ht="20.149999999999999" customHeight="1" x14ac:dyDescent="0.2">
      <c r="B763" s="30">
        <v>46279</v>
      </c>
      <c r="C763" s="31" t="s">
        <v>2404</v>
      </c>
      <c r="D763" s="31" t="str">
        <f t="shared" si="106"/>
        <v>E302</v>
      </c>
      <c r="E763" s="31" t="s">
        <v>25</v>
      </c>
      <c r="F763" s="31">
        <v>20260907013</v>
      </c>
      <c r="G763" s="83" t="s">
        <v>2399</v>
      </c>
      <c r="H763" s="41">
        <f>H762-K763</f>
        <v>278061.60305343522</v>
      </c>
      <c r="I763" s="41">
        <v>4200</v>
      </c>
      <c r="J763" s="41">
        <v>4250</v>
      </c>
      <c r="K763" s="41">
        <f t="shared" si="107"/>
        <v>5408.1246819338421</v>
      </c>
      <c r="L763" s="42"/>
      <c r="M763" s="89"/>
      <c r="N763" s="121">
        <v>0.625</v>
      </c>
      <c r="O763" s="29">
        <f t="shared" si="105"/>
        <v>46276</v>
      </c>
      <c r="P763" s="28">
        <f t="shared" si="98"/>
        <v>46640</v>
      </c>
    </row>
    <row r="764" spans="2:16" ht="20.149999999999999" customHeight="1" x14ac:dyDescent="0.2">
      <c r="B764" s="34">
        <v>46279</v>
      </c>
      <c r="C764" s="35" t="s">
        <v>2401</v>
      </c>
      <c r="D764" s="35" t="str">
        <f>IF($C764="", "", MID($C764, 6, IF(MID($C764, LEN($C764)-1, 1)="J", 3, 4)))</f>
        <v>E318</v>
      </c>
      <c r="E764" s="35" t="s">
        <v>22</v>
      </c>
      <c r="F764" s="35">
        <v>20260907027</v>
      </c>
      <c r="G764" s="35" t="s">
        <v>2400</v>
      </c>
      <c r="H764" s="43">
        <f>H761-K764</f>
        <v>180515.79643765898</v>
      </c>
      <c r="I764" s="43">
        <v>4260</v>
      </c>
      <c r="J764" s="43">
        <v>4210</v>
      </c>
      <c r="K764" s="43">
        <f t="shared" si="107"/>
        <v>5357.234096692112</v>
      </c>
      <c r="L764" s="44"/>
      <c r="M764" s="92"/>
      <c r="N764" s="122">
        <v>0</v>
      </c>
      <c r="O764" s="29">
        <f>IF($C764="","",DATE(2000+LEFT($C764,2), HEX2DEC(MID($C764,3,1)), MID($C764,4,2)))</f>
        <v>46277</v>
      </c>
      <c r="P764" s="28">
        <f>DATE(YEAR(O764)+1,MONTH(O764),DAY(O764))-1</f>
        <v>46641</v>
      </c>
    </row>
    <row r="765" spans="2:16" ht="20.149999999999999" customHeight="1" x14ac:dyDescent="0.2">
      <c r="B765" s="34">
        <v>46279</v>
      </c>
      <c r="C765" s="35" t="s">
        <v>2402</v>
      </c>
      <c r="D765" s="35" t="str">
        <f t="shared" ref="D765" si="108">IF($C765="", "", MID($C765, 6, IF(MID($C765, LEN($C765)-1, 1)="J", 3, 4)))</f>
        <v>E317</v>
      </c>
      <c r="E765" s="35" t="s">
        <v>22</v>
      </c>
      <c r="F765" s="35">
        <v>20260907028</v>
      </c>
      <c r="G765" s="35" t="s">
        <v>1830</v>
      </c>
      <c r="H765" s="43">
        <f>H764-K765</f>
        <v>175196.73027989815</v>
      </c>
      <c r="I765" s="43">
        <v>4200</v>
      </c>
      <c r="J765" s="43">
        <v>4180</v>
      </c>
      <c r="K765" s="43">
        <f t="shared" si="107"/>
        <v>5319.0661577608143</v>
      </c>
      <c r="L765" s="44"/>
      <c r="M765" s="92"/>
      <c r="N765" s="122">
        <v>0.5</v>
      </c>
      <c r="O765" s="29">
        <f t="shared" si="105"/>
        <v>46277</v>
      </c>
      <c r="P765" s="28">
        <f t="shared" ref="P765:P789" si="109">DATE(YEAR(O765)+1,MONTH(O765),DAY(O765))-1</f>
        <v>46641</v>
      </c>
    </row>
    <row r="766" spans="2:16" ht="20.149999999999999" customHeight="1" x14ac:dyDescent="0.2">
      <c r="B766" s="34">
        <v>46279</v>
      </c>
      <c r="C766" s="35" t="s">
        <v>2408</v>
      </c>
      <c r="D766" s="35" t="str">
        <f>IF($C766="", "", MID($C766, 6, IF(MID($C766, LEN($C766)-1, 1)="J", 3, 4)))</f>
        <v>E307</v>
      </c>
      <c r="E766" s="35" t="s">
        <v>22</v>
      </c>
      <c r="F766" s="35">
        <v>20260907029</v>
      </c>
      <c r="G766" s="35" t="s">
        <v>1830</v>
      </c>
      <c r="H766" s="43">
        <f>H765-K766</f>
        <v>169750.43765903302</v>
      </c>
      <c r="I766" s="43">
        <v>4180</v>
      </c>
      <c r="J766" s="43">
        <v>4280</v>
      </c>
      <c r="K766" s="43">
        <f t="shared" si="107"/>
        <v>5446.2926208651397</v>
      </c>
      <c r="L766" s="44"/>
      <c r="M766" s="92"/>
      <c r="N766" s="122">
        <v>0.70833333333333337</v>
      </c>
      <c r="O766" s="29">
        <f>IF($C766="","",DATE(2000+LEFT($C766,2), HEX2DEC(MID($C766,3,1)), MID($C766,4,2)))</f>
        <v>46277</v>
      </c>
      <c r="P766" s="28">
        <f>DATE(YEAR(O766)+1,MONTH(O766),DAY(O766))-1</f>
        <v>46641</v>
      </c>
    </row>
    <row r="767" spans="2:16" ht="20.149999999999999" customHeight="1" x14ac:dyDescent="0.2">
      <c r="B767" s="30">
        <v>46280</v>
      </c>
      <c r="C767" s="31" t="s">
        <v>2409</v>
      </c>
      <c r="D767" s="31" t="str">
        <f>IF($C767="", "", MID($C767, 6, IF(MID($C767, LEN($C767)-1, 1)="J", 3, 4)))</f>
        <v>E308</v>
      </c>
      <c r="E767" s="31" t="s">
        <v>25</v>
      </c>
      <c r="F767" s="31">
        <v>20260907014</v>
      </c>
      <c r="G767" s="83" t="s">
        <v>1829</v>
      </c>
      <c r="H767" s="41">
        <f>H763-K767</f>
        <v>272513.52926208661</v>
      </c>
      <c r="I767" s="41">
        <v>4360</v>
      </c>
      <c r="J767" s="41">
        <v>4360</v>
      </c>
      <c r="K767" s="41">
        <f t="shared" si="107"/>
        <v>5548.0737913486</v>
      </c>
      <c r="L767" s="42"/>
      <c r="M767" s="89"/>
      <c r="N767" s="121">
        <v>0</v>
      </c>
      <c r="O767" s="29">
        <f>IF($C767="","",DATE(2000+LEFT($C767,2), HEX2DEC(MID($C767,3,1)), MID($C767,4,2)))</f>
        <v>46277</v>
      </c>
      <c r="P767" s="28">
        <f>DATE(YEAR(O767)+1,MONTH(O767),DAY(O767))-1</f>
        <v>46641</v>
      </c>
    </row>
    <row r="768" spans="2:16" ht="20.149999999999999" customHeight="1" x14ac:dyDescent="0.2">
      <c r="B768" s="30">
        <v>46280</v>
      </c>
      <c r="C768" s="31" t="s">
        <v>2412</v>
      </c>
      <c r="D768" s="31" t="str">
        <f t="shared" ref="D768" si="110">IF($C768="", "", MID($C768, 6, IF(MID($C768, LEN($C768)-1, 1)="J", 3, 4)))</f>
        <v>E44</v>
      </c>
      <c r="E768" s="31" t="s">
        <v>25</v>
      </c>
      <c r="F768" s="31">
        <v>20260907015</v>
      </c>
      <c r="G768" s="83" t="s">
        <v>2410</v>
      </c>
      <c r="H768" s="41">
        <f>H767-K768</f>
        <v>272513.52926208661</v>
      </c>
      <c r="I768" s="41"/>
      <c r="J768" s="41"/>
      <c r="K768" s="41">
        <f t="shared" si="102"/>
        <v>0</v>
      </c>
      <c r="L768" s="42"/>
      <c r="M768" s="89"/>
      <c r="N768" s="121">
        <v>0.58333333333333337</v>
      </c>
      <c r="O768" s="29">
        <f t="shared" si="105"/>
        <v>46279</v>
      </c>
      <c r="P768" s="28">
        <f t="shared" si="109"/>
        <v>46643</v>
      </c>
    </row>
    <row r="769" spans="2:16" ht="20.149999999999999" customHeight="1" x14ac:dyDescent="0.2">
      <c r="B769" s="34">
        <v>46280</v>
      </c>
      <c r="C769" s="35" t="s">
        <v>2405</v>
      </c>
      <c r="D769" s="35" t="str">
        <f t="shared" ref="D769:D772" si="111">IF($C769="", "", MID($C769, 6, IF(MID($C769, LEN($C769)-1, 1)="J", 3, 4)))</f>
        <v>E305</v>
      </c>
      <c r="E769" s="35" t="s">
        <v>22</v>
      </c>
      <c r="F769" s="35">
        <v>20260907030</v>
      </c>
      <c r="G769" s="35" t="s">
        <v>2407</v>
      </c>
      <c r="H769" s="43">
        <f>H766-K769</f>
        <v>164368.75826972004</v>
      </c>
      <c r="I769" s="43">
        <v>4220</v>
      </c>
      <c r="J769" s="43">
        <v>4230</v>
      </c>
      <c r="K769" s="43">
        <f t="shared" ref="K769" si="112">J769/0.786</f>
        <v>5381.679389312977</v>
      </c>
      <c r="L769" s="44"/>
      <c r="M769" s="92"/>
      <c r="N769" s="122">
        <v>0.16666666666666666</v>
      </c>
      <c r="O769" s="29">
        <f t="shared" si="105"/>
        <v>46278</v>
      </c>
      <c r="P769" s="28">
        <f t="shared" si="109"/>
        <v>46642</v>
      </c>
    </row>
    <row r="770" spans="2:16" ht="20.149999999999999" customHeight="1" x14ac:dyDescent="0.2">
      <c r="B770" s="34">
        <v>46280</v>
      </c>
      <c r="C770" s="35" t="s">
        <v>2406</v>
      </c>
      <c r="D770" s="35" t="str">
        <f t="shared" si="111"/>
        <v>E319</v>
      </c>
      <c r="E770" s="35" t="s">
        <v>22</v>
      </c>
      <c r="F770" s="35">
        <v>20260907031</v>
      </c>
      <c r="G770" s="35" t="s">
        <v>1830</v>
      </c>
      <c r="H770" s="43">
        <f>H769-K770</f>
        <v>159011.52417302792</v>
      </c>
      <c r="I770" s="43">
        <v>4230</v>
      </c>
      <c r="J770" s="43">
        <v>4210</v>
      </c>
      <c r="K770" s="43">
        <f>J770/0.786+1</f>
        <v>5357.234096692112</v>
      </c>
      <c r="L770" s="44"/>
      <c r="M770" s="92"/>
      <c r="N770" s="122">
        <v>0.625</v>
      </c>
      <c r="O770" s="29">
        <f t="shared" si="105"/>
        <v>46278</v>
      </c>
      <c r="P770" s="28">
        <f t="shared" si="109"/>
        <v>46642</v>
      </c>
    </row>
    <row r="771" spans="2:16" ht="20.149999999999999" customHeight="1" x14ac:dyDescent="0.2">
      <c r="B771" s="30">
        <v>46281</v>
      </c>
      <c r="C771" s="31" t="s">
        <v>2418</v>
      </c>
      <c r="D771" s="31" t="str">
        <f>IF($C771="", "", MID($C771, 6, IF(MID($C771, LEN($C771)-1, 1)="J", 3, 4)))</f>
        <v>E29</v>
      </c>
      <c r="E771" s="31" t="s">
        <v>25</v>
      </c>
      <c r="F771" s="31">
        <v>20260907016</v>
      </c>
      <c r="G771" s="83" t="s">
        <v>2417</v>
      </c>
      <c r="H771" s="41">
        <f>H768-K771</f>
        <v>272513.52926208661</v>
      </c>
      <c r="I771" s="41"/>
      <c r="J771" s="41"/>
      <c r="K771" s="41">
        <f>J771/0.786</f>
        <v>0</v>
      </c>
      <c r="L771" s="42"/>
      <c r="M771" s="89"/>
      <c r="N771" s="121">
        <v>0.25</v>
      </c>
      <c r="O771" s="29">
        <f>IF($C771="","",DATE(2000+LEFT($C771,2), HEX2DEC(MID($C771,3,1)), MID($C771,4,2)))</f>
        <v>46279</v>
      </c>
      <c r="P771" s="28">
        <f>DATE(YEAR(O771)+1,MONTH(O771),DAY(O771))-1</f>
        <v>46643</v>
      </c>
    </row>
    <row r="772" spans="2:16" ht="20.149999999999999" customHeight="1" x14ac:dyDescent="0.2">
      <c r="B772" s="30">
        <v>46281</v>
      </c>
      <c r="C772" s="31" t="s">
        <v>2420</v>
      </c>
      <c r="D772" s="31" t="str">
        <f t="shared" si="111"/>
        <v>E317</v>
      </c>
      <c r="E772" s="31" t="s">
        <v>25</v>
      </c>
      <c r="F772" s="31">
        <v>20260907017</v>
      </c>
      <c r="G772" s="83" t="s">
        <v>2421</v>
      </c>
      <c r="H772" s="41">
        <f>H771-K772</f>
        <v>272513.52926208661</v>
      </c>
      <c r="I772" s="41"/>
      <c r="J772" s="41"/>
      <c r="K772" s="41">
        <f t="shared" si="102"/>
        <v>0</v>
      </c>
      <c r="L772" s="42"/>
      <c r="M772" s="89"/>
      <c r="N772" s="121">
        <v>0.875</v>
      </c>
      <c r="O772" s="29">
        <f t="shared" si="105"/>
        <v>46280</v>
      </c>
      <c r="P772" s="28">
        <f t="shared" si="109"/>
        <v>46644</v>
      </c>
    </row>
    <row r="773" spans="2:16" ht="20.149999999999999" customHeight="1" x14ac:dyDescent="0.2">
      <c r="B773" s="34">
        <v>46281</v>
      </c>
      <c r="C773" s="35" t="s">
        <v>2415</v>
      </c>
      <c r="D773" s="35" t="str">
        <f>IF($C773="", "", MID($C773, 6, IF(MID($C773, LEN($C773)-1, 1)="J", 3, 4)))</f>
        <v>E303</v>
      </c>
      <c r="E773" s="35" t="s">
        <v>22</v>
      </c>
      <c r="F773" s="35">
        <v>20260907032</v>
      </c>
      <c r="G773" s="35" t="s">
        <v>1830</v>
      </c>
      <c r="H773" s="43">
        <f>H770-K773</f>
        <v>159011.52417302792</v>
      </c>
      <c r="I773" s="43"/>
      <c r="J773" s="43"/>
      <c r="K773" s="43">
        <f t="shared" ref="K773:K774" si="113">J773/0.786</f>
        <v>0</v>
      </c>
      <c r="L773" s="44"/>
      <c r="M773" s="92"/>
      <c r="N773" s="122">
        <v>8.3333333333333329E-2</v>
      </c>
      <c r="O773" s="29">
        <f t="shared" si="105"/>
        <v>46279</v>
      </c>
      <c r="P773" s="28">
        <f t="shared" si="109"/>
        <v>46643</v>
      </c>
    </row>
    <row r="774" spans="2:16" ht="20.149999999999999" customHeight="1" x14ac:dyDescent="0.2">
      <c r="B774" s="34">
        <v>46281</v>
      </c>
      <c r="C774" s="35" t="s">
        <v>2416</v>
      </c>
      <c r="D774" s="35" t="str">
        <f t="shared" ref="D774" si="114">IF($C774="", "", MID($C774, 6, IF(MID($C774, LEN($C774)-1, 1)="J", 3, 4)))</f>
        <v>E306</v>
      </c>
      <c r="E774" s="35" t="s">
        <v>22</v>
      </c>
      <c r="F774" s="35">
        <v>20260907033</v>
      </c>
      <c r="G774" s="35" t="s">
        <v>1830</v>
      </c>
      <c r="H774" s="43">
        <f>H773-K774</f>
        <v>159011.52417302792</v>
      </c>
      <c r="I774" s="43"/>
      <c r="J774" s="43"/>
      <c r="K774" s="43">
        <f t="shared" si="113"/>
        <v>0</v>
      </c>
      <c r="L774" s="44"/>
      <c r="M774" s="92"/>
      <c r="N774" s="122">
        <v>0.58333333333333337</v>
      </c>
      <c r="O774" s="29">
        <f t="shared" si="105"/>
        <v>46279</v>
      </c>
      <c r="P774" s="28">
        <f t="shared" si="109"/>
        <v>46643</v>
      </c>
    </row>
    <row r="775" spans="2:16" ht="20.149999999999999" customHeight="1" x14ac:dyDescent="0.2">
      <c r="B775" s="62">
        <v>46281</v>
      </c>
      <c r="C775" s="61" t="s">
        <v>2423</v>
      </c>
      <c r="D775" s="61" t="str">
        <f>IF($C775="", "", MID($C775, 6, IF(MID($C775, LEN($C775)-1, 1)="J", 3, 4)))</f>
        <v>E308</v>
      </c>
      <c r="E775" s="61" t="s">
        <v>1034</v>
      </c>
      <c r="F775" s="61">
        <v>20260911003</v>
      </c>
      <c r="G775" s="61" t="s">
        <v>1828</v>
      </c>
      <c r="H775" s="64">
        <f>H760-K775</f>
        <v>97654.989821882962</v>
      </c>
      <c r="I775" s="64"/>
      <c r="J775" s="64"/>
      <c r="K775" s="64">
        <f>J775/0.786</f>
        <v>0</v>
      </c>
      <c r="L775" s="61"/>
      <c r="M775" s="93"/>
      <c r="N775" s="120">
        <v>0.58333333333333337</v>
      </c>
      <c r="O775" s="29">
        <f t="shared" si="105"/>
        <v>46280</v>
      </c>
      <c r="P775" s="28">
        <f t="shared" si="109"/>
        <v>46644</v>
      </c>
    </row>
    <row r="776" spans="2:16" ht="20.149999999999999" customHeight="1" x14ac:dyDescent="0.2">
      <c r="B776" s="30">
        <v>46282</v>
      </c>
      <c r="C776" s="31" t="s">
        <v>2425</v>
      </c>
      <c r="D776" s="31" t="str">
        <f t="shared" ref="D776:D780" si="115">IF($C776="", "", MID($C776, 6, IF(MID($C776, LEN($C776)-1, 1)="J", 3, 4)))</f>
        <v>E302</v>
      </c>
      <c r="E776" s="31" t="s">
        <v>25</v>
      </c>
      <c r="F776" s="31">
        <v>20260915004</v>
      </c>
      <c r="G776" s="83" t="s">
        <v>1829</v>
      </c>
      <c r="H776" s="41">
        <f>H772-K776</f>
        <v>272513.52926208661</v>
      </c>
      <c r="I776" s="41"/>
      <c r="J776" s="41"/>
      <c r="K776" s="41">
        <f t="shared" ref="K776" si="116">J776/0.786</f>
        <v>0</v>
      </c>
      <c r="L776" s="42"/>
      <c r="M776" s="89"/>
      <c r="N776" s="121">
        <v>0.5</v>
      </c>
      <c r="O776" s="29">
        <f>IF($C776="","",DATE(2000+LEFT($C776,2), HEX2DEC(MID($C776,3,1)), MID($C776,4,2)))</f>
        <v>46280</v>
      </c>
      <c r="P776" s="28">
        <f t="shared" si="109"/>
        <v>46644</v>
      </c>
    </row>
    <row r="777" spans="2:16" ht="20.149999999999999" customHeight="1" x14ac:dyDescent="0.2">
      <c r="B777" s="34">
        <v>46282</v>
      </c>
      <c r="C777" s="35" t="s">
        <v>2424</v>
      </c>
      <c r="D777" s="35" t="str">
        <f t="shared" si="115"/>
        <v>E309</v>
      </c>
      <c r="E777" s="35" t="s">
        <v>22</v>
      </c>
      <c r="F777" s="35">
        <v>20260915017</v>
      </c>
      <c r="G777" s="35" t="s">
        <v>1830</v>
      </c>
      <c r="H777" s="43">
        <f>H774-K777</f>
        <v>159011.52417302792</v>
      </c>
      <c r="I777" s="43"/>
      <c r="J777" s="43"/>
      <c r="K777" s="43">
        <f>J777/0.786</f>
        <v>0</v>
      </c>
      <c r="L777" s="44"/>
      <c r="M777" s="92"/>
      <c r="N777" s="122">
        <v>8.3333333333333329E-2</v>
      </c>
      <c r="O777" s="29">
        <f>IF($C777="","",DATE(2000+LEFT($C777,2), HEX2DEC(MID($C777,3,1)), MID($C777,4,2)))</f>
        <v>46280</v>
      </c>
      <c r="P777" s="28">
        <f t="shared" si="109"/>
        <v>46644</v>
      </c>
    </row>
    <row r="778" spans="2:16" ht="20.149999999999999" customHeight="1" x14ac:dyDescent="0.2">
      <c r="B778" s="34">
        <v>46282</v>
      </c>
      <c r="C778" s="35" t="s">
        <v>2426</v>
      </c>
      <c r="D778" s="35" t="str">
        <f>IF($C778="", "", MID($C778, 6, IF(MID($C778, LEN($C778)-1, 1)="J", 3, 4)))</f>
        <v>E305</v>
      </c>
      <c r="E778" s="35" t="s">
        <v>22</v>
      </c>
      <c r="F778" s="35">
        <v>20260915018</v>
      </c>
      <c r="G778" s="35" t="s">
        <v>1843</v>
      </c>
      <c r="H778" s="43">
        <f>H777-K778</f>
        <v>159011.52417302792</v>
      </c>
      <c r="I778" s="43"/>
      <c r="J778" s="43"/>
      <c r="K778" s="43">
        <f t="shared" ref="K778" si="117">J778/0.786</f>
        <v>0</v>
      </c>
      <c r="L778" s="44"/>
      <c r="M778" s="92"/>
      <c r="N778" s="122">
        <v>0.58333333333333337</v>
      </c>
      <c r="O778" s="29">
        <f>IF($C778="","",DATE(2000+LEFT($C778,2), HEX2DEC(MID($C778,3,1)), MID($C778,4,2)))</f>
        <v>46281</v>
      </c>
      <c r="P778" s="28">
        <f t="shared" si="109"/>
        <v>46645</v>
      </c>
    </row>
    <row r="779" spans="2:16" ht="20.149999999999999" customHeight="1" x14ac:dyDescent="0.2">
      <c r="B779" s="30">
        <v>46283</v>
      </c>
      <c r="C779" s="31" t="s">
        <v>2427</v>
      </c>
      <c r="D779" s="31" t="str">
        <f t="shared" si="115"/>
        <v>E318</v>
      </c>
      <c r="E779" s="31" t="s">
        <v>25</v>
      </c>
      <c r="F779" s="31">
        <v>20260915005</v>
      </c>
      <c r="G779" s="83" t="s">
        <v>2429</v>
      </c>
      <c r="H779" s="41">
        <f>H776-K779</f>
        <v>272513.52926208661</v>
      </c>
      <c r="I779" s="41"/>
      <c r="J779" s="41"/>
      <c r="K779" s="41">
        <f t="shared" ref="K779" si="118">J779/0.786</f>
        <v>0</v>
      </c>
      <c r="L779" s="42"/>
      <c r="M779" s="89"/>
      <c r="N779" s="121">
        <v>8.3333333333333329E-2</v>
      </c>
      <c r="O779" s="29">
        <f t="shared" ref="O779:O818" si="119">IF($C779="","",DATE(2000+LEFT($C779,2), HEX2DEC(MID($C779,3,1)), MID($C779,4,2)))</f>
        <v>46281</v>
      </c>
      <c r="P779" s="28">
        <f t="shared" si="109"/>
        <v>46645</v>
      </c>
    </row>
    <row r="780" spans="2:16" ht="20.149999999999999" customHeight="1" x14ac:dyDescent="0.2">
      <c r="B780" s="30">
        <v>46283</v>
      </c>
      <c r="C780" s="31" t="s">
        <v>2433</v>
      </c>
      <c r="D780" s="31" t="str">
        <f t="shared" si="115"/>
        <v>E319</v>
      </c>
      <c r="E780" s="31" t="s">
        <v>25</v>
      </c>
      <c r="F780" s="31">
        <v>20260915006</v>
      </c>
      <c r="G780" s="83" t="s">
        <v>1829</v>
      </c>
      <c r="H780" s="41">
        <f>H779-K780</f>
        <v>272513.52926208661</v>
      </c>
      <c r="I780" s="41"/>
      <c r="J780" s="41"/>
      <c r="K780" s="41">
        <f t="shared" ref="K780" si="120">J780/0.786</f>
        <v>0</v>
      </c>
      <c r="L780" s="42"/>
      <c r="M780" s="89"/>
      <c r="N780" s="121">
        <v>0.70833333333333337</v>
      </c>
      <c r="O780" s="29">
        <f t="shared" si="119"/>
        <v>46281</v>
      </c>
      <c r="P780" s="28">
        <f t="shared" si="109"/>
        <v>46645</v>
      </c>
    </row>
    <row r="781" spans="2:16" ht="20.149999999999999" customHeight="1" x14ac:dyDescent="0.2">
      <c r="B781" s="34">
        <v>46283</v>
      </c>
      <c r="C781" s="35" t="s">
        <v>2432</v>
      </c>
      <c r="D781" s="35" t="str">
        <f t="shared" ref="D781:D784" si="121">IF($C781="", "", MID($C781, 6, IF(MID($C781, LEN($C781)-1, 1)="J", 3, 4)))</f>
        <v>E44</v>
      </c>
      <c r="E781" s="35" t="s">
        <v>22</v>
      </c>
      <c r="F781" s="35">
        <v>20260915019</v>
      </c>
      <c r="G781" s="35" t="s">
        <v>2430</v>
      </c>
      <c r="H781" s="43">
        <f>H778-K781</f>
        <v>159011.52417302792</v>
      </c>
      <c r="I781" s="43"/>
      <c r="J781" s="43"/>
      <c r="K781" s="43">
        <f t="shared" ref="K781" si="122">J781/0.786</f>
        <v>0</v>
      </c>
      <c r="L781" s="44"/>
      <c r="M781" s="92"/>
      <c r="N781" s="122">
        <v>0.125</v>
      </c>
      <c r="O781" s="29">
        <f>IF($C781="","",DATE(2000+LEFT($C781,2), HEX2DEC(MID($C781,3,1)), MID($C781,4,2)))</f>
        <v>46281</v>
      </c>
      <c r="P781" s="28">
        <f t="shared" si="109"/>
        <v>46645</v>
      </c>
    </row>
    <row r="782" spans="2:16" ht="20.149999999999999" customHeight="1" x14ac:dyDescent="0.2">
      <c r="B782" s="34">
        <v>46283</v>
      </c>
      <c r="C782" s="35" t="s">
        <v>2428</v>
      </c>
      <c r="D782" s="35" t="str">
        <f t="shared" si="121"/>
        <v>E303</v>
      </c>
      <c r="E782" s="35" t="s">
        <v>22</v>
      </c>
      <c r="F782" s="35">
        <v>20260915020</v>
      </c>
      <c r="G782" s="35" t="s">
        <v>2431</v>
      </c>
      <c r="H782" s="43">
        <f>H781-K782</f>
        <v>159011.52417302792</v>
      </c>
      <c r="I782" s="43"/>
      <c r="J782" s="43"/>
      <c r="K782" s="43">
        <f>J782/0.786</f>
        <v>0</v>
      </c>
      <c r="L782" s="44"/>
      <c r="M782" s="92"/>
      <c r="N782" s="122">
        <v>0.625</v>
      </c>
      <c r="O782" s="29">
        <f>IF($C782="","",DATE(2000+LEFT($C782,2), HEX2DEC(MID($C782,3,1)), MID($C782,4,2)))</f>
        <v>46281</v>
      </c>
      <c r="P782" s="28">
        <f t="shared" si="109"/>
        <v>46645</v>
      </c>
    </row>
    <row r="783" spans="2:16" ht="20.149999999999999" customHeight="1" x14ac:dyDescent="0.2">
      <c r="B783" s="30">
        <v>46284</v>
      </c>
      <c r="C783" s="31"/>
      <c r="D783" s="31" t="str">
        <f t="shared" si="121"/>
        <v/>
      </c>
      <c r="E783" s="31" t="s">
        <v>25</v>
      </c>
      <c r="F783" s="31">
        <v>20260915007</v>
      </c>
      <c r="G783" s="83" t="s">
        <v>1829</v>
      </c>
      <c r="H783" s="41">
        <f>H780-K783</f>
        <v>272513.52926208661</v>
      </c>
      <c r="I783" s="41"/>
      <c r="J783" s="41"/>
      <c r="K783" s="41">
        <f t="shared" ref="K783" si="123">J783/0.786</f>
        <v>0</v>
      </c>
      <c r="L783" s="42"/>
      <c r="M783" s="89"/>
      <c r="N783" s="121"/>
      <c r="O783" s="29" t="str">
        <f t="shared" si="119"/>
        <v/>
      </c>
      <c r="P783" s="28" t="e">
        <f t="shared" si="109"/>
        <v>#VALUE!</v>
      </c>
    </row>
    <row r="784" spans="2:16" ht="20.149999999999999" customHeight="1" x14ac:dyDescent="0.2">
      <c r="B784" s="30">
        <v>46284</v>
      </c>
      <c r="C784" s="31"/>
      <c r="D784" s="31" t="str">
        <f t="shared" si="121"/>
        <v/>
      </c>
      <c r="E784" s="31" t="s">
        <v>25</v>
      </c>
      <c r="F784" s="31">
        <v>20260915008</v>
      </c>
      <c r="G784" s="83" t="s">
        <v>1829</v>
      </c>
      <c r="H784" s="41">
        <f>H783-K784</f>
        <v>272513.52926208661</v>
      </c>
      <c r="I784" s="41"/>
      <c r="J784" s="41"/>
      <c r="K784" s="41">
        <f t="shared" ref="K784:K794" si="124">J784/0.786</f>
        <v>0</v>
      </c>
      <c r="L784" s="42"/>
      <c r="M784" s="89"/>
      <c r="N784" s="121"/>
      <c r="O784" s="29" t="str">
        <f t="shared" si="119"/>
        <v/>
      </c>
      <c r="P784" s="28" t="e">
        <f t="shared" si="109"/>
        <v>#VALUE!</v>
      </c>
    </row>
    <row r="785" spans="2:16" ht="20.149999999999999" customHeight="1" x14ac:dyDescent="0.2">
      <c r="B785" s="34">
        <v>46284</v>
      </c>
      <c r="C785" s="35"/>
      <c r="D785" s="35" t="str">
        <f t="shared" ref="D785:D787" si="125">IF($C785="", "", MID($C785, 6, IF(MID($C785, LEN($C785)-1, 1)="J", 3, 4)))</f>
        <v/>
      </c>
      <c r="E785" s="35" t="s">
        <v>22</v>
      </c>
      <c r="F785" s="35">
        <v>20260915021</v>
      </c>
      <c r="G785" s="35" t="s">
        <v>1830</v>
      </c>
      <c r="H785" s="43">
        <f>H782-K785</f>
        <v>159011.52417302792</v>
      </c>
      <c r="I785" s="43"/>
      <c r="J785" s="43"/>
      <c r="K785" s="43">
        <f>J785/0.786</f>
        <v>0</v>
      </c>
      <c r="L785" s="44"/>
      <c r="M785" s="92"/>
      <c r="N785" s="122"/>
      <c r="O785" s="29" t="str">
        <f>IF($C785="","",DATE(2000+LEFT($C785,2), HEX2DEC(MID($C785,3,1)), MID($C785,4,2)))</f>
        <v/>
      </c>
      <c r="P785" s="28" t="e">
        <f t="shared" si="109"/>
        <v>#VALUE!</v>
      </c>
    </row>
    <row r="786" spans="2:16" ht="20.149999999999999" customHeight="1" x14ac:dyDescent="0.2">
      <c r="B786" s="34">
        <v>46284</v>
      </c>
      <c r="C786" s="35"/>
      <c r="D786" s="35" t="str">
        <f t="shared" si="125"/>
        <v/>
      </c>
      <c r="E786" s="35" t="s">
        <v>22</v>
      </c>
      <c r="F786" s="35">
        <v>20260915022</v>
      </c>
      <c r="G786" s="35" t="s">
        <v>1830</v>
      </c>
      <c r="H786" s="43">
        <f>H785-K786</f>
        <v>159011.52417302792</v>
      </c>
      <c r="I786" s="43"/>
      <c r="J786" s="43"/>
      <c r="K786" s="43">
        <f>J786/0.786</f>
        <v>0</v>
      </c>
      <c r="L786" s="44"/>
      <c r="M786" s="92"/>
      <c r="N786" s="122"/>
      <c r="O786" s="29" t="str">
        <f>IF($C786="","",DATE(2000+LEFT($C786,2), HEX2DEC(MID($C786,3,1)), MID($C786,4,2)))</f>
        <v/>
      </c>
      <c r="P786" s="28" t="e">
        <f t="shared" si="109"/>
        <v>#VALUE!</v>
      </c>
    </row>
    <row r="787" spans="2:16" ht="20.149999999999999" customHeight="1" x14ac:dyDescent="0.2">
      <c r="B787" s="30">
        <v>46285</v>
      </c>
      <c r="C787" s="31"/>
      <c r="D787" s="31" t="str">
        <f t="shared" si="125"/>
        <v/>
      </c>
      <c r="E787" s="31" t="s">
        <v>25</v>
      </c>
      <c r="F787" s="31">
        <v>20260915009</v>
      </c>
      <c r="G787" s="83" t="s">
        <v>1829</v>
      </c>
      <c r="H787" s="41">
        <f>H784-K787</f>
        <v>272513.52926208661</v>
      </c>
      <c r="I787" s="41"/>
      <c r="J787" s="41"/>
      <c r="K787" s="41">
        <f t="shared" si="124"/>
        <v>0</v>
      </c>
      <c r="L787" s="42"/>
      <c r="M787" s="89"/>
      <c r="N787" s="121"/>
      <c r="O787" s="29" t="str">
        <f t="shared" si="119"/>
        <v/>
      </c>
      <c r="P787" s="28" t="e">
        <f t="shared" si="109"/>
        <v>#VALUE!</v>
      </c>
    </row>
    <row r="788" spans="2:16" ht="20.149999999999999" customHeight="1" x14ac:dyDescent="0.2">
      <c r="B788" s="34">
        <v>46285</v>
      </c>
      <c r="C788" s="35"/>
      <c r="D788" s="35" t="str">
        <f t="shared" ref="D788:D791" si="126">IF($C788="", "", MID($C788, 6, IF(MID($C788, LEN($C788)-1, 1)="J", 3, 4)))</f>
        <v/>
      </c>
      <c r="E788" s="35" t="s">
        <v>22</v>
      </c>
      <c r="F788" s="35">
        <v>20260915023</v>
      </c>
      <c r="G788" s="35" t="s">
        <v>1830</v>
      </c>
      <c r="H788" s="43">
        <f>H786-K788</f>
        <v>159011.52417302792</v>
      </c>
      <c r="I788" s="43"/>
      <c r="J788" s="43"/>
      <c r="K788" s="43">
        <f>J788/0.786</f>
        <v>0</v>
      </c>
      <c r="L788" s="44"/>
      <c r="M788" s="92"/>
      <c r="N788" s="122"/>
      <c r="O788" s="29" t="str">
        <f>IF($C788="","",DATE(2000+LEFT($C788,2), HEX2DEC(MID($C788,3,1)), MID($C788,4,2)))</f>
        <v/>
      </c>
      <c r="P788" s="28" t="e">
        <f t="shared" si="109"/>
        <v>#VALUE!</v>
      </c>
    </row>
    <row r="789" spans="2:16" ht="20.149999999999999" customHeight="1" x14ac:dyDescent="0.2">
      <c r="B789" s="34">
        <v>46285</v>
      </c>
      <c r="C789" s="35"/>
      <c r="D789" s="35" t="str">
        <f t="shared" si="126"/>
        <v/>
      </c>
      <c r="E789" s="35" t="s">
        <v>22</v>
      </c>
      <c r="F789" s="35">
        <v>20260915024</v>
      </c>
      <c r="G789" s="35" t="s">
        <v>1830</v>
      </c>
      <c r="H789" s="43">
        <f>H788-K789</f>
        <v>159011.52417302792</v>
      </c>
      <c r="I789" s="43"/>
      <c r="J789" s="43"/>
      <c r="K789" s="43">
        <f>J789/0.786</f>
        <v>0</v>
      </c>
      <c r="L789" s="44"/>
      <c r="M789" s="92"/>
      <c r="N789" s="122"/>
      <c r="O789" s="29" t="str">
        <f>IF($C789="","",DATE(2000+LEFT($C789,2), HEX2DEC(MID($C789,3,1)), MID($C789,4,2)))</f>
        <v/>
      </c>
      <c r="P789" s="28" t="e">
        <f t="shared" si="109"/>
        <v>#VALUE!</v>
      </c>
    </row>
    <row r="790" spans="2:16" ht="20.149999999999999" customHeight="1" x14ac:dyDescent="0.2">
      <c r="B790" s="30">
        <v>46286</v>
      </c>
      <c r="C790" s="31"/>
      <c r="D790" s="31" t="str">
        <f t="shared" si="126"/>
        <v/>
      </c>
      <c r="E790" s="31" t="s">
        <v>25</v>
      </c>
      <c r="F790" s="31">
        <v>20260915010</v>
      </c>
      <c r="G790" s="83" t="s">
        <v>1829</v>
      </c>
      <c r="H790" s="41">
        <f>H787-K790</f>
        <v>272513.52926208661</v>
      </c>
      <c r="I790" s="41"/>
      <c r="J790" s="41"/>
      <c r="K790" s="41">
        <f t="shared" si="124"/>
        <v>0</v>
      </c>
      <c r="L790" s="42"/>
      <c r="M790" s="89"/>
      <c r="N790" s="121"/>
      <c r="O790" s="29" t="str">
        <f t="shared" si="119"/>
        <v/>
      </c>
    </row>
    <row r="791" spans="2:16" ht="20.149999999999999" customHeight="1" x14ac:dyDescent="0.2">
      <c r="B791" s="30">
        <v>46286</v>
      </c>
      <c r="C791" s="31"/>
      <c r="D791" s="31" t="str">
        <f t="shared" si="126"/>
        <v/>
      </c>
      <c r="E791" s="31" t="s">
        <v>25</v>
      </c>
      <c r="F791" s="31">
        <v>20260915011</v>
      </c>
      <c r="G791" s="83" t="s">
        <v>1829</v>
      </c>
      <c r="H791" s="41">
        <f>H790-K791</f>
        <v>272513.52926208661</v>
      </c>
      <c r="I791" s="41"/>
      <c r="J791" s="41"/>
      <c r="K791" s="41">
        <f t="shared" si="124"/>
        <v>0</v>
      </c>
      <c r="L791" s="42"/>
      <c r="M791" s="89"/>
      <c r="N791" s="121"/>
      <c r="O791" s="29" t="str">
        <f t="shared" si="119"/>
        <v/>
      </c>
    </row>
    <row r="792" spans="2:16" ht="20.149999999999999" customHeight="1" x14ac:dyDescent="0.2">
      <c r="B792" s="34">
        <v>46286</v>
      </c>
      <c r="C792" s="35"/>
      <c r="D792" s="35" t="str">
        <f t="shared" ref="D792:D794" si="127">IF($C792="", "", MID($C792, 6, IF(MID($C792, LEN($C792)-1, 1)="J", 3, 4)))</f>
        <v/>
      </c>
      <c r="E792" s="35" t="s">
        <v>22</v>
      </c>
      <c r="F792" s="35">
        <v>20260915025</v>
      </c>
      <c r="G792" s="35" t="s">
        <v>1830</v>
      </c>
      <c r="H792" s="43">
        <f>H789-K792</f>
        <v>159011.52417302792</v>
      </c>
      <c r="I792" s="43"/>
      <c r="J792" s="43"/>
      <c r="K792" s="43">
        <f>J792/0.786</f>
        <v>0</v>
      </c>
      <c r="L792" s="44"/>
      <c r="M792" s="92"/>
      <c r="N792" s="122"/>
      <c r="O792" s="29" t="str">
        <f>IF($C792="","",DATE(2000+LEFT($C792,2), HEX2DEC(MID($C792,3,1)), MID($C792,4,2)))</f>
        <v/>
      </c>
    </row>
    <row r="793" spans="2:16" ht="20.149999999999999" customHeight="1" x14ac:dyDescent="0.2">
      <c r="B793" s="34">
        <v>46286</v>
      </c>
      <c r="C793" s="35"/>
      <c r="D793" s="35" t="str">
        <f t="shared" si="127"/>
        <v/>
      </c>
      <c r="E793" s="35" t="s">
        <v>22</v>
      </c>
      <c r="F793" s="35">
        <v>20260915026</v>
      </c>
      <c r="G793" s="35" t="s">
        <v>1830</v>
      </c>
      <c r="H793" s="43">
        <f>H792-K793</f>
        <v>159011.52417302792</v>
      </c>
      <c r="I793" s="43"/>
      <c r="J793" s="43"/>
      <c r="K793" s="43">
        <f>J793/0.786</f>
        <v>0</v>
      </c>
      <c r="L793" s="44"/>
      <c r="M793" s="92"/>
      <c r="N793" s="122"/>
      <c r="O793" s="29" t="str">
        <f>IF($C793="","",DATE(2000+LEFT($C793,2), HEX2DEC(MID($C793,3,1)), MID($C793,4,2)))</f>
        <v/>
      </c>
    </row>
    <row r="794" spans="2:16" ht="20.149999999999999" customHeight="1" x14ac:dyDescent="0.2">
      <c r="B794" s="30">
        <v>46287</v>
      </c>
      <c r="C794" s="31"/>
      <c r="D794" s="31" t="str">
        <f t="shared" si="127"/>
        <v/>
      </c>
      <c r="E794" s="31" t="s">
        <v>25</v>
      </c>
      <c r="F794" s="31">
        <v>20260915012</v>
      </c>
      <c r="G794" s="83" t="s">
        <v>1829</v>
      </c>
      <c r="H794" s="41">
        <f>H791-K794</f>
        <v>272513.52926208661</v>
      </c>
      <c r="I794" s="41"/>
      <c r="J794" s="41"/>
      <c r="K794" s="41">
        <f t="shared" si="124"/>
        <v>0</v>
      </c>
      <c r="L794" s="42"/>
      <c r="M794" s="89"/>
      <c r="N794" s="121"/>
      <c r="O794" s="29" t="str">
        <f t="shared" si="119"/>
        <v/>
      </c>
    </row>
    <row r="795" spans="2:16" ht="20.149999999999999" customHeight="1" x14ac:dyDescent="0.2">
      <c r="B795" s="34">
        <v>46287</v>
      </c>
      <c r="C795" s="35"/>
      <c r="D795" s="35" t="str">
        <f t="shared" ref="D795:D798" si="128">IF($C795="", "", MID($C795, 6, IF(MID($C795, LEN($C795)-1, 1)="J", 3, 4)))</f>
        <v/>
      </c>
      <c r="E795" s="35" t="s">
        <v>22</v>
      </c>
      <c r="F795" s="35">
        <v>20260915027</v>
      </c>
      <c r="G795" s="35" t="s">
        <v>1830</v>
      </c>
      <c r="H795" s="43">
        <f>H793-K795</f>
        <v>159011.52417302792</v>
      </c>
      <c r="I795" s="43"/>
      <c r="J795" s="43"/>
      <c r="K795" s="43">
        <f>J795/0.786</f>
        <v>0</v>
      </c>
      <c r="L795" s="44"/>
      <c r="M795" s="92"/>
      <c r="N795" s="122"/>
      <c r="O795" s="29" t="str">
        <f>IF($C795="","",DATE(2000+LEFT($C795,2), HEX2DEC(MID($C795,3,1)), MID($C795,4,2)))</f>
        <v/>
      </c>
    </row>
    <row r="796" spans="2:16" ht="20.149999999999999" customHeight="1" x14ac:dyDescent="0.2">
      <c r="B796" s="34">
        <v>46287</v>
      </c>
      <c r="C796" s="35"/>
      <c r="D796" s="35" t="str">
        <f t="shared" si="128"/>
        <v/>
      </c>
      <c r="E796" s="35" t="s">
        <v>22</v>
      </c>
      <c r="F796" s="35">
        <v>20260915028</v>
      </c>
      <c r="G796" s="35" t="s">
        <v>1830</v>
      </c>
      <c r="H796" s="43">
        <f>H795-K796</f>
        <v>159011.52417302792</v>
      </c>
      <c r="I796" s="43"/>
      <c r="J796" s="43"/>
      <c r="K796" s="43">
        <f>J796/0.786</f>
        <v>0</v>
      </c>
      <c r="L796" s="44"/>
      <c r="M796" s="92"/>
      <c r="N796" s="122"/>
      <c r="O796" s="29" t="str">
        <f>IF($C796="","",DATE(2000+LEFT($C796,2), HEX2DEC(MID($C796,3,1)), MID($C796,4,2)))</f>
        <v/>
      </c>
    </row>
    <row r="797" spans="2:16" ht="20.149999999999999" customHeight="1" x14ac:dyDescent="0.2">
      <c r="B797" s="30">
        <v>46288</v>
      </c>
      <c r="C797" s="31"/>
      <c r="D797" s="31" t="str">
        <f t="shared" si="128"/>
        <v/>
      </c>
      <c r="E797" s="31" t="s">
        <v>25</v>
      </c>
      <c r="F797" s="31">
        <v>20260915013</v>
      </c>
      <c r="G797" s="83" t="s">
        <v>1829</v>
      </c>
      <c r="H797" s="41">
        <f>H794-K797</f>
        <v>272513.52926208661</v>
      </c>
      <c r="I797" s="41"/>
      <c r="J797" s="41"/>
      <c r="K797" s="41">
        <f t="shared" ref="K797:K801" si="129">J797/0.786</f>
        <v>0</v>
      </c>
      <c r="L797" s="42"/>
      <c r="M797" s="89"/>
      <c r="N797" s="121"/>
      <c r="O797" s="29" t="str">
        <f t="shared" si="119"/>
        <v/>
      </c>
    </row>
    <row r="798" spans="2:16" ht="20.149999999999999" customHeight="1" x14ac:dyDescent="0.2">
      <c r="B798" s="30">
        <v>46288</v>
      </c>
      <c r="C798" s="31"/>
      <c r="D798" s="31" t="str">
        <f t="shared" si="128"/>
        <v/>
      </c>
      <c r="E798" s="31" t="s">
        <v>25</v>
      </c>
      <c r="F798" s="31">
        <v>20260915014</v>
      </c>
      <c r="G798" s="83" t="s">
        <v>1829</v>
      </c>
      <c r="H798" s="41">
        <f>H797-K798</f>
        <v>272513.52926208661</v>
      </c>
      <c r="I798" s="41"/>
      <c r="J798" s="41"/>
      <c r="K798" s="41">
        <f t="shared" si="129"/>
        <v>0</v>
      </c>
      <c r="L798" s="42"/>
      <c r="M798" s="89"/>
      <c r="N798" s="121"/>
      <c r="O798" s="29" t="str">
        <f t="shared" si="119"/>
        <v/>
      </c>
    </row>
    <row r="799" spans="2:16" ht="20.149999999999999" customHeight="1" x14ac:dyDescent="0.2">
      <c r="B799" s="34">
        <v>46288</v>
      </c>
      <c r="C799" s="35"/>
      <c r="D799" s="35" t="str">
        <f t="shared" ref="D799:D802" si="130">IF($C799="", "", MID($C799, 6, IF(MID($C799, LEN($C799)-1, 1)="J", 3, 4)))</f>
        <v/>
      </c>
      <c r="E799" s="35" t="s">
        <v>22</v>
      </c>
      <c r="F799" s="35">
        <v>20260915029</v>
      </c>
      <c r="G799" s="35" t="s">
        <v>1830</v>
      </c>
      <c r="H799" s="43">
        <f>H796-K799</f>
        <v>159011.52417302792</v>
      </c>
      <c r="I799" s="43"/>
      <c r="J799" s="43"/>
      <c r="K799" s="43">
        <f t="shared" ref="K799" si="131">J799/0.786</f>
        <v>0</v>
      </c>
      <c r="L799" s="44"/>
      <c r="M799" s="92"/>
      <c r="N799" s="122"/>
      <c r="O799" s="29" t="str">
        <f>IF($C799="","",DATE(2000+LEFT($C799,2), HEX2DEC(MID($C799,3,1)), MID($C799,4,2)))</f>
        <v/>
      </c>
    </row>
    <row r="800" spans="2:16" ht="20.149999999999999" customHeight="1" x14ac:dyDescent="0.2">
      <c r="B800" s="34">
        <v>46288</v>
      </c>
      <c r="C800" s="35"/>
      <c r="D800" s="35" t="str">
        <f t="shared" si="130"/>
        <v/>
      </c>
      <c r="E800" s="35" t="s">
        <v>22</v>
      </c>
      <c r="F800" s="35">
        <v>20260915030</v>
      </c>
      <c r="G800" s="35" t="s">
        <v>1830</v>
      </c>
      <c r="H800" s="43">
        <f>H799-K800</f>
        <v>159011.52417302792</v>
      </c>
      <c r="I800" s="43"/>
      <c r="J800" s="43"/>
      <c r="K800" s="43">
        <f t="shared" ref="K800" si="132">J800/0.786</f>
        <v>0</v>
      </c>
      <c r="L800" s="44"/>
      <c r="M800" s="92"/>
      <c r="N800" s="122"/>
      <c r="O800" s="29" t="str">
        <f>IF($C800="","",DATE(2000+LEFT($C800,2), HEX2DEC(MID($C800,3,1)), MID($C800,4,2)))</f>
        <v/>
      </c>
    </row>
    <row r="801" spans="2:16" ht="20.149999999999999" customHeight="1" x14ac:dyDescent="0.2">
      <c r="B801" s="30">
        <v>46289</v>
      </c>
      <c r="C801" s="31"/>
      <c r="D801" s="31" t="str">
        <f t="shared" si="130"/>
        <v/>
      </c>
      <c r="E801" s="31" t="s">
        <v>25</v>
      </c>
      <c r="F801" s="31">
        <v>20260915015</v>
      </c>
      <c r="G801" s="83" t="s">
        <v>1829</v>
      </c>
      <c r="H801" s="41">
        <f>H798-K801</f>
        <v>272513.52926208661</v>
      </c>
      <c r="I801" s="41"/>
      <c r="J801" s="41"/>
      <c r="K801" s="41">
        <f t="shared" si="129"/>
        <v>0</v>
      </c>
      <c r="L801" s="42"/>
      <c r="M801" s="89"/>
      <c r="N801" s="121"/>
      <c r="O801" s="29" t="str">
        <f t="shared" si="119"/>
        <v/>
      </c>
    </row>
    <row r="802" spans="2:16" ht="20.149999999999999" customHeight="1" x14ac:dyDescent="0.2">
      <c r="B802" s="30">
        <v>46289</v>
      </c>
      <c r="C802" s="31"/>
      <c r="D802" s="31" t="str">
        <f t="shared" si="130"/>
        <v/>
      </c>
      <c r="E802" s="31" t="s">
        <v>25</v>
      </c>
      <c r="F802" s="31">
        <v>20260915016</v>
      </c>
      <c r="G802" s="83" t="s">
        <v>1829</v>
      </c>
      <c r="H802" s="41">
        <f>H801-K802</f>
        <v>272513.52926208661</v>
      </c>
      <c r="I802" s="41"/>
      <c r="J802" s="41"/>
      <c r="K802" s="41">
        <f t="shared" ref="K802" si="133">J802/0.786</f>
        <v>0</v>
      </c>
      <c r="L802" s="42"/>
      <c r="M802" s="89"/>
      <c r="N802" s="121"/>
      <c r="O802" s="29" t="str">
        <f t="shared" si="119"/>
        <v/>
      </c>
    </row>
    <row r="803" spans="2:16" ht="20.149999999999999" customHeight="1" x14ac:dyDescent="0.2">
      <c r="B803" s="62">
        <v>46289</v>
      </c>
      <c r="C803" s="61"/>
      <c r="D803" s="61" t="str">
        <f>IF($C803="", "", MID($C803, 6, IF(MID($C803, LEN($C803)-1, 1)="J", 3, 4)))</f>
        <v/>
      </c>
      <c r="E803" s="61" t="s">
        <v>1034</v>
      </c>
      <c r="F803" s="61">
        <v>20260911004</v>
      </c>
      <c r="G803" s="61" t="s">
        <v>1828</v>
      </c>
      <c r="H803" s="64">
        <f>H775-K803</f>
        <v>97654.989821882962</v>
      </c>
      <c r="I803" s="64"/>
      <c r="J803" s="64"/>
      <c r="K803" s="64">
        <f>J803/0.786</f>
        <v>0</v>
      </c>
      <c r="L803" s="61"/>
      <c r="M803" s="93"/>
      <c r="N803" s="120"/>
      <c r="O803" s="29" t="str">
        <f>IF($C803="","",DATE(2000+LEFT($C803,2), HEX2DEC(MID($C803,3,1)), MID($C803,4,2)))</f>
        <v/>
      </c>
      <c r="P803" s="28" t="e">
        <f>DATE(YEAR(O803)+1,MONTH(O803),DAY(O803))-1</f>
        <v>#VALUE!</v>
      </c>
    </row>
    <row r="804" spans="2:16" ht="20.149999999999999" customHeight="1" x14ac:dyDescent="0.2">
      <c r="B804" s="62">
        <v>46294</v>
      </c>
      <c r="C804" s="61"/>
      <c r="D804" s="61" t="str">
        <f>IF($C804="", "", MID($C804, 6, IF(MID($C804, LEN($C804)-1, 1)="J", 3, 4)))</f>
        <v/>
      </c>
      <c r="E804" s="61" t="s">
        <v>1034</v>
      </c>
      <c r="F804" s="61">
        <v>20260911005</v>
      </c>
      <c r="G804" s="61" t="s">
        <v>1828</v>
      </c>
      <c r="H804" s="64">
        <f>H803-K804</f>
        <v>97654.989821882962</v>
      </c>
      <c r="I804" s="64"/>
      <c r="J804" s="64"/>
      <c r="K804" s="64">
        <f>J804/0.786</f>
        <v>0</v>
      </c>
      <c r="L804" s="61"/>
      <c r="M804" s="93"/>
      <c r="N804" s="120"/>
      <c r="O804" s="29" t="str">
        <f>IF($C804="","",DATE(2000+LEFT($C804,2), HEX2DEC(MID($C804,3,1)), MID($C804,4,2)))</f>
        <v/>
      </c>
      <c r="P804" s="28" t="e">
        <f>DATE(YEAR(O804)+1,MONTH(O804),DAY(O804))-1</f>
        <v>#VALUE!</v>
      </c>
    </row>
    <row r="805" spans="2:16" ht="20.149999999999999" customHeight="1" x14ac:dyDescent="0.2">
      <c r="N805" s="118"/>
      <c r="O805" s="29" t="str">
        <f t="shared" si="119"/>
        <v/>
      </c>
    </row>
    <row r="806" spans="2:16" ht="20.149999999999999" customHeight="1" x14ac:dyDescent="0.2">
      <c r="N806" s="118"/>
      <c r="O806" s="29" t="str">
        <f t="shared" si="119"/>
        <v/>
      </c>
    </row>
    <row r="807" spans="2:16" ht="20.149999999999999" customHeight="1" x14ac:dyDescent="0.2">
      <c r="N807" s="118"/>
      <c r="O807" s="29" t="str">
        <f t="shared" si="119"/>
        <v/>
      </c>
    </row>
    <row r="808" spans="2:16" ht="20.149999999999999" customHeight="1" x14ac:dyDescent="0.2">
      <c r="N808" s="118"/>
      <c r="O808" s="29" t="str">
        <f t="shared" si="119"/>
        <v/>
      </c>
    </row>
    <row r="809" spans="2:16" ht="20.149999999999999" customHeight="1" x14ac:dyDescent="0.2">
      <c r="N809" s="118"/>
      <c r="O809" s="29" t="str">
        <f t="shared" si="119"/>
        <v/>
      </c>
    </row>
    <row r="810" spans="2:16" ht="20.149999999999999" customHeight="1" x14ac:dyDescent="0.2">
      <c r="N810" s="118"/>
      <c r="O810" s="29" t="str">
        <f t="shared" si="119"/>
        <v/>
      </c>
    </row>
    <row r="811" spans="2:16" ht="20.149999999999999" customHeight="1" x14ac:dyDescent="0.2">
      <c r="N811" s="118"/>
      <c r="O811" s="29" t="str">
        <f t="shared" si="119"/>
        <v/>
      </c>
    </row>
    <row r="812" spans="2:16" ht="20.149999999999999" customHeight="1" x14ac:dyDescent="0.2">
      <c r="N812" s="118"/>
      <c r="O812" s="29" t="str">
        <f t="shared" si="119"/>
        <v/>
      </c>
    </row>
    <row r="813" spans="2:16" ht="20.149999999999999" customHeight="1" x14ac:dyDescent="0.2">
      <c r="N813" s="118"/>
      <c r="O813" s="29" t="str">
        <f t="shared" si="119"/>
        <v/>
      </c>
    </row>
    <row r="814" spans="2:16" ht="20.149999999999999" customHeight="1" x14ac:dyDescent="0.2">
      <c r="N814" s="118"/>
      <c r="O814" s="29" t="str">
        <f t="shared" si="119"/>
        <v/>
      </c>
    </row>
    <row r="815" spans="2:16" ht="20.149999999999999" customHeight="1" x14ac:dyDescent="0.2">
      <c r="N815" s="118"/>
      <c r="O815" s="29" t="str">
        <f t="shared" si="119"/>
        <v/>
      </c>
    </row>
    <row r="816" spans="2:16" ht="20.149999999999999" customHeight="1" x14ac:dyDescent="0.2">
      <c r="N816" s="118"/>
      <c r="O816" s="29" t="str">
        <f t="shared" si="119"/>
        <v/>
      </c>
    </row>
    <row r="817" spans="14:15" ht="20.149999999999999" customHeight="1" x14ac:dyDescent="0.2">
      <c r="N817" s="118"/>
      <c r="O817" s="29" t="str">
        <f t="shared" si="119"/>
        <v/>
      </c>
    </row>
    <row r="818" spans="14:15" ht="20.149999999999999" customHeight="1" x14ac:dyDescent="0.2">
      <c r="N818" s="118"/>
      <c r="O818" s="29" t="str">
        <f t="shared" si="119"/>
        <v/>
      </c>
    </row>
    <row r="819" spans="14:15" ht="20.149999999999999" customHeight="1" x14ac:dyDescent="0.2">
      <c r="N819" s="118"/>
      <c r="O819" s="29" t="str">
        <f t="shared" ref="O819:O882" si="134">IF($C819="","",DATE(2000+LEFT($C819,2), HEX2DEC(MID($C819,3,1)), MID($C819,4,2)))</f>
        <v/>
      </c>
    </row>
    <row r="820" spans="14:15" ht="20.149999999999999" customHeight="1" x14ac:dyDescent="0.2">
      <c r="N820" s="118"/>
      <c r="O820" s="29" t="str">
        <f t="shared" si="134"/>
        <v/>
      </c>
    </row>
    <row r="821" spans="14:15" ht="20.149999999999999" customHeight="1" x14ac:dyDescent="0.2">
      <c r="N821" s="118"/>
      <c r="O821" s="29" t="str">
        <f t="shared" si="134"/>
        <v/>
      </c>
    </row>
    <row r="822" spans="14:15" ht="20.149999999999999" customHeight="1" x14ac:dyDescent="0.2">
      <c r="N822" s="118"/>
      <c r="O822" s="29" t="str">
        <f t="shared" si="134"/>
        <v/>
      </c>
    </row>
    <row r="823" spans="14:15" ht="20.149999999999999" customHeight="1" x14ac:dyDescent="0.2">
      <c r="N823" s="118"/>
      <c r="O823" s="29" t="str">
        <f t="shared" si="134"/>
        <v/>
      </c>
    </row>
    <row r="824" spans="14:15" ht="20.149999999999999" customHeight="1" x14ac:dyDescent="0.2">
      <c r="N824" s="118"/>
      <c r="O824" s="29" t="str">
        <f t="shared" si="134"/>
        <v/>
      </c>
    </row>
    <row r="825" spans="14:15" ht="20.149999999999999" customHeight="1" x14ac:dyDescent="0.2">
      <c r="N825" s="118"/>
      <c r="O825" s="29" t="str">
        <f t="shared" si="134"/>
        <v/>
      </c>
    </row>
    <row r="826" spans="14:15" ht="20.149999999999999" customHeight="1" x14ac:dyDescent="0.2">
      <c r="N826" s="118"/>
      <c r="O826" s="29" t="str">
        <f t="shared" si="134"/>
        <v/>
      </c>
    </row>
    <row r="827" spans="14:15" ht="20.149999999999999" customHeight="1" x14ac:dyDescent="0.2">
      <c r="N827" s="118"/>
      <c r="O827" s="29" t="str">
        <f t="shared" si="134"/>
        <v/>
      </c>
    </row>
    <row r="828" spans="14:15" ht="20.149999999999999" customHeight="1" x14ac:dyDescent="0.2">
      <c r="N828" s="118"/>
      <c r="O828" s="29" t="str">
        <f t="shared" si="134"/>
        <v/>
      </c>
    </row>
    <row r="829" spans="14:15" ht="20.149999999999999" customHeight="1" x14ac:dyDescent="0.2">
      <c r="N829" s="118"/>
      <c r="O829" s="29" t="str">
        <f t="shared" si="134"/>
        <v/>
      </c>
    </row>
    <row r="830" spans="14:15" ht="20.149999999999999" customHeight="1" x14ac:dyDescent="0.2">
      <c r="N830" s="118"/>
      <c r="O830" s="29" t="str">
        <f t="shared" si="134"/>
        <v/>
      </c>
    </row>
    <row r="831" spans="14:15" ht="20.149999999999999" customHeight="1" x14ac:dyDescent="0.2">
      <c r="N831" s="118"/>
      <c r="O831" s="29" t="str">
        <f t="shared" si="134"/>
        <v/>
      </c>
    </row>
    <row r="832" spans="14:15" ht="20.149999999999999" customHeight="1" x14ac:dyDescent="0.2">
      <c r="N832" s="118"/>
      <c r="O832" s="29" t="str">
        <f t="shared" si="134"/>
        <v/>
      </c>
    </row>
    <row r="833" spans="14:15" ht="20.149999999999999" customHeight="1" x14ac:dyDescent="0.2">
      <c r="N833" s="118"/>
      <c r="O833" s="29" t="str">
        <f t="shared" si="134"/>
        <v/>
      </c>
    </row>
    <row r="834" spans="14:15" ht="20.149999999999999" customHeight="1" x14ac:dyDescent="0.2">
      <c r="N834" s="118"/>
      <c r="O834" s="29" t="str">
        <f t="shared" si="134"/>
        <v/>
      </c>
    </row>
    <row r="835" spans="14:15" ht="20.149999999999999" customHeight="1" x14ac:dyDescent="0.2">
      <c r="N835" s="118"/>
      <c r="O835" s="29" t="str">
        <f t="shared" si="134"/>
        <v/>
      </c>
    </row>
    <row r="836" spans="14:15" ht="20.149999999999999" customHeight="1" x14ac:dyDescent="0.2">
      <c r="N836" s="118"/>
      <c r="O836" s="29" t="str">
        <f t="shared" si="134"/>
        <v/>
      </c>
    </row>
    <row r="837" spans="14:15" ht="20.149999999999999" customHeight="1" x14ac:dyDescent="0.2">
      <c r="N837" s="118"/>
      <c r="O837" s="29" t="str">
        <f t="shared" si="134"/>
        <v/>
      </c>
    </row>
    <row r="838" spans="14:15" ht="20.149999999999999" customHeight="1" x14ac:dyDescent="0.2">
      <c r="N838" s="118"/>
      <c r="O838" s="29" t="str">
        <f t="shared" si="134"/>
        <v/>
      </c>
    </row>
    <row r="839" spans="14:15" ht="20.149999999999999" customHeight="1" x14ac:dyDescent="0.2">
      <c r="N839" s="118"/>
      <c r="O839" s="29" t="str">
        <f t="shared" si="134"/>
        <v/>
      </c>
    </row>
    <row r="840" spans="14:15" ht="20.149999999999999" customHeight="1" x14ac:dyDescent="0.2">
      <c r="N840" s="118"/>
      <c r="O840" s="29" t="str">
        <f t="shared" si="134"/>
        <v/>
      </c>
    </row>
    <row r="841" spans="14:15" ht="20.149999999999999" customHeight="1" x14ac:dyDescent="0.2">
      <c r="N841" s="118"/>
      <c r="O841" s="29" t="str">
        <f t="shared" si="134"/>
        <v/>
      </c>
    </row>
    <row r="842" spans="14:15" ht="20.149999999999999" customHeight="1" x14ac:dyDescent="0.2">
      <c r="N842" s="118"/>
      <c r="O842" s="29" t="str">
        <f t="shared" si="134"/>
        <v/>
      </c>
    </row>
    <row r="843" spans="14:15" ht="20.149999999999999" customHeight="1" x14ac:dyDescent="0.2">
      <c r="N843" s="118"/>
      <c r="O843" s="29" t="str">
        <f t="shared" si="134"/>
        <v/>
      </c>
    </row>
    <row r="844" spans="14:15" ht="20.149999999999999" customHeight="1" x14ac:dyDescent="0.2">
      <c r="N844" s="118"/>
      <c r="O844" s="29" t="str">
        <f t="shared" si="134"/>
        <v/>
      </c>
    </row>
    <row r="845" spans="14:15" ht="20.149999999999999" customHeight="1" x14ac:dyDescent="0.2">
      <c r="N845" s="118"/>
      <c r="O845" s="29" t="str">
        <f t="shared" si="134"/>
        <v/>
      </c>
    </row>
    <row r="846" spans="14:15" ht="20.149999999999999" customHeight="1" x14ac:dyDescent="0.2">
      <c r="N846" s="118"/>
      <c r="O846" s="29" t="str">
        <f t="shared" si="134"/>
        <v/>
      </c>
    </row>
    <row r="847" spans="14:15" ht="20.149999999999999" customHeight="1" x14ac:dyDescent="0.2">
      <c r="N847" s="118"/>
      <c r="O847" s="29" t="str">
        <f t="shared" si="134"/>
        <v/>
      </c>
    </row>
    <row r="848" spans="14:15" ht="20.149999999999999" customHeight="1" x14ac:dyDescent="0.2">
      <c r="N848" s="118"/>
      <c r="O848" s="29" t="str">
        <f t="shared" si="134"/>
        <v/>
      </c>
    </row>
    <row r="849" spans="14:15" ht="20.149999999999999" customHeight="1" x14ac:dyDescent="0.2">
      <c r="N849" s="118"/>
      <c r="O849" s="29" t="str">
        <f t="shared" si="134"/>
        <v/>
      </c>
    </row>
    <row r="850" spans="14:15" ht="20.149999999999999" customHeight="1" x14ac:dyDescent="0.2">
      <c r="N850" s="118"/>
      <c r="O850" s="29" t="str">
        <f t="shared" si="134"/>
        <v/>
      </c>
    </row>
    <row r="851" spans="14:15" ht="20.149999999999999" customHeight="1" x14ac:dyDescent="0.2">
      <c r="N851" s="118"/>
      <c r="O851" s="29" t="str">
        <f t="shared" si="134"/>
        <v/>
      </c>
    </row>
    <row r="852" spans="14:15" ht="20.149999999999999" customHeight="1" x14ac:dyDescent="0.2">
      <c r="N852" s="118"/>
      <c r="O852" s="29" t="str">
        <f t="shared" si="134"/>
        <v/>
      </c>
    </row>
    <row r="853" spans="14:15" ht="20.149999999999999" customHeight="1" x14ac:dyDescent="0.2">
      <c r="N853" s="118"/>
      <c r="O853" s="29" t="str">
        <f t="shared" si="134"/>
        <v/>
      </c>
    </row>
    <row r="854" spans="14:15" ht="20.149999999999999" customHeight="1" x14ac:dyDescent="0.2">
      <c r="N854" s="118"/>
      <c r="O854" s="29" t="str">
        <f t="shared" si="134"/>
        <v/>
      </c>
    </row>
    <row r="855" spans="14:15" ht="20.149999999999999" customHeight="1" x14ac:dyDescent="0.2">
      <c r="N855" s="118"/>
      <c r="O855" s="29" t="str">
        <f t="shared" si="134"/>
        <v/>
      </c>
    </row>
    <row r="856" spans="14:15" ht="20.149999999999999" customHeight="1" x14ac:dyDescent="0.2">
      <c r="N856" s="118"/>
      <c r="O856" s="29" t="str">
        <f t="shared" si="134"/>
        <v/>
      </c>
    </row>
    <row r="857" spans="14:15" ht="20.149999999999999" customHeight="1" x14ac:dyDescent="0.2">
      <c r="N857" s="118"/>
      <c r="O857" s="29" t="str">
        <f t="shared" si="134"/>
        <v/>
      </c>
    </row>
    <row r="858" spans="14:15" ht="20.149999999999999" customHeight="1" x14ac:dyDescent="0.2">
      <c r="N858" s="118"/>
      <c r="O858" s="29" t="str">
        <f t="shared" si="134"/>
        <v/>
      </c>
    </row>
    <row r="859" spans="14:15" ht="20.149999999999999" customHeight="1" x14ac:dyDescent="0.2">
      <c r="N859" s="118"/>
      <c r="O859" s="29" t="str">
        <f t="shared" si="134"/>
        <v/>
      </c>
    </row>
    <row r="860" spans="14:15" ht="20.149999999999999" customHeight="1" x14ac:dyDescent="0.2">
      <c r="N860" s="118"/>
      <c r="O860" s="29" t="str">
        <f t="shared" si="134"/>
        <v/>
      </c>
    </row>
    <row r="861" spans="14:15" ht="20.149999999999999" customHeight="1" x14ac:dyDescent="0.2">
      <c r="N861" s="118"/>
      <c r="O861" s="29" t="str">
        <f t="shared" si="134"/>
        <v/>
      </c>
    </row>
    <row r="862" spans="14:15" ht="20.149999999999999" customHeight="1" x14ac:dyDescent="0.2">
      <c r="N862" s="118"/>
      <c r="O862" s="29" t="str">
        <f t="shared" si="134"/>
        <v/>
      </c>
    </row>
    <row r="863" spans="14:15" ht="20.149999999999999" customHeight="1" x14ac:dyDescent="0.2">
      <c r="N863" s="118"/>
      <c r="O863" s="29" t="str">
        <f t="shared" si="134"/>
        <v/>
      </c>
    </row>
    <row r="864" spans="14:15" ht="20.149999999999999" customHeight="1" x14ac:dyDescent="0.2">
      <c r="N864" s="118"/>
      <c r="O864" s="29" t="str">
        <f t="shared" si="134"/>
        <v/>
      </c>
    </row>
    <row r="865" spans="14:15" ht="20.149999999999999" customHeight="1" x14ac:dyDescent="0.2">
      <c r="N865" s="118"/>
      <c r="O865" s="29" t="str">
        <f t="shared" si="134"/>
        <v/>
      </c>
    </row>
    <row r="866" spans="14:15" ht="20.149999999999999" customHeight="1" x14ac:dyDescent="0.2">
      <c r="N866" s="118"/>
      <c r="O866" s="29" t="str">
        <f t="shared" si="134"/>
        <v/>
      </c>
    </row>
    <row r="867" spans="14:15" ht="20.149999999999999" customHeight="1" x14ac:dyDescent="0.2">
      <c r="N867" s="118"/>
      <c r="O867" s="29" t="str">
        <f t="shared" si="134"/>
        <v/>
      </c>
    </row>
    <row r="868" spans="14:15" ht="20.149999999999999" customHeight="1" x14ac:dyDescent="0.2">
      <c r="N868" s="118"/>
      <c r="O868" s="29" t="str">
        <f t="shared" si="134"/>
        <v/>
      </c>
    </row>
    <row r="869" spans="14:15" ht="20.149999999999999" customHeight="1" x14ac:dyDescent="0.2">
      <c r="N869" s="118"/>
      <c r="O869" s="29" t="str">
        <f t="shared" si="134"/>
        <v/>
      </c>
    </row>
    <row r="870" spans="14:15" ht="20.149999999999999" customHeight="1" x14ac:dyDescent="0.2">
      <c r="N870" s="118"/>
      <c r="O870" s="29" t="str">
        <f t="shared" si="134"/>
        <v/>
      </c>
    </row>
    <row r="871" spans="14:15" ht="20.149999999999999" customHeight="1" x14ac:dyDescent="0.2">
      <c r="N871" s="118"/>
      <c r="O871" s="29" t="str">
        <f t="shared" si="134"/>
        <v/>
      </c>
    </row>
    <row r="872" spans="14:15" ht="20.149999999999999" customHeight="1" x14ac:dyDescent="0.2">
      <c r="N872" s="118"/>
      <c r="O872" s="29" t="str">
        <f t="shared" si="134"/>
        <v/>
      </c>
    </row>
    <row r="873" spans="14:15" ht="20.149999999999999" customHeight="1" x14ac:dyDescent="0.2">
      <c r="N873" s="118"/>
      <c r="O873" s="29" t="str">
        <f t="shared" si="134"/>
        <v/>
      </c>
    </row>
    <row r="874" spans="14:15" ht="20.149999999999999" customHeight="1" x14ac:dyDescent="0.2">
      <c r="N874" s="118"/>
      <c r="O874" s="29" t="str">
        <f t="shared" si="134"/>
        <v/>
      </c>
    </row>
    <row r="875" spans="14:15" ht="20.149999999999999" customHeight="1" x14ac:dyDescent="0.2">
      <c r="N875" s="118"/>
      <c r="O875" s="29" t="str">
        <f t="shared" si="134"/>
        <v/>
      </c>
    </row>
    <row r="876" spans="14:15" ht="20.149999999999999" customHeight="1" x14ac:dyDescent="0.2">
      <c r="N876" s="118"/>
      <c r="O876" s="29" t="str">
        <f t="shared" si="134"/>
        <v/>
      </c>
    </row>
    <row r="877" spans="14:15" ht="20.149999999999999" customHeight="1" x14ac:dyDescent="0.2">
      <c r="N877" s="118"/>
      <c r="O877" s="29" t="str">
        <f t="shared" si="134"/>
        <v/>
      </c>
    </row>
    <row r="878" spans="14:15" ht="20.149999999999999" customHeight="1" x14ac:dyDescent="0.2">
      <c r="N878" s="118"/>
      <c r="O878" s="29" t="str">
        <f t="shared" si="134"/>
        <v/>
      </c>
    </row>
    <row r="879" spans="14:15" ht="20.149999999999999" customHeight="1" x14ac:dyDescent="0.2">
      <c r="N879" s="118"/>
      <c r="O879" s="29" t="str">
        <f t="shared" si="134"/>
        <v/>
      </c>
    </row>
    <row r="880" spans="14:15" ht="20.149999999999999" customHeight="1" x14ac:dyDescent="0.2">
      <c r="N880" s="118"/>
      <c r="O880" s="29" t="str">
        <f t="shared" si="134"/>
        <v/>
      </c>
    </row>
    <row r="881" spans="14:15" ht="20.149999999999999" customHeight="1" x14ac:dyDescent="0.2">
      <c r="N881" s="118"/>
      <c r="O881" s="29" t="str">
        <f t="shared" si="134"/>
        <v/>
      </c>
    </row>
    <row r="882" spans="14:15" ht="20.149999999999999" customHeight="1" x14ac:dyDescent="0.2">
      <c r="N882" s="118"/>
      <c r="O882" s="29" t="str">
        <f t="shared" si="134"/>
        <v/>
      </c>
    </row>
    <row r="883" spans="14:15" ht="20.149999999999999" customHeight="1" x14ac:dyDescent="0.2">
      <c r="N883" s="118"/>
      <c r="O883" s="29" t="str">
        <f t="shared" ref="O883:O904" si="135">IF($C883="","",DATE(2000+LEFT($C883,2), HEX2DEC(MID($C883,3,1)), MID($C883,4,2)))</f>
        <v/>
      </c>
    </row>
    <row r="884" spans="14:15" ht="20.149999999999999" customHeight="1" x14ac:dyDescent="0.2">
      <c r="N884" s="118"/>
      <c r="O884" s="29" t="str">
        <f t="shared" si="135"/>
        <v/>
      </c>
    </row>
    <row r="885" spans="14:15" ht="20.149999999999999" customHeight="1" x14ac:dyDescent="0.2">
      <c r="N885" s="118"/>
      <c r="O885" s="29" t="str">
        <f t="shared" si="135"/>
        <v/>
      </c>
    </row>
    <row r="886" spans="14:15" ht="20.149999999999999" customHeight="1" x14ac:dyDescent="0.2">
      <c r="N886" s="118"/>
      <c r="O886" s="29" t="str">
        <f t="shared" si="135"/>
        <v/>
      </c>
    </row>
    <row r="887" spans="14:15" ht="20.149999999999999" customHeight="1" x14ac:dyDescent="0.2">
      <c r="N887" s="118"/>
      <c r="O887" s="29" t="str">
        <f t="shared" si="135"/>
        <v/>
      </c>
    </row>
    <row r="888" spans="14:15" ht="20.149999999999999" customHeight="1" x14ac:dyDescent="0.2">
      <c r="N888" s="118"/>
      <c r="O888" s="29" t="str">
        <f t="shared" si="135"/>
        <v/>
      </c>
    </row>
    <row r="889" spans="14:15" ht="20.149999999999999" customHeight="1" x14ac:dyDescent="0.2">
      <c r="N889" s="118"/>
      <c r="O889" s="29" t="str">
        <f t="shared" si="135"/>
        <v/>
      </c>
    </row>
    <row r="890" spans="14:15" ht="20.149999999999999" customHeight="1" x14ac:dyDescent="0.2">
      <c r="N890" s="118"/>
      <c r="O890" s="29" t="str">
        <f t="shared" si="135"/>
        <v/>
      </c>
    </row>
    <row r="891" spans="14:15" ht="20.149999999999999" customHeight="1" x14ac:dyDescent="0.2">
      <c r="N891" s="118"/>
      <c r="O891" s="29" t="str">
        <f t="shared" si="135"/>
        <v/>
      </c>
    </row>
    <row r="892" spans="14:15" ht="20.149999999999999" customHeight="1" x14ac:dyDescent="0.2">
      <c r="N892" s="118"/>
      <c r="O892" s="29" t="str">
        <f t="shared" si="135"/>
        <v/>
      </c>
    </row>
    <row r="893" spans="14:15" ht="20.149999999999999" customHeight="1" x14ac:dyDescent="0.2">
      <c r="N893" s="118"/>
      <c r="O893" s="29" t="str">
        <f t="shared" si="135"/>
        <v/>
      </c>
    </row>
    <row r="894" spans="14:15" ht="20.149999999999999" customHeight="1" x14ac:dyDescent="0.2">
      <c r="N894" s="118"/>
      <c r="O894" s="29" t="str">
        <f t="shared" si="135"/>
        <v/>
      </c>
    </row>
    <row r="895" spans="14:15" ht="20.149999999999999" customHeight="1" x14ac:dyDescent="0.2">
      <c r="N895" s="118"/>
      <c r="O895" s="29" t="str">
        <f t="shared" si="135"/>
        <v/>
      </c>
    </row>
    <row r="896" spans="14:15" ht="20.149999999999999" customHeight="1" x14ac:dyDescent="0.2">
      <c r="N896" s="118"/>
      <c r="O896" s="29" t="str">
        <f t="shared" si="135"/>
        <v/>
      </c>
    </row>
    <row r="897" spans="14:15" ht="20.149999999999999" customHeight="1" x14ac:dyDescent="0.2">
      <c r="N897" s="118"/>
      <c r="O897" s="29" t="str">
        <f t="shared" si="135"/>
        <v/>
      </c>
    </row>
    <row r="898" spans="14:15" ht="20.149999999999999" customHeight="1" x14ac:dyDescent="0.2">
      <c r="N898" s="118"/>
      <c r="O898" s="29" t="str">
        <f t="shared" si="135"/>
        <v/>
      </c>
    </row>
    <row r="899" spans="14:15" ht="20.149999999999999" customHeight="1" x14ac:dyDescent="0.2">
      <c r="N899" s="118"/>
      <c r="O899" s="29" t="str">
        <f t="shared" si="135"/>
        <v/>
      </c>
    </row>
    <row r="900" spans="14:15" ht="20.149999999999999" customHeight="1" x14ac:dyDescent="0.2">
      <c r="N900" s="118"/>
      <c r="O900" s="29" t="str">
        <f t="shared" si="135"/>
        <v/>
      </c>
    </row>
    <row r="901" spans="14:15" ht="20.149999999999999" customHeight="1" x14ac:dyDescent="0.2">
      <c r="O901" s="29" t="str">
        <f t="shared" si="135"/>
        <v/>
      </c>
    </row>
    <row r="902" spans="14:15" ht="20.149999999999999" customHeight="1" x14ac:dyDescent="0.2">
      <c r="O902" s="29" t="str">
        <f t="shared" si="135"/>
        <v/>
      </c>
    </row>
    <row r="903" spans="14:15" ht="20.149999999999999" customHeight="1" x14ac:dyDescent="0.2">
      <c r="O903" s="29" t="str">
        <f t="shared" si="135"/>
        <v/>
      </c>
    </row>
    <row r="904" spans="14:15" ht="20.149999999999999" customHeight="1" x14ac:dyDescent="0.2">
      <c r="O904" s="29" t="str">
        <f t="shared" si="135"/>
        <v/>
      </c>
    </row>
  </sheetData>
  <autoFilter ref="A2:S904"/>
  <customSheetViews>
    <customSheetView guid="{F261CC3E-BBAF-4421-92E0-E43167440BFB}" scale="115" showPageBreaks="1" fitToPage="1" printArea="1" showAutoFilter="1" hiddenColumns="1">
      <pane ySplit="2" topLeftCell="A748" activePane="bottomLeft" state="frozen"/>
      <selection pane="bottomLeft" activeCell="J760" sqref="J760"/>
      <pageMargins left="0.25" right="0.25" top="0.75" bottom="0.75" header="0.3" footer="0.3"/>
      <pageSetup paperSize="9" scale="87" orientation="landscape" r:id="rId1"/>
      <autoFilter ref="A2:S906"/>
    </customSheetView>
    <customSheetView guid="{D108A94F-96BE-4B2E-9408-7CE19DC55699}" showPageBreaks="1" fitToPage="1" printArea="1" showAutoFilter="1" hiddenColumns="1" topLeftCell="B1">
      <pane ySplit="2" topLeftCell="A764" activePane="bottomLeft" state="frozen"/>
      <selection pane="bottomLeft" activeCell="D770" sqref="D770"/>
      <pageMargins left="0.25" right="0.25" top="0.75" bottom="0.75" header="0.3" footer="0.3"/>
      <pageSetup paperSize="9" scale="87" orientation="landscape" r:id="rId2"/>
      <autoFilter ref="A2:S906"/>
    </customSheetView>
    <customSheetView guid="{8578D927-8BDE-4C99-A2DB-3E44DFA36FF2}" showPageBreaks="1" fitToPage="1" printArea="1" showAutoFilter="1" hiddenColumns="1" topLeftCell="B1">
      <pane ySplit="2" topLeftCell="A765" activePane="bottomLeft" state="frozen"/>
      <selection pane="bottomLeft" activeCell="R778" sqref="R778"/>
      <pageMargins left="0.25" right="0.25" top="0.75" bottom="0.75" header="0.3" footer="0.3"/>
      <pageSetup paperSize="9" scale="87" orientation="landscape" r:id="rId3"/>
      <autoFilter ref="A2:S904"/>
    </customSheetView>
  </customSheetViews>
  <mergeCells count="1">
    <mergeCell ref="E1:G1"/>
  </mergeCells>
  <phoneticPr fontId="3" type="noConversion"/>
  <pageMargins left="0.25" right="0.25" top="0.75" bottom="0.75" header="0.3" footer="0.3"/>
  <pageSetup paperSize="9" scale="87" orientation="landscape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C30"/>
  <sheetViews>
    <sheetView topLeftCell="B1" zoomScaleNormal="100" workbookViewId="0">
      <pane ySplit="2" topLeftCell="A3" activePane="bottomLeft" state="frozen"/>
      <selection activeCell="B1" sqref="B1"/>
      <selection pane="bottomLeft" activeCell="I1" sqref="I1:I1048576"/>
    </sheetView>
  </sheetViews>
  <sheetFormatPr defaultColWidth="9" defaultRowHeight="20.149999999999999" customHeight="1" x14ac:dyDescent="0.2"/>
  <cols>
    <col min="1" max="1" width="7" style="33" hidden="1" customWidth="1"/>
    <col min="2" max="2" width="7" style="33" customWidth="1"/>
    <col min="3" max="3" width="13.875" style="39" customWidth="1"/>
    <col min="4" max="4" width="5.875" style="39" customWidth="1"/>
    <col min="5" max="5" width="9.5" style="39" customWidth="1"/>
    <col min="6" max="6" width="14.625" style="39" customWidth="1"/>
    <col min="7" max="7" width="16.875" style="39" customWidth="1"/>
    <col min="8" max="8" width="12.125" style="40" customWidth="1"/>
    <col min="9" max="11" width="10.875" style="39" customWidth="1"/>
    <col min="12" max="12" width="10.625" style="40" customWidth="1"/>
    <col min="13" max="13" width="10.625" style="86" customWidth="1"/>
    <col min="14" max="14" width="14" style="39" bestFit="1" customWidth="1"/>
    <col min="15" max="15" width="7.5" style="29" customWidth="1"/>
    <col min="16" max="16" width="11.125" style="28" customWidth="1"/>
    <col min="17" max="18" width="12" style="13" customWidth="1"/>
    <col min="19" max="19" width="22.875" style="13" bestFit="1" customWidth="1"/>
    <col min="20" max="20" width="11.625" style="13" bestFit="1" customWidth="1"/>
    <col min="21" max="341" width="9" style="12"/>
    <col min="342" max="16384" width="9" style="13"/>
  </cols>
  <sheetData>
    <row r="1" spans="1:341" ht="24.05" customHeight="1" x14ac:dyDescent="0.25">
      <c r="A1" s="1"/>
      <c r="B1" s="2" t="s">
        <v>0</v>
      </c>
      <c r="C1" s="3"/>
      <c r="D1" s="4"/>
      <c r="E1" s="129" t="s">
        <v>23</v>
      </c>
      <c r="F1" s="129"/>
      <c r="G1" s="129"/>
      <c r="H1" s="4" t="s">
        <v>1</v>
      </c>
      <c r="I1" s="4"/>
      <c r="J1" s="4"/>
      <c r="K1" s="4" t="s">
        <v>2</v>
      </c>
      <c r="L1" s="5"/>
      <c r="M1" s="87"/>
      <c r="N1" s="4"/>
      <c r="O1" s="6"/>
      <c r="P1" s="7"/>
      <c r="Q1" s="8"/>
      <c r="R1" s="9"/>
      <c r="S1" s="10"/>
      <c r="T1" s="11"/>
    </row>
    <row r="2" spans="1:341" s="23" customFormat="1" ht="20.149999999999999" customHeight="1" x14ac:dyDescent="0.25">
      <c r="A2" s="14" t="s">
        <v>3</v>
      </c>
      <c r="B2" s="15" t="s">
        <v>4</v>
      </c>
      <c r="C2" s="16" t="s">
        <v>5</v>
      </c>
      <c r="D2" s="17" t="s">
        <v>6</v>
      </c>
      <c r="E2" s="16" t="s">
        <v>7</v>
      </c>
      <c r="F2" s="16" t="s">
        <v>2149</v>
      </c>
      <c r="G2" s="16" t="s">
        <v>8</v>
      </c>
      <c r="H2" s="18" t="s">
        <v>9</v>
      </c>
      <c r="I2" s="19" t="s">
        <v>10</v>
      </c>
      <c r="J2" s="19" t="s">
        <v>11</v>
      </c>
      <c r="K2" s="20" t="s">
        <v>12</v>
      </c>
      <c r="L2" s="17" t="s">
        <v>13</v>
      </c>
      <c r="M2" s="88" t="s">
        <v>2143</v>
      </c>
      <c r="N2" s="17" t="s">
        <v>2140</v>
      </c>
      <c r="O2" s="6" t="s">
        <v>14</v>
      </c>
      <c r="P2" s="21" t="s">
        <v>15</v>
      </c>
      <c r="Q2" s="8" t="s">
        <v>16</v>
      </c>
      <c r="R2" s="9" t="s">
        <v>17</v>
      </c>
      <c r="S2" s="22" t="s">
        <v>18</v>
      </c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</row>
    <row r="3" spans="1:341" ht="20.149999999999999" customHeight="1" x14ac:dyDescent="0.2">
      <c r="B3" s="25">
        <v>46163</v>
      </c>
      <c r="C3" s="26" t="s">
        <v>972</v>
      </c>
      <c r="D3" s="26" t="str">
        <f>IF($C3="", "", MID($C3, 6, IF(MID($C3, LEN($C3)-1, 1)="J", 3, 4)))</f>
        <v>E302</v>
      </c>
      <c r="E3" s="52" t="s">
        <v>20</v>
      </c>
      <c r="F3" s="52" t="s">
        <v>2292</v>
      </c>
      <c r="G3" s="26" t="s">
        <v>34</v>
      </c>
      <c r="H3" s="27">
        <f>9518-K3</f>
        <v>3880.8676844783713</v>
      </c>
      <c r="I3" s="27">
        <v>4410</v>
      </c>
      <c r="J3" s="27">
        <v>4430</v>
      </c>
      <c r="K3" s="68">
        <f>J3/0.786+1</f>
        <v>5637.1323155216287</v>
      </c>
      <c r="L3" s="37"/>
      <c r="M3" s="85"/>
      <c r="N3" s="119"/>
      <c r="O3" s="29">
        <f>IF($C3="","",DATE(2000+LEFT($C3,2), HEX2DEC(MID($C3,3,1)), MID($C3,4,2)))</f>
        <v>46161</v>
      </c>
      <c r="P3" s="28">
        <f t="shared" ref="P3" si="0">DATE(YEAR(O3)+1,MONTH(O3),DAY(O3))-1</f>
        <v>46525</v>
      </c>
    </row>
    <row r="4" spans="1:341" ht="20.149999999999999" customHeight="1" x14ac:dyDescent="0.2">
      <c r="D4" s="26" t="str">
        <f t="shared" ref="D4:D22" si="1">IF($C4="", "", MID($C4, 6, IF(MID($C4, LEN($C4)-1, 1)="J", 3, 4)))</f>
        <v/>
      </c>
      <c r="N4" s="118"/>
    </row>
    <row r="5" spans="1:341" ht="20.149999999999999" customHeight="1" x14ac:dyDescent="0.2">
      <c r="D5" s="26" t="str">
        <f t="shared" si="1"/>
        <v/>
      </c>
      <c r="N5" s="118"/>
    </row>
    <row r="6" spans="1:341" ht="20.149999999999999" customHeight="1" x14ac:dyDescent="0.2">
      <c r="D6" s="26" t="str">
        <f t="shared" si="1"/>
        <v/>
      </c>
      <c r="N6" s="118"/>
    </row>
    <row r="7" spans="1:341" ht="20.149999999999999" customHeight="1" x14ac:dyDescent="0.2">
      <c r="D7" s="26" t="str">
        <f t="shared" si="1"/>
        <v/>
      </c>
      <c r="N7" s="118"/>
    </row>
    <row r="8" spans="1:341" ht="20.149999999999999" customHeight="1" x14ac:dyDescent="0.2">
      <c r="D8" s="26" t="str">
        <f t="shared" si="1"/>
        <v/>
      </c>
      <c r="N8" s="118"/>
    </row>
    <row r="9" spans="1:341" ht="20.149999999999999" customHeight="1" x14ac:dyDescent="0.2">
      <c r="D9" s="26" t="str">
        <f t="shared" si="1"/>
        <v/>
      </c>
      <c r="N9" s="118"/>
    </row>
    <row r="10" spans="1:341" ht="20.149999999999999" customHeight="1" x14ac:dyDescent="0.2">
      <c r="D10" s="26" t="str">
        <f t="shared" si="1"/>
        <v/>
      </c>
      <c r="N10" s="118"/>
    </row>
    <row r="11" spans="1:341" ht="20.149999999999999" customHeight="1" x14ac:dyDescent="0.2">
      <c r="D11" s="26" t="str">
        <f t="shared" si="1"/>
        <v/>
      </c>
      <c r="N11" s="118"/>
    </row>
    <row r="12" spans="1:341" ht="20.149999999999999" customHeight="1" x14ac:dyDescent="0.2">
      <c r="D12" s="26" t="str">
        <f t="shared" si="1"/>
        <v/>
      </c>
      <c r="N12" s="118"/>
    </row>
    <row r="13" spans="1:341" ht="20.149999999999999" customHeight="1" x14ac:dyDescent="0.2">
      <c r="D13" s="26" t="str">
        <f t="shared" si="1"/>
        <v/>
      </c>
      <c r="N13" s="118"/>
    </row>
    <row r="14" spans="1:341" ht="20.149999999999999" customHeight="1" x14ac:dyDescent="0.2">
      <c r="D14" s="26" t="str">
        <f t="shared" si="1"/>
        <v/>
      </c>
      <c r="N14" s="118"/>
    </row>
    <row r="15" spans="1:341" ht="20.149999999999999" customHeight="1" x14ac:dyDescent="0.2">
      <c r="D15" s="26" t="str">
        <f t="shared" si="1"/>
        <v/>
      </c>
      <c r="N15" s="118"/>
    </row>
    <row r="16" spans="1:341" ht="20.149999999999999" customHeight="1" x14ac:dyDescent="0.2">
      <c r="D16" s="26" t="str">
        <f t="shared" si="1"/>
        <v/>
      </c>
      <c r="N16" s="118"/>
    </row>
    <row r="17" spans="4:14" ht="20.149999999999999" customHeight="1" x14ac:dyDescent="0.2">
      <c r="D17" s="26" t="str">
        <f t="shared" si="1"/>
        <v/>
      </c>
      <c r="N17" s="118"/>
    </row>
    <row r="18" spans="4:14" ht="20.149999999999999" customHeight="1" x14ac:dyDescent="0.2">
      <c r="D18" s="26" t="str">
        <f t="shared" si="1"/>
        <v/>
      </c>
      <c r="N18" s="118"/>
    </row>
    <row r="19" spans="4:14" ht="20.149999999999999" customHeight="1" x14ac:dyDescent="0.2">
      <c r="D19" s="26" t="str">
        <f t="shared" si="1"/>
        <v/>
      </c>
      <c r="N19" s="118"/>
    </row>
    <row r="20" spans="4:14" ht="20.149999999999999" customHeight="1" x14ac:dyDescent="0.2">
      <c r="D20" s="26" t="str">
        <f t="shared" si="1"/>
        <v/>
      </c>
      <c r="N20" s="118"/>
    </row>
    <row r="21" spans="4:14" ht="20.149999999999999" customHeight="1" x14ac:dyDescent="0.2">
      <c r="D21" s="26" t="str">
        <f t="shared" si="1"/>
        <v/>
      </c>
      <c r="N21" s="118"/>
    </row>
    <row r="22" spans="4:14" ht="20.149999999999999" customHeight="1" x14ac:dyDescent="0.2">
      <c r="D22" s="26" t="str">
        <f t="shared" si="1"/>
        <v/>
      </c>
      <c r="N22" s="118"/>
    </row>
    <row r="23" spans="4:14" ht="20.149999999999999" customHeight="1" x14ac:dyDescent="0.2">
      <c r="N23" s="118"/>
    </row>
    <row r="24" spans="4:14" ht="20.149999999999999" customHeight="1" x14ac:dyDescent="0.2">
      <c r="N24" s="118"/>
    </row>
    <row r="25" spans="4:14" ht="20.149999999999999" customHeight="1" x14ac:dyDescent="0.2">
      <c r="N25" s="118"/>
    </row>
    <row r="26" spans="4:14" ht="20.149999999999999" customHeight="1" x14ac:dyDescent="0.2">
      <c r="N26" s="118"/>
    </row>
    <row r="27" spans="4:14" ht="20.149999999999999" customHeight="1" x14ac:dyDescent="0.2">
      <c r="N27" s="118"/>
    </row>
    <row r="28" spans="4:14" ht="20.149999999999999" customHeight="1" x14ac:dyDescent="0.2">
      <c r="N28" s="118"/>
    </row>
    <row r="29" spans="4:14" ht="20.149999999999999" customHeight="1" x14ac:dyDescent="0.2">
      <c r="N29" s="118"/>
    </row>
    <row r="30" spans="4:14" ht="20.149999999999999" customHeight="1" x14ac:dyDescent="0.2">
      <c r="N30" s="118"/>
    </row>
  </sheetData>
  <autoFilter ref="A2:T22"/>
  <customSheetViews>
    <customSheetView guid="{F261CC3E-BBAF-4421-92E0-E43167440BFB}" scale="110" showPageBreaks="1" fitToPage="1" printArea="1" showAutoFilter="1" hiddenColumns="1" topLeftCell="B1">
      <pane ySplit="2" topLeftCell="A3" activePane="bottomLeft" state="frozen"/>
      <selection pane="bottomLeft" activeCell="G13" sqref="G13"/>
      <pageMargins left="0.25" right="0.25" top="0.75" bottom="0.75" header="0.3" footer="0.3"/>
      <pageSetup paperSize="9" scale="80" orientation="landscape" r:id="rId1"/>
      <autoFilter ref="A2:T22"/>
    </customSheetView>
    <customSheetView guid="{D108A94F-96BE-4B2E-9408-7CE19DC55699}" showPageBreaks="1" fitToPage="1" printArea="1" showAutoFilter="1" hiddenColumns="1" topLeftCell="B1">
      <pane ySplit="2" topLeftCell="A3" activePane="bottomLeft" state="frozen"/>
      <selection pane="bottomLeft" activeCell="F5" sqref="F5"/>
      <pageMargins left="0.25" right="0.25" top="0.75" bottom="0.75" header="0.3" footer="0.3"/>
      <pageSetup paperSize="9" scale="79" orientation="landscape" r:id="rId2"/>
      <autoFilter ref="A2:T22"/>
    </customSheetView>
    <customSheetView guid="{8578D927-8BDE-4C99-A2DB-3E44DFA36FF2}" showPageBreaks="1" fitToPage="1" printArea="1" showAutoFilter="1" hiddenColumns="1" topLeftCell="B1">
      <pane ySplit="2" topLeftCell="A3" activePane="bottomLeft" state="frozen"/>
      <selection pane="bottomLeft" activeCell="I1" sqref="I1:I1048576"/>
      <pageMargins left="0.25" right="0.25" top="0.75" bottom="0.75" header="0.3" footer="0.3"/>
      <pageSetup paperSize="9" scale="80" orientation="landscape" r:id="rId3"/>
      <autoFilter ref="A2:T22"/>
    </customSheetView>
  </customSheetViews>
  <mergeCells count="1">
    <mergeCell ref="E1:G1"/>
  </mergeCells>
  <phoneticPr fontId="3" type="noConversion"/>
  <pageMargins left="0.25" right="0.25" top="0.75" bottom="0.75" header="0.3" footer="0.3"/>
  <pageSetup paperSize="9" scale="8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B192"/>
  <sheetViews>
    <sheetView topLeftCell="B1" zoomScaleNormal="130" workbookViewId="0">
      <pane ySplit="2" topLeftCell="A169" activePane="bottomLeft" state="frozen"/>
      <selection activeCell="B1" sqref="B1"/>
      <selection pane="bottomLeft" activeCell="N170" sqref="N170"/>
    </sheetView>
  </sheetViews>
  <sheetFormatPr defaultColWidth="9" defaultRowHeight="20.149999999999999" customHeight="1" x14ac:dyDescent="0.2"/>
  <cols>
    <col min="1" max="1" width="7" style="33" hidden="1" customWidth="1"/>
    <col min="2" max="2" width="7" style="33" customWidth="1"/>
    <col min="3" max="3" width="13.875" style="39" customWidth="1"/>
    <col min="4" max="4" width="5.875" style="39" customWidth="1"/>
    <col min="5" max="5" width="9.5" style="39" customWidth="1"/>
    <col min="6" max="6" width="14.625" style="39" customWidth="1"/>
    <col min="7" max="7" width="17.5" style="39" customWidth="1"/>
    <col min="8" max="8" width="12.125" style="40" customWidth="1"/>
    <col min="9" max="11" width="10.875" style="39" customWidth="1"/>
    <col min="12" max="12" width="10.625" style="40" customWidth="1"/>
    <col min="13" max="13" width="10.625" style="86" customWidth="1"/>
    <col min="14" max="14" width="14" style="39" bestFit="1" customWidth="1"/>
    <col min="15" max="15" width="8.5" style="29" customWidth="1"/>
    <col min="16" max="16" width="11.125" style="28" customWidth="1"/>
    <col min="17" max="17" width="12" style="13" customWidth="1"/>
    <col min="18" max="18" width="22.875" style="13" bestFit="1" customWidth="1"/>
    <col min="19" max="19" width="11.625" style="13" bestFit="1" customWidth="1"/>
    <col min="20" max="340" width="9" style="12"/>
    <col min="341" max="16384" width="9" style="13"/>
  </cols>
  <sheetData>
    <row r="1" spans="1:340" ht="24.05" customHeight="1" x14ac:dyDescent="0.25">
      <c r="A1" s="1"/>
      <c r="B1" s="2" t="s">
        <v>0</v>
      </c>
      <c r="C1" s="3"/>
      <c r="D1" s="130" t="s">
        <v>2114</v>
      </c>
      <c r="E1" s="130"/>
      <c r="F1" s="130"/>
      <c r="G1" s="130"/>
      <c r="H1" s="4" t="s">
        <v>1</v>
      </c>
      <c r="I1" s="4"/>
      <c r="J1" s="4"/>
      <c r="K1" s="4" t="s">
        <v>2</v>
      </c>
      <c r="L1" s="5"/>
      <c r="M1" s="87"/>
      <c r="N1" s="4"/>
      <c r="O1" s="6"/>
      <c r="P1" s="7"/>
      <c r="Q1" s="9"/>
      <c r="R1" s="10"/>
      <c r="S1" s="11"/>
    </row>
    <row r="2" spans="1:340" s="23" customFormat="1" ht="20.149999999999999" customHeight="1" x14ac:dyDescent="0.25">
      <c r="A2" s="14" t="s">
        <v>3</v>
      </c>
      <c r="B2" s="15" t="s">
        <v>4</v>
      </c>
      <c r="C2" s="16" t="s">
        <v>5</v>
      </c>
      <c r="D2" s="17" t="s">
        <v>6</v>
      </c>
      <c r="E2" s="16" t="s">
        <v>7</v>
      </c>
      <c r="F2" s="16" t="s">
        <v>2149</v>
      </c>
      <c r="G2" s="16" t="s">
        <v>8</v>
      </c>
      <c r="H2" s="18" t="s">
        <v>9</v>
      </c>
      <c r="I2" s="19" t="s">
        <v>10</v>
      </c>
      <c r="J2" s="19" t="s">
        <v>11</v>
      </c>
      <c r="K2" s="20" t="s">
        <v>12</v>
      </c>
      <c r="L2" s="17" t="s">
        <v>13</v>
      </c>
      <c r="M2" s="88" t="s">
        <v>2143</v>
      </c>
      <c r="N2" s="17" t="s">
        <v>2140</v>
      </c>
      <c r="O2" s="6" t="s">
        <v>14</v>
      </c>
      <c r="P2" s="21" t="s">
        <v>15</v>
      </c>
      <c r="Q2" s="9" t="s">
        <v>17</v>
      </c>
      <c r="R2" s="22" t="s">
        <v>18</v>
      </c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</row>
    <row r="3" spans="1:340" ht="20.149999999999999" customHeight="1" x14ac:dyDescent="0.2">
      <c r="B3" s="25">
        <v>46023</v>
      </c>
      <c r="C3" s="26" t="s">
        <v>47</v>
      </c>
      <c r="D3" s="26" t="s">
        <v>45</v>
      </c>
      <c r="E3" s="26" t="s">
        <v>42</v>
      </c>
      <c r="F3" s="26" t="s">
        <v>2293</v>
      </c>
      <c r="G3" s="26" t="s">
        <v>46</v>
      </c>
      <c r="H3" s="38">
        <f>7720-K3</f>
        <v>1969.3638676844785</v>
      </c>
      <c r="I3" s="27">
        <v>4530</v>
      </c>
      <c r="J3" s="27">
        <v>4520</v>
      </c>
      <c r="K3" s="38">
        <f t="shared" ref="K3:K12" si="0">J3/0.786</f>
        <v>5750.6361323155215</v>
      </c>
      <c r="L3" s="37"/>
      <c r="M3" s="85"/>
      <c r="N3" s="26"/>
      <c r="O3" s="29">
        <v>46021</v>
      </c>
      <c r="P3" s="28">
        <f t="shared" ref="P3:P12" si="1">DATE(YEAR(O3)+1,MONTH(O3),DAY(O3))-1</f>
        <v>46385</v>
      </c>
    </row>
    <row r="4" spans="1:340" ht="20.149999999999999" customHeight="1" x14ac:dyDescent="0.2">
      <c r="B4" s="30">
        <v>46023</v>
      </c>
      <c r="C4" s="31" t="s">
        <v>57</v>
      </c>
      <c r="D4" s="31" t="s">
        <v>58</v>
      </c>
      <c r="E4" s="31" t="s">
        <v>43</v>
      </c>
      <c r="F4" s="31" t="s">
        <v>2294</v>
      </c>
      <c r="G4" s="31" t="s">
        <v>50</v>
      </c>
      <c r="H4" s="41">
        <f>21000-K4</f>
        <v>15402.035623409669</v>
      </c>
      <c r="I4" s="32">
        <v>4490</v>
      </c>
      <c r="J4" s="32">
        <v>4400</v>
      </c>
      <c r="K4" s="41">
        <f t="shared" si="0"/>
        <v>5597.9643765903302</v>
      </c>
      <c r="L4" s="42"/>
      <c r="M4" s="89"/>
      <c r="N4" s="31"/>
      <c r="O4" s="29">
        <v>46023</v>
      </c>
      <c r="P4" s="28">
        <f>DATE(YEAR(O4)+1,MONTH(O4),DAY(O4))-1</f>
        <v>46387</v>
      </c>
    </row>
    <row r="5" spans="1:340" ht="20.149999999999999" customHeight="1" x14ac:dyDescent="0.2">
      <c r="B5" s="25">
        <v>46024</v>
      </c>
      <c r="C5" s="26" t="s">
        <v>110</v>
      </c>
      <c r="D5" s="26" t="s">
        <v>60</v>
      </c>
      <c r="E5" s="26" t="s">
        <v>42</v>
      </c>
      <c r="F5" s="26" t="s">
        <v>2295</v>
      </c>
      <c r="G5" s="26" t="s">
        <v>28</v>
      </c>
      <c r="H5" s="38">
        <f>H3-K5</f>
        <v>0.23155216284976632</v>
      </c>
      <c r="I5" s="27">
        <v>4440</v>
      </c>
      <c r="J5" s="27">
        <v>4430</v>
      </c>
      <c r="K5" s="38">
        <f>J5/0.786+1-3668</f>
        <v>1969.1323155216287</v>
      </c>
      <c r="L5" s="37"/>
      <c r="M5" s="85"/>
      <c r="N5" s="26"/>
      <c r="O5" s="29">
        <v>46023</v>
      </c>
      <c r="P5" s="28">
        <f t="shared" si="1"/>
        <v>46387</v>
      </c>
    </row>
    <row r="6" spans="1:340" ht="20.149999999999999" customHeight="1" x14ac:dyDescent="0.2">
      <c r="B6" s="25"/>
      <c r="C6" s="26"/>
      <c r="D6" s="26"/>
      <c r="E6" s="26"/>
      <c r="F6" s="26" t="s">
        <v>2296</v>
      </c>
      <c r="G6" s="26" t="s">
        <v>49</v>
      </c>
      <c r="H6" s="38">
        <f>420000-K6</f>
        <v>416332</v>
      </c>
      <c r="I6" s="27"/>
      <c r="J6" s="27"/>
      <c r="K6" s="38">
        <v>3668</v>
      </c>
      <c r="L6" s="37"/>
      <c r="M6" s="85"/>
      <c r="N6" s="26"/>
    </row>
    <row r="7" spans="1:340" ht="20.149999999999999" customHeight="1" x14ac:dyDescent="0.2">
      <c r="B7" s="34">
        <v>46024</v>
      </c>
      <c r="C7" s="35" t="s">
        <v>61</v>
      </c>
      <c r="D7" s="35" t="s">
        <v>59</v>
      </c>
      <c r="E7" s="35" t="s">
        <v>44</v>
      </c>
      <c r="F7" s="35">
        <v>20251231008</v>
      </c>
      <c r="G7" s="35" t="s">
        <v>48</v>
      </c>
      <c r="H7" s="43">
        <f>21000-K7</f>
        <v>15375.590330788804</v>
      </c>
      <c r="I7" s="36">
        <v>4380</v>
      </c>
      <c r="J7" s="36">
        <v>4420</v>
      </c>
      <c r="K7" s="43">
        <f>J7/0.786+1</f>
        <v>5624.4096692111953</v>
      </c>
      <c r="L7" s="44"/>
      <c r="M7" s="92"/>
      <c r="N7" s="35"/>
      <c r="O7" s="29">
        <v>46023</v>
      </c>
      <c r="P7" s="28">
        <f t="shared" si="1"/>
        <v>46387</v>
      </c>
    </row>
    <row r="8" spans="1:340" ht="20.149999999999999" customHeight="1" x14ac:dyDescent="0.2">
      <c r="B8" s="25">
        <v>46025</v>
      </c>
      <c r="C8" s="26" t="s">
        <v>79</v>
      </c>
      <c r="D8" s="26" t="s">
        <v>77</v>
      </c>
      <c r="E8" s="26" t="s">
        <v>42</v>
      </c>
      <c r="F8" s="26">
        <v>20260102030</v>
      </c>
      <c r="G8" s="26" t="s">
        <v>49</v>
      </c>
      <c r="H8" s="38">
        <f>H6-K8</f>
        <v>410554.91857506364</v>
      </c>
      <c r="I8" s="27">
        <v>4470</v>
      </c>
      <c r="J8" s="27">
        <v>4540</v>
      </c>
      <c r="K8" s="38">
        <f>J8/0.786+1</f>
        <v>5777.0814249363866</v>
      </c>
      <c r="L8" s="37"/>
      <c r="M8" s="85"/>
      <c r="N8" s="26"/>
      <c r="O8" s="29">
        <v>46024</v>
      </c>
      <c r="P8" s="28">
        <f t="shared" si="1"/>
        <v>46388</v>
      </c>
    </row>
    <row r="9" spans="1:340" ht="20.149999999999999" customHeight="1" x14ac:dyDescent="0.2">
      <c r="B9" s="34">
        <v>46025</v>
      </c>
      <c r="C9" s="35" t="s">
        <v>76</v>
      </c>
      <c r="D9" s="35" t="s">
        <v>74</v>
      </c>
      <c r="E9" s="35" t="s">
        <v>44</v>
      </c>
      <c r="F9" s="35">
        <v>20260102027</v>
      </c>
      <c r="G9" s="35" t="s">
        <v>75</v>
      </c>
      <c r="H9" s="43">
        <f>H7-K9</f>
        <v>9904.8524173027981</v>
      </c>
      <c r="I9" s="36">
        <v>4430</v>
      </c>
      <c r="J9" s="36">
        <v>4300</v>
      </c>
      <c r="K9" s="43">
        <f>J9/0.786</f>
        <v>5470.7379134860048</v>
      </c>
      <c r="L9" s="44"/>
      <c r="M9" s="92"/>
      <c r="N9" s="35"/>
      <c r="O9" s="29">
        <v>46024</v>
      </c>
      <c r="P9" s="28">
        <f>DATE(YEAR(O9)+1,MONTH(O9),DAY(O9))-1</f>
        <v>46388</v>
      </c>
    </row>
    <row r="10" spans="1:340" ht="20.149999999999999" customHeight="1" x14ac:dyDescent="0.2">
      <c r="B10" s="25">
        <v>46026</v>
      </c>
      <c r="C10" s="26" t="s">
        <v>84</v>
      </c>
      <c r="D10" s="26" t="s">
        <v>82</v>
      </c>
      <c r="E10" s="26" t="s">
        <v>27</v>
      </c>
      <c r="F10" s="26">
        <v>20260102031</v>
      </c>
      <c r="G10" s="26" t="s">
        <v>49</v>
      </c>
      <c r="H10" s="38">
        <f>H8-K10</f>
        <v>404855.17302798986</v>
      </c>
      <c r="I10" s="27">
        <v>4600</v>
      </c>
      <c r="J10" s="27">
        <v>4480</v>
      </c>
      <c r="K10" s="38">
        <f t="shared" si="0"/>
        <v>5699.7455470737914</v>
      </c>
      <c r="L10" s="37"/>
      <c r="M10" s="85"/>
      <c r="N10" s="26"/>
      <c r="O10" s="29">
        <v>46024</v>
      </c>
      <c r="P10" s="28">
        <f t="shared" si="1"/>
        <v>46388</v>
      </c>
    </row>
    <row r="11" spans="1:340" ht="20.149999999999999" customHeight="1" x14ac:dyDescent="0.2">
      <c r="B11" s="25">
        <v>46027</v>
      </c>
      <c r="C11" s="26" t="s">
        <v>97</v>
      </c>
      <c r="D11" s="26" t="s">
        <v>89</v>
      </c>
      <c r="E11" s="26" t="s">
        <v>27</v>
      </c>
      <c r="F11" s="26">
        <v>20260102032</v>
      </c>
      <c r="G11" s="26" t="s">
        <v>90</v>
      </c>
      <c r="H11" s="38">
        <f>H10-K11</f>
        <v>399053.64631043258</v>
      </c>
      <c r="I11" s="27">
        <v>4540</v>
      </c>
      <c r="J11" s="27">
        <v>4560</v>
      </c>
      <c r="K11" s="38">
        <f t="shared" si="0"/>
        <v>5801.5267175572517</v>
      </c>
      <c r="L11" s="37"/>
      <c r="M11" s="85"/>
      <c r="N11" s="26"/>
      <c r="O11" s="29">
        <v>46025</v>
      </c>
      <c r="P11" s="28">
        <f t="shared" si="1"/>
        <v>46389</v>
      </c>
    </row>
    <row r="12" spans="1:340" ht="20.149999999999999" customHeight="1" x14ac:dyDescent="0.2">
      <c r="B12" s="34">
        <v>46027</v>
      </c>
      <c r="C12" s="35" t="s">
        <v>98</v>
      </c>
      <c r="D12" s="35" t="s">
        <v>91</v>
      </c>
      <c r="E12" s="35" t="s">
        <v>44</v>
      </c>
      <c r="F12" s="35">
        <v>20260102028</v>
      </c>
      <c r="G12" s="35" t="s">
        <v>92</v>
      </c>
      <c r="H12" s="43">
        <f>H9-K12</f>
        <v>4243.2748091603044</v>
      </c>
      <c r="I12" s="36">
        <v>4460</v>
      </c>
      <c r="J12" s="36">
        <v>4450</v>
      </c>
      <c r="K12" s="43">
        <f t="shared" si="0"/>
        <v>5661.5776081424938</v>
      </c>
      <c r="L12" s="44"/>
      <c r="M12" s="92"/>
      <c r="N12" s="35"/>
      <c r="O12" s="29">
        <v>46025</v>
      </c>
      <c r="P12" s="28">
        <f t="shared" si="1"/>
        <v>46389</v>
      </c>
    </row>
    <row r="13" spans="1:340" ht="20.149999999999999" customHeight="1" x14ac:dyDescent="0.2">
      <c r="B13" s="25">
        <v>46028</v>
      </c>
      <c r="C13" s="26" t="s">
        <v>107</v>
      </c>
      <c r="D13" s="26" t="s">
        <v>106</v>
      </c>
      <c r="E13" s="26" t="s">
        <v>27</v>
      </c>
      <c r="F13" s="26">
        <v>20260102033</v>
      </c>
      <c r="G13" s="26" t="s">
        <v>49</v>
      </c>
      <c r="H13" s="38">
        <f>H11-K13</f>
        <v>393353.9007633588</v>
      </c>
      <c r="I13" s="27">
        <v>4520</v>
      </c>
      <c r="J13" s="27">
        <v>4480</v>
      </c>
      <c r="K13" s="38">
        <f>J13/0.786</f>
        <v>5699.7455470737914</v>
      </c>
      <c r="L13" s="37"/>
      <c r="M13" s="85"/>
      <c r="N13" s="26"/>
      <c r="O13" s="29">
        <v>46026</v>
      </c>
      <c r="P13" s="28">
        <f>DATE(YEAR(O13)+1,MONTH(O13),DAY(O13))-1</f>
        <v>46390</v>
      </c>
    </row>
    <row r="14" spans="1:340" ht="20.149999999999999" customHeight="1" x14ac:dyDescent="0.2">
      <c r="B14" s="34">
        <v>46028</v>
      </c>
      <c r="C14" s="35" t="s">
        <v>105</v>
      </c>
      <c r="D14" s="35" t="s">
        <v>104</v>
      </c>
      <c r="E14" s="35" t="s">
        <v>44</v>
      </c>
      <c r="F14" s="35">
        <v>20260105009</v>
      </c>
      <c r="G14" s="35" t="s">
        <v>129</v>
      </c>
      <c r="H14" s="43">
        <f>H12-K14</f>
        <v>0.27480916030435765</v>
      </c>
      <c r="I14" s="36">
        <v>4520</v>
      </c>
      <c r="J14" s="36">
        <v>4530</v>
      </c>
      <c r="K14" s="43">
        <v>4243</v>
      </c>
      <c r="L14" s="44"/>
      <c r="M14" s="92"/>
      <c r="N14" s="35"/>
      <c r="O14" s="29">
        <v>46025</v>
      </c>
      <c r="P14" s="28">
        <f t="shared" ref="P14:P80" si="2">DATE(YEAR(O14)+1,MONTH(O14),DAY(O14))-1</f>
        <v>46389</v>
      </c>
    </row>
    <row r="15" spans="1:340" ht="20.149999999999999" customHeight="1" x14ac:dyDescent="0.2">
      <c r="B15" s="34"/>
      <c r="C15" s="35"/>
      <c r="D15" s="35"/>
      <c r="E15" s="35"/>
      <c r="F15" s="35"/>
      <c r="G15" s="35" t="s">
        <v>128</v>
      </c>
      <c r="H15" s="43">
        <f>770000-K15</f>
        <v>768479</v>
      </c>
      <c r="I15" s="36"/>
      <c r="J15" s="36"/>
      <c r="K15" s="43">
        <v>1521</v>
      </c>
      <c r="L15" s="44"/>
      <c r="M15" s="92"/>
      <c r="N15" s="35"/>
    </row>
    <row r="16" spans="1:340" ht="20.149999999999999" customHeight="1" x14ac:dyDescent="0.2">
      <c r="B16" s="34">
        <v>46029</v>
      </c>
      <c r="C16" s="35" t="s">
        <v>120</v>
      </c>
      <c r="D16" s="35" t="s">
        <v>119</v>
      </c>
      <c r="E16" s="35" t="s">
        <v>44</v>
      </c>
      <c r="F16" s="35" t="s">
        <v>2297</v>
      </c>
      <c r="G16" s="35" t="s">
        <v>128</v>
      </c>
      <c r="H16" s="43">
        <f>H15-K16</f>
        <v>762881.03562340967</v>
      </c>
      <c r="I16" s="36">
        <v>4370</v>
      </c>
      <c r="J16" s="36">
        <v>4400</v>
      </c>
      <c r="K16" s="43">
        <f t="shared" ref="K16:K61" si="3">J16/0.786</f>
        <v>5597.9643765903302</v>
      </c>
      <c r="L16" s="44"/>
      <c r="M16" s="92"/>
      <c r="N16" s="35"/>
      <c r="O16" s="29">
        <v>46028</v>
      </c>
      <c r="P16" s="28">
        <f t="shared" si="2"/>
        <v>46392</v>
      </c>
    </row>
    <row r="17" spans="2:16" ht="20.149999999999999" customHeight="1" x14ac:dyDescent="0.2">
      <c r="B17" s="25">
        <v>46029</v>
      </c>
      <c r="C17" s="26" t="s">
        <v>254</v>
      </c>
      <c r="D17" s="26" t="s">
        <v>82</v>
      </c>
      <c r="E17" s="26" t="s">
        <v>27</v>
      </c>
      <c r="F17" s="26" t="s">
        <v>2298</v>
      </c>
      <c r="G17" s="26" t="s">
        <v>78</v>
      </c>
      <c r="H17" s="38">
        <f>H13-K17</f>
        <v>387705.04580152675</v>
      </c>
      <c r="I17" s="27">
        <v>4550</v>
      </c>
      <c r="J17" s="27">
        <v>4440</v>
      </c>
      <c r="K17" s="38">
        <f t="shared" si="3"/>
        <v>5648.8549618320612</v>
      </c>
      <c r="L17" s="37"/>
      <c r="M17" s="85"/>
      <c r="N17" s="26"/>
      <c r="O17" s="29">
        <v>46027</v>
      </c>
      <c r="P17" s="28">
        <f t="shared" si="2"/>
        <v>46391</v>
      </c>
    </row>
    <row r="18" spans="2:16" ht="20.149999999999999" customHeight="1" x14ac:dyDescent="0.2">
      <c r="B18" s="34">
        <v>46031</v>
      </c>
      <c r="C18" s="35" t="s">
        <v>139</v>
      </c>
      <c r="D18" s="35" t="s">
        <v>136</v>
      </c>
      <c r="E18" s="35" t="s">
        <v>44</v>
      </c>
      <c r="F18" s="35">
        <v>20260108003</v>
      </c>
      <c r="G18" s="35" t="s">
        <v>128</v>
      </c>
      <c r="H18" s="43">
        <f>H16-K18</f>
        <v>757588.41475826968</v>
      </c>
      <c r="I18" s="36">
        <v>4370</v>
      </c>
      <c r="J18" s="36">
        <v>4160</v>
      </c>
      <c r="K18" s="43">
        <f t="shared" si="3"/>
        <v>5292.6208651399493</v>
      </c>
      <c r="L18" s="44"/>
      <c r="M18" s="92"/>
      <c r="N18" s="35"/>
      <c r="O18" s="29">
        <v>46029</v>
      </c>
      <c r="P18" s="28">
        <f t="shared" si="2"/>
        <v>46393</v>
      </c>
    </row>
    <row r="19" spans="2:16" ht="20.149999999999999" customHeight="1" x14ac:dyDescent="0.2">
      <c r="B19" s="34">
        <v>46032</v>
      </c>
      <c r="C19" s="35" t="s">
        <v>148</v>
      </c>
      <c r="D19" s="35" t="s">
        <v>147</v>
      </c>
      <c r="E19" s="35" t="s">
        <v>44</v>
      </c>
      <c r="F19" s="35" t="s">
        <v>2299</v>
      </c>
      <c r="G19" s="35" t="s">
        <v>128</v>
      </c>
      <c r="H19" s="43">
        <f t="shared" ref="H19:H50" si="4">H18-K19</f>
        <v>752206.7353689567</v>
      </c>
      <c r="I19" s="36">
        <v>4310</v>
      </c>
      <c r="J19" s="36">
        <v>4230</v>
      </c>
      <c r="K19" s="43">
        <f t="shared" si="3"/>
        <v>5381.679389312977</v>
      </c>
      <c r="L19" s="44"/>
      <c r="M19" s="92"/>
      <c r="N19" s="35"/>
      <c r="O19" s="29">
        <v>46030</v>
      </c>
      <c r="P19" s="28">
        <f t="shared" si="2"/>
        <v>46394</v>
      </c>
    </row>
    <row r="20" spans="2:16" ht="20.149999999999999" customHeight="1" x14ac:dyDescent="0.2">
      <c r="B20" s="34">
        <v>46034</v>
      </c>
      <c r="C20" s="35" t="s">
        <v>168</v>
      </c>
      <c r="D20" s="35" t="s">
        <v>162</v>
      </c>
      <c r="E20" s="35" t="s">
        <v>44</v>
      </c>
      <c r="F20" s="35" t="s">
        <v>2300</v>
      </c>
      <c r="G20" s="35" t="s">
        <v>163</v>
      </c>
      <c r="H20" s="43">
        <f t="shared" si="4"/>
        <v>746798.6106870228</v>
      </c>
      <c r="I20" s="36">
        <v>4220</v>
      </c>
      <c r="J20" s="36">
        <v>4250</v>
      </c>
      <c r="K20" s="43">
        <f>J20/0.786+1</f>
        <v>5408.1246819338421</v>
      </c>
      <c r="L20" s="44"/>
      <c r="M20" s="92"/>
      <c r="N20" s="35"/>
      <c r="O20" s="29">
        <v>46032</v>
      </c>
      <c r="P20" s="28">
        <f t="shared" si="2"/>
        <v>46396</v>
      </c>
    </row>
    <row r="21" spans="2:16" ht="20.149999999999999" customHeight="1" x14ac:dyDescent="0.2">
      <c r="B21" s="34">
        <v>46035</v>
      </c>
      <c r="C21" s="35" t="s">
        <v>174</v>
      </c>
      <c r="D21" s="35" t="s">
        <v>173</v>
      </c>
      <c r="E21" s="35" t="s">
        <v>44</v>
      </c>
      <c r="F21" s="35" t="s">
        <v>2301</v>
      </c>
      <c r="G21" s="35" t="s">
        <v>128</v>
      </c>
      <c r="H21" s="43">
        <f t="shared" si="4"/>
        <v>741429.65394402028</v>
      </c>
      <c r="I21" s="36">
        <v>4230</v>
      </c>
      <c r="J21" s="36">
        <v>4220</v>
      </c>
      <c r="K21" s="43">
        <f t="shared" si="3"/>
        <v>5368.9567430025445</v>
      </c>
      <c r="L21" s="44"/>
      <c r="M21" s="92"/>
      <c r="N21" s="35"/>
      <c r="O21" s="29">
        <v>46033</v>
      </c>
      <c r="P21" s="28">
        <f t="shared" si="2"/>
        <v>46397</v>
      </c>
    </row>
    <row r="22" spans="2:16" ht="20.149999999999999" customHeight="1" x14ac:dyDescent="0.2">
      <c r="B22" s="34">
        <v>46036</v>
      </c>
      <c r="C22" s="35" t="s">
        <v>188</v>
      </c>
      <c r="D22" s="35" t="s">
        <v>187</v>
      </c>
      <c r="E22" s="35" t="s">
        <v>44</v>
      </c>
      <c r="F22" s="35" t="s">
        <v>2302</v>
      </c>
      <c r="G22" s="35" t="s">
        <v>128</v>
      </c>
      <c r="H22" s="43">
        <f t="shared" si="4"/>
        <v>735970.63867684465</v>
      </c>
      <c r="I22" s="36">
        <v>4360</v>
      </c>
      <c r="J22" s="36">
        <v>4290</v>
      </c>
      <c r="K22" s="43">
        <f t="shared" ref="K22:K27" si="5">J22/0.786+1</f>
        <v>5459.0152671755723</v>
      </c>
      <c r="L22" s="44"/>
      <c r="M22" s="92"/>
      <c r="N22" s="35"/>
      <c r="O22" s="29">
        <v>46035</v>
      </c>
      <c r="P22" s="28">
        <f t="shared" si="2"/>
        <v>46399</v>
      </c>
    </row>
    <row r="23" spans="2:16" ht="20.149999999999999" customHeight="1" x14ac:dyDescent="0.2">
      <c r="B23" s="34">
        <v>46038</v>
      </c>
      <c r="C23" s="35" t="s">
        <v>206</v>
      </c>
      <c r="D23" s="35" t="s">
        <v>204</v>
      </c>
      <c r="E23" s="35" t="s">
        <v>44</v>
      </c>
      <c r="F23" s="35">
        <v>20260108008</v>
      </c>
      <c r="G23" s="35" t="s">
        <v>128</v>
      </c>
      <c r="H23" s="43">
        <f t="shared" si="4"/>
        <v>730473.45547073777</v>
      </c>
      <c r="I23" s="36">
        <v>4340</v>
      </c>
      <c r="J23" s="36">
        <v>4320</v>
      </c>
      <c r="K23" s="43">
        <f t="shared" si="5"/>
        <v>5497.1832061068699</v>
      </c>
      <c r="L23" s="44"/>
      <c r="M23" s="92"/>
      <c r="N23" s="35"/>
      <c r="O23" s="29">
        <v>46036</v>
      </c>
      <c r="P23" s="28">
        <f t="shared" si="2"/>
        <v>46400</v>
      </c>
    </row>
    <row r="24" spans="2:16" ht="20.149999999999999" customHeight="1" x14ac:dyDescent="0.2">
      <c r="B24" s="34">
        <v>46039</v>
      </c>
      <c r="C24" s="35" t="s">
        <v>214</v>
      </c>
      <c r="D24" s="35" t="s">
        <v>213</v>
      </c>
      <c r="E24" s="35" t="s">
        <v>44</v>
      </c>
      <c r="F24" s="35">
        <v>20260116008</v>
      </c>
      <c r="G24" s="35" t="s">
        <v>128</v>
      </c>
      <c r="H24" s="43">
        <f t="shared" si="4"/>
        <v>725154.38931297697</v>
      </c>
      <c r="I24" s="36">
        <v>4190</v>
      </c>
      <c r="J24" s="36">
        <v>4180</v>
      </c>
      <c r="K24" s="43">
        <f t="shared" si="5"/>
        <v>5319.0661577608143</v>
      </c>
      <c r="L24" s="44"/>
      <c r="M24" s="92"/>
      <c r="N24" s="35"/>
      <c r="O24" s="29">
        <v>46037</v>
      </c>
      <c r="P24" s="28">
        <f t="shared" si="2"/>
        <v>46401</v>
      </c>
    </row>
    <row r="25" spans="2:16" ht="20.149999999999999" customHeight="1" x14ac:dyDescent="0.2">
      <c r="B25" s="34">
        <v>46040</v>
      </c>
      <c r="C25" s="35" t="s">
        <v>226</v>
      </c>
      <c r="D25" s="35" t="s">
        <v>224</v>
      </c>
      <c r="E25" s="35" t="s">
        <v>44</v>
      </c>
      <c r="F25" s="35">
        <v>20260116009</v>
      </c>
      <c r="G25" s="35" t="s">
        <v>225</v>
      </c>
      <c r="H25" s="43">
        <f t="shared" si="4"/>
        <v>719835.32315521617</v>
      </c>
      <c r="I25" s="36">
        <v>4210</v>
      </c>
      <c r="J25" s="36">
        <v>4180</v>
      </c>
      <c r="K25" s="43">
        <f t="shared" si="5"/>
        <v>5319.0661577608143</v>
      </c>
      <c r="L25" s="44"/>
      <c r="M25" s="92"/>
      <c r="N25" s="35"/>
      <c r="O25" s="29">
        <v>46039</v>
      </c>
      <c r="P25" s="28">
        <f t="shared" si="2"/>
        <v>46403</v>
      </c>
    </row>
    <row r="26" spans="2:16" ht="20.149999999999999" customHeight="1" x14ac:dyDescent="0.2">
      <c r="B26" s="34">
        <v>46042</v>
      </c>
      <c r="C26" s="35" t="s">
        <v>244</v>
      </c>
      <c r="D26" s="35" t="s">
        <v>243</v>
      </c>
      <c r="E26" s="35" t="s">
        <v>44</v>
      </c>
      <c r="F26" s="35">
        <v>20260116010</v>
      </c>
      <c r="G26" s="35" t="s">
        <v>128</v>
      </c>
      <c r="H26" s="43">
        <f t="shared" si="4"/>
        <v>714618.03816793882</v>
      </c>
      <c r="I26" s="36">
        <v>4170</v>
      </c>
      <c r="J26" s="36">
        <v>4100</v>
      </c>
      <c r="K26" s="43">
        <f t="shared" si="5"/>
        <v>5217.2849872773531</v>
      </c>
      <c r="L26" s="44"/>
      <c r="M26" s="92"/>
      <c r="N26" s="35"/>
      <c r="O26" s="29">
        <v>46040</v>
      </c>
      <c r="P26" s="28">
        <f t="shared" si="2"/>
        <v>46404</v>
      </c>
    </row>
    <row r="27" spans="2:16" ht="20.149999999999999" customHeight="1" x14ac:dyDescent="0.2">
      <c r="B27" s="34">
        <v>46043</v>
      </c>
      <c r="C27" s="35" t="s">
        <v>250</v>
      </c>
      <c r="D27" s="35" t="s">
        <v>249</v>
      </c>
      <c r="E27" s="35" t="s">
        <v>44</v>
      </c>
      <c r="F27" s="35">
        <v>20260116011</v>
      </c>
      <c r="G27" s="35" t="s">
        <v>251</v>
      </c>
      <c r="H27" s="43">
        <f t="shared" si="4"/>
        <v>709171.74554707366</v>
      </c>
      <c r="I27" s="36">
        <v>4320</v>
      </c>
      <c r="J27" s="36">
        <v>4280</v>
      </c>
      <c r="K27" s="43">
        <f t="shared" si="5"/>
        <v>5446.2926208651397</v>
      </c>
      <c r="L27" s="44"/>
      <c r="M27" s="92"/>
      <c r="N27" s="35"/>
      <c r="O27" s="29">
        <v>46041</v>
      </c>
      <c r="P27" s="28">
        <f t="shared" si="2"/>
        <v>46405</v>
      </c>
    </row>
    <row r="28" spans="2:16" ht="20.149999999999999" customHeight="1" x14ac:dyDescent="0.2">
      <c r="B28" s="34">
        <v>46044</v>
      </c>
      <c r="C28" s="35" t="s">
        <v>268</v>
      </c>
      <c r="D28" s="35" t="s">
        <v>266</v>
      </c>
      <c r="E28" s="35" t="s">
        <v>44</v>
      </c>
      <c r="F28" s="35">
        <v>20260116012</v>
      </c>
      <c r="G28" s="35" t="s">
        <v>267</v>
      </c>
      <c r="H28" s="43">
        <f t="shared" si="4"/>
        <v>704005.35114503803</v>
      </c>
      <c r="I28" s="36">
        <v>4080</v>
      </c>
      <c r="J28" s="36">
        <v>4060</v>
      </c>
      <c r="K28" s="43">
        <f>J28/0.786+1</f>
        <v>5166.394402035623</v>
      </c>
      <c r="L28" s="44"/>
      <c r="M28" s="92"/>
      <c r="N28" s="35"/>
      <c r="O28" s="29">
        <v>46042</v>
      </c>
      <c r="P28" s="28">
        <f t="shared" si="2"/>
        <v>46406</v>
      </c>
    </row>
    <row r="29" spans="2:16" ht="20.149999999999999" customHeight="1" x14ac:dyDescent="0.2">
      <c r="B29" s="34">
        <v>46045</v>
      </c>
      <c r="C29" s="35" t="s">
        <v>280</v>
      </c>
      <c r="D29" s="35" t="s">
        <v>279</v>
      </c>
      <c r="E29" s="35" t="s">
        <v>44</v>
      </c>
      <c r="F29" s="35">
        <v>20260120005</v>
      </c>
      <c r="G29" s="35" t="s">
        <v>128</v>
      </c>
      <c r="H29" s="43">
        <f t="shared" si="4"/>
        <v>698432.83206106862</v>
      </c>
      <c r="I29" s="36">
        <v>4400</v>
      </c>
      <c r="J29" s="36">
        <v>4380</v>
      </c>
      <c r="K29" s="43">
        <f t="shared" si="3"/>
        <v>5572.5190839694651</v>
      </c>
      <c r="L29" s="44"/>
      <c r="M29" s="92"/>
      <c r="N29" s="35"/>
      <c r="O29" s="29">
        <v>46044</v>
      </c>
      <c r="P29" s="28">
        <f t="shared" si="2"/>
        <v>46408</v>
      </c>
    </row>
    <row r="30" spans="2:16" ht="20.149999999999999" customHeight="1" x14ac:dyDescent="0.2">
      <c r="B30" s="34">
        <v>46046</v>
      </c>
      <c r="C30" s="35" t="s">
        <v>289</v>
      </c>
      <c r="D30" s="35" t="s">
        <v>288</v>
      </c>
      <c r="E30" s="35" t="s">
        <v>44</v>
      </c>
      <c r="F30" s="35">
        <v>20260122006</v>
      </c>
      <c r="G30" s="35" t="s">
        <v>251</v>
      </c>
      <c r="H30" s="43">
        <f t="shared" si="4"/>
        <v>693177.37913486001</v>
      </c>
      <c r="I30" s="36">
        <v>4170</v>
      </c>
      <c r="J30" s="36">
        <v>4130</v>
      </c>
      <c r="K30" s="43">
        <f>J30/0.786+1</f>
        <v>5255.4529262086508</v>
      </c>
      <c r="L30" s="44"/>
      <c r="M30" s="92"/>
      <c r="N30" s="35"/>
      <c r="O30" s="29">
        <v>46045</v>
      </c>
      <c r="P30" s="28">
        <f t="shared" si="2"/>
        <v>46409</v>
      </c>
    </row>
    <row r="31" spans="2:16" ht="20.149999999999999" customHeight="1" x14ac:dyDescent="0.2">
      <c r="B31" s="34">
        <v>46047</v>
      </c>
      <c r="C31" s="35" t="s">
        <v>297</v>
      </c>
      <c r="D31" s="35" t="s">
        <v>295</v>
      </c>
      <c r="E31" s="35" t="s">
        <v>44</v>
      </c>
      <c r="F31" s="35">
        <v>20260122009</v>
      </c>
      <c r="G31" s="35" t="s">
        <v>296</v>
      </c>
      <c r="H31" s="43">
        <f t="shared" si="4"/>
        <v>687781.97709923657</v>
      </c>
      <c r="I31" s="36">
        <v>4190</v>
      </c>
      <c r="J31" s="36">
        <v>4240</v>
      </c>
      <c r="K31" s="43">
        <f>J31/0.786+1</f>
        <v>5395.4020356234096</v>
      </c>
      <c r="L31" s="44"/>
      <c r="M31" s="92"/>
      <c r="N31" s="35"/>
      <c r="O31" s="29">
        <v>46045</v>
      </c>
      <c r="P31" s="28">
        <f>DATE(YEAR(O31)+1,MONTH(O31),DAY(O31))-1</f>
        <v>46409</v>
      </c>
    </row>
    <row r="32" spans="2:16" ht="20.149999999999999" customHeight="1" x14ac:dyDescent="0.2">
      <c r="B32" s="34">
        <v>46048</v>
      </c>
      <c r="C32" s="35" t="s">
        <v>314</v>
      </c>
      <c r="D32" s="35" t="s">
        <v>309</v>
      </c>
      <c r="E32" s="35" t="s">
        <v>44</v>
      </c>
      <c r="F32" s="35">
        <v>20260122007</v>
      </c>
      <c r="G32" s="35" t="s">
        <v>310</v>
      </c>
      <c r="H32" s="43">
        <f t="shared" si="4"/>
        <v>682311.2391857506</v>
      </c>
      <c r="I32" s="36">
        <v>4370</v>
      </c>
      <c r="J32" s="36">
        <v>4300</v>
      </c>
      <c r="K32" s="43">
        <f t="shared" si="3"/>
        <v>5470.7379134860048</v>
      </c>
      <c r="L32" s="44"/>
      <c r="M32" s="92"/>
      <c r="N32" s="35"/>
      <c r="O32" s="29">
        <v>46046</v>
      </c>
      <c r="P32" s="28">
        <f t="shared" si="2"/>
        <v>46410</v>
      </c>
    </row>
    <row r="33" spans="2:16" ht="20.149999999999999" customHeight="1" x14ac:dyDescent="0.2">
      <c r="B33" s="34">
        <v>46049</v>
      </c>
      <c r="C33" s="35" t="s">
        <v>324</v>
      </c>
      <c r="D33" s="35" t="s">
        <v>323</v>
      </c>
      <c r="E33" s="35" t="s">
        <v>44</v>
      </c>
      <c r="F33" s="35" t="s">
        <v>2303</v>
      </c>
      <c r="G33" s="35" t="s">
        <v>128</v>
      </c>
      <c r="H33" s="43">
        <f t="shared" si="4"/>
        <v>676826.77862595418</v>
      </c>
      <c r="I33" s="36">
        <v>4260</v>
      </c>
      <c r="J33" s="36">
        <v>4310</v>
      </c>
      <c r="K33" s="43">
        <f>J33/0.786+1</f>
        <v>5484.4605597964373</v>
      </c>
      <c r="L33" s="44"/>
      <c r="M33" s="92"/>
      <c r="N33" s="35"/>
      <c r="O33" s="29">
        <v>46048</v>
      </c>
      <c r="P33" s="28">
        <f t="shared" si="2"/>
        <v>46412</v>
      </c>
    </row>
    <row r="34" spans="2:16" ht="20.149999999999999" customHeight="1" x14ac:dyDescent="0.2">
      <c r="B34" s="34">
        <v>46050</v>
      </c>
      <c r="C34" s="35" t="s">
        <v>334</v>
      </c>
      <c r="D34" s="35" t="s">
        <v>332</v>
      </c>
      <c r="E34" s="35" t="s">
        <v>44</v>
      </c>
      <c r="F34" s="35">
        <v>20260127004</v>
      </c>
      <c r="G34" s="35" t="s">
        <v>333</v>
      </c>
      <c r="H34" s="43">
        <f t="shared" si="4"/>
        <v>671406.93129770993</v>
      </c>
      <c r="I34" s="36">
        <v>4300</v>
      </c>
      <c r="J34" s="36">
        <v>4260</v>
      </c>
      <c r="K34" s="43">
        <f t="shared" si="3"/>
        <v>5419.8473282442746</v>
      </c>
      <c r="L34" s="44"/>
      <c r="M34" s="92"/>
      <c r="N34" s="35"/>
      <c r="O34" s="29">
        <v>46048</v>
      </c>
      <c r="P34" s="28">
        <f t="shared" si="2"/>
        <v>46412</v>
      </c>
    </row>
    <row r="35" spans="2:16" ht="20.149999999999999" customHeight="1" x14ac:dyDescent="0.2">
      <c r="B35" s="34">
        <v>46052</v>
      </c>
      <c r="C35" s="35" t="s">
        <v>352</v>
      </c>
      <c r="D35" s="35" t="s">
        <v>351</v>
      </c>
      <c r="E35" s="35" t="s">
        <v>44</v>
      </c>
      <c r="F35" s="35">
        <v>20260127005</v>
      </c>
      <c r="G35" s="35" t="s">
        <v>128</v>
      </c>
      <c r="H35" s="43">
        <f t="shared" si="4"/>
        <v>665998.80661577603</v>
      </c>
      <c r="I35" s="36">
        <v>4190</v>
      </c>
      <c r="J35" s="36">
        <v>4250</v>
      </c>
      <c r="K35" s="43">
        <f>J35/0.786+1</f>
        <v>5408.1246819338421</v>
      </c>
      <c r="L35" s="44"/>
      <c r="M35" s="92"/>
      <c r="N35" s="35"/>
      <c r="O35" s="29">
        <v>46050</v>
      </c>
      <c r="P35" s="28">
        <f t="shared" si="2"/>
        <v>46414</v>
      </c>
    </row>
    <row r="36" spans="2:16" ht="20.149999999999999" customHeight="1" x14ac:dyDescent="0.2">
      <c r="B36" s="34">
        <v>46053</v>
      </c>
      <c r="C36" s="35" t="s">
        <v>365</v>
      </c>
      <c r="D36" s="35" t="s">
        <v>363</v>
      </c>
      <c r="E36" s="35" t="s">
        <v>44</v>
      </c>
      <c r="F36" s="35">
        <v>20260127006</v>
      </c>
      <c r="G36" s="35" t="s">
        <v>364</v>
      </c>
      <c r="H36" s="43">
        <f t="shared" si="4"/>
        <v>660477.17811704834</v>
      </c>
      <c r="I36" s="36">
        <v>4440</v>
      </c>
      <c r="J36" s="36">
        <v>4340</v>
      </c>
      <c r="K36" s="43">
        <f t="shared" si="3"/>
        <v>5521.628498727735</v>
      </c>
      <c r="L36" s="44"/>
      <c r="M36" s="92"/>
      <c r="N36" s="35"/>
      <c r="O36" s="29">
        <v>46052</v>
      </c>
      <c r="P36" s="28">
        <f t="shared" si="2"/>
        <v>46416</v>
      </c>
    </row>
    <row r="37" spans="2:16" ht="20.149999999999999" customHeight="1" x14ac:dyDescent="0.2">
      <c r="B37" s="34">
        <v>46053</v>
      </c>
      <c r="C37" s="35" t="s">
        <v>367</v>
      </c>
      <c r="D37" s="35" t="s">
        <v>366</v>
      </c>
      <c r="E37" s="35" t="s">
        <v>44</v>
      </c>
      <c r="F37" s="35">
        <v>20260130047</v>
      </c>
      <c r="G37" s="35" t="s">
        <v>128</v>
      </c>
      <c r="H37" s="43">
        <f t="shared" si="4"/>
        <v>654968.272264631</v>
      </c>
      <c r="I37" s="36">
        <v>4330</v>
      </c>
      <c r="J37" s="36">
        <v>4330</v>
      </c>
      <c r="K37" s="43">
        <f t="shared" si="3"/>
        <v>5508.9058524173024</v>
      </c>
      <c r="L37" s="44"/>
      <c r="M37" s="92"/>
      <c r="N37" s="35"/>
      <c r="O37" s="29">
        <v>46052</v>
      </c>
      <c r="P37" s="28">
        <f t="shared" si="2"/>
        <v>46416</v>
      </c>
    </row>
    <row r="38" spans="2:16" ht="20.149999999999999" customHeight="1" x14ac:dyDescent="0.2">
      <c r="B38" s="34">
        <v>46054</v>
      </c>
      <c r="C38" s="35" t="s">
        <v>376</v>
      </c>
      <c r="D38" s="35" t="s">
        <v>375</v>
      </c>
      <c r="E38" s="35" t="s">
        <v>44</v>
      </c>
      <c r="F38" s="35">
        <v>20260130040</v>
      </c>
      <c r="G38" s="35" t="s">
        <v>377</v>
      </c>
      <c r="H38" s="43">
        <f t="shared" si="4"/>
        <v>649446.64376590331</v>
      </c>
      <c r="I38" s="36">
        <v>4230</v>
      </c>
      <c r="J38" s="36">
        <v>4340</v>
      </c>
      <c r="K38" s="43">
        <f t="shared" si="3"/>
        <v>5521.628498727735</v>
      </c>
      <c r="L38" s="44"/>
      <c r="M38" s="92"/>
      <c r="N38" s="35"/>
      <c r="O38" s="29">
        <v>46053</v>
      </c>
      <c r="P38" s="28">
        <f t="shared" si="2"/>
        <v>46417</v>
      </c>
    </row>
    <row r="39" spans="2:16" ht="20.149999999999999" customHeight="1" x14ac:dyDescent="0.2">
      <c r="B39" s="34">
        <v>46056</v>
      </c>
      <c r="C39" s="35" t="s">
        <v>394</v>
      </c>
      <c r="D39" s="35" t="s">
        <v>392</v>
      </c>
      <c r="E39" s="35" t="s">
        <v>44</v>
      </c>
      <c r="F39" s="35">
        <v>20260130041</v>
      </c>
      <c r="G39" s="35" t="s">
        <v>163</v>
      </c>
      <c r="H39" s="43">
        <f t="shared" si="4"/>
        <v>644089.40966921125</v>
      </c>
      <c r="I39" s="36">
        <v>4220</v>
      </c>
      <c r="J39" s="36">
        <v>4210</v>
      </c>
      <c r="K39" s="43">
        <f>J39/0.786+1</f>
        <v>5357.234096692112</v>
      </c>
      <c r="L39" s="44"/>
      <c r="M39" s="92"/>
      <c r="N39" s="35"/>
      <c r="O39" s="29">
        <v>46054</v>
      </c>
      <c r="P39" s="28">
        <f t="shared" si="2"/>
        <v>46418</v>
      </c>
    </row>
    <row r="40" spans="2:16" ht="20.149999999999999" customHeight="1" x14ac:dyDescent="0.2">
      <c r="B40" s="34">
        <v>46056</v>
      </c>
      <c r="C40" s="35" t="s">
        <v>395</v>
      </c>
      <c r="D40" s="35" t="s">
        <v>393</v>
      </c>
      <c r="E40" s="35" t="s">
        <v>44</v>
      </c>
      <c r="F40" s="35">
        <v>20260130042</v>
      </c>
      <c r="G40" s="35" t="s">
        <v>163</v>
      </c>
      <c r="H40" s="43">
        <f t="shared" si="4"/>
        <v>638694.00763358781</v>
      </c>
      <c r="I40" s="36">
        <v>4300</v>
      </c>
      <c r="J40" s="36">
        <v>4240</v>
      </c>
      <c r="K40" s="43">
        <f>J40/0.786+1</f>
        <v>5395.4020356234096</v>
      </c>
      <c r="L40" s="44"/>
      <c r="M40" s="92"/>
      <c r="N40" s="35"/>
      <c r="O40" s="29">
        <v>46054</v>
      </c>
      <c r="P40" s="28">
        <f t="shared" si="2"/>
        <v>46418</v>
      </c>
    </row>
    <row r="41" spans="2:16" ht="20.149999999999999" customHeight="1" x14ac:dyDescent="0.2">
      <c r="B41" s="34">
        <v>46057</v>
      </c>
      <c r="C41" s="35" t="s">
        <v>404</v>
      </c>
      <c r="D41" s="35" t="s">
        <v>402</v>
      </c>
      <c r="E41" s="35" t="s">
        <v>44</v>
      </c>
      <c r="F41" s="35">
        <v>20260130043</v>
      </c>
      <c r="G41" s="35" t="s">
        <v>403</v>
      </c>
      <c r="H41" s="43">
        <f t="shared" si="4"/>
        <v>633223.26972010185</v>
      </c>
      <c r="I41" s="36">
        <v>4340</v>
      </c>
      <c r="J41" s="36">
        <v>4300</v>
      </c>
      <c r="K41" s="43">
        <f t="shared" si="3"/>
        <v>5470.7379134860048</v>
      </c>
      <c r="L41" s="44"/>
      <c r="M41" s="92"/>
      <c r="N41" s="35"/>
      <c r="O41" s="29">
        <v>46055</v>
      </c>
      <c r="P41" s="28">
        <f t="shared" si="2"/>
        <v>46419</v>
      </c>
    </row>
    <row r="42" spans="2:16" ht="20.149999999999999" customHeight="1" x14ac:dyDescent="0.2">
      <c r="B42" s="34">
        <v>46058</v>
      </c>
      <c r="C42" s="35" t="s">
        <v>417</v>
      </c>
      <c r="D42" s="35" t="s">
        <v>409</v>
      </c>
      <c r="E42" s="35" t="s">
        <v>44</v>
      </c>
      <c r="F42" s="35">
        <v>20260130044</v>
      </c>
      <c r="G42" s="35" t="s">
        <v>333</v>
      </c>
      <c r="H42" s="43">
        <f t="shared" si="4"/>
        <v>627675.19592875324</v>
      </c>
      <c r="I42" s="36">
        <v>4490</v>
      </c>
      <c r="J42" s="36">
        <v>4360</v>
      </c>
      <c r="K42" s="43">
        <f>J42/0.786+1</f>
        <v>5548.0737913486</v>
      </c>
      <c r="L42" s="44"/>
      <c r="M42" s="92"/>
      <c r="N42" s="35"/>
      <c r="O42" s="29">
        <v>46056</v>
      </c>
      <c r="P42" s="28">
        <f t="shared" si="2"/>
        <v>46420</v>
      </c>
    </row>
    <row r="43" spans="2:16" ht="20.149999999999999" customHeight="1" x14ac:dyDescent="0.2">
      <c r="B43" s="34">
        <v>46060</v>
      </c>
      <c r="C43" s="35" t="s">
        <v>429</v>
      </c>
      <c r="D43" s="35" t="s">
        <v>428</v>
      </c>
      <c r="E43" s="35" t="s">
        <v>44</v>
      </c>
      <c r="F43" s="35">
        <v>20260205001</v>
      </c>
      <c r="G43" s="35" t="s">
        <v>163</v>
      </c>
      <c r="H43" s="43">
        <f t="shared" si="4"/>
        <v>622216.18066157761</v>
      </c>
      <c r="I43" s="36">
        <v>4320</v>
      </c>
      <c r="J43" s="36">
        <v>4290</v>
      </c>
      <c r="K43" s="43">
        <f>J43/0.786+1</f>
        <v>5459.0152671755723</v>
      </c>
      <c r="L43" s="44"/>
      <c r="M43" s="92"/>
      <c r="N43" s="35"/>
      <c r="O43" s="29">
        <v>46058</v>
      </c>
      <c r="P43" s="28">
        <f t="shared" si="2"/>
        <v>46422</v>
      </c>
    </row>
    <row r="44" spans="2:16" ht="20.149999999999999" customHeight="1" x14ac:dyDescent="0.2">
      <c r="B44" s="34">
        <v>46061</v>
      </c>
      <c r="C44" s="35" t="s">
        <v>433</v>
      </c>
      <c r="D44" s="35" t="s">
        <v>432</v>
      </c>
      <c r="E44" s="35" t="s">
        <v>44</v>
      </c>
      <c r="F44" s="35" t="s">
        <v>2304</v>
      </c>
      <c r="G44" s="35" t="s">
        <v>128</v>
      </c>
      <c r="H44" s="43">
        <f t="shared" si="4"/>
        <v>616808.05597964372</v>
      </c>
      <c r="I44" s="36">
        <v>4290</v>
      </c>
      <c r="J44" s="36">
        <v>4250</v>
      </c>
      <c r="K44" s="43">
        <f>J44/0.786+1</f>
        <v>5408.1246819338421</v>
      </c>
      <c r="L44" s="44"/>
      <c r="M44" s="92"/>
      <c r="N44" s="35"/>
      <c r="O44" s="29">
        <v>46059</v>
      </c>
      <c r="P44" s="28">
        <f t="shared" si="2"/>
        <v>46423</v>
      </c>
    </row>
    <row r="45" spans="2:16" ht="20.149999999999999" customHeight="1" x14ac:dyDescent="0.2">
      <c r="B45" s="34">
        <v>46062</v>
      </c>
      <c r="C45" s="35" t="s">
        <v>440</v>
      </c>
      <c r="D45" s="35" t="s">
        <v>439</v>
      </c>
      <c r="E45" s="35" t="s">
        <v>44</v>
      </c>
      <c r="F45" s="35" t="s">
        <v>2305</v>
      </c>
      <c r="G45" s="35" t="s">
        <v>441</v>
      </c>
      <c r="H45" s="43">
        <f t="shared" si="4"/>
        <v>611477.26717557246</v>
      </c>
      <c r="I45" s="36">
        <v>4250</v>
      </c>
      <c r="J45" s="36">
        <v>4190</v>
      </c>
      <c r="K45" s="43">
        <f t="shared" si="3"/>
        <v>5330.7888040712469</v>
      </c>
      <c r="L45" s="44"/>
      <c r="M45" s="92"/>
      <c r="N45" s="35"/>
      <c r="O45" s="29">
        <v>46060</v>
      </c>
      <c r="P45" s="28">
        <f t="shared" si="2"/>
        <v>46424</v>
      </c>
    </row>
    <row r="46" spans="2:16" ht="20.149999999999999" customHeight="1" x14ac:dyDescent="0.2">
      <c r="B46" s="34">
        <v>46064</v>
      </c>
      <c r="C46" s="35" t="s">
        <v>459</v>
      </c>
      <c r="D46" s="35" t="s">
        <v>458</v>
      </c>
      <c r="E46" s="35" t="s">
        <v>44</v>
      </c>
      <c r="F46" s="35" t="s">
        <v>2306</v>
      </c>
      <c r="G46" s="35" t="s">
        <v>333</v>
      </c>
      <c r="H46" s="43">
        <f t="shared" si="4"/>
        <v>606197.36895674292</v>
      </c>
      <c r="I46" s="36">
        <v>4240</v>
      </c>
      <c r="J46" s="36">
        <v>4150</v>
      </c>
      <c r="K46" s="43">
        <f t="shared" si="3"/>
        <v>5279.8982188295167</v>
      </c>
      <c r="L46" s="44"/>
      <c r="M46" s="92"/>
      <c r="N46" s="35"/>
      <c r="O46" s="29">
        <v>46062</v>
      </c>
      <c r="P46" s="28">
        <f t="shared" si="2"/>
        <v>46426</v>
      </c>
    </row>
    <row r="47" spans="2:16" ht="20.149999999999999" customHeight="1" x14ac:dyDescent="0.2">
      <c r="B47" s="34">
        <v>46065</v>
      </c>
      <c r="C47" s="35" t="s">
        <v>472</v>
      </c>
      <c r="D47" s="35" t="s">
        <v>471</v>
      </c>
      <c r="E47" s="35" t="s">
        <v>44</v>
      </c>
      <c r="F47" s="35" t="s">
        <v>2307</v>
      </c>
      <c r="G47" s="35" t="s">
        <v>163</v>
      </c>
      <c r="H47" s="43">
        <f t="shared" si="4"/>
        <v>600675.74045801524</v>
      </c>
      <c r="I47" s="36">
        <v>4290</v>
      </c>
      <c r="J47" s="36">
        <v>4340</v>
      </c>
      <c r="K47" s="43">
        <f t="shared" si="3"/>
        <v>5521.628498727735</v>
      </c>
      <c r="L47" s="44"/>
      <c r="M47" s="92"/>
      <c r="N47" s="35"/>
      <c r="O47" s="29">
        <v>46063</v>
      </c>
      <c r="P47" s="28">
        <f t="shared" si="2"/>
        <v>46427</v>
      </c>
    </row>
    <row r="48" spans="2:16" ht="20.149999999999999" customHeight="1" x14ac:dyDescent="0.2">
      <c r="B48" s="34">
        <v>46066</v>
      </c>
      <c r="C48" s="35" t="s">
        <v>483</v>
      </c>
      <c r="D48" s="35" t="s">
        <v>481</v>
      </c>
      <c r="E48" s="35" t="s">
        <v>44</v>
      </c>
      <c r="F48" s="35">
        <v>20260210041</v>
      </c>
      <c r="G48" s="35" t="s">
        <v>482</v>
      </c>
      <c r="H48" s="43">
        <f t="shared" si="4"/>
        <v>595243.17048346053</v>
      </c>
      <c r="I48" s="36">
        <v>4300</v>
      </c>
      <c r="J48" s="36">
        <v>4270</v>
      </c>
      <c r="K48" s="43">
        <f t="shared" si="3"/>
        <v>5432.5699745547072</v>
      </c>
      <c r="L48" s="44"/>
      <c r="M48" s="92"/>
      <c r="N48" s="35"/>
      <c r="O48" s="29">
        <v>46064</v>
      </c>
      <c r="P48" s="28">
        <f t="shared" si="2"/>
        <v>46428</v>
      </c>
    </row>
    <row r="49" spans="2:16" ht="20.149999999999999" customHeight="1" x14ac:dyDescent="0.2">
      <c r="B49" s="34">
        <v>46068</v>
      </c>
      <c r="C49" s="35" t="s">
        <v>498</v>
      </c>
      <c r="D49" s="35" t="s">
        <v>496</v>
      </c>
      <c r="E49" s="35" t="s">
        <v>44</v>
      </c>
      <c r="F49" s="35">
        <v>20260210042</v>
      </c>
      <c r="G49" s="35" t="s">
        <v>497</v>
      </c>
      <c r="H49" s="43">
        <f t="shared" si="4"/>
        <v>589810.60050890583</v>
      </c>
      <c r="I49" s="36">
        <v>4370</v>
      </c>
      <c r="J49" s="36">
        <v>4270</v>
      </c>
      <c r="K49" s="43">
        <f t="shared" si="3"/>
        <v>5432.5699745547072</v>
      </c>
      <c r="L49" s="44"/>
      <c r="M49" s="92"/>
      <c r="N49" s="35"/>
      <c r="O49" s="29">
        <v>46066</v>
      </c>
      <c r="P49" s="28">
        <f t="shared" si="2"/>
        <v>46430</v>
      </c>
    </row>
    <row r="50" spans="2:16" ht="20.149999999999999" customHeight="1" x14ac:dyDescent="0.2">
      <c r="B50" s="34">
        <v>46069</v>
      </c>
      <c r="C50" s="35" t="s">
        <v>513</v>
      </c>
      <c r="D50" s="35" t="s">
        <v>507</v>
      </c>
      <c r="E50" s="35" t="s">
        <v>44</v>
      </c>
      <c r="F50" s="35">
        <v>20260210043</v>
      </c>
      <c r="G50" s="35" t="s">
        <v>508</v>
      </c>
      <c r="H50" s="43">
        <f t="shared" si="4"/>
        <v>584238.08142493642</v>
      </c>
      <c r="I50" s="36">
        <v>4400</v>
      </c>
      <c r="J50" s="36">
        <v>4380</v>
      </c>
      <c r="K50" s="43">
        <f t="shared" si="3"/>
        <v>5572.5190839694651</v>
      </c>
      <c r="L50" s="44"/>
      <c r="M50" s="92"/>
      <c r="N50" s="35"/>
      <c r="O50" s="29">
        <v>46067</v>
      </c>
      <c r="P50" s="28">
        <f t="shared" si="2"/>
        <v>46431</v>
      </c>
    </row>
    <row r="51" spans="2:16" ht="20.149999999999999" customHeight="1" x14ac:dyDescent="0.2">
      <c r="B51" s="34">
        <v>46070</v>
      </c>
      <c r="C51" s="35" t="s">
        <v>527</v>
      </c>
      <c r="D51" s="35" t="s">
        <v>525</v>
      </c>
      <c r="E51" s="35" t="s">
        <v>44</v>
      </c>
      <c r="F51" s="35">
        <v>20260210044</v>
      </c>
      <c r="G51" s="35" t="s">
        <v>128</v>
      </c>
      <c r="H51" s="43">
        <f t="shared" ref="H51:H71" si="6">H50-K51</f>
        <v>578829.95674300252</v>
      </c>
      <c r="I51" s="36">
        <v>4170</v>
      </c>
      <c r="J51" s="36">
        <v>4250</v>
      </c>
      <c r="K51" s="43">
        <f>J51/0.786+1</f>
        <v>5408.1246819338421</v>
      </c>
      <c r="L51" s="44"/>
      <c r="M51" s="92"/>
      <c r="N51" s="35"/>
      <c r="O51" s="29">
        <v>46068</v>
      </c>
      <c r="P51" s="28">
        <f t="shared" si="2"/>
        <v>46432</v>
      </c>
    </row>
    <row r="52" spans="2:16" ht="20.149999999999999" customHeight="1" x14ac:dyDescent="0.2">
      <c r="B52" s="34">
        <v>46071</v>
      </c>
      <c r="C52" s="35" t="s">
        <v>537</v>
      </c>
      <c r="D52" s="35" t="s">
        <v>533</v>
      </c>
      <c r="E52" s="35" t="s">
        <v>44</v>
      </c>
      <c r="F52" s="35">
        <v>20260210045</v>
      </c>
      <c r="G52" s="35" t="s">
        <v>267</v>
      </c>
      <c r="H52" s="43">
        <f t="shared" si="6"/>
        <v>573434.55470737908</v>
      </c>
      <c r="I52" s="36">
        <v>4260</v>
      </c>
      <c r="J52" s="36">
        <v>4240</v>
      </c>
      <c r="K52" s="43">
        <f>J52/0.786+1</f>
        <v>5395.4020356234096</v>
      </c>
      <c r="L52" s="44"/>
      <c r="M52" s="92"/>
      <c r="N52" s="35"/>
      <c r="O52" s="29">
        <v>46070</v>
      </c>
      <c r="P52" s="28">
        <f t="shared" si="2"/>
        <v>46434</v>
      </c>
    </row>
    <row r="53" spans="2:16" ht="20.149999999999999" customHeight="1" x14ac:dyDescent="0.2">
      <c r="B53" s="34">
        <v>46073</v>
      </c>
      <c r="C53" s="35" t="s">
        <v>558</v>
      </c>
      <c r="D53" s="35" t="s">
        <v>557</v>
      </c>
      <c r="E53" s="35" t="s">
        <v>44</v>
      </c>
      <c r="F53" s="35">
        <v>20260210046</v>
      </c>
      <c r="G53" s="35" t="s">
        <v>566</v>
      </c>
      <c r="H53" s="43">
        <f t="shared" si="6"/>
        <v>568039.15267175564</v>
      </c>
      <c r="I53" s="36">
        <v>4310</v>
      </c>
      <c r="J53" s="36">
        <v>4240</v>
      </c>
      <c r="K53" s="43">
        <f>J53/0.786+1</f>
        <v>5395.4020356234096</v>
      </c>
      <c r="L53" s="44"/>
      <c r="M53" s="92"/>
      <c r="N53" s="35"/>
      <c r="O53" s="29">
        <v>46071</v>
      </c>
      <c r="P53" s="28">
        <f t="shared" si="2"/>
        <v>46435</v>
      </c>
    </row>
    <row r="54" spans="2:16" ht="20.149999999999999" customHeight="1" x14ac:dyDescent="0.2">
      <c r="B54" s="34">
        <v>46074</v>
      </c>
      <c r="C54" s="35" t="s">
        <v>567</v>
      </c>
      <c r="D54" s="35" t="s">
        <v>565</v>
      </c>
      <c r="E54" s="35" t="s">
        <v>44</v>
      </c>
      <c r="F54" s="35">
        <v>20260210047</v>
      </c>
      <c r="G54" s="35" t="s">
        <v>128</v>
      </c>
      <c r="H54" s="43">
        <f t="shared" si="6"/>
        <v>562479.35623409657</v>
      </c>
      <c r="I54" s="36">
        <v>4380</v>
      </c>
      <c r="J54" s="36">
        <v>4370</v>
      </c>
      <c r="K54" s="43">
        <f t="shared" si="3"/>
        <v>5559.7964376590326</v>
      </c>
      <c r="L54" s="44"/>
      <c r="M54" s="92"/>
      <c r="N54" s="35"/>
      <c r="O54" s="29">
        <v>46072</v>
      </c>
      <c r="P54" s="28">
        <f t="shared" si="2"/>
        <v>46436</v>
      </c>
    </row>
    <row r="55" spans="2:16" ht="20.149999999999999" customHeight="1" x14ac:dyDescent="0.2">
      <c r="B55" s="34">
        <v>46075</v>
      </c>
      <c r="C55" s="35" t="s">
        <v>578</v>
      </c>
      <c r="D55" s="35" t="s">
        <v>572</v>
      </c>
      <c r="E55" s="35" t="s">
        <v>44</v>
      </c>
      <c r="F55" s="35">
        <v>20260210048</v>
      </c>
      <c r="G55" s="35" t="s">
        <v>128</v>
      </c>
      <c r="H55" s="43">
        <f t="shared" si="6"/>
        <v>557083.95419847313</v>
      </c>
      <c r="I55" s="36">
        <v>4180</v>
      </c>
      <c r="J55" s="36">
        <v>4240</v>
      </c>
      <c r="K55" s="43">
        <f>J55/0.786+1</f>
        <v>5395.4020356234096</v>
      </c>
      <c r="L55" s="44"/>
      <c r="M55" s="92"/>
      <c r="N55" s="35"/>
      <c r="O55" s="29">
        <v>46073</v>
      </c>
      <c r="P55" s="28">
        <f t="shared" si="2"/>
        <v>46437</v>
      </c>
    </row>
    <row r="56" spans="2:16" ht="20.149999999999999" customHeight="1" x14ac:dyDescent="0.2">
      <c r="B56" s="34">
        <v>46076</v>
      </c>
      <c r="C56" s="35" t="s">
        <v>587</v>
      </c>
      <c r="D56" s="35" t="s">
        <v>583</v>
      </c>
      <c r="E56" s="35" t="s">
        <v>44</v>
      </c>
      <c r="F56" s="35">
        <v>20260210049</v>
      </c>
      <c r="G56" s="35" t="s">
        <v>585</v>
      </c>
      <c r="H56" s="43">
        <f t="shared" si="6"/>
        <v>551613.21628498717</v>
      </c>
      <c r="I56" s="36">
        <v>4300</v>
      </c>
      <c r="J56" s="36">
        <v>4300</v>
      </c>
      <c r="K56" s="43">
        <f t="shared" si="3"/>
        <v>5470.7379134860048</v>
      </c>
      <c r="L56" s="44"/>
      <c r="M56" s="92"/>
      <c r="N56" s="35"/>
      <c r="O56" s="29">
        <v>46074</v>
      </c>
      <c r="P56" s="28">
        <f t="shared" si="2"/>
        <v>46438</v>
      </c>
    </row>
    <row r="57" spans="2:16" ht="20.149999999999999" customHeight="1" x14ac:dyDescent="0.2">
      <c r="B57" s="34">
        <v>46078</v>
      </c>
      <c r="C57" s="35" t="s">
        <v>611</v>
      </c>
      <c r="D57" s="35" t="s">
        <v>610</v>
      </c>
      <c r="E57" s="35" t="s">
        <v>44</v>
      </c>
      <c r="F57" s="35">
        <v>20260210050</v>
      </c>
      <c r="G57" s="35" t="s">
        <v>163</v>
      </c>
      <c r="H57" s="43">
        <f t="shared" si="6"/>
        <v>546180.64631043246</v>
      </c>
      <c r="I57" s="36">
        <v>4220</v>
      </c>
      <c r="J57" s="36">
        <v>4270</v>
      </c>
      <c r="K57" s="43">
        <f t="shared" si="3"/>
        <v>5432.5699745547072</v>
      </c>
      <c r="L57" s="44"/>
      <c r="M57" s="92"/>
      <c r="N57" s="35"/>
      <c r="O57" s="29">
        <v>46076</v>
      </c>
      <c r="P57" s="28">
        <f t="shared" si="2"/>
        <v>46440</v>
      </c>
    </row>
    <row r="58" spans="2:16" ht="20.149999999999999" customHeight="1" x14ac:dyDescent="0.2">
      <c r="B58" s="34">
        <v>46079</v>
      </c>
      <c r="C58" s="35" t="s">
        <v>616</v>
      </c>
      <c r="D58" s="35" t="s">
        <v>614</v>
      </c>
      <c r="E58" s="35" t="s">
        <v>44</v>
      </c>
      <c r="F58" s="35">
        <v>20260225027</v>
      </c>
      <c r="G58" s="35" t="s">
        <v>377</v>
      </c>
      <c r="H58" s="43">
        <f t="shared" si="6"/>
        <v>540798.96692111949</v>
      </c>
      <c r="I58" s="36">
        <v>4240</v>
      </c>
      <c r="J58" s="36">
        <v>4230</v>
      </c>
      <c r="K58" s="43">
        <f t="shared" si="3"/>
        <v>5381.679389312977</v>
      </c>
      <c r="L58" s="44"/>
      <c r="M58" s="92"/>
      <c r="N58" s="35"/>
      <c r="O58" s="29">
        <v>46077</v>
      </c>
      <c r="P58" s="28">
        <f t="shared" si="2"/>
        <v>46441</v>
      </c>
    </row>
    <row r="59" spans="2:16" ht="20.149999999999999" customHeight="1" x14ac:dyDescent="0.2">
      <c r="B59" s="34">
        <v>46080</v>
      </c>
      <c r="C59" s="35" t="s">
        <v>623</v>
      </c>
      <c r="D59" s="35" t="s">
        <v>621</v>
      </c>
      <c r="E59" s="35" t="s">
        <v>44</v>
      </c>
      <c r="F59" s="35">
        <v>20260225028</v>
      </c>
      <c r="G59" s="35" t="s">
        <v>644</v>
      </c>
      <c r="H59" s="43">
        <f t="shared" si="6"/>
        <v>535441.73282442742</v>
      </c>
      <c r="I59" s="36">
        <v>4270</v>
      </c>
      <c r="J59" s="36">
        <v>4210</v>
      </c>
      <c r="K59" s="43">
        <f>J59/0.786+1</f>
        <v>5357.234096692112</v>
      </c>
      <c r="L59" s="44"/>
      <c r="M59" s="92"/>
      <c r="N59" s="35"/>
      <c r="O59" s="29">
        <v>46078</v>
      </c>
      <c r="P59" s="28">
        <f t="shared" si="2"/>
        <v>46442</v>
      </c>
    </row>
    <row r="60" spans="2:16" ht="20.149999999999999" customHeight="1" x14ac:dyDescent="0.2">
      <c r="B60" s="34">
        <v>46082</v>
      </c>
      <c r="C60" s="35" t="s">
        <v>645</v>
      </c>
      <c r="D60" s="35" t="s">
        <v>643</v>
      </c>
      <c r="E60" s="35" t="s">
        <v>44</v>
      </c>
      <c r="F60" s="35">
        <v>20260225036</v>
      </c>
      <c r="G60" s="35" t="s">
        <v>646</v>
      </c>
      <c r="H60" s="43">
        <f t="shared" si="6"/>
        <v>530122.66666666663</v>
      </c>
      <c r="I60" s="36">
        <v>4210</v>
      </c>
      <c r="J60" s="36">
        <v>4180</v>
      </c>
      <c r="K60" s="43">
        <f>J60/0.786+1</f>
        <v>5319.0661577608143</v>
      </c>
      <c r="L60" s="44"/>
      <c r="M60" s="92"/>
      <c r="N60" s="35"/>
      <c r="O60" s="29">
        <v>46080</v>
      </c>
      <c r="P60" s="28">
        <f>DATE(YEAR(O60)+1,MONTH(O60),DAY(O60))-1</f>
        <v>46444</v>
      </c>
    </row>
    <row r="61" spans="2:16" ht="20.149999999999999" customHeight="1" x14ac:dyDescent="0.2">
      <c r="B61" s="34">
        <v>46083</v>
      </c>
      <c r="C61" s="35" t="s">
        <v>662</v>
      </c>
      <c r="D61" s="35" t="s">
        <v>657</v>
      </c>
      <c r="E61" s="35" t="s">
        <v>44</v>
      </c>
      <c r="F61" s="35">
        <v>20260225034</v>
      </c>
      <c r="G61" s="35" t="s">
        <v>128</v>
      </c>
      <c r="H61" s="43">
        <f t="shared" si="6"/>
        <v>524613.76081424928</v>
      </c>
      <c r="I61" s="36">
        <v>4320</v>
      </c>
      <c r="J61" s="36">
        <v>4330</v>
      </c>
      <c r="K61" s="43">
        <f t="shared" si="3"/>
        <v>5508.9058524173024</v>
      </c>
      <c r="L61" s="44"/>
      <c r="M61" s="92"/>
      <c r="N61" s="35"/>
      <c r="O61" s="29">
        <v>46081</v>
      </c>
      <c r="P61" s="28">
        <f t="shared" si="2"/>
        <v>46445</v>
      </c>
    </row>
    <row r="62" spans="2:16" ht="20.149999999999999" customHeight="1" x14ac:dyDescent="0.2">
      <c r="B62" s="34">
        <v>46084</v>
      </c>
      <c r="C62" s="35" t="s">
        <v>672</v>
      </c>
      <c r="D62" s="35" t="s">
        <v>670</v>
      </c>
      <c r="E62" s="35" t="s">
        <v>44</v>
      </c>
      <c r="F62" s="35">
        <v>20260225035</v>
      </c>
      <c r="G62" s="35" t="s">
        <v>163</v>
      </c>
      <c r="H62" s="43">
        <f t="shared" si="6"/>
        <v>519167.46819338412</v>
      </c>
      <c r="I62" s="36">
        <v>4290</v>
      </c>
      <c r="J62" s="36">
        <v>4280</v>
      </c>
      <c r="K62" s="43">
        <f>J62/0.786+1</f>
        <v>5446.2926208651397</v>
      </c>
      <c r="L62" s="44"/>
      <c r="M62" s="92"/>
      <c r="N62" s="35"/>
      <c r="O62" s="29">
        <v>46082</v>
      </c>
      <c r="P62" s="28">
        <f t="shared" si="2"/>
        <v>46446</v>
      </c>
    </row>
    <row r="63" spans="2:16" ht="20.149999999999999" customHeight="1" x14ac:dyDescent="0.2">
      <c r="B63" s="34">
        <v>46085</v>
      </c>
      <c r="C63" s="35" t="s">
        <v>682</v>
      </c>
      <c r="D63" s="35" t="s">
        <v>678</v>
      </c>
      <c r="E63" s="35" t="s">
        <v>44</v>
      </c>
      <c r="F63" s="35">
        <v>20260225037</v>
      </c>
      <c r="G63" s="35" t="s">
        <v>508</v>
      </c>
      <c r="H63" s="43">
        <f t="shared" si="6"/>
        <v>513950.18320610677</v>
      </c>
      <c r="I63" s="36">
        <v>4290</v>
      </c>
      <c r="J63" s="36">
        <v>4100</v>
      </c>
      <c r="K63" s="43">
        <f>J63/0.786+1</f>
        <v>5217.2849872773531</v>
      </c>
      <c r="L63" s="44"/>
      <c r="M63" s="92"/>
      <c r="N63" s="35"/>
      <c r="O63" s="29">
        <v>46084</v>
      </c>
      <c r="P63" s="28">
        <f t="shared" si="2"/>
        <v>46448</v>
      </c>
    </row>
    <row r="64" spans="2:16" ht="20.149999999999999" customHeight="1" x14ac:dyDescent="0.2">
      <c r="B64" s="34">
        <v>46086</v>
      </c>
      <c r="C64" s="35" t="s">
        <v>697</v>
      </c>
      <c r="D64" s="35" t="s">
        <v>696</v>
      </c>
      <c r="E64" s="35" t="s">
        <v>44</v>
      </c>
      <c r="F64" s="35" t="s">
        <v>2308</v>
      </c>
      <c r="G64" s="35" t="s">
        <v>128</v>
      </c>
      <c r="H64" s="43">
        <f t="shared" si="6"/>
        <v>508771.06615776074</v>
      </c>
      <c r="I64" s="36">
        <v>4120</v>
      </c>
      <c r="J64" s="36">
        <v>4070</v>
      </c>
      <c r="K64" s="43">
        <f>J64/0.786+1</f>
        <v>5179.1170483460555</v>
      </c>
      <c r="L64" s="44"/>
      <c r="M64" s="92"/>
      <c r="N64" s="35"/>
      <c r="O64" s="29">
        <v>46085</v>
      </c>
      <c r="P64" s="28">
        <f t="shared" si="2"/>
        <v>46449</v>
      </c>
    </row>
    <row r="65" spans="2:16" ht="20.149999999999999" customHeight="1" x14ac:dyDescent="0.2">
      <c r="B65" s="34">
        <v>46088</v>
      </c>
      <c r="C65" s="35" t="s">
        <v>716</v>
      </c>
      <c r="D65" s="35" t="s">
        <v>715</v>
      </c>
      <c r="E65" s="35" t="s">
        <v>44</v>
      </c>
      <c r="F65" s="66">
        <v>20230304004</v>
      </c>
      <c r="G65" s="35" t="s">
        <v>128</v>
      </c>
      <c r="H65" s="43">
        <f t="shared" si="6"/>
        <v>503478.4452926208</v>
      </c>
      <c r="I65" s="36">
        <v>4160</v>
      </c>
      <c r="J65" s="36">
        <v>4160</v>
      </c>
      <c r="K65" s="43">
        <f>J65/0.786</f>
        <v>5292.6208651399493</v>
      </c>
      <c r="L65" s="44"/>
      <c r="M65" s="92"/>
      <c r="N65" s="35"/>
      <c r="O65" s="29">
        <v>46086</v>
      </c>
      <c r="P65" s="28">
        <f t="shared" si="2"/>
        <v>46450</v>
      </c>
    </row>
    <row r="66" spans="2:16" ht="20.149999999999999" customHeight="1" x14ac:dyDescent="0.2">
      <c r="B66" s="34">
        <v>46089</v>
      </c>
      <c r="C66" s="35" t="s">
        <v>736</v>
      </c>
      <c r="D66" s="35" t="s">
        <v>732</v>
      </c>
      <c r="E66" s="35" t="s">
        <v>44</v>
      </c>
      <c r="F66" s="35" t="s">
        <v>2309</v>
      </c>
      <c r="G66" s="35" t="s">
        <v>735</v>
      </c>
      <c r="H66" s="43">
        <f t="shared" si="6"/>
        <v>498032.15267175564</v>
      </c>
      <c r="I66" s="36">
        <v>4300</v>
      </c>
      <c r="J66" s="36">
        <v>4280</v>
      </c>
      <c r="K66" s="43">
        <f>J66/0.786+1</f>
        <v>5446.2926208651397</v>
      </c>
      <c r="L66" s="44"/>
      <c r="M66" s="92"/>
      <c r="N66" s="35"/>
      <c r="O66" s="29">
        <v>46087</v>
      </c>
      <c r="P66" s="28">
        <f t="shared" si="2"/>
        <v>46451</v>
      </c>
    </row>
    <row r="67" spans="2:16" ht="20.149999999999999" customHeight="1" x14ac:dyDescent="0.2">
      <c r="B67" s="34">
        <v>46091</v>
      </c>
      <c r="C67" s="35" t="s">
        <v>743</v>
      </c>
      <c r="D67" s="35" t="s">
        <v>742</v>
      </c>
      <c r="E67" s="35" t="s">
        <v>44</v>
      </c>
      <c r="F67" s="35" t="s">
        <v>2310</v>
      </c>
      <c r="G67" s="35" t="s">
        <v>128</v>
      </c>
      <c r="H67" s="43">
        <f t="shared" si="6"/>
        <v>492663.19592875312</v>
      </c>
      <c r="I67" s="36">
        <v>4280</v>
      </c>
      <c r="J67" s="36">
        <v>4220</v>
      </c>
      <c r="K67" s="43">
        <f t="shared" ref="K67:K70" si="7">J67/0.786</f>
        <v>5368.9567430025445</v>
      </c>
      <c r="L67" s="44"/>
      <c r="M67" s="92"/>
      <c r="N67" s="35"/>
      <c r="O67" s="29">
        <v>46089</v>
      </c>
      <c r="P67" s="28">
        <f t="shared" si="2"/>
        <v>46453</v>
      </c>
    </row>
    <row r="68" spans="2:16" ht="20.149999999999999" customHeight="1" x14ac:dyDescent="0.2">
      <c r="B68" s="34">
        <v>46092</v>
      </c>
      <c r="C68" s="35" t="s">
        <v>759</v>
      </c>
      <c r="D68" s="35" t="s">
        <v>752</v>
      </c>
      <c r="E68" s="35" t="s">
        <v>44</v>
      </c>
      <c r="F68" s="35" t="s">
        <v>2311</v>
      </c>
      <c r="G68" s="35" t="s">
        <v>128</v>
      </c>
      <c r="H68" s="43">
        <f t="shared" si="6"/>
        <v>487204.18066157756</v>
      </c>
      <c r="I68" s="36">
        <v>4420</v>
      </c>
      <c r="J68" s="36">
        <v>4290</v>
      </c>
      <c r="K68" s="43">
        <f>J68/0.786+1</f>
        <v>5459.0152671755723</v>
      </c>
      <c r="L68" s="44"/>
      <c r="M68" s="92"/>
      <c r="N68" s="35"/>
      <c r="O68" s="29">
        <v>46090</v>
      </c>
      <c r="P68" s="28">
        <f t="shared" si="2"/>
        <v>46454</v>
      </c>
    </row>
    <row r="69" spans="2:16" ht="20.149999999999999" customHeight="1" x14ac:dyDescent="0.2">
      <c r="B69" s="34">
        <v>46093</v>
      </c>
      <c r="C69" s="35" t="s">
        <v>767</v>
      </c>
      <c r="D69" s="35" t="s">
        <v>766</v>
      </c>
      <c r="E69" s="35" t="s">
        <v>44</v>
      </c>
      <c r="F69" s="35">
        <v>20260304008</v>
      </c>
      <c r="G69" s="35" t="s">
        <v>566</v>
      </c>
      <c r="H69" s="43">
        <f t="shared" si="6"/>
        <v>481682.55216284981</v>
      </c>
      <c r="I69" s="36">
        <v>4230</v>
      </c>
      <c r="J69" s="36">
        <v>4340</v>
      </c>
      <c r="K69" s="43">
        <f t="shared" si="7"/>
        <v>5521.628498727735</v>
      </c>
      <c r="L69" s="44"/>
      <c r="M69" s="92"/>
      <c r="N69" s="35"/>
      <c r="O69" s="29">
        <v>46091</v>
      </c>
      <c r="P69" s="28">
        <f t="shared" si="2"/>
        <v>46455</v>
      </c>
    </row>
    <row r="70" spans="2:16" ht="20.149999999999999" customHeight="1" x14ac:dyDescent="0.2">
      <c r="B70" s="34">
        <v>46095</v>
      </c>
      <c r="C70" s="35" t="s">
        <v>786</v>
      </c>
      <c r="D70" s="35" t="s">
        <v>787</v>
      </c>
      <c r="E70" s="35" t="s">
        <v>44</v>
      </c>
      <c r="F70" s="35" t="s">
        <v>2312</v>
      </c>
      <c r="G70" s="35" t="s">
        <v>128</v>
      </c>
      <c r="H70" s="43">
        <f t="shared" si="6"/>
        <v>476071.86513994902</v>
      </c>
      <c r="I70" s="36">
        <v>4340</v>
      </c>
      <c r="J70" s="36">
        <v>4410</v>
      </c>
      <c r="K70" s="43">
        <f t="shared" si="7"/>
        <v>5610.6870229007627</v>
      </c>
      <c r="L70" s="44"/>
      <c r="M70" s="92"/>
      <c r="N70" s="35"/>
      <c r="O70" s="29">
        <v>46093</v>
      </c>
      <c r="P70" s="28">
        <f t="shared" si="2"/>
        <v>46457</v>
      </c>
    </row>
    <row r="71" spans="2:16" ht="20.149999999999999" customHeight="1" x14ac:dyDescent="0.2">
      <c r="B71" s="34">
        <v>46096</v>
      </c>
      <c r="C71" s="35" t="s">
        <v>798</v>
      </c>
      <c r="D71" s="35" t="s">
        <v>795</v>
      </c>
      <c r="E71" s="35" t="s">
        <v>44</v>
      </c>
      <c r="F71" s="35" t="s">
        <v>2313</v>
      </c>
      <c r="G71" s="35" t="s">
        <v>128</v>
      </c>
      <c r="H71" s="43">
        <f t="shared" si="6"/>
        <v>470663.74045801518</v>
      </c>
      <c r="I71" s="36">
        <v>4400</v>
      </c>
      <c r="J71" s="36">
        <v>4250</v>
      </c>
      <c r="K71" s="43">
        <f>J71/0.786+1</f>
        <v>5408.1246819338421</v>
      </c>
      <c r="L71" s="44"/>
      <c r="M71" s="92"/>
      <c r="N71" s="35"/>
      <c r="O71" s="29">
        <v>46094</v>
      </c>
      <c r="P71" s="28">
        <f t="shared" si="2"/>
        <v>46458</v>
      </c>
    </row>
    <row r="72" spans="2:16" ht="20.149999999999999" customHeight="1" x14ac:dyDescent="0.2">
      <c r="B72" s="25">
        <v>46135</v>
      </c>
      <c r="C72" s="26" t="s">
        <v>803</v>
      </c>
      <c r="D72" s="26" t="s">
        <v>802</v>
      </c>
      <c r="E72" s="26" t="s">
        <v>801</v>
      </c>
      <c r="F72" s="26" t="s">
        <v>2314</v>
      </c>
      <c r="G72" s="26" t="s">
        <v>2002</v>
      </c>
      <c r="H72" s="38">
        <f>12000-K72</f>
        <v>11375.590330788804</v>
      </c>
      <c r="I72" s="27">
        <v>4190</v>
      </c>
      <c r="J72" s="27">
        <v>490</v>
      </c>
      <c r="K72" s="38">
        <f>J72/0.786+1</f>
        <v>624.40966921119593</v>
      </c>
      <c r="L72" s="37"/>
      <c r="M72" s="85"/>
      <c r="N72" s="26"/>
      <c r="O72" s="29">
        <v>46134</v>
      </c>
      <c r="P72" s="28">
        <f t="shared" si="2"/>
        <v>46498</v>
      </c>
    </row>
    <row r="73" spans="2:16" ht="20.149999999999999" customHeight="1" x14ac:dyDescent="0.2">
      <c r="B73" s="45">
        <v>46138</v>
      </c>
      <c r="C73" s="46" t="s">
        <v>803</v>
      </c>
      <c r="D73" s="46" t="s">
        <v>62</v>
      </c>
      <c r="E73" s="46" t="s">
        <v>804</v>
      </c>
      <c r="F73" s="46">
        <v>20260424001</v>
      </c>
      <c r="G73" s="46" t="s">
        <v>805</v>
      </c>
      <c r="H73" s="48">
        <f>12000-K73</f>
        <v>7445.2926208651397</v>
      </c>
      <c r="I73" s="50">
        <v>3560</v>
      </c>
      <c r="J73" s="50">
        <v>3580</v>
      </c>
      <c r="K73" s="48">
        <f>J73/0.786</f>
        <v>4554.7073791348603</v>
      </c>
      <c r="L73" s="49"/>
      <c r="M73" s="84"/>
      <c r="N73" s="46"/>
      <c r="O73" s="29">
        <v>46134</v>
      </c>
      <c r="P73" s="28">
        <f t="shared" si="2"/>
        <v>46498</v>
      </c>
    </row>
    <row r="74" spans="2:16" ht="20.149999999999999" customHeight="1" x14ac:dyDescent="0.2">
      <c r="B74" s="62">
        <v>46140</v>
      </c>
      <c r="C74" s="61" t="s">
        <v>809</v>
      </c>
      <c r="D74" s="61" t="s">
        <v>806</v>
      </c>
      <c r="E74" s="61" t="s">
        <v>807</v>
      </c>
      <c r="F74" s="61" t="s">
        <v>2315</v>
      </c>
      <c r="G74" s="61" t="s">
        <v>808</v>
      </c>
      <c r="H74" s="64">
        <f>12000-K74</f>
        <v>11440.203562340967</v>
      </c>
      <c r="I74" s="64">
        <v>4390</v>
      </c>
      <c r="J74" s="64">
        <v>440</v>
      </c>
      <c r="K74" s="64">
        <f>J74/0.786</f>
        <v>559.79643765903302</v>
      </c>
      <c r="L74" s="65"/>
      <c r="M74" s="93"/>
      <c r="N74" s="61"/>
      <c r="O74" s="29">
        <v>46138</v>
      </c>
      <c r="P74" s="28">
        <f t="shared" si="2"/>
        <v>46502</v>
      </c>
    </row>
    <row r="75" spans="2:16" ht="20.149999999999999" customHeight="1" x14ac:dyDescent="0.2">
      <c r="B75" s="30">
        <v>46147</v>
      </c>
      <c r="C75" s="31" t="s">
        <v>829</v>
      </c>
      <c r="D75" s="31" t="s">
        <v>827</v>
      </c>
      <c r="E75" s="31" t="s">
        <v>816</v>
      </c>
      <c r="F75" s="31" t="s">
        <v>2316</v>
      </c>
      <c r="G75" s="31" t="s">
        <v>828</v>
      </c>
      <c r="H75" s="41">
        <f>12000-K75</f>
        <v>6502.8167938931301</v>
      </c>
      <c r="I75" s="41">
        <v>4280</v>
      </c>
      <c r="J75" s="41">
        <v>4320</v>
      </c>
      <c r="K75" s="41">
        <f>J75/0.786+1</f>
        <v>5497.1832061068699</v>
      </c>
      <c r="L75" s="42"/>
      <c r="M75" s="89"/>
      <c r="N75" s="31"/>
      <c r="O75" s="29">
        <v>46145</v>
      </c>
      <c r="P75" s="28">
        <f t="shared" si="2"/>
        <v>46509</v>
      </c>
    </row>
    <row r="76" spans="2:16" ht="20.149999999999999" customHeight="1" x14ac:dyDescent="0.2">
      <c r="B76" s="30">
        <v>46155</v>
      </c>
      <c r="C76" s="31" t="s">
        <v>883</v>
      </c>
      <c r="D76" s="31" t="s">
        <v>59</v>
      </c>
      <c r="E76" s="31" t="s">
        <v>816</v>
      </c>
      <c r="F76" s="31" t="s">
        <v>2317</v>
      </c>
      <c r="G76" s="31" t="s">
        <v>954</v>
      </c>
      <c r="H76" s="41">
        <f>H75-K76</f>
        <v>1005.6335877862603</v>
      </c>
      <c r="I76" s="41">
        <v>4320</v>
      </c>
      <c r="J76" s="41">
        <v>4320</v>
      </c>
      <c r="K76" s="41">
        <f>J76/0.786+1</f>
        <v>5497.1832061068699</v>
      </c>
      <c r="L76" s="42"/>
      <c r="M76" s="89"/>
      <c r="N76" s="31"/>
      <c r="O76" s="29">
        <v>46153</v>
      </c>
      <c r="P76" s="28">
        <f t="shared" si="2"/>
        <v>46517</v>
      </c>
    </row>
    <row r="77" spans="2:16" ht="20.149999999999999" customHeight="1" x14ac:dyDescent="0.2">
      <c r="B77" s="25">
        <v>46156</v>
      </c>
      <c r="C77" s="26" t="s">
        <v>898</v>
      </c>
      <c r="D77" s="26" t="s">
        <v>894</v>
      </c>
      <c r="E77" s="26" t="s">
        <v>816</v>
      </c>
      <c r="F77" s="26" t="s">
        <v>2318</v>
      </c>
      <c r="G77" s="26" t="s">
        <v>887</v>
      </c>
      <c r="H77" s="38">
        <f>400000-K77</f>
        <v>394502.81679389311</v>
      </c>
      <c r="I77" s="38">
        <v>4310</v>
      </c>
      <c r="J77" s="38">
        <v>4320</v>
      </c>
      <c r="K77" s="38">
        <f>J77/0.786+1</f>
        <v>5497.1832061068699</v>
      </c>
      <c r="L77" s="37"/>
      <c r="M77" s="85"/>
      <c r="N77" s="26"/>
      <c r="O77" s="29">
        <v>46155</v>
      </c>
      <c r="P77" s="28">
        <f t="shared" si="2"/>
        <v>46519</v>
      </c>
    </row>
    <row r="78" spans="2:16" ht="20.149999999999999" customHeight="1" x14ac:dyDescent="0.2">
      <c r="B78" s="25">
        <v>46158</v>
      </c>
      <c r="C78" s="26" t="s">
        <v>913</v>
      </c>
      <c r="D78" s="26" t="s">
        <v>909</v>
      </c>
      <c r="E78" s="26" t="s">
        <v>816</v>
      </c>
      <c r="F78" s="26" t="s">
        <v>2319</v>
      </c>
      <c r="G78" s="26" t="s">
        <v>887</v>
      </c>
      <c r="H78" s="38">
        <f>H77-K78</f>
        <v>389884.81679389311</v>
      </c>
      <c r="I78" s="38">
        <v>4470</v>
      </c>
      <c r="J78" s="38">
        <v>4420</v>
      </c>
      <c r="K78" s="38">
        <v>4618</v>
      </c>
      <c r="L78" s="37"/>
      <c r="M78" s="85"/>
      <c r="N78" s="26"/>
      <c r="O78" s="29">
        <v>46156</v>
      </c>
      <c r="P78" s="28">
        <f t="shared" si="2"/>
        <v>46520</v>
      </c>
    </row>
    <row r="79" spans="2:16" ht="20.149999999999999" customHeight="1" x14ac:dyDescent="0.2">
      <c r="B79" s="30"/>
      <c r="C79" s="31"/>
      <c r="D79" s="31"/>
      <c r="E79" s="31"/>
      <c r="F79" s="31"/>
      <c r="G79" s="31" t="s">
        <v>828</v>
      </c>
      <c r="H79" s="41">
        <f>1006-K79</f>
        <v>0</v>
      </c>
      <c r="I79" s="41"/>
      <c r="J79" s="41"/>
      <c r="K79" s="41">
        <v>1006</v>
      </c>
      <c r="L79" s="42"/>
      <c r="M79" s="89"/>
      <c r="N79" s="31"/>
    </row>
    <row r="80" spans="2:16" ht="20.149999999999999" customHeight="1" x14ac:dyDescent="0.2">
      <c r="B80" s="25">
        <v>46159</v>
      </c>
      <c r="C80" s="26" t="s">
        <v>927</v>
      </c>
      <c r="D80" s="26" t="s">
        <v>922</v>
      </c>
      <c r="E80" s="26" t="s">
        <v>816</v>
      </c>
      <c r="F80" s="26" t="s">
        <v>2320</v>
      </c>
      <c r="G80" s="26" t="s">
        <v>977</v>
      </c>
      <c r="H80" s="38">
        <f>H78-K80</f>
        <v>384604.91857506358</v>
      </c>
      <c r="I80" s="38">
        <v>4150</v>
      </c>
      <c r="J80" s="38">
        <v>4150</v>
      </c>
      <c r="K80" s="38">
        <f t="shared" ref="K80:K83" si="8">J80/0.786</f>
        <v>5279.8982188295167</v>
      </c>
      <c r="L80" s="37"/>
      <c r="M80" s="85"/>
      <c r="N80" s="26"/>
      <c r="O80" s="29">
        <v>46158</v>
      </c>
      <c r="P80" s="28">
        <f t="shared" si="2"/>
        <v>46522</v>
      </c>
    </row>
    <row r="81" spans="2:16" ht="20.149999999999999" customHeight="1" x14ac:dyDescent="0.2">
      <c r="B81" s="25">
        <v>46161</v>
      </c>
      <c r="C81" s="26" t="s">
        <v>953</v>
      </c>
      <c r="D81" s="26" t="s">
        <v>948</v>
      </c>
      <c r="E81" s="26" t="s">
        <v>816</v>
      </c>
      <c r="F81" s="26" t="s">
        <v>2321</v>
      </c>
      <c r="G81" s="26" t="s">
        <v>949</v>
      </c>
      <c r="H81" s="38">
        <f t="shared" ref="H81:H112" si="9">H80-K81</f>
        <v>379045.12213740457</v>
      </c>
      <c r="I81" s="38">
        <v>4370</v>
      </c>
      <c r="J81" s="38">
        <v>4370</v>
      </c>
      <c r="K81" s="38">
        <f t="shared" si="8"/>
        <v>5559.7964376590326</v>
      </c>
      <c r="L81" s="37"/>
      <c r="M81" s="85"/>
      <c r="N81" s="26"/>
      <c r="O81" s="29">
        <v>46159</v>
      </c>
      <c r="P81" s="28">
        <f t="shared" ref="P81:P144" si="10">DATE(YEAR(O81)+1,MONTH(O81),DAY(O81))-1</f>
        <v>46523</v>
      </c>
    </row>
    <row r="82" spans="2:16" ht="20.149999999999999" customHeight="1" x14ac:dyDescent="0.2">
      <c r="B82" s="25">
        <v>46162</v>
      </c>
      <c r="C82" s="26" t="s">
        <v>964</v>
      </c>
      <c r="D82" s="26" t="s">
        <v>59</v>
      </c>
      <c r="E82" s="26" t="s">
        <v>816</v>
      </c>
      <c r="F82" s="26">
        <v>20260518023</v>
      </c>
      <c r="G82" s="26" t="s">
        <v>887</v>
      </c>
      <c r="H82" s="38">
        <f t="shared" si="9"/>
        <v>373612.55216284987</v>
      </c>
      <c r="I82" s="38">
        <v>4250</v>
      </c>
      <c r="J82" s="38">
        <v>4270</v>
      </c>
      <c r="K82" s="38">
        <f t="shared" si="8"/>
        <v>5432.5699745547072</v>
      </c>
      <c r="L82" s="37"/>
      <c r="M82" s="85"/>
      <c r="N82" s="26"/>
      <c r="O82" s="29">
        <v>46160</v>
      </c>
      <c r="P82" s="28">
        <f t="shared" si="10"/>
        <v>46524</v>
      </c>
    </row>
    <row r="83" spans="2:16" ht="20.149999999999999" customHeight="1" x14ac:dyDescent="0.2">
      <c r="B83" s="25">
        <v>46163</v>
      </c>
      <c r="C83" s="26" t="s">
        <v>976</v>
      </c>
      <c r="D83" s="26" t="s">
        <v>975</v>
      </c>
      <c r="E83" s="26" t="s">
        <v>816</v>
      </c>
      <c r="F83" s="26">
        <v>20260518024</v>
      </c>
      <c r="G83" s="26" t="s">
        <v>978</v>
      </c>
      <c r="H83" s="38">
        <f t="shared" si="9"/>
        <v>368281.76335877861</v>
      </c>
      <c r="I83" s="38">
        <v>4220</v>
      </c>
      <c r="J83" s="38">
        <v>4190</v>
      </c>
      <c r="K83" s="38">
        <f t="shared" si="8"/>
        <v>5330.7888040712469</v>
      </c>
      <c r="L83" s="37"/>
      <c r="M83" s="85"/>
      <c r="N83" s="26"/>
      <c r="O83" s="29">
        <v>46162</v>
      </c>
      <c r="P83" s="28">
        <f t="shared" si="10"/>
        <v>46526</v>
      </c>
    </row>
    <row r="84" spans="2:16" ht="20.149999999999999" customHeight="1" x14ac:dyDescent="0.2">
      <c r="B84" s="25">
        <v>46165</v>
      </c>
      <c r="C84" s="26" t="s">
        <v>994</v>
      </c>
      <c r="D84" s="26" t="s">
        <v>989</v>
      </c>
      <c r="E84" s="26" t="s">
        <v>816</v>
      </c>
      <c r="F84" s="26">
        <v>20260518025</v>
      </c>
      <c r="G84" s="26" t="s">
        <v>993</v>
      </c>
      <c r="H84" s="38">
        <f t="shared" si="9"/>
        <v>363102.64631043258</v>
      </c>
      <c r="I84" s="38">
        <v>4170</v>
      </c>
      <c r="J84" s="38">
        <v>4070</v>
      </c>
      <c r="K84" s="38">
        <f>J84/0.786+1</f>
        <v>5179.1170483460555</v>
      </c>
      <c r="L84" s="37"/>
      <c r="M84" s="85"/>
      <c r="N84" s="26"/>
      <c r="O84" s="29">
        <v>46164</v>
      </c>
      <c r="P84" s="28">
        <f t="shared" si="10"/>
        <v>46528</v>
      </c>
    </row>
    <row r="85" spans="2:16" ht="20.149999999999999" customHeight="1" x14ac:dyDescent="0.2">
      <c r="B85" s="25">
        <v>46167</v>
      </c>
      <c r="C85" s="26" t="s">
        <v>1007</v>
      </c>
      <c r="D85" s="26" t="s">
        <v>1005</v>
      </c>
      <c r="E85" s="26" t="s">
        <v>816</v>
      </c>
      <c r="F85" s="26">
        <v>20260518026</v>
      </c>
      <c r="G85" s="26" t="s">
        <v>1006</v>
      </c>
      <c r="H85" s="38">
        <f t="shared" si="9"/>
        <v>357656.35368956742</v>
      </c>
      <c r="I85" s="38">
        <v>4150</v>
      </c>
      <c r="J85" s="38">
        <v>4280</v>
      </c>
      <c r="K85" s="38">
        <f>J85/0.786+1</f>
        <v>5446.2926208651397</v>
      </c>
      <c r="L85" s="37"/>
      <c r="M85" s="85"/>
      <c r="N85" s="26"/>
      <c r="O85" s="29">
        <v>46165</v>
      </c>
      <c r="P85" s="28">
        <f t="shared" si="10"/>
        <v>46529</v>
      </c>
    </row>
    <row r="86" spans="2:16" ht="20.149999999999999" customHeight="1" x14ac:dyDescent="0.2">
      <c r="B86" s="25">
        <v>46168</v>
      </c>
      <c r="C86" s="26" t="s">
        <v>1023</v>
      </c>
      <c r="D86" s="26" t="s">
        <v>1014</v>
      </c>
      <c r="E86" s="26" t="s">
        <v>816</v>
      </c>
      <c r="F86" s="26">
        <v>20260518027</v>
      </c>
      <c r="G86" s="26" t="s">
        <v>1022</v>
      </c>
      <c r="H86" s="38">
        <f t="shared" si="9"/>
        <v>352171.89312977099</v>
      </c>
      <c r="I86" s="38">
        <v>4370</v>
      </c>
      <c r="J86" s="38">
        <v>4310</v>
      </c>
      <c r="K86" s="38">
        <f>J86/0.786+1</f>
        <v>5484.4605597964373</v>
      </c>
      <c r="L86" s="37"/>
      <c r="M86" s="85"/>
      <c r="N86" s="26"/>
      <c r="O86" s="29">
        <v>46167</v>
      </c>
      <c r="P86" s="28">
        <f t="shared" si="10"/>
        <v>46531</v>
      </c>
    </row>
    <row r="87" spans="2:16" ht="20.149999999999999" customHeight="1" x14ac:dyDescent="0.2">
      <c r="B87" s="25">
        <v>46170</v>
      </c>
      <c r="C87" s="26" t="s">
        <v>1044</v>
      </c>
      <c r="D87" s="26" t="s">
        <v>1037</v>
      </c>
      <c r="E87" s="26" t="s">
        <v>816</v>
      </c>
      <c r="F87" s="26">
        <v>20260525029</v>
      </c>
      <c r="G87" s="26" t="s">
        <v>1043</v>
      </c>
      <c r="H87" s="38">
        <f t="shared" si="9"/>
        <v>346612.09669211198</v>
      </c>
      <c r="I87" s="38">
        <v>4380</v>
      </c>
      <c r="J87" s="38">
        <v>4370</v>
      </c>
      <c r="K87" s="38">
        <f>J87/0.786</f>
        <v>5559.7964376590326</v>
      </c>
      <c r="L87" s="37"/>
      <c r="M87" s="85"/>
      <c r="N87" s="26"/>
      <c r="O87" s="29">
        <v>46168</v>
      </c>
      <c r="P87" s="28">
        <f t="shared" si="10"/>
        <v>46532</v>
      </c>
    </row>
    <row r="88" spans="2:16" ht="20.149999999999999" customHeight="1" x14ac:dyDescent="0.2">
      <c r="B88" s="25">
        <v>46171</v>
      </c>
      <c r="C88" s="26" t="s">
        <v>1060</v>
      </c>
      <c r="D88" s="26" t="s">
        <v>1051</v>
      </c>
      <c r="E88" s="26" t="s">
        <v>816</v>
      </c>
      <c r="F88" s="26">
        <v>20260525030</v>
      </c>
      <c r="G88" s="26" t="s">
        <v>949</v>
      </c>
      <c r="H88" s="38">
        <f t="shared" si="9"/>
        <v>341254.86259541987</v>
      </c>
      <c r="I88" s="38">
        <v>4150</v>
      </c>
      <c r="J88" s="38">
        <v>4210</v>
      </c>
      <c r="K88" s="38">
        <f>J88/0.786+1</f>
        <v>5357.234096692112</v>
      </c>
      <c r="L88" s="37"/>
      <c r="M88" s="85"/>
      <c r="N88" s="26"/>
      <c r="O88" s="29">
        <v>46170</v>
      </c>
      <c r="P88" s="28">
        <f t="shared" si="10"/>
        <v>46534</v>
      </c>
    </row>
    <row r="89" spans="2:16" ht="20.149999999999999" customHeight="1" x14ac:dyDescent="0.2">
      <c r="B89" s="25">
        <v>46173</v>
      </c>
      <c r="C89" s="26" t="s">
        <v>1093</v>
      </c>
      <c r="D89" s="26" t="s">
        <v>1085</v>
      </c>
      <c r="E89" s="26" t="s">
        <v>816</v>
      </c>
      <c r="F89" s="26">
        <v>20260525031</v>
      </c>
      <c r="G89" s="26" t="s">
        <v>887</v>
      </c>
      <c r="H89" s="38">
        <f t="shared" si="9"/>
        <v>335859.46055979648</v>
      </c>
      <c r="I89" s="38">
        <v>4210</v>
      </c>
      <c r="J89" s="38">
        <v>4240</v>
      </c>
      <c r="K89" s="38">
        <f>J89/0.786+1</f>
        <v>5395.4020356234096</v>
      </c>
      <c r="L89" s="37"/>
      <c r="M89" s="85"/>
      <c r="N89" s="26"/>
      <c r="O89" s="29">
        <v>46171</v>
      </c>
      <c r="P89" s="28">
        <f t="shared" si="10"/>
        <v>46535</v>
      </c>
    </row>
    <row r="90" spans="2:16" ht="20.149999999999999" customHeight="1" x14ac:dyDescent="0.2">
      <c r="B90" s="25">
        <v>46174</v>
      </c>
      <c r="C90" s="26" t="s">
        <v>1107</v>
      </c>
      <c r="D90" s="26" t="s">
        <v>1097</v>
      </c>
      <c r="E90" s="26" t="s">
        <v>816</v>
      </c>
      <c r="F90" s="26" t="s">
        <v>2322</v>
      </c>
      <c r="G90" s="26" t="s">
        <v>1108</v>
      </c>
      <c r="H90" s="38">
        <f t="shared" si="9"/>
        <v>330502.22646310437</v>
      </c>
      <c r="I90" s="38">
        <v>4230</v>
      </c>
      <c r="J90" s="38">
        <v>4210</v>
      </c>
      <c r="K90" s="38">
        <f>J90/0.786+1</f>
        <v>5357.234096692112</v>
      </c>
      <c r="L90" s="37"/>
      <c r="M90" s="85"/>
      <c r="N90" s="26"/>
      <c r="O90" s="29">
        <v>46172</v>
      </c>
      <c r="P90" s="28">
        <f t="shared" si="10"/>
        <v>46536</v>
      </c>
    </row>
    <row r="91" spans="2:16" ht="20.149999999999999" customHeight="1" x14ac:dyDescent="0.2">
      <c r="B91" s="25">
        <v>46175</v>
      </c>
      <c r="C91" s="26" t="s">
        <v>1114</v>
      </c>
      <c r="D91" s="26" t="s">
        <v>1110</v>
      </c>
      <c r="E91" s="26" t="s">
        <v>816</v>
      </c>
      <c r="F91" s="26" t="s">
        <v>2323</v>
      </c>
      <c r="G91" s="26" t="s">
        <v>1111</v>
      </c>
      <c r="H91" s="38">
        <f t="shared" si="9"/>
        <v>325158.71501272271</v>
      </c>
      <c r="I91" s="38">
        <v>4220</v>
      </c>
      <c r="J91" s="38">
        <v>4200</v>
      </c>
      <c r="K91" s="38">
        <f t="shared" ref="K91:K100" si="11">J91/0.786</f>
        <v>5343.5114503816794</v>
      </c>
      <c r="L91" s="37"/>
      <c r="M91" s="85"/>
      <c r="N91" s="26"/>
      <c r="O91" s="29">
        <v>46173</v>
      </c>
      <c r="P91" s="28">
        <f t="shared" si="10"/>
        <v>46537</v>
      </c>
    </row>
    <row r="92" spans="2:16" ht="20.149999999999999" customHeight="1" x14ac:dyDescent="0.2">
      <c r="B92" s="25">
        <v>46177</v>
      </c>
      <c r="C92" s="26" t="s">
        <v>1140</v>
      </c>
      <c r="D92" s="26" t="s">
        <v>1139</v>
      </c>
      <c r="E92" s="26" t="s">
        <v>816</v>
      </c>
      <c r="F92" s="26">
        <v>20260525036</v>
      </c>
      <c r="G92" s="26" t="s">
        <v>949</v>
      </c>
      <c r="H92" s="38">
        <f t="shared" si="9"/>
        <v>319726.145038168</v>
      </c>
      <c r="I92" s="38">
        <v>4330</v>
      </c>
      <c r="J92" s="38">
        <v>4270</v>
      </c>
      <c r="K92" s="38">
        <f t="shared" si="11"/>
        <v>5432.5699745547072</v>
      </c>
      <c r="L92" s="37"/>
      <c r="M92" s="85"/>
      <c r="N92" s="26"/>
      <c r="O92" s="29">
        <v>46175</v>
      </c>
      <c r="P92" s="28">
        <f t="shared" si="10"/>
        <v>46539</v>
      </c>
    </row>
    <row r="93" spans="2:16" ht="20.149999999999999" customHeight="1" x14ac:dyDescent="0.2">
      <c r="B93" s="25">
        <v>46178</v>
      </c>
      <c r="C93" s="26" t="s">
        <v>1155</v>
      </c>
      <c r="D93" s="26" t="s">
        <v>1152</v>
      </c>
      <c r="E93" s="26" t="s">
        <v>816</v>
      </c>
      <c r="F93" s="26">
        <v>20260601032</v>
      </c>
      <c r="G93" s="26" t="s">
        <v>1124</v>
      </c>
      <c r="H93" s="38">
        <f t="shared" si="9"/>
        <v>314306.2977099237</v>
      </c>
      <c r="I93" s="38">
        <v>4290</v>
      </c>
      <c r="J93" s="38">
        <v>4260</v>
      </c>
      <c r="K93" s="38">
        <f t="shared" si="11"/>
        <v>5419.8473282442746</v>
      </c>
      <c r="L93" s="37"/>
      <c r="M93" s="85"/>
      <c r="N93" s="26"/>
      <c r="O93" s="29">
        <v>46176</v>
      </c>
      <c r="P93" s="28">
        <f t="shared" si="10"/>
        <v>46540</v>
      </c>
    </row>
    <row r="94" spans="2:16" ht="20.149999999999999" customHeight="1" x14ac:dyDescent="0.2">
      <c r="B94" s="25">
        <v>46180</v>
      </c>
      <c r="C94" s="26" t="s">
        <v>1175</v>
      </c>
      <c r="D94" s="26" t="s">
        <v>1166</v>
      </c>
      <c r="E94" s="26" t="s">
        <v>816</v>
      </c>
      <c r="F94" s="26">
        <v>20260601033</v>
      </c>
      <c r="G94" s="26" t="s">
        <v>887</v>
      </c>
      <c r="H94" s="38">
        <f t="shared" si="9"/>
        <v>308770.94656488555</v>
      </c>
      <c r="I94" s="38">
        <v>4370</v>
      </c>
      <c r="J94" s="38">
        <v>4350</v>
      </c>
      <c r="K94" s="38">
        <f>J94/0.786+1</f>
        <v>5535.3511450381675</v>
      </c>
      <c r="L94" s="37"/>
      <c r="M94" s="85"/>
      <c r="N94" s="26"/>
      <c r="O94" s="29">
        <v>46178</v>
      </c>
      <c r="P94" s="28">
        <f t="shared" si="10"/>
        <v>46542</v>
      </c>
    </row>
    <row r="95" spans="2:16" ht="20.149999999999999" customHeight="1" x14ac:dyDescent="0.2">
      <c r="B95" s="25">
        <v>46181</v>
      </c>
      <c r="C95" s="26" t="s">
        <v>1187</v>
      </c>
      <c r="D95" s="26" t="s">
        <v>1180</v>
      </c>
      <c r="E95" s="26" t="s">
        <v>816</v>
      </c>
      <c r="F95" s="26">
        <v>20260601034</v>
      </c>
      <c r="G95" s="26" t="s">
        <v>1183</v>
      </c>
      <c r="H95" s="38">
        <f t="shared" si="9"/>
        <v>303464.60305343516</v>
      </c>
      <c r="I95" s="38">
        <v>4170</v>
      </c>
      <c r="J95" s="38">
        <v>4170</v>
      </c>
      <c r="K95" s="38">
        <f>J95/0.786+1</f>
        <v>5306.3435114503818</v>
      </c>
      <c r="L95" s="37"/>
      <c r="M95" s="85"/>
      <c r="N95" s="26"/>
      <c r="O95" s="29">
        <v>46179</v>
      </c>
      <c r="P95" s="28">
        <f t="shared" si="10"/>
        <v>46543</v>
      </c>
    </row>
    <row r="96" spans="2:16" ht="20.149999999999999" customHeight="1" x14ac:dyDescent="0.2">
      <c r="B96" s="25">
        <v>46183</v>
      </c>
      <c r="C96" s="26" t="s">
        <v>1211</v>
      </c>
      <c r="D96" s="26" t="s">
        <v>1202</v>
      </c>
      <c r="E96" s="26" t="s">
        <v>816</v>
      </c>
      <c r="F96" s="26">
        <v>20260601035</v>
      </c>
      <c r="G96" s="26" t="s">
        <v>887</v>
      </c>
      <c r="H96" s="38">
        <f t="shared" si="9"/>
        <v>298095.64631043264</v>
      </c>
      <c r="I96" s="38">
        <v>4250</v>
      </c>
      <c r="J96" s="38">
        <v>4220</v>
      </c>
      <c r="K96" s="38">
        <f t="shared" si="11"/>
        <v>5368.9567430025445</v>
      </c>
      <c r="L96" s="37"/>
      <c r="M96" s="85"/>
      <c r="N96" s="26"/>
      <c r="O96" s="29">
        <v>46181</v>
      </c>
      <c r="P96" s="28">
        <f t="shared" si="10"/>
        <v>46545</v>
      </c>
    </row>
    <row r="97" spans="2:16" ht="20.149999999999999" customHeight="1" x14ac:dyDescent="0.2">
      <c r="B97" s="25">
        <v>46184</v>
      </c>
      <c r="C97" s="26" t="s">
        <v>1245</v>
      </c>
      <c r="D97" s="26" t="s">
        <v>1212</v>
      </c>
      <c r="E97" s="26" t="s">
        <v>816</v>
      </c>
      <c r="F97" s="26">
        <v>20260601036</v>
      </c>
      <c r="G97" s="26" t="s">
        <v>887</v>
      </c>
      <c r="H97" s="38">
        <f t="shared" si="9"/>
        <v>292458.51399491099</v>
      </c>
      <c r="I97" s="38">
        <v>4450</v>
      </c>
      <c r="J97" s="38">
        <v>4430</v>
      </c>
      <c r="K97" s="38">
        <f>J97/0.786+1</f>
        <v>5637.1323155216287</v>
      </c>
      <c r="L97" s="37"/>
      <c r="M97" s="85"/>
      <c r="N97" s="26"/>
      <c r="O97" s="29">
        <v>46182</v>
      </c>
      <c r="P97" s="28">
        <f t="shared" si="10"/>
        <v>46546</v>
      </c>
    </row>
    <row r="98" spans="2:16" ht="20.149999999999999" customHeight="1" x14ac:dyDescent="0.2">
      <c r="B98" s="25">
        <v>46185</v>
      </c>
      <c r="C98" s="26" t="s">
        <v>1226</v>
      </c>
      <c r="D98" s="26" t="s">
        <v>1227</v>
      </c>
      <c r="E98" s="26" t="s">
        <v>816</v>
      </c>
      <c r="F98" s="26">
        <v>20260601037</v>
      </c>
      <c r="G98" s="26" t="s">
        <v>1230</v>
      </c>
      <c r="H98" s="38">
        <f t="shared" si="9"/>
        <v>286974.05343511456</v>
      </c>
      <c r="I98" s="38">
        <v>4330</v>
      </c>
      <c r="J98" s="38">
        <v>4310</v>
      </c>
      <c r="K98" s="38">
        <f>J98/0.786+1</f>
        <v>5484.4605597964373</v>
      </c>
      <c r="L98" s="37"/>
      <c r="M98" s="85"/>
      <c r="N98" s="26"/>
      <c r="O98" s="29">
        <v>46183</v>
      </c>
      <c r="P98" s="28">
        <f t="shared" si="10"/>
        <v>46547</v>
      </c>
    </row>
    <row r="99" spans="2:16" ht="20.149999999999999" customHeight="1" x14ac:dyDescent="0.2">
      <c r="B99" s="25">
        <v>46187</v>
      </c>
      <c r="C99" s="26" t="s">
        <v>1248</v>
      </c>
      <c r="D99" s="26" t="s">
        <v>1249</v>
      </c>
      <c r="E99" s="26" t="s">
        <v>816</v>
      </c>
      <c r="F99" s="26" t="s">
        <v>2324</v>
      </c>
      <c r="G99" s="26" t="s">
        <v>1250</v>
      </c>
      <c r="H99" s="38">
        <f t="shared" si="9"/>
        <v>281667.70992366417</v>
      </c>
      <c r="I99" s="38">
        <v>4230</v>
      </c>
      <c r="J99" s="38">
        <v>4170</v>
      </c>
      <c r="K99" s="38">
        <f>J99/0.786+1</f>
        <v>5306.3435114503818</v>
      </c>
      <c r="L99" s="37"/>
      <c r="M99" s="85"/>
      <c r="N99" s="26"/>
      <c r="O99" s="29">
        <v>46186</v>
      </c>
      <c r="P99" s="28">
        <f t="shared" si="10"/>
        <v>46550</v>
      </c>
    </row>
    <row r="100" spans="2:16" ht="20.149999999999999" customHeight="1" x14ac:dyDescent="0.2">
      <c r="B100" s="25">
        <v>46188</v>
      </c>
      <c r="C100" s="26" t="s">
        <v>1261</v>
      </c>
      <c r="D100" s="26" t="s">
        <v>1259</v>
      </c>
      <c r="E100" s="26" t="s">
        <v>816</v>
      </c>
      <c r="F100" s="26">
        <v>20260601039</v>
      </c>
      <c r="G100" s="26" t="s">
        <v>1124</v>
      </c>
      <c r="H100" s="38">
        <f t="shared" si="9"/>
        <v>276107.91348600516</v>
      </c>
      <c r="I100" s="38">
        <v>4350</v>
      </c>
      <c r="J100" s="38">
        <v>4370</v>
      </c>
      <c r="K100" s="38">
        <f t="shared" si="11"/>
        <v>5559.7964376590326</v>
      </c>
      <c r="L100" s="37"/>
      <c r="M100" s="85"/>
      <c r="N100" s="26"/>
      <c r="O100" s="29">
        <v>46187</v>
      </c>
      <c r="P100" s="28">
        <f t="shared" si="10"/>
        <v>46551</v>
      </c>
    </row>
    <row r="101" spans="2:16" ht="20.149999999999999" customHeight="1" x14ac:dyDescent="0.2">
      <c r="B101" s="25">
        <v>46190</v>
      </c>
      <c r="C101" s="26" t="s">
        <v>1279</v>
      </c>
      <c r="D101" s="26" t="s">
        <v>1276</v>
      </c>
      <c r="E101" s="26" t="s">
        <v>816</v>
      </c>
      <c r="F101" s="26">
        <v>20260601040</v>
      </c>
      <c r="G101" s="26" t="s">
        <v>887</v>
      </c>
      <c r="H101" s="38">
        <f t="shared" si="9"/>
        <v>270572.56234096701</v>
      </c>
      <c r="I101" s="38">
        <v>4350</v>
      </c>
      <c r="J101" s="38">
        <v>4350</v>
      </c>
      <c r="K101" s="38">
        <f>J101/0.786+1</f>
        <v>5535.3511450381675</v>
      </c>
      <c r="L101" s="37"/>
      <c r="M101" s="85"/>
      <c r="N101" s="26"/>
      <c r="O101" s="29">
        <v>46188</v>
      </c>
      <c r="P101" s="28">
        <f t="shared" si="10"/>
        <v>46552</v>
      </c>
    </row>
    <row r="102" spans="2:16" ht="20.149999999999999" customHeight="1" x14ac:dyDescent="0.2">
      <c r="B102" s="25">
        <v>46192</v>
      </c>
      <c r="C102" s="26" t="s">
        <v>1306</v>
      </c>
      <c r="D102" s="26" t="s">
        <v>1299</v>
      </c>
      <c r="E102" s="26" t="s">
        <v>816</v>
      </c>
      <c r="F102" s="26" t="s">
        <v>2325</v>
      </c>
      <c r="G102" s="26" t="s">
        <v>993</v>
      </c>
      <c r="H102" s="38">
        <f t="shared" si="9"/>
        <v>264986.32061068714</v>
      </c>
      <c r="I102" s="38">
        <v>4390</v>
      </c>
      <c r="J102" s="38">
        <v>4390</v>
      </c>
      <c r="K102" s="38">
        <f>J102/0.786+1</f>
        <v>5586.2417302798976</v>
      </c>
      <c r="L102" s="37"/>
      <c r="M102" s="85"/>
      <c r="N102" s="26"/>
      <c r="O102" s="29">
        <v>46190</v>
      </c>
      <c r="P102" s="28">
        <f t="shared" si="10"/>
        <v>46554</v>
      </c>
    </row>
    <row r="103" spans="2:16" ht="20.149999999999999" customHeight="1" x14ac:dyDescent="0.2">
      <c r="B103" s="25">
        <v>46193</v>
      </c>
      <c r="C103" s="26" t="s">
        <v>1316</v>
      </c>
      <c r="D103" s="26" t="s">
        <v>1315</v>
      </c>
      <c r="E103" s="26" t="s">
        <v>816</v>
      </c>
      <c r="F103" s="26">
        <v>20260615037</v>
      </c>
      <c r="G103" s="26" t="s">
        <v>887</v>
      </c>
      <c r="H103" s="38">
        <f t="shared" si="9"/>
        <v>259489.13740458028</v>
      </c>
      <c r="I103" s="38">
        <v>4370</v>
      </c>
      <c r="J103" s="38">
        <v>4320</v>
      </c>
      <c r="K103" s="38">
        <f>J103/0.786+1</f>
        <v>5497.1832061068699</v>
      </c>
      <c r="L103" s="37"/>
      <c r="M103" s="85"/>
      <c r="N103" s="26"/>
      <c r="O103" s="29">
        <v>46191</v>
      </c>
      <c r="P103" s="28">
        <f t="shared" si="10"/>
        <v>46555</v>
      </c>
    </row>
    <row r="104" spans="2:16" ht="20.149999999999999" customHeight="1" x14ac:dyDescent="0.2">
      <c r="B104" s="25">
        <v>46194</v>
      </c>
      <c r="C104" s="26" t="s">
        <v>1326</v>
      </c>
      <c r="D104" s="26" t="s">
        <v>1324</v>
      </c>
      <c r="E104" s="26" t="s">
        <v>816</v>
      </c>
      <c r="F104" s="26">
        <v>20260615038</v>
      </c>
      <c r="G104" s="26" t="s">
        <v>1329</v>
      </c>
      <c r="H104" s="38">
        <f t="shared" si="9"/>
        <v>254120.18066157773</v>
      </c>
      <c r="I104" s="38">
        <v>4270</v>
      </c>
      <c r="J104" s="38">
        <v>4220</v>
      </c>
      <c r="K104" s="38">
        <f t="shared" ref="K104:K105" si="12">J104/0.786</f>
        <v>5368.9567430025445</v>
      </c>
      <c r="L104" s="37"/>
      <c r="M104" s="85"/>
      <c r="N104" s="26"/>
      <c r="O104" s="29">
        <v>46193</v>
      </c>
      <c r="P104" s="28">
        <f t="shared" si="10"/>
        <v>46557</v>
      </c>
    </row>
    <row r="105" spans="2:16" ht="20.149999999999999" customHeight="1" x14ac:dyDescent="0.2">
      <c r="B105" s="25">
        <v>46196</v>
      </c>
      <c r="C105" s="26" t="s">
        <v>1347</v>
      </c>
      <c r="D105" s="26" t="s">
        <v>1342</v>
      </c>
      <c r="E105" s="26" t="s">
        <v>816</v>
      </c>
      <c r="F105" s="26">
        <v>20260615039</v>
      </c>
      <c r="G105" s="26" t="s">
        <v>1346</v>
      </c>
      <c r="H105" s="38">
        <f t="shared" si="9"/>
        <v>248611.27480916042</v>
      </c>
      <c r="I105" s="38">
        <v>4360</v>
      </c>
      <c r="J105" s="38">
        <v>4330</v>
      </c>
      <c r="K105" s="38">
        <f t="shared" si="12"/>
        <v>5508.9058524173024</v>
      </c>
      <c r="L105" s="37"/>
      <c r="M105" s="85"/>
      <c r="N105" s="26"/>
      <c r="O105" s="29">
        <v>46194</v>
      </c>
      <c r="P105" s="28">
        <f t="shared" si="10"/>
        <v>46558</v>
      </c>
    </row>
    <row r="106" spans="2:16" ht="20.149999999999999" customHeight="1" x14ac:dyDescent="0.2">
      <c r="B106" s="25">
        <v>46197</v>
      </c>
      <c r="C106" s="26" t="s">
        <v>1359</v>
      </c>
      <c r="D106" s="26" t="s">
        <v>1353</v>
      </c>
      <c r="E106" s="26" t="s">
        <v>816</v>
      </c>
      <c r="F106" s="26">
        <v>20260615040</v>
      </c>
      <c r="G106" s="26" t="s">
        <v>1356</v>
      </c>
      <c r="H106" s="38">
        <f t="shared" si="9"/>
        <v>243063.20101781181</v>
      </c>
      <c r="I106" s="38">
        <v>4370</v>
      </c>
      <c r="J106" s="38">
        <v>4360</v>
      </c>
      <c r="K106" s="38">
        <f>J106/0.786+1</f>
        <v>5548.0737913486</v>
      </c>
      <c r="L106" s="37"/>
      <c r="M106" s="85"/>
      <c r="N106" s="26"/>
      <c r="O106" s="29">
        <v>46195</v>
      </c>
      <c r="P106" s="28">
        <f t="shared" si="10"/>
        <v>46559</v>
      </c>
    </row>
    <row r="107" spans="2:16" ht="20.149999999999999" customHeight="1" x14ac:dyDescent="0.2">
      <c r="B107" s="25">
        <v>46198</v>
      </c>
      <c r="C107" s="26" t="s">
        <v>1375</v>
      </c>
      <c r="D107" s="26" t="s">
        <v>1373</v>
      </c>
      <c r="E107" s="26" t="s">
        <v>816</v>
      </c>
      <c r="F107" s="26">
        <v>20260622029</v>
      </c>
      <c r="G107" s="26" t="s">
        <v>1374</v>
      </c>
      <c r="H107" s="38">
        <f t="shared" si="9"/>
        <v>237694.24427480926</v>
      </c>
      <c r="I107" s="38">
        <v>4250</v>
      </c>
      <c r="J107" s="38">
        <v>4220</v>
      </c>
      <c r="K107" s="38">
        <f t="shared" ref="K107" si="13">J107/0.786</f>
        <v>5368.9567430025445</v>
      </c>
      <c r="L107" s="37"/>
      <c r="M107" s="85"/>
      <c r="N107" s="26"/>
      <c r="O107" s="29">
        <v>46197</v>
      </c>
      <c r="P107" s="28">
        <f t="shared" si="10"/>
        <v>46561</v>
      </c>
    </row>
    <row r="108" spans="2:16" ht="20.149999999999999" customHeight="1" x14ac:dyDescent="0.2">
      <c r="B108" s="25">
        <v>46200</v>
      </c>
      <c r="C108" s="26" t="s">
        <v>1393</v>
      </c>
      <c r="D108" s="26" t="s">
        <v>1385</v>
      </c>
      <c r="E108" s="26" t="s">
        <v>816</v>
      </c>
      <c r="F108" s="26">
        <v>20260622030</v>
      </c>
      <c r="G108" s="26" t="s">
        <v>887</v>
      </c>
      <c r="H108" s="38">
        <f t="shared" si="9"/>
        <v>232274.39694656499</v>
      </c>
      <c r="I108" s="38">
        <v>4320</v>
      </c>
      <c r="J108" s="38">
        <v>4260</v>
      </c>
      <c r="K108" s="38">
        <f t="shared" ref="K108:K115" si="14">J108/0.786</f>
        <v>5419.8473282442746</v>
      </c>
      <c r="L108" s="37"/>
      <c r="M108" s="85"/>
      <c r="N108" s="26"/>
      <c r="O108" s="29">
        <v>46198</v>
      </c>
      <c r="P108" s="28">
        <f t="shared" si="10"/>
        <v>46562</v>
      </c>
    </row>
    <row r="109" spans="2:16" ht="20.149999999999999" customHeight="1" x14ac:dyDescent="0.2">
      <c r="B109" s="25">
        <v>46201</v>
      </c>
      <c r="C109" s="26" t="s">
        <v>1406</v>
      </c>
      <c r="D109" s="26" t="s">
        <v>1405</v>
      </c>
      <c r="E109" s="26" t="s">
        <v>816</v>
      </c>
      <c r="F109" s="26">
        <v>20260622031</v>
      </c>
      <c r="G109" s="26" t="s">
        <v>1407</v>
      </c>
      <c r="H109" s="38">
        <f t="shared" si="9"/>
        <v>226739.04580152681</v>
      </c>
      <c r="I109" s="38">
        <v>4510</v>
      </c>
      <c r="J109" s="38">
        <v>4350</v>
      </c>
      <c r="K109" s="38">
        <f>J109/0.786+1</f>
        <v>5535.3511450381675</v>
      </c>
      <c r="L109" s="37"/>
      <c r="M109" s="85"/>
      <c r="N109" s="26"/>
      <c r="O109" s="29">
        <v>46199</v>
      </c>
      <c r="P109" s="28">
        <f t="shared" si="10"/>
        <v>46563</v>
      </c>
    </row>
    <row r="110" spans="2:16" ht="20.149999999999999" customHeight="1" x14ac:dyDescent="0.2">
      <c r="B110" s="25">
        <v>46203</v>
      </c>
      <c r="C110" s="26" t="s">
        <v>1427</v>
      </c>
      <c r="D110" s="26" t="s">
        <v>1425</v>
      </c>
      <c r="E110" s="26" t="s">
        <v>816</v>
      </c>
      <c r="F110" s="26">
        <v>20260622032</v>
      </c>
      <c r="G110" s="26" t="s">
        <v>1426</v>
      </c>
      <c r="H110" s="38">
        <f t="shared" si="9"/>
        <v>221381.81170483469</v>
      </c>
      <c r="I110" s="38">
        <v>4220</v>
      </c>
      <c r="J110" s="38">
        <v>4210</v>
      </c>
      <c r="K110" s="38">
        <f>J110/0.786+1</f>
        <v>5357.234096692112</v>
      </c>
      <c r="L110" s="37"/>
      <c r="M110" s="85"/>
      <c r="N110" s="26"/>
      <c r="O110" s="29">
        <v>46202</v>
      </c>
      <c r="P110" s="28">
        <f t="shared" si="10"/>
        <v>46566</v>
      </c>
    </row>
    <row r="111" spans="2:16" ht="20.149999999999999" customHeight="1" x14ac:dyDescent="0.2">
      <c r="B111" s="25">
        <v>46204</v>
      </c>
      <c r="C111" s="26" t="s">
        <v>1434</v>
      </c>
      <c r="D111" s="26" t="s">
        <v>1433</v>
      </c>
      <c r="E111" s="26" t="s">
        <v>816</v>
      </c>
      <c r="F111" s="26">
        <v>20260629033</v>
      </c>
      <c r="G111" s="26" t="s">
        <v>1435</v>
      </c>
      <c r="H111" s="38">
        <f t="shared" si="9"/>
        <v>215922.79643765913</v>
      </c>
      <c r="I111" s="38">
        <v>4390</v>
      </c>
      <c r="J111" s="38">
        <v>4290</v>
      </c>
      <c r="K111" s="38">
        <f>J111/0.786+1</f>
        <v>5459.0152671755723</v>
      </c>
      <c r="L111" s="37"/>
      <c r="M111" s="85"/>
      <c r="N111" s="26"/>
      <c r="O111" s="29">
        <v>46202</v>
      </c>
      <c r="P111" s="28">
        <f t="shared" si="10"/>
        <v>46566</v>
      </c>
    </row>
    <row r="112" spans="2:16" ht="20.149999999999999" customHeight="1" x14ac:dyDescent="0.2">
      <c r="B112" s="25">
        <v>46205</v>
      </c>
      <c r="C112" s="26" t="s">
        <v>1444</v>
      </c>
      <c r="D112" s="26" t="s">
        <v>1442</v>
      </c>
      <c r="E112" s="26" t="s">
        <v>816</v>
      </c>
      <c r="F112" s="26">
        <v>20260629034</v>
      </c>
      <c r="G112" s="26" t="s">
        <v>1022</v>
      </c>
      <c r="H112" s="38">
        <f t="shared" si="9"/>
        <v>210502.94910941485</v>
      </c>
      <c r="I112" s="38">
        <v>4290</v>
      </c>
      <c r="J112" s="38">
        <v>4260</v>
      </c>
      <c r="K112" s="38">
        <f t="shared" si="14"/>
        <v>5419.8473282442746</v>
      </c>
      <c r="L112" s="37"/>
      <c r="M112" s="85"/>
      <c r="N112" s="26"/>
      <c r="O112" s="29">
        <v>46203</v>
      </c>
      <c r="P112" s="28">
        <f t="shared" si="10"/>
        <v>46567</v>
      </c>
    </row>
    <row r="113" spans="2:16" ht="20.149999999999999" customHeight="1" x14ac:dyDescent="0.2">
      <c r="B113" s="25">
        <v>46207</v>
      </c>
      <c r="C113" s="26" t="s">
        <v>1465</v>
      </c>
      <c r="D113" s="26" t="s">
        <v>1462</v>
      </c>
      <c r="E113" s="26" t="s">
        <v>816</v>
      </c>
      <c r="F113" s="26">
        <v>20260629035</v>
      </c>
      <c r="G113" s="26" t="s">
        <v>887</v>
      </c>
      <c r="H113" s="38">
        <f t="shared" ref="H113:H144" si="15">H112-K113</f>
        <v>205094.82442748101</v>
      </c>
      <c r="I113" s="38">
        <v>4250</v>
      </c>
      <c r="J113" s="38">
        <v>4250</v>
      </c>
      <c r="K113" s="38">
        <f>J113/0.786+1</f>
        <v>5408.1246819338421</v>
      </c>
      <c r="L113" s="37"/>
      <c r="M113" s="85"/>
      <c r="N113" s="26"/>
      <c r="O113" s="29">
        <v>46205</v>
      </c>
      <c r="P113" s="28">
        <f t="shared" si="10"/>
        <v>46569</v>
      </c>
    </row>
    <row r="114" spans="2:16" ht="20.149999999999999" customHeight="1" x14ac:dyDescent="0.2">
      <c r="B114" s="25">
        <v>46208</v>
      </c>
      <c r="C114" s="26" t="s">
        <v>1476</v>
      </c>
      <c r="D114" s="26" t="s">
        <v>1468</v>
      </c>
      <c r="E114" s="26" t="s">
        <v>816</v>
      </c>
      <c r="F114" s="26">
        <v>20260629036</v>
      </c>
      <c r="G114" s="26" t="s">
        <v>887</v>
      </c>
      <c r="H114" s="38">
        <f t="shared" si="15"/>
        <v>199814.92620865151</v>
      </c>
      <c r="I114" s="38">
        <v>4250</v>
      </c>
      <c r="J114" s="38">
        <v>4150</v>
      </c>
      <c r="K114" s="38">
        <f t="shared" si="14"/>
        <v>5279.8982188295167</v>
      </c>
      <c r="L114" s="37"/>
      <c r="M114" s="85"/>
      <c r="N114" s="26"/>
      <c r="O114" s="29">
        <v>46206</v>
      </c>
      <c r="P114" s="28">
        <f t="shared" si="10"/>
        <v>46570</v>
      </c>
    </row>
    <row r="115" spans="2:16" ht="20.149999999999999" customHeight="1" x14ac:dyDescent="0.2">
      <c r="B115" s="25">
        <v>46209</v>
      </c>
      <c r="C115" s="26" t="s">
        <v>1488</v>
      </c>
      <c r="D115" s="26" t="s">
        <v>1482</v>
      </c>
      <c r="E115" s="26" t="s">
        <v>816</v>
      </c>
      <c r="F115" s="26">
        <v>20260629037</v>
      </c>
      <c r="G115" s="26" t="s">
        <v>1483</v>
      </c>
      <c r="H115" s="38">
        <f t="shared" si="15"/>
        <v>194306.02035623419</v>
      </c>
      <c r="I115" s="38">
        <v>4370</v>
      </c>
      <c r="J115" s="38">
        <v>4330</v>
      </c>
      <c r="K115" s="38">
        <f t="shared" si="14"/>
        <v>5508.9058524173024</v>
      </c>
      <c r="L115" s="37"/>
      <c r="M115" s="85"/>
      <c r="N115" s="26"/>
      <c r="O115" s="29">
        <v>46207</v>
      </c>
      <c r="P115" s="28">
        <f t="shared" si="10"/>
        <v>46571</v>
      </c>
    </row>
    <row r="116" spans="2:16" ht="20.149999999999999" customHeight="1" x14ac:dyDescent="0.25">
      <c r="B116" s="25">
        <v>46210</v>
      </c>
      <c r="C116" s="26" t="s">
        <v>1510</v>
      </c>
      <c r="D116" s="26" t="s">
        <v>1499</v>
      </c>
      <c r="E116" s="26" t="s">
        <v>816</v>
      </c>
      <c r="F116" s="26">
        <v>20260706035</v>
      </c>
      <c r="G116" s="26" t="s">
        <v>1514</v>
      </c>
      <c r="H116" s="38">
        <f t="shared" si="15"/>
        <v>188808.83715012734</v>
      </c>
      <c r="I116" s="38">
        <v>4320</v>
      </c>
      <c r="J116" s="38">
        <v>4320</v>
      </c>
      <c r="K116" s="38">
        <f>J116/0.786+1</f>
        <v>5497.1832061068699</v>
      </c>
      <c r="L116" s="55" t="s">
        <v>1551</v>
      </c>
      <c r="M116" s="85"/>
      <c r="N116" s="26"/>
      <c r="O116" s="29">
        <v>46209</v>
      </c>
      <c r="P116" s="28">
        <f t="shared" si="10"/>
        <v>46573</v>
      </c>
    </row>
    <row r="117" spans="2:16" ht="20.149999999999999" customHeight="1" x14ac:dyDescent="0.2">
      <c r="B117" s="25">
        <v>46211</v>
      </c>
      <c r="C117" s="26" t="s">
        <v>1523</v>
      </c>
      <c r="D117" s="26" t="s">
        <v>1518</v>
      </c>
      <c r="E117" s="26" t="s">
        <v>816</v>
      </c>
      <c r="F117" s="26">
        <v>20260706036</v>
      </c>
      <c r="G117" s="26" t="s">
        <v>887</v>
      </c>
      <c r="H117" s="38">
        <f t="shared" si="15"/>
        <v>183260.76335877873</v>
      </c>
      <c r="I117" s="38">
        <v>4460</v>
      </c>
      <c r="J117" s="38">
        <v>4360</v>
      </c>
      <c r="K117" s="38">
        <f>J117/0.786+1</f>
        <v>5548.0737913486</v>
      </c>
      <c r="L117" s="37"/>
      <c r="M117" s="85"/>
      <c r="N117" s="26"/>
      <c r="O117" s="29">
        <v>46210</v>
      </c>
      <c r="P117" s="28">
        <f t="shared" si="10"/>
        <v>46574</v>
      </c>
    </row>
    <row r="118" spans="2:16" ht="20.149999999999999" customHeight="1" x14ac:dyDescent="0.2">
      <c r="B118" s="25">
        <v>46213</v>
      </c>
      <c r="C118" s="26" t="s">
        <v>1546</v>
      </c>
      <c r="D118" s="26" t="s">
        <v>1544</v>
      </c>
      <c r="E118" s="26" t="s">
        <v>816</v>
      </c>
      <c r="F118" s="26">
        <v>20260706037</v>
      </c>
      <c r="G118" s="26" t="s">
        <v>887</v>
      </c>
      <c r="H118" s="38">
        <f t="shared" si="15"/>
        <v>177879.08396946575</v>
      </c>
      <c r="I118" s="38">
        <v>4250</v>
      </c>
      <c r="J118" s="38">
        <v>4230</v>
      </c>
      <c r="K118" s="38">
        <f t="shared" ref="K118:K119" si="16">J118/0.786</f>
        <v>5381.679389312977</v>
      </c>
      <c r="L118" s="37"/>
      <c r="M118" s="85"/>
      <c r="N118" s="26"/>
      <c r="O118" s="29">
        <v>46211</v>
      </c>
      <c r="P118" s="28">
        <f t="shared" si="10"/>
        <v>46575</v>
      </c>
    </row>
    <row r="119" spans="2:16" ht="20.149999999999999" customHeight="1" x14ac:dyDescent="0.2">
      <c r="B119" s="25">
        <v>46214</v>
      </c>
      <c r="C119" s="26" t="s">
        <v>1564</v>
      </c>
      <c r="D119" s="26" t="s">
        <v>1555</v>
      </c>
      <c r="E119" s="26" t="s">
        <v>816</v>
      </c>
      <c r="F119" s="26">
        <v>20260706038</v>
      </c>
      <c r="G119" s="26" t="s">
        <v>1561</v>
      </c>
      <c r="H119" s="38">
        <f t="shared" si="15"/>
        <v>172446.51399491105</v>
      </c>
      <c r="I119" s="38">
        <v>4340</v>
      </c>
      <c r="J119" s="38">
        <v>4270</v>
      </c>
      <c r="K119" s="38">
        <f t="shared" si="16"/>
        <v>5432.5699745547072</v>
      </c>
      <c r="L119" s="37"/>
      <c r="M119" s="85"/>
      <c r="N119" s="26"/>
      <c r="O119" s="29">
        <v>46212</v>
      </c>
      <c r="P119" s="28">
        <f t="shared" si="10"/>
        <v>46576</v>
      </c>
    </row>
    <row r="120" spans="2:16" ht="20.149999999999999" customHeight="1" x14ac:dyDescent="0.2">
      <c r="B120" s="25">
        <v>46215</v>
      </c>
      <c r="C120" s="26" t="s">
        <v>1579</v>
      </c>
      <c r="D120" s="26" t="s">
        <v>1573</v>
      </c>
      <c r="E120" s="26" t="s">
        <v>816</v>
      </c>
      <c r="F120" s="26">
        <v>20260706039</v>
      </c>
      <c r="G120" s="26" t="s">
        <v>1574</v>
      </c>
      <c r="H120" s="38">
        <f t="shared" si="15"/>
        <v>166962.05343511462</v>
      </c>
      <c r="I120" s="38">
        <v>4370</v>
      </c>
      <c r="J120" s="38">
        <v>4310</v>
      </c>
      <c r="K120" s="38">
        <f>J120/0.786+1</f>
        <v>5484.4605597964373</v>
      </c>
      <c r="L120" s="37"/>
      <c r="M120" s="85"/>
      <c r="N120" s="26"/>
      <c r="O120" s="29">
        <v>46213</v>
      </c>
      <c r="P120" s="28">
        <f t="shared" si="10"/>
        <v>46577</v>
      </c>
    </row>
    <row r="121" spans="2:16" ht="20.149999999999999" customHeight="1" x14ac:dyDescent="0.2">
      <c r="B121" s="25">
        <v>46217</v>
      </c>
      <c r="C121" s="26" t="s">
        <v>1596</v>
      </c>
      <c r="D121" s="26" t="s">
        <v>1595</v>
      </c>
      <c r="E121" s="26" t="s">
        <v>816</v>
      </c>
      <c r="F121" s="26">
        <v>20260706040</v>
      </c>
      <c r="G121" s="26" t="s">
        <v>1597</v>
      </c>
      <c r="H121" s="38">
        <f t="shared" si="15"/>
        <v>161553.92875318078</v>
      </c>
      <c r="I121" s="38">
        <v>4190</v>
      </c>
      <c r="J121" s="38">
        <v>4250</v>
      </c>
      <c r="K121" s="38">
        <f>J121/0.786+1</f>
        <v>5408.1246819338421</v>
      </c>
      <c r="L121" s="37"/>
      <c r="M121" s="85"/>
      <c r="N121" s="26"/>
      <c r="O121" s="29">
        <v>46215</v>
      </c>
      <c r="P121" s="28">
        <f t="shared" si="10"/>
        <v>46579</v>
      </c>
    </row>
    <row r="122" spans="2:16" ht="20.149999999999999" customHeight="1" x14ac:dyDescent="0.2">
      <c r="B122" s="25">
        <v>46218</v>
      </c>
      <c r="C122" s="26" t="s">
        <v>1606</v>
      </c>
      <c r="D122" s="26" t="s">
        <v>1605</v>
      </c>
      <c r="E122" s="26" t="s">
        <v>816</v>
      </c>
      <c r="F122" s="26">
        <v>20260706041</v>
      </c>
      <c r="G122" s="26" t="s">
        <v>1607</v>
      </c>
      <c r="H122" s="38">
        <f t="shared" si="15"/>
        <v>156083.19083969478</v>
      </c>
      <c r="I122" s="38">
        <v>4320</v>
      </c>
      <c r="J122" s="38">
        <v>4300</v>
      </c>
      <c r="K122" s="38">
        <f t="shared" ref="K122:K126" si="17">J122/0.786</f>
        <v>5470.7379134860048</v>
      </c>
      <c r="L122" s="37"/>
      <c r="M122" s="85"/>
      <c r="N122" s="26"/>
      <c r="O122" s="29">
        <v>46216</v>
      </c>
      <c r="P122" s="28">
        <f t="shared" si="10"/>
        <v>46580</v>
      </c>
    </row>
    <row r="123" spans="2:16" ht="20.149999999999999" customHeight="1" x14ac:dyDescent="0.2">
      <c r="B123" s="25">
        <v>46219</v>
      </c>
      <c r="C123" s="26" t="s">
        <v>1622</v>
      </c>
      <c r="D123" s="26" t="s">
        <v>1619</v>
      </c>
      <c r="E123" s="26" t="s">
        <v>816</v>
      </c>
      <c r="F123" s="26">
        <v>20260714026</v>
      </c>
      <c r="G123" s="26" t="s">
        <v>887</v>
      </c>
      <c r="H123" s="38">
        <f t="shared" si="15"/>
        <v>150663.34351145051</v>
      </c>
      <c r="I123" s="38">
        <v>4330</v>
      </c>
      <c r="J123" s="38">
        <v>4260</v>
      </c>
      <c r="K123" s="38">
        <f t="shared" si="17"/>
        <v>5419.8473282442746</v>
      </c>
      <c r="L123" s="37"/>
      <c r="M123" s="85"/>
      <c r="N123" s="26"/>
      <c r="O123" s="29">
        <v>46218</v>
      </c>
      <c r="P123" s="28">
        <f t="shared" si="10"/>
        <v>46582</v>
      </c>
    </row>
    <row r="124" spans="2:16" ht="20.149999999999999" customHeight="1" x14ac:dyDescent="0.2">
      <c r="B124" s="25">
        <v>46220</v>
      </c>
      <c r="C124" s="26" t="s">
        <v>1635</v>
      </c>
      <c r="D124" s="26" t="s">
        <v>1630</v>
      </c>
      <c r="E124" s="26" t="s">
        <v>816</v>
      </c>
      <c r="F124" s="26">
        <v>20260714027</v>
      </c>
      <c r="G124" s="26" t="s">
        <v>887</v>
      </c>
      <c r="H124" s="38">
        <f t="shared" si="15"/>
        <v>145267.9414758271</v>
      </c>
      <c r="I124" s="38">
        <v>4270</v>
      </c>
      <c r="J124" s="38">
        <v>4240</v>
      </c>
      <c r="K124" s="38">
        <f>J124/0.786+1</f>
        <v>5395.4020356234096</v>
      </c>
      <c r="L124" s="37"/>
      <c r="M124" s="85"/>
      <c r="N124" s="26"/>
      <c r="O124" s="29">
        <v>46218</v>
      </c>
      <c r="P124" s="28">
        <f t="shared" si="10"/>
        <v>46582</v>
      </c>
    </row>
    <row r="125" spans="2:16" ht="20.149999999999999" customHeight="1" x14ac:dyDescent="0.2">
      <c r="B125" s="25">
        <v>46222</v>
      </c>
      <c r="C125" s="26" t="s">
        <v>1653</v>
      </c>
      <c r="D125" s="26" t="s">
        <v>1647</v>
      </c>
      <c r="E125" s="26" t="s">
        <v>816</v>
      </c>
      <c r="F125" s="26">
        <v>20260714028</v>
      </c>
      <c r="G125" s="26" t="s">
        <v>1651</v>
      </c>
      <c r="H125" s="38">
        <f t="shared" si="15"/>
        <v>139821.64885496197</v>
      </c>
      <c r="I125" s="38">
        <v>4400</v>
      </c>
      <c r="J125" s="38">
        <v>4280</v>
      </c>
      <c r="K125" s="38">
        <f>J125/0.786+1</f>
        <v>5446.2926208651397</v>
      </c>
      <c r="L125" s="37"/>
      <c r="M125" s="85"/>
      <c r="N125" s="26"/>
      <c r="O125" s="29">
        <v>46220</v>
      </c>
      <c r="P125" s="28">
        <f t="shared" si="10"/>
        <v>46584</v>
      </c>
    </row>
    <row r="126" spans="2:16" ht="20.149999999999999" customHeight="1" x14ac:dyDescent="0.2">
      <c r="B126" s="25">
        <v>46223</v>
      </c>
      <c r="C126" s="26" t="s">
        <v>1662</v>
      </c>
      <c r="D126" s="26" t="s">
        <v>1658</v>
      </c>
      <c r="E126" s="26" t="s">
        <v>816</v>
      </c>
      <c r="F126" s="26">
        <v>20260714029</v>
      </c>
      <c r="G126" s="26" t="s">
        <v>1661</v>
      </c>
      <c r="H126" s="38">
        <f t="shared" si="15"/>
        <v>134579.91857506376</v>
      </c>
      <c r="I126" s="38">
        <v>4170</v>
      </c>
      <c r="J126" s="38">
        <v>4120</v>
      </c>
      <c r="K126" s="38">
        <f t="shared" si="17"/>
        <v>5241.7302798982182</v>
      </c>
      <c r="L126" s="37"/>
      <c r="M126" s="85"/>
      <c r="N126" s="26"/>
      <c r="O126" s="29">
        <v>46221</v>
      </c>
      <c r="P126" s="28">
        <f t="shared" si="10"/>
        <v>46585</v>
      </c>
    </row>
    <row r="127" spans="2:16" ht="20.149999999999999" customHeight="1" x14ac:dyDescent="0.2">
      <c r="B127" s="25">
        <v>46224</v>
      </c>
      <c r="C127" s="26" t="s">
        <v>1674</v>
      </c>
      <c r="D127" s="26" t="s">
        <v>1670</v>
      </c>
      <c r="E127" s="26" t="s">
        <v>816</v>
      </c>
      <c r="F127" s="26">
        <v>20260714030</v>
      </c>
      <c r="G127" s="26" t="s">
        <v>887</v>
      </c>
      <c r="H127" s="38">
        <f t="shared" si="15"/>
        <v>129044.56743002559</v>
      </c>
      <c r="I127" s="38">
        <v>4310</v>
      </c>
      <c r="J127" s="38">
        <v>4350</v>
      </c>
      <c r="K127" s="38">
        <f>J127/0.786+1</f>
        <v>5535.3511450381675</v>
      </c>
      <c r="L127" s="37"/>
      <c r="M127" s="85"/>
      <c r="N127" s="26"/>
      <c r="O127" s="29">
        <v>46222</v>
      </c>
      <c r="P127" s="28">
        <f t="shared" si="10"/>
        <v>46586</v>
      </c>
    </row>
    <row r="128" spans="2:16" ht="20.149999999999999" customHeight="1" x14ac:dyDescent="0.2">
      <c r="B128" s="25">
        <v>46226</v>
      </c>
      <c r="C128" s="26" t="s">
        <v>1697</v>
      </c>
      <c r="D128" s="26" t="s">
        <v>1691</v>
      </c>
      <c r="E128" s="26" t="s">
        <v>816</v>
      </c>
      <c r="F128" s="26">
        <v>20260720032</v>
      </c>
      <c r="G128" s="26" t="s">
        <v>1695</v>
      </c>
      <c r="H128" s="38">
        <f t="shared" si="15"/>
        <v>123725.50127226478</v>
      </c>
      <c r="I128" s="38">
        <v>4220</v>
      </c>
      <c r="J128" s="38">
        <v>4180</v>
      </c>
      <c r="K128" s="38">
        <f>J128/0.786+1</f>
        <v>5319.0661577608143</v>
      </c>
      <c r="L128" s="37"/>
      <c r="M128" s="85"/>
      <c r="N128" s="26"/>
      <c r="O128" s="29">
        <v>46224</v>
      </c>
      <c r="P128" s="28">
        <f t="shared" si="10"/>
        <v>46588</v>
      </c>
    </row>
    <row r="129" spans="2:16" ht="20.149999999999999" customHeight="1" x14ac:dyDescent="0.2">
      <c r="B129" s="25">
        <v>46227</v>
      </c>
      <c r="C129" s="26" t="s">
        <v>1711</v>
      </c>
      <c r="D129" s="26" t="s">
        <v>1707</v>
      </c>
      <c r="E129" s="26" t="s">
        <v>816</v>
      </c>
      <c r="F129" s="26">
        <v>20260720033</v>
      </c>
      <c r="G129" s="26" t="s">
        <v>887</v>
      </c>
      <c r="H129" s="38">
        <f t="shared" si="15"/>
        <v>118368.26717557266</v>
      </c>
      <c r="I129" s="38">
        <v>4250</v>
      </c>
      <c r="J129" s="38">
        <v>4210</v>
      </c>
      <c r="K129" s="38">
        <f>J129/0.786+1</f>
        <v>5357.234096692112</v>
      </c>
      <c r="L129" s="37"/>
      <c r="M129" s="85"/>
      <c r="N129" s="26"/>
      <c r="O129" s="29">
        <v>46225</v>
      </c>
      <c r="P129" s="28">
        <f t="shared" si="10"/>
        <v>46589</v>
      </c>
    </row>
    <row r="130" spans="2:16" ht="20.149999999999999" customHeight="1" x14ac:dyDescent="0.2">
      <c r="B130" s="25">
        <v>46229</v>
      </c>
      <c r="C130" s="26" t="s">
        <v>1732</v>
      </c>
      <c r="D130" s="26" t="s">
        <v>1729</v>
      </c>
      <c r="E130" s="26" t="s">
        <v>816</v>
      </c>
      <c r="F130" s="26">
        <v>20260720034</v>
      </c>
      <c r="G130" s="26" t="s">
        <v>1733</v>
      </c>
      <c r="H130" s="38">
        <f t="shared" si="15"/>
        <v>113024.75572519099</v>
      </c>
      <c r="I130" s="38">
        <v>4220</v>
      </c>
      <c r="J130" s="38">
        <v>4200</v>
      </c>
      <c r="K130" s="38">
        <f t="shared" ref="K130:K136" si="18">J130/0.786</f>
        <v>5343.5114503816794</v>
      </c>
      <c r="L130" s="37"/>
      <c r="M130" s="85"/>
      <c r="N130" s="26"/>
      <c r="O130" s="29">
        <v>46227</v>
      </c>
      <c r="P130" s="28">
        <f t="shared" si="10"/>
        <v>46591</v>
      </c>
    </row>
    <row r="131" spans="2:16" ht="20.149999999999999" customHeight="1" x14ac:dyDescent="0.2">
      <c r="B131" s="25">
        <v>46230</v>
      </c>
      <c r="C131" s="26" t="s">
        <v>1741</v>
      </c>
      <c r="D131" s="26" t="s">
        <v>1739</v>
      </c>
      <c r="E131" s="26" t="s">
        <v>816</v>
      </c>
      <c r="F131" s="26">
        <v>20260720035</v>
      </c>
      <c r="G131" s="26" t="s">
        <v>887</v>
      </c>
      <c r="H131" s="38">
        <f t="shared" si="15"/>
        <v>107476.6819338424</v>
      </c>
      <c r="I131" s="38">
        <v>4430</v>
      </c>
      <c r="J131" s="38">
        <v>4360</v>
      </c>
      <c r="K131" s="38">
        <f>J131/0.786+1</f>
        <v>5548.0737913486</v>
      </c>
      <c r="L131" s="37"/>
      <c r="M131" s="85"/>
      <c r="N131" s="26"/>
      <c r="O131" s="29">
        <v>46228</v>
      </c>
      <c r="P131" s="28">
        <f t="shared" si="10"/>
        <v>46592</v>
      </c>
    </row>
    <row r="132" spans="2:16" ht="20.149999999999999" customHeight="1" x14ac:dyDescent="0.2">
      <c r="B132" s="25">
        <v>46231</v>
      </c>
      <c r="C132" s="26" t="s">
        <v>1753</v>
      </c>
      <c r="D132" s="26" t="s">
        <v>1751</v>
      </c>
      <c r="E132" s="26" t="s">
        <v>816</v>
      </c>
      <c r="F132" s="26">
        <v>20260720036</v>
      </c>
      <c r="G132" s="26" t="s">
        <v>887</v>
      </c>
      <c r="H132" s="38">
        <f t="shared" si="15"/>
        <v>101979.49872773552</v>
      </c>
      <c r="I132" s="38">
        <v>4450</v>
      </c>
      <c r="J132" s="38">
        <v>4320</v>
      </c>
      <c r="K132" s="38">
        <f>J132/0.786+1</f>
        <v>5497.1832061068699</v>
      </c>
      <c r="L132" s="37"/>
      <c r="M132" s="85"/>
      <c r="N132" s="26"/>
      <c r="O132" s="29">
        <v>46229</v>
      </c>
      <c r="P132" s="28">
        <f t="shared" si="10"/>
        <v>46593</v>
      </c>
    </row>
    <row r="133" spans="2:16" ht="20.149999999999999" customHeight="1" x14ac:dyDescent="0.2">
      <c r="B133" s="25">
        <v>46232</v>
      </c>
      <c r="C133" s="26" t="s">
        <v>1761</v>
      </c>
      <c r="D133" s="26" t="s">
        <v>1760</v>
      </c>
      <c r="E133" s="26" t="s">
        <v>816</v>
      </c>
      <c r="F133" s="26">
        <v>20260728011</v>
      </c>
      <c r="G133" s="26" t="s">
        <v>887</v>
      </c>
      <c r="H133" s="38">
        <f t="shared" si="15"/>
        <v>96533.206106870392</v>
      </c>
      <c r="I133" s="38">
        <v>4340</v>
      </c>
      <c r="J133" s="38">
        <v>4280</v>
      </c>
      <c r="K133" s="38">
        <f>J133/0.786+1</f>
        <v>5446.2926208651397</v>
      </c>
      <c r="L133" s="37"/>
      <c r="M133" s="85"/>
      <c r="N133" s="26"/>
      <c r="O133" s="29">
        <v>46230</v>
      </c>
      <c r="P133" s="28">
        <f t="shared" si="10"/>
        <v>46594</v>
      </c>
    </row>
    <row r="134" spans="2:16" ht="20.149999999999999" customHeight="1" x14ac:dyDescent="0.2">
      <c r="B134" s="25">
        <v>46233</v>
      </c>
      <c r="C134" s="26" t="s">
        <v>1772</v>
      </c>
      <c r="D134" s="26" t="s">
        <v>1770</v>
      </c>
      <c r="E134" s="26" t="s">
        <v>816</v>
      </c>
      <c r="F134" s="26">
        <v>20260728012</v>
      </c>
      <c r="G134" s="26" t="s">
        <v>887</v>
      </c>
      <c r="H134" s="38">
        <f t="shared" si="15"/>
        <v>91086.913486005258</v>
      </c>
      <c r="I134" s="38">
        <v>4290</v>
      </c>
      <c r="J134" s="38">
        <v>4280</v>
      </c>
      <c r="K134" s="38">
        <f>J134/0.786+1</f>
        <v>5446.2926208651397</v>
      </c>
      <c r="L134" s="37"/>
      <c r="M134" s="85"/>
      <c r="N134" s="26"/>
      <c r="O134" s="29">
        <v>46231</v>
      </c>
      <c r="P134" s="28">
        <f t="shared" si="10"/>
        <v>46595</v>
      </c>
    </row>
    <row r="135" spans="2:16" ht="20.149999999999999" customHeight="1" x14ac:dyDescent="0.2">
      <c r="B135" s="25">
        <v>46235</v>
      </c>
      <c r="C135" s="26" t="s">
        <v>1793</v>
      </c>
      <c r="D135" s="26" t="s">
        <v>1789</v>
      </c>
      <c r="E135" s="26" t="s">
        <v>816</v>
      </c>
      <c r="F135" s="26">
        <v>20260730016</v>
      </c>
      <c r="G135" s="26" t="s">
        <v>887</v>
      </c>
      <c r="H135" s="38">
        <f t="shared" si="15"/>
        <v>85627.89821882968</v>
      </c>
      <c r="I135" s="38">
        <v>4360</v>
      </c>
      <c r="J135" s="38">
        <v>4290</v>
      </c>
      <c r="K135" s="38">
        <f>J135/0.786+1</f>
        <v>5459.0152671755723</v>
      </c>
      <c r="L135" s="37"/>
      <c r="M135" s="85"/>
      <c r="N135" s="26"/>
      <c r="O135" s="29">
        <v>46233</v>
      </c>
      <c r="P135" s="28">
        <f t="shared" si="10"/>
        <v>46597</v>
      </c>
    </row>
    <row r="136" spans="2:16" ht="20.149999999999999" customHeight="1" x14ac:dyDescent="0.2">
      <c r="B136" s="25">
        <v>46237</v>
      </c>
      <c r="C136" s="26" t="s">
        <v>1811</v>
      </c>
      <c r="D136" s="26" t="s">
        <v>1803</v>
      </c>
      <c r="E136" s="26" t="s">
        <v>816</v>
      </c>
      <c r="F136" s="26">
        <v>20260730017</v>
      </c>
      <c r="G136" s="26" t="s">
        <v>1810</v>
      </c>
      <c r="H136" s="38">
        <f t="shared" si="15"/>
        <v>80055.37913486021</v>
      </c>
      <c r="I136" s="38">
        <v>4480</v>
      </c>
      <c r="J136" s="38">
        <v>4380</v>
      </c>
      <c r="K136" s="38">
        <f t="shared" si="18"/>
        <v>5572.5190839694651</v>
      </c>
      <c r="L136" s="37"/>
      <c r="M136" s="85"/>
      <c r="N136" s="26"/>
      <c r="O136" s="29">
        <v>46234</v>
      </c>
      <c r="P136" s="28">
        <f t="shared" si="10"/>
        <v>46598</v>
      </c>
    </row>
    <row r="137" spans="2:16" ht="20.149999999999999" customHeight="1" x14ac:dyDescent="0.2">
      <c r="B137" s="25">
        <v>46238</v>
      </c>
      <c r="C137" s="26" t="s">
        <v>1821</v>
      </c>
      <c r="D137" s="26" t="s">
        <v>1819</v>
      </c>
      <c r="E137" s="26" t="s">
        <v>816</v>
      </c>
      <c r="F137" s="26">
        <v>20260730018</v>
      </c>
      <c r="G137" s="26" t="s">
        <v>1825</v>
      </c>
      <c r="H137" s="38">
        <f t="shared" si="15"/>
        <v>74520.027989822047</v>
      </c>
      <c r="I137" s="38">
        <v>4380</v>
      </c>
      <c r="J137" s="38">
        <v>4350</v>
      </c>
      <c r="K137" s="38">
        <f>J137/0.786+1</f>
        <v>5535.3511450381675</v>
      </c>
      <c r="L137" s="37"/>
      <c r="M137" s="85"/>
      <c r="N137" s="26"/>
      <c r="O137" s="29">
        <v>46236</v>
      </c>
      <c r="P137" s="28">
        <f t="shared" si="10"/>
        <v>46600</v>
      </c>
    </row>
    <row r="138" spans="2:16" ht="20.149999999999999" customHeight="1" x14ac:dyDescent="0.2">
      <c r="B138" s="25">
        <v>46240</v>
      </c>
      <c r="C138" s="26" t="s">
        <v>1842</v>
      </c>
      <c r="D138" s="26" t="s">
        <v>1840</v>
      </c>
      <c r="E138" s="26" t="s">
        <v>816</v>
      </c>
      <c r="F138" s="26">
        <v>20260803008</v>
      </c>
      <c r="G138" s="26" t="s">
        <v>887</v>
      </c>
      <c r="H138" s="38">
        <f t="shared" si="15"/>
        <v>69111.903307888206</v>
      </c>
      <c r="I138" s="38">
        <v>4270</v>
      </c>
      <c r="J138" s="38">
        <v>4250</v>
      </c>
      <c r="K138" s="38">
        <f>J138/0.786+1</f>
        <v>5408.1246819338421</v>
      </c>
      <c r="L138" s="37"/>
      <c r="M138" s="85"/>
      <c r="N138" s="26"/>
      <c r="O138" s="29">
        <v>46238</v>
      </c>
      <c r="P138" s="28">
        <f t="shared" si="10"/>
        <v>46602</v>
      </c>
    </row>
    <row r="139" spans="2:16" ht="20.149999999999999" customHeight="1" x14ac:dyDescent="0.2">
      <c r="B139" s="25">
        <v>46242</v>
      </c>
      <c r="C139" s="26" t="s">
        <v>1861</v>
      </c>
      <c r="D139" s="26" t="s">
        <v>1855</v>
      </c>
      <c r="E139" s="26" t="s">
        <v>816</v>
      </c>
      <c r="F139" s="26">
        <v>20260803009</v>
      </c>
      <c r="G139" s="26" t="s">
        <v>887</v>
      </c>
      <c r="H139" s="38">
        <f t="shared" si="15"/>
        <v>63754.669211196095</v>
      </c>
      <c r="I139" s="38">
        <v>4160</v>
      </c>
      <c r="J139" s="38">
        <v>4210</v>
      </c>
      <c r="K139" s="38">
        <f>J139/0.786+1</f>
        <v>5357.234096692112</v>
      </c>
      <c r="L139" s="37"/>
      <c r="M139" s="85"/>
      <c r="N139" s="26"/>
      <c r="O139" s="29">
        <v>46240</v>
      </c>
      <c r="P139" s="28">
        <f t="shared" si="10"/>
        <v>46604</v>
      </c>
    </row>
    <row r="140" spans="2:16" ht="20.149999999999999" customHeight="1" x14ac:dyDescent="0.2">
      <c r="B140" s="25">
        <v>46243</v>
      </c>
      <c r="C140" s="26" t="s">
        <v>1872</v>
      </c>
      <c r="D140" s="26" t="s">
        <v>1869</v>
      </c>
      <c r="E140" s="26" t="s">
        <v>816</v>
      </c>
      <c r="F140" s="26">
        <v>20260803010</v>
      </c>
      <c r="G140" s="26" t="s">
        <v>887</v>
      </c>
      <c r="H140" s="38">
        <f t="shared" si="15"/>
        <v>58257.486005089224</v>
      </c>
      <c r="I140" s="38">
        <v>4350</v>
      </c>
      <c r="J140" s="38">
        <v>4320</v>
      </c>
      <c r="K140" s="38">
        <f>J140/0.786+1</f>
        <v>5497.1832061068699</v>
      </c>
      <c r="L140" s="37"/>
      <c r="M140" s="85"/>
      <c r="N140" s="26"/>
      <c r="O140" s="29">
        <v>46241</v>
      </c>
      <c r="P140" s="28">
        <f t="shared" si="10"/>
        <v>46605</v>
      </c>
    </row>
    <row r="141" spans="2:16" ht="20.149999999999999" customHeight="1" x14ac:dyDescent="0.2">
      <c r="B141" s="25">
        <v>46245</v>
      </c>
      <c r="C141" s="26" t="s">
        <v>1894</v>
      </c>
      <c r="D141" s="26" t="s">
        <v>1893</v>
      </c>
      <c r="E141" s="26" t="s">
        <v>816</v>
      </c>
      <c r="F141" s="26">
        <v>20260803011</v>
      </c>
      <c r="G141" s="26" t="s">
        <v>1895</v>
      </c>
      <c r="H141" s="38">
        <f t="shared" si="15"/>
        <v>52697.689567430192</v>
      </c>
      <c r="I141" s="38">
        <v>4360</v>
      </c>
      <c r="J141" s="38">
        <v>4370</v>
      </c>
      <c r="K141" s="38">
        <f t="shared" ref="K141" si="19">J141/0.786</f>
        <v>5559.7964376590326</v>
      </c>
      <c r="L141" s="37"/>
      <c r="M141" s="85"/>
      <c r="N141" s="26"/>
      <c r="O141" s="29">
        <v>46243</v>
      </c>
      <c r="P141" s="28">
        <f t="shared" si="10"/>
        <v>46607</v>
      </c>
    </row>
    <row r="142" spans="2:16" ht="20.149999999999999" customHeight="1" x14ac:dyDescent="0.2">
      <c r="B142" s="25">
        <v>46246</v>
      </c>
      <c r="C142" s="26" t="s">
        <v>1908</v>
      </c>
      <c r="D142" s="26" t="s">
        <v>1907</v>
      </c>
      <c r="E142" s="26" t="s">
        <v>816</v>
      </c>
      <c r="F142" s="26">
        <v>20260803012</v>
      </c>
      <c r="G142" s="26" t="s">
        <v>887</v>
      </c>
      <c r="H142" s="38">
        <f t="shared" si="15"/>
        <v>47176.06106870246</v>
      </c>
      <c r="I142" s="38">
        <v>4360</v>
      </c>
      <c r="J142" s="38">
        <v>4340</v>
      </c>
      <c r="K142" s="38">
        <f t="shared" ref="K142:K146" si="20">J142/0.786</f>
        <v>5521.628498727735</v>
      </c>
      <c r="L142" s="37"/>
      <c r="M142" s="85"/>
      <c r="N142" s="26"/>
      <c r="O142" s="29">
        <v>46244</v>
      </c>
      <c r="P142" s="28">
        <f t="shared" si="10"/>
        <v>46608</v>
      </c>
    </row>
    <row r="143" spans="2:16" ht="20.149999999999999" customHeight="1" x14ac:dyDescent="0.2">
      <c r="B143" s="25">
        <v>46247</v>
      </c>
      <c r="C143" s="26" t="s">
        <v>1916</v>
      </c>
      <c r="D143" s="26" t="s">
        <v>1915</v>
      </c>
      <c r="E143" s="26" t="s">
        <v>816</v>
      </c>
      <c r="F143" s="26">
        <v>20260811027</v>
      </c>
      <c r="G143" s="26" t="s">
        <v>887</v>
      </c>
      <c r="H143" s="38">
        <f t="shared" si="15"/>
        <v>41705.323155216458</v>
      </c>
      <c r="I143" s="38">
        <v>4290</v>
      </c>
      <c r="J143" s="38">
        <v>4300</v>
      </c>
      <c r="K143" s="38">
        <f t="shared" si="20"/>
        <v>5470.7379134860048</v>
      </c>
      <c r="L143" s="37"/>
      <c r="M143" s="85"/>
      <c r="N143" s="26"/>
      <c r="O143" s="29">
        <v>46245</v>
      </c>
      <c r="P143" s="28">
        <f t="shared" si="10"/>
        <v>46609</v>
      </c>
    </row>
    <row r="144" spans="2:16" ht="20.149999999999999" customHeight="1" x14ac:dyDescent="0.2">
      <c r="B144" s="25">
        <v>46249</v>
      </c>
      <c r="C144" s="26" t="s">
        <v>1938</v>
      </c>
      <c r="D144" s="26" t="s">
        <v>1933</v>
      </c>
      <c r="E144" s="26" t="s">
        <v>816</v>
      </c>
      <c r="F144" s="26">
        <v>20260811028</v>
      </c>
      <c r="G144" s="26" t="s">
        <v>887</v>
      </c>
      <c r="H144" s="38">
        <f t="shared" si="15"/>
        <v>36169.972010178288</v>
      </c>
      <c r="I144" s="38">
        <v>4380</v>
      </c>
      <c r="J144" s="38">
        <v>4350</v>
      </c>
      <c r="K144" s="38">
        <f>J144/0.786+1</f>
        <v>5535.3511450381675</v>
      </c>
      <c r="L144" s="37"/>
      <c r="M144" s="85"/>
      <c r="N144" s="26"/>
      <c r="O144" s="29">
        <v>46247</v>
      </c>
      <c r="P144" s="28">
        <f t="shared" si="10"/>
        <v>46611</v>
      </c>
    </row>
    <row r="145" spans="2:16" ht="20.149999999999999" customHeight="1" x14ac:dyDescent="0.2">
      <c r="B145" s="25">
        <v>46250</v>
      </c>
      <c r="C145" s="26" t="s">
        <v>1949</v>
      </c>
      <c r="D145" s="26" t="s">
        <v>1946</v>
      </c>
      <c r="E145" s="26" t="s">
        <v>816</v>
      </c>
      <c r="F145" s="26">
        <v>20260811029</v>
      </c>
      <c r="G145" s="26" t="s">
        <v>887</v>
      </c>
      <c r="H145" s="38">
        <f t="shared" ref="H145:H150" si="21">H144-K145</f>
        <v>30774.569974554877</v>
      </c>
      <c r="I145" s="38">
        <v>4290</v>
      </c>
      <c r="J145" s="38">
        <v>4240</v>
      </c>
      <c r="K145" s="38">
        <f>J145/0.786+1</f>
        <v>5395.4020356234096</v>
      </c>
      <c r="L145" s="37"/>
      <c r="M145" s="85"/>
      <c r="N145" s="26"/>
      <c r="O145" s="29">
        <v>46248</v>
      </c>
      <c r="P145" s="28">
        <f t="shared" ref="P145:P188" si="22">DATE(YEAR(O145)+1,MONTH(O145),DAY(O145))-1</f>
        <v>46612</v>
      </c>
    </row>
    <row r="146" spans="2:16" ht="20.149999999999999" customHeight="1" x14ac:dyDescent="0.2">
      <c r="B146" s="25">
        <v>46252</v>
      </c>
      <c r="C146" s="26" t="s">
        <v>1977</v>
      </c>
      <c r="D146" s="26" t="s">
        <v>1968</v>
      </c>
      <c r="E146" s="26" t="s">
        <v>816</v>
      </c>
      <c r="F146" s="26">
        <v>20260811030</v>
      </c>
      <c r="G146" s="26" t="s">
        <v>1972</v>
      </c>
      <c r="H146" s="38">
        <f t="shared" si="21"/>
        <v>25354.722646310602</v>
      </c>
      <c r="I146" s="38">
        <v>4280</v>
      </c>
      <c r="J146" s="38">
        <v>4260</v>
      </c>
      <c r="K146" s="38">
        <f t="shared" si="20"/>
        <v>5419.8473282442746</v>
      </c>
      <c r="L146" s="37"/>
      <c r="M146" s="85"/>
      <c r="N146" s="26"/>
      <c r="O146" s="29">
        <v>46250</v>
      </c>
      <c r="P146" s="28">
        <f t="shared" si="22"/>
        <v>46614</v>
      </c>
    </row>
    <row r="147" spans="2:16" ht="20.149999999999999" customHeight="1" x14ac:dyDescent="0.2">
      <c r="B147" s="25">
        <v>46253</v>
      </c>
      <c r="C147" s="26" t="s">
        <v>1985</v>
      </c>
      <c r="D147" s="26" t="s">
        <v>1982</v>
      </c>
      <c r="E147" s="26" t="s">
        <v>816</v>
      </c>
      <c r="F147" s="26">
        <v>20260817032</v>
      </c>
      <c r="G147" s="26" t="s">
        <v>1986</v>
      </c>
      <c r="H147" s="38">
        <f t="shared" si="21"/>
        <v>20011.211195928921</v>
      </c>
      <c r="I147" s="38">
        <v>4260</v>
      </c>
      <c r="J147" s="38">
        <v>4200</v>
      </c>
      <c r="K147" s="38">
        <f t="shared" ref="K147" si="23">J147/0.786</f>
        <v>5343.5114503816794</v>
      </c>
      <c r="L147" s="37"/>
      <c r="M147" s="85"/>
      <c r="N147" s="26"/>
      <c r="O147" s="29">
        <v>46251</v>
      </c>
      <c r="P147" s="28">
        <f t="shared" si="22"/>
        <v>46615</v>
      </c>
    </row>
    <row r="148" spans="2:16" ht="20.149999999999999" customHeight="1" x14ac:dyDescent="0.2">
      <c r="B148" s="25">
        <v>46254</v>
      </c>
      <c r="C148" s="26" t="s">
        <v>1998</v>
      </c>
      <c r="D148" s="26" t="s">
        <v>1993</v>
      </c>
      <c r="E148" s="26" t="s">
        <v>816</v>
      </c>
      <c r="F148" s="26">
        <v>20260817033</v>
      </c>
      <c r="G148" s="26" t="s">
        <v>1597</v>
      </c>
      <c r="H148" s="38">
        <f t="shared" si="21"/>
        <v>14667.699745547241</v>
      </c>
      <c r="I148" s="38">
        <v>4250</v>
      </c>
      <c r="J148" s="38">
        <v>4200</v>
      </c>
      <c r="K148" s="38">
        <f t="shared" ref="K148:K160" si="24">J148/0.786</f>
        <v>5343.5114503816794</v>
      </c>
      <c r="L148" s="37"/>
      <c r="M148" s="85"/>
      <c r="N148" s="26"/>
      <c r="O148" s="29">
        <v>46252</v>
      </c>
      <c r="P148" s="28">
        <f t="shared" si="22"/>
        <v>46616</v>
      </c>
    </row>
    <row r="149" spans="2:16" ht="20.149999999999999" customHeight="1" x14ac:dyDescent="0.2">
      <c r="B149" s="25">
        <v>46256</v>
      </c>
      <c r="C149" s="26" t="s">
        <v>2023</v>
      </c>
      <c r="D149" s="26" t="s">
        <v>2021</v>
      </c>
      <c r="E149" s="26" t="s">
        <v>816</v>
      </c>
      <c r="F149" s="26">
        <v>20260817034</v>
      </c>
      <c r="G149" s="26" t="s">
        <v>949</v>
      </c>
      <c r="H149" s="38">
        <f t="shared" si="21"/>
        <v>9324.1882951655607</v>
      </c>
      <c r="I149" s="38">
        <v>4190</v>
      </c>
      <c r="J149" s="38">
        <v>4200</v>
      </c>
      <c r="K149" s="38">
        <f t="shared" si="24"/>
        <v>5343.5114503816794</v>
      </c>
      <c r="L149" s="37"/>
      <c r="M149" s="85"/>
      <c r="N149" s="26"/>
      <c r="O149" s="29">
        <v>46254</v>
      </c>
      <c r="P149" s="28">
        <f t="shared" si="22"/>
        <v>46618</v>
      </c>
    </row>
    <row r="150" spans="2:16" ht="20.149999999999999" customHeight="1" x14ac:dyDescent="0.2">
      <c r="B150" s="25">
        <v>46257</v>
      </c>
      <c r="C150" s="26" t="s">
        <v>2032</v>
      </c>
      <c r="D150" s="26" t="s">
        <v>2031</v>
      </c>
      <c r="E150" s="26" t="s">
        <v>816</v>
      </c>
      <c r="F150" s="26">
        <v>20260817035</v>
      </c>
      <c r="G150" s="26" t="s">
        <v>887</v>
      </c>
      <c r="H150" s="38">
        <f t="shared" si="21"/>
        <v>4082.4580152673425</v>
      </c>
      <c r="I150" s="38">
        <v>4230</v>
      </c>
      <c r="J150" s="38">
        <v>4120</v>
      </c>
      <c r="K150" s="38">
        <f t="shared" si="24"/>
        <v>5241.7302798982182</v>
      </c>
      <c r="L150" s="37"/>
      <c r="M150" s="85"/>
      <c r="N150" s="26"/>
      <c r="O150" s="29">
        <v>46255</v>
      </c>
      <c r="P150" s="28">
        <f t="shared" si="22"/>
        <v>46619</v>
      </c>
    </row>
    <row r="151" spans="2:16" ht="20.149999999999999" customHeight="1" x14ac:dyDescent="0.2">
      <c r="B151" s="25">
        <v>46258</v>
      </c>
      <c r="C151" s="26" t="s">
        <v>2046</v>
      </c>
      <c r="D151" s="26" t="s">
        <v>2040</v>
      </c>
      <c r="E151" s="26" t="s">
        <v>816</v>
      </c>
      <c r="F151" s="26" t="s">
        <v>2326</v>
      </c>
      <c r="G151" s="26" t="s">
        <v>2072</v>
      </c>
      <c r="H151" s="38">
        <f>4084-K151</f>
        <v>-7.3791348600025231E-2</v>
      </c>
      <c r="I151" s="38">
        <v>4390</v>
      </c>
      <c r="J151" s="38">
        <v>4360</v>
      </c>
      <c r="K151" s="38">
        <f>J151/0.786-1463</f>
        <v>4084.0737913486</v>
      </c>
      <c r="L151" s="37"/>
      <c r="M151" s="85"/>
      <c r="N151" s="26"/>
      <c r="O151" s="29">
        <v>46256</v>
      </c>
      <c r="P151" s="28">
        <f t="shared" si="22"/>
        <v>46620</v>
      </c>
    </row>
    <row r="152" spans="2:16" ht="20.149999999999999" customHeight="1" x14ac:dyDescent="0.2">
      <c r="B152" s="30">
        <v>46258</v>
      </c>
      <c r="C152" s="31" t="s">
        <v>2046</v>
      </c>
      <c r="D152" s="31" t="s">
        <v>2040</v>
      </c>
      <c r="E152" s="31" t="s">
        <v>816</v>
      </c>
      <c r="F152" s="31" t="s">
        <v>2327</v>
      </c>
      <c r="G152" s="31" t="s">
        <v>2022</v>
      </c>
      <c r="H152" s="41">
        <f>300000-K152</f>
        <v>298536</v>
      </c>
      <c r="I152" s="41"/>
      <c r="J152" s="41"/>
      <c r="K152" s="41">
        <v>1464</v>
      </c>
      <c r="L152" s="42"/>
      <c r="M152" s="89"/>
      <c r="N152" s="31"/>
      <c r="O152" s="29">
        <v>46256</v>
      </c>
      <c r="P152" s="28">
        <f t="shared" si="22"/>
        <v>46620</v>
      </c>
    </row>
    <row r="153" spans="2:16" ht="20.149999999999999" customHeight="1" x14ac:dyDescent="0.2">
      <c r="B153" s="30">
        <v>46259</v>
      </c>
      <c r="C153" s="31" t="s">
        <v>2063</v>
      </c>
      <c r="D153" s="31" t="s">
        <v>2056</v>
      </c>
      <c r="E153" s="31" t="s">
        <v>816</v>
      </c>
      <c r="F153" s="31" t="s">
        <v>2328</v>
      </c>
      <c r="G153" s="31" t="s">
        <v>2062</v>
      </c>
      <c r="H153" s="41">
        <f t="shared" ref="H153:H159" si="25">H152-K153</f>
        <v>293089.70737913484</v>
      </c>
      <c r="I153" s="41">
        <v>4280</v>
      </c>
      <c r="J153" s="41">
        <v>4280</v>
      </c>
      <c r="K153" s="41">
        <f>J153/0.786+1</f>
        <v>5446.2926208651397</v>
      </c>
      <c r="L153" s="42"/>
      <c r="M153" s="89"/>
      <c r="N153" s="31"/>
      <c r="O153" s="29">
        <v>46258</v>
      </c>
      <c r="P153" s="28">
        <f t="shared" si="22"/>
        <v>46622</v>
      </c>
    </row>
    <row r="154" spans="2:16" ht="20.149999999999999" customHeight="1" x14ac:dyDescent="0.2">
      <c r="B154" s="30">
        <v>46260</v>
      </c>
      <c r="C154" s="31" t="s">
        <v>2071</v>
      </c>
      <c r="D154" s="31" t="s">
        <v>2070</v>
      </c>
      <c r="E154" s="31" t="s">
        <v>816</v>
      </c>
      <c r="F154" s="31" t="s">
        <v>2329</v>
      </c>
      <c r="G154" s="31" t="s">
        <v>2022</v>
      </c>
      <c r="H154" s="41">
        <f t="shared" si="25"/>
        <v>287592.52417302795</v>
      </c>
      <c r="I154" s="41">
        <v>4410</v>
      </c>
      <c r="J154" s="41">
        <v>4320</v>
      </c>
      <c r="K154" s="41">
        <f>J154/0.786+1</f>
        <v>5497.1832061068699</v>
      </c>
      <c r="L154" s="42"/>
      <c r="M154" s="89"/>
      <c r="N154" s="31"/>
      <c r="O154" s="29">
        <v>46259</v>
      </c>
      <c r="P154" s="28">
        <f t="shared" si="22"/>
        <v>46623</v>
      </c>
    </row>
    <row r="155" spans="2:16" ht="20.149999999999999" customHeight="1" x14ac:dyDescent="0.2">
      <c r="B155" s="30">
        <v>46262</v>
      </c>
      <c r="C155" s="31" t="s">
        <v>2084</v>
      </c>
      <c r="D155" s="31" t="str">
        <f>IF($C155="", "", MID($C155, 6, IF(MID($C155, LEN($C155)-1, 1)="J", 3, 4)))</f>
        <v>E309</v>
      </c>
      <c r="E155" s="31" t="s">
        <v>816</v>
      </c>
      <c r="F155" s="31" t="s">
        <v>2330</v>
      </c>
      <c r="G155" s="31" t="s">
        <v>2022</v>
      </c>
      <c r="H155" s="41">
        <f t="shared" si="25"/>
        <v>282261.7353689567</v>
      </c>
      <c r="I155" s="41">
        <v>4190</v>
      </c>
      <c r="J155" s="41">
        <v>4190</v>
      </c>
      <c r="K155" s="41">
        <f t="shared" si="24"/>
        <v>5330.7888040712469</v>
      </c>
      <c r="L155" s="42"/>
      <c r="M155" s="89"/>
      <c r="N155" s="31"/>
      <c r="O155" s="29">
        <v>46260</v>
      </c>
      <c r="P155" s="28">
        <f t="shared" si="22"/>
        <v>46624</v>
      </c>
    </row>
    <row r="156" spans="2:16" ht="20.149999999999999" customHeight="1" x14ac:dyDescent="0.2">
      <c r="B156" s="30">
        <v>46263</v>
      </c>
      <c r="C156" s="31" t="s">
        <v>2087</v>
      </c>
      <c r="D156" s="31" t="str">
        <f t="shared" ref="D156:D191" si="26">IF($C156="", "", MID($C156, 6, IF(MID($C156, LEN($C156)-1, 1)="J", 3, 4)))</f>
        <v>E44</v>
      </c>
      <c r="E156" s="31" t="s">
        <v>816</v>
      </c>
      <c r="F156" s="31" t="s">
        <v>2331</v>
      </c>
      <c r="G156" s="31" t="s">
        <v>2093</v>
      </c>
      <c r="H156" s="41">
        <f t="shared" si="25"/>
        <v>276651.0483460559</v>
      </c>
      <c r="I156" s="41">
        <v>4460</v>
      </c>
      <c r="J156" s="41">
        <v>4410</v>
      </c>
      <c r="K156" s="41">
        <f t="shared" si="24"/>
        <v>5610.6870229007627</v>
      </c>
      <c r="L156" s="42"/>
      <c r="M156" s="89"/>
      <c r="N156" s="31"/>
      <c r="O156" s="29">
        <f>IF($C156="","",DATE(2000+LEFT($C156,2), HEX2DEC(MID($C156,3,1)), MID($C156,4,2)))</f>
        <v>46261</v>
      </c>
      <c r="P156" s="28">
        <f t="shared" si="22"/>
        <v>46625</v>
      </c>
    </row>
    <row r="157" spans="2:16" ht="20.149999999999999" customHeight="1" x14ac:dyDescent="0.2">
      <c r="B157" s="30">
        <v>46264</v>
      </c>
      <c r="C157" s="31" t="s">
        <v>2100</v>
      </c>
      <c r="D157" s="31" t="str">
        <f t="shared" si="26"/>
        <v>E29</v>
      </c>
      <c r="E157" s="31" t="s">
        <v>816</v>
      </c>
      <c r="F157" s="31">
        <v>20260821008</v>
      </c>
      <c r="G157" s="31" t="s">
        <v>2022</v>
      </c>
      <c r="H157" s="41">
        <f t="shared" si="25"/>
        <v>271142.14249363862</v>
      </c>
      <c r="I157" s="41">
        <v>4350</v>
      </c>
      <c r="J157" s="41">
        <v>4330</v>
      </c>
      <c r="K157" s="41">
        <f t="shared" si="24"/>
        <v>5508.9058524173024</v>
      </c>
      <c r="L157" s="42"/>
      <c r="M157" s="89"/>
      <c r="N157" s="31"/>
      <c r="O157" s="29">
        <f t="shared" ref="O157:O192" si="27">IF($C157="","",DATE(2000+LEFT($C157,2), HEX2DEC(MID($C157,3,1)), MID($C157,4,2)))</f>
        <v>46262</v>
      </c>
      <c r="P157" s="28">
        <f t="shared" si="22"/>
        <v>46626</v>
      </c>
    </row>
    <row r="158" spans="2:16" ht="20.149999999999999" customHeight="1" x14ac:dyDescent="0.2">
      <c r="B158" s="30">
        <v>46265</v>
      </c>
      <c r="C158" s="31" t="s">
        <v>2106</v>
      </c>
      <c r="D158" s="31" t="str">
        <f t="shared" si="26"/>
        <v>E305</v>
      </c>
      <c r="E158" s="31" t="s">
        <v>816</v>
      </c>
      <c r="F158" s="31">
        <v>20260828013</v>
      </c>
      <c r="G158" s="31" t="s">
        <v>2102</v>
      </c>
      <c r="H158" s="41">
        <f t="shared" si="25"/>
        <v>265671.40458015259</v>
      </c>
      <c r="I158" s="41">
        <v>4320</v>
      </c>
      <c r="J158" s="41">
        <v>4300</v>
      </c>
      <c r="K158" s="41">
        <f t="shared" si="24"/>
        <v>5470.7379134860048</v>
      </c>
      <c r="L158" s="31"/>
      <c r="M158" s="89"/>
      <c r="N158" s="31"/>
      <c r="O158" s="29">
        <f t="shared" si="27"/>
        <v>46263</v>
      </c>
      <c r="P158" s="28">
        <f t="shared" si="22"/>
        <v>46627</v>
      </c>
    </row>
    <row r="159" spans="2:16" ht="20.149999999999999" customHeight="1" x14ac:dyDescent="0.2">
      <c r="B159" s="30">
        <v>46266</v>
      </c>
      <c r="C159" s="31" t="s">
        <v>2110</v>
      </c>
      <c r="D159" s="31" t="str">
        <f t="shared" si="26"/>
        <v>E319</v>
      </c>
      <c r="E159" s="31" t="s">
        <v>816</v>
      </c>
      <c r="F159" s="31">
        <v>20260831034</v>
      </c>
      <c r="G159" s="31" t="s">
        <v>2022</v>
      </c>
      <c r="H159" s="41">
        <f t="shared" si="25"/>
        <v>260162.49872773528</v>
      </c>
      <c r="I159" s="41">
        <v>4370</v>
      </c>
      <c r="J159" s="41">
        <v>4330</v>
      </c>
      <c r="K159" s="41">
        <f t="shared" si="24"/>
        <v>5508.9058524173024</v>
      </c>
      <c r="L159" s="31"/>
      <c r="M159" s="89"/>
      <c r="N159" s="31"/>
      <c r="O159" s="29">
        <f t="shared" si="27"/>
        <v>46264</v>
      </c>
      <c r="P159" s="28">
        <f t="shared" si="22"/>
        <v>46628</v>
      </c>
    </row>
    <row r="160" spans="2:16" ht="20.149999999999999" customHeight="1" x14ac:dyDescent="0.2">
      <c r="B160" s="69">
        <v>46267</v>
      </c>
      <c r="C160" s="70" t="s">
        <v>2120</v>
      </c>
      <c r="D160" s="70" t="str">
        <f t="shared" si="26"/>
        <v>E318</v>
      </c>
      <c r="E160" s="70" t="s">
        <v>816</v>
      </c>
      <c r="F160" s="70">
        <v>20260901003</v>
      </c>
      <c r="G160" s="70" t="s">
        <v>2128</v>
      </c>
      <c r="H160" s="71">
        <f>6000-K160</f>
        <v>5440.2035623409665</v>
      </c>
      <c r="I160" s="124">
        <v>4340</v>
      </c>
      <c r="J160" s="124">
        <v>440</v>
      </c>
      <c r="K160" s="71">
        <f t="shared" si="24"/>
        <v>559.79643765903302</v>
      </c>
      <c r="L160" s="74" t="s">
        <v>2364</v>
      </c>
      <c r="M160" s="96"/>
      <c r="N160" s="70"/>
      <c r="O160" s="29">
        <f t="shared" si="27"/>
        <v>46265</v>
      </c>
      <c r="P160" s="28">
        <f t="shared" si="22"/>
        <v>46629</v>
      </c>
    </row>
    <row r="161" spans="2:16" ht="20.149999999999999" customHeight="1" x14ac:dyDescent="0.2">
      <c r="B161" s="45">
        <v>46267</v>
      </c>
      <c r="C161" s="46" t="s">
        <v>2122</v>
      </c>
      <c r="D161" s="46" t="str">
        <f t="shared" si="26"/>
        <v>E302</v>
      </c>
      <c r="E161" s="46" t="s">
        <v>2121</v>
      </c>
      <c r="F161" s="46">
        <v>20260901028</v>
      </c>
      <c r="G161" s="46" t="s">
        <v>2126</v>
      </c>
      <c r="H161" s="48">
        <f>100000-K161</f>
        <v>94529.262086513991</v>
      </c>
      <c r="I161" s="125">
        <v>4310</v>
      </c>
      <c r="J161" s="125">
        <v>4300</v>
      </c>
      <c r="K161" s="48">
        <f t="shared" ref="K161:K170" si="28">J161/0.786</f>
        <v>5470.7379134860048</v>
      </c>
      <c r="L161" s="46"/>
      <c r="M161" s="84"/>
      <c r="N161" s="46"/>
      <c r="O161" s="29">
        <f t="shared" si="27"/>
        <v>46266</v>
      </c>
      <c r="P161" s="28">
        <f t="shared" si="22"/>
        <v>46630</v>
      </c>
    </row>
    <row r="162" spans="2:16" ht="20.149999999999999" customHeight="1" x14ac:dyDescent="0.2">
      <c r="B162" s="45">
        <v>46269</v>
      </c>
      <c r="C162" s="46" t="s">
        <v>2139</v>
      </c>
      <c r="D162" s="46" t="str">
        <f t="shared" si="26"/>
        <v>E307</v>
      </c>
      <c r="E162" s="46" t="s">
        <v>2121</v>
      </c>
      <c r="F162" s="46">
        <v>20260903003</v>
      </c>
      <c r="G162" s="46" t="s">
        <v>2135</v>
      </c>
      <c r="H162" s="48">
        <f t="shared" ref="H162:H170" si="29">H161-K162</f>
        <v>89172.027989821872</v>
      </c>
      <c r="I162" s="125">
        <v>4230</v>
      </c>
      <c r="J162" s="125">
        <v>4210</v>
      </c>
      <c r="K162" s="48">
        <f>J162/0.786+1</f>
        <v>5357.234096692112</v>
      </c>
      <c r="L162" s="46"/>
      <c r="M162" s="84"/>
      <c r="N162" s="100">
        <v>0.70833333333333337</v>
      </c>
      <c r="O162" s="29">
        <f t="shared" si="27"/>
        <v>46267</v>
      </c>
      <c r="P162" s="28">
        <f t="shared" si="22"/>
        <v>46631</v>
      </c>
    </row>
    <row r="163" spans="2:16" ht="20.149999999999999" customHeight="1" x14ac:dyDescent="0.2">
      <c r="B163" s="45">
        <v>46271</v>
      </c>
      <c r="C163" s="46" t="s">
        <v>2340</v>
      </c>
      <c r="D163" s="46" t="str">
        <f t="shared" si="26"/>
        <v>E44</v>
      </c>
      <c r="E163" s="46" t="s">
        <v>2121</v>
      </c>
      <c r="F163" s="46" t="s">
        <v>2375</v>
      </c>
      <c r="G163" s="46" t="s">
        <v>2374</v>
      </c>
      <c r="H163" s="48">
        <f t="shared" si="29"/>
        <v>83674.844783715002</v>
      </c>
      <c r="I163" s="125">
        <v>4490</v>
      </c>
      <c r="J163" s="125">
        <v>4320</v>
      </c>
      <c r="K163" s="48">
        <f>J163/0.786+1</f>
        <v>5497.1832061068699</v>
      </c>
      <c r="L163" s="46"/>
      <c r="M163" s="84"/>
      <c r="N163" s="100">
        <v>0.91666666666666663</v>
      </c>
      <c r="O163" s="29">
        <f t="shared" si="27"/>
        <v>46269</v>
      </c>
      <c r="P163" s="28">
        <f t="shared" si="22"/>
        <v>46633</v>
      </c>
    </row>
    <row r="164" spans="2:16" ht="20.149999999999999" customHeight="1" x14ac:dyDescent="0.2">
      <c r="B164" s="45">
        <v>46274</v>
      </c>
      <c r="C164" s="46" t="s">
        <v>2356</v>
      </c>
      <c r="D164" s="46" t="str">
        <f t="shared" si="26"/>
        <v>E307</v>
      </c>
      <c r="E164" s="46" t="s">
        <v>2121</v>
      </c>
      <c r="F164" s="46">
        <v>20260903005</v>
      </c>
      <c r="G164" s="46" t="s">
        <v>2357</v>
      </c>
      <c r="H164" s="48">
        <f t="shared" si="29"/>
        <v>78190.384223918561</v>
      </c>
      <c r="I164" s="125">
        <v>4260</v>
      </c>
      <c r="J164" s="125">
        <v>4310</v>
      </c>
      <c r="K164" s="48">
        <f>J164/0.786+1</f>
        <v>5484.4605597964373</v>
      </c>
      <c r="L164" s="46"/>
      <c r="M164" s="84"/>
      <c r="N164" s="100">
        <v>0</v>
      </c>
      <c r="O164" s="29">
        <f t="shared" si="27"/>
        <v>46272</v>
      </c>
      <c r="P164" s="28">
        <f t="shared" si="22"/>
        <v>46636</v>
      </c>
    </row>
    <row r="165" spans="2:16" ht="20.149999999999999" customHeight="1" x14ac:dyDescent="0.25">
      <c r="B165" s="111">
        <v>46274</v>
      </c>
      <c r="C165" s="112" t="s">
        <v>2369</v>
      </c>
      <c r="D165" s="112" t="str">
        <f t="shared" si="26"/>
        <v>E311</v>
      </c>
      <c r="E165" s="112" t="s">
        <v>2362</v>
      </c>
      <c r="F165" s="112">
        <v>20260908002</v>
      </c>
      <c r="G165" s="112" t="s">
        <v>2368</v>
      </c>
      <c r="H165" s="113">
        <f>24000-K165</f>
        <v>23311.977099236643</v>
      </c>
      <c r="I165" s="126">
        <v>4460</v>
      </c>
      <c r="J165" s="126">
        <v>540</v>
      </c>
      <c r="K165" s="113">
        <f>J165/0.786+1</f>
        <v>688.02290076335873</v>
      </c>
      <c r="L165" s="116" t="s">
        <v>2367</v>
      </c>
      <c r="M165" s="114"/>
      <c r="N165" s="115">
        <v>0.41666666666666669</v>
      </c>
      <c r="O165" s="29">
        <f t="shared" si="27"/>
        <v>46271</v>
      </c>
      <c r="P165" s="28">
        <f t="shared" si="22"/>
        <v>46635</v>
      </c>
    </row>
    <row r="166" spans="2:16" ht="20.149999999999999" customHeight="1" x14ac:dyDescent="0.2">
      <c r="B166" s="45">
        <v>46276</v>
      </c>
      <c r="C166" s="46" t="s">
        <v>2386</v>
      </c>
      <c r="D166" s="46" t="str">
        <f t="shared" si="26"/>
        <v>E302</v>
      </c>
      <c r="E166" s="46" t="s">
        <v>2121</v>
      </c>
      <c r="F166" s="46">
        <v>20260903006</v>
      </c>
      <c r="G166" s="46" t="s">
        <v>2390</v>
      </c>
      <c r="H166" s="48">
        <f>H164-K166</f>
        <v>72846.872773536888</v>
      </c>
      <c r="I166" s="125">
        <v>4180</v>
      </c>
      <c r="J166" s="125">
        <v>4200</v>
      </c>
      <c r="K166" s="48">
        <f t="shared" si="28"/>
        <v>5343.5114503816794</v>
      </c>
      <c r="L166" s="46"/>
      <c r="M166" s="84"/>
      <c r="N166" s="117">
        <v>0.125</v>
      </c>
      <c r="O166" s="29">
        <f t="shared" si="27"/>
        <v>46274</v>
      </c>
      <c r="P166" s="28">
        <f t="shared" si="22"/>
        <v>46638</v>
      </c>
    </row>
    <row r="167" spans="2:16" ht="20.149999999999999" customHeight="1" x14ac:dyDescent="0.2">
      <c r="B167" s="45">
        <v>46278</v>
      </c>
      <c r="C167" s="46" t="s">
        <v>2395</v>
      </c>
      <c r="D167" s="46" t="str">
        <f t="shared" si="26"/>
        <v>E319</v>
      </c>
      <c r="E167" s="46" t="s">
        <v>2121</v>
      </c>
      <c r="F167" s="46">
        <v>20260907036</v>
      </c>
      <c r="G167" s="46" t="s">
        <v>2397</v>
      </c>
      <c r="H167" s="48">
        <f t="shared" si="29"/>
        <v>67362.412213740448</v>
      </c>
      <c r="I167" s="125">
        <v>4400</v>
      </c>
      <c r="J167" s="125">
        <v>4310</v>
      </c>
      <c r="K167" s="48">
        <f>J167/0.786+1</f>
        <v>5484.4605597964373</v>
      </c>
      <c r="L167" s="46"/>
      <c r="M167" s="84"/>
      <c r="N167" s="117">
        <v>4.1666666666666664E-2</v>
      </c>
      <c r="O167" s="29">
        <f t="shared" si="27"/>
        <v>46275</v>
      </c>
      <c r="P167" s="28">
        <f t="shared" si="22"/>
        <v>46639</v>
      </c>
    </row>
    <row r="168" spans="2:16" ht="20.149999999999999" customHeight="1" x14ac:dyDescent="0.25">
      <c r="B168" s="111">
        <v>46280</v>
      </c>
      <c r="C168" s="112" t="s">
        <v>2413</v>
      </c>
      <c r="D168" s="112" t="str">
        <f t="shared" si="26"/>
        <v>E320</v>
      </c>
      <c r="E168" s="112" t="s">
        <v>2362</v>
      </c>
      <c r="F168" s="112">
        <v>20260914010</v>
      </c>
      <c r="G168" s="112" t="s">
        <v>2411</v>
      </c>
      <c r="H168" s="113">
        <f>H165-K168</f>
        <v>22701.290076335881</v>
      </c>
      <c r="I168" s="126">
        <v>4310</v>
      </c>
      <c r="J168" s="126">
        <v>480</v>
      </c>
      <c r="K168" s="113">
        <f>J168/0.786</f>
        <v>610.68702290076328</v>
      </c>
      <c r="L168" s="116" t="s">
        <v>2367</v>
      </c>
      <c r="M168" s="114"/>
      <c r="N168" s="115">
        <v>0.20833333333333334</v>
      </c>
      <c r="O168" s="29">
        <f t="shared" si="27"/>
        <v>46279</v>
      </c>
      <c r="P168" s="28">
        <f t="shared" si="22"/>
        <v>46643</v>
      </c>
    </row>
    <row r="169" spans="2:16" ht="20.149999999999999" customHeight="1" x14ac:dyDescent="0.2">
      <c r="B169" s="45">
        <v>46282</v>
      </c>
      <c r="C169" s="46" t="s">
        <v>2422</v>
      </c>
      <c r="D169" s="46" t="str">
        <f t="shared" si="26"/>
        <v>E307</v>
      </c>
      <c r="E169" s="46" t="s">
        <v>2121</v>
      </c>
      <c r="F169" s="46">
        <v>20260907037</v>
      </c>
      <c r="G169" s="46" t="s">
        <v>2126</v>
      </c>
      <c r="H169" s="48">
        <f>H167-K169</f>
        <v>67362.412213740448</v>
      </c>
      <c r="I169" s="125"/>
      <c r="J169" s="125"/>
      <c r="K169" s="48">
        <f t="shared" si="28"/>
        <v>0</v>
      </c>
      <c r="L169" s="46"/>
      <c r="M169" s="84"/>
      <c r="N169" s="117">
        <v>0.66666666666666663</v>
      </c>
      <c r="O169" s="29">
        <f t="shared" si="27"/>
        <v>46280</v>
      </c>
      <c r="P169" s="28">
        <f t="shared" si="22"/>
        <v>46644</v>
      </c>
    </row>
    <row r="170" spans="2:16" ht="20.149999999999999" customHeight="1" x14ac:dyDescent="0.2">
      <c r="B170" s="45">
        <v>46284</v>
      </c>
      <c r="C170" s="46"/>
      <c r="D170" s="46" t="str">
        <f t="shared" si="26"/>
        <v/>
      </c>
      <c r="E170" s="46" t="s">
        <v>2121</v>
      </c>
      <c r="F170" s="46">
        <v>20260907038</v>
      </c>
      <c r="G170" s="46" t="s">
        <v>2126</v>
      </c>
      <c r="H170" s="48">
        <f t="shared" si="29"/>
        <v>67362.412213740448</v>
      </c>
      <c r="I170" s="125"/>
      <c r="J170" s="125"/>
      <c r="K170" s="48">
        <f t="shared" si="28"/>
        <v>0</v>
      </c>
      <c r="L170" s="46"/>
      <c r="M170" s="84"/>
      <c r="N170" s="117"/>
      <c r="O170" s="29" t="str">
        <f t="shared" si="27"/>
        <v/>
      </c>
      <c r="P170" s="28" t="e">
        <f t="shared" si="22"/>
        <v>#VALUE!</v>
      </c>
    </row>
    <row r="171" spans="2:16" ht="20.149999999999999" customHeight="1" x14ac:dyDescent="0.2">
      <c r="B171" s="45">
        <v>46286</v>
      </c>
      <c r="C171" s="46"/>
      <c r="D171" s="46" t="str">
        <f t="shared" si="26"/>
        <v/>
      </c>
      <c r="E171" s="46" t="s">
        <v>2121</v>
      </c>
      <c r="F171" s="46">
        <v>20260915031</v>
      </c>
      <c r="G171" s="46" t="s">
        <v>2126</v>
      </c>
      <c r="H171" s="48">
        <f>H170-K171</f>
        <v>67362.412213740448</v>
      </c>
      <c r="I171" s="125"/>
      <c r="J171" s="125"/>
      <c r="K171" s="48">
        <f t="shared" ref="K171" si="30">J171/0.786</f>
        <v>0</v>
      </c>
      <c r="L171" s="46"/>
      <c r="M171" s="84"/>
      <c r="N171" s="117"/>
      <c r="O171" s="29" t="str">
        <f t="shared" si="27"/>
        <v/>
      </c>
      <c r="P171" s="28" t="e">
        <f t="shared" si="22"/>
        <v>#VALUE!</v>
      </c>
    </row>
    <row r="172" spans="2:16" ht="20.149999999999999" customHeight="1" x14ac:dyDescent="0.2">
      <c r="B172" s="45">
        <v>46288</v>
      </c>
      <c r="C172" s="46"/>
      <c r="D172" s="46" t="str">
        <f t="shared" si="26"/>
        <v/>
      </c>
      <c r="E172" s="46" t="s">
        <v>2121</v>
      </c>
      <c r="F172" s="46">
        <v>20260915032</v>
      </c>
      <c r="G172" s="46" t="s">
        <v>2126</v>
      </c>
      <c r="H172" s="48">
        <f>H171-K172</f>
        <v>67362.412213740448</v>
      </c>
      <c r="I172" s="125"/>
      <c r="J172" s="125"/>
      <c r="K172" s="48">
        <f t="shared" ref="K172" si="31">J172/0.786</f>
        <v>0</v>
      </c>
      <c r="L172" s="46"/>
      <c r="M172" s="84"/>
      <c r="N172" s="117"/>
      <c r="O172" s="29" t="str">
        <f t="shared" si="27"/>
        <v/>
      </c>
      <c r="P172" s="28" t="e">
        <f t="shared" si="22"/>
        <v>#VALUE!</v>
      </c>
    </row>
    <row r="173" spans="2:16" ht="20.149999999999999" customHeight="1" x14ac:dyDescent="0.2">
      <c r="D173" s="46" t="str">
        <f t="shared" si="26"/>
        <v/>
      </c>
      <c r="N173" s="118"/>
      <c r="O173" s="29" t="str">
        <f t="shared" si="27"/>
        <v/>
      </c>
      <c r="P173" s="28" t="e">
        <f t="shared" si="22"/>
        <v>#VALUE!</v>
      </c>
    </row>
    <row r="174" spans="2:16" ht="20.149999999999999" customHeight="1" x14ac:dyDescent="0.2">
      <c r="D174" s="46" t="str">
        <f t="shared" si="26"/>
        <v/>
      </c>
      <c r="N174" s="118"/>
      <c r="O174" s="29" t="str">
        <f t="shared" si="27"/>
        <v/>
      </c>
      <c r="P174" s="28" t="e">
        <f t="shared" si="22"/>
        <v>#VALUE!</v>
      </c>
    </row>
    <row r="175" spans="2:16" ht="20.149999999999999" customHeight="1" x14ac:dyDescent="0.2">
      <c r="D175" s="46" t="str">
        <f t="shared" si="26"/>
        <v/>
      </c>
      <c r="N175" s="118"/>
      <c r="O175" s="29" t="str">
        <f t="shared" si="27"/>
        <v/>
      </c>
      <c r="P175" s="28" t="e">
        <f t="shared" si="22"/>
        <v>#VALUE!</v>
      </c>
    </row>
    <row r="176" spans="2:16" ht="20.149999999999999" customHeight="1" x14ac:dyDescent="0.2">
      <c r="D176" s="46" t="str">
        <f t="shared" si="26"/>
        <v/>
      </c>
      <c r="N176" s="118"/>
      <c r="O176" s="29" t="str">
        <f t="shared" si="27"/>
        <v/>
      </c>
      <c r="P176" s="28" t="e">
        <f t="shared" si="22"/>
        <v>#VALUE!</v>
      </c>
    </row>
    <row r="177" spans="4:16" ht="20.149999999999999" customHeight="1" x14ac:dyDescent="0.2">
      <c r="D177" s="46" t="str">
        <f t="shared" si="26"/>
        <v/>
      </c>
      <c r="N177" s="118"/>
      <c r="O177" s="29" t="str">
        <f t="shared" si="27"/>
        <v/>
      </c>
      <c r="P177" s="28" t="e">
        <f t="shared" si="22"/>
        <v>#VALUE!</v>
      </c>
    </row>
    <row r="178" spans="4:16" ht="20.149999999999999" customHeight="1" x14ac:dyDescent="0.2">
      <c r="D178" s="46" t="str">
        <f t="shared" si="26"/>
        <v/>
      </c>
      <c r="N178" s="118"/>
      <c r="O178" s="29" t="str">
        <f t="shared" si="27"/>
        <v/>
      </c>
      <c r="P178" s="28" t="e">
        <f t="shared" si="22"/>
        <v>#VALUE!</v>
      </c>
    </row>
    <row r="179" spans="4:16" ht="20.149999999999999" customHeight="1" x14ac:dyDescent="0.2">
      <c r="D179" s="46" t="str">
        <f t="shared" si="26"/>
        <v/>
      </c>
      <c r="N179" s="118"/>
      <c r="O179" s="29" t="str">
        <f t="shared" si="27"/>
        <v/>
      </c>
      <c r="P179" s="28" t="e">
        <f t="shared" si="22"/>
        <v>#VALUE!</v>
      </c>
    </row>
    <row r="180" spans="4:16" ht="20.149999999999999" customHeight="1" x14ac:dyDescent="0.2">
      <c r="D180" s="46" t="s">
        <v>2414</v>
      </c>
      <c r="N180" s="118"/>
      <c r="O180" s="29" t="str">
        <f t="shared" si="27"/>
        <v/>
      </c>
      <c r="P180" s="28" t="e">
        <f t="shared" si="22"/>
        <v>#VALUE!</v>
      </c>
    </row>
    <row r="181" spans="4:16" ht="20.149999999999999" customHeight="1" x14ac:dyDescent="0.2">
      <c r="D181" s="46" t="str">
        <f t="shared" si="26"/>
        <v/>
      </c>
      <c r="N181" s="118"/>
      <c r="O181" s="29" t="str">
        <f t="shared" si="27"/>
        <v/>
      </c>
      <c r="P181" s="28" t="e">
        <f t="shared" si="22"/>
        <v>#VALUE!</v>
      </c>
    </row>
    <row r="182" spans="4:16" ht="20.149999999999999" customHeight="1" x14ac:dyDescent="0.2">
      <c r="D182" s="46" t="str">
        <f t="shared" si="26"/>
        <v/>
      </c>
      <c r="N182" s="118"/>
      <c r="O182" s="29" t="str">
        <f t="shared" si="27"/>
        <v/>
      </c>
      <c r="P182" s="28" t="e">
        <f t="shared" si="22"/>
        <v>#VALUE!</v>
      </c>
    </row>
    <row r="183" spans="4:16" ht="20.149999999999999" customHeight="1" x14ac:dyDescent="0.2">
      <c r="D183" s="46" t="str">
        <f t="shared" si="26"/>
        <v/>
      </c>
      <c r="N183" s="118"/>
      <c r="O183" s="29" t="str">
        <f t="shared" si="27"/>
        <v/>
      </c>
      <c r="P183" s="28" t="e">
        <f t="shared" si="22"/>
        <v>#VALUE!</v>
      </c>
    </row>
    <row r="184" spans="4:16" ht="20.149999999999999" customHeight="1" x14ac:dyDescent="0.2">
      <c r="D184" s="46" t="str">
        <f t="shared" si="26"/>
        <v/>
      </c>
      <c r="N184" s="118"/>
      <c r="O184" s="29" t="str">
        <f t="shared" si="27"/>
        <v/>
      </c>
      <c r="P184" s="28" t="e">
        <f t="shared" si="22"/>
        <v>#VALUE!</v>
      </c>
    </row>
    <row r="185" spans="4:16" ht="20.149999999999999" customHeight="1" x14ac:dyDescent="0.2">
      <c r="D185" s="46" t="str">
        <f t="shared" si="26"/>
        <v/>
      </c>
      <c r="N185" s="118"/>
      <c r="O185" s="29" t="str">
        <f t="shared" si="27"/>
        <v/>
      </c>
      <c r="P185" s="28" t="e">
        <f t="shared" si="22"/>
        <v>#VALUE!</v>
      </c>
    </row>
    <row r="186" spans="4:16" ht="20.149999999999999" customHeight="1" x14ac:dyDescent="0.2">
      <c r="D186" s="46" t="str">
        <f t="shared" si="26"/>
        <v/>
      </c>
      <c r="N186" s="118"/>
      <c r="O186" s="29" t="str">
        <f t="shared" si="27"/>
        <v/>
      </c>
      <c r="P186" s="28" t="e">
        <f t="shared" si="22"/>
        <v>#VALUE!</v>
      </c>
    </row>
    <row r="187" spans="4:16" ht="20.149999999999999" customHeight="1" x14ac:dyDescent="0.2">
      <c r="D187" s="46" t="str">
        <f t="shared" si="26"/>
        <v/>
      </c>
      <c r="N187" s="118"/>
      <c r="O187" s="29" t="str">
        <f t="shared" si="27"/>
        <v/>
      </c>
      <c r="P187" s="28" t="e">
        <f t="shared" si="22"/>
        <v>#VALUE!</v>
      </c>
    </row>
    <row r="188" spans="4:16" ht="20.149999999999999" customHeight="1" x14ac:dyDescent="0.2">
      <c r="D188" s="46" t="str">
        <f t="shared" si="26"/>
        <v/>
      </c>
      <c r="N188" s="118"/>
      <c r="O188" s="29" t="str">
        <f t="shared" si="27"/>
        <v/>
      </c>
      <c r="P188" s="28" t="e">
        <f t="shared" si="22"/>
        <v>#VALUE!</v>
      </c>
    </row>
    <row r="189" spans="4:16" ht="20.149999999999999" customHeight="1" x14ac:dyDescent="0.2">
      <c r="D189" s="46" t="str">
        <f t="shared" si="26"/>
        <v/>
      </c>
      <c r="N189" s="118"/>
      <c r="O189" s="29" t="str">
        <f t="shared" si="27"/>
        <v/>
      </c>
    </row>
    <row r="190" spans="4:16" ht="20.149999999999999" customHeight="1" x14ac:dyDescent="0.2">
      <c r="D190" s="46" t="str">
        <f t="shared" si="26"/>
        <v/>
      </c>
      <c r="N190" s="118"/>
      <c r="O190" s="29" t="str">
        <f t="shared" si="27"/>
        <v/>
      </c>
    </row>
    <row r="191" spans="4:16" ht="20.149999999999999" customHeight="1" x14ac:dyDescent="0.2">
      <c r="D191" s="46" t="str">
        <f t="shared" si="26"/>
        <v/>
      </c>
      <c r="N191" s="118"/>
      <c r="O191" s="29" t="str">
        <f t="shared" si="27"/>
        <v/>
      </c>
    </row>
    <row r="192" spans="4:16" ht="20.149999999999999" customHeight="1" x14ac:dyDescent="0.2">
      <c r="N192" s="118"/>
      <c r="O192" s="29" t="str">
        <f t="shared" si="27"/>
        <v/>
      </c>
    </row>
  </sheetData>
  <autoFilter ref="A2:S192"/>
  <customSheetViews>
    <customSheetView guid="{F261CC3E-BBAF-4421-92E0-E43167440BFB}" scale="120" showPageBreaks="1" fitToPage="1" printArea="1" showAutoFilter="1" hiddenColumns="1" topLeftCell="B1">
      <pane ySplit="2" topLeftCell="A154" activePane="bottomLeft" state="frozen"/>
      <selection pane="bottomLeft" activeCell="C169" sqref="C169"/>
      <pageMargins left="0.25" right="0.25" top="0.75" bottom="0.75" header="0.3" footer="0.3"/>
      <pageSetup paperSize="9" scale="85" orientation="landscape" r:id="rId1"/>
      <autoFilter ref="A2:S191"/>
    </customSheetView>
    <customSheetView guid="{D108A94F-96BE-4B2E-9408-7CE19DC55699}" showPageBreaks="1" fitToPage="1" printArea="1" showAutoFilter="1" hiddenColumns="1" topLeftCell="B1">
      <pane ySplit="2" topLeftCell="A167" activePane="bottomLeft" state="frozen"/>
      <selection pane="bottomLeft" activeCell="H182" sqref="H182"/>
      <pageMargins left="0.25" right="0.25" top="0.75" bottom="0.75" header="0.3" footer="0.3"/>
      <pageSetup paperSize="9" scale="84" orientation="landscape" r:id="rId2"/>
      <autoFilter ref="A2:S191"/>
    </customSheetView>
    <customSheetView guid="{8578D927-8BDE-4C99-A2DB-3E44DFA36FF2}" showPageBreaks="1" fitToPage="1" printArea="1" showAutoFilter="1" hiddenColumns="1" topLeftCell="B1">
      <pane ySplit="2" topLeftCell="A158" activePane="bottomLeft" state="frozen"/>
      <selection pane="bottomLeft" activeCell="N170" sqref="N170"/>
      <pageMargins left="0.25" right="0.25" top="0.75" bottom="0.75" header="0.3" footer="0.3"/>
      <pageSetup paperSize="9" scale="85" orientation="landscape" r:id="rId3"/>
      <autoFilter ref="A2:S192"/>
    </customSheetView>
  </customSheetViews>
  <mergeCells count="1">
    <mergeCell ref="D1:G1"/>
  </mergeCells>
  <phoneticPr fontId="3" type="noConversion"/>
  <pageMargins left="0.25" right="0.25" top="0.75" bottom="0.75" header="0.3" footer="0.3"/>
  <pageSetup paperSize="9" scale="85" orientation="landscape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4</vt:i4>
      </vt:variant>
    </vt:vector>
  </HeadingPairs>
  <TitlesOfParts>
    <vt:vector size="8" baseType="lpstr">
      <vt:lpstr>IPAHQ(TANK)-竹科</vt:lpstr>
      <vt:lpstr>IPAHQ(TANK)-中科</vt:lpstr>
      <vt:lpstr>IPAHQ(TANK)-12P3</vt:lpstr>
      <vt:lpstr>IPAHQ(TANK)-南科</vt:lpstr>
      <vt:lpstr>'IPAHQ(TANK)-12P3'!Print_Area</vt:lpstr>
      <vt:lpstr>'IPAHQ(TANK)-中科'!Print_Area</vt:lpstr>
      <vt:lpstr>'IPAHQ(TANK)-竹科'!Print_Area</vt:lpstr>
      <vt:lpstr>'IPAHQ(TANK)-南科'!Print_Area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賴妍蓁</dc:creator>
  <cp:lastModifiedBy>C776-PC</cp:lastModifiedBy>
  <cp:lastPrinted>2026-09-06T02:28:20Z</cp:lastPrinted>
  <dcterms:created xsi:type="dcterms:W3CDTF">2024-12-31T03:58:11Z</dcterms:created>
  <dcterms:modified xsi:type="dcterms:W3CDTF">2026-09-17T02:10:33Z</dcterms:modified>
</cp:coreProperties>
</file>